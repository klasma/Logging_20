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46114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13728-2025</t>
        </is>
      </c>
      <c r="B3" s="1" t="n">
        <v>45737</v>
      </c>
      <c r="C3" s="1" t="n">
        <v>46114</v>
      </c>
      <c r="D3" t="inlineStr">
        <is>
          <t>DALARNAS LÄN</t>
        </is>
      </c>
      <c r="E3" t="inlineStr">
        <is>
          <t>MORA</t>
        </is>
      </c>
      <c r="G3" t="n">
        <v>111.2</v>
      </c>
      <c r="H3" t="n">
        <v>9</v>
      </c>
      <c r="I3" t="n">
        <v>5</v>
      </c>
      <c r="J3" t="n">
        <v>27</v>
      </c>
      <c r="K3" t="n">
        <v>2</v>
      </c>
      <c r="L3" t="n">
        <v>0</v>
      </c>
      <c r="M3" t="n">
        <v>0</v>
      </c>
      <c r="N3" t="n">
        <v>0</v>
      </c>
      <c r="O3" t="n">
        <v>29</v>
      </c>
      <c r="P3" t="n">
        <v>2</v>
      </c>
      <c r="Q3" t="n">
        <v>38</v>
      </c>
      <c r="R3"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3">
        <f>HYPERLINK("https://klasma.github.io/Logging_2062/artfynd/A 13728-2025 artfynd.xlsx", "A 13728-2025")</f>
        <v/>
      </c>
      <c r="T3">
        <f>HYPERLINK("https://klasma.github.io/Logging_2062/kartor/A 13728-2025 karta.png", "A 13728-2025")</f>
        <v/>
      </c>
      <c r="V3">
        <f>HYPERLINK("https://klasma.github.io/Logging_2062/klagomål/A 13728-2025 FSC-klagomål.docx", "A 13728-2025")</f>
        <v/>
      </c>
      <c r="W3">
        <f>HYPERLINK("https://klasma.github.io/Logging_2062/klagomålsmail/A 13728-2025 FSC-klagomål mail.docx", "A 13728-2025")</f>
        <v/>
      </c>
      <c r="X3">
        <f>HYPERLINK("https://klasma.github.io/Logging_2062/tillsyn/A 13728-2025 tillsynsbegäran.docx", "A 13728-2025")</f>
        <v/>
      </c>
      <c r="Y3">
        <f>HYPERLINK("https://klasma.github.io/Logging_2062/tillsynsmail/A 13728-2025 tillsynsbegäran mail.docx", "A 13728-2025")</f>
        <v/>
      </c>
      <c r="Z3">
        <f>HYPERLINK("https://klasma.github.io/Logging_2062/fåglar/A 13728-2025 prioriterade fågelarter.docx", "A 13728-2025")</f>
        <v/>
      </c>
    </row>
    <row r="4" ht="15" customHeight="1">
      <c r="A4" t="inlineStr">
        <is>
          <t>A 35482-2025</t>
        </is>
      </c>
      <c r="B4" s="1" t="n">
        <v>45855</v>
      </c>
      <c r="C4" s="1" t="n">
        <v>46114</v>
      </c>
      <c r="D4" t="inlineStr">
        <is>
          <t>DALARNAS LÄN</t>
        </is>
      </c>
      <c r="E4" t="inlineStr">
        <is>
          <t>MORA</t>
        </is>
      </c>
      <c r="F4" t="inlineStr">
        <is>
          <t>Allmännings- och besparingsskogar</t>
        </is>
      </c>
      <c r="G4" t="n">
        <v>23.6</v>
      </c>
      <c r="H4" t="n">
        <v>8</v>
      </c>
      <c r="I4" t="n">
        <v>9</v>
      </c>
      <c r="J4" t="n">
        <v>21</v>
      </c>
      <c r="K4" t="n">
        <v>2</v>
      </c>
      <c r="L4" t="n">
        <v>1</v>
      </c>
      <c r="M4" t="n">
        <v>0</v>
      </c>
      <c r="N4" t="n">
        <v>0</v>
      </c>
      <c r="O4" t="n">
        <v>24</v>
      </c>
      <c r="P4" t="n">
        <v>3</v>
      </c>
      <c r="Q4" t="n">
        <v>37</v>
      </c>
      <c r="R4"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6979-2026</t>
        </is>
      </c>
      <c r="B5" s="1" t="n">
        <v>46057.59621527778</v>
      </c>
      <c r="C5" s="1" t="n">
        <v>46114</v>
      </c>
      <c r="D5" t="inlineStr">
        <is>
          <t>DALARNAS LÄN</t>
        </is>
      </c>
      <c r="E5" t="inlineStr">
        <is>
          <t>MALUNG-SÄLEN</t>
        </is>
      </c>
      <c r="F5" t="inlineStr">
        <is>
          <t>Allmännings- och besparingsskogar</t>
        </is>
      </c>
      <c r="G5" t="n">
        <v>54.7</v>
      </c>
      <c r="H5" t="n">
        <v>5</v>
      </c>
      <c r="I5" t="n">
        <v>10</v>
      </c>
      <c r="J5" t="n">
        <v>22</v>
      </c>
      <c r="K5" t="n">
        <v>1</v>
      </c>
      <c r="L5" t="n">
        <v>1</v>
      </c>
      <c r="M5" t="n">
        <v>0</v>
      </c>
      <c r="N5" t="n">
        <v>0</v>
      </c>
      <c r="O5" t="n">
        <v>24</v>
      </c>
      <c r="P5" t="n">
        <v>2</v>
      </c>
      <c r="Q5" t="n">
        <v>35</v>
      </c>
      <c r="R5"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5">
        <f>HYPERLINK("https://klasma.github.io/Logging_2023/artfynd/A 6979-2026 artfynd.xlsx", "A 6979-2026")</f>
        <v/>
      </c>
      <c r="T5">
        <f>HYPERLINK("https://klasma.github.io/Logging_2023/kartor/A 6979-2026 karta.png", "A 6979-2026")</f>
        <v/>
      </c>
      <c r="V5">
        <f>HYPERLINK("https://klasma.github.io/Logging_2023/klagomål/A 6979-2026 FSC-klagomål.docx", "A 6979-2026")</f>
        <v/>
      </c>
      <c r="W5">
        <f>HYPERLINK("https://klasma.github.io/Logging_2023/klagomålsmail/A 6979-2026 FSC-klagomål mail.docx", "A 6979-2026")</f>
        <v/>
      </c>
      <c r="X5">
        <f>HYPERLINK("https://klasma.github.io/Logging_2023/tillsyn/A 6979-2026 tillsynsbegäran.docx", "A 6979-2026")</f>
        <v/>
      </c>
      <c r="Y5">
        <f>HYPERLINK("https://klasma.github.io/Logging_2023/tillsynsmail/A 6979-2026 tillsynsbegäran mail.docx", "A 6979-2026")</f>
        <v/>
      </c>
      <c r="Z5">
        <f>HYPERLINK("https://klasma.github.io/Logging_2023/fåglar/A 6979-2026 prioriterade fågelarter.docx", "A 6979-2026")</f>
        <v/>
      </c>
    </row>
    <row r="6" ht="15" customHeight="1">
      <c r="A6" t="inlineStr">
        <is>
          <t>A 31756-2023</t>
        </is>
      </c>
      <c r="B6" s="1" t="n">
        <v>45118</v>
      </c>
      <c r="C6" s="1" t="n">
        <v>46114</v>
      </c>
      <c r="D6" t="inlineStr">
        <is>
          <t>DALARNAS LÄN</t>
        </is>
      </c>
      <c r="E6" t="inlineStr">
        <is>
          <t>MORA</t>
        </is>
      </c>
      <c r="G6" t="n">
        <v>29.7</v>
      </c>
      <c r="H6" t="n">
        <v>2</v>
      </c>
      <c r="I6" t="n">
        <v>12</v>
      </c>
      <c r="J6" t="n">
        <v>18</v>
      </c>
      <c r="K6" t="n">
        <v>4</v>
      </c>
      <c r="L6" t="n">
        <v>0</v>
      </c>
      <c r="M6" t="n">
        <v>0</v>
      </c>
      <c r="N6" t="n">
        <v>0</v>
      </c>
      <c r="O6" t="n">
        <v>22</v>
      </c>
      <c r="P6" t="n">
        <v>4</v>
      </c>
      <c r="Q6" t="n">
        <v>34</v>
      </c>
      <c r="R6"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6">
        <f>HYPERLINK("https://klasma.github.io/Logging_2062/artfynd/A 31756-2023 artfynd.xlsx", "A 31756-2023")</f>
        <v/>
      </c>
      <c r="T6">
        <f>HYPERLINK("https://klasma.github.io/Logging_2062/kartor/A 31756-2023 karta.png", "A 31756-2023")</f>
        <v/>
      </c>
      <c r="U6">
        <f>HYPERLINK("https://klasma.github.io/Logging_2062/knärot/A 31756-2023 karta knärot.png", "A 31756-2023")</f>
        <v/>
      </c>
      <c r="V6">
        <f>HYPERLINK("https://klasma.github.io/Logging_2062/klagomål/A 31756-2023 FSC-klagomål.docx", "A 31756-2023")</f>
        <v/>
      </c>
      <c r="W6">
        <f>HYPERLINK("https://klasma.github.io/Logging_2062/klagomålsmail/A 31756-2023 FSC-klagomål mail.docx", "A 31756-2023")</f>
        <v/>
      </c>
      <c r="X6">
        <f>HYPERLINK("https://klasma.github.io/Logging_2062/tillsyn/A 31756-2023 tillsynsbegäran.docx", "A 31756-2023")</f>
        <v/>
      </c>
      <c r="Y6">
        <f>HYPERLINK("https://klasma.github.io/Logging_2062/tillsynsmail/A 31756-2023 tillsynsbegäran mail.docx", "A 31756-2023")</f>
        <v/>
      </c>
    </row>
    <row r="7" ht="15" customHeight="1">
      <c r="A7" t="inlineStr">
        <is>
          <t>A 18527-2025</t>
        </is>
      </c>
      <c r="B7" s="1" t="n">
        <v>45763</v>
      </c>
      <c r="C7" s="1" t="n">
        <v>46114</v>
      </c>
      <c r="D7" t="inlineStr">
        <is>
          <t>DALARNAS LÄN</t>
        </is>
      </c>
      <c r="E7" t="inlineStr">
        <is>
          <t>MORA</t>
        </is>
      </c>
      <c r="G7" t="n">
        <v>10.6</v>
      </c>
      <c r="H7" t="n">
        <v>8</v>
      </c>
      <c r="I7" t="n">
        <v>9</v>
      </c>
      <c r="J7" t="n">
        <v>19</v>
      </c>
      <c r="K7" t="n">
        <v>1</v>
      </c>
      <c r="L7" t="n">
        <v>0</v>
      </c>
      <c r="M7" t="n">
        <v>0</v>
      </c>
      <c r="N7" t="n">
        <v>0</v>
      </c>
      <c r="O7" t="n">
        <v>20</v>
      </c>
      <c r="P7" t="n">
        <v>1</v>
      </c>
      <c r="Q7" t="n">
        <v>33</v>
      </c>
      <c r="R7"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7">
        <f>HYPERLINK("https://klasma.github.io/Logging_2062/artfynd/A 18527-2025 artfynd.xlsx", "A 18527-2025")</f>
        <v/>
      </c>
      <c r="T7">
        <f>HYPERLINK("https://klasma.github.io/Logging_2062/kartor/A 18527-2025 karta.png", "A 18527-2025")</f>
        <v/>
      </c>
      <c r="U7">
        <f>HYPERLINK("https://klasma.github.io/Logging_2062/knärot/A 18527-2025 karta knärot.png", "A 18527-2025")</f>
        <v/>
      </c>
      <c r="V7">
        <f>HYPERLINK("https://klasma.github.io/Logging_2062/klagomål/A 18527-2025 FSC-klagomål.docx", "A 18527-2025")</f>
        <v/>
      </c>
      <c r="W7">
        <f>HYPERLINK("https://klasma.github.io/Logging_2062/klagomålsmail/A 18527-2025 FSC-klagomål mail.docx", "A 18527-2025")</f>
        <v/>
      </c>
      <c r="X7">
        <f>HYPERLINK("https://klasma.github.io/Logging_2062/tillsyn/A 18527-2025 tillsynsbegäran.docx", "A 18527-2025")</f>
        <v/>
      </c>
      <c r="Y7">
        <f>HYPERLINK("https://klasma.github.io/Logging_2062/tillsynsmail/A 18527-2025 tillsynsbegäran mail.docx", "A 18527-2025")</f>
        <v/>
      </c>
      <c r="Z7">
        <f>HYPERLINK("https://klasma.github.io/Logging_2062/fåglar/A 18527-2025 prioriterade fågelarter.docx", "A 18527-2025")</f>
        <v/>
      </c>
    </row>
    <row r="8" ht="15" customHeight="1">
      <c r="A8" t="inlineStr">
        <is>
          <t>A 7174-2026</t>
        </is>
      </c>
      <c r="B8" s="1" t="n">
        <v>46058.46145833333</v>
      </c>
      <c r="C8" s="1" t="n">
        <v>46114</v>
      </c>
      <c r="D8" t="inlineStr">
        <is>
          <t>DALARNAS LÄN</t>
        </is>
      </c>
      <c r="E8" t="inlineStr">
        <is>
          <t>ÄLVDALEN</t>
        </is>
      </c>
      <c r="F8" t="inlineStr">
        <is>
          <t>Allmännings- och besparingsskogar</t>
        </is>
      </c>
      <c r="G8" t="n">
        <v>21.1</v>
      </c>
      <c r="H8" t="n">
        <v>1</v>
      </c>
      <c r="I8" t="n">
        <v>6</v>
      </c>
      <c r="J8" t="n">
        <v>16</v>
      </c>
      <c r="K8" t="n">
        <v>8</v>
      </c>
      <c r="L8" t="n">
        <v>1</v>
      </c>
      <c r="M8" t="n">
        <v>0</v>
      </c>
      <c r="N8" t="n">
        <v>0</v>
      </c>
      <c r="O8" t="n">
        <v>26</v>
      </c>
      <c r="P8" t="n">
        <v>9</v>
      </c>
      <c r="Q8" t="n">
        <v>32</v>
      </c>
      <c r="R8"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8">
        <f>HYPERLINK("https://klasma.github.io/Logging_2039/artfynd/A 7174-2026 artfynd.xlsx", "A 7174-2026")</f>
        <v/>
      </c>
      <c r="T8">
        <f>HYPERLINK("https://klasma.github.io/Logging_2039/kartor/A 7174-2026 karta.png", "A 7174-2026")</f>
        <v/>
      </c>
      <c r="V8">
        <f>HYPERLINK("https://klasma.github.io/Logging_2039/klagomål/A 7174-2026 FSC-klagomål.docx", "A 7174-2026")</f>
        <v/>
      </c>
      <c r="W8">
        <f>HYPERLINK("https://klasma.github.io/Logging_2039/klagomålsmail/A 7174-2026 FSC-klagomål mail.docx", "A 7174-2026")</f>
        <v/>
      </c>
      <c r="X8">
        <f>HYPERLINK("https://klasma.github.io/Logging_2039/tillsyn/A 7174-2026 tillsynsbegäran.docx", "A 7174-2026")</f>
        <v/>
      </c>
      <c r="Y8">
        <f>HYPERLINK("https://klasma.github.io/Logging_2039/tillsynsmail/A 7174-2026 tillsynsbegäran mail.docx", "A 7174-2026")</f>
        <v/>
      </c>
    </row>
    <row r="9" ht="15" customHeight="1">
      <c r="A9" t="inlineStr">
        <is>
          <t>A 62749-2023</t>
        </is>
      </c>
      <c r="B9" s="1" t="n">
        <v>45271</v>
      </c>
      <c r="C9" s="1" t="n">
        <v>46114</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46114</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46114</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46114</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46114</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46114</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1481-2026</t>
        </is>
      </c>
      <c r="B15" s="1" t="n">
        <v>46033.93310185185</v>
      </c>
      <c r="C15" s="1" t="n">
        <v>46114</v>
      </c>
      <c r="D15" t="inlineStr">
        <is>
          <t>DALARNAS LÄN</t>
        </is>
      </c>
      <c r="E15" t="inlineStr">
        <is>
          <t>MALUNG-SÄLEN</t>
        </is>
      </c>
      <c r="G15" t="n">
        <v>16.5</v>
      </c>
      <c r="H15" t="n">
        <v>2</v>
      </c>
      <c r="I15" t="n">
        <v>8</v>
      </c>
      <c r="J15" t="n">
        <v>16</v>
      </c>
      <c r="K15" t="n">
        <v>1</v>
      </c>
      <c r="L15" t="n">
        <v>0</v>
      </c>
      <c r="M15" t="n">
        <v>0</v>
      </c>
      <c r="N15" t="n">
        <v>0</v>
      </c>
      <c r="O15" t="n">
        <v>17</v>
      </c>
      <c r="P15" t="n">
        <v>1</v>
      </c>
      <c r="Q15" t="n">
        <v>26</v>
      </c>
      <c r="R15" s="2" t="inlineStr">
        <is>
          <t>Rynkskinn
Brunpudrad nållav
Doftskinn
Gammelgransskål
Garnlav
Gransotdyna
Granticka
Kolflarnlav
Kortskaftad ärgspik
Liten svartspik
Lunglav
Mörk kolflarnlav
Skrovellav
Stjärntagging
Tallticka
Tretåig hackspett
Vitgrynig nållav
Gullgröppa
Korallblylav
Kornig nållav
Rostfläck
Skuggblåslav
Stuplav
Trådticka
Vedticka
Tjäder</t>
        </is>
      </c>
      <c r="S15">
        <f>HYPERLINK("https://klasma.github.io/Logging_2023/artfynd/A 1481-2026 artfynd.xlsx", "A 1481-2026")</f>
        <v/>
      </c>
      <c r="T15">
        <f>HYPERLINK("https://klasma.github.io/Logging_2023/kartor/A 1481-2026 karta.png", "A 1481-2026")</f>
        <v/>
      </c>
      <c r="V15">
        <f>HYPERLINK("https://klasma.github.io/Logging_2023/klagomål/A 1481-2026 FSC-klagomål.docx", "A 1481-2026")</f>
        <v/>
      </c>
      <c r="W15">
        <f>HYPERLINK("https://klasma.github.io/Logging_2023/klagomålsmail/A 1481-2026 FSC-klagomål mail.docx", "A 1481-2026")</f>
        <v/>
      </c>
      <c r="X15">
        <f>HYPERLINK("https://klasma.github.io/Logging_2023/tillsyn/A 1481-2026 tillsynsbegäran.docx", "A 1481-2026")</f>
        <v/>
      </c>
      <c r="Y15">
        <f>HYPERLINK("https://klasma.github.io/Logging_2023/tillsynsmail/A 1481-2026 tillsynsbegäran mail.docx", "A 1481-2026")</f>
        <v/>
      </c>
      <c r="Z15">
        <f>HYPERLINK("https://klasma.github.io/Logging_2023/fåglar/A 1481-2026 prioriterade fågelarter.docx", "A 1481-2026")</f>
        <v/>
      </c>
    </row>
    <row r="16" ht="15" customHeight="1">
      <c r="A16" t="inlineStr">
        <is>
          <t>A 49122-2025</t>
        </is>
      </c>
      <c r="B16" s="1" t="n">
        <v>45937.84384259259</v>
      </c>
      <c r="C16" s="1" t="n">
        <v>46114</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46114</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60987-2025</t>
        </is>
      </c>
      <c r="B18" s="1" t="n">
        <v>45996</v>
      </c>
      <c r="C18" s="1" t="n">
        <v>46114</v>
      </c>
      <c r="D18" t="inlineStr">
        <is>
          <t>DALARNAS LÄN</t>
        </is>
      </c>
      <c r="E18" t="inlineStr">
        <is>
          <t>HEDEMORA</t>
        </is>
      </c>
      <c r="G18" t="n">
        <v>12.9</v>
      </c>
      <c r="H18" t="n">
        <v>12</v>
      </c>
      <c r="I18" t="n">
        <v>5</v>
      </c>
      <c r="J18" t="n">
        <v>11</v>
      </c>
      <c r="K18" t="n">
        <v>3</v>
      </c>
      <c r="L18" t="n">
        <v>0</v>
      </c>
      <c r="M18" t="n">
        <v>0</v>
      </c>
      <c r="N18" t="n">
        <v>0</v>
      </c>
      <c r="O18" t="n">
        <v>14</v>
      </c>
      <c r="P18" t="n">
        <v>3</v>
      </c>
      <c r="Q18" t="n">
        <v>25</v>
      </c>
      <c r="R18"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8">
        <f>HYPERLINK("https://klasma.github.io/Logging_2083/artfynd/A 60987-2025 artfynd.xlsx", "A 60987-2025")</f>
        <v/>
      </c>
      <c r="T18">
        <f>HYPERLINK("https://klasma.github.io/Logging_2083/kartor/A 60987-2025 karta.png", "A 60987-2025")</f>
        <v/>
      </c>
      <c r="U18">
        <f>HYPERLINK("https://klasma.github.io/Logging_2083/knärot/A 60987-2025 karta knärot.png", "A 60987-2025")</f>
        <v/>
      </c>
      <c r="V18">
        <f>HYPERLINK("https://klasma.github.io/Logging_2083/klagomål/A 60987-2025 FSC-klagomål.docx", "A 60987-2025")</f>
        <v/>
      </c>
      <c r="W18">
        <f>HYPERLINK("https://klasma.github.io/Logging_2083/klagomålsmail/A 60987-2025 FSC-klagomål mail.docx", "A 60987-2025")</f>
        <v/>
      </c>
      <c r="X18">
        <f>HYPERLINK("https://klasma.github.io/Logging_2083/tillsyn/A 60987-2025 tillsynsbegäran.docx", "A 60987-2025")</f>
        <v/>
      </c>
      <c r="Y18">
        <f>HYPERLINK("https://klasma.github.io/Logging_2083/tillsynsmail/A 60987-2025 tillsynsbegäran mail.docx", "A 60987-2025")</f>
        <v/>
      </c>
      <c r="Z18">
        <f>HYPERLINK("https://klasma.github.io/Logging_2083/fåglar/A 60987-2025 prioriterade fågelarter.docx", "A 60987-2025")</f>
        <v/>
      </c>
    </row>
    <row r="19" ht="15" customHeight="1">
      <c r="A19" t="inlineStr">
        <is>
          <t>A 54617-2025</t>
        </is>
      </c>
      <c r="B19" s="1" t="n">
        <v>45966.34274305555</v>
      </c>
      <c r="C19" s="1" t="n">
        <v>46114</v>
      </c>
      <c r="D19" t="inlineStr">
        <is>
          <t>DALARNAS LÄN</t>
        </is>
      </c>
      <c r="E19" t="inlineStr">
        <is>
          <t>ORSA</t>
        </is>
      </c>
      <c r="G19" t="n">
        <v>16</v>
      </c>
      <c r="H19" t="n">
        <v>2</v>
      </c>
      <c r="I19" t="n">
        <v>7</v>
      </c>
      <c r="J19" t="n">
        <v>17</v>
      </c>
      <c r="K19" t="n">
        <v>0</v>
      </c>
      <c r="L19" t="n">
        <v>1</v>
      </c>
      <c r="M19" t="n">
        <v>0</v>
      </c>
      <c r="N19" t="n">
        <v>0</v>
      </c>
      <c r="O19" t="n">
        <v>18</v>
      </c>
      <c r="P19" t="n">
        <v>1</v>
      </c>
      <c r="Q19" t="n">
        <v>25</v>
      </c>
      <c r="R19"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19">
        <f>HYPERLINK("https://klasma.github.io/Logging_2034/artfynd/A 54617-2025 artfynd.xlsx", "A 54617-2025")</f>
        <v/>
      </c>
      <c r="T19">
        <f>HYPERLINK("https://klasma.github.io/Logging_2034/kartor/A 54617-2025 karta.png", "A 54617-2025")</f>
        <v/>
      </c>
      <c r="V19">
        <f>HYPERLINK("https://klasma.github.io/Logging_2034/klagomål/A 54617-2025 FSC-klagomål.docx", "A 54617-2025")</f>
        <v/>
      </c>
      <c r="W19">
        <f>HYPERLINK("https://klasma.github.io/Logging_2034/klagomålsmail/A 54617-2025 FSC-klagomål mail.docx", "A 54617-2025")</f>
        <v/>
      </c>
      <c r="X19">
        <f>HYPERLINK("https://klasma.github.io/Logging_2034/tillsyn/A 54617-2025 tillsynsbegäran.docx", "A 54617-2025")</f>
        <v/>
      </c>
      <c r="Y19">
        <f>HYPERLINK("https://klasma.github.io/Logging_2034/tillsynsmail/A 54617-2025 tillsynsbegäran mail.docx", "A 54617-2025")</f>
        <v/>
      </c>
      <c r="Z19">
        <f>HYPERLINK("https://klasma.github.io/Logging_2034/fåglar/A 54617-2025 prioriterade fågelarter.docx", "A 54617-2025")</f>
        <v/>
      </c>
    </row>
    <row r="20" ht="15" customHeight="1">
      <c r="A20" t="inlineStr">
        <is>
          <t>A 50244-2025</t>
        </is>
      </c>
      <c r="B20" s="1" t="n">
        <v>45944.29658564815</v>
      </c>
      <c r="C20" s="1" t="n">
        <v>46114</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2729-2026</t>
        </is>
      </c>
      <c r="B21" s="1" t="n">
        <v>46037.84224537037</v>
      </c>
      <c r="C21" s="1" t="n">
        <v>46114</v>
      </c>
      <c r="D21" t="inlineStr">
        <is>
          <t>DALARNAS LÄN</t>
        </is>
      </c>
      <c r="E21" t="inlineStr">
        <is>
          <t>MORA</t>
        </is>
      </c>
      <c r="G21" t="n">
        <v>18.5</v>
      </c>
      <c r="H21" t="n">
        <v>6</v>
      </c>
      <c r="I21" t="n">
        <v>7</v>
      </c>
      <c r="J21" t="n">
        <v>11</v>
      </c>
      <c r="K21" t="n">
        <v>4</v>
      </c>
      <c r="L21" t="n">
        <v>0</v>
      </c>
      <c r="M21" t="n">
        <v>0</v>
      </c>
      <c r="N21" t="n">
        <v>0</v>
      </c>
      <c r="O21" t="n">
        <v>15</v>
      </c>
      <c r="P21" t="n">
        <v>4</v>
      </c>
      <c r="Q21" t="n">
        <v>25</v>
      </c>
      <c r="R21"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1">
        <f>HYPERLINK("https://klasma.github.io/Logging_2062/artfynd/A 2729-2026 artfynd.xlsx", "A 2729-2026")</f>
        <v/>
      </c>
      <c r="T21">
        <f>HYPERLINK("https://klasma.github.io/Logging_2062/kartor/A 2729-2026 karta.png", "A 2729-2026")</f>
        <v/>
      </c>
      <c r="U21">
        <f>HYPERLINK("https://klasma.github.io/Logging_2062/knärot/A 2729-2026 karta knärot.png", "A 2729-2026")</f>
        <v/>
      </c>
      <c r="V21">
        <f>HYPERLINK("https://klasma.github.io/Logging_2062/klagomål/A 2729-2026 FSC-klagomål.docx", "A 2729-2026")</f>
        <v/>
      </c>
      <c r="W21">
        <f>HYPERLINK("https://klasma.github.io/Logging_2062/klagomålsmail/A 2729-2026 FSC-klagomål mail.docx", "A 2729-2026")</f>
        <v/>
      </c>
      <c r="X21">
        <f>HYPERLINK("https://klasma.github.io/Logging_2062/tillsyn/A 2729-2026 tillsynsbegäran.docx", "A 2729-2026")</f>
        <v/>
      </c>
      <c r="Y21">
        <f>HYPERLINK("https://klasma.github.io/Logging_2062/tillsynsmail/A 2729-2026 tillsynsbegäran mail.docx", "A 2729-2026")</f>
        <v/>
      </c>
      <c r="Z21">
        <f>HYPERLINK("https://klasma.github.io/Logging_2062/fåglar/A 2729-2026 prioriterade fågelarter.docx", "A 2729-2026")</f>
        <v/>
      </c>
    </row>
    <row r="22" ht="15" customHeight="1">
      <c r="A22" t="inlineStr">
        <is>
          <t>A 49115-2023</t>
        </is>
      </c>
      <c r="B22" s="1" t="n">
        <v>45205</v>
      </c>
      <c r="C22" s="1" t="n">
        <v>46114</v>
      </c>
      <c r="D22" t="inlineStr">
        <is>
          <t>DALARNAS LÄN</t>
        </is>
      </c>
      <c r="E22" t="inlineStr">
        <is>
          <t>LEKSAND</t>
        </is>
      </c>
      <c r="G22" t="n">
        <v>6</v>
      </c>
      <c r="H22" t="n">
        <v>10</v>
      </c>
      <c r="I22" t="n">
        <v>8</v>
      </c>
      <c r="J22" t="n">
        <v>10</v>
      </c>
      <c r="K22" t="n">
        <v>3</v>
      </c>
      <c r="L22" t="n">
        <v>0</v>
      </c>
      <c r="M22" t="n">
        <v>0</v>
      </c>
      <c r="N22" t="n">
        <v>0</v>
      </c>
      <c r="O22" t="n">
        <v>13</v>
      </c>
      <c r="P22" t="n">
        <v>3</v>
      </c>
      <c r="Q22" t="n">
        <v>25</v>
      </c>
      <c r="R22"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9154-2026</t>
        </is>
      </c>
      <c r="B23" s="1" t="n">
        <v>46070.34142361111</v>
      </c>
      <c r="C23" s="1" t="n">
        <v>46114</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51902-2023</t>
        </is>
      </c>
      <c r="B24" s="1" t="n">
        <v>45223</v>
      </c>
      <c r="C24" s="1" t="n">
        <v>46114</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45776-2023</t>
        </is>
      </c>
      <c r="B25" s="1" t="n">
        <v>45195</v>
      </c>
      <c r="C25" s="1" t="n">
        <v>46114</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47952-2023</t>
        </is>
      </c>
      <c r="B26" s="1" t="n">
        <v>45204</v>
      </c>
      <c r="C26" s="1" t="n">
        <v>46114</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1135-2023</t>
        </is>
      </c>
      <c r="B27" s="1" t="n">
        <v>44935</v>
      </c>
      <c r="C27" s="1" t="n">
        <v>46114</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46114</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46114</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46114</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30241-2023</t>
        </is>
      </c>
      <c r="B31" s="1" t="n">
        <v>45110</v>
      </c>
      <c r="C31" s="1" t="n">
        <v>46114</v>
      </c>
      <c r="D31" t="inlineStr">
        <is>
          <t>DALARNAS LÄN</t>
        </is>
      </c>
      <c r="E31" t="inlineStr">
        <is>
          <t>ÄLVDALEN</t>
        </is>
      </c>
      <c r="F31" t="inlineStr">
        <is>
          <t>Sveaskog</t>
        </is>
      </c>
      <c r="G31" t="n">
        <v>4.2</v>
      </c>
      <c r="H31" t="n">
        <v>2</v>
      </c>
      <c r="I31" t="n">
        <v>3</v>
      </c>
      <c r="J31" t="n">
        <v>14</v>
      </c>
      <c r="K31" t="n">
        <v>4</v>
      </c>
      <c r="L31" t="n">
        <v>0</v>
      </c>
      <c r="M31" t="n">
        <v>0</v>
      </c>
      <c r="N31" t="n">
        <v>0</v>
      </c>
      <c r="O31" t="n">
        <v>18</v>
      </c>
      <c r="P31" t="n">
        <v>4</v>
      </c>
      <c r="Q31" t="n">
        <v>21</v>
      </c>
      <c r="R3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1">
        <f>HYPERLINK("https://klasma.github.io/Logging_2039/artfynd/A 30241-2023 artfynd.xlsx", "A 30241-2023")</f>
        <v/>
      </c>
      <c r="T31">
        <f>HYPERLINK("https://klasma.github.io/Logging_2039/kartor/A 30241-2023 karta.png", "A 30241-2023")</f>
        <v/>
      </c>
      <c r="V31">
        <f>HYPERLINK("https://klasma.github.io/Logging_2039/klagomål/A 30241-2023 FSC-klagomål.docx", "A 30241-2023")</f>
        <v/>
      </c>
      <c r="W31">
        <f>HYPERLINK("https://klasma.github.io/Logging_2039/klagomålsmail/A 30241-2023 FSC-klagomål mail.docx", "A 30241-2023")</f>
        <v/>
      </c>
      <c r="X31">
        <f>HYPERLINK("https://klasma.github.io/Logging_2039/tillsyn/A 30241-2023 tillsynsbegäran.docx", "A 30241-2023")</f>
        <v/>
      </c>
      <c r="Y31">
        <f>HYPERLINK("https://klasma.github.io/Logging_2039/tillsynsmail/A 30241-2023 tillsynsbegäran mail.docx", "A 30241-2023")</f>
        <v/>
      </c>
      <c r="Z31">
        <f>HYPERLINK("https://klasma.github.io/Logging_2039/fåglar/A 30241-2023 prioriterade fågelarter.docx", "A 30241-2023")</f>
        <v/>
      </c>
    </row>
    <row r="32" ht="15" customHeight="1">
      <c r="A32" t="inlineStr">
        <is>
          <t>A 29779-2025</t>
        </is>
      </c>
      <c r="B32" s="1" t="n">
        <v>45825</v>
      </c>
      <c r="C32" s="1" t="n">
        <v>46114</v>
      </c>
      <c r="D32" t="inlineStr">
        <is>
          <t>DALARNAS LÄN</t>
        </is>
      </c>
      <c r="E32" t="inlineStr">
        <is>
          <t>ÄLVDALEN</t>
        </is>
      </c>
      <c r="F32" t="inlineStr">
        <is>
          <t>Sveaskog</t>
        </is>
      </c>
      <c r="G32" t="n">
        <v>12.9</v>
      </c>
      <c r="H32" t="n">
        <v>5</v>
      </c>
      <c r="I32" t="n">
        <v>5</v>
      </c>
      <c r="J32" t="n">
        <v>15</v>
      </c>
      <c r="K32" t="n">
        <v>0</v>
      </c>
      <c r="L32" t="n">
        <v>0</v>
      </c>
      <c r="M32" t="n">
        <v>0</v>
      </c>
      <c r="N32" t="n">
        <v>0</v>
      </c>
      <c r="O32" t="n">
        <v>15</v>
      </c>
      <c r="P32" t="n">
        <v>0</v>
      </c>
      <c r="Q32" t="n">
        <v>21</v>
      </c>
      <c r="R32"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2">
        <f>HYPERLINK("https://klasma.github.io/Logging_2039/artfynd/A 29779-2025 artfynd.xlsx", "A 29779-2025")</f>
        <v/>
      </c>
      <c r="T32">
        <f>HYPERLINK("https://klasma.github.io/Logging_2039/kartor/A 29779-2025 karta.png", "A 29779-2025")</f>
        <v/>
      </c>
      <c r="V32">
        <f>HYPERLINK("https://klasma.github.io/Logging_2039/klagomål/A 29779-2025 FSC-klagomål.docx", "A 29779-2025")</f>
        <v/>
      </c>
      <c r="W32">
        <f>HYPERLINK("https://klasma.github.io/Logging_2039/klagomålsmail/A 29779-2025 FSC-klagomål mail.docx", "A 29779-2025")</f>
        <v/>
      </c>
      <c r="X32">
        <f>HYPERLINK("https://klasma.github.io/Logging_2039/tillsyn/A 29779-2025 tillsynsbegäran.docx", "A 29779-2025")</f>
        <v/>
      </c>
      <c r="Y32">
        <f>HYPERLINK("https://klasma.github.io/Logging_2039/tillsynsmail/A 29779-2025 tillsynsbegäran mail.docx", "A 29779-2025")</f>
        <v/>
      </c>
      <c r="Z32">
        <f>HYPERLINK("https://klasma.github.io/Logging_2039/fåglar/A 29779-2025 prioriterade fågelarter.docx", "A 29779-2025")</f>
        <v/>
      </c>
    </row>
    <row r="33" ht="15" customHeight="1">
      <c r="A33" t="inlineStr">
        <is>
          <t>A 6679-2025</t>
        </is>
      </c>
      <c r="B33" s="1" t="n">
        <v>45700</v>
      </c>
      <c r="C33" s="1" t="n">
        <v>46114</v>
      </c>
      <c r="D33" t="inlineStr">
        <is>
          <t>DALARNAS LÄN</t>
        </is>
      </c>
      <c r="E33" t="inlineStr">
        <is>
          <t>ÄLVDALEN</t>
        </is>
      </c>
      <c r="F33" t="inlineStr">
        <is>
          <t>Allmännings- och besparingsskogar</t>
        </is>
      </c>
      <c r="G33" t="n">
        <v>27.8</v>
      </c>
      <c r="H33" t="n">
        <v>6</v>
      </c>
      <c r="I33" t="n">
        <v>4</v>
      </c>
      <c r="J33" t="n">
        <v>15</v>
      </c>
      <c r="K33" t="n">
        <v>0</v>
      </c>
      <c r="L33" t="n">
        <v>0</v>
      </c>
      <c r="M33" t="n">
        <v>0</v>
      </c>
      <c r="N33" t="n">
        <v>0</v>
      </c>
      <c r="O33" t="n">
        <v>15</v>
      </c>
      <c r="P33" t="n">
        <v>0</v>
      </c>
      <c r="Q33" t="n">
        <v>21</v>
      </c>
      <c r="R33"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3">
        <f>HYPERLINK("https://klasma.github.io/Logging_2039/artfynd/A 6679-2025 artfynd.xlsx", "A 6679-2025")</f>
        <v/>
      </c>
      <c r="T33">
        <f>HYPERLINK("https://klasma.github.io/Logging_2039/kartor/A 6679-2025 karta.png", "A 6679-2025")</f>
        <v/>
      </c>
      <c r="V33">
        <f>HYPERLINK("https://klasma.github.io/Logging_2039/klagomål/A 6679-2025 FSC-klagomål.docx", "A 6679-2025")</f>
        <v/>
      </c>
      <c r="W33">
        <f>HYPERLINK("https://klasma.github.io/Logging_2039/klagomålsmail/A 6679-2025 FSC-klagomål mail.docx", "A 6679-2025")</f>
        <v/>
      </c>
      <c r="X33">
        <f>HYPERLINK("https://klasma.github.io/Logging_2039/tillsyn/A 6679-2025 tillsynsbegäran.docx", "A 6679-2025")</f>
        <v/>
      </c>
      <c r="Y33">
        <f>HYPERLINK("https://klasma.github.io/Logging_2039/tillsynsmail/A 6679-2025 tillsynsbegäran mail.docx", "A 6679-2025")</f>
        <v/>
      </c>
      <c r="Z33">
        <f>HYPERLINK("https://klasma.github.io/Logging_2039/fåglar/A 6679-2025 prioriterade fågelarter.docx", "A 6679-2025")</f>
        <v/>
      </c>
    </row>
    <row r="34" ht="15" customHeight="1">
      <c r="A34" t="inlineStr">
        <is>
          <t>A 4832-2026</t>
        </is>
      </c>
      <c r="B34" s="1" t="n">
        <v>46048.60064814815</v>
      </c>
      <c r="C34" s="1" t="n">
        <v>46114</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46114</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46114</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25649-2025</t>
        </is>
      </c>
      <c r="B37" s="1" t="n">
        <v>45803</v>
      </c>
      <c r="C37" s="1" t="n">
        <v>46114</v>
      </c>
      <c r="D37" t="inlineStr">
        <is>
          <t>DALARNAS LÄN</t>
        </is>
      </c>
      <c r="E37" t="inlineStr">
        <is>
          <t>ÄLVDALEN</t>
        </is>
      </c>
      <c r="F37" t="inlineStr">
        <is>
          <t>Allmännings- och besparingsskogar</t>
        </is>
      </c>
      <c r="G37" t="n">
        <v>31.3</v>
      </c>
      <c r="H37" t="n">
        <v>6</v>
      </c>
      <c r="I37" t="n">
        <v>3</v>
      </c>
      <c r="J37" t="n">
        <v>13</v>
      </c>
      <c r="K37" t="n">
        <v>0</v>
      </c>
      <c r="L37" t="n">
        <v>0</v>
      </c>
      <c r="M37" t="n">
        <v>0</v>
      </c>
      <c r="N37" t="n">
        <v>0</v>
      </c>
      <c r="O37" t="n">
        <v>13</v>
      </c>
      <c r="P37" t="n">
        <v>0</v>
      </c>
      <c r="Q37" t="n">
        <v>20</v>
      </c>
      <c r="R37"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7">
        <f>HYPERLINK("https://klasma.github.io/Logging_2039/artfynd/A 25649-2025 artfynd.xlsx", "A 25649-2025")</f>
        <v/>
      </c>
      <c r="T37">
        <f>HYPERLINK("https://klasma.github.io/Logging_2039/kartor/A 25649-2025 karta.png", "A 25649-2025")</f>
        <v/>
      </c>
      <c r="V37">
        <f>HYPERLINK("https://klasma.github.io/Logging_2039/klagomål/A 25649-2025 FSC-klagomål.docx", "A 25649-2025")</f>
        <v/>
      </c>
      <c r="W37">
        <f>HYPERLINK("https://klasma.github.io/Logging_2039/klagomålsmail/A 25649-2025 FSC-klagomål mail.docx", "A 25649-2025")</f>
        <v/>
      </c>
      <c r="X37">
        <f>HYPERLINK("https://klasma.github.io/Logging_2039/tillsyn/A 25649-2025 tillsynsbegäran.docx", "A 25649-2025")</f>
        <v/>
      </c>
      <c r="Y37">
        <f>HYPERLINK("https://klasma.github.io/Logging_2039/tillsynsmail/A 25649-2025 tillsynsbegäran mail.docx", "A 25649-2025")</f>
        <v/>
      </c>
      <c r="Z37">
        <f>HYPERLINK("https://klasma.github.io/Logging_2039/fåglar/A 25649-2025 prioriterade fågelarter.docx", "A 25649-2025")</f>
        <v/>
      </c>
    </row>
    <row r="38" ht="15" customHeight="1">
      <c r="A38" t="inlineStr">
        <is>
          <t>A 58003-2025</t>
        </is>
      </c>
      <c r="B38" s="1" t="n">
        <v>45982.44465277778</v>
      </c>
      <c r="C38" s="1" t="n">
        <v>46114</v>
      </c>
      <c r="D38" t="inlineStr">
        <is>
          <t>DALARNAS LÄN</t>
        </is>
      </c>
      <c r="E38" t="inlineStr">
        <is>
          <t>MORA</t>
        </is>
      </c>
      <c r="F38" t="inlineStr">
        <is>
          <t>Allmännings- och besparingsskogar</t>
        </is>
      </c>
      <c r="G38" t="n">
        <v>12.3</v>
      </c>
      <c r="H38" t="n">
        <v>3</v>
      </c>
      <c r="I38" t="n">
        <v>5</v>
      </c>
      <c r="J38" t="n">
        <v>14</v>
      </c>
      <c r="K38" t="n">
        <v>0</v>
      </c>
      <c r="L38" t="n">
        <v>0</v>
      </c>
      <c r="M38" t="n">
        <v>0</v>
      </c>
      <c r="N38" t="n">
        <v>0</v>
      </c>
      <c r="O38" t="n">
        <v>14</v>
      </c>
      <c r="P38" t="n">
        <v>0</v>
      </c>
      <c r="Q38" t="n">
        <v>20</v>
      </c>
      <c r="R38"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8">
        <f>HYPERLINK("https://klasma.github.io/Logging_2062/artfynd/A 58003-2025 artfynd.xlsx", "A 58003-2025")</f>
        <v/>
      </c>
      <c r="T38">
        <f>HYPERLINK("https://klasma.github.io/Logging_2062/kartor/A 58003-2025 karta.png", "A 58003-2025")</f>
        <v/>
      </c>
      <c r="V38">
        <f>HYPERLINK("https://klasma.github.io/Logging_2062/klagomål/A 58003-2025 FSC-klagomål.docx", "A 58003-2025")</f>
        <v/>
      </c>
      <c r="W38">
        <f>HYPERLINK("https://klasma.github.io/Logging_2062/klagomålsmail/A 58003-2025 FSC-klagomål mail.docx", "A 58003-2025")</f>
        <v/>
      </c>
      <c r="X38">
        <f>HYPERLINK("https://klasma.github.io/Logging_2062/tillsyn/A 58003-2025 tillsynsbegäran.docx", "A 58003-2025")</f>
        <v/>
      </c>
      <c r="Y38">
        <f>HYPERLINK("https://klasma.github.io/Logging_2062/tillsynsmail/A 58003-2025 tillsynsbegäran mail.docx", "A 58003-2025")</f>
        <v/>
      </c>
      <c r="Z38">
        <f>HYPERLINK("https://klasma.github.io/Logging_2062/fåglar/A 58003-2025 prioriterade fågelarter.docx", "A 58003-2025")</f>
        <v/>
      </c>
    </row>
    <row r="39" ht="15" customHeight="1">
      <c r="A39" t="inlineStr">
        <is>
          <t>A 59850-2022</t>
        </is>
      </c>
      <c r="B39" s="1" t="n">
        <v>44901</v>
      </c>
      <c r="C39" s="1" t="n">
        <v>46114</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46800-2025</t>
        </is>
      </c>
      <c r="B40" s="1" t="n">
        <v>45926</v>
      </c>
      <c r="C40" s="1" t="n">
        <v>46114</v>
      </c>
      <c r="D40" t="inlineStr">
        <is>
          <t>DALARNAS LÄN</t>
        </is>
      </c>
      <c r="E40" t="inlineStr">
        <is>
          <t>ÄLVDALEN</t>
        </is>
      </c>
      <c r="F40" t="inlineStr">
        <is>
          <t>Allmännings- och besparingsskogar</t>
        </is>
      </c>
      <c r="G40" t="n">
        <v>38.5</v>
      </c>
      <c r="H40" t="n">
        <v>5</v>
      </c>
      <c r="I40" t="n">
        <v>2</v>
      </c>
      <c r="J40" t="n">
        <v>13</v>
      </c>
      <c r="K40" t="n">
        <v>2</v>
      </c>
      <c r="L40" t="n">
        <v>0</v>
      </c>
      <c r="M40" t="n">
        <v>0</v>
      </c>
      <c r="N40" t="n">
        <v>0</v>
      </c>
      <c r="O40" t="n">
        <v>15</v>
      </c>
      <c r="P40" t="n">
        <v>2</v>
      </c>
      <c r="Q40" t="n">
        <v>19</v>
      </c>
      <c r="R40"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0">
        <f>HYPERLINK("https://klasma.github.io/Logging_2039/artfynd/A 46800-2025 artfynd.xlsx", "A 46800-2025")</f>
        <v/>
      </c>
      <c r="T40">
        <f>HYPERLINK("https://klasma.github.io/Logging_2039/kartor/A 46800-2025 karta.png", "A 46800-2025")</f>
        <v/>
      </c>
      <c r="V40">
        <f>HYPERLINK("https://klasma.github.io/Logging_2039/klagomål/A 46800-2025 FSC-klagomål.docx", "A 46800-2025")</f>
        <v/>
      </c>
      <c r="W40">
        <f>HYPERLINK("https://klasma.github.io/Logging_2039/klagomålsmail/A 46800-2025 FSC-klagomål mail.docx", "A 46800-2025")</f>
        <v/>
      </c>
      <c r="X40">
        <f>HYPERLINK("https://klasma.github.io/Logging_2039/tillsyn/A 46800-2025 tillsynsbegäran.docx", "A 46800-2025")</f>
        <v/>
      </c>
      <c r="Y40">
        <f>HYPERLINK("https://klasma.github.io/Logging_2039/tillsynsmail/A 46800-2025 tillsynsbegäran mail.docx", "A 46800-2025")</f>
        <v/>
      </c>
      <c r="Z40">
        <f>HYPERLINK("https://klasma.github.io/Logging_2039/fåglar/A 46800-2025 prioriterade fågelarter.docx", "A 46800-2025")</f>
        <v/>
      </c>
    </row>
    <row r="41" ht="15" customHeight="1">
      <c r="A41" t="inlineStr">
        <is>
          <t>A 50497-2025</t>
        </is>
      </c>
      <c r="B41" s="1" t="n">
        <v>45945.41504629629</v>
      </c>
      <c r="C41" s="1" t="n">
        <v>46114</v>
      </c>
      <c r="D41" t="inlineStr">
        <is>
          <t>DALARNAS LÄN</t>
        </is>
      </c>
      <c r="E41" t="inlineStr">
        <is>
          <t>ÄLVDALEN</t>
        </is>
      </c>
      <c r="F41" t="inlineStr">
        <is>
          <t>Allmännings- och besparingsskogar</t>
        </is>
      </c>
      <c r="G41" t="n">
        <v>21</v>
      </c>
      <c r="H41" t="n">
        <v>6</v>
      </c>
      <c r="I41" t="n">
        <v>4</v>
      </c>
      <c r="J41" t="n">
        <v>11</v>
      </c>
      <c r="K41" t="n">
        <v>1</v>
      </c>
      <c r="L41" t="n">
        <v>0</v>
      </c>
      <c r="M41" t="n">
        <v>0</v>
      </c>
      <c r="N41" t="n">
        <v>0</v>
      </c>
      <c r="O41" t="n">
        <v>12</v>
      </c>
      <c r="P41" t="n">
        <v>1</v>
      </c>
      <c r="Q41" t="n">
        <v>19</v>
      </c>
      <c r="R41" s="2" t="inlineStr">
        <is>
          <t>Rynkskinn
Dvärgbägarlav
Garnlav
Kolflarnlav
Mörk kolflarnlav
Spillkråka
Tallticka
Talltita
Tretåig hackspett
Vedflamlav
Vedskivlav
Vitgrynig nållav
Dropptaggsvamp
Mindre märgborre
Trådticka
Vedticka
Kungsfågel
Tjäder
Revlummer</t>
        </is>
      </c>
      <c r="S41">
        <f>HYPERLINK("https://klasma.github.io/Logging_2039/artfynd/A 50497-2025 artfynd.xlsx", "A 50497-2025")</f>
        <v/>
      </c>
      <c r="T41">
        <f>HYPERLINK("https://klasma.github.io/Logging_2039/kartor/A 50497-2025 karta.png", "A 50497-2025")</f>
        <v/>
      </c>
      <c r="V41">
        <f>HYPERLINK("https://klasma.github.io/Logging_2039/klagomål/A 50497-2025 FSC-klagomål.docx", "A 50497-2025")</f>
        <v/>
      </c>
      <c r="W41">
        <f>HYPERLINK("https://klasma.github.io/Logging_2039/klagomålsmail/A 50497-2025 FSC-klagomål mail.docx", "A 50497-2025")</f>
        <v/>
      </c>
      <c r="X41">
        <f>HYPERLINK("https://klasma.github.io/Logging_2039/tillsyn/A 50497-2025 tillsynsbegäran.docx", "A 50497-2025")</f>
        <v/>
      </c>
      <c r="Y41">
        <f>HYPERLINK("https://klasma.github.io/Logging_2039/tillsynsmail/A 50497-2025 tillsynsbegäran mail.docx", "A 50497-2025")</f>
        <v/>
      </c>
      <c r="Z41">
        <f>HYPERLINK("https://klasma.github.io/Logging_2039/fåglar/A 50497-2025 prioriterade fågelarter.docx", "A 50497-2025")</f>
        <v/>
      </c>
    </row>
    <row r="42" ht="15" customHeight="1">
      <c r="A42" t="inlineStr">
        <is>
          <t>A 30543-2024</t>
        </is>
      </c>
      <c r="B42" s="1" t="n">
        <v>45492</v>
      </c>
      <c r="C42" s="1" t="n">
        <v>46114</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46114</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47417-2023</t>
        </is>
      </c>
      <c r="B44" s="1" t="n">
        <v>45202</v>
      </c>
      <c r="C44" s="1" t="n">
        <v>46114</v>
      </c>
      <c r="D44" t="inlineStr">
        <is>
          <t>DALARNAS LÄN</t>
        </is>
      </c>
      <c r="E44" t="inlineStr">
        <is>
          <t>FALUN</t>
        </is>
      </c>
      <c r="G44" t="n">
        <v>18.5</v>
      </c>
      <c r="H44" t="n">
        <v>7</v>
      </c>
      <c r="I44" t="n">
        <v>6</v>
      </c>
      <c r="J44" t="n">
        <v>5</v>
      </c>
      <c r="K44" t="n">
        <v>3</v>
      </c>
      <c r="L44" t="n">
        <v>0</v>
      </c>
      <c r="M44" t="n">
        <v>0</v>
      </c>
      <c r="N44" t="n">
        <v>0</v>
      </c>
      <c r="O44" t="n">
        <v>8</v>
      </c>
      <c r="P44" t="n">
        <v>3</v>
      </c>
      <c r="Q44" t="n">
        <v>18</v>
      </c>
      <c r="R44" s="2" t="inlineStr">
        <is>
          <t>Knärot
Rostskinn
Rynkskinn
Motaggsvamp
Rosenticka
Spillkråka
Tallkötticka
Ullticka
Bronshjon
Gullgröppa
Mindre märgborre
Plattlummer
Thomsons trägnagare
Vågbandad barkbock
Kungsfågel
Vanlig padda
Blåsippa
Mattlummer</t>
        </is>
      </c>
      <c r="S44">
        <f>HYPERLINK("https://klasma.github.io/Logging_2080/artfynd/A 47417-2023 artfynd.xlsx", "A 47417-2023")</f>
        <v/>
      </c>
      <c r="T44">
        <f>HYPERLINK("https://klasma.github.io/Logging_2080/kartor/A 47417-2023 karta.png", "A 47417-2023")</f>
        <v/>
      </c>
      <c r="U44">
        <f>HYPERLINK("https://klasma.github.io/Logging_2080/knärot/A 47417-2023 karta knärot.png", "A 47417-2023")</f>
        <v/>
      </c>
      <c r="V44">
        <f>HYPERLINK("https://klasma.github.io/Logging_2080/klagomål/A 47417-2023 FSC-klagomål.docx", "A 47417-2023")</f>
        <v/>
      </c>
      <c r="W44">
        <f>HYPERLINK("https://klasma.github.io/Logging_2080/klagomålsmail/A 47417-2023 FSC-klagomål mail.docx", "A 47417-2023")</f>
        <v/>
      </c>
      <c r="X44">
        <f>HYPERLINK("https://klasma.github.io/Logging_2080/tillsyn/A 47417-2023 tillsynsbegäran.docx", "A 47417-2023")</f>
        <v/>
      </c>
      <c r="Y44">
        <f>HYPERLINK("https://klasma.github.io/Logging_2080/tillsynsmail/A 47417-2023 tillsynsbegäran mail.docx", "A 47417-2023")</f>
        <v/>
      </c>
      <c r="Z44">
        <f>HYPERLINK("https://klasma.github.io/Logging_2080/fåglar/A 47417-2023 prioriterade fågelarter.docx", "A 47417-2023")</f>
        <v/>
      </c>
    </row>
    <row r="45" ht="15" customHeight="1">
      <c r="A45" t="inlineStr">
        <is>
          <t>A 31144-2024</t>
        </is>
      </c>
      <c r="B45" s="1" t="n">
        <v>45502</v>
      </c>
      <c r="C45" s="1" t="n">
        <v>46114</v>
      </c>
      <c r="D45" t="inlineStr">
        <is>
          <t>DALARNAS LÄN</t>
        </is>
      </c>
      <c r="E45" t="inlineStr">
        <is>
          <t>ÄLVDALEN</t>
        </is>
      </c>
      <c r="G45" t="n">
        <v>6.7</v>
      </c>
      <c r="H45" t="n">
        <v>4</v>
      </c>
      <c r="I45" t="n">
        <v>4</v>
      </c>
      <c r="J45" t="n">
        <v>12</v>
      </c>
      <c r="K45" t="n">
        <v>0</v>
      </c>
      <c r="L45" t="n">
        <v>0</v>
      </c>
      <c r="M45" t="n">
        <v>0</v>
      </c>
      <c r="N45" t="n">
        <v>0</v>
      </c>
      <c r="O45" t="n">
        <v>12</v>
      </c>
      <c r="P45" t="n">
        <v>0</v>
      </c>
      <c r="Q45" t="n">
        <v>18</v>
      </c>
      <c r="R45" s="2" t="inlineStr">
        <is>
          <t>Garnlav
Granticka
Kolflarnlav
Mörk kolflarnlav
Svart taggsvamp agg.
Tallriska
Talltita
Tretåig hackspett
Ullticka
Vedskivlav
Vedtrappmossa
Vitgrynig nållav
Bronshjon
Källpraktmossa
Norrlandslav
Tibast
Mattlummer
Revlummer</t>
        </is>
      </c>
      <c r="S45">
        <f>HYPERLINK("https://klasma.github.io/Logging_2039/artfynd/A 31144-2024 artfynd.xlsx", "A 31144-2024")</f>
        <v/>
      </c>
      <c r="T45">
        <f>HYPERLINK("https://klasma.github.io/Logging_2039/kartor/A 31144-2024 karta.png", "A 31144-2024")</f>
        <v/>
      </c>
      <c r="V45">
        <f>HYPERLINK("https://klasma.github.io/Logging_2039/klagomål/A 31144-2024 FSC-klagomål.docx", "A 31144-2024")</f>
        <v/>
      </c>
      <c r="W45">
        <f>HYPERLINK("https://klasma.github.io/Logging_2039/klagomålsmail/A 31144-2024 FSC-klagomål mail.docx", "A 31144-2024")</f>
        <v/>
      </c>
      <c r="X45">
        <f>HYPERLINK("https://klasma.github.io/Logging_2039/tillsyn/A 31144-2024 tillsynsbegäran.docx", "A 31144-2024")</f>
        <v/>
      </c>
      <c r="Y45">
        <f>HYPERLINK("https://klasma.github.io/Logging_2039/tillsynsmail/A 31144-2024 tillsynsbegäran mail.docx", "A 31144-2024")</f>
        <v/>
      </c>
      <c r="Z45">
        <f>HYPERLINK("https://klasma.github.io/Logging_2039/fåglar/A 31144-2024 prioriterade fågelarter.docx", "A 31144-2024")</f>
        <v/>
      </c>
    </row>
    <row r="46" ht="15" customHeight="1">
      <c r="A46" t="inlineStr">
        <is>
          <t>A 3171-2026</t>
        </is>
      </c>
      <c r="B46" s="1" t="n">
        <v>46041.44153935185</v>
      </c>
      <c r="C46" s="1" t="n">
        <v>46114</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3171-2026 artfynd.xlsx", "A 3171-2026")</f>
        <v/>
      </c>
      <c r="T46">
        <f>HYPERLINK("https://klasma.github.io/Logging_2034/kartor/A 3171-2026 karta.png", "A 3171-2026")</f>
        <v/>
      </c>
      <c r="V46">
        <f>HYPERLINK("https://klasma.github.io/Logging_2034/klagomål/A 3171-2026 FSC-klagomål.docx", "A 3171-2026")</f>
        <v/>
      </c>
      <c r="W46">
        <f>HYPERLINK("https://klasma.github.io/Logging_2034/klagomålsmail/A 3171-2026 FSC-klagomål mail.docx", "A 3171-2026")</f>
        <v/>
      </c>
      <c r="X46">
        <f>HYPERLINK("https://klasma.github.io/Logging_2034/tillsyn/A 3171-2026 tillsynsbegäran.docx", "A 3171-2026")</f>
        <v/>
      </c>
      <c r="Y46">
        <f>HYPERLINK("https://klasma.github.io/Logging_2034/tillsynsmail/A 3171-2026 tillsynsbegäran mail.docx", "A 3171-2026")</f>
        <v/>
      </c>
      <c r="Z46">
        <f>HYPERLINK("https://klasma.github.io/Logging_2034/fåglar/A 3171-2026 prioriterade fågelarter.docx", "A 3171-2026")</f>
        <v/>
      </c>
    </row>
    <row r="47" ht="15" customHeight="1">
      <c r="A47" t="inlineStr">
        <is>
          <t>A 3175-2026</t>
        </is>
      </c>
      <c r="B47" s="1" t="n">
        <v>46041.44454861111</v>
      </c>
      <c r="C47" s="1" t="n">
        <v>46114</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3175-2026 artfynd.xlsx", "A 3175-2026")</f>
        <v/>
      </c>
      <c r="T47">
        <f>HYPERLINK("https://klasma.github.io/Logging_2034/kartor/A 3175-2026 karta.png", "A 3175-2026")</f>
        <v/>
      </c>
      <c r="V47">
        <f>HYPERLINK("https://klasma.github.io/Logging_2034/klagomål/A 3175-2026 FSC-klagomål.docx", "A 3175-2026")</f>
        <v/>
      </c>
      <c r="W47">
        <f>HYPERLINK("https://klasma.github.io/Logging_2034/klagomålsmail/A 3175-2026 FSC-klagomål mail.docx", "A 3175-2026")</f>
        <v/>
      </c>
      <c r="X47">
        <f>HYPERLINK("https://klasma.github.io/Logging_2034/tillsyn/A 3175-2026 tillsynsbegäran.docx", "A 3175-2026")</f>
        <v/>
      </c>
      <c r="Y47">
        <f>HYPERLINK("https://klasma.github.io/Logging_2034/tillsynsmail/A 3175-2026 tillsynsbegäran mail.docx", "A 3175-2026")</f>
        <v/>
      </c>
      <c r="Z47">
        <f>HYPERLINK("https://klasma.github.io/Logging_2034/fåglar/A 3175-2026 prioriterade fågelarter.docx", "A 3175-2026")</f>
        <v/>
      </c>
    </row>
    <row r="48" ht="15" customHeight="1">
      <c r="A48" t="inlineStr">
        <is>
          <t>A 42345-2023</t>
        </is>
      </c>
      <c r="B48" s="1" t="n">
        <v>45180</v>
      </c>
      <c r="C48" s="1" t="n">
        <v>46114</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5108-2023</t>
        </is>
      </c>
      <c r="B49" s="1" t="n">
        <v>44958</v>
      </c>
      <c r="C49" s="1" t="n">
        <v>46114</v>
      </c>
      <c r="D49" t="inlineStr">
        <is>
          <t>DALARNAS LÄN</t>
        </is>
      </c>
      <c r="E49" t="inlineStr">
        <is>
          <t>BORLÄNGE</t>
        </is>
      </c>
      <c r="F49" t="inlineStr">
        <is>
          <t>Bergvik skog väst AB</t>
        </is>
      </c>
      <c r="G49" t="n">
        <v>17.7</v>
      </c>
      <c r="H49" t="n">
        <v>9</v>
      </c>
      <c r="I49" t="n">
        <v>5</v>
      </c>
      <c r="J49" t="n">
        <v>6</v>
      </c>
      <c r="K49" t="n">
        <v>1</v>
      </c>
      <c r="L49" t="n">
        <v>0</v>
      </c>
      <c r="M49" t="n">
        <v>0</v>
      </c>
      <c r="N49" t="n">
        <v>0</v>
      </c>
      <c r="O49" t="n">
        <v>7</v>
      </c>
      <c r="P49" t="n">
        <v>1</v>
      </c>
      <c r="Q49" t="n">
        <v>17</v>
      </c>
      <c r="R49" s="2" t="inlineStr">
        <is>
          <t>Knärot
Mindre hackspett
Motaggsvamp
Rosenticka
Spillkråka
Talltita
Ullticka
Fjällig taggsvamp s.str.
Mindre märgborre
Rödgul trumpetsvamp
Skarp dropptaggsvamp
Svavelriska
Grönsiska
Kungsfågel
Mindre flugsnappare
Blåsippa
Revlummer</t>
        </is>
      </c>
      <c r="S49">
        <f>HYPERLINK("https://klasma.github.io/Logging_2081/artfynd/A 5108-2023 artfynd.xlsx", "A 5108-2023")</f>
        <v/>
      </c>
      <c r="T49">
        <f>HYPERLINK("https://klasma.github.io/Logging_2081/kartor/A 5108-2023 karta.png", "A 5108-2023")</f>
        <v/>
      </c>
      <c r="U49">
        <f>HYPERLINK("https://klasma.github.io/Logging_2081/knärot/A 5108-2023 karta knärot.png", "A 5108-2023")</f>
        <v/>
      </c>
      <c r="V49">
        <f>HYPERLINK("https://klasma.github.io/Logging_2081/klagomål/A 5108-2023 FSC-klagomål.docx", "A 5108-2023")</f>
        <v/>
      </c>
      <c r="W49">
        <f>HYPERLINK("https://klasma.github.io/Logging_2081/klagomålsmail/A 5108-2023 FSC-klagomål mail.docx", "A 5108-2023")</f>
        <v/>
      </c>
      <c r="X49">
        <f>HYPERLINK("https://klasma.github.io/Logging_2081/tillsyn/A 5108-2023 tillsynsbegäran.docx", "A 5108-2023")</f>
        <v/>
      </c>
      <c r="Y49">
        <f>HYPERLINK("https://klasma.github.io/Logging_2081/tillsynsmail/A 5108-2023 tillsynsbegäran mail.docx", "A 5108-2023")</f>
        <v/>
      </c>
      <c r="Z49">
        <f>HYPERLINK("https://klasma.github.io/Logging_2081/fåglar/A 5108-2023 prioriterade fågelarter.docx", "A 5108-2023")</f>
        <v/>
      </c>
    </row>
    <row r="50" ht="15" customHeight="1">
      <c r="A50" t="inlineStr">
        <is>
          <t>A 40996-2023</t>
        </is>
      </c>
      <c r="B50" s="1" t="n">
        <v>45173</v>
      </c>
      <c r="C50" s="1" t="n">
        <v>46114</v>
      </c>
      <c r="D50" t="inlineStr">
        <is>
          <t>DALARNAS LÄN</t>
        </is>
      </c>
      <c r="E50" t="inlineStr">
        <is>
          <t>ÄLVDALEN</t>
        </is>
      </c>
      <c r="F50" t="inlineStr">
        <is>
          <t>Bergvik skog väst AB</t>
        </is>
      </c>
      <c r="G50" t="n">
        <v>8</v>
      </c>
      <c r="H50" t="n">
        <v>5</v>
      </c>
      <c r="I50" t="n">
        <v>6</v>
      </c>
      <c r="J50" t="n">
        <v>9</v>
      </c>
      <c r="K50" t="n">
        <v>1</v>
      </c>
      <c r="L50" t="n">
        <v>0</v>
      </c>
      <c r="M50" t="n">
        <v>0</v>
      </c>
      <c r="N50" t="n">
        <v>0</v>
      </c>
      <c r="O50" t="n">
        <v>10</v>
      </c>
      <c r="P50" t="n">
        <v>1</v>
      </c>
      <c r="Q50" t="n">
        <v>17</v>
      </c>
      <c r="R50" s="2" t="inlineStr">
        <is>
          <t>Knärot
Gammelgransskål
Garnlav
Granticka
Gultoppig fingersvamp
Järpe
Skogshare
Spillkråka
Talltita
Ullticka
Mörk husmossa
Rödgul trumpetsvamp
Svavelriska
Trådticka
Vedticka
Ögonpyrola
Gråspett</t>
        </is>
      </c>
      <c r="S50">
        <f>HYPERLINK("https://klasma.github.io/Logging_2039/artfynd/A 40996-2023 artfynd.xlsx", "A 40996-2023")</f>
        <v/>
      </c>
      <c r="T50">
        <f>HYPERLINK("https://klasma.github.io/Logging_2039/kartor/A 40996-2023 karta.png", "A 40996-2023")</f>
        <v/>
      </c>
      <c r="U50">
        <f>HYPERLINK("https://klasma.github.io/Logging_2039/knärot/A 40996-2023 karta knärot.png", "A 40996-2023")</f>
        <v/>
      </c>
      <c r="V50">
        <f>HYPERLINK("https://klasma.github.io/Logging_2039/klagomål/A 40996-2023 FSC-klagomål.docx", "A 40996-2023")</f>
        <v/>
      </c>
      <c r="W50">
        <f>HYPERLINK("https://klasma.github.io/Logging_2039/klagomålsmail/A 40996-2023 FSC-klagomål mail.docx", "A 40996-2023")</f>
        <v/>
      </c>
      <c r="X50">
        <f>HYPERLINK("https://klasma.github.io/Logging_2039/tillsyn/A 40996-2023 tillsynsbegäran.docx", "A 40996-2023")</f>
        <v/>
      </c>
      <c r="Y50">
        <f>HYPERLINK("https://klasma.github.io/Logging_2039/tillsynsmail/A 40996-2023 tillsynsbegäran mail.docx", "A 40996-2023")</f>
        <v/>
      </c>
      <c r="Z50">
        <f>HYPERLINK("https://klasma.github.io/Logging_2039/fåglar/A 40996-2023 prioriterade fågelarter.docx", "A 40996-2023")</f>
        <v/>
      </c>
    </row>
    <row r="51" ht="15" customHeight="1">
      <c r="A51" t="inlineStr">
        <is>
          <t>A 55899-2023</t>
        </is>
      </c>
      <c r="B51" s="1" t="n">
        <v>45239</v>
      </c>
      <c r="C51" s="1" t="n">
        <v>46114</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46114</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46114</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46114</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46114</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46114</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63547-2025</t>
        </is>
      </c>
      <c r="B57" s="1" t="n">
        <v>46013.60013888889</v>
      </c>
      <c r="C57" s="1" t="n">
        <v>46114</v>
      </c>
      <c r="D57" t="inlineStr">
        <is>
          <t>DALARNAS LÄN</t>
        </is>
      </c>
      <c r="E57" t="inlineStr">
        <is>
          <t>LEKSAND</t>
        </is>
      </c>
      <c r="G57" t="n">
        <v>5.9</v>
      </c>
      <c r="H57" t="n">
        <v>7</v>
      </c>
      <c r="I57" t="n">
        <v>7</v>
      </c>
      <c r="J57" t="n">
        <v>6</v>
      </c>
      <c r="K57" t="n">
        <v>1</v>
      </c>
      <c r="L57" t="n">
        <v>0</v>
      </c>
      <c r="M57" t="n">
        <v>0</v>
      </c>
      <c r="N57" t="n">
        <v>0</v>
      </c>
      <c r="O57" t="n">
        <v>7</v>
      </c>
      <c r="P57" t="n">
        <v>1</v>
      </c>
      <c r="Q57" t="n">
        <v>17</v>
      </c>
      <c r="R57" s="2" t="inlineStr">
        <is>
          <t>Knärot
Dofttaggsvamp
Motaggsvamp
Orange taggsvamp
Spillkråka
Talltita
Tretåig hackspett
Bronshjon
Dropptaggsvamp
Gullgröppa
Mindre märgborre
Rödgul trumpetsvamp
Svavelriska
Vedticka
Kungsfågel
Tjäder
Revlummer</t>
        </is>
      </c>
      <c r="S57">
        <f>HYPERLINK("https://klasma.github.io/Logging_2029/artfynd/A 63547-2025 artfynd.xlsx", "A 63547-2025")</f>
        <v/>
      </c>
      <c r="T57">
        <f>HYPERLINK("https://klasma.github.io/Logging_2029/kartor/A 63547-2025 karta.png", "A 63547-2025")</f>
        <v/>
      </c>
      <c r="U57">
        <f>HYPERLINK("https://klasma.github.io/Logging_2029/knärot/A 63547-2025 karta knärot.png", "A 63547-2025")</f>
        <v/>
      </c>
      <c r="V57">
        <f>HYPERLINK("https://klasma.github.io/Logging_2029/klagomål/A 63547-2025 FSC-klagomål.docx", "A 63547-2025")</f>
        <v/>
      </c>
      <c r="W57">
        <f>HYPERLINK("https://klasma.github.io/Logging_2029/klagomålsmail/A 63547-2025 FSC-klagomål mail.docx", "A 63547-2025")</f>
        <v/>
      </c>
      <c r="X57">
        <f>HYPERLINK("https://klasma.github.io/Logging_2029/tillsyn/A 63547-2025 tillsynsbegäran.docx", "A 63547-2025")</f>
        <v/>
      </c>
      <c r="Y57">
        <f>HYPERLINK("https://klasma.github.io/Logging_2029/tillsynsmail/A 63547-2025 tillsynsbegäran mail.docx", "A 63547-2025")</f>
        <v/>
      </c>
      <c r="Z57">
        <f>HYPERLINK("https://klasma.github.io/Logging_2029/fåglar/A 63547-2025 prioriterade fågelarter.docx", "A 63547-2025")</f>
        <v/>
      </c>
    </row>
    <row r="58" ht="15" customHeight="1">
      <c r="A58" t="inlineStr">
        <is>
          <t>A 47905-2023</t>
        </is>
      </c>
      <c r="B58" s="1" t="n">
        <v>45204</v>
      </c>
      <c r="C58" s="1" t="n">
        <v>46114</v>
      </c>
      <c r="D58" t="inlineStr">
        <is>
          <t>DALARNAS LÄN</t>
        </is>
      </c>
      <c r="E58" t="inlineStr">
        <is>
          <t>ORSA</t>
        </is>
      </c>
      <c r="F58" t="inlineStr">
        <is>
          <t>Allmännings- och besparingsskogar</t>
        </is>
      </c>
      <c r="G58" t="n">
        <v>9.300000000000001</v>
      </c>
      <c r="H58" t="n">
        <v>1</v>
      </c>
      <c r="I58" t="n">
        <v>8</v>
      </c>
      <c r="J58" t="n">
        <v>9</v>
      </c>
      <c r="K58" t="n">
        <v>0</v>
      </c>
      <c r="L58" t="n">
        <v>0</v>
      </c>
      <c r="M58" t="n">
        <v>0</v>
      </c>
      <c r="N58" t="n">
        <v>0</v>
      </c>
      <c r="O58" t="n">
        <v>9</v>
      </c>
      <c r="P58" t="n">
        <v>0</v>
      </c>
      <c r="Q58" t="n">
        <v>17</v>
      </c>
      <c r="R58" s="2" t="inlineStr">
        <is>
          <t>Blanksvart spiklav
Dvärgbägarlav
Garnlav
Kolflarnlav
Mörk kolflarnlav
Spillkråka
Vedflamlav
Vedskivlav
Violettgrå tagellav
Dropptaggsvamp
Flagellkvastmossa
Norrlandslav
Nästlav
Skarp dropptaggsvamp
Skinnlav
Stuplav
Vågbandad barkbock</t>
        </is>
      </c>
      <c r="S58">
        <f>HYPERLINK("https://klasma.github.io/Logging_2034/artfynd/A 47905-2023 artfynd.xlsx", "A 47905-2023")</f>
        <v/>
      </c>
      <c r="T58">
        <f>HYPERLINK("https://klasma.github.io/Logging_2034/kartor/A 47905-2023 karta.png", "A 47905-2023")</f>
        <v/>
      </c>
      <c r="V58">
        <f>HYPERLINK("https://klasma.github.io/Logging_2034/klagomål/A 47905-2023 FSC-klagomål.docx", "A 47905-2023")</f>
        <v/>
      </c>
      <c r="W58">
        <f>HYPERLINK("https://klasma.github.io/Logging_2034/klagomålsmail/A 47905-2023 FSC-klagomål mail.docx", "A 47905-2023")</f>
        <v/>
      </c>
      <c r="X58">
        <f>HYPERLINK("https://klasma.github.io/Logging_2034/tillsyn/A 47905-2023 tillsynsbegäran.docx", "A 47905-2023")</f>
        <v/>
      </c>
      <c r="Y58">
        <f>HYPERLINK("https://klasma.github.io/Logging_2034/tillsynsmail/A 47905-2023 tillsynsbegäran mail.docx", "A 47905-2023")</f>
        <v/>
      </c>
      <c r="Z58">
        <f>HYPERLINK("https://klasma.github.io/Logging_2034/fåglar/A 47905-2023 prioriterade fågelarter.docx", "A 47905-2023")</f>
        <v/>
      </c>
    </row>
    <row r="59" ht="15" customHeight="1">
      <c r="A59" t="inlineStr">
        <is>
          <t>A 45199-2025</t>
        </is>
      </c>
      <c r="B59" s="1" t="n">
        <v>45919</v>
      </c>
      <c r="C59" s="1" t="n">
        <v>46114</v>
      </c>
      <c r="D59" t="inlineStr">
        <is>
          <t>DALARNAS LÄN</t>
        </is>
      </c>
      <c r="E59" t="inlineStr">
        <is>
          <t>MORA</t>
        </is>
      </c>
      <c r="G59" t="n">
        <v>12.1</v>
      </c>
      <c r="H59" t="n">
        <v>4</v>
      </c>
      <c r="I59" t="n">
        <v>3</v>
      </c>
      <c r="J59" t="n">
        <v>11</v>
      </c>
      <c r="K59" t="n">
        <v>2</v>
      </c>
      <c r="L59" t="n">
        <v>0</v>
      </c>
      <c r="M59" t="n">
        <v>0</v>
      </c>
      <c r="N59" t="n">
        <v>0</v>
      </c>
      <c r="O59" t="n">
        <v>13</v>
      </c>
      <c r="P59" t="n">
        <v>2</v>
      </c>
      <c r="Q59" t="n">
        <v>17</v>
      </c>
      <c r="R59" s="2" t="inlineStr">
        <is>
          <t>Fläckporing
Smalfotad taggsvamp
Dvärgbägarlav
Garnlav
Nordtagging
Spillkråka
Tallticka
Talltita
Tretåig hackspett
Vaddporing
Vedskivlav
Violettgrå tagellav
Vitplätt
Dvärgtufs
Mindre märgborre
Stuplav
Tjäder</t>
        </is>
      </c>
      <c r="S59">
        <f>HYPERLINK("https://klasma.github.io/Logging_2062/artfynd/A 45199-2025 artfynd.xlsx", "A 45199-2025")</f>
        <v/>
      </c>
      <c r="T59">
        <f>HYPERLINK("https://klasma.github.io/Logging_2062/kartor/A 45199-2025 karta.png", "A 45199-2025")</f>
        <v/>
      </c>
      <c r="V59">
        <f>HYPERLINK("https://klasma.github.io/Logging_2062/klagomål/A 45199-2025 FSC-klagomål.docx", "A 45199-2025")</f>
        <v/>
      </c>
      <c r="W59">
        <f>HYPERLINK("https://klasma.github.io/Logging_2062/klagomålsmail/A 45199-2025 FSC-klagomål mail.docx", "A 45199-2025")</f>
        <v/>
      </c>
      <c r="X59">
        <f>HYPERLINK("https://klasma.github.io/Logging_2062/tillsyn/A 45199-2025 tillsynsbegäran.docx", "A 45199-2025")</f>
        <v/>
      </c>
      <c r="Y59">
        <f>HYPERLINK("https://klasma.github.io/Logging_2062/tillsynsmail/A 45199-2025 tillsynsbegäran mail.docx", "A 45199-2025")</f>
        <v/>
      </c>
      <c r="Z59">
        <f>HYPERLINK("https://klasma.github.io/Logging_2062/fåglar/A 45199-2025 prioriterade fågelarter.docx", "A 45199-2025")</f>
        <v/>
      </c>
    </row>
    <row r="60" ht="15" customHeight="1">
      <c r="A60" t="inlineStr">
        <is>
          <t>A 41639-2025</t>
        </is>
      </c>
      <c r="B60" s="1" t="n">
        <v>45901</v>
      </c>
      <c r="C60" s="1" t="n">
        <v>46114</v>
      </c>
      <c r="D60" t="inlineStr">
        <is>
          <t>DALARNAS LÄN</t>
        </is>
      </c>
      <c r="E60" t="inlineStr">
        <is>
          <t>ÄLVDALEN</t>
        </is>
      </c>
      <c r="F60" t="inlineStr">
        <is>
          <t>Övriga statliga verk och myndigheter</t>
        </is>
      </c>
      <c r="G60" t="n">
        <v>27.8</v>
      </c>
      <c r="H60" t="n">
        <v>6</v>
      </c>
      <c r="I60" t="n">
        <v>2</v>
      </c>
      <c r="J60" t="n">
        <v>11</v>
      </c>
      <c r="K60" t="n">
        <v>1</v>
      </c>
      <c r="L60" t="n">
        <v>0</v>
      </c>
      <c r="M60" t="n">
        <v>0</v>
      </c>
      <c r="N60" t="n">
        <v>0</v>
      </c>
      <c r="O60" t="n">
        <v>12</v>
      </c>
      <c r="P60" t="n">
        <v>1</v>
      </c>
      <c r="Q60" t="n">
        <v>17</v>
      </c>
      <c r="R60" s="2" t="inlineStr">
        <is>
          <t>Spadskinn
Blågrå svartspik
Dvärgbägarlav
Garnlav
Kolflarnlav
Mörk kolflarnlav
Rödvingetrast
Spillkråka
Tretåig hackspett
Ullticka
Vedflamlav
Vedskivlav
Dropptaggsvamp
Mindre märgborre
Kungsfågel
Tjäder
Revlummer</t>
        </is>
      </c>
      <c r="S60">
        <f>HYPERLINK("https://klasma.github.io/Logging_2039/artfynd/A 41639-2025 artfynd.xlsx", "A 41639-2025")</f>
        <v/>
      </c>
      <c r="T60">
        <f>HYPERLINK("https://klasma.github.io/Logging_2039/kartor/A 41639-2025 karta.png", "A 41639-2025")</f>
        <v/>
      </c>
      <c r="V60">
        <f>HYPERLINK("https://klasma.github.io/Logging_2039/klagomål/A 41639-2025 FSC-klagomål.docx", "A 41639-2025")</f>
        <v/>
      </c>
      <c r="W60">
        <f>HYPERLINK("https://klasma.github.io/Logging_2039/klagomålsmail/A 41639-2025 FSC-klagomål mail.docx", "A 41639-2025")</f>
        <v/>
      </c>
      <c r="X60">
        <f>HYPERLINK("https://klasma.github.io/Logging_2039/tillsyn/A 41639-2025 tillsynsbegäran.docx", "A 41639-2025")</f>
        <v/>
      </c>
      <c r="Y60">
        <f>HYPERLINK("https://klasma.github.io/Logging_2039/tillsynsmail/A 41639-2025 tillsynsbegäran mail.docx", "A 41639-2025")</f>
        <v/>
      </c>
      <c r="Z60">
        <f>HYPERLINK("https://klasma.github.io/Logging_2039/fåglar/A 41639-2025 prioriterade fågelarter.docx", "A 41639-2025")</f>
        <v/>
      </c>
    </row>
    <row r="61" ht="15" customHeight="1">
      <c r="A61" t="inlineStr">
        <is>
          <t>A 37099-2024</t>
        </is>
      </c>
      <c r="B61" s="1" t="n">
        <v>45539</v>
      </c>
      <c r="C61" s="1" t="n">
        <v>46114</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52487-2024</t>
        </is>
      </c>
      <c r="B62" s="1" t="n">
        <v>45609</v>
      </c>
      <c r="C62" s="1" t="n">
        <v>46114</v>
      </c>
      <c r="D62" t="inlineStr">
        <is>
          <t>DALARNAS LÄN</t>
        </is>
      </c>
      <c r="E62" t="inlineStr">
        <is>
          <t>ORSA</t>
        </is>
      </c>
      <c r="G62" t="n">
        <v>9.199999999999999</v>
      </c>
      <c r="H62" t="n">
        <v>1</v>
      </c>
      <c r="I62" t="n">
        <v>4</v>
      </c>
      <c r="J62" t="n">
        <v>10</v>
      </c>
      <c r="K62" t="n">
        <v>3</v>
      </c>
      <c r="L62" t="n">
        <v>0</v>
      </c>
      <c r="M62" t="n">
        <v>0</v>
      </c>
      <c r="N62" t="n">
        <v>0</v>
      </c>
      <c r="O62" t="n">
        <v>13</v>
      </c>
      <c r="P62" t="n">
        <v>3</v>
      </c>
      <c r="Q62" t="n">
        <v>17</v>
      </c>
      <c r="R62" s="2" t="inlineStr">
        <is>
          <t>Goliatmusseron
Spadskinn
Torrmusseron
Blå taggsvamp
Dvärgbägarlav
Garnlav
Mjölsvärting
Motaggsvamp
Orange taggsvamp
Skrovlig taggsvamp
Svart taggsvamp agg.
Talltita
Vedskivlav
Dropptaggsvamp
Mindre märgborre
Rökmusseron
Tallfingersvamp</t>
        </is>
      </c>
      <c r="S62">
        <f>HYPERLINK("https://klasma.github.io/Logging_2034/artfynd/A 52487-2024 artfynd.xlsx", "A 52487-2024")</f>
        <v/>
      </c>
      <c r="T62">
        <f>HYPERLINK("https://klasma.github.io/Logging_2034/kartor/A 52487-2024 karta.png", "A 52487-2024")</f>
        <v/>
      </c>
      <c r="V62">
        <f>HYPERLINK("https://klasma.github.io/Logging_2034/klagomål/A 52487-2024 FSC-klagomål.docx", "A 52487-2024")</f>
        <v/>
      </c>
      <c r="W62">
        <f>HYPERLINK("https://klasma.github.io/Logging_2034/klagomålsmail/A 52487-2024 FSC-klagomål mail.docx", "A 52487-2024")</f>
        <v/>
      </c>
      <c r="X62">
        <f>HYPERLINK("https://klasma.github.io/Logging_2034/tillsyn/A 52487-2024 tillsynsbegäran.docx", "A 52487-2024")</f>
        <v/>
      </c>
      <c r="Y62">
        <f>HYPERLINK("https://klasma.github.io/Logging_2034/tillsynsmail/A 52487-2024 tillsynsbegäran mail.docx", "A 52487-2024")</f>
        <v/>
      </c>
      <c r="Z62">
        <f>HYPERLINK("https://klasma.github.io/Logging_2034/fåglar/A 52487-2024 prioriterade fågelarter.docx", "A 52487-2024")</f>
        <v/>
      </c>
    </row>
    <row r="63" ht="15" customHeight="1">
      <c r="A63" t="inlineStr">
        <is>
          <t>A 63895-2023</t>
        </is>
      </c>
      <c r="B63" s="1" t="n">
        <v>45278</v>
      </c>
      <c r="C63" s="1" t="n">
        <v>46114</v>
      </c>
      <c r="D63" t="inlineStr">
        <is>
          <t>DALARNAS LÄN</t>
        </is>
      </c>
      <c r="E63" t="inlineStr">
        <is>
          <t>ÄLVDALEN</t>
        </is>
      </c>
      <c r="F63" t="inlineStr">
        <is>
          <t>Sveaskog</t>
        </is>
      </c>
      <c r="G63" t="n">
        <v>13.4</v>
      </c>
      <c r="H63" t="n">
        <v>2</v>
      </c>
      <c r="I63" t="n">
        <v>1</v>
      </c>
      <c r="J63" t="n">
        <v>9</v>
      </c>
      <c r="K63" t="n">
        <v>6</v>
      </c>
      <c r="L63" t="n">
        <v>0</v>
      </c>
      <c r="M63" t="n">
        <v>0</v>
      </c>
      <c r="N63" t="n">
        <v>0</v>
      </c>
      <c r="O63" t="n">
        <v>15</v>
      </c>
      <c r="P63" t="n">
        <v>6</v>
      </c>
      <c r="Q63" t="n">
        <v>16</v>
      </c>
      <c r="R63" s="2" t="inlineStr">
        <is>
          <t>Fläckporing
Goliatmusseron
Gräddporing
Laxgröppa
Smalfotad taggsvamp
Spadskinn
Blanksvart spiklav
Blå taggsvamp
Kolflarnlav
Mörk kolflarnlav
Nordtagging
Orange taggsvamp
Varglav
Vedskivlav
Vitplätt
Plattlummer</t>
        </is>
      </c>
      <c r="S63">
        <f>HYPERLINK("https://klasma.github.io/Logging_2039/artfynd/A 63895-2023 artfynd.xlsx", "A 63895-2023")</f>
        <v/>
      </c>
      <c r="T63">
        <f>HYPERLINK("https://klasma.github.io/Logging_2039/kartor/A 63895-2023 karta.png", "A 63895-2023")</f>
        <v/>
      </c>
      <c r="V63">
        <f>HYPERLINK("https://klasma.github.io/Logging_2039/klagomål/A 63895-2023 FSC-klagomål.docx", "A 63895-2023")</f>
        <v/>
      </c>
      <c r="W63">
        <f>HYPERLINK("https://klasma.github.io/Logging_2039/klagomålsmail/A 63895-2023 FSC-klagomål mail.docx", "A 63895-2023")</f>
        <v/>
      </c>
      <c r="X63">
        <f>HYPERLINK("https://klasma.github.io/Logging_2039/tillsyn/A 63895-2023 tillsynsbegäran.docx", "A 63895-2023")</f>
        <v/>
      </c>
      <c r="Y63">
        <f>HYPERLINK("https://klasma.github.io/Logging_2039/tillsynsmail/A 63895-2023 tillsynsbegäran mail.docx", "A 63895-2023")</f>
        <v/>
      </c>
    </row>
    <row r="64" ht="15" customHeight="1">
      <c r="A64" t="inlineStr">
        <is>
          <t>A 19109-2023</t>
        </is>
      </c>
      <c r="B64" s="1" t="n">
        <v>45044</v>
      </c>
      <c r="C64" s="1" t="n">
        <v>46114</v>
      </c>
      <c r="D64" t="inlineStr">
        <is>
          <t>DALARNAS LÄN</t>
        </is>
      </c>
      <c r="E64" t="inlineStr">
        <is>
          <t>ÄLVDALEN</t>
        </is>
      </c>
      <c r="G64" t="n">
        <v>202.7</v>
      </c>
      <c r="H64" t="n">
        <v>8</v>
      </c>
      <c r="I64" t="n">
        <v>0</v>
      </c>
      <c r="J64" t="n">
        <v>12</v>
      </c>
      <c r="K64" t="n">
        <v>0</v>
      </c>
      <c r="L64" t="n">
        <v>0</v>
      </c>
      <c r="M64" t="n">
        <v>0</v>
      </c>
      <c r="N64" t="n">
        <v>0</v>
      </c>
      <c r="O64" t="n">
        <v>12</v>
      </c>
      <c r="P64" t="n">
        <v>0</v>
      </c>
      <c r="Q64" t="n">
        <v>16</v>
      </c>
      <c r="R64" s="2" t="inlineStr">
        <is>
          <t>Björktrast
Blanksvart spiklav
Gammelgransskål
Garnlav
Granticka
Kolflarnlav
Mörk kolflarnlav
Talltita
Tretåig hackspett
Varglav
Vedflamlav
Vedskivlav
Huggorm
Vanlig groda
Lopplummer (aggregat)
Revlummer</t>
        </is>
      </c>
      <c r="S64">
        <f>HYPERLINK("https://klasma.github.io/Logging_2039/artfynd/A 19109-2023 artfynd.xlsx", "A 19109-2023")</f>
        <v/>
      </c>
      <c r="T64">
        <f>HYPERLINK("https://klasma.github.io/Logging_2039/kartor/A 19109-2023 karta.png", "A 19109-2023")</f>
        <v/>
      </c>
      <c r="V64">
        <f>HYPERLINK("https://klasma.github.io/Logging_2039/klagomål/A 19109-2023 FSC-klagomål.docx", "A 19109-2023")</f>
        <v/>
      </c>
      <c r="W64">
        <f>HYPERLINK("https://klasma.github.io/Logging_2039/klagomålsmail/A 19109-2023 FSC-klagomål mail.docx", "A 19109-2023")</f>
        <v/>
      </c>
      <c r="X64">
        <f>HYPERLINK("https://klasma.github.io/Logging_2039/tillsyn/A 19109-2023 tillsynsbegäran.docx", "A 19109-2023")</f>
        <v/>
      </c>
      <c r="Y64">
        <f>HYPERLINK("https://klasma.github.io/Logging_2039/tillsynsmail/A 19109-2023 tillsynsbegäran mail.docx", "A 19109-2023")</f>
        <v/>
      </c>
      <c r="Z64">
        <f>HYPERLINK("https://klasma.github.io/Logging_2039/fåglar/A 19109-2023 prioriterade fågelarter.docx", "A 19109-2023")</f>
        <v/>
      </c>
    </row>
    <row r="65" ht="15" customHeight="1">
      <c r="A65" t="inlineStr">
        <is>
          <t>A 15853-2025</t>
        </is>
      </c>
      <c r="B65" s="1" t="n">
        <v>45749</v>
      </c>
      <c r="C65" s="1" t="n">
        <v>46114</v>
      </c>
      <c r="D65" t="inlineStr">
        <is>
          <t>DALARNAS LÄN</t>
        </is>
      </c>
      <c r="E65" t="inlineStr">
        <is>
          <t>MORA</t>
        </is>
      </c>
      <c r="G65" t="n">
        <v>11</v>
      </c>
      <c r="H65" t="n">
        <v>4</v>
      </c>
      <c r="I65" t="n">
        <v>2</v>
      </c>
      <c r="J65" t="n">
        <v>12</v>
      </c>
      <c r="K65" t="n">
        <v>1</v>
      </c>
      <c r="L65" t="n">
        <v>0</v>
      </c>
      <c r="M65" t="n">
        <v>0</v>
      </c>
      <c r="N65" t="n">
        <v>0</v>
      </c>
      <c r="O65" t="n">
        <v>13</v>
      </c>
      <c r="P65" t="n">
        <v>1</v>
      </c>
      <c r="Q65" t="n">
        <v>16</v>
      </c>
      <c r="R65" s="2" t="inlineStr">
        <is>
          <t>Gräddporing
Dvärgbägarlav
Garnlav
Kortskaftad ärgspik
Mörk kolflarnlav
Spillkråka
Talltita
Tretåig hackspett
Ullticka
Vedflamlav
Vedskivlav
Violettgrå tagellav
Vitgrynig nållav
Bronshjon
Vedticka
Tjäder</t>
        </is>
      </c>
      <c r="S65">
        <f>HYPERLINK("https://klasma.github.io/Logging_2062/artfynd/A 15853-2025 artfynd.xlsx", "A 15853-2025")</f>
        <v/>
      </c>
      <c r="T65">
        <f>HYPERLINK("https://klasma.github.io/Logging_2062/kartor/A 15853-2025 karta.png", "A 15853-2025")</f>
        <v/>
      </c>
      <c r="V65">
        <f>HYPERLINK("https://klasma.github.io/Logging_2062/klagomål/A 15853-2025 FSC-klagomål.docx", "A 15853-2025")</f>
        <v/>
      </c>
      <c r="W65">
        <f>HYPERLINK("https://klasma.github.io/Logging_2062/klagomålsmail/A 15853-2025 FSC-klagomål mail.docx", "A 15853-2025")</f>
        <v/>
      </c>
      <c r="X65">
        <f>HYPERLINK("https://klasma.github.io/Logging_2062/tillsyn/A 15853-2025 tillsynsbegäran.docx", "A 15853-2025")</f>
        <v/>
      </c>
      <c r="Y65">
        <f>HYPERLINK("https://klasma.github.io/Logging_2062/tillsynsmail/A 15853-2025 tillsynsbegäran mail.docx", "A 15853-2025")</f>
        <v/>
      </c>
      <c r="Z65">
        <f>HYPERLINK("https://klasma.github.io/Logging_2062/fåglar/A 15853-2025 prioriterade fågelarter.docx", "A 15853-2025")</f>
        <v/>
      </c>
    </row>
    <row r="66" ht="15" customHeight="1">
      <c r="A66" t="inlineStr">
        <is>
          <t>A 32983-2023</t>
        </is>
      </c>
      <c r="B66" s="1" t="n">
        <v>45125</v>
      </c>
      <c r="C66" s="1" t="n">
        <v>46114</v>
      </c>
      <c r="D66" t="inlineStr">
        <is>
          <t>DALARNAS LÄN</t>
        </is>
      </c>
      <c r="E66" t="inlineStr">
        <is>
          <t>ORSA</t>
        </is>
      </c>
      <c r="F66" t="inlineStr">
        <is>
          <t>Allmännings- och besparingsskogar</t>
        </is>
      </c>
      <c r="G66" t="n">
        <v>4.6</v>
      </c>
      <c r="H66" t="n">
        <v>2</v>
      </c>
      <c r="I66" t="n">
        <v>1</v>
      </c>
      <c r="J66" t="n">
        <v>15</v>
      </c>
      <c r="K66" t="n">
        <v>0</v>
      </c>
      <c r="L66" t="n">
        <v>0</v>
      </c>
      <c r="M66" t="n">
        <v>0</v>
      </c>
      <c r="N66" t="n">
        <v>0</v>
      </c>
      <c r="O66" t="n">
        <v>15</v>
      </c>
      <c r="P66" t="n">
        <v>0</v>
      </c>
      <c r="Q66" t="n">
        <v>16</v>
      </c>
      <c r="R66" s="2" t="inlineStr">
        <is>
          <t>Blanksvart spiklav
Blågrå svartspik
Dvärgbägarlav
Garnlav
Granticka
Järpe
Kolflarnlav
Lunglav
Mörk kolflarnlav
Skrovellav
Tallticka
Tretåig hackspett
Vedflamlav
Vedskivlav
Violettgrå tagellav
Dropptaggsvamp</t>
        </is>
      </c>
      <c r="S66">
        <f>HYPERLINK("https://klasma.github.io/Logging_2034/artfynd/A 32983-2023 artfynd.xlsx", "A 32983-2023")</f>
        <v/>
      </c>
      <c r="T66">
        <f>HYPERLINK("https://klasma.github.io/Logging_2034/kartor/A 32983-2023 karta.png", "A 32983-2023")</f>
        <v/>
      </c>
      <c r="V66">
        <f>HYPERLINK("https://klasma.github.io/Logging_2034/klagomål/A 32983-2023 FSC-klagomål.docx", "A 32983-2023")</f>
        <v/>
      </c>
      <c r="W66">
        <f>HYPERLINK("https://klasma.github.io/Logging_2034/klagomålsmail/A 32983-2023 FSC-klagomål mail.docx", "A 32983-2023")</f>
        <v/>
      </c>
      <c r="X66">
        <f>HYPERLINK("https://klasma.github.io/Logging_2034/tillsyn/A 32983-2023 tillsynsbegäran.docx", "A 32983-2023")</f>
        <v/>
      </c>
      <c r="Y66">
        <f>HYPERLINK("https://klasma.github.io/Logging_2034/tillsynsmail/A 32983-2023 tillsynsbegäran mail.docx", "A 32983-2023")</f>
        <v/>
      </c>
      <c r="Z66">
        <f>HYPERLINK("https://klasma.github.io/Logging_2034/fåglar/A 32983-2023 prioriterade fågelarter.docx", "A 32983-2023")</f>
        <v/>
      </c>
    </row>
    <row r="67" ht="15" customHeight="1">
      <c r="A67" t="inlineStr">
        <is>
          <t>A 1480-2026</t>
        </is>
      </c>
      <c r="B67" s="1" t="n">
        <v>46033.93108796296</v>
      </c>
      <c r="C67" s="1" t="n">
        <v>46114</v>
      </c>
      <c r="D67" t="inlineStr">
        <is>
          <t>DALARNAS LÄN</t>
        </is>
      </c>
      <c r="E67" t="inlineStr">
        <is>
          <t>MALUNG-SÄLEN</t>
        </is>
      </c>
      <c r="G67" t="n">
        <v>1.5</v>
      </c>
      <c r="H67" t="n">
        <v>1</v>
      </c>
      <c r="I67" t="n">
        <v>5</v>
      </c>
      <c r="J67" t="n">
        <v>8</v>
      </c>
      <c r="K67" t="n">
        <v>2</v>
      </c>
      <c r="L67" t="n">
        <v>0</v>
      </c>
      <c r="M67" t="n">
        <v>1</v>
      </c>
      <c r="N67" t="n">
        <v>0</v>
      </c>
      <c r="O67" t="n">
        <v>11</v>
      </c>
      <c r="P67" t="n">
        <v>3</v>
      </c>
      <c r="Q67" t="n">
        <v>16</v>
      </c>
      <c r="R67" s="2" t="inlineStr">
        <is>
          <t>Citronporing
Rostskinn
Ulltickeporing
Brunpudrad nållav
Gammelgransskål
Gränsticka
Kortskaftad ärgspik
Kötticka
Skrovellav
Tretåig hackspett
Ullticka
Bronshjon
Bårdlav
Gulnål
Stuplav
Vedticka</t>
        </is>
      </c>
      <c r="S67">
        <f>HYPERLINK("https://klasma.github.io/Logging_2023/artfynd/A 1480-2026 artfynd.xlsx", "A 1480-2026")</f>
        <v/>
      </c>
      <c r="T67">
        <f>HYPERLINK("https://klasma.github.io/Logging_2023/kartor/A 1480-2026 karta.png", "A 1480-2026")</f>
        <v/>
      </c>
      <c r="V67">
        <f>HYPERLINK("https://klasma.github.io/Logging_2023/klagomål/A 1480-2026 FSC-klagomål.docx", "A 1480-2026")</f>
        <v/>
      </c>
      <c r="W67">
        <f>HYPERLINK("https://klasma.github.io/Logging_2023/klagomålsmail/A 1480-2026 FSC-klagomål mail.docx", "A 1480-2026")</f>
        <v/>
      </c>
      <c r="X67">
        <f>HYPERLINK("https://klasma.github.io/Logging_2023/tillsyn/A 1480-2026 tillsynsbegäran.docx", "A 1480-2026")</f>
        <v/>
      </c>
      <c r="Y67">
        <f>HYPERLINK("https://klasma.github.io/Logging_2023/tillsynsmail/A 1480-2026 tillsynsbegäran mail.docx", "A 1480-2026")</f>
        <v/>
      </c>
      <c r="Z67">
        <f>HYPERLINK("https://klasma.github.io/Logging_2023/fåglar/A 1480-2026 prioriterade fågelarter.docx", "A 1480-2026")</f>
        <v/>
      </c>
    </row>
    <row r="68" ht="15" customHeight="1">
      <c r="A68" t="inlineStr">
        <is>
          <t>A 36532-2025</t>
        </is>
      </c>
      <c r="B68" s="1" t="n">
        <v>45869</v>
      </c>
      <c r="C68" s="1" t="n">
        <v>46114</v>
      </c>
      <c r="D68" t="inlineStr">
        <is>
          <t>DALARNAS LÄN</t>
        </is>
      </c>
      <c r="E68" t="inlineStr">
        <is>
          <t>SMEDJEBACKEN</t>
        </is>
      </c>
      <c r="G68" t="n">
        <v>1.6</v>
      </c>
      <c r="H68" t="n">
        <v>1</v>
      </c>
      <c r="I68" t="n">
        <v>9</v>
      </c>
      <c r="J68" t="n">
        <v>4</v>
      </c>
      <c r="K68" t="n">
        <v>3</v>
      </c>
      <c r="L68" t="n">
        <v>0</v>
      </c>
      <c r="M68" t="n">
        <v>0</v>
      </c>
      <c r="N68" t="n">
        <v>0</v>
      </c>
      <c r="O68" t="n">
        <v>7</v>
      </c>
      <c r="P68" t="n">
        <v>3</v>
      </c>
      <c r="Q68" t="n">
        <v>16</v>
      </c>
      <c r="R68"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8">
        <f>HYPERLINK("https://klasma.github.io/Logging_2061/artfynd/A 36532-2025 artfynd.xlsx", "A 36532-2025")</f>
        <v/>
      </c>
      <c r="T68">
        <f>HYPERLINK("https://klasma.github.io/Logging_2061/kartor/A 36532-2025 karta.png", "A 36532-2025")</f>
        <v/>
      </c>
      <c r="U68">
        <f>HYPERLINK("https://klasma.github.io/Logging_2061/knärot/A 36532-2025 karta knärot.png", "A 36532-2025")</f>
        <v/>
      </c>
      <c r="V68">
        <f>HYPERLINK("https://klasma.github.io/Logging_2061/klagomål/A 36532-2025 FSC-klagomål.docx", "A 36532-2025")</f>
        <v/>
      </c>
      <c r="W68">
        <f>HYPERLINK("https://klasma.github.io/Logging_2061/klagomålsmail/A 36532-2025 FSC-klagomål mail.docx", "A 36532-2025")</f>
        <v/>
      </c>
      <c r="X68">
        <f>HYPERLINK("https://klasma.github.io/Logging_2061/tillsyn/A 36532-2025 tillsynsbegäran.docx", "A 36532-2025")</f>
        <v/>
      </c>
      <c r="Y68">
        <f>HYPERLINK("https://klasma.github.io/Logging_2061/tillsynsmail/A 36532-2025 tillsynsbegäran mail.docx", "A 36532-2025")</f>
        <v/>
      </c>
    </row>
    <row r="69" ht="15" customHeight="1">
      <c r="A69" t="inlineStr">
        <is>
          <t>A 26765-2025</t>
        </is>
      </c>
      <c r="B69" s="1" t="n">
        <v>45810</v>
      </c>
      <c r="C69" s="1" t="n">
        <v>46114</v>
      </c>
      <c r="D69" t="inlineStr">
        <is>
          <t>DALARNAS LÄN</t>
        </is>
      </c>
      <c r="E69" t="inlineStr">
        <is>
          <t>ÄLVDALEN</t>
        </is>
      </c>
      <c r="F69" t="inlineStr">
        <is>
          <t>Allmännings- och besparingsskogar</t>
        </is>
      </c>
      <c r="G69" t="n">
        <v>17.5</v>
      </c>
      <c r="H69" t="n">
        <v>3</v>
      </c>
      <c r="I69" t="n">
        <v>1</v>
      </c>
      <c r="J69" t="n">
        <v>12</v>
      </c>
      <c r="K69" t="n">
        <v>0</v>
      </c>
      <c r="L69" t="n">
        <v>1</v>
      </c>
      <c r="M69" t="n">
        <v>0</v>
      </c>
      <c r="N69" t="n">
        <v>0</v>
      </c>
      <c r="O69" t="n">
        <v>13</v>
      </c>
      <c r="P69" t="n">
        <v>1</v>
      </c>
      <c r="Q69" t="n">
        <v>16</v>
      </c>
      <c r="R69" s="2" t="inlineStr">
        <is>
          <t>Urskogsporing
Blanksvart spiklav
Blågrå svartspik
Garnlav
Knottrig blåslav
Kolflarnlav
Kortskaftad ärgspik
Mörk kolflarnlav
Tretåig hackspett
Vaddporing
Vedflamlav
Vedskivlav
Violettgrå tagellav
Dropptaggsvamp
Lavskrika
Tjäder</t>
        </is>
      </c>
      <c r="S69">
        <f>HYPERLINK("https://klasma.github.io/Logging_2039/artfynd/A 26765-2025 artfynd.xlsx", "A 26765-2025")</f>
        <v/>
      </c>
      <c r="T69">
        <f>HYPERLINK("https://klasma.github.io/Logging_2039/kartor/A 26765-2025 karta.png", "A 26765-2025")</f>
        <v/>
      </c>
      <c r="V69">
        <f>HYPERLINK("https://klasma.github.io/Logging_2039/klagomål/A 26765-2025 FSC-klagomål.docx", "A 26765-2025")</f>
        <v/>
      </c>
      <c r="W69">
        <f>HYPERLINK("https://klasma.github.io/Logging_2039/klagomålsmail/A 26765-2025 FSC-klagomål mail.docx", "A 26765-2025")</f>
        <v/>
      </c>
      <c r="X69">
        <f>HYPERLINK("https://klasma.github.io/Logging_2039/tillsyn/A 26765-2025 tillsynsbegäran.docx", "A 26765-2025")</f>
        <v/>
      </c>
      <c r="Y69">
        <f>HYPERLINK("https://klasma.github.io/Logging_2039/tillsynsmail/A 26765-2025 tillsynsbegäran mail.docx", "A 26765-2025")</f>
        <v/>
      </c>
      <c r="Z69">
        <f>HYPERLINK("https://klasma.github.io/Logging_2039/fåglar/A 26765-2025 prioriterade fågelarter.docx", "A 26765-2025")</f>
        <v/>
      </c>
    </row>
    <row r="70" ht="15" customHeight="1">
      <c r="A70" t="inlineStr">
        <is>
          <t>A 29266-2023</t>
        </is>
      </c>
      <c r="B70" s="1" t="n">
        <v>45105</v>
      </c>
      <c r="C70" s="1" t="n">
        <v>46114</v>
      </c>
      <c r="D70" t="inlineStr">
        <is>
          <t>DALARNAS LÄN</t>
        </is>
      </c>
      <c r="E70" t="inlineStr">
        <is>
          <t>BORLÄNGE</t>
        </is>
      </c>
      <c r="F70" t="inlineStr">
        <is>
          <t>Bergvik skog väst AB</t>
        </is>
      </c>
      <c r="G70" t="n">
        <v>3.1</v>
      </c>
      <c r="H70" t="n">
        <v>3</v>
      </c>
      <c r="I70" t="n">
        <v>7</v>
      </c>
      <c r="J70" t="n">
        <v>6</v>
      </c>
      <c r="K70" t="n">
        <v>3</v>
      </c>
      <c r="L70" t="n">
        <v>0</v>
      </c>
      <c r="M70" t="n">
        <v>0</v>
      </c>
      <c r="N70" t="n">
        <v>0</v>
      </c>
      <c r="O70" t="n">
        <v>9</v>
      </c>
      <c r="P70" t="n">
        <v>3</v>
      </c>
      <c r="Q70" t="n">
        <v>16</v>
      </c>
      <c r="R70" s="2" t="inlineStr">
        <is>
          <t>Bitter taggsvamp
Knärot
Rynkskinn
Kötticka
Rosenticka
Spillkråka
Svart taggsvamp agg.
Talltita
Ullticka
Blomkålssvamp
Bronshjon
Dropptaggsvamp
Grönpyrola
Kryddspindling
Tallfingersvamp
Thomsons trägnagare</t>
        </is>
      </c>
      <c r="S70">
        <f>HYPERLINK("https://klasma.github.io/Logging_2081/artfynd/A 29266-2023 artfynd.xlsx", "A 29266-2023")</f>
        <v/>
      </c>
      <c r="T70">
        <f>HYPERLINK("https://klasma.github.io/Logging_2081/kartor/A 29266-2023 karta.png", "A 29266-2023")</f>
        <v/>
      </c>
      <c r="U70">
        <f>HYPERLINK("https://klasma.github.io/Logging_2081/knärot/A 29266-2023 karta knärot.png", "A 29266-2023")</f>
        <v/>
      </c>
      <c r="V70">
        <f>HYPERLINK("https://klasma.github.io/Logging_2081/klagomål/A 29266-2023 FSC-klagomål.docx", "A 29266-2023")</f>
        <v/>
      </c>
      <c r="W70">
        <f>HYPERLINK("https://klasma.github.io/Logging_2081/klagomålsmail/A 29266-2023 FSC-klagomål mail.docx", "A 29266-2023")</f>
        <v/>
      </c>
      <c r="X70">
        <f>HYPERLINK("https://klasma.github.io/Logging_2081/tillsyn/A 29266-2023 tillsynsbegäran.docx", "A 29266-2023")</f>
        <v/>
      </c>
      <c r="Y70">
        <f>HYPERLINK("https://klasma.github.io/Logging_2081/tillsynsmail/A 29266-2023 tillsynsbegäran mail.docx", "A 29266-2023")</f>
        <v/>
      </c>
      <c r="Z70">
        <f>HYPERLINK("https://klasma.github.io/Logging_2081/fåglar/A 29266-2023 prioriterade fågelarter.docx", "A 29266-2023")</f>
        <v/>
      </c>
    </row>
    <row r="71" ht="15" customHeight="1">
      <c r="A71" t="inlineStr">
        <is>
          <t>A 53732-2025</t>
        </is>
      </c>
      <c r="B71" s="1" t="n">
        <v>45960.64217592592</v>
      </c>
      <c r="C71" s="1" t="n">
        <v>46114</v>
      </c>
      <c r="D71" t="inlineStr">
        <is>
          <t>DALARNAS LÄN</t>
        </is>
      </c>
      <c r="E71" t="inlineStr">
        <is>
          <t>ÄLVDALEN</t>
        </is>
      </c>
      <c r="F71" t="inlineStr">
        <is>
          <t>Allmännings- och besparingsskogar</t>
        </is>
      </c>
      <c r="G71" t="n">
        <v>28.1</v>
      </c>
      <c r="H71" t="n">
        <v>4</v>
      </c>
      <c r="I71" t="n">
        <v>3</v>
      </c>
      <c r="J71" t="n">
        <v>11</v>
      </c>
      <c r="K71" t="n">
        <v>1</v>
      </c>
      <c r="L71" t="n">
        <v>0</v>
      </c>
      <c r="M71" t="n">
        <v>0</v>
      </c>
      <c r="N71" t="n">
        <v>0</v>
      </c>
      <c r="O71" t="n">
        <v>12</v>
      </c>
      <c r="P71" t="n">
        <v>1</v>
      </c>
      <c r="Q71" t="n">
        <v>16</v>
      </c>
      <c r="R71" s="2" t="inlineStr">
        <is>
          <t>Raggbock
Blå taggsvamp
Dvärgbägarlav
Garnlav
Kolflarnlav
Mörk kolflarnlav
Skrovlig taggsvamp
Spillkråka
Talltita
Tretåig hackspett
Vedflamlav
Vedskivlav
Dropptaggsvamp
Mindre märgborre
Skarp dropptaggsvamp
Kungsfågel</t>
        </is>
      </c>
      <c r="S71">
        <f>HYPERLINK("https://klasma.github.io/Logging_2039/artfynd/A 53732-2025 artfynd.xlsx", "A 53732-2025")</f>
        <v/>
      </c>
      <c r="T71">
        <f>HYPERLINK("https://klasma.github.io/Logging_2039/kartor/A 53732-2025 karta.png", "A 53732-2025")</f>
        <v/>
      </c>
      <c r="V71">
        <f>HYPERLINK("https://klasma.github.io/Logging_2039/klagomål/A 53732-2025 FSC-klagomål.docx", "A 53732-2025")</f>
        <v/>
      </c>
      <c r="W71">
        <f>HYPERLINK("https://klasma.github.io/Logging_2039/klagomålsmail/A 53732-2025 FSC-klagomål mail.docx", "A 53732-2025")</f>
        <v/>
      </c>
      <c r="X71">
        <f>HYPERLINK("https://klasma.github.io/Logging_2039/tillsyn/A 53732-2025 tillsynsbegäran.docx", "A 53732-2025")</f>
        <v/>
      </c>
      <c r="Y71">
        <f>HYPERLINK("https://klasma.github.io/Logging_2039/tillsynsmail/A 53732-2025 tillsynsbegäran mail.docx", "A 53732-2025")</f>
        <v/>
      </c>
      <c r="Z71">
        <f>HYPERLINK("https://klasma.github.io/Logging_2039/fåglar/A 53732-2025 prioriterade fågelarter.docx", "A 53732-2025")</f>
        <v/>
      </c>
    </row>
    <row r="72" ht="15" customHeight="1">
      <c r="A72" t="inlineStr">
        <is>
          <t>A 30284-2024</t>
        </is>
      </c>
      <c r="B72" s="1" t="n">
        <v>45490.63929398148</v>
      </c>
      <c r="C72" s="1" t="n">
        <v>46114</v>
      </c>
      <c r="D72" t="inlineStr">
        <is>
          <t>DALARNAS LÄN</t>
        </is>
      </c>
      <c r="E72" t="inlineStr">
        <is>
          <t>ORSA</t>
        </is>
      </c>
      <c r="G72" t="n">
        <v>2.5</v>
      </c>
      <c r="H72" t="n">
        <v>1</v>
      </c>
      <c r="I72" t="n">
        <v>3</v>
      </c>
      <c r="J72" t="n">
        <v>11</v>
      </c>
      <c r="K72" t="n">
        <v>2</v>
      </c>
      <c r="L72" t="n">
        <v>0</v>
      </c>
      <c r="M72" t="n">
        <v>0</v>
      </c>
      <c r="N72" t="n">
        <v>0</v>
      </c>
      <c r="O72" t="n">
        <v>13</v>
      </c>
      <c r="P72" t="n">
        <v>2</v>
      </c>
      <c r="Q72" t="n">
        <v>16</v>
      </c>
      <c r="R72" s="2" t="inlineStr">
        <is>
          <t>Rotfingersvamp
Tallgråticka
Backstarr
Druvfingersvampar
Garnlav
Mjölsvärting
Motaggsvamp
Orange taggsvamp
Skrovlig taggsvamp
Spillkråka
Svart taggsvamp agg.
Talltaggsvamp
Vedskivlav
Dropptaggsvamp
Mindre märgborre
Tallfingersvamp</t>
        </is>
      </c>
      <c r="S72">
        <f>HYPERLINK("https://klasma.github.io/Logging_2034/artfynd/A 30284-2024 artfynd.xlsx", "A 30284-2024")</f>
        <v/>
      </c>
      <c r="T72">
        <f>HYPERLINK("https://klasma.github.io/Logging_2034/kartor/A 30284-2024 karta.png", "A 30284-2024")</f>
        <v/>
      </c>
      <c r="V72">
        <f>HYPERLINK("https://klasma.github.io/Logging_2034/klagomål/A 30284-2024 FSC-klagomål.docx", "A 30284-2024")</f>
        <v/>
      </c>
      <c r="W72">
        <f>HYPERLINK("https://klasma.github.io/Logging_2034/klagomålsmail/A 30284-2024 FSC-klagomål mail.docx", "A 30284-2024")</f>
        <v/>
      </c>
      <c r="X72">
        <f>HYPERLINK("https://klasma.github.io/Logging_2034/tillsyn/A 30284-2024 tillsynsbegäran.docx", "A 30284-2024")</f>
        <v/>
      </c>
      <c r="Y72">
        <f>HYPERLINK("https://klasma.github.io/Logging_2034/tillsynsmail/A 30284-2024 tillsynsbegäran mail.docx", "A 30284-2024")</f>
        <v/>
      </c>
      <c r="Z72">
        <f>HYPERLINK("https://klasma.github.io/Logging_2034/fåglar/A 30284-2024 prioriterade fågelarter.docx", "A 30284-2024")</f>
        <v/>
      </c>
    </row>
    <row r="73" ht="15" customHeight="1">
      <c r="A73" t="inlineStr">
        <is>
          <t>A 20531-2025</t>
        </is>
      </c>
      <c r="B73" s="1" t="n">
        <v>45775</v>
      </c>
      <c r="C73" s="1" t="n">
        <v>46114</v>
      </c>
      <c r="D73" t="inlineStr">
        <is>
          <t>DALARNAS LÄN</t>
        </is>
      </c>
      <c r="E73" t="inlineStr">
        <is>
          <t>MORA</t>
        </is>
      </c>
      <c r="G73" t="n">
        <v>3</v>
      </c>
      <c r="H73" t="n">
        <v>5</v>
      </c>
      <c r="I73" t="n">
        <v>5</v>
      </c>
      <c r="J73" t="n">
        <v>8</v>
      </c>
      <c r="K73" t="n">
        <v>0</v>
      </c>
      <c r="L73" t="n">
        <v>1</v>
      </c>
      <c r="M73" t="n">
        <v>0</v>
      </c>
      <c r="N73" t="n">
        <v>0</v>
      </c>
      <c r="O73" t="n">
        <v>9</v>
      </c>
      <c r="P73" t="n">
        <v>1</v>
      </c>
      <c r="Q73" t="n">
        <v>16</v>
      </c>
      <c r="R73" s="2" t="inlineStr">
        <is>
          <t>Tornseglare
Garnlav
Kolflarnlav
Mörk kolflarnlav
Spillkråka
Vedflamlav
Vedskivlav
Violettgrå tagellav
Vitgrynig nållav
Luddlav
Mindre märgborre
Nästlav
Plattlummer
Tibast
Fläcknycklar
Revlummer</t>
        </is>
      </c>
      <c r="S73">
        <f>HYPERLINK("https://klasma.github.io/Logging_2062/artfynd/A 20531-2025 artfynd.xlsx", "A 20531-2025")</f>
        <v/>
      </c>
      <c r="T73">
        <f>HYPERLINK("https://klasma.github.io/Logging_2062/kartor/A 20531-2025 karta.png", "A 20531-2025")</f>
        <v/>
      </c>
      <c r="V73">
        <f>HYPERLINK("https://klasma.github.io/Logging_2062/klagomål/A 20531-2025 FSC-klagomål.docx", "A 20531-2025")</f>
        <v/>
      </c>
      <c r="W73">
        <f>HYPERLINK("https://klasma.github.io/Logging_2062/klagomålsmail/A 20531-2025 FSC-klagomål mail.docx", "A 20531-2025")</f>
        <v/>
      </c>
      <c r="X73">
        <f>HYPERLINK("https://klasma.github.io/Logging_2062/tillsyn/A 20531-2025 tillsynsbegäran.docx", "A 20531-2025")</f>
        <v/>
      </c>
      <c r="Y73">
        <f>HYPERLINK("https://klasma.github.io/Logging_2062/tillsynsmail/A 20531-2025 tillsynsbegäran mail.docx", "A 20531-2025")</f>
        <v/>
      </c>
      <c r="Z73">
        <f>HYPERLINK("https://klasma.github.io/Logging_2062/fåglar/A 20531-2025 prioriterade fågelarter.docx", "A 20531-2025")</f>
        <v/>
      </c>
    </row>
    <row r="74" ht="15" customHeight="1">
      <c r="A74" t="inlineStr">
        <is>
          <t>A 9083-2026</t>
        </is>
      </c>
      <c r="B74" s="1" t="n">
        <v>46069</v>
      </c>
      <c r="C74" s="1" t="n">
        <v>46114</v>
      </c>
      <c r="D74" t="inlineStr">
        <is>
          <t>DALARNAS LÄN</t>
        </is>
      </c>
      <c r="E74" t="inlineStr">
        <is>
          <t>MORA</t>
        </is>
      </c>
      <c r="G74" t="n">
        <v>10.1</v>
      </c>
      <c r="H74" t="n">
        <v>4</v>
      </c>
      <c r="I74" t="n">
        <v>4</v>
      </c>
      <c r="J74" t="n">
        <v>11</v>
      </c>
      <c r="K74" t="n">
        <v>0</v>
      </c>
      <c r="L74" t="n">
        <v>0</v>
      </c>
      <c r="M74" t="n">
        <v>0</v>
      </c>
      <c r="N74" t="n">
        <v>0</v>
      </c>
      <c r="O74" t="n">
        <v>11</v>
      </c>
      <c r="P74" t="n">
        <v>0</v>
      </c>
      <c r="Q74" t="n">
        <v>16</v>
      </c>
      <c r="R74" s="2" t="inlineStr">
        <is>
          <t>Blågrå svartspik
Dvärgbägarlav
Garnlav
Kolflarnlav
Kortskaftad ärgspik
Mörk kolflarnlav
Spillkråka
Tretåig hackspett
Vedflamlav
Vedskivlav
Violettgrå tagellav
Mindre märgborre
Nästlav
Plattlummer
Vedticka
Tjäder</t>
        </is>
      </c>
      <c r="S74">
        <f>HYPERLINK("https://klasma.github.io/Logging_2062/artfynd/A 9083-2026 artfynd.xlsx", "A 9083-2026")</f>
        <v/>
      </c>
      <c r="T74">
        <f>HYPERLINK("https://klasma.github.io/Logging_2062/kartor/A 9083-2026 karta.png", "A 9083-2026")</f>
        <v/>
      </c>
      <c r="V74">
        <f>HYPERLINK("https://klasma.github.io/Logging_2062/klagomål/A 9083-2026 FSC-klagomål.docx", "A 9083-2026")</f>
        <v/>
      </c>
      <c r="W74">
        <f>HYPERLINK("https://klasma.github.io/Logging_2062/klagomålsmail/A 9083-2026 FSC-klagomål mail.docx", "A 9083-2026")</f>
        <v/>
      </c>
      <c r="X74">
        <f>HYPERLINK("https://klasma.github.io/Logging_2062/tillsyn/A 9083-2026 tillsynsbegäran.docx", "A 9083-2026")</f>
        <v/>
      </c>
      <c r="Y74">
        <f>HYPERLINK("https://klasma.github.io/Logging_2062/tillsynsmail/A 9083-2026 tillsynsbegäran mail.docx", "A 9083-2026")</f>
        <v/>
      </c>
      <c r="Z74">
        <f>HYPERLINK("https://klasma.github.io/Logging_2062/fåglar/A 9083-2026 prioriterade fågelarter.docx", "A 9083-2026")</f>
        <v/>
      </c>
    </row>
    <row r="75" ht="15" customHeight="1">
      <c r="A75" t="inlineStr">
        <is>
          <t>A 20146-2025</t>
        </is>
      </c>
      <c r="B75" s="1" t="n">
        <v>45772.53324074074</v>
      </c>
      <c r="C75" s="1" t="n">
        <v>46114</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32722-2024</t>
        </is>
      </c>
      <c r="B76" s="1" t="n">
        <v>45516</v>
      </c>
      <c r="C76" s="1" t="n">
        <v>46114</v>
      </c>
      <c r="D76" t="inlineStr">
        <is>
          <t>DALARNAS LÄN</t>
        </is>
      </c>
      <c r="E76" t="inlineStr">
        <is>
          <t>FALUN</t>
        </is>
      </c>
      <c r="F76" t="inlineStr">
        <is>
          <t>Bergvik skog väst AB</t>
        </is>
      </c>
      <c r="G76" t="n">
        <v>3.1</v>
      </c>
      <c r="H76" t="n">
        <v>5</v>
      </c>
      <c r="I76" t="n">
        <v>6</v>
      </c>
      <c r="J76" t="n">
        <v>7</v>
      </c>
      <c r="K76" t="n">
        <v>1</v>
      </c>
      <c r="L76" t="n">
        <v>0</v>
      </c>
      <c r="M76" t="n">
        <v>0</v>
      </c>
      <c r="N76" t="n">
        <v>0</v>
      </c>
      <c r="O76" t="n">
        <v>8</v>
      </c>
      <c r="P76" t="n">
        <v>1</v>
      </c>
      <c r="Q76" t="n">
        <v>15</v>
      </c>
      <c r="R76" s="2" t="inlineStr">
        <is>
          <t>Knärot
Dofttaggsvamp
Järpe
Mindre timmerman
Spillkråka
Tallticka
Tretåig hackspett
Ullticka
Bronshjon
Dropptaggsvamp
Rödgul trumpetsvamp
Svavelriska
Thomsons trägnagare
Vågbandad barkbock
Nattviol</t>
        </is>
      </c>
      <c r="S76">
        <f>HYPERLINK("https://klasma.github.io/Logging_2080/artfynd/A 32722-2024 artfynd.xlsx", "A 32722-2024")</f>
        <v/>
      </c>
      <c r="T76">
        <f>HYPERLINK("https://klasma.github.io/Logging_2080/kartor/A 32722-2024 karta.png", "A 32722-2024")</f>
        <v/>
      </c>
      <c r="U76">
        <f>HYPERLINK("https://klasma.github.io/Logging_2080/knärot/A 32722-2024 karta knärot.png", "A 32722-2024")</f>
        <v/>
      </c>
      <c r="V76">
        <f>HYPERLINK("https://klasma.github.io/Logging_2080/klagomål/A 32722-2024 FSC-klagomål.docx", "A 32722-2024")</f>
        <v/>
      </c>
      <c r="W76">
        <f>HYPERLINK("https://klasma.github.io/Logging_2080/klagomålsmail/A 32722-2024 FSC-klagomål mail.docx", "A 32722-2024")</f>
        <v/>
      </c>
      <c r="X76">
        <f>HYPERLINK("https://klasma.github.io/Logging_2080/tillsyn/A 32722-2024 tillsynsbegäran.docx", "A 32722-2024")</f>
        <v/>
      </c>
      <c r="Y76">
        <f>HYPERLINK("https://klasma.github.io/Logging_2080/tillsynsmail/A 32722-2024 tillsynsbegäran mail.docx", "A 32722-2024")</f>
        <v/>
      </c>
      <c r="Z76">
        <f>HYPERLINK("https://klasma.github.io/Logging_2080/fåglar/A 32722-2024 prioriterade fågelarter.docx", "A 32722-2024")</f>
        <v/>
      </c>
    </row>
    <row r="77" ht="15" customHeight="1">
      <c r="A77" t="inlineStr">
        <is>
          <t>A 33685-2025</t>
        </is>
      </c>
      <c r="B77" s="1" t="n">
        <v>45841</v>
      </c>
      <c r="C77" s="1" t="n">
        <v>46114</v>
      </c>
      <c r="D77" t="inlineStr">
        <is>
          <t>DALARNAS LÄN</t>
        </is>
      </c>
      <c r="E77" t="inlineStr">
        <is>
          <t>LEKSAND</t>
        </is>
      </c>
      <c r="G77" t="n">
        <v>12.2</v>
      </c>
      <c r="H77" t="n">
        <v>4</v>
      </c>
      <c r="I77" t="n">
        <v>4</v>
      </c>
      <c r="J77" t="n">
        <v>8</v>
      </c>
      <c r="K77" t="n">
        <v>1</v>
      </c>
      <c r="L77" t="n">
        <v>0</v>
      </c>
      <c r="M77" t="n">
        <v>0</v>
      </c>
      <c r="N77" t="n">
        <v>0</v>
      </c>
      <c r="O77" t="n">
        <v>9</v>
      </c>
      <c r="P77" t="n">
        <v>1</v>
      </c>
      <c r="Q77" t="n">
        <v>15</v>
      </c>
      <c r="R77" s="2" t="inlineStr">
        <is>
          <t>Knärot
Blå taggsvamp
Furustumpbagge
Garnlav
Kolflarnlav
Mörk kolflarnlav
Skrovlig flatbagge
Tallticka
Tretåig hackspett
Bollvitmossa
Dropptaggsvamp
Mindre märgborre
Skarp dropptaggsvamp
Tjäder
Nattviol</t>
        </is>
      </c>
      <c r="S77">
        <f>HYPERLINK("https://klasma.github.io/Logging_2029/artfynd/A 33685-2025 artfynd.xlsx", "A 33685-2025")</f>
        <v/>
      </c>
      <c r="T77">
        <f>HYPERLINK("https://klasma.github.io/Logging_2029/kartor/A 33685-2025 karta.png", "A 33685-2025")</f>
        <v/>
      </c>
      <c r="U77">
        <f>HYPERLINK("https://klasma.github.io/Logging_2029/knärot/A 33685-2025 karta knärot.png", "A 33685-2025")</f>
        <v/>
      </c>
      <c r="V77">
        <f>HYPERLINK("https://klasma.github.io/Logging_2029/klagomål/A 33685-2025 FSC-klagomål.docx", "A 33685-2025")</f>
        <v/>
      </c>
      <c r="W77">
        <f>HYPERLINK("https://klasma.github.io/Logging_2029/klagomålsmail/A 33685-2025 FSC-klagomål mail.docx", "A 33685-2025")</f>
        <v/>
      </c>
      <c r="X77">
        <f>HYPERLINK("https://klasma.github.io/Logging_2029/tillsyn/A 33685-2025 tillsynsbegäran.docx", "A 33685-2025")</f>
        <v/>
      </c>
      <c r="Y77">
        <f>HYPERLINK("https://klasma.github.io/Logging_2029/tillsynsmail/A 33685-2025 tillsynsbegäran mail.docx", "A 33685-2025")</f>
        <v/>
      </c>
      <c r="Z77">
        <f>HYPERLINK("https://klasma.github.io/Logging_2029/fåglar/A 33685-2025 prioriterade fågelarter.docx", "A 33685-2025")</f>
        <v/>
      </c>
    </row>
    <row r="78" ht="15" customHeight="1">
      <c r="A78" t="inlineStr">
        <is>
          <t>A 21672-2021</t>
        </is>
      </c>
      <c r="B78" s="1" t="n">
        <v>44322</v>
      </c>
      <c r="C78" s="1" t="n">
        <v>46114</v>
      </c>
      <c r="D78" t="inlineStr">
        <is>
          <t>DALARNAS LÄN</t>
        </is>
      </c>
      <c r="E78" t="inlineStr">
        <is>
          <t>LUDVIKA</t>
        </is>
      </c>
      <c r="F78" t="inlineStr">
        <is>
          <t>Övriga Aktiebolag</t>
        </is>
      </c>
      <c r="G78" t="n">
        <v>21.4</v>
      </c>
      <c r="H78" t="n">
        <v>1</v>
      </c>
      <c r="I78" t="n">
        <v>3</v>
      </c>
      <c r="J78" t="n">
        <v>10</v>
      </c>
      <c r="K78" t="n">
        <v>2</v>
      </c>
      <c r="L78" t="n">
        <v>0</v>
      </c>
      <c r="M78" t="n">
        <v>0</v>
      </c>
      <c r="N78" t="n">
        <v>0</v>
      </c>
      <c r="O78" t="n">
        <v>12</v>
      </c>
      <c r="P78" t="n">
        <v>2</v>
      </c>
      <c r="Q78" t="n">
        <v>15</v>
      </c>
      <c r="R78" s="2" t="inlineStr">
        <is>
          <t>Goliatmusseron
Knärot
Blå taggsvamp
Kolflarnlav
Kortskaftad ärgspik
Lunglav
Orange taggsvamp
Svart taggsvamp agg.
Tallticka
Vedflamlav
Vedskivlav
Violettgrå tagellav
Dropptaggsvamp
Nästlav
Zontaggsvamp</t>
        </is>
      </c>
      <c r="S78">
        <f>HYPERLINK("https://klasma.github.io/Logging_2085/artfynd/A 21672-2021 artfynd.xlsx", "A 21672-2021")</f>
        <v/>
      </c>
      <c r="T78">
        <f>HYPERLINK("https://klasma.github.io/Logging_2085/kartor/A 21672-2021 karta.png", "A 21672-2021")</f>
        <v/>
      </c>
      <c r="U78">
        <f>HYPERLINK("https://klasma.github.io/Logging_2085/knärot/A 21672-2021 karta knärot.png", "A 21672-2021")</f>
        <v/>
      </c>
      <c r="V78">
        <f>HYPERLINK("https://klasma.github.io/Logging_2085/klagomål/A 21672-2021 FSC-klagomål.docx", "A 21672-2021")</f>
        <v/>
      </c>
      <c r="W78">
        <f>HYPERLINK("https://klasma.github.io/Logging_2085/klagomålsmail/A 21672-2021 FSC-klagomål mail.docx", "A 21672-2021")</f>
        <v/>
      </c>
      <c r="X78">
        <f>HYPERLINK("https://klasma.github.io/Logging_2085/tillsyn/A 21672-2021 tillsynsbegäran.docx", "A 21672-2021")</f>
        <v/>
      </c>
      <c r="Y78">
        <f>HYPERLINK("https://klasma.github.io/Logging_2085/tillsynsmail/A 21672-2021 tillsynsbegäran mail.docx", "A 21672-2021")</f>
        <v/>
      </c>
    </row>
    <row r="79" ht="15" customHeight="1">
      <c r="A79" t="inlineStr">
        <is>
          <t>A 7507-2025</t>
        </is>
      </c>
      <c r="B79" s="1" t="n">
        <v>45705</v>
      </c>
      <c r="C79" s="1" t="n">
        <v>46114</v>
      </c>
      <c r="D79" t="inlineStr">
        <is>
          <t>DALARNAS LÄN</t>
        </is>
      </c>
      <c r="E79" t="inlineStr">
        <is>
          <t>ORSA</t>
        </is>
      </c>
      <c r="G79" t="n">
        <v>25.8</v>
      </c>
      <c r="H79" t="n">
        <v>6</v>
      </c>
      <c r="I79" t="n">
        <v>3</v>
      </c>
      <c r="J79" t="n">
        <v>10</v>
      </c>
      <c r="K79" t="n">
        <v>0</v>
      </c>
      <c r="L79" t="n">
        <v>0</v>
      </c>
      <c r="M79" t="n">
        <v>0</v>
      </c>
      <c r="N79" t="n">
        <v>0</v>
      </c>
      <c r="O79" t="n">
        <v>10</v>
      </c>
      <c r="P79" t="n">
        <v>0</v>
      </c>
      <c r="Q79" t="n">
        <v>15</v>
      </c>
      <c r="R79" s="2" t="inlineStr">
        <is>
          <t>Dvärgbägarlav
Garnlav
Kolflarnlav
Mörk kolflarnlav
Rödvingetrast
Spillkråka
Tallticka
Talltita
Tretåig hackspett
Violettgrå tagellav
Dropptaggsvamp
Mindre märgborre
Nästlav
Kungsfågel
Tjäder</t>
        </is>
      </c>
      <c r="S79">
        <f>HYPERLINK("https://klasma.github.io/Logging_2034/artfynd/A 7507-2025 artfynd.xlsx", "A 7507-2025")</f>
        <v/>
      </c>
      <c r="T79">
        <f>HYPERLINK("https://klasma.github.io/Logging_2034/kartor/A 7507-2025 karta.png", "A 7507-2025")</f>
        <v/>
      </c>
      <c r="U79">
        <f>HYPERLINK("https://klasma.github.io/Logging_2034/knärot/A 7507-2025 karta knärot.png", "A 7507-2025")</f>
        <v/>
      </c>
      <c r="V79">
        <f>HYPERLINK("https://klasma.github.io/Logging_2034/klagomål/A 7507-2025 FSC-klagomål.docx", "A 7507-2025")</f>
        <v/>
      </c>
      <c r="W79">
        <f>HYPERLINK("https://klasma.github.io/Logging_2034/klagomålsmail/A 7507-2025 FSC-klagomål mail.docx", "A 7507-2025")</f>
        <v/>
      </c>
      <c r="X79">
        <f>HYPERLINK("https://klasma.github.io/Logging_2034/tillsyn/A 7507-2025 tillsynsbegäran.docx", "A 7507-2025")</f>
        <v/>
      </c>
      <c r="Y79">
        <f>HYPERLINK("https://klasma.github.io/Logging_2034/tillsynsmail/A 7507-2025 tillsynsbegäran mail.docx", "A 7507-2025")</f>
        <v/>
      </c>
      <c r="Z79">
        <f>HYPERLINK("https://klasma.github.io/Logging_2034/fåglar/A 7507-2025 prioriterade fågelarter.docx", "A 7507-2025")</f>
        <v/>
      </c>
    </row>
    <row r="80" ht="15" customHeight="1">
      <c r="A80" t="inlineStr">
        <is>
          <t>A 31967-2025</t>
        </is>
      </c>
      <c r="B80" s="1" t="n">
        <v>45835</v>
      </c>
      <c r="C80" s="1" t="n">
        <v>46114</v>
      </c>
      <c r="D80" t="inlineStr">
        <is>
          <t>DALARNAS LÄN</t>
        </is>
      </c>
      <c r="E80" t="inlineStr">
        <is>
          <t>LEKSAND</t>
        </is>
      </c>
      <c r="G80" t="n">
        <v>6.5</v>
      </c>
      <c r="H80" t="n">
        <v>3</v>
      </c>
      <c r="I80" t="n">
        <v>5</v>
      </c>
      <c r="J80" t="n">
        <v>8</v>
      </c>
      <c r="K80" t="n">
        <v>1</v>
      </c>
      <c r="L80" t="n">
        <v>0</v>
      </c>
      <c r="M80" t="n">
        <v>0</v>
      </c>
      <c r="N80" t="n">
        <v>0</v>
      </c>
      <c r="O80" t="n">
        <v>9</v>
      </c>
      <c r="P80" t="n">
        <v>1</v>
      </c>
      <c r="Q80" t="n">
        <v>15</v>
      </c>
      <c r="R80" s="2" t="inlineStr">
        <is>
          <t>Knärot
Garnlav
Gropticka
Lunglav
Mörk kolflarnlav
Rosenticka
Tallticka
Tretåig hackspett
Vedskivlav
Dropptaggsvamp
Korallblylav
Nästlav
Stuplav
Vedticka
Tjäder</t>
        </is>
      </c>
      <c r="S80">
        <f>HYPERLINK("https://klasma.github.io/Logging_2029/artfynd/A 31967-2025 artfynd.xlsx", "A 31967-2025")</f>
        <v/>
      </c>
      <c r="T80">
        <f>HYPERLINK("https://klasma.github.io/Logging_2029/kartor/A 31967-2025 karta.png", "A 31967-2025")</f>
        <v/>
      </c>
      <c r="U80">
        <f>HYPERLINK("https://klasma.github.io/Logging_2029/knärot/A 31967-2025 karta knärot.png", "A 31967-2025")</f>
        <v/>
      </c>
      <c r="V80">
        <f>HYPERLINK("https://klasma.github.io/Logging_2029/klagomål/A 31967-2025 FSC-klagomål.docx", "A 31967-2025")</f>
        <v/>
      </c>
      <c r="W80">
        <f>HYPERLINK("https://klasma.github.io/Logging_2029/klagomålsmail/A 31967-2025 FSC-klagomål mail.docx", "A 31967-2025")</f>
        <v/>
      </c>
      <c r="X80">
        <f>HYPERLINK("https://klasma.github.io/Logging_2029/tillsyn/A 31967-2025 tillsynsbegäran.docx", "A 31967-2025")</f>
        <v/>
      </c>
      <c r="Y80">
        <f>HYPERLINK("https://klasma.github.io/Logging_2029/tillsynsmail/A 31967-2025 tillsynsbegäran mail.docx", "A 31967-2025")</f>
        <v/>
      </c>
      <c r="Z80">
        <f>HYPERLINK("https://klasma.github.io/Logging_2029/fåglar/A 31967-2025 prioriterade fågelarter.docx", "A 31967-2025")</f>
        <v/>
      </c>
    </row>
    <row r="81" ht="15" customHeight="1">
      <c r="A81" t="inlineStr">
        <is>
          <t>A 33285-2025</t>
        </is>
      </c>
      <c r="B81" s="1" t="n">
        <v>45840</v>
      </c>
      <c r="C81" s="1" t="n">
        <v>46114</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61338-2024</t>
        </is>
      </c>
      <c r="B82" s="1" t="n">
        <v>45646</v>
      </c>
      <c r="C82" s="1" t="n">
        <v>46114</v>
      </c>
      <c r="D82" t="inlineStr">
        <is>
          <t>DALARNAS LÄN</t>
        </is>
      </c>
      <c r="E82" t="inlineStr">
        <is>
          <t>ORSA</t>
        </is>
      </c>
      <c r="G82" t="n">
        <v>10.2</v>
      </c>
      <c r="H82" t="n">
        <v>4</v>
      </c>
      <c r="I82" t="n">
        <v>2</v>
      </c>
      <c r="J82" t="n">
        <v>10</v>
      </c>
      <c r="K82" t="n">
        <v>3</v>
      </c>
      <c r="L82" t="n">
        <v>0</v>
      </c>
      <c r="M82" t="n">
        <v>0</v>
      </c>
      <c r="N82" t="n">
        <v>0</v>
      </c>
      <c r="O82" t="n">
        <v>13</v>
      </c>
      <c r="P82" t="n">
        <v>3</v>
      </c>
      <c r="Q82" t="n">
        <v>15</v>
      </c>
      <c r="R82" s="2" t="inlineStr">
        <is>
          <t>Fläckporing
Knärot
Rynkskinn
Dvärgbägarlav
Garnlav
Kortskaftad ärgspik
Rosenticka
Spillkråka
Tallticka
Talltita
Tretåig hackspett
Ullticka
Vedskivlav
Bronshjon
Mindre märgborre</t>
        </is>
      </c>
      <c r="S82">
        <f>HYPERLINK("https://klasma.github.io/Logging_2034/artfynd/A 61338-2024 artfynd.xlsx", "A 61338-2024")</f>
        <v/>
      </c>
      <c r="T82">
        <f>HYPERLINK("https://klasma.github.io/Logging_2034/kartor/A 61338-2024 karta.png", "A 61338-2024")</f>
        <v/>
      </c>
      <c r="U82">
        <f>HYPERLINK("https://klasma.github.io/Logging_2034/knärot/A 61338-2024 karta knärot.png", "A 61338-2024")</f>
        <v/>
      </c>
      <c r="V82">
        <f>HYPERLINK("https://klasma.github.io/Logging_2034/klagomål/A 61338-2024 FSC-klagomål.docx", "A 61338-2024")</f>
        <v/>
      </c>
      <c r="W82">
        <f>HYPERLINK("https://klasma.github.io/Logging_2034/klagomålsmail/A 61338-2024 FSC-klagomål mail.docx", "A 61338-2024")</f>
        <v/>
      </c>
      <c r="X82">
        <f>HYPERLINK("https://klasma.github.io/Logging_2034/tillsyn/A 61338-2024 tillsynsbegäran.docx", "A 61338-2024")</f>
        <v/>
      </c>
      <c r="Y82">
        <f>HYPERLINK("https://klasma.github.io/Logging_2034/tillsynsmail/A 61338-2024 tillsynsbegäran mail.docx", "A 61338-2024")</f>
        <v/>
      </c>
      <c r="Z82">
        <f>HYPERLINK("https://klasma.github.io/Logging_2034/fåglar/A 61338-2024 prioriterade fågelarter.docx", "A 61338-2024")</f>
        <v/>
      </c>
    </row>
    <row r="83" ht="15" customHeight="1">
      <c r="A83" t="inlineStr">
        <is>
          <t>A 56932-2024</t>
        </is>
      </c>
      <c r="B83" s="1" t="n">
        <v>45628</v>
      </c>
      <c r="C83" s="1" t="n">
        <v>46114</v>
      </c>
      <c r="D83" t="inlineStr">
        <is>
          <t>DALARNAS LÄN</t>
        </is>
      </c>
      <c r="E83" t="inlineStr">
        <is>
          <t>HEDEMORA</t>
        </is>
      </c>
      <c r="F83" t="inlineStr">
        <is>
          <t>Sveaskog</t>
        </is>
      </c>
      <c r="G83" t="n">
        <v>5</v>
      </c>
      <c r="H83" t="n">
        <v>2</v>
      </c>
      <c r="I83" t="n">
        <v>4</v>
      </c>
      <c r="J83" t="n">
        <v>5</v>
      </c>
      <c r="K83" t="n">
        <v>4</v>
      </c>
      <c r="L83" t="n">
        <v>1</v>
      </c>
      <c r="M83" t="n">
        <v>0</v>
      </c>
      <c r="N83" t="n">
        <v>0</v>
      </c>
      <c r="O83" t="n">
        <v>10</v>
      </c>
      <c r="P83" t="n">
        <v>5</v>
      </c>
      <c r="Q83" t="n">
        <v>15</v>
      </c>
      <c r="R83" s="2" t="inlineStr">
        <is>
          <t>Ask
Bitter taggsvamp
Hängticka
Ostticka
Rynkskinn
Kandelabersvamp
Kötticka
Rosenticka
Spillkråka
Ullticka
Bronshjon
Svavelriska
Tibast
Vedticka
Blåsippa</t>
        </is>
      </c>
      <c r="S83">
        <f>HYPERLINK("https://klasma.github.io/Logging_2083/artfynd/A 56932-2024 artfynd.xlsx", "A 56932-2024")</f>
        <v/>
      </c>
      <c r="T83">
        <f>HYPERLINK("https://klasma.github.io/Logging_2083/kartor/A 56932-2024 karta.png", "A 56932-2024")</f>
        <v/>
      </c>
      <c r="U83">
        <f>HYPERLINK("https://klasma.github.io/Logging_2083/knärot/A 56932-2024 karta knärot.png", "A 56932-2024")</f>
        <v/>
      </c>
      <c r="V83">
        <f>HYPERLINK("https://klasma.github.io/Logging_2083/klagomål/A 56932-2024 FSC-klagomål.docx", "A 56932-2024")</f>
        <v/>
      </c>
      <c r="W83">
        <f>HYPERLINK("https://klasma.github.io/Logging_2083/klagomålsmail/A 56932-2024 FSC-klagomål mail.docx", "A 56932-2024")</f>
        <v/>
      </c>
      <c r="X83">
        <f>HYPERLINK("https://klasma.github.io/Logging_2083/tillsyn/A 56932-2024 tillsynsbegäran.docx", "A 56932-2024")</f>
        <v/>
      </c>
      <c r="Y83">
        <f>HYPERLINK("https://klasma.github.io/Logging_2083/tillsynsmail/A 56932-2024 tillsynsbegäran mail.docx", "A 56932-2024")</f>
        <v/>
      </c>
      <c r="Z83">
        <f>HYPERLINK("https://klasma.github.io/Logging_2083/fåglar/A 56932-2024 prioriterade fågelarter.docx", "A 56932-2024")</f>
        <v/>
      </c>
    </row>
    <row r="84" ht="15" customHeight="1">
      <c r="A84" t="inlineStr">
        <is>
          <t>A 52871-2025</t>
        </is>
      </c>
      <c r="B84" s="1" t="n">
        <v>45954</v>
      </c>
      <c r="C84" s="1" t="n">
        <v>46114</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46114</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28823-2023</t>
        </is>
      </c>
      <c r="B86" s="1" t="n">
        <v>45104.38712962963</v>
      </c>
      <c r="C86" s="1" t="n">
        <v>46114</v>
      </c>
      <c r="D86" t="inlineStr">
        <is>
          <t>DALARNAS LÄN</t>
        </is>
      </c>
      <c r="E86" t="inlineStr">
        <is>
          <t>ÄLVDALEN</t>
        </is>
      </c>
      <c r="F86" t="inlineStr">
        <is>
          <t>Sveaskog</t>
        </is>
      </c>
      <c r="G86" t="n">
        <v>9.800000000000001</v>
      </c>
      <c r="H86" t="n">
        <v>3</v>
      </c>
      <c r="I86" t="n">
        <v>3</v>
      </c>
      <c r="J86" t="n">
        <v>10</v>
      </c>
      <c r="K86" t="n">
        <v>2</v>
      </c>
      <c r="L86" t="n">
        <v>0</v>
      </c>
      <c r="M86" t="n">
        <v>0</v>
      </c>
      <c r="N86" t="n">
        <v>0</v>
      </c>
      <c r="O86" t="n">
        <v>12</v>
      </c>
      <c r="P86" t="n">
        <v>2</v>
      </c>
      <c r="Q86" t="n">
        <v>15</v>
      </c>
      <c r="R86" s="2" t="inlineStr">
        <is>
          <t>Fläckporing
Smalfotad taggsvamp
Blå taggsvamp
Garnlav
Kolflarnlav
Mörk kolflarnlav
Skrovlig taggsvamp
Svartvit taggsvamp
Talltaggsvamp
Talltita
Varglav
Vedflamlav
Dropptaggsvamp
Mindre märgborre
Plattlummer</t>
        </is>
      </c>
      <c r="S86">
        <f>HYPERLINK("https://klasma.github.io/Logging_2039/artfynd/A 28823-2023 artfynd.xlsx", "A 28823-2023")</f>
        <v/>
      </c>
      <c r="T86">
        <f>HYPERLINK("https://klasma.github.io/Logging_2039/kartor/A 28823-2023 karta.png", "A 28823-2023")</f>
        <v/>
      </c>
      <c r="V86">
        <f>HYPERLINK("https://klasma.github.io/Logging_2039/klagomål/A 28823-2023 FSC-klagomål.docx", "A 28823-2023")</f>
        <v/>
      </c>
      <c r="W86">
        <f>HYPERLINK("https://klasma.github.io/Logging_2039/klagomålsmail/A 28823-2023 FSC-klagomål mail.docx", "A 28823-2023")</f>
        <v/>
      </c>
      <c r="X86">
        <f>HYPERLINK("https://klasma.github.io/Logging_2039/tillsyn/A 28823-2023 tillsynsbegäran.docx", "A 28823-2023")</f>
        <v/>
      </c>
      <c r="Y86">
        <f>HYPERLINK("https://klasma.github.io/Logging_2039/tillsynsmail/A 28823-2023 tillsynsbegäran mail.docx", "A 28823-2023")</f>
        <v/>
      </c>
      <c r="Z86">
        <f>HYPERLINK("https://klasma.github.io/Logging_2039/fåglar/A 28823-2023 prioriterade fågelarter.docx", "A 28823-2023")</f>
        <v/>
      </c>
    </row>
    <row r="87" ht="15" customHeight="1">
      <c r="A87" t="inlineStr">
        <is>
          <t>A 56939-2025</t>
        </is>
      </c>
      <c r="B87" s="1" t="n">
        <v>45978.6218287037</v>
      </c>
      <c r="C87" s="1" t="n">
        <v>46114</v>
      </c>
      <c r="D87" t="inlineStr">
        <is>
          <t>DALARNAS LÄN</t>
        </is>
      </c>
      <c r="E87" t="inlineStr">
        <is>
          <t>ÄLVDALEN</t>
        </is>
      </c>
      <c r="F87" t="inlineStr">
        <is>
          <t>Allmännings- och besparingsskogar</t>
        </is>
      </c>
      <c r="G87" t="n">
        <v>27.1</v>
      </c>
      <c r="H87" t="n">
        <v>7</v>
      </c>
      <c r="I87" t="n">
        <v>3</v>
      </c>
      <c r="J87" t="n">
        <v>8</v>
      </c>
      <c r="K87" t="n">
        <v>1</v>
      </c>
      <c r="L87" t="n">
        <v>0</v>
      </c>
      <c r="M87" t="n">
        <v>0</v>
      </c>
      <c r="N87" t="n">
        <v>0</v>
      </c>
      <c r="O87" t="n">
        <v>9</v>
      </c>
      <c r="P87" t="n">
        <v>1</v>
      </c>
      <c r="Q87" t="n">
        <v>15</v>
      </c>
      <c r="R87" s="2" t="inlineStr">
        <is>
          <t>Knärot
Garnlav
Kolflarnlav
Mörk kolflarnlav
Spillkråka
Tretåig hackspett
Ullticka
Vedflamlav
Vedskivlav
Björksplintborre
Mindre märgborre
Plattlummer
Gråspett
Tjäder
Revlummer</t>
        </is>
      </c>
      <c r="S87">
        <f>HYPERLINK("https://klasma.github.io/Logging_2039/artfynd/A 56939-2025 artfynd.xlsx", "A 56939-2025")</f>
        <v/>
      </c>
      <c r="T87">
        <f>HYPERLINK("https://klasma.github.io/Logging_2039/kartor/A 56939-2025 karta.png", "A 56939-2025")</f>
        <v/>
      </c>
      <c r="U87">
        <f>HYPERLINK("https://klasma.github.io/Logging_2039/knärot/A 56939-2025 karta knärot.png", "A 56939-2025")</f>
        <v/>
      </c>
      <c r="V87">
        <f>HYPERLINK("https://klasma.github.io/Logging_2039/klagomål/A 56939-2025 FSC-klagomål.docx", "A 56939-2025")</f>
        <v/>
      </c>
      <c r="W87">
        <f>HYPERLINK("https://klasma.github.io/Logging_2039/klagomålsmail/A 56939-2025 FSC-klagomål mail.docx", "A 56939-2025")</f>
        <v/>
      </c>
      <c r="X87">
        <f>HYPERLINK("https://klasma.github.io/Logging_2039/tillsyn/A 56939-2025 tillsynsbegäran.docx", "A 56939-2025")</f>
        <v/>
      </c>
      <c r="Y87">
        <f>HYPERLINK("https://klasma.github.io/Logging_2039/tillsynsmail/A 56939-2025 tillsynsbegäran mail.docx", "A 56939-2025")</f>
        <v/>
      </c>
      <c r="Z87">
        <f>HYPERLINK("https://klasma.github.io/Logging_2039/fåglar/A 56939-2025 prioriterade fågelarter.docx", "A 56939-2025")</f>
        <v/>
      </c>
    </row>
    <row r="88" ht="15" customHeight="1">
      <c r="A88" t="inlineStr">
        <is>
          <t>A 35484-2025</t>
        </is>
      </c>
      <c r="B88" s="1" t="n">
        <v>45855</v>
      </c>
      <c r="C88" s="1" t="n">
        <v>46114</v>
      </c>
      <c r="D88" t="inlineStr">
        <is>
          <t>DALARNAS LÄN</t>
        </is>
      </c>
      <c r="E88" t="inlineStr">
        <is>
          <t>MORA</t>
        </is>
      </c>
      <c r="F88" t="inlineStr">
        <is>
          <t>Allmännings- och besparingsskogar</t>
        </is>
      </c>
      <c r="G88" t="n">
        <v>3.9</v>
      </c>
      <c r="H88" t="n">
        <v>5</v>
      </c>
      <c r="I88" t="n">
        <v>2</v>
      </c>
      <c r="J88" t="n">
        <v>10</v>
      </c>
      <c r="K88" t="n">
        <v>1</v>
      </c>
      <c r="L88" t="n">
        <v>0</v>
      </c>
      <c r="M88" t="n">
        <v>0</v>
      </c>
      <c r="N88" t="n">
        <v>0</v>
      </c>
      <c r="O88" t="n">
        <v>11</v>
      </c>
      <c r="P88" t="n">
        <v>1</v>
      </c>
      <c r="Q88" t="n">
        <v>15</v>
      </c>
      <c r="R88" s="2" t="inlineStr">
        <is>
          <t>Gräddporing
Dvärgbägarlav
Garnlav
Kolflarnlav
Mörk kolflarnlav
Spillkråka
Tallticka
Talltita
Tretåig hackspett
Vedflamlav
Violettgrå tagellav
Dropptaggsvamp
Mindre märgborre
Skogsödla
Revlummer</t>
        </is>
      </c>
      <c r="S88">
        <f>HYPERLINK("https://klasma.github.io/Logging_2062/artfynd/A 35484-2025 artfynd.xlsx", "A 35484-2025")</f>
        <v/>
      </c>
      <c r="T88">
        <f>HYPERLINK("https://klasma.github.io/Logging_2062/kartor/A 35484-2025 karta.png", "A 35484-2025")</f>
        <v/>
      </c>
      <c r="V88">
        <f>HYPERLINK("https://klasma.github.io/Logging_2062/klagomål/A 35484-2025 FSC-klagomål.docx", "A 35484-2025")</f>
        <v/>
      </c>
      <c r="W88">
        <f>HYPERLINK("https://klasma.github.io/Logging_2062/klagomålsmail/A 35484-2025 FSC-klagomål mail.docx", "A 35484-2025")</f>
        <v/>
      </c>
      <c r="X88">
        <f>HYPERLINK("https://klasma.github.io/Logging_2062/tillsyn/A 35484-2025 tillsynsbegäran.docx", "A 35484-2025")</f>
        <v/>
      </c>
      <c r="Y88">
        <f>HYPERLINK("https://klasma.github.io/Logging_2062/tillsynsmail/A 35484-2025 tillsynsbegäran mail.docx", "A 35484-2025")</f>
        <v/>
      </c>
      <c r="Z88">
        <f>HYPERLINK("https://klasma.github.io/Logging_2062/fåglar/A 35484-2025 prioriterade fågelarter.docx", "A 35484-2025")</f>
        <v/>
      </c>
    </row>
    <row r="89" ht="15" customHeight="1">
      <c r="A89" t="inlineStr">
        <is>
          <t>A 9412-2026</t>
        </is>
      </c>
      <c r="B89" s="1" t="n">
        <v>46071.42309027778</v>
      </c>
      <c r="C89" s="1" t="n">
        <v>46114</v>
      </c>
      <c r="D89" t="inlineStr">
        <is>
          <t>DALARNAS LÄN</t>
        </is>
      </c>
      <c r="E89" t="inlineStr">
        <is>
          <t>MORA</t>
        </is>
      </c>
      <c r="G89" t="n">
        <v>3.4</v>
      </c>
      <c r="H89" t="n">
        <v>6</v>
      </c>
      <c r="I89" t="n">
        <v>0</v>
      </c>
      <c r="J89" t="n">
        <v>11</v>
      </c>
      <c r="K89" t="n">
        <v>2</v>
      </c>
      <c r="L89" t="n">
        <v>0</v>
      </c>
      <c r="M89" t="n">
        <v>0</v>
      </c>
      <c r="N89" t="n">
        <v>0</v>
      </c>
      <c r="O89" t="n">
        <v>13</v>
      </c>
      <c r="P89" t="n">
        <v>2</v>
      </c>
      <c r="Q89" t="n">
        <v>15</v>
      </c>
      <c r="R89" s="2" t="inlineStr">
        <is>
          <t>Knärot
Rynkskinn
Garnlav
Kolflarnlav
Kortskaftad ärgspik
Mörk kolflarnlav
Skogshare
Spillkråka
Talltita
Tretåig hackspett
Vedflamlav
Vedskivlav
Vitgrynig nållav
Gråspett
Revlummer</t>
        </is>
      </c>
      <c r="S89">
        <f>HYPERLINK("https://klasma.github.io/Logging_2062/artfynd/A 9412-2026 artfynd.xlsx", "A 9412-2026")</f>
        <v/>
      </c>
      <c r="T89">
        <f>HYPERLINK("https://klasma.github.io/Logging_2062/kartor/A 9412-2026 karta.png", "A 9412-2026")</f>
        <v/>
      </c>
      <c r="U89">
        <f>HYPERLINK("https://klasma.github.io/Logging_2062/knärot/A 9412-2026 karta knärot.png", "A 9412-2026")</f>
        <v/>
      </c>
      <c r="V89">
        <f>HYPERLINK("https://klasma.github.io/Logging_2062/klagomål/A 9412-2026 FSC-klagomål.docx", "A 9412-2026")</f>
        <v/>
      </c>
      <c r="W89">
        <f>HYPERLINK("https://klasma.github.io/Logging_2062/klagomålsmail/A 9412-2026 FSC-klagomål mail.docx", "A 9412-2026")</f>
        <v/>
      </c>
      <c r="X89">
        <f>HYPERLINK("https://klasma.github.io/Logging_2062/tillsyn/A 9412-2026 tillsynsbegäran.docx", "A 9412-2026")</f>
        <v/>
      </c>
      <c r="Y89">
        <f>HYPERLINK("https://klasma.github.io/Logging_2062/tillsynsmail/A 9412-2026 tillsynsbegäran mail.docx", "A 9412-2026")</f>
        <v/>
      </c>
      <c r="Z89">
        <f>HYPERLINK("https://klasma.github.io/Logging_2062/fåglar/A 9412-2026 prioriterade fågelarter.docx", "A 9412-2026")</f>
        <v/>
      </c>
    </row>
    <row r="90" ht="15" customHeight="1">
      <c r="A90" t="inlineStr">
        <is>
          <t>A 22650-2025</t>
        </is>
      </c>
      <c r="B90" s="1" t="n">
        <v>45789.46872685185</v>
      </c>
      <c r="C90" s="1" t="n">
        <v>46114</v>
      </c>
      <c r="D90" t="inlineStr">
        <is>
          <t>DALARNAS LÄN</t>
        </is>
      </c>
      <c r="E90" t="inlineStr">
        <is>
          <t>ORSA</t>
        </is>
      </c>
      <c r="G90" t="n">
        <v>10.4</v>
      </c>
      <c r="H90" t="n">
        <v>5</v>
      </c>
      <c r="I90" t="n">
        <v>3</v>
      </c>
      <c r="J90" t="n">
        <v>10</v>
      </c>
      <c r="K90" t="n">
        <v>0</v>
      </c>
      <c r="L90" t="n">
        <v>0</v>
      </c>
      <c r="M90" t="n">
        <v>0</v>
      </c>
      <c r="N90" t="n">
        <v>0</v>
      </c>
      <c r="O90" t="n">
        <v>10</v>
      </c>
      <c r="P90" t="n">
        <v>0</v>
      </c>
      <c r="Q90" t="n">
        <v>15</v>
      </c>
      <c r="R90" s="2" t="inlineStr">
        <is>
          <t>Garnlav
Kolflarnlav
Mörk kolflarnlav
Spillkråka
Tallticka
Talltita
Tretåig hackspett
Vaddporing
Vedflamlav
Vedskivlav
Dropptaggsvamp
Mindre märgborre
Nästlav
Tjäder
Fläcknycklar</t>
        </is>
      </c>
      <c r="S90">
        <f>HYPERLINK("https://klasma.github.io/Logging_2034/artfynd/A 22650-2025 artfynd.xlsx", "A 22650-2025")</f>
        <v/>
      </c>
      <c r="T90">
        <f>HYPERLINK("https://klasma.github.io/Logging_2034/kartor/A 22650-2025 karta.png", "A 22650-2025")</f>
        <v/>
      </c>
      <c r="V90">
        <f>HYPERLINK("https://klasma.github.io/Logging_2034/klagomål/A 22650-2025 FSC-klagomål.docx", "A 22650-2025")</f>
        <v/>
      </c>
      <c r="W90">
        <f>HYPERLINK("https://klasma.github.io/Logging_2034/klagomålsmail/A 22650-2025 FSC-klagomål mail.docx", "A 22650-2025")</f>
        <v/>
      </c>
      <c r="X90">
        <f>HYPERLINK("https://klasma.github.io/Logging_2034/tillsyn/A 22650-2025 tillsynsbegäran.docx", "A 22650-2025")</f>
        <v/>
      </c>
      <c r="Y90">
        <f>HYPERLINK("https://klasma.github.io/Logging_2034/tillsynsmail/A 22650-2025 tillsynsbegäran mail.docx", "A 22650-2025")</f>
        <v/>
      </c>
      <c r="Z90">
        <f>HYPERLINK("https://klasma.github.io/Logging_2034/fåglar/A 22650-2025 prioriterade fågelarter.docx", "A 22650-2025")</f>
        <v/>
      </c>
    </row>
    <row r="91" ht="15" customHeight="1">
      <c r="A91" t="inlineStr">
        <is>
          <t>A 31037-2023</t>
        </is>
      </c>
      <c r="B91" s="1" t="n">
        <v>45113</v>
      </c>
      <c r="C91" s="1" t="n">
        <v>46114</v>
      </c>
      <c r="D91" t="inlineStr">
        <is>
          <t>DALARNAS LÄN</t>
        </is>
      </c>
      <c r="E91" t="inlineStr">
        <is>
          <t>ÄLVDALEN</t>
        </is>
      </c>
      <c r="F91" t="inlineStr">
        <is>
          <t>Allmännings- och besparingsskogar</t>
        </is>
      </c>
      <c r="G91" t="n">
        <v>17.8</v>
      </c>
      <c r="H91" t="n">
        <v>2</v>
      </c>
      <c r="I91" t="n">
        <v>0</v>
      </c>
      <c r="J91" t="n">
        <v>11</v>
      </c>
      <c r="K91" t="n">
        <v>3</v>
      </c>
      <c r="L91" t="n">
        <v>0</v>
      </c>
      <c r="M91" t="n">
        <v>0</v>
      </c>
      <c r="N91" t="n">
        <v>0</v>
      </c>
      <c r="O91" t="n">
        <v>14</v>
      </c>
      <c r="P91" t="n">
        <v>3</v>
      </c>
      <c r="Q91" t="n">
        <v>14</v>
      </c>
      <c r="R91" s="2" t="inlineStr">
        <is>
          <t>Fläckporing
Gräddporing
Smalfotad taggsvamp
Blanksvart spiklav
Blågrå svartspik
Dvärgbägarlav
Garnlav
Kolflarnlav
Mörk kolflarnlav
Nordtagging
Talltita
Varglav
Vedflamlav
Vedskivlav</t>
        </is>
      </c>
      <c r="S91">
        <f>HYPERLINK("https://klasma.github.io/Logging_2039/artfynd/A 31037-2023 artfynd.xlsx", "A 31037-2023")</f>
        <v/>
      </c>
      <c r="T91">
        <f>HYPERLINK("https://klasma.github.io/Logging_2039/kartor/A 31037-2023 karta.png", "A 31037-2023")</f>
        <v/>
      </c>
      <c r="V91">
        <f>HYPERLINK("https://klasma.github.io/Logging_2039/klagomål/A 31037-2023 FSC-klagomål.docx", "A 31037-2023")</f>
        <v/>
      </c>
      <c r="W91">
        <f>HYPERLINK("https://klasma.github.io/Logging_2039/klagomålsmail/A 31037-2023 FSC-klagomål mail.docx", "A 31037-2023")</f>
        <v/>
      </c>
      <c r="X91">
        <f>HYPERLINK("https://klasma.github.io/Logging_2039/tillsyn/A 31037-2023 tillsynsbegäran.docx", "A 31037-2023")</f>
        <v/>
      </c>
      <c r="Y91">
        <f>HYPERLINK("https://klasma.github.io/Logging_2039/tillsynsmail/A 31037-2023 tillsynsbegäran mail.docx", "A 31037-2023")</f>
        <v/>
      </c>
      <c r="Z91">
        <f>HYPERLINK("https://klasma.github.io/Logging_2039/fåglar/A 31037-2023 prioriterade fågelarter.docx", "A 31037-2023")</f>
        <v/>
      </c>
    </row>
    <row r="92" ht="15" customHeight="1">
      <c r="A92" t="inlineStr">
        <is>
          <t>A 48348-2024</t>
        </is>
      </c>
      <c r="B92" s="1" t="n">
        <v>45590</v>
      </c>
      <c r="C92" s="1" t="n">
        <v>46114</v>
      </c>
      <c r="D92" t="inlineStr">
        <is>
          <t>DALARNAS LÄN</t>
        </is>
      </c>
      <c r="E92" t="inlineStr">
        <is>
          <t>MORA</t>
        </is>
      </c>
      <c r="G92" t="n">
        <v>31.7</v>
      </c>
      <c r="H92" t="n">
        <v>2</v>
      </c>
      <c r="I92" t="n">
        <v>3</v>
      </c>
      <c r="J92" t="n">
        <v>11</v>
      </c>
      <c r="K92" t="n">
        <v>0</v>
      </c>
      <c r="L92" t="n">
        <v>0</v>
      </c>
      <c r="M92" t="n">
        <v>0</v>
      </c>
      <c r="N92" t="n">
        <v>0</v>
      </c>
      <c r="O92" t="n">
        <v>11</v>
      </c>
      <c r="P92" t="n">
        <v>0</v>
      </c>
      <c r="Q92" t="n">
        <v>14</v>
      </c>
      <c r="R92" s="2" t="inlineStr">
        <is>
          <t>Dvärgbägarlav
Garnlav
Kolflarnlav
Mörk kolflarnlav
Spillkråka
Tallriska
Tallticka
Talltita
Vedflamlav
Vedskivlav
Vitgrynig nållav
Bronshjon
Skarp dropptaggsvamp
Vedticka</t>
        </is>
      </c>
      <c r="S92">
        <f>HYPERLINK("https://klasma.github.io/Logging_2062/artfynd/A 48348-2024 artfynd.xlsx", "A 48348-2024")</f>
        <v/>
      </c>
      <c r="T92">
        <f>HYPERLINK("https://klasma.github.io/Logging_2062/kartor/A 48348-2024 karta.png", "A 48348-2024")</f>
        <v/>
      </c>
      <c r="V92">
        <f>HYPERLINK("https://klasma.github.io/Logging_2062/klagomål/A 48348-2024 FSC-klagomål.docx", "A 48348-2024")</f>
        <v/>
      </c>
      <c r="W92">
        <f>HYPERLINK("https://klasma.github.io/Logging_2062/klagomålsmail/A 48348-2024 FSC-klagomål mail.docx", "A 48348-2024")</f>
        <v/>
      </c>
      <c r="X92">
        <f>HYPERLINK("https://klasma.github.io/Logging_2062/tillsyn/A 48348-2024 tillsynsbegäran.docx", "A 48348-2024")</f>
        <v/>
      </c>
      <c r="Y92">
        <f>HYPERLINK("https://klasma.github.io/Logging_2062/tillsynsmail/A 48348-2024 tillsynsbegäran mail.docx", "A 48348-2024")</f>
        <v/>
      </c>
      <c r="Z92">
        <f>HYPERLINK("https://klasma.github.io/Logging_2062/fåglar/A 48348-2024 prioriterade fågelarter.docx", "A 48348-2024")</f>
        <v/>
      </c>
    </row>
    <row r="93" ht="15" customHeight="1">
      <c r="A93" t="inlineStr">
        <is>
          <t>A 59545-2024</t>
        </is>
      </c>
      <c r="B93" s="1" t="n">
        <v>45638.62018518519</v>
      </c>
      <c r="C93" s="1" t="n">
        <v>46114</v>
      </c>
      <c r="D93" t="inlineStr">
        <is>
          <t>DALARNAS LÄN</t>
        </is>
      </c>
      <c r="E93" t="inlineStr">
        <is>
          <t>ÄLVDALEN</t>
        </is>
      </c>
      <c r="G93" t="n">
        <v>7.9</v>
      </c>
      <c r="H93" t="n">
        <v>6</v>
      </c>
      <c r="I93" t="n">
        <v>3</v>
      </c>
      <c r="J93" t="n">
        <v>8</v>
      </c>
      <c r="K93" t="n">
        <v>0</v>
      </c>
      <c r="L93" t="n">
        <v>0</v>
      </c>
      <c r="M93" t="n">
        <v>0</v>
      </c>
      <c r="N93" t="n">
        <v>0</v>
      </c>
      <c r="O93" t="n">
        <v>8</v>
      </c>
      <c r="P93" t="n">
        <v>0</v>
      </c>
      <c r="Q93" t="n">
        <v>14</v>
      </c>
      <c r="R93" s="2" t="inlineStr">
        <is>
          <t>Doftskinn
Garnlav
Skogshare
Spillkråka
Tallticka
Talltita
Tretåig hackspett
Vedskivlav
Mindre märgborre
Skarp dropptaggsvamp
Vedticka
Orre
Tjäder
Revlummer</t>
        </is>
      </c>
      <c r="S93">
        <f>HYPERLINK("https://klasma.github.io/Logging_2039/artfynd/A 59545-2024 artfynd.xlsx", "A 59545-2024")</f>
        <v/>
      </c>
      <c r="T93">
        <f>HYPERLINK("https://klasma.github.io/Logging_2039/kartor/A 59545-2024 karta.png", "A 59545-2024")</f>
        <v/>
      </c>
      <c r="V93">
        <f>HYPERLINK("https://klasma.github.io/Logging_2039/klagomål/A 59545-2024 FSC-klagomål.docx", "A 59545-2024")</f>
        <v/>
      </c>
      <c r="W93">
        <f>HYPERLINK("https://klasma.github.io/Logging_2039/klagomålsmail/A 59545-2024 FSC-klagomål mail.docx", "A 59545-2024")</f>
        <v/>
      </c>
      <c r="X93">
        <f>HYPERLINK("https://klasma.github.io/Logging_2039/tillsyn/A 59545-2024 tillsynsbegäran.docx", "A 59545-2024")</f>
        <v/>
      </c>
      <c r="Y93">
        <f>HYPERLINK("https://klasma.github.io/Logging_2039/tillsynsmail/A 59545-2024 tillsynsbegäran mail.docx", "A 59545-2024")</f>
        <v/>
      </c>
      <c r="Z93">
        <f>HYPERLINK("https://klasma.github.io/Logging_2039/fåglar/A 59545-2024 prioriterade fågelarter.docx", "A 59545-2024")</f>
        <v/>
      </c>
    </row>
    <row r="94" ht="15" customHeight="1">
      <c r="A94" t="inlineStr">
        <is>
          <t>A 34901-2022</t>
        </is>
      </c>
      <c r="B94" s="1" t="n">
        <v>44796</v>
      </c>
      <c r="C94" s="1" t="n">
        <v>46114</v>
      </c>
      <c r="D94" t="inlineStr">
        <is>
          <t>DALARNAS LÄN</t>
        </is>
      </c>
      <c r="E94" t="inlineStr">
        <is>
          <t>MALUNG-SÄLEN</t>
        </is>
      </c>
      <c r="G94" t="n">
        <v>6</v>
      </c>
      <c r="H94" t="n">
        <v>2</v>
      </c>
      <c r="I94" t="n">
        <v>2</v>
      </c>
      <c r="J94" t="n">
        <v>9</v>
      </c>
      <c r="K94" t="n">
        <v>2</v>
      </c>
      <c r="L94" t="n">
        <v>0</v>
      </c>
      <c r="M94" t="n">
        <v>0</v>
      </c>
      <c r="N94" t="n">
        <v>0</v>
      </c>
      <c r="O94" t="n">
        <v>11</v>
      </c>
      <c r="P94" t="n">
        <v>2</v>
      </c>
      <c r="Q94" t="n">
        <v>14</v>
      </c>
      <c r="R94" s="2" t="inlineStr">
        <is>
          <t>Rynkskinn
Rödskaftad svartspik
Gammelgransskål
Garnlav
Gränsticka
Kolflarnlav
Kortskaftad ärgspik
Tretåig hackspett
Vedflamlav
Vedskivlav
Vitgrynig nållav
Korallblylav
Vedticka
Revlummer</t>
        </is>
      </c>
      <c r="S94">
        <f>HYPERLINK("https://klasma.github.io/Logging_2023/artfynd/A 34901-2022 artfynd.xlsx", "A 34901-2022")</f>
        <v/>
      </c>
      <c r="T94">
        <f>HYPERLINK("https://klasma.github.io/Logging_2023/kartor/A 34901-2022 karta.png", "A 34901-2022")</f>
        <v/>
      </c>
      <c r="V94">
        <f>HYPERLINK("https://klasma.github.io/Logging_2023/klagomål/A 34901-2022 FSC-klagomål.docx", "A 34901-2022")</f>
        <v/>
      </c>
      <c r="W94">
        <f>HYPERLINK("https://klasma.github.io/Logging_2023/klagomålsmail/A 34901-2022 FSC-klagomål mail.docx", "A 34901-2022")</f>
        <v/>
      </c>
      <c r="X94">
        <f>HYPERLINK("https://klasma.github.io/Logging_2023/tillsyn/A 34901-2022 tillsynsbegäran.docx", "A 34901-2022")</f>
        <v/>
      </c>
      <c r="Y94">
        <f>HYPERLINK("https://klasma.github.io/Logging_2023/tillsynsmail/A 34901-2022 tillsynsbegäran mail.docx", "A 34901-2022")</f>
        <v/>
      </c>
      <c r="Z94">
        <f>HYPERLINK("https://klasma.github.io/Logging_2023/fåglar/A 34901-2022 prioriterade fågelarter.docx", "A 34901-2022")</f>
        <v/>
      </c>
    </row>
    <row r="95" ht="15" customHeight="1">
      <c r="A95" t="inlineStr">
        <is>
          <t>A 56438-2024</t>
        </is>
      </c>
      <c r="B95" s="1" t="n">
        <v>45625</v>
      </c>
      <c r="C95" s="1" t="n">
        <v>46114</v>
      </c>
      <c r="D95" t="inlineStr">
        <is>
          <t>DALARNAS LÄN</t>
        </is>
      </c>
      <c r="E95" t="inlineStr">
        <is>
          <t>MORA</t>
        </is>
      </c>
      <c r="G95" t="n">
        <v>8.800000000000001</v>
      </c>
      <c r="H95" t="n">
        <v>3</v>
      </c>
      <c r="I95" t="n">
        <v>2</v>
      </c>
      <c r="J95" t="n">
        <v>11</v>
      </c>
      <c r="K95" t="n">
        <v>0</v>
      </c>
      <c r="L95" t="n">
        <v>0</v>
      </c>
      <c r="M95" t="n">
        <v>0</v>
      </c>
      <c r="N95" t="n">
        <v>0</v>
      </c>
      <c r="O95" t="n">
        <v>11</v>
      </c>
      <c r="P95" t="n">
        <v>0</v>
      </c>
      <c r="Q95" t="n">
        <v>14</v>
      </c>
      <c r="R95" s="2" t="inlineStr">
        <is>
          <t>Garnlav
Granticka
Kolflarnlav
Mörk kolflarnlav
Rosenticka
Spillkråka
Tallticka
Tretåig hackspett
Ullticka
Vedskivlav
Vitgrynig nållav
Bronshjon
Mindre märgborre
Tjäder</t>
        </is>
      </c>
      <c r="S95">
        <f>HYPERLINK("https://klasma.github.io/Logging_2062/artfynd/A 56438-2024 artfynd.xlsx", "A 56438-2024")</f>
        <v/>
      </c>
      <c r="T95">
        <f>HYPERLINK("https://klasma.github.io/Logging_2062/kartor/A 56438-2024 karta.png", "A 56438-2024")</f>
        <v/>
      </c>
      <c r="V95">
        <f>HYPERLINK("https://klasma.github.io/Logging_2062/klagomål/A 56438-2024 FSC-klagomål.docx", "A 56438-2024")</f>
        <v/>
      </c>
      <c r="W95">
        <f>HYPERLINK("https://klasma.github.io/Logging_2062/klagomålsmail/A 56438-2024 FSC-klagomål mail.docx", "A 56438-2024")</f>
        <v/>
      </c>
      <c r="X95">
        <f>HYPERLINK("https://klasma.github.io/Logging_2062/tillsyn/A 56438-2024 tillsynsbegäran.docx", "A 56438-2024")</f>
        <v/>
      </c>
      <c r="Y95">
        <f>HYPERLINK("https://klasma.github.io/Logging_2062/tillsynsmail/A 56438-2024 tillsynsbegäran mail.docx", "A 56438-2024")</f>
        <v/>
      </c>
      <c r="Z95">
        <f>HYPERLINK("https://klasma.github.io/Logging_2062/fåglar/A 56438-2024 prioriterade fågelarter.docx", "A 56438-2024")</f>
        <v/>
      </c>
    </row>
    <row r="96" ht="15" customHeight="1">
      <c r="A96" t="inlineStr">
        <is>
          <t>A 38047-2025</t>
        </is>
      </c>
      <c r="B96" s="1" t="n">
        <v>45882</v>
      </c>
      <c r="C96" s="1" t="n">
        <v>46114</v>
      </c>
      <c r="D96" t="inlineStr">
        <is>
          <t>DALARNAS LÄN</t>
        </is>
      </c>
      <c r="E96" t="inlineStr">
        <is>
          <t>ORSA</t>
        </is>
      </c>
      <c r="G96" t="n">
        <v>6.9</v>
      </c>
      <c r="H96" t="n">
        <v>6</v>
      </c>
      <c r="I96" t="n">
        <v>4</v>
      </c>
      <c r="J96" t="n">
        <v>8</v>
      </c>
      <c r="K96" t="n">
        <v>0</v>
      </c>
      <c r="L96" t="n">
        <v>0</v>
      </c>
      <c r="M96" t="n">
        <v>0</v>
      </c>
      <c r="N96" t="n">
        <v>0</v>
      </c>
      <c r="O96" t="n">
        <v>8</v>
      </c>
      <c r="P96" t="n">
        <v>0</v>
      </c>
      <c r="Q96" t="n">
        <v>14</v>
      </c>
      <c r="R96" s="2" t="inlineStr">
        <is>
          <t>Björktrast
Garnlav
Mörk kolflarnlav
Spillkråka
Talltita
Tretåig hackspett
Vedflamlav
Violettgrå tagellav
Bronshjon
Dropptaggsvamp
Mindre märgborre
Vedticka
Bivråk
Tjäder</t>
        </is>
      </c>
      <c r="S96">
        <f>HYPERLINK("https://klasma.github.io/Logging_2034/artfynd/A 38047-2025 artfynd.xlsx", "A 38047-2025")</f>
        <v/>
      </c>
      <c r="T96">
        <f>HYPERLINK("https://klasma.github.io/Logging_2034/kartor/A 38047-2025 karta.png", "A 38047-2025")</f>
        <v/>
      </c>
      <c r="V96">
        <f>HYPERLINK("https://klasma.github.io/Logging_2034/klagomål/A 38047-2025 FSC-klagomål.docx", "A 38047-2025")</f>
        <v/>
      </c>
      <c r="W96">
        <f>HYPERLINK("https://klasma.github.io/Logging_2034/klagomålsmail/A 38047-2025 FSC-klagomål mail.docx", "A 38047-2025")</f>
        <v/>
      </c>
      <c r="X96">
        <f>HYPERLINK("https://klasma.github.io/Logging_2034/tillsyn/A 38047-2025 tillsynsbegäran.docx", "A 38047-2025")</f>
        <v/>
      </c>
      <c r="Y96">
        <f>HYPERLINK("https://klasma.github.io/Logging_2034/tillsynsmail/A 38047-2025 tillsynsbegäran mail.docx", "A 38047-2025")</f>
        <v/>
      </c>
      <c r="Z96">
        <f>HYPERLINK("https://klasma.github.io/Logging_2034/fåglar/A 38047-2025 prioriterade fågelarter.docx", "A 38047-2025")</f>
        <v/>
      </c>
    </row>
    <row r="97" ht="15" customHeight="1">
      <c r="A97" t="inlineStr">
        <is>
          <t>A 12767-2026</t>
        </is>
      </c>
      <c r="B97" s="1" t="n">
        <v>46091.67108796296</v>
      </c>
      <c r="C97" s="1" t="n">
        <v>46114</v>
      </c>
      <c r="D97" t="inlineStr">
        <is>
          <t>DALARNAS LÄN</t>
        </is>
      </c>
      <c r="E97" t="inlineStr">
        <is>
          <t>RÄTTVIK</t>
        </is>
      </c>
      <c r="F97" t="inlineStr">
        <is>
          <t>Sveaskog</t>
        </is>
      </c>
      <c r="G97" t="n">
        <v>10.1</v>
      </c>
      <c r="H97" t="n">
        <v>1</v>
      </c>
      <c r="I97" t="n">
        <v>4</v>
      </c>
      <c r="J97" t="n">
        <v>6</v>
      </c>
      <c r="K97" t="n">
        <v>3</v>
      </c>
      <c r="L97" t="n">
        <v>0</v>
      </c>
      <c r="M97" t="n">
        <v>0</v>
      </c>
      <c r="N97" t="n">
        <v>0</v>
      </c>
      <c r="O97" t="n">
        <v>10</v>
      </c>
      <c r="P97" t="n">
        <v>3</v>
      </c>
      <c r="Q97" t="n">
        <v>14</v>
      </c>
      <c r="R97" s="2" t="inlineStr">
        <is>
          <t>Lammticka
Rotfingersvamp
Torrmusseron
Blå taggsvamp
Motaggsvamp
Orange taggsvamp
Skrovlig taggsvamp
Tallriska
Talltaggsvamp
Gelatinfingersvamp
Dropptaggsvamp
Plattlummer
Skarp dropptaggsvamp
Tallfingersvamp</t>
        </is>
      </c>
      <c r="S97">
        <f>HYPERLINK("https://klasma.github.io/Logging_2031/artfynd/A 12767-2026 artfynd.xlsx", "A 12767-2026")</f>
        <v/>
      </c>
      <c r="T97">
        <f>HYPERLINK("https://klasma.github.io/Logging_2031/kartor/A 12767-2026 karta.png", "A 12767-2026")</f>
        <v/>
      </c>
      <c r="V97">
        <f>HYPERLINK("https://klasma.github.io/Logging_2031/klagomål/A 12767-2026 FSC-klagomål.docx", "A 12767-2026")</f>
        <v/>
      </c>
      <c r="W97">
        <f>HYPERLINK("https://klasma.github.io/Logging_2031/klagomålsmail/A 12767-2026 FSC-klagomål mail.docx", "A 12767-2026")</f>
        <v/>
      </c>
      <c r="X97">
        <f>HYPERLINK("https://klasma.github.io/Logging_2031/tillsyn/A 12767-2026 tillsynsbegäran.docx", "A 12767-2026")</f>
        <v/>
      </c>
      <c r="Y97">
        <f>HYPERLINK("https://klasma.github.io/Logging_2031/tillsynsmail/A 12767-2026 tillsynsbegäran mail.docx", "A 12767-2026")</f>
        <v/>
      </c>
    </row>
    <row r="98" ht="15" customHeight="1">
      <c r="A98" t="inlineStr">
        <is>
          <t>A 7916-2026</t>
        </is>
      </c>
      <c r="B98" s="1" t="n">
        <v>46063</v>
      </c>
      <c r="C98" s="1" t="n">
        <v>46114</v>
      </c>
      <c r="D98" t="inlineStr">
        <is>
          <t>DALARNAS LÄN</t>
        </is>
      </c>
      <c r="E98" t="inlineStr">
        <is>
          <t>ÄLVDALEN</t>
        </is>
      </c>
      <c r="F98" t="inlineStr">
        <is>
          <t>Övriga Aktiebolag</t>
        </is>
      </c>
      <c r="G98" t="n">
        <v>41.2</v>
      </c>
      <c r="H98" t="n">
        <v>6</v>
      </c>
      <c r="I98" t="n">
        <v>2</v>
      </c>
      <c r="J98" t="n">
        <v>10</v>
      </c>
      <c r="K98" t="n">
        <v>0</v>
      </c>
      <c r="L98" t="n">
        <v>0</v>
      </c>
      <c r="M98" t="n">
        <v>0</v>
      </c>
      <c r="N98" t="n">
        <v>0</v>
      </c>
      <c r="O98" t="n">
        <v>10</v>
      </c>
      <c r="P98" t="n">
        <v>0</v>
      </c>
      <c r="Q98" t="n">
        <v>14</v>
      </c>
      <c r="R98" s="2" t="inlineStr">
        <is>
          <t>Blågrå svartspik
Garnlav
Kolflarnlav
Mörk kolflarnlav
Spillkråka
Talltita
Tretåig hackspett
Varglav
Vedflamlav
Vedskivlav
Mindre märgborre
Vedticka
Orre
Tjäder</t>
        </is>
      </c>
      <c r="S98">
        <f>HYPERLINK("https://klasma.github.io/Logging_2039/artfynd/A 7916-2026 artfynd.xlsx", "A 7916-2026")</f>
        <v/>
      </c>
      <c r="T98">
        <f>HYPERLINK("https://klasma.github.io/Logging_2039/kartor/A 7916-2026 karta.png", "A 7916-2026")</f>
        <v/>
      </c>
      <c r="V98">
        <f>HYPERLINK("https://klasma.github.io/Logging_2039/klagomål/A 7916-2026 FSC-klagomål.docx", "A 7916-2026")</f>
        <v/>
      </c>
      <c r="W98">
        <f>HYPERLINK("https://klasma.github.io/Logging_2039/klagomålsmail/A 7916-2026 FSC-klagomål mail.docx", "A 7916-2026")</f>
        <v/>
      </c>
      <c r="X98">
        <f>HYPERLINK("https://klasma.github.io/Logging_2039/tillsyn/A 7916-2026 tillsynsbegäran.docx", "A 7916-2026")</f>
        <v/>
      </c>
      <c r="Y98">
        <f>HYPERLINK("https://klasma.github.io/Logging_2039/tillsynsmail/A 7916-2026 tillsynsbegäran mail.docx", "A 7916-2026")</f>
        <v/>
      </c>
      <c r="Z98">
        <f>HYPERLINK("https://klasma.github.io/Logging_2039/fåglar/A 7916-2026 prioriterade fågelarter.docx", "A 7916-2026")</f>
        <v/>
      </c>
    </row>
    <row r="99" ht="15" customHeight="1">
      <c r="A99" t="inlineStr">
        <is>
          <t>A 35314-2025</t>
        </is>
      </c>
      <c r="B99" s="1" t="n">
        <v>45854</v>
      </c>
      <c r="C99" s="1" t="n">
        <v>46114</v>
      </c>
      <c r="D99" t="inlineStr">
        <is>
          <t>DALARNAS LÄN</t>
        </is>
      </c>
      <c r="E99" t="inlineStr">
        <is>
          <t>LEKSAND</t>
        </is>
      </c>
      <c r="G99" t="n">
        <v>7.8</v>
      </c>
      <c r="H99" t="n">
        <v>3</v>
      </c>
      <c r="I99" t="n">
        <v>5</v>
      </c>
      <c r="J99" t="n">
        <v>7</v>
      </c>
      <c r="K99" t="n">
        <v>1</v>
      </c>
      <c r="L99" t="n">
        <v>0</v>
      </c>
      <c r="M99" t="n">
        <v>0</v>
      </c>
      <c r="N99" t="n">
        <v>0</v>
      </c>
      <c r="O99" t="n">
        <v>8</v>
      </c>
      <c r="P99" t="n">
        <v>1</v>
      </c>
      <c r="Q99" t="n">
        <v>14</v>
      </c>
      <c r="R99" s="2" t="inlineStr">
        <is>
          <t>Knärot
Garnlav
Granticka
Talltita
Ullticka
Vedskivlav
Vedtrappmossa
Vitgrynig nållav
Bollvitmossa
Bronshjon
Dropptaggsvamp
Mindre märgborre
Vedticka
Revlummer</t>
        </is>
      </c>
      <c r="S99">
        <f>HYPERLINK("https://klasma.github.io/Logging_2029/artfynd/A 35314-2025 artfynd.xlsx", "A 35314-2025")</f>
        <v/>
      </c>
      <c r="T99">
        <f>HYPERLINK("https://klasma.github.io/Logging_2029/kartor/A 35314-2025 karta.png", "A 35314-2025")</f>
        <v/>
      </c>
      <c r="U99">
        <f>HYPERLINK("https://klasma.github.io/Logging_2029/knärot/A 35314-2025 karta knärot.png", "A 35314-2025")</f>
        <v/>
      </c>
      <c r="V99">
        <f>HYPERLINK("https://klasma.github.io/Logging_2029/klagomål/A 35314-2025 FSC-klagomål.docx", "A 35314-2025")</f>
        <v/>
      </c>
      <c r="W99">
        <f>HYPERLINK("https://klasma.github.io/Logging_2029/klagomålsmail/A 35314-2025 FSC-klagomål mail.docx", "A 35314-2025")</f>
        <v/>
      </c>
      <c r="X99">
        <f>HYPERLINK("https://klasma.github.io/Logging_2029/tillsyn/A 35314-2025 tillsynsbegäran.docx", "A 35314-2025")</f>
        <v/>
      </c>
      <c r="Y99">
        <f>HYPERLINK("https://klasma.github.io/Logging_2029/tillsynsmail/A 35314-2025 tillsynsbegäran mail.docx", "A 35314-2025")</f>
        <v/>
      </c>
      <c r="Z99">
        <f>HYPERLINK("https://klasma.github.io/Logging_2029/fåglar/A 35314-2025 prioriterade fågelarter.docx", "A 35314-2025")</f>
        <v/>
      </c>
    </row>
    <row r="100" ht="15" customHeight="1">
      <c r="A100" t="inlineStr">
        <is>
          <t>A 19847-2021</t>
        </is>
      </c>
      <c r="B100" s="1" t="n">
        <v>44313</v>
      </c>
      <c r="C100" s="1" t="n">
        <v>46114</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73613-2021</t>
        </is>
      </c>
      <c r="B101" s="1" t="n">
        <v>44552</v>
      </c>
      <c r="C101" s="1" t="n">
        <v>46114</v>
      </c>
      <c r="D101" t="inlineStr">
        <is>
          <t>DALARNAS LÄN</t>
        </is>
      </c>
      <c r="E101" t="inlineStr">
        <is>
          <t>BORLÄNGE</t>
        </is>
      </c>
      <c r="G101" t="n">
        <v>28</v>
      </c>
      <c r="H101" t="n">
        <v>3</v>
      </c>
      <c r="I101" t="n">
        <v>3</v>
      </c>
      <c r="J101" t="n">
        <v>7</v>
      </c>
      <c r="K101" t="n">
        <v>1</v>
      </c>
      <c r="L101" t="n">
        <v>0</v>
      </c>
      <c r="M101" t="n">
        <v>0</v>
      </c>
      <c r="N101" t="n">
        <v>0</v>
      </c>
      <c r="O101" t="n">
        <v>8</v>
      </c>
      <c r="P101" t="n">
        <v>1</v>
      </c>
      <c r="Q101" t="n">
        <v>13</v>
      </c>
      <c r="R101" s="2" t="inlineStr">
        <is>
          <t>Rynkskinn
Garnlav
Motaggsvamp
Svart taggsvamp agg.
Svartvit taggsvamp
Tallticka
Tretåig hackspett
Ullticka
Dropptaggsvamp
Rostfläck
Vedticka
Tjäder
Törnskata</t>
        </is>
      </c>
      <c r="S101">
        <f>HYPERLINK("https://klasma.github.io/Logging_2081/artfynd/A 73613-2021 artfynd.xlsx", "A 73613-2021")</f>
        <v/>
      </c>
      <c r="T101">
        <f>HYPERLINK("https://klasma.github.io/Logging_2081/kartor/A 73613-2021 karta.png", "A 73613-2021")</f>
        <v/>
      </c>
      <c r="V101">
        <f>HYPERLINK("https://klasma.github.io/Logging_2081/klagomål/A 73613-2021 FSC-klagomål.docx", "A 73613-2021")</f>
        <v/>
      </c>
      <c r="W101">
        <f>HYPERLINK("https://klasma.github.io/Logging_2081/klagomålsmail/A 73613-2021 FSC-klagomål mail.docx", "A 73613-2021")</f>
        <v/>
      </c>
      <c r="X101">
        <f>HYPERLINK("https://klasma.github.io/Logging_2081/tillsyn/A 73613-2021 tillsynsbegäran.docx", "A 73613-2021")</f>
        <v/>
      </c>
      <c r="Y101">
        <f>HYPERLINK("https://klasma.github.io/Logging_2081/tillsynsmail/A 73613-2021 tillsynsbegäran mail.docx", "A 73613-2021")</f>
        <v/>
      </c>
      <c r="Z101">
        <f>HYPERLINK("https://klasma.github.io/Logging_2081/fåglar/A 73613-2021 prioriterade fågelarter.docx", "A 73613-2021")</f>
        <v/>
      </c>
    </row>
    <row r="102" ht="15" customHeight="1">
      <c r="A102" t="inlineStr">
        <is>
          <t>A 57321-2024</t>
        </is>
      </c>
      <c r="B102" s="1" t="n">
        <v>45629</v>
      </c>
      <c r="C102" s="1" t="n">
        <v>46114</v>
      </c>
      <c r="D102" t="inlineStr">
        <is>
          <t>DALARNAS LÄN</t>
        </is>
      </c>
      <c r="E102" t="inlineStr">
        <is>
          <t>SMEDJEBACKEN</t>
        </is>
      </c>
      <c r="F102" t="inlineStr">
        <is>
          <t>Bergvik skog väst AB</t>
        </is>
      </c>
      <c r="G102" t="n">
        <v>4.1</v>
      </c>
      <c r="H102" t="n">
        <v>3</v>
      </c>
      <c r="I102" t="n">
        <v>5</v>
      </c>
      <c r="J102" t="n">
        <v>4</v>
      </c>
      <c r="K102" t="n">
        <v>2</v>
      </c>
      <c r="L102" t="n">
        <v>0</v>
      </c>
      <c r="M102" t="n">
        <v>0</v>
      </c>
      <c r="N102" t="n">
        <v>0</v>
      </c>
      <c r="O102" t="n">
        <v>6</v>
      </c>
      <c r="P102" t="n">
        <v>2</v>
      </c>
      <c r="Q102" t="n">
        <v>13</v>
      </c>
      <c r="R102" s="2" t="inlineStr">
        <is>
          <t>Knärot
Rynkskinn
Dofttaggsvamp
Gul taggsvamp
Rovspindling
Vedtrappmossa
Bollvitmossa
Svavelriska
Tibast
Trådticka
Vårärt
Fläcknycklar
Blåsippa</t>
        </is>
      </c>
      <c r="S102">
        <f>HYPERLINK("https://klasma.github.io/Logging_2061/artfynd/A 57321-2024 artfynd.xlsx", "A 57321-2024")</f>
        <v/>
      </c>
      <c r="T102">
        <f>HYPERLINK("https://klasma.github.io/Logging_2061/kartor/A 57321-2024 karta.png", "A 57321-2024")</f>
        <v/>
      </c>
      <c r="U102">
        <f>HYPERLINK("https://klasma.github.io/Logging_2061/knärot/A 57321-2024 karta knärot.png", "A 57321-2024")</f>
        <v/>
      </c>
      <c r="V102">
        <f>HYPERLINK("https://klasma.github.io/Logging_2061/klagomål/A 57321-2024 FSC-klagomål.docx", "A 57321-2024")</f>
        <v/>
      </c>
      <c r="W102">
        <f>HYPERLINK("https://klasma.github.io/Logging_2061/klagomålsmail/A 57321-2024 FSC-klagomål mail.docx", "A 57321-2024")</f>
        <v/>
      </c>
      <c r="X102">
        <f>HYPERLINK("https://klasma.github.io/Logging_2061/tillsyn/A 57321-2024 tillsynsbegäran.docx", "A 57321-2024")</f>
        <v/>
      </c>
      <c r="Y102">
        <f>HYPERLINK("https://klasma.github.io/Logging_2061/tillsynsmail/A 57321-2024 tillsynsbegäran mail.docx", "A 57321-2024")</f>
        <v/>
      </c>
    </row>
    <row r="103" ht="15" customHeight="1">
      <c r="A103" t="inlineStr">
        <is>
          <t>A 69728-2021</t>
        </is>
      </c>
      <c r="B103" s="1" t="n">
        <v>44532</v>
      </c>
      <c r="C103" s="1" t="n">
        <v>46114</v>
      </c>
      <c r="D103" t="inlineStr">
        <is>
          <t>DALARNAS LÄN</t>
        </is>
      </c>
      <c r="E103" t="inlineStr">
        <is>
          <t>ÄLVDALEN</t>
        </is>
      </c>
      <c r="G103" t="n">
        <v>19.1</v>
      </c>
      <c r="H103" t="n">
        <v>0</v>
      </c>
      <c r="I103" t="n">
        <v>1</v>
      </c>
      <c r="J103" t="n">
        <v>8</v>
      </c>
      <c r="K103" t="n">
        <v>4</v>
      </c>
      <c r="L103" t="n">
        <v>0</v>
      </c>
      <c r="M103" t="n">
        <v>0</v>
      </c>
      <c r="N103" t="n">
        <v>0</v>
      </c>
      <c r="O103" t="n">
        <v>12</v>
      </c>
      <c r="P103" t="n">
        <v>4</v>
      </c>
      <c r="Q103" t="n">
        <v>13</v>
      </c>
      <c r="R103" s="2" t="inlineStr">
        <is>
          <t>Barrgråtagging
Fläckporing
Gräddporing
Smalfotad taggsvamp
Blanksvart spiklav
Dvärgbägarlav
Kolflarnlav
Mörk kolflarnlav
Nordtagging
Orange taggsvamp
Skrovlig taggsvamp
Vedskivlav
Dropptaggsvamp</t>
        </is>
      </c>
      <c r="S103">
        <f>HYPERLINK("https://klasma.github.io/Logging_2039/artfynd/A 69728-2021 artfynd.xlsx", "A 69728-2021")</f>
        <v/>
      </c>
      <c r="T103">
        <f>HYPERLINK("https://klasma.github.io/Logging_2039/kartor/A 69728-2021 karta.png", "A 69728-2021")</f>
        <v/>
      </c>
      <c r="V103">
        <f>HYPERLINK("https://klasma.github.io/Logging_2039/klagomål/A 69728-2021 FSC-klagomål.docx", "A 69728-2021")</f>
        <v/>
      </c>
      <c r="W103">
        <f>HYPERLINK("https://klasma.github.io/Logging_2039/klagomålsmail/A 69728-2021 FSC-klagomål mail.docx", "A 69728-2021")</f>
        <v/>
      </c>
      <c r="X103">
        <f>HYPERLINK("https://klasma.github.io/Logging_2039/tillsyn/A 69728-2021 tillsynsbegäran.docx", "A 69728-2021")</f>
        <v/>
      </c>
      <c r="Y103">
        <f>HYPERLINK("https://klasma.github.io/Logging_2039/tillsynsmail/A 69728-2021 tillsynsbegäran mail.docx", "A 69728-2021")</f>
        <v/>
      </c>
    </row>
    <row r="104" ht="15" customHeight="1">
      <c r="A104" t="inlineStr">
        <is>
          <t>A 53931-2025</t>
        </is>
      </c>
      <c r="B104" s="1" t="n">
        <v>45961</v>
      </c>
      <c r="C104" s="1" t="n">
        <v>46114</v>
      </c>
      <c r="D104" t="inlineStr">
        <is>
          <t>DALARNAS LÄN</t>
        </is>
      </c>
      <c r="E104" t="inlineStr">
        <is>
          <t>LUDVIKA</t>
        </is>
      </c>
      <c r="F104" t="inlineStr">
        <is>
          <t>Bergvik skog väst AB</t>
        </is>
      </c>
      <c r="G104" t="n">
        <v>22.8</v>
      </c>
      <c r="H104" t="n">
        <v>2</v>
      </c>
      <c r="I104" t="n">
        <v>4</v>
      </c>
      <c r="J104" t="n">
        <v>9</v>
      </c>
      <c r="K104" t="n">
        <v>0</v>
      </c>
      <c r="L104" t="n">
        <v>0</v>
      </c>
      <c r="M104" t="n">
        <v>0</v>
      </c>
      <c r="N104" t="n">
        <v>0</v>
      </c>
      <c r="O104" t="n">
        <v>9</v>
      </c>
      <c r="P104" t="n">
        <v>0</v>
      </c>
      <c r="Q104" t="n">
        <v>13</v>
      </c>
      <c r="R104" s="2" t="inlineStr">
        <is>
          <t>Doftskinn
Dvärgbägarlav
Garnlav
Kolflarnlav
Kortskaftad ärgspik
Spillkråka
Tretåig hackspett
Ullticka
Vedskivlav
Dropptaggsvamp
Fjällig taggsvamp s.str.
Nästlav
Vedticka</t>
        </is>
      </c>
      <c r="S104">
        <f>HYPERLINK("https://klasma.github.io/Logging_2085/artfynd/A 53931-2025 artfynd.xlsx", "A 53931-2025")</f>
        <v/>
      </c>
      <c r="T104">
        <f>HYPERLINK("https://klasma.github.io/Logging_2085/kartor/A 53931-2025 karta.png", "A 53931-2025")</f>
        <v/>
      </c>
      <c r="V104">
        <f>HYPERLINK("https://klasma.github.io/Logging_2085/klagomål/A 53931-2025 FSC-klagomål.docx", "A 53931-2025")</f>
        <v/>
      </c>
      <c r="W104">
        <f>HYPERLINK("https://klasma.github.io/Logging_2085/klagomålsmail/A 53931-2025 FSC-klagomål mail.docx", "A 53931-2025")</f>
        <v/>
      </c>
      <c r="X104">
        <f>HYPERLINK("https://klasma.github.io/Logging_2085/tillsyn/A 53931-2025 tillsynsbegäran.docx", "A 53931-2025")</f>
        <v/>
      </c>
      <c r="Y104">
        <f>HYPERLINK("https://klasma.github.io/Logging_2085/tillsynsmail/A 53931-2025 tillsynsbegäran mail.docx", "A 53931-2025")</f>
        <v/>
      </c>
      <c r="Z104">
        <f>HYPERLINK("https://klasma.github.io/Logging_2085/fåglar/A 53931-2025 prioriterade fågelarter.docx", "A 53931-2025")</f>
        <v/>
      </c>
    </row>
    <row r="105" ht="15" customHeight="1">
      <c r="A105" t="inlineStr">
        <is>
          <t>A 23535-2025</t>
        </is>
      </c>
      <c r="B105" s="1" t="n">
        <v>45792</v>
      </c>
      <c r="C105" s="1" t="n">
        <v>46114</v>
      </c>
      <c r="D105" t="inlineStr">
        <is>
          <t>DALARNAS LÄN</t>
        </is>
      </c>
      <c r="E105" t="inlineStr">
        <is>
          <t>MORA</t>
        </is>
      </c>
      <c r="G105" t="n">
        <v>8.6</v>
      </c>
      <c r="H105" t="n">
        <v>3</v>
      </c>
      <c r="I105" t="n">
        <v>1</v>
      </c>
      <c r="J105" t="n">
        <v>10</v>
      </c>
      <c r="K105" t="n">
        <v>0</v>
      </c>
      <c r="L105" t="n">
        <v>1</v>
      </c>
      <c r="M105" t="n">
        <v>0</v>
      </c>
      <c r="N105" t="n">
        <v>0</v>
      </c>
      <c r="O105" t="n">
        <v>11</v>
      </c>
      <c r="P105" t="n">
        <v>1</v>
      </c>
      <c r="Q105" t="n">
        <v>13</v>
      </c>
      <c r="R105" s="2" t="inlineStr">
        <is>
          <t>Urskogsporing
Blanksvart spiklav
Blågrå svartspik
Dvärgbägarlav
Garnlav
Kolflarnlav
Mörk kolflarnlav
Tretåig hackspett
Varglav
Vedflamlav
Vedskivlav
Dropptaggsvamp
Tjäder</t>
        </is>
      </c>
      <c r="S105">
        <f>HYPERLINK("https://klasma.github.io/Logging_2062/artfynd/A 23535-2025 artfynd.xlsx", "A 23535-2025")</f>
        <v/>
      </c>
      <c r="T105">
        <f>HYPERLINK("https://klasma.github.io/Logging_2062/kartor/A 23535-2025 karta.png", "A 23535-2025")</f>
        <v/>
      </c>
      <c r="V105">
        <f>HYPERLINK("https://klasma.github.io/Logging_2062/klagomål/A 23535-2025 FSC-klagomål.docx", "A 23535-2025")</f>
        <v/>
      </c>
      <c r="W105">
        <f>HYPERLINK("https://klasma.github.io/Logging_2062/klagomålsmail/A 23535-2025 FSC-klagomål mail.docx", "A 23535-2025")</f>
        <v/>
      </c>
      <c r="X105">
        <f>HYPERLINK("https://klasma.github.io/Logging_2062/tillsyn/A 23535-2025 tillsynsbegäran.docx", "A 23535-2025")</f>
        <v/>
      </c>
      <c r="Y105">
        <f>HYPERLINK("https://klasma.github.io/Logging_2062/tillsynsmail/A 23535-2025 tillsynsbegäran mail.docx", "A 23535-2025")</f>
        <v/>
      </c>
      <c r="Z105">
        <f>HYPERLINK("https://klasma.github.io/Logging_2062/fåglar/A 23535-2025 prioriterade fågelarter.docx", "A 23535-2025")</f>
        <v/>
      </c>
    </row>
    <row r="106" ht="15" customHeight="1">
      <c r="A106" t="inlineStr">
        <is>
          <t>A 37044-2025</t>
        </is>
      </c>
      <c r="B106" s="1" t="n">
        <v>45875</v>
      </c>
      <c r="C106" s="1" t="n">
        <v>46114</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46114</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Mörk kolflarnlav
Rosenticka
Spillkråka
Tallkötticka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58945-2025</t>
        </is>
      </c>
      <c r="B108" s="1" t="n">
        <v>45987</v>
      </c>
      <c r="C108" s="1" t="n">
        <v>46114</v>
      </c>
      <c r="D108" t="inlineStr">
        <is>
          <t>DALARNAS LÄN</t>
        </is>
      </c>
      <c r="E108" t="inlineStr">
        <is>
          <t>VANSBRO</t>
        </is>
      </c>
      <c r="G108" t="n">
        <v>12.1</v>
      </c>
      <c r="H108" t="n">
        <v>3</v>
      </c>
      <c r="I108" t="n">
        <v>6</v>
      </c>
      <c r="J108" t="n">
        <v>7</v>
      </c>
      <c r="K108" t="n">
        <v>0</v>
      </c>
      <c r="L108" t="n">
        <v>0</v>
      </c>
      <c r="M108" t="n">
        <v>0</v>
      </c>
      <c r="N108" t="n">
        <v>0</v>
      </c>
      <c r="O108" t="n">
        <v>7</v>
      </c>
      <c r="P108" t="n">
        <v>0</v>
      </c>
      <c r="Q108" t="n">
        <v>13</v>
      </c>
      <c r="R108" s="2" t="inlineStr">
        <is>
          <t>Garnlav
Kolflarnlav
Mörk kolflarnlav
Spillkråka
Tallticka
Talltita
Tretåig hackspett
Bollvitmossa
Dropptaggsvamp
Mindre märgborre
Skarp dropptaggsvamp
Vedticka
Vågbandad barkbock</t>
        </is>
      </c>
      <c r="S108">
        <f>HYPERLINK("https://klasma.github.io/Logging_2021/artfynd/A 58945-2025 artfynd.xlsx", "A 58945-2025")</f>
        <v/>
      </c>
      <c r="T108">
        <f>HYPERLINK("https://klasma.github.io/Logging_2021/kartor/A 58945-2025 karta.png", "A 58945-2025")</f>
        <v/>
      </c>
      <c r="U108">
        <f>HYPERLINK("https://klasma.github.io/Logging_2021/knärot/A 58945-2025 karta knärot.png", "A 58945-2025")</f>
        <v/>
      </c>
      <c r="V108">
        <f>HYPERLINK("https://klasma.github.io/Logging_2021/klagomål/A 58945-2025 FSC-klagomål.docx", "A 58945-2025")</f>
        <v/>
      </c>
      <c r="W108">
        <f>HYPERLINK("https://klasma.github.io/Logging_2021/klagomålsmail/A 58945-2025 FSC-klagomål mail.docx", "A 58945-2025")</f>
        <v/>
      </c>
      <c r="X108">
        <f>HYPERLINK("https://klasma.github.io/Logging_2021/tillsyn/A 58945-2025 tillsynsbegäran.docx", "A 58945-2025")</f>
        <v/>
      </c>
      <c r="Y108">
        <f>HYPERLINK("https://klasma.github.io/Logging_2021/tillsynsmail/A 58945-2025 tillsynsbegäran mail.docx", "A 58945-2025")</f>
        <v/>
      </c>
      <c r="Z108">
        <f>HYPERLINK("https://klasma.github.io/Logging_2021/fåglar/A 58945-2025 prioriterade fågelarter.docx", "A 58945-2025")</f>
        <v/>
      </c>
    </row>
    <row r="109" ht="15" customHeight="1">
      <c r="A109" t="inlineStr">
        <is>
          <t>A 20462-2025</t>
        </is>
      </c>
      <c r="B109" s="1" t="n">
        <v>45775</v>
      </c>
      <c r="C109" s="1" t="n">
        <v>46114</v>
      </c>
      <c r="D109" t="inlineStr">
        <is>
          <t>DALARNAS LÄN</t>
        </is>
      </c>
      <c r="E109" t="inlineStr">
        <is>
          <t>MALUNG-SÄLEN</t>
        </is>
      </c>
      <c r="G109" t="n">
        <v>5.4</v>
      </c>
      <c r="H109" t="n">
        <v>2</v>
      </c>
      <c r="I109" t="n">
        <v>6</v>
      </c>
      <c r="J109" t="n">
        <v>6</v>
      </c>
      <c r="K109" t="n">
        <v>0</v>
      </c>
      <c r="L109" t="n">
        <v>0</v>
      </c>
      <c r="M109" t="n">
        <v>0</v>
      </c>
      <c r="N109" t="n">
        <v>0</v>
      </c>
      <c r="O109" t="n">
        <v>6</v>
      </c>
      <c r="P109" t="n">
        <v>0</v>
      </c>
      <c r="Q109" t="n">
        <v>13</v>
      </c>
      <c r="R109" s="2" t="inlineStr">
        <is>
          <t>Doftskinn
Garnlav
Granticka
Gränsticka
Lunglav
Ullticka
Korallblylav
Spindelblomster
Stuplav
Trådticka
Vedticka
Vågbandad barkbock
Fläcknycklar</t>
        </is>
      </c>
      <c r="S109">
        <f>HYPERLINK("https://klasma.github.io/Logging_2023/artfynd/A 20462-2025 artfynd.xlsx", "A 20462-2025")</f>
        <v/>
      </c>
      <c r="T109">
        <f>HYPERLINK("https://klasma.github.io/Logging_2023/kartor/A 20462-2025 karta.png", "A 20462-2025")</f>
        <v/>
      </c>
      <c r="V109">
        <f>HYPERLINK("https://klasma.github.io/Logging_2023/klagomål/A 20462-2025 FSC-klagomål.docx", "A 20462-2025")</f>
        <v/>
      </c>
      <c r="W109">
        <f>HYPERLINK("https://klasma.github.io/Logging_2023/klagomålsmail/A 20462-2025 FSC-klagomål mail.docx", "A 20462-2025")</f>
        <v/>
      </c>
      <c r="X109">
        <f>HYPERLINK("https://klasma.github.io/Logging_2023/tillsyn/A 20462-2025 tillsynsbegäran.docx", "A 20462-2025")</f>
        <v/>
      </c>
      <c r="Y109">
        <f>HYPERLINK("https://klasma.github.io/Logging_2023/tillsynsmail/A 20462-2025 tillsynsbegäran mail.docx", "A 20462-2025")</f>
        <v/>
      </c>
    </row>
    <row r="110" ht="15" customHeight="1">
      <c r="A110" t="inlineStr">
        <is>
          <t>A 31137-2025</t>
        </is>
      </c>
      <c r="B110" s="1" t="n">
        <v>45832</v>
      </c>
      <c r="C110" s="1" t="n">
        <v>46114</v>
      </c>
      <c r="D110" t="inlineStr">
        <is>
          <t>DALARNAS LÄN</t>
        </is>
      </c>
      <c r="E110" t="inlineStr">
        <is>
          <t>ORSA</t>
        </is>
      </c>
      <c r="G110" t="n">
        <v>1.4</v>
      </c>
      <c r="H110" t="n">
        <v>6</v>
      </c>
      <c r="I110" t="n">
        <v>5</v>
      </c>
      <c r="J110" t="n">
        <v>5</v>
      </c>
      <c r="K110" t="n">
        <v>0</v>
      </c>
      <c r="L110" t="n">
        <v>0</v>
      </c>
      <c r="M110" t="n">
        <v>0</v>
      </c>
      <c r="N110" t="n">
        <v>0</v>
      </c>
      <c r="O110" t="n">
        <v>5</v>
      </c>
      <c r="P110" t="n">
        <v>0</v>
      </c>
      <c r="Q110" t="n">
        <v>13</v>
      </c>
      <c r="R110" s="2" t="inlineStr">
        <is>
          <t>Garnlav
Granticka
Spillkråka
Tretåig hackspett
Violettgrå tagellav
Bronshjon
Gytterlav
Norrlandslav
Spindelblomster
Vågbandad barkbock
Tjäder
Fläcknycklar
Revlummer</t>
        </is>
      </c>
      <c r="S110">
        <f>HYPERLINK("https://klasma.github.io/Logging_2034/artfynd/A 31137-2025 artfynd.xlsx", "A 31137-2025")</f>
        <v/>
      </c>
      <c r="T110">
        <f>HYPERLINK("https://klasma.github.io/Logging_2034/kartor/A 31137-2025 karta.png", "A 31137-2025")</f>
        <v/>
      </c>
      <c r="V110">
        <f>HYPERLINK("https://klasma.github.io/Logging_2034/klagomål/A 31137-2025 FSC-klagomål.docx", "A 31137-2025")</f>
        <v/>
      </c>
      <c r="W110">
        <f>HYPERLINK("https://klasma.github.io/Logging_2034/klagomålsmail/A 31137-2025 FSC-klagomål mail.docx", "A 31137-2025")</f>
        <v/>
      </c>
      <c r="X110">
        <f>HYPERLINK("https://klasma.github.io/Logging_2034/tillsyn/A 31137-2025 tillsynsbegäran.docx", "A 31137-2025")</f>
        <v/>
      </c>
      <c r="Y110">
        <f>HYPERLINK("https://klasma.github.io/Logging_2034/tillsynsmail/A 31137-2025 tillsynsbegäran mail.docx", "A 31137-2025")</f>
        <v/>
      </c>
      <c r="Z110">
        <f>HYPERLINK("https://klasma.github.io/Logging_2034/fåglar/A 31137-2025 prioriterade fågelarter.docx", "A 31137-2025")</f>
        <v/>
      </c>
    </row>
    <row r="111" ht="15" customHeight="1">
      <c r="A111" t="inlineStr">
        <is>
          <t>A 23658-2025</t>
        </is>
      </c>
      <c r="B111" s="1" t="n">
        <v>45786</v>
      </c>
      <c r="C111" s="1" t="n">
        <v>46114</v>
      </c>
      <c r="D111" t="inlineStr">
        <is>
          <t>DALARNAS LÄN</t>
        </is>
      </c>
      <c r="E111" t="inlineStr">
        <is>
          <t>LUDVIKA</t>
        </is>
      </c>
      <c r="G111" t="n">
        <v>7.1</v>
      </c>
      <c r="H111" t="n">
        <v>12</v>
      </c>
      <c r="I111" t="n">
        <v>1</v>
      </c>
      <c r="J111" t="n">
        <v>8</v>
      </c>
      <c r="K111" t="n">
        <v>0</v>
      </c>
      <c r="L111" t="n">
        <v>1</v>
      </c>
      <c r="M111" t="n">
        <v>0</v>
      </c>
      <c r="N111" t="n">
        <v>0</v>
      </c>
      <c r="O111" t="n">
        <v>9</v>
      </c>
      <c r="P111" t="n">
        <v>1</v>
      </c>
      <c r="Q111" t="n">
        <v>13</v>
      </c>
      <c r="R111" s="2" t="inlineStr">
        <is>
          <t>Tornseglare
Duvhök
Entita
Grönsångare
Hornuggla
Järpe
Mindre hackspett
Nordfladdermus
Talltita
Fjällig taggsvamp s.str.
Tajgafladdermus
Tjäder
Vattenfladdermus</t>
        </is>
      </c>
      <c r="S111">
        <f>HYPERLINK("https://klasma.github.io/Logging_2085/artfynd/A 23658-2025 artfynd.xlsx", "A 23658-2025")</f>
        <v/>
      </c>
      <c r="T111">
        <f>HYPERLINK("https://klasma.github.io/Logging_2085/kartor/A 23658-2025 karta.png", "A 23658-2025")</f>
        <v/>
      </c>
      <c r="V111">
        <f>HYPERLINK("https://klasma.github.io/Logging_2085/klagomål/A 23658-2025 FSC-klagomål.docx", "A 23658-2025")</f>
        <v/>
      </c>
      <c r="W111">
        <f>HYPERLINK("https://klasma.github.io/Logging_2085/klagomålsmail/A 23658-2025 FSC-klagomål mail.docx", "A 23658-2025")</f>
        <v/>
      </c>
      <c r="X111">
        <f>HYPERLINK("https://klasma.github.io/Logging_2085/tillsyn/A 23658-2025 tillsynsbegäran.docx", "A 23658-2025")</f>
        <v/>
      </c>
      <c r="Y111">
        <f>HYPERLINK("https://klasma.github.io/Logging_2085/tillsynsmail/A 23658-2025 tillsynsbegäran mail.docx", "A 23658-2025")</f>
        <v/>
      </c>
      <c r="Z111">
        <f>HYPERLINK("https://klasma.github.io/Logging_2085/fåglar/A 23658-2025 prioriterade fågelarter.docx", "A 23658-2025")</f>
        <v/>
      </c>
    </row>
    <row r="112" ht="15" customHeight="1">
      <c r="A112" t="inlineStr">
        <is>
          <t>A 46085-2025</t>
        </is>
      </c>
      <c r="B112" s="1" t="n">
        <v>45924</v>
      </c>
      <c r="C112" s="1" t="n">
        <v>46114</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59104-2025</t>
        </is>
      </c>
      <c r="B113" s="1" t="n">
        <v>45988.46520833333</v>
      </c>
      <c r="C113" s="1" t="n">
        <v>46114</v>
      </c>
      <c r="D113" t="inlineStr">
        <is>
          <t>DALARNAS LÄN</t>
        </is>
      </c>
      <c r="E113" t="inlineStr">
        <is>
          <t>ÄLVDALEN</t>
        </is>
      </c>
      <c r="G113" t="n">
        <v>11.6</v>
      </c>
      <c r="H113" t="n">
        <v>4</v>
      </c>
      <c r="I113" t="n">
        <v>3</v>
      </c>
      <c r="J113" t="n">
        <v>8</v>
      </c>
      <c r="K113" t="n">
        <v>0</v>
      </c>
      <c r="L113" t="n">
        <v>0</v>
      </c>
      <c r="M113" t="n">
        <v>0</v>
      </c>
      <c r="N113" t="n">
        <v>0</v>
      </c>
      <c r="O113" t="n">
        <v>8</v>
      </c>
      <c r="P113" t="n">
        <v>0</v>
      </c>
      <c r="Q113" t="n">
        <v>13</v>
      </c>
      <c r="R113" s="2" t="inlineStr">
        <is>
          <t>Blågrå svartspik
Garnlav
Kolflarnlav
Mörk kolflarnlav
Spillkråka
Talltita
Vedflamlav
Vedskivlav
Dropptaggsvamp
Mindre märgborre
Vedticka
Orre
Tjäder</t>
        </is>
      </c>
      <c r="S113">
        <f>HYPERLINK("https://klasma.github.io/Logging_2039/artfynd/A 59104-2025 artfynd.xlsx", "A 59104-2025")</f>
        <v/>
      </c>
      <c r="T113">
        <f>HYPERLINK("https://klasma.github.io/Logging_2039/kartor/A 59104-2025 karta.png", "A 59104-2025")</f>
        <v/>
      </c>
      <c r="V113">
        <f>HYPERLINK("https://klasma.github.io/Logging_2039/klagomål/A 59104-2025 FSC-klagomål.docx", "A 59104-2025")</f>
        <v/>
      </c>
      <c r="W113">
        <f>HYPERLINK("https://klasma.github.io/Logging_2039/klagomålsmail/A 59104-2025 FSC-klagomål mail.docx", "A 59104-2025")</f>
        <v/>
      </c>
      <c r="X113">
        <f>HYPERLINK("https://klasma.github.io/Logging_2039/tillsyn/A 59104-2025 tillsynsbegäran.docx", "A 59104-2025")</f>
        <v/>
      </c>
      <c r="Y113">
        <f>HYPERLINK("https://klasma.github.io/Logging_2039/tillsynsmail/A 59104-2025 tillsynsbegäran mail.docx", "A 59104-2025")</f>
        <v/>
      </c>
      <c r="Z113">
        <f>HYPERLINK("https://klasma.github.io/Logging_2039/fåglar/A 59104-2025 prioriterade fågelarter.docx", "A 59104-2025")</f>
        <v/>
      </c>
    </row>
    <row r="114" ht="15" customHeight="1">
      <c r="A114" t="inlineStr">
        <is>
          <t>A 22112-2025</t>
        </is>
      </c>
      <c r="B114" s="1" t="n">
        <v>45785</v>
      </c>
      <c r="C114" s="1" t="n">
        <v>46114</v>
      </c>
      <c r="D114" t="inlineStr">
        <is>
          <t>DALARNAS LÄN</t>
        </is>
      </c>
      <c r="E114" t="inlineStr">
        <is>
          <t>MALUNG-SÄLEN</t>
        </is>
      </c>
      <c r="F114" t="inlineStr">
        <is>
          <t>Allmännings- och besparingsskogar</t>
        </is>
      </c>
      <c r="G114" t="n">
        <v>53.9</v>
      </c>
      <c r="H114" t="n">
        <v>3</v>
      </c>
      <c r="I114" t="n">
        <v>3</v>
      </c>
      <c r="J114" t="n">
        <v>9</v>
      </c>
      <c r="K114" t="n">
        <v>0</v>
      </c>
      <c r="L114" t="n">
        <v>0</v>
      </c>
      <c r="M114" t="n">
        <v>0</v>
      </c>
      <c r="N114" t="n">
        <v>0</v>
      </c>
      <c r="O114" t="n">
        <v>9</v>
      </c>
      <c r="P114" t="n">
        <v>0</v>
      </c>
      <c r="Q114" t="n">
        <v>13</v>
      </c>
      <c r="R114" s="2" t="inlineStr">
        <is>
          <t>Blågrå svartspik
Dvärgbägarlav
Garnlav
Kolflarnlav
Mörk kolflarnlav
Tretåig hackspett
Vedflamlav
Vedskivlav
Violettgrå tagellav
Dropptaggsvamp
Korallrot
Skinnlav
Tjäder</t>
        </is>
      </c>
      <c r="S114">
        <f>HYPERLINK("https://klasma.github.io/Logging_2023/artfynd/A 22112-2025 artfynd.xlsx", "A 22112-2025")</f>
        <v/>
      </c>
      <c r="T114">
        <f>HYPERLINK("https://klasma.github.io/Logging_2023/kartor/A 22112-2025 karta.png", "A 22112-2025")</f>
        <v/>
      </c>
      <c r="V114">
        <f>HYPERLINK("https://klasma.github.io/Logging_2023/klagomål/A 22112-2025 FSC-klagomål.docx", "A 22112-2025")</f>
        <v/>
      </c>
      <c r="W114">
        <f>HYPERLINK("https://klasma.github.io/Logging_2023/klagomålsmail/A 22112-2025 FSC-klagomål mail.docx", "A 22112-2025")</f>
        <v/>
      </c>
      <c r="X114">
        <f>HYPERLINK("https://klasma.github.io/Logging_2023/tillsyn/A 22112-2025 tillsynsbegäran.docx", "A 22112-2025")</f>
        <v/>
      </c>
      <c r="Y114">
        <f>HYPERLINK("https://klasma.github.io/Logging_2023/tillsynsmail/A 22112-2025 tillsynsbegäran mail.docx", "A 22112-2025")</f>
        <v/>
      </c>
      <c r="Z114">
        <f>HYPERLINK("https://klasma.github.io/Logging_2023/fåglar/A 22112-2025 prioriterade fågelarter.docx", "A 22112-2025")</f>
        <v/>
      </c>
    </row>
    <row r="115" ht="15" customHeight="1">
      <c r="A115" t="inlineStr">
        <is>
          <t>A 33548-2023</t>
        </is>
      </c>
      <c r="B115" s="1" t="n">
        <v>45118</v>
      </c>
      <c r="C115" s="1" t="n">
        <v>46114</v>
      </c>
      <c r="D115" t="inlineStr">
        <is>
          <t>DALARNAS LÄN</t>
        </is>
      </c>
      <c r="E115" t="inlineStr">
        <is>
          <t>ÄLVDALEN</t>
        </is>
      </c>
      <c r="G115" t="n">
        <v>5.2</v>
      </c>
      <c r="H115" t="n">
        <v>6</v>
      </c>
      <c r="I115" t="n">
        <v>2</v>
      </c>
      <c r="J115" t="n">
        <v>8</v>
      </c>
      <c r="K115" t="n">
        <v>0</v>
      </c>
      <c r="L115" t="n">
        <v>0</v>
      </c>
      <c r="M115" t="n">
        <v>0</v>
      </c>
      <c r="N115" t="n">
        <v>0</v>
      </c>
      <c r="O115" t="n">
        <v>8</v>
      </c>
      <c r="P115" t="n">
        <v>0</v>
      </c>
      <c r="Q115" t="n">
        <v>13</v>
      </c>
      <c r="R115" s="2" t="inlineStr">
        <is>
          <t>Garnlav
Granticka
Rosenticka
Skrovellav
Talltita
Tretåig hackspett
Vedflamlav
Vitgrynig nållav
Spindelblomster
Ögonpyrola
Vanlig groda
Fläcknycklar
Revlummer</t>
        </is>
      </c>
      <c r="S115">
        <f>HYPERLINK("https://klasma.github.io/Logging_2039/artfynd/A 33548-2023 artfynd.xlsx", "A 33548-2023")</f>
        <v/>
      </c>
      <c r="T115">
        <f>HYPERLINK("https://klasma.github.io/Logging_2039/kartor/A 33548-2023 karta.png", "A 33548-2023")</f>
        <v/>
      </c>
      <c r="V115">
        <f>HYPERLINK("https://klasma.github.io/Logging_2039/klagomål/A 33548-2023 FSC-klagomål.docx", "A 33548-2023")</f>
        <v/>
      </c>
      <c r="W115">
        <f>HYPERLINK("https://klasma.github.io/Logging_2039/klagomålsmail/A 33548-2023 FSC-klagomål mail.docx", "A 33548-2023")</f>
        <v/>
      </c>
      <c r="X115">
        <f>HYPERLINK("https://klasma.github.io/Logging_2039/tillsyn/A 33548-2023 tillsynsbegäran.docx", "A 33548-2023")</f>
        <v/>
      </c>
      <c r="Y115">
        <f>HYPERLINK("https://klasma.github.io/Logging_2039/tillsynsmail/A 33548-2023 tillsynsbegäran mail.docx", "A 33548-2023")</f>
        <v/>
      </c>
      <c r="Z115">
        <f>HYPERLINK("https://klasma.github.io/Logging_2039/fåglar/A 33548-2023 prioriterade fågelarter.docx", "A 33548-2023")</f>
        <v/>
      </c>
    </row>
    <row r="116" ht="15" customHeight="1">
      <c r="A116" t="inlineStr">
        <is>
          <t>A 32085-2025</t>
        </is>
      </c>
      <c r="B116" s="1" t="n">
        <v>45835.45435185185</v>
      </c>
      <c r="C116" s="1" t="n">
        <v>46114</v>
      </c>
      <c r="D116" t="inlineStr">
        <is>
          <t>DALARNAS LÄN</t>
        </is>
      </c>
      <c r="E116" t="inlineStr">
        <is>
          <t>LUDVIKA</t>
        </is>
      </c>
      <c r="F116" t="inlineStr">
        <is>
          <t>Bergvik skog väst AB</t>
        </is>
      </c>
      <c r="G116" t="n">
        <v>2.1</v>
      </c>
      <c r="H116" t="n">
        <v>3</v>
      </c>
      <c r="I116" t="n">
        <v>3</v>
      </c>
      <c r="J116" t="n">
        <v>7</v>
      </c>
      <c r="K116" t="n">
        <v>1</v>
      </c>
      <c r="L116" t="n">
        <v>0</v>
      </c>
      <c r="M116" t="n">
        <v>0</v>
      </c>
      <c r="N116" t="n">
        <v>0</v>
      </c>
      <c r="O116" t="n">
        <v>8</v>
      </c>
      <c r="P116" t="n">
        <v>1</v>
      </c>
      <c r="Q116" t="n">
        <v>13</v>
      </c>
      <c r="R116" s="2" t="inlineStr">
        <is>
          <t>Knärot
Blanksvart spiklav
Brunpudrad nållav
Tallticka
Vedflikmossa
Vedskivlav
Vedtrappmossa
Violettgrå tagellav
Gulnål
Mindre märgborre
Thomsons trägnagare
Fläcknycklar
Revlummer</t>
        </is>
      </c>
      <c r="S116">
        <f>HYPERLINK("https://klasma.github.io/Logging_2085/artfynd/A 32085-2025 artfynd.xlsx", "A 32085-2025")</f>
        <v/>
      </c>
      <c r="T116">
        <f>HYPERLINK("https://klasma.github.io/Logging_2085/kartor/A 32085-2025 karta.png", "A 32085-2025")</f>
        <v/>
      </c>
      <c r="U116">
        <f>HYPERLINK("https://klasma.github.io/Logging_2085/knärot/A 32085-2025 karta knärot.png", "A 32085-2025")</f>
        <v/>
      </c>
      <c r="V116">
        <f>HYPERLINK("https://klasma.github.io/Logging_2085/klagomål/A 32085-2025 FSC-klagomål.docx", "A 32085-2025")</f>
        <v/>
      </c>
      <c r="W116">
        <f>HYPERLINK("https://klasma.github.io/Logging_2085/klagomålsmail/A 32085-2025 FSC-klagomål mail.docx", "A 32085-2025")</f>
        <v/>
      </c>
      <c r="X116">
        <f>HYPERLINK("https://klasma.github.io/Logging_2085/tillsyn/A 32085-2025 tillsynsbegäran.docx", "A 32085-2025")</f>
        <v/>
      </c>
      <c r="Y116">
        <f>HYPERLINK("https://klasma.github.io/Logging_2085/tillsynsmail/A 32085-2025 tillsynsbegäran mail.docx", "A 32085-2025")</f>
        <v/>
      </c>
    </row>
    <row r="117" ht="15" customHeight="1">
      <c r="A117" t="inlineStr">
        <is>
          <t>A 64675-2021</t>
        </is>
      </c>
      <c r="B117" s="1" t="n">
        <v>44512</v>
      </c>
      <c r="C117" s="1" t="n">
        <v>46114</v>
      </c>
      <c r="D117" t="inlineStr">
        <is>
          <t>DALARNAS LÄN</t>
        </is>
      </c>
      <c r="E117" t="inlineStr">
        <is>
          <t>BORLÄNGE</t>
        </is>
      </c>
      <c r="G117" t="n">
        <v>15.5</v>
      </c>
      <c r="H117" t="n">
        <v>3</v>
      </c>
      <c r="I117" t="n">
        <v>2</v>
      </c>
      <c r="J117" t="n">
        <v>9</v>
      </c>
      <c r="K117" t="n">
        <v>0</v>
      </c>
      <c r="L117" t="n">
        <v>0</v>
      </c>
      <c r="M117" t="n">
        <v>0</v>
      </c>
      <c r="N117" t="n">
        <v>0</v>
      </c>
      <c r="O117" t="n">
        <v>9</v>
      </c>
      <c r="P117" t="n">
        <v>0</v>
      </c>
      <c r="Q117" t="n">
        <v>12</v>
      </c>
      <c r="R117" s="2" t="inlineStr">
        <is>
          <t>Blå taggsvamp
Garnlav
Granticka
Järpe
Rosenticka
Svart taggsvamp agg.
Svartvit taggsvamp
Tretåig hackspett
Ullticka
Dropptaggsvamp
Vedticka
Tjäder</t>
        </is>
      </c>
      <c r="S117">
        <f>HYPERLINK("https://klasma.github.io/Logging_2081/artfynd/A 64675-2021 artfynd.xlsx", "A 64675-2021")</f>
        <v/>
      </c>
      <c r="T117">
        <f>HYPERLINK("https://klasma.github.io/Logging_2081/kartor/A 64675-2021 karta.png", "A 64675-2021")</f>
        <v/>
      </c>
      <c r="V117">
        <f>HYPERLINK("https://klasma.github.io/Logging_2081/klagomål/A 64675-2021 FSC-klagomål.docx", "A 64675-2021")</f>
        <v/>
      </c>
      <c r="W117">
        <f>HYPERLINK("https://klasma.github.io/Logging_2081/klagomålsmail/A 64675-2021 FSC-klagomål mail.docx", "A 64675-2021")</f>
        <v/>
      </c>
      <c r="X117">
        <f>HYPERLINK("https://klasma.github.io/Logging_2081/tillsyn/A 64675-2021 tillsynsbegäran.docx", "A 64675-2021")</f>
        <v/>
      </c>
      <c r="Y117">
        <f>HYPERLINK("https://klasma.github.io/Logging_2081/tillsynsmail/A 64675-2021 tillsynsbegäran mail.docx", "A 64675-2021")</f>
        <v/>
      </c>
      <c r="Z117">
        <f>HYPERLINK("https://klasma.github.io/Logging_2081/fåglar/A 64675-2021 prioriterade fågelarter.docx", "A 64675-2021")</f>
        <v/>
      </c>
    </row>
    <row r="118" ht="15" customHeight="1">
      <c r="A118" t="inlineStr">
        <is>
          <t>A 34930-2024</t>
        </is>
      </c>
      <c r="B118" s="1" t="n">
        <v>45527.45107638889</v>
      </c>
      <c r="C118" s="1" t="n">
        <v>46114</v>
      </c>
      <c r="D118" t="inlineStr">
        <is>
          <t>DALARNAS LÄN</t>
        </is>
      </c>
      <c r="E118" t="inlineStr">
        <is>
          <t>HEDEMORA</t>
        </is>
      </c>
      <c r="F118" t="inlineStr">
        <is>
          <t>Sveaskog</t>
        </is>
      </c>
      <c r="G118" t="n">
        <v>6.1</v>
      </c>
      <c r="H118" t="n">
        <v>2</v>
      </c>
      <c r="I118" t="n">
        <v>5</v>
      </c>
      <c r="J118" t="n">
        <v>3</v>
      </c>
      <c r="K118" t="n">
        <v>2</v>
      </c>
      <c r="L118" t="n">
        <v>0</v>
      </c>
      <c r="M118" t="n">
        <v>0</v>
      </c>
      <c r="N118" t="n">
        <v>0</v>
      </c>
      <c r="O118" t="n">
        <v>5</v>
      </c>
      <c r="P118" t="n">
        <v>2</v>
      </c>
      <c r="Q118" t="n">
        <v>12</v>
      </c>
      <c r="R118" s="2" t="inlineStr">
        <is>
          <t>Läderdoftande fingersvamp
Taggfingersvamp
Dofttaggsvamp
Gul taggsvamp
Odörspindling
Anisspindling
Fjällig taggsvamp s.str.
Olivspindling
Skarp dropptaggsvamp
Svavelriska
Blåsippa
Revlummer</t>
        </is>
      </c>
      <c r="S118">
        <f>HYPERLINK("https://klasma.github.io/Logging_2083/artfynd/A 34930-2024 artfynd.xlsx", "A 34930-2024")</f>
        <v/>
      </c>
      <c r="T118">
        <f>HYPERLINK("https://klasma.github.io/Logging_2083/kartor/A 34930-2024 karta.png", "A 34930-2024")</f>
        <v/>
      </c>
      <c r="V118">
        <f>HYPERLINK("https://klasma.github.io/Logging_2083/klagomål/A 34930-2024 FSC-klagomål.docx", "A 34930-2024")</f>
        <v/>
      </c>
      <c r="W118">
        <f>HYPERLINK("https://klasma.github.io/Logging_2083/klagomålsmail/A 34930-2024 FSC-klagomål mail.docx", "A 34930-2024")</f>
        <v/>
      </c>
      <c r="X118">
        <f>HYPERLINK("https://klasma.github.io/Logging_2083/tillsyn/A 34930-2024 tillsynsbegäran.docx", "A 34930-2024")</f>
        <v/>
      </c>
      <c r="Y118">
        <f>HYPERLINK("https://klasma.github.io/Logging_2083/tillsynsmail/A 34930-2024 tillsynsbegäran mail.docx", "A 34930-2024")</f>
        <v/>
      </c>
    </row>
    <row r="119" ht="15" customHeight="1">
      <c r="A119" t="inlineStr">
        <is>
          <t>A 37715-2025</t>
        </is>
      </c>
      <c r="B119" s="1" t="n">
        <v>45880.60349537037</v>
      </c>
      <c r="C119" s="1" t="n">
        <v>46114</v>
      </c>
      <c r="D119" t="inlineStr">
        <is>
          <t>DALARNAS LÄN</t>
        </is>
      </c>
      <c r="E119" t="inlineStr">
        <is>
          <t>VANSBRO</t>
        </is>
      </c>
      <c r="G119" t="n">
        <v>12.5</v>
      </c>
      <c r="H119" t="n">
        <v>3</v>
      </c>
      <c r="I119" t="n">
        <v>2</v>
      </c>
      <c r="J119" t="n">
        <v>8</v>
      </c>
      <c r="K119" t="n">
        <v>0</v>
      </c>
      <c r="L119" t="n">
        <v>0</v>
      </c>
      <c r="M119" t="n">
        <v>0</v>
      </c>
      <c r="N119" t="n">
        <v>0</v>
      </c>
      <c r="O119" t="n">
        <v>8</v>
      </c>
      <c r="P119" t="n">
        <v>0</v>
      </c>
      <c r="Q119" t="n">
        <v>12</v>
      </c>
      <c r="R119" s="2" t="inlineStr">
        <is>
          <t>Garnlav
Kolflarnlav
Lunglav
Mörk kolflarnlav
Spillkråka
Tallticka
Ullticka
Vedskivlav
Dropptaggsvamp
Mindre märgborre
Tjäder
Fläcknycklar</t>
        </is>
      </c>
      <c r="S119">
        <f>HYPERLINK("https://klasma.github.io/Logging_2021/artfynd/A 37715-2025 artfynd.xlsx", "A 37715-2025")</f>
        <v/>
      </c>
      <c r="T119">
        <f>HYPERLINK("https://klasma.github.io/Logging_2021/kartor/A 37715-2025 karta.png", "A 37715-2025")</f>
        <v/>
      </c>
      <c r="V119">
        <f>HYPERLINK("https://klasma.github.io/Logging_2021/klagomål/A 37715-2025 FSC-klagomål.docx", "A 37715-2025")</f>
        <v/>
      </c>
      <c r="W119">
        <f>HYPERLINK("https://klasma.github.io/Logging_2021/klagomålsmail/A 37715-2025 FSC-klagomål mail.docx", "A 37715-2025")</f>
        <v/>
      </c>
      <c r="X119">
        <f>HYPERLINK("https://klasma.github.io/Logging_2021/tillsyn/A 37715-2025 tillsynsbegäran.docx", "A 37715-2025")</f>
        <v/>
      </c>
      <c r="Y119">
        <f>HYPERLINK("https://klasma.github.io/Logging_2021/tillsynsmail/A 37715-2025 tillsynsbegäran mail.docx", "A 37715-2025")</f>
        <v/>
      </c>
      <c r="Z119">
        <f>HYPERLINK("https://klasma.github.io/Logging_2021/fåglar/A 37715-2025 prioriterade fågelarter.docx", "A 37715-2025")</f>
        <v/>
      </c>
    </row>
    <row r="120" ht="15" customHeight="1">
      <c r="A120" t="inlineStr">
        <is>
          <t>A 45113-2025</t>
        </is>
      </c>
      <c r="B120" s="1" t="n">
        <v>45919.42304398148</v>
      </c>
      <c r="C120" s="1" t="n">
        <v>46114</v>
      </c>
      <c r="D120" t="inlineStr">
        <is>
          <t>DALARNAS LÄN</t>
        </is>
      </c>
      <c r="E120" t="inlineStr">
        <is>
          <t>ÄLVDALEN</t>
        </is>
      </c>
      <c r="F120" t="inlineStr">
        <is>
          <t>Sveaskog</t>
        </is>
      </c>
      <c r="G120" t="n">
        <v>19.2</v>
      </c>
      <c r="H120" t="n">
        <v>0</v>
      </c>
      <c r="I120" t="n">
        <v>2</v>
      </c>
      <c r="J120" t="n">
        <v>7</v>
      </c>
      <c r="K120" t="n">
        <v>3</v>
      </c>
      <c r="L120" t="n">
        <v>0</v>
      </c>
      <c r="M120" t="n">
        <v>0</v>
      </c>
      <c r="N120" t="n">
        <v>0</v>
      </c>
      <c r="O120" t="n">
        <v>10</v>
      </c>
      <c r="P120" t="n">
        <v>3</v>
      </c>
      <c r="Q120" t="n">
        <v>12</v>
      </c>
      <c r="R120" s="2" t="inlineStr">
        <is>
          <t>Goliatmusseron
Gräddporing
Tajgataggsvamp
Blå taggsvamp
Dvärgbägarlav
Kolflarnlav
Mörk kolflarnlav
Nordtagging
Orange taggsvamp
Vedflamlav
Dropptaggsvamp
Skarp dropptaggsvamp</t>
        </is>
      </c>
      <c r="S120">
        <f>HYPERLINK("https://klasma.github.io/Logging_2039/artfynd/A 45113-2025 artfynd.xlsx", "A 45113-2025")</f>
        <v/>
      </c>
      <c r="T120">
        <f>HYPERLINK("https://klasma.github.io/Logging_2039/kartor/A 45113-2025 karta.png", "A 45113-2025")</f>
        <v/>
      </c>
      <c r="V120">
        <f>HYPERLINK("https://klasma.github.io/Logging_2039/klagomål/A 45113-2025 FSC-klagomål.docx", "A 45113-2025")</f>
        <v/>
      </c>
      <c r="W120">
        <f>HYPERLINK("https://klasma.github.io/Logging_2039/klagomålsmail/A 45113-2025 FSC-klagomål mail.docx", "A 45113-2025")</f>
        <v/>
      </c>
      <c r="X120">
        <f>HYPERLINK("https://klasma.github.io/Logging_2039/tillsyn/A 45113-2025 tillsynsbegäran.docx", "A 45113-2025")</f>
        <v/>
      </c>
      <c r="Y120">
        <f>HYPERLINK("https://klasma.github.io/Logging_2039/tillsynsmail/A 45113-2025 tillsynsbegäran mail.docx", "A 45113-2025")</f>
        <v/>
      </c>
    </row>
    <row r="121" ht="15" customHeight="1">
      <c r="A121" t="inlineStr">
        <is>
          <t>A 46306-2025</t>
        </is>
      </c>
      <c r="B121" s="1" t="n">
        <v>45925.42225694445</v>
      </c>
      <c r="C121" s="1" t="n">
        <v>46114</v>
      </c>
      <c r="D121" t="inlineStr">
        <is>
          <t>DALARNAS LÄN</t>
        </is>
      </c>
      <c r="E121" t="inlineStr">
        <is>
          <t>ÄLVDALEN</t>
        </is>
      </c>
      <c r="F121" t="inlineStr">
        <is>
          <t>Allmännings- och besparingsskogar</t>
        </is>
      </c>
      <c r="G121" t="n">
        <v>7.8</v>
      </c>
      <c r="H121" t="n">
        <v>1</v>
      </c>
      <c r="I121" t="n">
        <v>3</v>
      </c>
      <c r="J121" t="n">
        <v>9</v>
      </c>
      <c r="K121" t="n">
        <v>0</v>
      </c>
      <c r="L121" t="n">
        <v>0</v>
      </c>
      <c r="M121" t="n">
        <v>0</v>
      </c>
      <c r="N121" t="n">
        <v>0</v>
      </c>
      <c r="O121" t="n">
        <v>9</v>
      </c>
      <c r="P121" t="n">
        <v>0</v>
      </c>
      <c r="Q121" t="n">
        <v>12</v>
      </c>
      <c r="R121" s="2" t="inlineStr">
        <is>
          <t>Blågrå svartspik
Dvärgbägarlav
Garnlav
Kolflarnlav
Mörk kolflarnlav
Spillkråka
Vaddporing
Vedflamlav
Vedskivlav
Dropptaggsvamp
Mindre märgborre
Vedticka</t>
        </is>
      </c>
      <c r="S121">
        <f>HYPERLINK("https://klasma.github.io/Logging_2039/artfynd/A 46306-2025 artfynd.xlsx", "A 46306-2025")</f>
        <v/>
      </c>
      <c r="T121">
        <f>HYPERLINK("https://klasma.github.io/Logging_2039/kartor/A 46306-2025 karta.png", "A 46306-2025")</f>
        <v/>
      </c>
      <c r="V121">
        <f>HYPERLINK("https://klasma.github.io/Logging_2039/klagomål/A 46306-2025 FSC-klagomål.docx", "A 46306-2025")</f>
        <v/>
      </c>
      <c r="W121">
        <f>HYPERLINK("https://klasma.github.io/Logging_2039/klagomålsmail/A 46306-2025 FSC-klagomål mail.docx", "A 46306-2025")</f>
        <v/>
      </c>
      <c r="X121">
        <f>HYPERLINK("https://klasma.github.io/Logging_2039/tillsyn/A 46306-2025 tillsynsbegäran.docx", "A 46306-2025")</f>
        <v/>
      </c>
      <c r="Y121">
        <f>HYPERLINK("https://klasma.github.io/Logging_2039/tillsynsmail/A 46306-2025 tillsynsbegäran mail.docx", "A 46306-2025")</f>
        <v/>
      </c>
      <c r="Z121">
        <f>HYPERLINK("https://klasma.github.io/Logging_2039/fåglar/A 46306-2025 prioriterade fågelarter.docx", "A 46306-2025")</f>
        <v/>
      </c>
    </row>
    <row r="122" ht="15" customHeight="1">
      <c r="A122" t="inlineStr">
        <is>
          <t>A 55982-2025</t>
        </is>
      </c>
      <c r="B122" s="1" t="n">
        <v>45973.54251157407</v>
      </c>
      <c r="C122" s="1" t="n">
        <v>46114</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44563-2025</t>
        </is>
      </c>
      <c r="B123" s="1" t="n">
        <v>45917</v>
      </c>
      <c r="C123" s="1" t="n">
        <v>46114</v>
      </c>
      <c r="D123" t="inlineStr">
        <is>
          <t>DALARNAS LÄN</t>
        </is>
      </c>
      <c r="E123" t="inlineStr">
        <is>
          <t>MALUNG-SÄLEN</t>
        </is>
      </c>
      <c r="F123" t="inlineStr">
        <is>
          <t>Allmännings- och besparingsskogar</t>
        </is>
      </c>
      <c r="G123" t="n">
        <v>25.4</v>
      </c>
      <c r="H123" t="n">
        <v>0</v>
      </c>
      <c r="I123" t="n">
        <v>1</v>
      </c>
      <c r="J123" t="n">
        <v>11</v>
      </c>
      <c r="K123" t="n">
        <v>0</v>
      </c>
      <c r="L123" t="n">
        <v>0</v>
      </c>
      <c r="M123" t="n">
        <v>0</v>
      </c>
      <c r="N123" t="n">
        <v>0</v>
      </c>
      <c r="O123" t="n">
        <v>11</v>
      </c>
      <c r="P123" t="n">
        <v>0</v>
      </c>
      <c r="Q123" t="n">
        <v>12</v>
      </c>
      <c r="R123" s="2" t="inlineStr">
        <is>
          <t>Blå taggsvamp
Dofttaggsvamp
Dvärgbägarlav
Garnlav
Kolflarnlav
Kortskaftad ärgspik
Mörk kolflarnlav
Vaddporing
Vedflamlav
Vedskivlav
Violettgrå tagellav
Dropptaggsvamp</t>
        </is>
      </c>
      <c r="S123">
        <f>HYPERLINK("https://klasma.github.io/Logging_2023/artfynd/A 44563-2025 artfynd.xlsx", "A 44563-2025")</f>
        <v/>
      </c>
      <c r="T123">
        <f>HYPERLINK("https://klasma.github.io/Logging_2023/kartor/A 44563-2025 karta.png", "A 44563-2025")</f>
        <v/>
      </c>
      <c r="V123">
        <f>HYPERLINK("https://klasma.github.io/Logging_2023/klagomål/A 44563-2025 FSC-klagomål.docx", "A 44563-2025")</f>
        <v/>
      </c>
      <c r="W123">
        <f>HYPERLINK("https://klasma.github.io/Logging_2023/klagomålsmail/A 44563-2025 FSC-klagomål mail.docx", "A 44563-2025")</f>
        <v/>
      </c>
      <c r="X123">
        <f>HYPERLINK("https://klasma.github.io/Logging_2023/tillsyn/A 44563-2025 tillsynsbegäran.docx", "A 44563-2025")</f>
        <v/>
      </c>
      <c r="Y123">
        <f>HYPERLINK("https://klasma.github.io/Logging_2023/tillsynsmail/A 44563-2025 tillsynsbegäran mail.docx", "A 44563-2025")</f>
        <v/>
      </c>
    </row>
    <row r="124" ht="15" customHeight="1">
      <c r="A124" t="inlineStr">
        <is>
          <t>A 49247-2025</t>
        </is>
      </c>
      <c r="B124" s="1" t="n">
        <v>45938.48887731481</v>
      </c>
      <c r="C124" s="1" t="n">
        <v>46114</v>
      </c>
      <c r="D124" t="inlineStr">
        <is>
          <t>DALARNAS LÄN</t>
        </is>
      </c>
      <c r="E124" t="inlineStr">
        <is>
          <t>ÄLVDALEN</t>
        </is>
      </c>
      <c r="F124" t="inlineStr">
        <is>
          <t>Allmännings- och besparingsskogar</t>
        </is>
      </c>
      <c r="G124" t="n">
        <v>19</v>
      </c>
      <c r="H124" t="n">
        <v>3</v>
      </c>
      <c r="I124" t="n">
        <v>1</v>
      </c>
      <c r="J124" t="n">
        <v>10</v>
      </c>
      <c r="K124" t="n">
        <v>0</v>
      </c>
      <c r="L124" t="n">
        <v>0</v>
      </c>
      <c r="M124" t="n">
        <v>0</v>
      </c>
      <c r="N124" t="n">
        <v>0</v>
      </c>
      <c r="O124" t="n">
        <v>10</v>
      </c>
      <c r="P124" t="n">
        <v>0</v>
      </c>
      <c r="Q124" t="n">
        <v>12</v>
      </c>
      <c r="R124" s="2" t="inlineStr">
        <is>
          <t>Doftskinn
Garnlav
Kolflarnlav
Mörk kolflarnlav
Spillkråka
Tallticka
Tretåig hackspett
Ullticka
Vedflamlav
Vedskivlav
Mindre märgborre
Kungsfågel</t>
        </is>
      </c>
      <c r="S124">
        <f>HYPERLINK("https://klasma.github.io/Logging_2039/artfynd/A 49247-2025 artfynd.xlsx", "A 49247-2025")</f>
        <v/>
      </c>
      <c r="T124">
        <f>HYPERLINK("https://klasma.github.io/Logging_2039/kartor/A 49247-2025 karta.png", "A 49247-2025")</f>
        <v/>
      </c>
      <c r="V124">
        <f>HYPERLINK("https://klasma.github.io/Logging_2039/klagomål/A 49247-2025 FSC-klagomål.docx", "A 49247-2025")</f>
        <v/>
      </c>
      <c r="W124">
        <f>HYPERLINK("https://klasma.github.io/Logging_2039/klagomålsmail/A 49247-2025 FSC-klagomål mail.docx", "A 49247-2025")</f>
        <v/>
      </c>
      <c r="X124">
        <f>HYPERLINK("https://klasma.github.io/Logging_2039/tillsyn/A 49247-2025 tillsynsbegäran.docx", "A 49247-2025")</f>
        <v/>
      </c>
      <c r="Y124">
        <f>HYPERLINK("https://klasma.github.io/Logging_2039/tillsynsmail/A 49247-2025 tillsynsbegäran mail.docx", "A 49247-2025")</f>
        <v/>
      </c>
      <c r="Z124">
        <f>HYPERLINK("https://klasma.github.io/Logging_2039/fåglar/A 49247-2025 prioriterade fågelarter.docx", "A 49247-2025")</f>
        <v/>
      </c>
    </row>
    <row r="125" ht="15" customHeight="1">
      <c r="A125" t="inlineStr">
        <is>
          <t>A 37730-2023</t>
        </is>
      </c>
      <c r="B125" s="1" t="n">
        <v>45159</v>
      </c>
      <c r="C125" s="1" t="n">
        <v>46114</v>
      </c>
      <c r="D125" t="inlineStr">
        <is>
          <t>DALARNAS LÄN</t>
        </is>
      </c>
      <c r="E125" t="inlineStr">
        <is>
          <t>ÄLVDALEN</t>
        </is>
      </c>
      <c r="G125" t="n">
        <v>5.4</v>
      </c>
      <c r="H125" t="n">
        <v>4</v>
      </c>
      <c r="I125" t="n">
        <v>4</v>
      </c>
      <c r="J125" t="n">
        <v>6</v>
      </c>
      <c r="K125" t="n">
        <v>1</v>
      </c>
      <c r="L125" t="n">
        <v>0</v>
      </c>
      <c r="M125" t="n">
        <v>0</v>
      </c>
      <c r="N125" t="n">
        <v>0</v>
      </c>
      <c r="O125" t="n">
        <v>7</v>
      </c>
      <c r="P125" t="n">
        <v>1</v>
      </c>
      <c r="Q125" t="n">
        <v>12</v>
      </c>
      <c r="R125" s="2" t="inlineStr">
        <is>
          <t>Knärot
Garnlav
Mörk kolflarnlav
Spillkråka
Tretåig hackspett
Violettgrå tagellav
Vitgrynig nållav
Bronshjon
Dropptaggsvamp
Luddlav
Tallfingersvamp
Revlummer</t>
        </is>
      </c>
      <c r="S125">
        <f>HYPERLINK("https://klasma.github.io/Logging_2039/artfynd/A 37730-2023 artfynd.xlsx", "A 37730-2023")</f>
        <v/>
      </c>
      <c r="T125">
        <f>HYPERLINK("https://klasma.github.io/Logging_2039/kartor/A 37730-2023 karta.png", "A 37730-2023")</f>
        <v/>
      </c>
      <c r="U125">
        <f>HYPERLINK("https://klasma.github.io/Logging_2039/knärot/A 37730-2023 karta knärot.png", "A 37730-2023")</f>
        <v/>
      </c>
      <c r="V125">
        <f>HYPERLINK("https://klasma.github.io/Logging_2039/klagomål/A 37730-2023 FSC-klagomål.docx", "A 37730-2023")</f>
        <v/>
      </c>
      <c r="W125">
        <f>HYPERLINK("https://klasma.github.io/Logging_2039/klagomålsmail/A 37730-2023 FSC-klagomål mail.docx", "A 37730-2023")</f>
        <v/>
      </c>
      <c r="X125">
        <f>HYPERLINK("https://klasma.github.io/Logging_2039/tillsyn/A 37730-2023 tillsynsbegäran.docx", "A 37730-2023")</f>
        <v/>
      </c>
      <c r="Y125">
        <f>HYPERLINK("https://klasma.github.io/Logging_2039/tillsynsmail/A 37730-2023 tillsynsbegäran mail.docx", "A 37730-2023")</f>
        <v/>
      </c>
      <c r="Z125">
        <f>HYPERLINK("https://klasma.github.io/Logging_2039/fåglar/A 37730-2023 prioriterade fågelarter.docx", "A 37730-2023")</f>
        <v/>
      </c>
    </row>
    <row r="126" ht="15" customHeight="1">
      <c r="A126" t="inlineStr">
        <is>
          <t>A 41638-2025</t>
        </is>
      </c>
      <c r="B126" s="1" t="n">
        <v>45901</v>
      </c>
      <c r="C126" s="1" t="n">
        <v>46114</v>
      </c>
      <c r="D126" t="inlineStr">
        <is>
          <t>DALARNAS LÄN</t>
        </is>
      </c>
      <c r="E126" t="inlineStr">
        <is>
          <t>ÄLVDALEN</t>
        </is>
      </c>
      <c r="F126" t="inlineStr">
        <is>
          <t>Övriga statliga verk och myndigheter</t>
        </is>
      </c>
      <c r="G126" t="n">
        <v>24.3</v>
      </c>
      <c r="H126" t="n">
        <v>0</v>
      </c>
      <c r="I126" t="n">
        <v>2</v>
      </c>
      <c r="J126" t="n">
        <v>8</v>
      </c>
      <c r="K126" t="n">
        <v>2</v>
      </c>
      <c r="L126" t="n">
        <v>0</v>
      </c>
      <c r="M126" t="n">
        <v>0</v>
      </c>
      <c r="N126" t="n">
        <v>0</v>
      </c>
      <c r="O126" t="n">
        <v>10</v>
      </c>
      <c r="P126" t="n">
        <v>2</v>
      </c>
      <c r="Q126" t="n">
        <v>12</v>
      </c>
      <c r="R126" s="2" t="inlineStr">
        <is>
          <t>Spadskinn
Tajgataggsvamp
Blanksvart spiklav
Dvärgbägarlav
Garnlav
Kolflarnlav
Mörk kolflarnlav
Tallriska
Vedflamlav
Vitplätt
Dropptaggsvamp
Vedticka</t>
        </is>
      </c>
      <c r="S126">
        <f>HYPERLINK("https://klasma.github.io/Logging_2039/artfynd/A 41638-2025 artfynd.xlsx", "A 41638-2025")</f>
        <v/>
      </c>
      <c r="T126">
        <f>HYPERLINK("https://klasma.github.io/Logging_2039/kartor/A 41638-2025 karta.png", "A 41638-2025")</f>
        <v/>
      </c>
      <c r="V126">
        <f>HYPERLINK("https://klasma.github.io/Logging_2039/klagomål/A 41638-2025 FSC-klagomål.docx", "A 41638-2025")</f>
        <v/>
      </c>
      <c r="W126">
        <f>HYPERLINK("https://klasma.github.io/Logging_2039/klagomålsmail/A 41638-2025 FSC-klagomål mail.docx", "A 41638-2025")</f>
        <v/>
      </c>
      <c r="X126">
        <f>HYPERLINK("https://klasma.github.io/Logging_2039/tillsyn/A 41638-2025 tillsynsbegäran.docx", "A 41638-2025")</f>
        <v/>
      </c>
      <c r="Y126">
        <f>HYPERLINK("https://klasma.github.io/Logging_2039/tillsynsmail/A 41638-2025 tillsynsbegäran mail.docx", "A 41638-2025")</f>
        <v/>
      </c>
    </row>
    <row r="127" ht="15" customHeight="1">
      <c r="A127" t="inlineStr">
        <is>
          <t>A 57095-2025</t>
        </is>
      </c>
      <c r="B127" s="1" t="n">
        <v>45979.43158564815</v>
      </c>
      <c r="C127" s="1" t="n">
        <v>46114</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5813-2025</t>
        </is>
      </c>
      <c r="B128" s="1" t="n">
        <v>45694</v>
      </c>
      <c r="C128" s="1" t="n">
        <v>46114</v>
      </c>
      <c r="D128" t="inlineStr">
        <is>
          <t>DALARNAS LÄN</t>
        </is>
      </c>
      <c r="E128" t="inlineStr">
        <is>
          <t>ÄLVDALEN</t>
        </is>
      </c>
      <c r="F128" t="inlineStr">
        <is>
          <t>Övriga statliga verk och myndigheter</t>
        </is>
      </c>
      <c r="G128" t="n">
        <v>3.1</v>
      </c>
      <c r="H128" t="n">
        <v>4</v>
      </c>
      <c r="I128" t="n">
        <v>3</v>
      </c>
      <c r="J128" t="n">
        <v>6</v>
      </c>
      <c r="K128" t="n">
        <v>2</v>
      </c>
      <c r="L128" t="n">
        <v>0</v>
      </c>
      <c r="M128" t="n">
        <v>0</v>
      </c>
      <c r="N128" t="n">
        <v>0</v>
      </c>
      <c r="O128" t="n">
        <v>8</v>
      </c>
      <c r="P128" t="n">
        <v>2</v>
      </c>
      <c r="Q128" t="n">
        <v>12</v>
      </c>
      <c r="R128" s="2" t="inlineStr">
        <is>
          <t>Knärot
Ulltickeporing
Garnlav
Gränsticka
Spillkråka
Tretåig hackspett
Ullticka
Vedtrappmossa
Bronshjon
Källpraktmossa
Vedticka
Revlummer</t>
        </is>
      </c>
      <c r="S128">
        <f>HYPERLINK("https://klasma.github.io/Logging_2039/artfynd/A 5813-2025 artfynd.xlsx", "A 5813-2025")</f>
        <v/>
      </c>
      <c r="T128">
        <f>HYPERLINK("https://klasma.github.io/Logging_2039/kartor/A 5813-2025 karta.png", "A 5813-2025")</f>
        <v/>
      </c>
      <c r="U128">
        <f>HYPERLINK("https://klasma.github.io/Logging_2039/knärot/A 5813-2025 karta knärot.png", "A 5813-2025")</f>
        <v/>
      </c>
      <c r="V128">
        <f>HYPERLINK("https://klasma.github.io/Logging_2039/klagomål/A 5813-2025 FSC-klagomål.docx", "A 5813-2025")</f>
        <v/>
      </c>
      <c r="W128">
        <f>HYPERLINK("https://klasma.github.io/Logging_2039/klagomålsmail/A 5813-2025 FSC-klagomål mail.docx", "A 5813-2025")</f>
        <v/>
      </c>
      <c r="X128">
        <f>HYPERLINK("https://klasma.github.io/Logging_2039/tillsyn/A 5813-2025 tillsynsbegäran.docx", "A 5813-2025")</f>
        <v/>
      </c>
      <c r="Y128">
        <f>HYPERLINK("https://klasma.github.io/Logging_2039/tillsynsmail/A 5813-2025 tillsynsbegäran mail.docx", "A 5813-2025")</f>
        <v/>
      </c>
      <c r="Z128">
        <f>HYPERLINK("https://klasma.github.io/Logging_2039/fåglar/A 5813-2025 prioriterade fågelarter.docx", "A 5813-2025")</f>
        <v/>
      </c>
    </row>
    <row r="129" ht="15" customHeight="1">
      <c r="A129" t="inlineStr">
        <is>
          <t>A 59950-2025</t>
        </is>
      </c>
      <c r="B129" s="1" t="n">
        <v>45993</v>
      </c>
      <c r="C129" s="1" t="n">
        <v>46114</v>
      </c>
      <c r="D129" t="inlineStr">
        <is>
          <t>DALARNAS LÄN</t>
        </is>
      </c>
      <c r="E129" t="inlineStr">
        <is>
          <t>LUDVIKA</t>
        </is>
      </c>
      <c r="G129" t="n">
        <v>9.6</v>
      </c>
      <c r="H129" t="n">
        <v>4</v>
      </c>
      <c r="I129" t="n">
        <v>5</v>
      </c>
      <c r="J129" t="n">
        <v>6</v>
      </c>
      <c r="K129" t="n">
        <v>1</v>
      </c>
      <c r="L129" t="n">
        <v>0</v>
      </c>
      <c r="M129" t="n">
        <v>0</v>
      </c>
      <c r="N129" t="n">
        <v>0</v>
      </c>
      <c r="O129" t="n">
        <v>7</v>
      </c>
      <c r="P129" t="n">
        <v>1</v>
      </c>
      <c r="Q129" t="n">
        <v>12</v>
      </c>
      <c r="R129" s="2" t="inlineStr">
        <is>
          <t>Knärot
Garnlav
Järpe
Lunglav
Skogshare
Spillkråka
Tretåig hackspett
Korallblylav
Mindre märgborre
Norrlandslav
Rävticka
Skinnlav</t>
        </is>
      </c>
      <c r="S129">
        <f>HYPERLINK("https://klasma.github.io/Logging_2085/artfynd/A 59950-2025 artfynd.xlsx", "A 59950-2025")</f>
        <v/>
      </c>
      <c r="T129">
        <f>HYPERLINK("https://klasma.github.io/Logging_2085/kartor/A 59950-2025 karta.png", "A 59950-2025")</f>
        <v/>
      </c>
      <c r="U129">
        <f>HYPERLINK("https://klasma.github.io/Logging_2085/knärot/A 59950-2025 karta knärot.png", "A 59950-2025")</f>
        <v/>
      </c>
      <c r="V129">
        <f>HYPERLINK("https://klasma.github.io/Logging_2085/klagomål/A 59950-2025 FSC-klagomål.docx", "A 59950-2025")</f>
        <v/>
      </c>
      <c r="W129">
        <f>HYPERLINK("https://klasma.github.io/Logging_2085/klagomålsmail/A 59950-2025 FSC-klagomål mail.docx", "A 59950-2025")</f>
        <v/>
      </c>
      <c r="X129">
        <f>HYPERLINK("https://klasma.github.io/Logging_2085/tillsyn/A 59950-2025 tillsynsbegäran.docx", "A 59950-2025")</f>
        <v/>
      </c>
      <c r="Y129">
        <f>HYPERLINK("https://klasma.github.io/Logging_2085/tillsynsmail/A 59950-2025 tillsynsbegäran mail.docx", "A 59950-2025")</f>
        <v/>
      </c>
      <c r="Z129">
        <f>HYPERLINK("https://klasma.github.io/Logging_2085/fåglar/A 59950-2025 prioriterade fågelarter.docx", "A 59950-2025")</f>
        <v/>
      </c>
    </row>
    <row r="130" ht="15" customHeight="1">
      <c r="A130" t="inlineStr">
        <is>
          <t>A 35485-2025</t>
        </is>
      </c>
      <c r="B130" s="1" t="n">
        <v>45855</v>
      </c>
      <c r="C130" s="1" t="n">
        <v>46114</v>
      </c>
      <c r="D130" t="inlineStr">
        <is>
          <t>DALARNAS LÄN</t>
        </is>
      </c>
      <c r="E130" t="inlineStr">
        <is>
          <t>MORA</t>
        </is>
      </c>
      <c r="F130" t="inlineStr">
        <is>
          <t>Allmännings- och besparingsskogar</t>
        </is>
      </c>
      <c r="G130" t="n">
        <v>2.9</v>
      </c>
      <c r="H130" t="n">
        <v>2</v>
      </c>
      <c r="I130" t="n">
        <v>3</v>
      </c>
      <c r="J130" t="n">
        <v>9</v>
      </c>
      <c r="K130" t="n">
        <v>0</v>
      </c>
      <c r="L130" t="n">
        <v>0</v>
      </c>
      <c r="M130" t="n">
        <v>0</v>
      </c>
      <c r="N130" t="n">
        <v>0</v>
      </c>
      <c r="O130" t="n">
        <v>9</v>
      </c>
      <c r="P130" t="n">
        <v>0</v>
      </c>
      <c r="Q130" t="n">
        <v>12</v>
      </c>
      <c r="R130" s="2" t="inlineStr">
        <is>
          <t>Blågrå svartspik
Dvärgbägarlav
Garnlav
Grantaggsvamp
Kolflarnlav
Kortskaftad ärgspik
Talltita
Tretåig hackspett
Vedskivlav
Dropptaggsvamp
Mindre märgborre
Skarp dropptaggsvamp</t>
        </is>
      </c>
      <c r="S130">
        <f>HYPERLINK("https://klasma.github.io/Logging_2062/artfynd/A 35485-2025 artfynd.xlsx", "A 35485-2025")</f>
        <v/>
      </c>
      <c r="T130">
        <f>HYPERLINK("https://klasma.github.io/Logging_2062/kartor/A 35485-2025 karta.png", "A 35485-2025")</f>
        <v/>
      </c>
      <c r="V130">
        <f>HYPERLINK("https://klasma.github.io/Logging_2062/klagomål/A 35485-2025 FSC-klagomål.docx", "A 35485-2025")</f>
        <v/>
      </c>
      <c r="W130">
        <f>HYPERLINK("https://klasma.github.io/Logging_2062/klagomålsmail/A 35485-2025 FSC-klagomål mail.docx", "A 35485-2025")</f>
        <v/>
      </c>
      <c r="X130">
        <f>HYPERLINK("https://klasma.github.io/Logging_2062/tillsyn/A 35485-2025 tillsynsbegäran.docx", "A 35485-2025")</f>
        <v/>
      </c>
      <c r="Y130">
        <f>HYPERLINK("https://klasma.github.io/Logging_2062/tillsynsmail/A 35485-2025 tillsynsbegäran mail.docx", "A 35485-2025")</f>
        <v/>
      </c>
      <c r="Z130">
        <f>HYPERLINK("https://klasma.github.io/Logging_2062/fåglar/A 35485-2025 prioriterade fågelarter.docx", "A 35485-2025")</f>
        <v/>
      </c>
    </row>
    <row r="131" ht="15" customHeight="1">
      <c r="A131" t="inlineStr">
        <is>
          <t>A 7021-2026</t>
        </is>
      </c>
      <c r="B131" s="1" t="n">
        <v>46057.65300925926</v>
      </c>
      <c r="C131" s="1" t="n">
        <v>46114</v>
      </c>
      <c r="D131" t="inlineStr">
        <is>
          <t>DALARNAS LÄN</t>
        </is>
      </c>
      <c r="E131" t="inlineStr">
        <is>
          <t>ÄLVDALEN</t>
        </is>
      </c>
      <c r="G131" t="n">
        <v>21.6</v>
      </c>
      <c r="H131" t="n">
        <v>3</v>
      </c>
      <c r="I131" t="n">
        <v>3</v>
      </c>
      <c r="J131" t="n">
        <v>8</v>
      </c>
      <c r="K131" t="n">
        <v>0</v>
      </c>
      <c r="L131" t="n">
        <v>0</v>
      </c>
      <c r="M131" t="n">
        <v>0</v>
      </c>
      <c r="N131" t="n">
        <v>0</v>
      </c>
      <c r="O131" t="n">
        <v>8</v>
      </c>
      <c r="P131" t="n">
        <v>0</v>
      </c>
      <c r="Q131" t="n">
        <v>12</v>
      </c>
      <c r="R131" s="2" t="inlineStr">
        <is>
          <t>Garnlav
Kolflarnlav
Mörk kolflarnlav
Spillkråka
Tallticka
Talltita
Vedflamlav
Vedskivlav
Björksplintborre
Bronshjon
Mindre märgborre
Tjäder</t>
        </is>
      </c>
      <c r="S131">
        <f>HYPERLINK("https://klasma.github.io/Logging_2039/artfynd/A 7021-2026 artfynd.xlsx", "A 7021-2026")</f>
        <v/>
      </c>
      <c r="T131">
        <f>HYPERLINK("https://klasma.github.io/Logging_2039/kartor/A 7021-2026 karta.png", "A 7021-2026")</f>
        <v/>
      </c>
      <c r="V131">
        <f>HYPERLINK("https://klasma.github.io/Logging_2039/klagomål/A 7021-2026 FSC-klagomål.docx", "A 7021-2026")</f>
        <v/>
      </c>
      <c r="W131">
        <f>HYPERLINK("https://klasma.github.io/Logging_2039/klagomålsmail/A 7021-2026 FSC-klagomål mail.docx", "A 7021-2026")</f>
        <v/>
      </c>
      <c r="X131">
        <f>HYPERLINK("https://klasma.github.io/Logging_2039/tillsyn/A 7021-2026 tillsynsbegäran.docx", "A 7021-2026")</f>
        <v/>
      </c>
      <c r="Y131">
        <f>HYPERLINK("https://klasma.github.io/Logging_2039/tillsynsmail/A 7021-2026 tillsynsbegäran mail.docx", "A 7021-2026")</f>
        <v/>
      </c>
      <c r="Z131">
        <f>HYPERLINK("https://klasma.github.io/Logging_2039/fåglar/A 7021-2026 prioriterade fågelarter.docx", "A 7021-2026")</f>
        <v/>
      </c>
    </row>
    <row r="132" ht="15" customHeight="1">
      <c r="A132" t="inlineStr">
        <is>
          <t>A 62816-2025</t>
        </is>
      </c>
      <c r="B132" s="1" t="n">
        <v>46008.65450231481</v>
      </c>
      <c r="C132" s="1" t="n">
        <v>46114</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2249-2026</t>
        </is>
      </c>
      <c r="B133" s="1" t="n">
        <v>46036.55042824074</v>
      </c>
      <c r="C133" s="1" t="n">
        <v>46114</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1912-2023</t>
        </is>
      </c>
      <c r="B134" s="1" t="n">
        <v>44937</v>
      </c>
      <c r="C134" s="1" t="n">
        <v>46114</v>
      </c>
      <c r="D134" t="inlineStr">
        <is>
          <t>DALARNAS LÄN</t>
        </is>
      </c>
      <c r="E134" t="inlineStr">
        <is>
          <t>LUDVIKA</t>
        </is>
      </c>
      <c r="F134" t="inlineStr">
        <is>
          <t>Kommuner</t>
        </is>
      </c>
      <c r="G134" t="n">
        <v>8.800000000000001</v>
      </c>
      <c r="H134" t="n">
        <v>0</v>
      </c>
      <c r="I134" t="n">
        <v>7</v>
      </c>
      <c r="J134" t="n">
        <v>4</v>
      </c>
      <c r="K134" t="n">
        <v>1</v>
      </c>
      <c r="L134" t="n">
        <v>0</v>
      </c>
      <c r="M134" t="n">
        <v>0</v>
      </c>
      <c r="N134" t="n">
        <v>0</v>
      </c>
      <c r="O134" t="n">
        <v>5</v>
      </c>
      <c r="P134" t="n">
        <v>1</v>
      </c>
      <c r="Q134" t="n">
        <v>12</v>
      </c>
      <c r="R134" s="2" t="inlineStr">
        <is>
          <t>Rynkskinn
Gammelgransskål
Kådvaxskinn
Mindre träfjäril
Mjölig dropplav
Aspvedborre
Barkticka
Fjällig taggsvamp s.str.
Kamjordstjärna
Mörk husmossa
Svavelriska
Vedticka</t>
        </is>
      </c>
      <c r="S134">
        <f>HYPERLINK("https://klasma.github.io/Logging_2085/artfynd/A 1912-2023 artfynd.xlsx", "A 1912-2023")</f>
        <v/>
      </c>
      <c r="T134">
        <f>HYPERLINK("https://klasma.github.io/Logging_2085/kartor/A 1912-2023 karta.png", "A 1912-2023")</f>
        <v/>
      </c>
      <c r="V134">
        <f>HYPERLINK("https://klasma.github.io/Logging_2085/klagomål/A 1912-2023 FSC-klagomål.docx", "A 1912-2023")</f>
        <v/>
      </c>
      <c r="W134">
        <f>HYPERLINK("https://klasma.github.io/Logging_2085/klagomålsmail/A 1912-2023 FSC-klagomål mail.docx", "A 1912-2023")</f>
        <v/>
      </c>
      <c r="X134">
        <f>HYPERLINK("https://klasma.github.io/Logging_2085/tillsyn/A 1912-2023 tillsynsbegäran.docx", "A 1912-2023")</f>
        <v/>
      </c>
      <c r="Y134">
        <f>HYPERLINK("https://klasma.github.io/Logging_2085/tillsynsmail/A 1912-2023 tillsynsbegäran mail.docx", "A 1912-2023")</f>
        <v/>
      </c>
    </row>
    <row r="135" ht="15" customHeight="1">
      <c r="A135" t="inlineStr">
        <is>
          <t>A 42272-2021</t>
        </is>
      </c>
      <c r="B135" s="1" t="n">
        <v>44426</v>
      </c>
      <c r="C135" s="1" t="n">
        <v>46114</v>
      </c>
      <c r="D135" t="inlineStr">
        <is>
          <t>DALARNAS LÄN</t>
        </is>
      </c>
      <c r="E135" t="inlineStr">
        <is>
          <t>SMEDJEBACKEN</t>
        </is>
      </c>
      <c r="F135" t="inlineStr">
        <is>
          <t>Bergvik skog väst AB</t>
        </is>
      </c>
      <c r="G135" t="n">
        <v>23.7</v>
      </c>
      <c r="H135" t="n">
        <v>3</v>
      </c>
      <c r="I135" t="n">
        <v>5</v>
      </c>
      <c r="J135" t="n">
        <v>1</v>
      </c>
      <c r="K135" t="n">
        <v>1</v>
      </c>
      <c r="L135" t="n">
        <v>0</v>
      </c>
      <c r="M135" t="n">
        <v>0</v>
      </c>
      <c r="N135" t="n">
        <v>0</v>
      </c>
      <c r="O135" t="n">
        <v>4</v>
      </c>
      <c r="P135" t="n">
        <v>1</v>
      </c>
      <c r="Q135" t="n">
        <v>11</v>
      </c>
      <c r="R135" s="2" t="inlineStr">
        <is>
          <t>Knärot
Stjärntagging
Mörk kådsvartspik
Röd kådsvartspik
Bronshjon
Jättesvampmal
Kattfotslav
Rostfläck
Vedticka
Kungsfågel
Sångsvan</t>
        </is>
      </c>
      <c r="S135">
        <f>HYPERLINK("https://klasma.github.io/Logging_2061/artfynd/A 42272-2021 artfynd.xlsx", "A 42272-2021")</f>
        <v/>
      </c>
      <c r="T135">
        <f>HYPERLINK("https://klasma.github.io/Logging_2061/kartor/A 42272-2021 karta.png", "A 42272-2021")</f>
        <v/>
      </c>
      <c r="U135">
        <f>HYPERLINK("https://klasma.github.io/Logging_2061/knärot/A 42272-2021 karta knärot.png", "A 42272-2021")</f>
        <v/>
      </c>
      <c r="V135">
        <f>HYPERLINK("https://klasma.github.io/Logging_2061/klagomål/A 42272-2021 FSC-klagomål.docx", "A 42272-2021")</f>
        <v/>
      </c>
      <c r="W135">
        <f>HYPERLINK("https://klasma.github.io/Logging_2061/klagomålsmail/A 42272-2021 FSC-klagomål mail.docx", "A 42272-2021")</f>
        <v/>
      </c>
      <c r="X135">
        <f>HYPERLINK("https://klasma.github.io/Logging_2061/tillsyn/A 42272-2021 tillsynsbegäran.docx", "A 42272-2021")</f>
        <v/>
      </c>
      <c r="Y135">
        <f>HYPERLINK("https://klasma.github.io/Logging_2061/tillsynsmail/A 42272-2021 tillsynsbegäran mail.docx", "A 42272-2021")</f>
        <v/>
      </c>
      <c r="Z135">
        <f>HYPERLINK("https://klasma.github.io/Logging_2061/fåglar/A 42272-2021 prioriterade fågelarter.docx", "A 42272-2021")</f>
        <v/>
      </c>
    </row>
    <row r="136" ht="15" customHeight="1">
      <c r="A136" t="inlineStr">
        <is>
          <t>A 30214-2023</t>
        </is>
      </c>
      <c r="B136" s="1" t="n">
        <v>45110</v>
      </c>
      <c r="C136" s="1" t="n">
        <v>46114</v>
      </c>
      <c r="D136" t="inlineStr">
        <is>
          <t>DALARNAS LÄN</t>
        </is>
      </c>
      <c r="E136" t="inlineStr">
        <is>
          <t>ÄLVDALEN</t>
        </is>
      </c>
      <c r="F136" t="inlineStr">
        <is>
          <t>Allmännings- och besparingsskogar</t>
        </is>
      </c>
      <c r="G136" t="n">
        <v>8.699999999999999</v>
      </c>
      <c r="H136" t="n">
        <v>1</v>
      </c>
      <c r="I136" t="n">
        <v>2</v>
      </c>
      <c r="J136" t="n">
        <v>9</v>
      </c>
      <c r="K136" t="n">
        <v>0</v>
      </c>
      <c r="L136" t="n">
        <v>0</v>
      </c>
      <c r="M136" t="n">
        <v>0</v>
      </c>
      <c r="N136" t="n">
        <v>0</v>
      </c>
      <c r="O136" t="n">
        <v>9</v>
      </c>
      <c r="P136" t="n">
        <v>0</v>
      </c>
      <c r="Q136" t="n">
        <v>11</v>
      </c>
      <c r="R136" s="2" t="inlineStr">
        <is>
          <t>Blå taggsvamp
Blågrå svartspik
Garnlav
Grantaggsvamp
Mörk kolflarnlav
Orange taggsvamp
Svart taggsvamp agg.
Tretåig hackspett
Vedflamlav
Dropptaggsvamp
Skarp dropptaggsvamp</t>
        </is>
      </c>
      <c r="S136">
        <f>HYPERLINK("https://klasma.github.io/Logging_2039/artfynd/A 30214-2023 artfynd.xlsx", "A 30214-2023")</f>
        <v/>
      </c>
      <c r="T136">
        <f>HYPERLINK("https://klasma.github.io/Logging_2039/kartor/A 30214-2023 karta.png", "A 30214-2023")</f>
        <v/>
      </c>
      <c r="V136">
        <f>HYPERLINK("https://klasma.github.io/Logging_2039/klagomål/A 30214-2023 FSC-klagomål.docx", "A 30214-2023")</f>
        <v/>
      </c>
      <c r="W136">
        <f>HYPERLINK("https://klasma.github.io/Logging_2039/klagomålsmail/A 30214-2023 FSC-klagomål mail.docx", "A 30214-2023")</f>
        <v/>
      </c>
      <c r="X136">
        <f>HYPERLINK("https://klasma.github.io/Logging_2039/tillsyn/A 30214-2023 tillsynsbegäran.docx", "A 30214-2023")</f>
        <v/>
      </c>
      <c r="Y136">
        <f>HYPERLINK("https://klasma.github.io/Logging_2039/tillsynsmail/A 30214-2023 tillsynsbegäran mail.docx", "A 30214-2023")</f>
        <v/>
      </c>
      <c r="Z136">
        <f>HYPERLINK("https://klasma.github.io/Logging_2039/fåglar/A 30214-2023 prioriterade fågelarter.docx", "A 30214-2023")</f>
        <v/>
      </c>
    </row>
    <row r="137" ht="15" customHeight="1">
      <c r="A137" t="inlineStr">
        <is>
          <t>A 29154-2025</t>
        </is>
      </c>
      <c r="B137" s="1" t="n">
        <v>45821.65135416666</v>
      </c>
      <c r="C137" s="1" t="n">
        <v>46114</v>
      </c>
      <c r="D137" t="inlineStr">
        <is>
          <t>DALARNAS LÄN</t>
        </is>
      </c>
      <c r="E137" t="inlineStr">
        <is>
          <t>ÄLVDALEN</t>
        </is>
      </c>
      <c r="F137" t="inlineStr">
        <is>
          <t>Allmännings- och besparingsskogar</t>
        </is>
      </c>
      <c r="G137" t="n">
        <v>32.2</v>
      </c>
      <c r="H137" t="n">
        <v>4</v>
      </c>
      <c r="I137" t="n">
        <v>0</v>
      </c>
      <c r="J137" t="n">
        <v>8</v>
      </c>
      <c r="K137" t="n">
        <v>0</v>
      </c>
      <c r="L137" t="n">
        <v>0</v>
      </c>
      <c r="M137" t="n">
        <v>0</v>
      </c>
      <c r="N137" t="n">
        <v>0</v>
      </c>
      <c r="O137" t="n">
        <v>8</v>
      </c>
      <c r="P137" t="n">
        <v>0</v>
      </c>
      <c r="Q137" t="n">
        <v>11</v>
      </c>
      <c r="R137" s="2" t="inlineStr">
        <is>
          <t>Garnlav
Kolflarnlav
Mörk kolflarnlav
Spillkråka
Tallticka
Vedflamlav
Vedskivlav
Vitgrynig nållav
Kungsfågel
Vanlig groda
Fläcknycklar</t>
        </is>
      </c>
      <c r="S137">
        <f>HYPERLINK("https://klasma.github.io/Logging_2039/artfynd/A 29154-2025 artfynd.xlsx", "A 29154-2025")</f>
        <v/>
      </c>
      <c r="T137">
        <f>HYPERLINK("https://klasma.github.io/Logging_2039/kartor/A 29154-2025 karta.png", "A 29154-2025")</f>
        <v/>
      </c>
      <c r="V137">
        <f>HYPERLINK("https://klasma.github.io/Logging_2039/klagomål/A 29154-2025 FSC-klagomål.docx", "A 29154-2025")</f>
        <v/>
      </c>
      <c r="W137">
        <f>HYPERLINK("https://klasma.github.io/Logging_2039/klagomålsmail/A 29154-2025 FSC-klagomål mail.docx", "A 29154-2025")</f>
        <v/>
      </c>
      <c r="X137">
        <f>HYPERLINK("https://klasma.github.io/Logging_2039/tillsyn/A 29154-2025 tillsynsbegäran.docx", "A 29154-2025")</f>
        <v/>
      </c>
      <c r="Y137">
        <f>HYPERLINK("https://klasma.github.io/Logging_2039/tillsynsmail/A 29154-2025 tillsynsbegäran mail.docx", "A 29154-2025")</f>
        <v/>
      </c>
      <c r="Z137">
        <f>HYPERLINK("https://klasma.github.io/Logging_2039/fåglar/A 29154-2025 prioriterade fågelarter.docx", "A 29154-2025")</f>
        <v/>
      </c>
    </row>
    <row r="138" ht="15" customHeight="1">
      <c r="A138" t="inlineStr">
        <is>
          <t>A 44318-2025</t>
        </is>
      </c>
      <c r="B138" s="1" t="n">
        <v>45916.39680555555</v>
      </c>
      <c r="C138" s="1" t="n">
        <v>46114</v>
      </c>
      <c r="D138" t="inlineStr">
        <is>
          <t>DALARNAS LÄN</t>
        </is>
      </c>
      <c r="E138" t="inlineStr">
        <is>
          <t>MORA</t>
        </is>
      </c>
      <c r="G138" t="n">
        <v>7.4</v>
      </c>
      <c r="H138" t="n">
        <v>3</v>
      </c>
      <c r="I138" t="n">
        <v>3</v>
      </c>
      <c r="J138" t="n">
        <v>7</v>
      </c>
      <c r="K138" t="n">
        <v>1</v>
      </c>
      <c r="L138" t="n">
        <v>0</v>
      </c>
      <c r="M138" t="n">
        <v>0</v>
      </c>
      <c r="N138" t="n">
        <v>0</v>
      </c>
      <c r="O138" t="n">
        <v>8</v>
      </c>
      <c r="P138" t="n">
        <v>1</v>
      </c>
      <c r="Q138" t="n">
        <v>11</v>
      </c>
      <c r="R138" s="2" t="inlineStr">
        <is>
          <t>Knärot
Blanksvart spiklav
Garnlav
Mörk kolflarnlav
Spillkråka
Talltita
Vedflamlav
Vedskivlav
Dropptaggsvamp
Mindre märgborre
Vedticka</t>
        </is>
      </c>
      <c r="S138">
        <f>HYPERLINK("https://klasma.github.io/Logging_2062/artfynd/A 44318-2025 artfynd.xlsx", "A 44318-2025")</f>
        <v/>
      </c>
      <c r="T138">
        <f>HYPERLINK("https://klasma.github.io/Logging_2062/kartor/A 44318-2025 karta.png", "A 44318-2025")</f>
        <v/>
      </c>
      <c r="U138">
        <f>HYPERLINK("https://klasma.github.io/Logging_2062/knärot/A 44318-2025 karta knärot.png", "A 44318-2025")</f>
        <v/>
      </c>
      <c r="V138">
        <f>HYPERLINK("https://klasma.github.io/Logging_2062/klagomål/A 44318-2025 FSC-klagomål.docx", "A 44318-2025")</f>
        <v/>
      </c>
      <c r="W138">
        <f>HYPERLINK("https://klasma.github.io/Logging_2062/klagomålsmail/A 44318-2025 FSC-klagomål mail.docx", "A 44318-2025")</f>
        <v/>
      </c>
      <c r="X138">
        <f>HYPERLINK("https://klasma.github.io/Logging_2062/tillsyn/A 44318-2025 tillsynsbegäran.docx", "A 44318-2025")</f>
        <v/>
      </c>
      <c r="Y138">
        <f>HYPERLINK("https://klasma.github.io/Logging_2062/tillsynsmail/A 44318-2025 tillsynsbegäran mail.docx", "A 44318-2025")</f>
        <v/>
      </c>
      <c r="Z138">
        <f>HYPERLINK("https://klasma.github.io/Logging_2062/fåglar/A 44318-2025 prioriterade fågelarter.docx", "A 44318-2025")</f>
        <v/>
      </c>
    </row>
    <row r="139" ht="15" customHeight="1">
      <c r="A139" t="inlineStr">
        <is>
          <t>A 47008-2025</t>
        </is>
      </c>
      <c r="B139" s="1" t="n">
        <v>45929.56971064815</v>
      </c>
      <c r="C139" s="1" t="n">
        <v>46114</v>
      </c>
      <c r="D139" t="inlineStr">
        <is>
          <t>DALARNAS LÄN</t>
        </is>
      </c>
      <c r="E139" t="inlineStr">
        <is>
          <t>ÄLVDALEN</t>
        </is>
      </c>
      <c r="F139" t="inlineStr">
        <is>
          <t>Allmännings- och besparingsskogar</t>
        </is>
      </c>
      <c r="G139" t="n">
        <v>4.6</v>
      </c>
      <c r="H139" t="n">
        <v>5</v>
      </c>
      <c r="I139" t="n">
        <v>0</v>
      </c>
      <c r="J139" t="n">
        <v>9</v>
      </c>
      <c r="K139" t="n">
        <v>0</v>
      </c>
      <c r="L139" t="n">
        <v>0</v>
      </c>
      <c r="M139" t="n">
        <v>0</v>
      </c>
      <c r="N139" t="n">
        <v>0</v>
      </c>
      <c r="O139" t="n">
        <v>9</v>
      </c>
      <c r="P139" t="n">
        <v>0</v>
      </c>
      <c r="Q139" t="n">
        <v>11</v>
      </c>
      <c r="R139" s="2" t="inlineStr">
        <is>
          <t>Garnlav
Kolflarnlav
Mörk kolflarnlav
Spillkråka
Tallticka
Talltita
Tretåig hackspett
Vedflamlav
Vedskivlav
Orre
Tjäder</t>
        </is>
      </c>
      <c r="S139">
        <f>HYPERLINK("https://klasma.github.io/Logging_2039/artfynd/A 47008-2025 artfynd.xlsx", "A 47008-2025")</f>
        <v/>
      </c>
      <c r="T139">
        <f>HYPERLINK("https://klasma.github.io/Logging_2039/kartor/A 47008-2025 karta.png", "A 47008-2025")</f>
        <v/>
      </c>
      <c r="V139">
        <f>HYPERLINK("https://klasma.github.io/Logging_2039/klagomål/A 47008-2025 FSC-klagomål.docx", "A 47008-2025")</f>
        <v/>
      </c>
      <c r="W139">
        <f>HYPERLINK("https://klasma.github.io/Logging_2039/klagomålsmail/A 47008-2025 FSC-klagomål mail.docx", "A 47008-2025")</f>
        <v/>
      </c>
      <c r="X139">
        <f>HYPERLINK("https://klasma.github.io/Logging_2039/tillsyn/A 47008-2025 tillsynsbegäran.docx", "A 47008-2025")</f>
        <v/>
      </c>
      <c r="Y139">
        <f>HYPERLINK("https://klasma.github.io/Logging_2039/tillsynsmail/A 47008-2025 tillsynsbegäran mail.docx", "A 47008-2025")</f>
        <v/>
      </c>
      <c r="Z139">
        <f>HYPERLINK("https://klasma.github.io/Logging_2039/fåglar/A 47008-2025 prioriterade fågelarter.docx", "A 47008-2025")</f>
        <v/>
      </c>
    </row>
    <row r="140" ht="15" customHeight="1">
      <c r="A140" t="inlineStr">
        <is>
          <t>A 54120-2024</t>
        </is>
      </c>
      <c r="B140" s="1" t="n">
        <v>45616.57304398148</v>
      </c>
      <c r="C140" s="1" t="n">
        <v>46114</v>
      </c>
      <c r="D140" t="inlineStr">
        <is>
          <t>DALARNAS LÄN</t>
        </is>
      </c>
      <c r="E140" t="inlineStr">
        <is>
          <t>HEDEMORA</t>
        </is>
      </c>
      <c r="G140" t="n">
        <v>7.7</v>
      </c>
      <c r="H140" t="n">
        <v>1</v>
      </c>
      <c r="I140" t="n">
        <v>4</v>
      </c>
      <c r="J140" t="n">
        <v>4</v>
      </c>
      <c r="K140" t="n">
        <v>3</v>
      </c>
      <c r="L140" t="n">
        <v>0</v>
      </c>
      <c r="M140" t="n">
        <v>0</v>
      </c>
      <c r="N140" t="n">
        <v>0</v>
      </c>
      <c r="O140" t="n">
        <v>7</v>
      </c>
      <c r="P140" t="n">
        <v>3</v>
      </c>
      <c r="Q140" t="n">
        <v>11</v>
      </c>
      <c r="R140" s="2" t="inlineStr">
        <is>
          <t>Grangråticka
Knärot
Rynkskinn
Dofttaggsvamp
Gul taggsvamp
Rosenticka
Ullticka
Diskvaxskivling
Fjällig taggsvamp s.str.
Svavelriska
Trådticka</t>
        </is>
      </c>
      <c r="S140">
        <f>HYPERLINK("https://klasma.github.io/Logging_2083/artfynd/A 54120-2024 artfynd.xlsx", "A 54120-2024")</f>
        <v/>
      </c>
      <c r="T140">
        <f>HYPERLINK("https://klasma.github.io/Logging_2083/kartor/A 54120-2024 karta.png", "A 54120-2024")</f>
        <v/>
      </c>
      <c r="U140">
        <f>HYPERLINK("https://klasma.github.io/Logging_2083/knärot/A 54120-2024 karta knärot.png", "A 54120-2024")</f>
        <v/>
      </c>
      <c r="V140">
        <f>HYPERLINK("https://klasma.github.io/Logging_2083/klagomål/A 54120-2024 FSC-klagomål.docx", "A 54120-2024")</f>
        <v/>
      </c>
      <c r="W140">
        <f>HYPERLINK("https://klasma.github.io/Logging_2083/klagomålsmail/A 54120-2024 FSC-klagomål mail.docx", "A 54120-2024")</f>
        <v/>
      </c>
      <c r="X140">
        <f>HYPERLINK("https://klasma.github.io/Logging_2083/tillsyn/A 54120-2024 tillsynsbegäran.docx", "A 54120-2024")</f>
        <v/>
      </c>
      <c r="Y140">
        <f>HYPERLINK("https://klasma.github.io/Logging_2083/tillsynsmail/A 54120-2024 tillsynsbegäran mail.docx", "A 54120-2024")</f>
        <v/>
      </c>
    </row>
    <row r="141" ht="15" customHeight="1">
      <c r="A141" t="inlineStr">
        <is>
          <t>A 50759-2023</t>
        </is>
      </c>
      <c r="B141" s="1" t="n">
        <v>45217.60914351852</v>
      </c>
      <c r="C141" s="1" t="n">
        <v>46114</v>
      </c>
      <c r="D141" t="inlineStr">
        <is>
          <t>DALARNAS LÄN</t>
        </is>
      </c>
      <c r="E141" t="inlineStr">
        <is>
          <t>MORA</t>
        </is>
      </c>
      <c r="G141" t="n">
        <v>5.3</v>
      </c>
      <c r="H141" t="n">
        <v>5</v>
      </c>
      <c r="I141" t="n">
        <v>1</v>
      </c>
      <c r="J141" t="n">
        <v>7</v>
      </c>
      <c r="K141" t="n">
        <v>1</v>
      </c>
      <c r="L141" t="n">
        <v>0</v>
      </c>
      <c r="M141" t="n">
        <v>0</v>
      </c>
      <c r="N141" t="n">
        <v>0</v>
      </c>
      <c r="O141" t="n">
        <v>8</v>
      </c>
      <c r="P141" t="n">
        <v>1</v>
      </c>
      <c r="Q141" t="n">
        <v>11</v>
      </c>
      <c r="R141" s="2" t="inlineStr">
        <is>
          <t>Rynkskinn
Garnlav
Rosenticka
Spillkråka
Talltita
Tretåig hackspett
Ullticka
Vedskivlav
Mindre märgborre
Kungsfågel
Revlummer</t>
        </is>
      </c>
      <c r="S141">
        <f>HYPERLINK("https://klasma.github.io/Logging_2062/artfynd/A 50759-2023 artfynd.xlsx", "A 50759-2023")</f>
        <v/>
      </c>
      <c r="T141">
        <f>HYPERLINK("https://klasma.github.io/Logging_2062/kartor/A 50759-2023 karta.png", "A 50759-2023")</f>
        <v/>
      </c>
      <c r="V141">
        <f>HYPERLINK("https://klasma.github.io/Logging_2062/klagomål/A 50759-2023 FSC-klagomål.docx", "A 50759-2023")</f>
        <v/>
      </c>
      <c r="W141">
        <f>HYPERLINK("https://klasma.github.io/Logging_2062/klagomålsmail/A 50759-2023 FSC-klagomål mail.docx", "A 50759-2023")</f>
        <v/>
      </c>
      <c r="X141">
        <f>HYPERLINK("https://klasma.github.io/Logging_2062/tillsyn/A 50759-2023 tillsynsbegäran.docx", "A 50759-2023")</f>
        <v/>
      </c>
      <c r="Y141">
        <f>HYPERLINK("https://klasma.github.io/Logging_2062/tillsynsmail/A 50759-2023 tillsynsbegäran mail.docx", "A 50759-2023")</f>
        <v/>
      </c>
      <c r="Z141">
        <f>HYPERLINK("https://klasma.github.io/Logging_2062/fåglar/A 50759-2023 prioriterade fågelarter.docx", "A 50759-2023")</f>
        <v/>
      </c>
    </row>
    <row r="142" ht="15" customHeight="1">
      <c r="A142" t="inlineStr">
        <is>
          <t>A 11713-2025</t>
        </is>
      </c>
      <c r="B142" s="1" t="n">
        <v>45727</v>
      </c>
      <c r="C142" s="1" t="n">
        <v>46114</v>
      </c>
      <c r="D142" t="inlineStr">
        <is>
          <t>DALARNAS LÄN</t>
        </is>
      </c>
      <c r="E142" t="inlineStr">
        <is>
          <t>VANSBRO</t>
        </is>
      </c>
      <c r="G142" t="n">
        <v>10.6</v>
      </c>
      <c r="H142" t="n">
        <v>4</v>
      </c>
      <c r="I142" t="n">
        <v>3</v>
      </c>
      <c r="J142" t="n">
        <v>5</v>
      </c>
      <c r="K142" t="n">
        <v>2</v>
      </c>
      <c r="L142" t="n">
        <v>0</v>
      </c>
      <c r="M142" t="n">
        <v>0</v>
      </c>
      <c r="N142" t="n">
        <v>0</v>
      </c>
      <c r="O142" t="n">
        <v>7</v>
      </c>
      <c r="P142" t="n">
        <v>2</v>
      </c>
      <c r="Q142" t="n">
        <v>11</v>
      </c>
      <c r="R142" s="2" t="inlineStr">
        <is>
          <t>Knärot
Rynkskinn
Garnlav
Granticka
Mindre hackspett
Tretåig hackspett
Ullticka
Fjällig taggsvamp s.str.
Trådticka
Vedticka
Tjäder</t>
        </is>
      </c>
      <c r="S142">
        <f>HYPERLINK("https://klasma.github.io/Logging_2021/artfynd/A 11713-2025 artfynd.xlsx", "A 11713-2025")</f>
        <v/>
      </c>
      <c r="T142">
        <f>HYPERLINK("https://klasma.github.io/Logging_2021/kartor/A 11713-2025 karta.png", "A 11713-2025")</f>
        <v/>
      </c>
      <c r="U142">
        <f>HYPERLINK("https://klasma.github.io/Logging_2021/knärot/A 11713-2025 karta knärot.png", "A 11713-2025")</f>
        <v/>
      </c>
      <c r="V142">
        <f>HYPERLINK("https://klasma.github.io/Logging_2021/klagomål/A 11713-2025 FSC-klagomål.docx", "A 11713-2025")</f>
        <v/>
      </c>
      <c r="W142">
        <f>HYPERLINK("https://klasma.github.io/Logging_2021/klagomålsmail/A 11713-2025 FSC-klagomål mail.docx", "A 11713-2025")</f>
        <v/>
      </c>
      <c r="X142">
        <f>HYPERLINK("https://klasma.github.io/Logging_2021/tillsyn/A 11713-2025 tillsynsbegäran.docx", "A 11713-2025")</f>
        <v/>
      </c>
      <c r="Y142">
        <f>HYPERLINK("https://klasma.github.io/Logging_2021/tillsynsmail/A 11713-2025 tillsynsbegäran mail.docx", "A 11713-2025")</f>
        <v/>
      </c>
      <c r="Z142">
        <f>HYPERLINK("https://klasma.github.io/Logging_2021/fåglar/A 11713-2025 prioriterade fågelarter.docx", "A 11713-2025")</f>
        <v/>
      </c>
    </row>
    <row r="143" ht="15" customHeight="1">
      <c r="A143" t="inlineStr">
        <is>
          <t>A 31562-2025</t>
        </is>
      </c>
      <c r="B143" s="1" t="n">
        <v>45833</v>
      </c>
      <c r="C143" s="1" t="n">
        <v>46114</v>
      </c>
      <c r="D143" t="inlineStr">
        <is>
          <t>DALARNAS LÄN</t>
        </is>
      </c>
      <c r="E143" t="inlineStr">
        <is>
          <t>MORA</t>
        </is>
      </c>
      <c r="G143" t="n">
        <v>12.4</v>
      </c>
      <c r="H143" t="n">
        <v>4</v>
      </c>
      <c r="I143" t="n">
        <v>4</v>
      </c>
      <c r="J143" t="n">
        <v>5</v>
      </c>
      <c r="K143" t="n">
        <v>1</v>
      </c>
      <c r="L143" t="n">
        <v>0</v>
      </c>
      <c r="M143" t="n">
        <v>0</v>
      </c>
      <c r="N143" t="n">
        <v>0</v>
      </c>
      <c r="O143" t="n">
        <v>6</v>
      </c>
      <c r="P143" t="n">
        <v>1</v>
      </c>
      <c r="Q143" t="n">
        <v>11</v>
      </c>
      <c r="R143" s="2" t="inlineStr">
        <is>
          <t>Knärot
Garnlav
Tallticka
Talltita
Tretåig hackspett
Vitgrynig nållav
Kattfotslav
Mindre märgborre
Nästlav
Thomsons trägnagare
Fläcknycklar</t>
        </is>
      </c>
      <c r="S143">
        <f>HYPERLINK("https://klasma.github.io/Logging_2062/artfynd/A 31562-2025 artfynd.xlsx", "A 31562-2025")</f>
        <v/>
      </c>
      <c r="T143">
        <f>HYPERLINK("https://klasma.github.io/Logging_2062/kartor/A 31562-2025 karta.png", "A 31562-2025")</f>
        <v/>
      </c>
      <c r="U143">
        <f>HYPERLINK("https://klasma.github.io/Logging_2062/knärot/A 31562-2025 karta knärot.png", "A 31562-2025")</f>
        <v/>
      </c>
      <c r="V143">
        <f>HYPERLINK("https://klasma.github.io/Logging_2062/klagomål/A 31562-2025 FSC-klagomål.docx", "A 31562-2025")</f>
        <v/>
      </c>
      <c r="W143">
        <f>HYPERLINK("https://klasma.github.io/Logging_2062/klagomålsmail/A 31562-2025 FSC-klagomål mail.docx", "A 31562-2025")</f>
        <v/>
      </c>
      <c r="X143">
        <f>HYPERLINK("https://klasma.github.io/Logging_2062/tillsyn/A 31562-2025 tillsynsbegäran.docx", "A 31562-2025")</f>
        <v/>
      </c>
      <c r="Y143">
        <f>HYPERLINK("https://klasma.github.io/Logging_2062/tillsynsmail/A 31562-2025 tillsynsbegäran mail.docx", "A 31562-2025")</f>
        <v/>
      </c>
      <c r="Z143">
        <f>HYPERLINK("https://klasma.github.io/Logging_2062/fåglar/A 31562-2025 prioriterade fågelarter.docx", "A 31562-2025")</f>
        <v/>
      </c>
    </row>
    <row r="144" ht="15" customHeight="1">
      <c r="A144" t="inlineStr">
        <is>
          <t>A 56940-2025</t>
        </is>
      </c>
      <c r="B144" s="1" t="n">
        <v>45978.62241898148</v>
      </c>
      <c r="C144" s="1" t="n">
        <v>46114</v>
      </c>
      <c r="D144" t="inlineStr">
        <is>
          <t>DALARNAS LÄN</t>
        </is>
      </c>
      <c r="E144" t="inlineStr">
        <is>
          <t>MORA</t>
        </is>
      </c>
      <c r="G144" t="n">
        <v>18.1</v>
      </c>
      <c r="H144" t="n">
        <v>0</v>
      </c>
      <c r="I144" t="n">
        <v>3</v>
      </c>
      <c r="J144" t="n">
        <v>7</v>
      </c>
      <c r="K144" t="n">
        <v>1</v>
      </c>
      <c r="L144" t="n">
        <v>0</v>
      </c>
      <c r="M144" t="n">
        <v>0</v>
      </c>
      <c r="N144" t="n">
        <v>0</v>
      </c>
      <c r="O144" t="n">
        <v>8</v>
      </c>
      <c r="P144" t="n">
        <v>1</v>
      </c>
      <c r="Q144" t="n">
        <v>11</v>
      </c>
      <c r="R144" s="2" t="inlineStr">
        <is>
          <t>Fläckporing
Blågrå svartspik
Garnlav
Kolflarnlav
Mörk kolflarnlav
Tallticka
Vaddporing
Vedflamlav
Bronshjon
Dropptaggsvamp
Mindre märgborre</t>
        </is>
      </c>
      <c r="S144">
        <f>HYPERLINK("https://klasma.github.io/Logging_2062/artfynd/A 56940-2025 artfynd.xlsx", "A 56940-2025")</f>
        <v/>
      </c>
      <c r="T144">
        <f>HYPERLINK("https://klasma.github.io/Logging_2062/kartor/A 56940-2025 karta.png", "A 56940-2025")</f>
        <v/>
      </c>
      <c r="V144">
        <f>HYPERLINK("https://klasma.github.io/Logging_2062/klagomål/A 56940-2025 FSC-klagomål.docx", "A 56940-2025")</f>
        <v/>
      </c>
      <c r="W144">
        <f>HYPERLINK("https://klasma.github.io/Logging_2062/klagomålsmail/A 56940-2025 FSC-klagomål mail.docx", "A 56940-2025")</f>
        <v/>
      </c>
      <c r="X144">
        <f>HYPERLINK("https://klasma.github.io/Logging_2062/tillsyn/A 56940-2025 tillsynsbegäran.docx", "A 56940-2025")</f>
        <v/>
      </c>
      <c r="Y144">
        <f>HYPERLINK("https://klasma.github.io/Logging_2062/tillsynsmail/A 56940-2025 tillsynsbegäran mail.docx", "A 56940-2025")</f>
        <v/>
      </c>
    </row>
    <row r="145" ht="15" customHeight="1">
      <c r="A145" t="inlineStr">
        <is>
          <t>A 5125-2025</t>
        </is>
      </c>
      <c r="B145" s="1" t="n">
        <v>45691</v>
      </c>
      <c r="C145" s="1" t="n">
        <v>46114</v>
      </c>
      <c r="D145" t="inlineStr">
        <is>
          <t>DALARNAS LÄN</t>
        </is>
      </c>
      <c r="E145" t="inlineStr">
        <is>
          <t>SMEDJEBACKEN</t>
        </is>
      </c>
      <c r="F145" t="inlineStr">
        <is>
          <t>Bergvik skog väst AB</t>
        </is>
      </c>
      <c r="G145" t="n">
        <v>23.1</v>
      </c>
      <c r="H145" t="n">
        <v>3</v>
      </c>
      <c r="I145" t="n">
        <v>5</v>
      </c>
      <c r="J145" t="n">
        <v>1</v>
      </c>
      <c r="K145" t="n">
        <v>1</v>
      </c>
      <c r="L145" t="n">
        <v>0</v>
      </c>
      <c r="M145" t="n">
        <v>0</v>
      </c>
      <c r="N145" t="n">
        <v>0</v>
      </c>
      <c r="O145" t="n">
        <v>4</v>
      </c>
      <c r="P145" t="n">
        <v>1</v>
      </c>
      <c r="Q145" t="n">
        <v>11</v>
      </c>
      <c r="R145" s="2" t="inlineStr">
        <is>
          <t>Knärot
Stjärntagging
Mörk kådsvartspik
Röd kådsvartspik
Bronshjon
Jättesvampmal
Kattfotslav
Rostfläck
Vedticka
Kungsfågel
Sångsvan</t>
        </is>
      </c>
      <c r="S145">
        <f>HYPERLINK("https://klasma.github.io/Logging_2061/artfynd/A 5125-2025 artfynd.xlsx", "A 5125-2025")</f>
        <v/>
      </c>
      <c r="T145">
        <f>HYPERLINK("https://klasma.github.io/Logging_2061/kartor/A 5125-2025 karta.png", "A 5125-2025")</f>
        <v/>
      </c>
      <c r="U145">
        <f>HYPERLINK("https://klasma.github.io/Logging_2061/knärot/A 5125-2025 karta knärot.png", "A 5125-2025")</f>
        <v/>
      </c>
      <c r="V145">
        <f>HYPERLINK("https://klasma.github.io/Logging_2061/klagomål/A 5125-2025 FSC-klagomål.docx", "A 5125-2025")</f>
        <v/>
      </c>
      <c r="W145">
        <f>HYPERLINK("https://klasma.github.io/Logging_2061/klagomålsmail/A 5125-2025 FSC-klagomål mail.docx", "A 5125-2025")</f>
        <v/>
      </c>
      <c r="X145">
        <f>HYPERLINK("https://klasma.github.io/Logging_2061/tillsyn/A 5125-2025 tillsynsbegäran.docx", "A 5125-2025")</f>
        <v/>
      </c>
      <c r="Y145">
        <f>HYPERLINK("https://klasma.github.io/Logging_2061/tillsynsmail/A 5125-2025 tillsynsbegäran mail.docx", "A 5125-2025")</f>
        <v/>
      </c>
      <c r="Z145">
        <f>HYPERLINK("https://klasma.github.io/Logging_2061/fåglar/A 5125-2025 prioriterade fågelarter.docx", "A 5125-2025")</f>
        <v/>
      </c>
    </row>
    <row r="146" ht="15" customHeight="1">
      <c r="A146" t="inlineStr">
        <is>
          <t>A 44936-2025</t>
        </is>
      </c>
      <c r="B146" s="1" t="n">
        <v>45918</v>
      </c>
      <c r="C146" s="1" t="n">
        <v>46114</v>
      </c>
      <c r="D146" t="inlineStr">
        <is>
          <t>DALARNAS LÄN</t>
        </is>
      </c>
      <c r="E146" t="inlineStr">
        <is>
          <t>ÄLVDALEN</t>
        </is>
      </c>
      <c r="F146" t="inlineStr">
        <is>
          <t>Allmännings- och besparingsskogar</t>
        </is>
      </c>
      <c r="G146" t="n">
        <v>29.6</v>
      </c>
      <c r="H146" t="n">
        <v>4</v>
      </c>
      <c r="I146" t="n">
        <v>0</v>
      </c>
      <c r="J146" t="n">
        <v>9</v>
      </c>
      <c r="K146" t="n">
        <v>1</v>
      </c>
      <c r="L146" t="n">
        <v>0</v>
      </c>
      <c r="M146" t="n">
        <v>0</v>
      </c>
      <c r="N146" t="n">
        <v>0</v>
      </c>
      <c r="O146" t="n">
        <v>10</v>
      </c>
      <c r="P146" t="n">
        <v>1</v>
      </c>
      <c r="Q146" t="n">
        <v>11</v>
      </c>
      <c r="R146" s="2" t="inlineStr">
        <is>
          <t>Gräddporing
Garnlav
Kolflarnlav
Mörk kolflarnlav
Spillkråka
Tallticka
Talltita
Varglav
Vedflamlav
Vedskivlav
Tjäder</t>
        </is>
      </c>
      <c r="S146">
        <f>HYPERLINK("https://klasma.github.io/Logging_2039/artfynd/A 44936-2025 artfynd.xlsx", "A 44936-2025")</f>
        <v/>
      </c>
      <c r="T146">
        <f>HYPERLINK("https://klasma.github.io/Logging_2039/kartor/A 44936-2025 karta.png", "A 44936-2025")</f>
        <v/>
      </c>
      <c r="V146">
        <f>HYPERLINK("https://klasma.github.io/Logging_2039/klagomål/A 44936-2025 FSC-klagomål.docx", "A 44936-2025")</f>
        <v/>
      </c>
      <c r="W146">
        <f>HYPERLINK("https://klasma.github.io/Logging_2039/klagomålsmail/A 44936-2025 FSC-klagomål mail.docx", "A 44936-2025")</f>
        <v/>
      </c>
      <c r="X146">
        <f>HYPERLINK("https://klasma.github.io/Logging_2039/tillsyn/A 44936-2025 tillsynsbegäran.docx", "A 44936-2025")</f>
        <v/>
      </c>
      <c r="Y146">
        <f>HYPERLINK("https://klasma.github.io/Logging_2039/tillsynsmail/A 44936-2025 tillsynsbegäran mail.docx", "A 44936-2025")</f>
        <v/>
      </c>
      <c r="Z146">
        <f>HYPERLINK("https://klasma.github.io/Logging_2039/fåglar/A 44936-2025 prioriterade fågelarter.docx", "A 44936-2025")</f>
        <v/>
      </c>
    </row>
    <row r="147" ht="15" customHeight="1">
      <c r="A147" t="inlineStr">
        <is>
          <t>A 39759-2025</t>
        </is>
      </c>
      <c r="B147" s="1" t="n">
        <v>45891.43167824074</v>
      </c>
      <c r="C147" s="1" t="n">
        <v>46114</v>
      </c>
      <c r="D147" t="inlineStr">
        <is>
          <t>DALARNAS LÄN</t>
        </is>
      </c>
      <c r="E147" t="inlineStr">
        <is>
          <t>ÄLVDALEN</t>
        </is>
      </c>
      <c r="G147" t="n">
        <v>6.6</v>
      </c>
      <c r="H147" t="n">
        <v>4</v>
      </c>
      <c r="I147" t="n">
        <v>3</v>
      </c>
      <c r="J147" t="n">
        <v>6</v>
      </c>
      <c r="K147" t="n">
        <v>0</v>
      </c>
      <c r="L147" t="n">
        <v>0</v>
      </c>
      <c r="M147" t="n">
        <v>0</v>
      </c>
      <c r="N147" t="n">
        <v>0</v>
      </c>
      <c r="O147" t="n">
        <v>6</v>
      </c>
      <c r="P147" t="n">
        <v>0</v>
      </c>
      <c r="Q147" t="n">
        <v>11</v>
      </c>
      <c r="R147" s="2" t="inlineStr">
        <is>
          <t>Garnlav
Kolflarnlav
Mörk kolflarnlav
Spillkråka
Talltita
Violettgrå tagellav
Dropptaggsvamp
Fjällig taggsvamp s.str.
Trådticka
Kungsfågel
Revlummer</t>
        </is>
      </c>
      <c r="S147">
        <f>HYPERLINK("https://klasma.github.io/Logging_2039/artfynd/A 39759-2025 artfynd.xlsx", "A 39759-2025")</f>
        <v/>
      </c>
      <c r="T147">
        <f>HYPERLINK("https://klasma.github.io/Logging_2039/kartor/A 39759-2025 karta.png", "A 39759-2025")</f>
        <v/>
      </c>
      <c r="V147">
        <f>HYPERLINK("https://klasma.github.io/Logging_2039/klagomål/A 39759-2025 FSC-klagomål.docx", "A 39759-2025")</f>
        <v/>
      </c>
      <c r="W147">
        <f>HYPERLINK("https://klasma.github.io/Logging_2039/klagomålsmail/A 39759-2025 FSC-klagomål mail.docx", "A 39759-2025")</f>
        <v/>
      </c>
      <c r="X147">
        <f>HYPERLINK("https://klasma.github.io/Logging_2039/tillsyn/A 39759-2025 tillsynsbegäran.docx", "A 39759-2025")</f>
        <v/>
      </c>
      <c r="Y147">
        <f>HYPERLINK("https://klasma.github.io/Logging_2039/tillsynsmail/A 39759-2025 tillsynsbegäran mail.docx", "A 39759-2025")</f>
        <v/>
      </c>
      <c r="Z147">
        <f>HYPERLINK("https://klasma.github.io/Logging_2039/fåglar/A 39759-2025 prioriterade fågelarter.docx", "A 39759-2025")</f>
        <v/>
      </c>
    </row>
    <row r="148" ht="15" customHeight="1">
      <c r="A148" t="inlineStr">
        <is>
          <t>A 49064-2025</t>
        </is>
      </c>
      <c r="B148" s="1" t="n">
        <v>45937.6440162037</v>
      </c>
      <c r="C148" s="1" t="n">
        <v>46114</v>
      </c>
      <c r="D148" t="inlineStr">
        <is>
          <t>DALARNAS LÄN</t>
        </is>
      </c>
      <c r="E148" t="inlineStr">
        <is>
          <t>ÄLVDALEN</t>
        </is>
      </c>
      <c r="F148" t="inlineStr">
        <is>
          <t>Allmännings- och besparingsskogar</t>
        </is>
      </c>
      <c r="G148" t="n">
        <v>16.7</v>
      </c>
      <c r="H148" t="n">
        <v>4</v>
      </c>
      <c r="I148" t="n">
        <v>2</v>
      </c>
      <c r="J148" t="n">
        <v>7</v>
      </c>
      <c r="K148" t="n">
        <v>0</v>
      </c>
      <c r="L148" t="n">
        <v>0</v>
      </c>
      <c r="M148" t="n">
        <v>0</v>
      </c>
      <c r="N148" t="n">
        <v>0</v>
      </c>
      <c r="O148" t="n">
        <v>7</v>
      </c>
      <c r="P148" t="n">
        <v>0</v>
      </c>
      <c r="Q148" t="n">
        <v>11</v>
      </c>
      <c r="R148" s="2" t="inlineStr">
        <is>
          <t>Garnlav
Kolflarnlav
Mörk kolflarnlav
Spillkråka
Talltita
Vedflamlav
Vedskivlav
Dropptaggsvamp
Mindre märgborre
Kungsfågel
Tjäder</t>
        </is>
      </c>
      <c r="S148">
        <f>HYPERLINK("https://klasma.github.io/Logging_2039/artfynd/A 49064-2025 artfynd.xlsx", "A 49064-2025")</f>
        <v/>
      </c>
      <c r="T148">
        <f>HYPERLINK("https://klasma.github.io/Logging_2039/kartor/A 49064-2025 karta.png", "A 49064-2025")</f>
        <v/>
      </c>
      <c r="V148">
        <f>HYPERLINK("https://klasma.github.io/Logging_2039/klagomål/A 49064-2025 FSC-klagomål.docx", "A 49064-2025")</f>
        <v/>
      </c>
      <c r="W148">
        <f>HYPERLINK("https://klasma.github.io/Logging_2039/klagomålsmail/A 49064-2025 FSC-klagomål mail.docx", "A 49064-2025")</f>
        <v/>
      </c>
      <c r="X148">
        <f>HYPERLINK("https://klasma.github.io/Logging_2039/tillsyn/A 49064-2025 tillsynsbegäran.docx", "A 49064-2025")</f>
        <v/>
      </c>
      <c r="Y148">
        <f>HYPERLINK("https://klasma.github.io/Logging_2039/tillsynsmail/A 49064-2025 tillsynsbegäran mail.docx", "A 49064-2025")</f>
        <v/>
      </c>
      <c r="Z148">
        <f>HYPERLINK("https://klasma.github.io/Logging_2039/fåglar/A 49064-2025 prioriterade fågelarter.docx", "A 49064-2025")</f>
        <v/>
      </c>
    </row>
    <row r="149" ht="15" customHeight="1">
      <c r="A149" t="inlineStr">
        <is>
          <t>A 43867-2025</t>
        </is>
      </c>
      <c r="B149" s="1" t="n">
        <v>45912</v>
      </c>
      <c r="C149" s="1" t="n">
        <v>46114</v>
      </c>
      <c r="D149" t="inlineStr">
        <is>
          <t>DALARNAS LÄN</t>
        </is>
      </c>
      <c r="E149" t="inlineStr">
        <is>
          <t>ÄLVDALEN</t>
        </is>
      </c>
      <c r="F149" t="inlineStr">
        <is>
          <t>Allmännings- och besparingsskogar</t>
        </is>
      </c>
      <c r="G149" t="n">
        <v>25.5</v>
      </c>
      <c r="H149" t="n">
        <v>5</v>
      </c>
      <c r="I149" t="n">
        <v>1</v>
      </c>
      <c r="J149" t="n">
        <v>8</v>
      </c>
      <c r="K149" t="n">
        <v>0</v>
      </c>
      <c r="L149" t="n">
        <v>0</v>
      </c>
      <c r="M149" t="n">
        <v>0</v>
      </c>
      <c r="N149" t="n">
        <v>0</v>
      </c>
      <c r="O149" t="n">
        <v>8</v>
      </c>
      <c r="P149" t="n">
        <v>0</v>
      </c>
      <c r="Q149" t="n">
        <v>11</v>
      </c>
      <c r="R149" s="2" t="inlineStr">
        <is>
          <t>Doftskinn
Garnlav
Kolflarnlav
Mörk kolflarnlav
Spillkråka
Talltita
Vedflamlav
Vedskivlav
Plattlummer
Kungsfågel
Tjäder</t>
        </is>
      </c>
      <c r="S149">
        <f>HYPERLINK("https://klasma.github.io/Logging_2039/artfynd/A 43867-2025 artfynd.xlsx", "A 43867-2025")</f>
        <v/>
      </c>
      <c r="T149">
        <f>HYPERLINK("https://klasma.github.io/Logging_2039/kartor/A 43867-2025 karta.png", "A 43867-2025")</f>
        <v/>
      </c>
      <c r="V149">
        <f>HYPERLINK("https://klasma.github.io/Logging_2039/klagomål/A 43867-2025 FSC-klagomål.docx", "A 43867-2025")</f>
        <v/>
      </c>
      <c r="W149">
        <f>HYPERLINK("https://klasma.github.io/Logging_2039/klagomålsmail/A 43867-2025 FSC-klagomål mail.docx", "A 43867-2025")</f>
        <v/>
      </c>
      <c r="X149">
        <f>HYPERLINK("https://klasma.github.io/Logging_2039/tillsyn/A 43867-2025 tillsynsbegäran.docx", "A 43867-2025")</f>
        <v/>
      </c>
      <c r="Y149">
        <f>HYPERLINK("https://klasma.github.io/Logging_2039/tillsynsmail/A 43867-2025 tillsynsbegäran mail.docx", "A 43867-2025")</f>
        <v/>
      </c>
      <c r="Z149">
        <f>HYPERLINK("https://klasma.github.io/Logging_2039/fåglar/A 43867-2025 prioriterade fågelarter.docx", "A 43867-2025")</f>
        <v/>
      </c>
    </row>
    <row r="150" ht="15" customHeight="1">
      <c r="A150" t="inlineStr">
        <is>
          <t>A 13342-2025</t>
        </is>
      </c>
      <c r="B150" s="1" t="n">
        <v>45735</v>
      </c>
      <c r="C150" s="1" t="n">
        <v>46114</v>
      </c>
      <c r="D150" t="inlineStr">
        <is>
          <t>DALARNAS LÄN</t>
        </is>
      </c>
      <c r="E150" t="inlineStr">
        <is>
          <t>VANSBRO</t>
        </is>
      </c>
      <c r="G150" t="n">
        <v>6.7</v>
      </c>
      <c r="H150" t="n">
        <v>3</v>
      </c>
      <c r="I150" t="n">
        <v>4</v>
      </c>
      <c r="J150" t="n">
        <v>5</v>
      </c>
      <c r="K150" t="n">
        <v>1</v>
      </c>
      <c r="L150" t="n">
        <v>0</v>
      </c>
      <c r="M150" t="n">
        <v>0</v>
      </c>
      <c r="N150" t="n">
        <v>0</v>
      </c>
      <c r="O150" t="n">
        <v>6</v>
      </c>
      <c r="P150" t="n">
        <v>1</v>
      </c>
      <c r="Q150" t="n">
        <v>11</v>
      </c>
      <c r="R150" s="2" t="inlineStr">
        <is>
          <t>Knärot
Garnlav
Kolflarnlav
Mörk kolflarnlav
Spillkråka
Tallticka
Bollvitmossa
Dropptaggsvamp
Mindre märgborre
Vedticka
Tjäder</t>
        </is>
      </c>
      <c r="S150">
        <f>HYPERLINK("https://klasma.github.io/Logging_2021/artfynd/A 13342-2025 artfynd.xlsx", "A 13342-2025")</f>
        <v/>
      </c>
      <c r="T150">
        <f>HYPERLINK("https://klasma.github.io/Logging_2021/kartor/A 13342-2025 karta.png", "A 13342-2025")</f>
        <v/>
      </c>
      <c r="U150">
        <f>HYPERLINK("https://klasma.github.io/Logging_2021/knärot/A 13342-2025 karta knärot.png", "A 13342-2025")</f>
        <v/>
      </c>
      <c r="V150">
        <f>HYPERLINK("https://klasma.github.io/Logging_2021/klagomål/A 13342-2025 FSC-klagomål.docx", "A 13342-2025")</f>
        <v/>
      </c>
      <c r="W150">
        <f>HYPERLINK("https://klasma.github.io/Logging_2021/klagomålsmail/A 13342-2025 FSC-klagomål mail.docx", "A 13342-2025")</f>
        <v/>
      </c>
      <c r="X150">
        <f>HYPERLINK("https://klasma.github.io/Logging_2021/tillsyn/A 13342-2025 tillsynsbegäran.docx", "A 13342-2025")</f>
        <v/>
      </c>
      <c r="Y150">
        <f>HYPERLINK("https://klasma.github.io/Logging_2021/tillsynsmail/A 13342-2025 tillsynsbegäran mail.docx", "A 13342-2025")</f>
        <v/>
      </c>
      <c r="Z150">
        <f>HYPERLINK("https://klasma.github.io/Logging_2021/fåglar/A 13342-2025 prioriterade fågelarter.docx", "A 13342-2025")</f>
        <v/>
      </c>
    </row>
    <row r="151" ht="15" customHeight="1">
      <c r="A151" t="inlineStr">
        <is>
          <t>A 38817-2025</t>
        </is>
      </c>
      <c r="B151" s="1" t="n">
        <v>45887.49638888889</v>
      </c>
      <c r="C151" s="1" t="n">
        <v>46114</v>
      </c>
      <c r="D151" t="inlineStr">
        <is>
          <t>DALARNAS LÄN</t>
        </is>
      </c>
      <c r="E151" t="inlineStr">
        <is>
          <t>RÄTTVIK</t>
        </is>
      </c>
      <c r="G151" t="n">
        <v>13.4</v>
      </c>
      <c r="H151" t="n">
        <v>2</v>
      </c>
      <c r="I151" t="n">
        <v>4</v>
      </c>
      <c r="J151" t="n">
        <v>6</v>
      </c>
      <c r="K151" t="n">
        <v>0</v>
      </c>
      <c r="L151" t="n">
        <v>0</v>
      </c>
      <c r="M151" t="n">
        <v>0</v>
      </c>
      <c r="N151" t="n">
        <v>0</v>
      </c>
      <c r="O151" t="n">
        <v>6</v>
      </c>
      <c r="P151" t="n">
        <v>0</v>
      </c>
      <c r="Q151" t="n">
        <v>11</v>
      </c>
      <c r="R151" s="2" t="inlineStr">
        <is>
          <t>Garnlav
Tallticka
Talltita
Ullticka
Violettgrå tagellav
Vitgrynig nållav
Bronshjon
Jättesvampmal
Thomsons trägnagare
Vågbandad barkbock
Tjäder</t>
        </is>
      </c>
      <c r="S151">
        <f>HYPERLINK("https://klasma.github.io/Logging_2031/artfynd/A 38817-2025 artfynd.xlsx", "A 38817-2025")</f>
        <v/>
      </c>
      <c r="T151">
        <f>HYPERLINK("https://klasma.github.io/Logging_2031/kartor/A 38817-2025 karta.png", "A 38817-2025")</f>
        <v/>
      </c>
      <c r="V151">
        <f>HYPERLINK("https://klasma.github.io/Logging_2031/klagomål/A 38817-2025 FSC-klagomål.docx", "A 38817-2025")</f>
        <v/>
      </c>
      <c r="W151">
        <f>HYPERLINK("https://klasma.github.io/Logging_2031/klagomålsmail/A 38817-2025 FSC-klagomål mail.docx", "A 38817-2025")</f>
        <v/>
      </c>
      <c r="X151">
        <f>HYPERLINK("https://klasma.github.io/Logging_2031/tillsyn/A 38817-2025 tillsynsbegäran.docx", "A 38817-2025")</f>
        <v/>
      </c>
      <c r="Y151">
        <f>HYPERLINK("https://klasma.github.io/Logging_2031/tillsynsmail/A 38817-2025 tillsynsbegäran mail.docx", "A 38817-2025")</f>
        <v/>
      </c>
      <c r="Z151">
        <f>HYPERLINK("https://klasma.github.io/Logging_2031/fåglar/A 38817-2025 prioriterade fågelarter.docx", "A 38817-2025")</f>
        <v/>
      </c>
    </row>
    <row r="152" ht="15" customHeight="1">
      <c r="A152" t="inlineStr">
        <is>
          <t>A 32048-2025</t>
        </is>
      </c>
      <c r="B152" s="1" t="n">
        <v>45835</v>
      </c>
      <c r="C152" s="1" t="n">
        <v>46114</v>
      </c>
      <c r="D152" t="inlineStr">
        <is>
          <t>DALARNAS LÄN</t>
        </is>
      </c>
      <c r="E152" t="inlineStr">
        <is>
          <t>ÄLVDALEN</t>
        </is>
      </c>
      <c r="G152" t="n">
        <v>6.7</v>
      </c>
      <c r="H152" t="n">
        <v>4</v>
      </c>
      <c r="I152" t="n">
        <v>0</v>
      </c>
      <c r="J152" t="n">
        <v>10</v>
      </c>
      <c r="K152" t="n">
        <v>0</v>
      </c>
      <c r="L152" t="n">
        <v>0</v>
      </c>
      <c r="M152" t="n">
        <v>0</v>
      </c>
      <c r="N152" t="n">
        <v>0</v>
      </c>
      <c r="O152" t="n">
        <v>10</v>
      </c>
      <c r="P152" t="n">
        <v>0</v>
      </c>
      <c r="Q152" t="n">
        <v>11</v>
      </c>
      <c r="R152" s="2" t="inlineStr">
        <is>
          <t>Doftskinn
Garnlav
Granticka
Mörk kolflarnlav
Spillkråka
Talltita
Tretåig hackspett
Vedflamlav
Vedskivlav
Vitgrynig nållav
Tjäder</t>
        </is>
      </c>
      <c r="S152">
        <f>HYPERLINK("https://klasma.github.io/Logging_2039/artfynd/A 32048-2025 artfynd.xlsx", "A 32048-2025")</f>
        <v/>
      </c>
      <c r="T152">
        <f>HYPERLINK("https://klasma.github.io/Logging_2039/kartor/A 32048-2025 karta.png", "A 32048-2025")</f>
        <v/>
      </c>
      <c r="V152">
        <f>HYPERLINK("https://klasma.github.io/Logging_2039/klagomål/A 32048-2025 FSC-klagomål.docx", "A 32048-2025")</f>
        <v/>
      </c>
      <c r="W152">
        <f>HYPERLINK("https://klasma.github.io/Logging_2039/klagomålsmail/A 32048-2025 FSC-klagomål mail.docx", "A 32048-2025")</f>
        <v/>
      </c>
      <c r="X152">
        <f>HYPERLINK("https://klasma.github.io/Logging_2039/tillsyn/A 32048-2025 tillsynsbegäran.docx", "A 32048-2025")</f>
        <v/>
      </c>
      <c r="Y152">
        <f>HYPERLINK("https://klasma.github.io/Logging_2039/tillsynsmail/A 32048-2025 tillsynsbegäran mail.docx", "A 32048-2025")</f>
        <v/>
      </c>
      <c r="Z152">
        <f>HYPERLINK("https://klasma.github.io/Logging_2039/fåglar/A 32048-2025 prioriterade fågelarter.docx", "A 32048-2025")</f>
        <v/>
      </c>
    </row>
    <row r="153" ht="15" customHeight="1">
      <c r="A153" t="inlineStr">
        <is>
          <t>A 2121-2025</t>
        </is>
      </c>
      <c r="B153" s="1" t="n">
        <v>45672</v>
      </c>
      <c r="C153" s="1" t="n">
        <v>46114</v>
      </c>
      <c r="D153" t="inlineStr">
        <is>
          <t>DALARNAS LÄN</t>
        </is>
      </c>
      <c r="E153" t="inlineStr">
        <is>
          <t>ORSA</t>
        </is>
      </c>
      <c r="G153" t="n">
        <v>16</v>
      </c>
      <c r="H153" t="n">
        <v>3</v>
      </c>
      <c r="I153" t="n">
        <v>2</v>
      </c>
      <c r="J153" t="n">
        <v>8</v>
      </c>
      <c r="K153" t="n">
        <v>0</v>
      </c>
      <c r="L153" t="n">
        <v>0</v>
      </c>
      <c r="M153" t="n">
        <v>0</v>
      </c>
      <c r="N153" t="n">
        <v>0</v>
      </c>
      <c r="O153" t="n">
        <v>8</v>
      </c>
      <c r="P153" t="n">
        <v>0</v>
      </c>
      <c r="Q153" t="n">
        <v>11</v>
      </c>
      <c r="R153" s="2" t="inlineStr">
        <is>
          <t>Garnlav
Kolflarnlav
Mörk kolflarnlav
Spillkråka
Tallticka
Talltita
Vedskivlav
Violettgrå tagellav
Mindre märgborre
Nästlav
Tjäder</t>
        </is>
      </c>
      <c r="S153">
        <f>HYPERLINK("https://klasma.github.io/Logging_2034/artfynd/A 2121-2025 artfynd.xlsx", "A 2121-2025")</f>
        <v/>
      </c>
      <c r="T153">
        <f>HYPERLINK("https://klasma.github.io/Logging_2034/kartor/A 2121-2025 karta.png", "A 2121-2025")</f>
        <v/>
      </c>
      <c r="V153">
        <f>HYPERLINK("https://klasma.github.io/Logging_2034/klagomål/A 2121-2025 FSC-klagomål.docx", "A 2121-2025")</f>
        <v/>
      </c>
      <c r="W153">
        <f>HYPERLINK("https://klasma.github.io/Logging_2034/klagomålsmail/A 2121-2025 FSC-klagomål mail.docx", "A 2121-2025")</f>
        <v/>
      </c>
      <c r="X153">
        <f>HYPERLINK("https://klasma.github.io/Logging_2034/tillsyn/A 2121-2025 tillsynsbegäran.docx", "A 2121-2025")</f>
        <v/>
      </c>
      <c r="Y153">
        <f>HYPERLINK("https://klasma.github.io/Logging_2034/tillsynsmail/A 2121-2025 tillsynsbegäran mail.docx", "A 2121-2025")</f>
        <v/>
      </c>
      <c r="Z153">
        <f>HYPERLINK("https://klasma.github.io/Logging_2034/fåglar/A 2121-2025 prioriterade fågelarter.docx", "A 2121-2025")</f>
        <v/>
      </c>
    </row>
    <row r="154" ht="15" customHeight="1">
      <c r="A154" t="inlineStr">
        <is>
          <t>A 7204-2026</t>
        </is>
      </c>
      <c r="B154" s="1" t="n">
        <v>46058.53010416667</v>
      </c>
      <c r="C154" s="1" t="n">
        <v>46114</v>
      </c>
      <c r="D154" t="inlineStr">
        <is>
          <t>DALARNAS LÄN</t>
        </is>
      </c>
      <c r="E154" t="inlineStr">
        <is>
          <t>LUDVIKA</t>
        </is>
      </c>
      <c r="G154" t="n">
        <v>4.7</v>
      </c>
      <c r="H154" t="n">
        <v>5</v>
      </c>
      <c r="I154" t="n">
        <v>3</v>
      </c>
      <c r="J154" t="n">
        <v>4</v>
      </c>
      <c r="K154" t="n">
        <v>3</v>
      </c>
      <c r="L154" t="n">
        <v>0</v>
      </c>
      <c r="M154" t="n">
        <v>0</v>
      </c>
      <c r="N154" t="n">
        <v>0</v>
      </c>
      <c r="O154" t="n">
        <v>7</v>
      </c>
      <c r="P154" t="n">
        <v>3</v>
      </c>
      <c r="Q154" t="n">
        <v>11</v>
      </c>
      <c r="R154" s="2" t="inlineStr">
        <is>
          <t>Knärot
Lappuggla
Rynkskinn
Garnlav
Spillkråka
Tretåig hackspett
Vedtrappmossa
Bronshjon
Mindre märgborre
Thomsons trägnagare
Tjäder</t>
        </is>
      </c>
      <c r="S154">
        <f>HYPERLINK("https://klasma.github.io/Logging_2085/artfynd/A 7204-2026 artfynd.xlsx", "A 7204-2026")</f>
        <v/>
      </c>
      <c r="T154">
        <f>HYPERLINK("https://klasma.github.io/Logging_2085/kartor/A 7204-2026 karta.png", "A 7204-2026")</f>
        <v/>
      </c>
      <c r="U154">
        <f>HYPERLINK("https://klasma.github.io/Logging_2085/knärot/A 7204-2026 karta knärot.png", "A 7204-2026")</f>
        <v/>
      </c>
      <c r="V154">
        <f>HYPERLINK("https://klasma.github.io/Logging_2085/klagomål/A 7204-2026 FSC-klagomål.docx", "A 7204-2026")</f>
        <v/>
      </c>
      <c r="W154">
        <f>HYPERLINK("https://klasma.github.io/Logging_2085/klagomålsmail/A 7204-2026 FSC-klagomål mail.docx", "A 7204-2026")</f>
        <v/>
      </c>
      <c r="X154">
        <f>HYPERLINK("https://klasma.github.io/Logging_2085/tillsyn/A 7204-2026 tillsynsbegäran.docx", "A 7204-2026")</f>
        <v/>
      </c>
      <c r="Y154">
        <f>HYPERLINK("https://klasma.github.io/Logging_2085/tillsynsmail/A 7204-2026 tillsynsbegäran mail.docx", "A 7204-2026")</f>
        <v/>
      </c>
      <c r="Z154">
        <f>HYPERLINK("https://klasma.github.io/Logging_2085/fåglar/A 7204-2026 prioriterade fågelarter.docx", "A 7204-2026")</f>
        <v/>
      </c>
    </row>
    <row r="155" ht="15" customHeight="1">
      <c r="A155" t="inlineStr">
        <is>
          <t>A 58505-2022</t>
        </is>
      </c>
      <c r="B155" s="1" t="n">
        <v>44902</v>
      </c>
      <c r="C155" s="1" t="n">
        <v>46114</v>
      </c>
      <c r="D155" t="inlineStr">
        <is>
          <t>DALARNAS LÄN</t>
        </is>
      </c>
      <c r="E155" t="inlineStr">
        <is>
          <t>HEDEMORA</t>
        </is>
      </c>
      <c r="G155" t="n">
        <v>1.8</v>
      </c>
      <c r="H155" t="n">
        <v>3</v>
      </c>
      <c r="I155" t="n">
        <v>4</v>
      </c>
      <c r="J155" t="n">
        <v>4</v>
      </c>
      <c r="K155" t="n">
        <v>3</v>
      </c>
      <c r="L155" t="n">
        <v>0</v>
      </c>
      <c r="M155" t="n">
        <v>0</v>
      </c>
      <c r="N155" t="n">
        <v>0</v>
      </c>
      <c r="O155" t="n">
        <v>7</v>
      </c>
      <c r="P155" t="n">
        <v>3</v>
      </c>
      <c r="Q155" t="n">
        <v>11</v>
      </c>
      <c r="R155" s="2" t="inlineStr">
        <is>
          <t>Hängticka
Knärot
Ulltickeporing
Kötticka
Spillkråka
Talltita
Ullticka
Bollvitmossa
Fjällig taggsvamp s.str.
Mörk husmossa
Vedticka</t>
        </is>
      </c>
      <c r="S155">
        <f>HYPERLINK("https://klasma.github.io/Logging_2083/artfynd/A 58505-2022 artfynd.xlsx", "A 58505-2022")</f>
        <v/>
      </c>
      <c r="T155">
        <f>HYPERLINK("https://klasma.github.io/Logging_2083/kartor/A 58505-2022 karta.png", "A 58505-2022")</f>
        <v/>
      </c>
      <c r="U155">
        <f>HYPERLINK("https://klasma.github.io/Logging_2083/knärot/A 58505-2022 karta knärot.png", "A 58505-2022")</f>
        <v/>
      </c>
      <c r="V155">
        <f>HYPERLINK("https://klasma.github.io/Logging_2083/klagomål/A 58505-2022 FSC-klagomål.docx", "A 58505-2022")</f>
        <v/>
      </c>
      <c r="W155">
        <f>HYPERLINK("https://klasma.github.io/Logging_2083/klagomålsmail/A 58505-2022 FSC-klagomål mail.docx", "A 58505-2022")</f>
        <v/>
      </c>
      <c r="X155">
        <f>HYPERLINK("https://klasma.github.io/Logging_2083/tillsyn/A 58505-2022 tillsynsbegäran.docx", "A 58505-2022")</f>
        <v/>
      </c>
      <c r="Y155">
        <f>HYPERLINK("https://klasma.github.io/Logging_2083/tillsynsmail/A 58505-2022 tillsynsbegäran mail.docx", "A 58505-2022")</f>
        <v/>
      </c>
      <c r="Z155">
        <f>HYPERLINK("https://klasma.github.io/Logging_2083/fåglar/A 58505-2022 prioriterade fågelarter.docx", "A 58505-2022")</f>
        <v/>
      </c>
    </row>
    <row r="156" ht="15" customHeight="1">
      <c r="A156" t="inlineStr">
        <is>
          <t>A 36371-2025</t>
        </is>
      </c>
      <c r="B156" s="1" t="n">
        <v>45868</v>
      </c>
      <c r="C156" s="1" t="n">
        <v>46114</v>
      </c>
      <c r="D156" t="inlineStr">
        <is>
          <t>DALARNAS LÄN</t>
        </is>
      </c>
      <c r="E156" t="inlineStr">
        <is>
          <t>ÄLVDALEN</t>
        </is>
      </c>
      <c r="F156" t="inlineStr">
        <is>
          <t>Allmännings- och besparingsskogar</t>
        </is>
      </c>
      <c r="G156" t="n">
        <v>30.8</v>
      </c>
      <c r="H156" t="n">
        <v>3</v>
      </c>
      <c r="I156" t="n">
        <v>2</v>
      </c>
      <c r="J156" t="n">
        <v>8</v>
      </c>
      <c r="K156" t="n">
        <v>0</v>
      </c>
      <c r="L156" t="n">
        <v>0</v>
      </c>
      <c r="M156" t="n">
        <v>0</v>
      </c>
      <c r="N156" t="n">
        <v>0</v>
      </c>
      <c r="O156" t="n">
        <v>8</v>
      </c>
      <c r="P156" t="n">
        <v>0</v>
      </c>
      <c r="Q156" t="n">
        <v>11</v>
      </c>
      <c r="R156" s="2" t="inlineStr">
        <is>
          <t>Duvhök
Garnlav
Kolflarnlav
Mörk kolflarnlav
Spillkråka
Tallticka
Vedflamlav
Vedskivlav
Gräsull
Mindre märgborre
Tjäder</t>
        </is>
      </c>
      <c r="S156">
        <f>HYPERLINK("https://klasma.github.io/Logging_2039/artfynd/A 36371-2025 artfynd.xlsx", "A 36371-2025")</f>
        <v/>
      </c>
      <c r="T156">
        <f>HYPERLINK("https://klasma.github.io/Logging_2039/kartor/A 36371-2025 karta.png", "A 36371-2025")</f>
        <v/>
      </c>
      <c r="V156">
        <f>HYPERLINK("https://klasma.github.io/Logging_2039/klagomål/A 36371-2025 FSC-klagomål.docx", "A 36371-2025")</f>
        <v/>
      </c>
      <c r="W156">
        <f>HYPERLINK("https://klasma.github.io/Logging_2039/klagomålsmail/A 36371-2025 FSC-klagomål mail.docx", "A 36371-2025")</f>
        <v/>
      </c>
      <c r="X156">
        <f>HYPERLINK("https://klasma.github.io/Logging_2039/tillsyn/A 36371-2025 tillsynsbegäran.docx", "A 36371-2025")</f>
        <v/>
      </c>
      <c r="Y156">
        <f>HYPERLINK("https://klasma.github.io/Logging_2039/tillsynsmail/A 36371-2025 tillsynsbegäran mail.docx", "A 36371-2025")</f>
        <v/>
      </c>
      <c r="Z156">
        <f>HYPERLINK("https://klasma.github.io/Logging_2039/fåglar/A 36371-2025 prioriterade fågelarter.docx", "A 36371-2025")</f>
        <v/>
      </c>
    </row>
    <row r="157" ht="15" customHeight="1">
      <c r="A157" t="inlineStr">
        <is>
          <t>A 63676-2025</t>
        </is>
      </c>
      <c r="B157" s="1" t="n">
        <v>46014.48791666667</v>
      </c>
      <c r="C157" s="1" t="n">
        <v>46114</v>
      </c>
      <c r="D157" t="inlineStr">
        <is>
          <t>DALARNAS LÄN</t>
        </is>
      </c>
      <c r="E157" t="inlineStr">
        <is>
          <t>VANSBRO</t>
        </is>
      </c>
      <c r="G157" t="n">
        <v>12.3</v>
      </c>
      <c r="H157" t="n">
        <v>4</v>
      </c>
      <c r="I157" t="n">
        <v>2</v>
      </c>
      <c r="J157" t="n">
        <v>7</v>
      </c>
      <c r="K157" t="n">
        <v>0</v>
      </c>
      <c r="L157" t="n">
        <v>0</v>
      </c>
      <c r="M157" t="n">
        <v>0</v>
      </c>
      <c r="N157" t="n">
        <v>0</v>
      </c>
      <c r="O157" t="n">
        <v>7</v>
      </c>
      <c r="P157" t="n">
        <v>0</v>
      </c>
      <c r="Q157" t="n">
        <v>11</v>
      </c>
      <c r="R157" s="2" t="inlineStr">
        <is>
          <t>Garnlav
Kolflarnlav
Mörk kolflarnlav
Spillkråka
Tallticka
Tretåig hackspett
Vaddporing
Dropptaggsvamp
Mindre märgborre
Tjäder
Revlummer</t>
        </is>
      </c>
      <c r="S157">
        <f>HYPERLINK("https://klasma.github.io/Logging_2021/artfynd/A 63676-2025 artfynd.xlsx", "A 63676-2025")</f>
        <v/>
      </c>
      <c r="T157">
        <f>HYPERLINK("https://klasma.github.io/Logging_2021/kartor/A 63676-2025 karta.png", "A 63676-2025")</f>
        <v/>
      </c>
      <c r="V157">
        <f>HYPERLINK("https://klasma.github.io/Logging_2021/klagomål/A 63676-2025 FSC-klagomål.docx", "A 63676-2025")</f>
        <v/>
      </c>
      <c r="W157">
        <f>HYPERLINK("https://klasma.github.io/Logging_2021/klagomålsmail/A 63676-2025 FSC-klagomål mail.docx", "A 63676-2025")</f>
        <v/>
      </c>
      <c r="X157">
        <f>HYPERLINK("https://klasma.github.io/Logging_2021/tillsyn/A 63676-2025 tillsynsbegäran.docx", "A 63676-2025")</f>
        <v/>
      </c>
      <c r="Y157">
        <f>HYPERLINK("https://klasma.github.io/Logging_2021/tillsynsmail/A 63676-2025 tillsynsbegäran mail.docx", "A 63676-2025")</f>
        <v/>
      </c>
      <c r="Z157">
        <f>HYPERLINK("https://klasma.github.io/Logging_2021/fåglar/A 63676-2025 prioriterade fågelarter.docx", "A 63676-2025")</f>
        <v/>
      </c>
    </row>
    <row r="158" ht="15" customHeight="1">
      <c r="A158" t="inlineStr">
        <is>
          <t>A 26616-2024</t>
        </is>
      </c>
      <c r="B158" s="1" t="n">
        <v>45469</v>
      </c>
      <c r="C158" s="1" t="n">
        <v>46114</v>
      </c>
      <c r="D158" t="inlineStr">
        <is>
          <t>DALARNAS LÄN</t>
        </is>
      </c>
      <c r="E158" t="inlineStr">
        <is>
          <t>MALUNG-SÄLEN</t>
        </is>
      </c>
      <c r="G158" t="n">
        <v>5.4</v>
      </c>
      <c r="H158" t="n">
        <v>0</v>
      </c>
      <c r="I158" t="n">
        <v>3</v>
      </c>
      <c r="J158" t="n">
        <v>7</v>
      </c>
      <c r="K158" t="n">
        <v>1</v>
      </c>
      <c r="L158" t="n">
        <v>0</v>
      </c>
      <c r="M158" t="n">
        <v>0</v>
      </c>
      <c r="N158" t="n">
        <v>0</v>
      </c>
      <c r="O158" t="n">
        <v>8</v>
      </c>
      <c r="P158" t="n">
        <v>1</v>
      </c>
      <c r="Q158" t="n">
        <v>11</v>
      </c>
      <c r="R158" s="2" t="inlineStr">
        <is>
          <t>Rynkskinn
Gammelgransskål
Garnlav
Granticka
Rosenticka
Ullticka
Vedskivlav
Vitgrynig nållav
Bronshjon
Gulnål
Vedticka</t>
        </is>
      </c>
      <c r="S158">
        <f>HYPERLINK("https://klasma.github.io/Logging_2023/artfynd/A 26616-2024 artfynd.xlsx", "A 26616-2024")</f>
        <v/>
      </c>
      <c r="T158">
        <f>HYPERLINK("https://klasma.github.io/Logging_2023/kartor/A 26616-2024 karta.png", "A 26616-2024")</f>
        <v/>
      </c>
      <c r="V158">
        <f>HYPERLINK("https://klasma.github.io/Logging_2023/klagomål/A 26616-2024 FSC-klagomål.docx", "A 26616-2024")</f>
        <v/>
      </c>
      <c r="W158">
        <f>HYPERLINK("https://klasma.github.io/Logging_2023/klagomålsmail/A 26616-2024 FSC-klagomål mail.docx", "A 26616-2024")</f>
        <v/>
      </c>
      <c r="X158">
        <f>HYPERLINK("https://klasma.github.io/Logging_2023/tillsyn/A 26616-2024 tillsynsbegäran.docx", "A 26616-2024")</f>
        <v/>
      </c>
      <c r="Y158">
        <f>HYPERLINK("https://klasma.github.io/Logging_2023/tillsynsmail/A 26616-2024 tillsynsbegäran mail.docx", "A 26616-2024")</f>
        <v/>
      </c>
    </row>
    <row r="159" ht="15" customHeight="1">
      <c r="A159" t="inlineStr">
        <is>
          <t>A 57277-2024</t>
        </is>
      </c>
      <c r="B159" s="1" t="n">
        <v>45629.57699074074</v>
      </c>
      <c r="C159" s="1" t="n">
        <v>46114</v>
      </c>
      <c r="D159" t="inlineStr">
        <is>
          <t>DALARNAS LÄN</t>
        </is>
      </c>
      <c r="E159" t="inlineStr">
        <is>
          <t>LUDVIKA</t>
        </is>
      </c>
      <c r="F159" t="inlineStr">
        <is>
          <t>Naturvårdsverket</t>
        </is>
      </c>
      <c r="G159" t="n">
        <v>3.9</v>
      </c>
      <c r="H159" t="n">
        <v>1</v>
      </c>
      <c r="I159" t="n">
        <v>5</v>
      </c>
      <c r="J159" t="n">
        <v>5</v>
      </c>
      <c r="K159" t="n">
        <v>1</v>
      </c>
      <c r="L159" t="n">
        <v>0</v>
      </c>
      <c r="M159" t="n">
        <v>0</v>
      </c>
      <c r="N159" t="n">
        <v>0</v>
      </c>
      <c r="O159" t="n">
        <v>6</v>
      </c>
      <c r="P159" t="n">
        <v>1</v>
      </c>
      <c r="Q159" t="n">
        <v>11</v>
      </c>
      <c r="R159" s="2" t="inlineStr">
        <is>
          <t>Knärot
Dvärgbägarlav
Garnlav
Orange taggsvamp
Skrovlig taggsvamp
Ullticka
Björksplintborre
Bollvitmossa
Dropptaggsvamp
Mindre märgborre
Skarp dropptaggsvamp</t>
        </is>
      </c>
      <c r="S159">
        <f>HYPERLINK("https://klasma.github.io/Logging_2085/artfynd/A 57277-2024 artfynd.xlsx", "A 57277-2024")</f>
        <v/>
      </c>
      <c r="T159">
        <f>HYPERLINK("https://klasma.github.io/Logging_2085/kartor/A 57277-2024 karta.png", "A 57277-2024")</f>
        <v/>
      </c>
      <c r="U159">
        <f>HYPERLINK("https://klasma.github.io/Logging_2085/knärot/A 57277-2024 karta knärot.png", "A 57277-2024")</f>
        <v/>
      </c>
      <c r="V159">
        <f>HYPERLINK("https://klasma.github.io/Logging_2085/klagomål/A 57277-2024 FSC-klagomål.docx", "A 57277-2024")</f>
        <v/>
      </c>
      <c r="W159">
        <f>HYPERLINK("https://klasma.github.io/Logging_2085/klagomålsmail/A 57277-2024 FSC-klagomål mail.docx", "A 57277-2024")</f>
        <v/>
      </c>
      <c r="X159">
        <f>HYPERLINK("https://klasma.github.io/Logging_2085/tillsyn/A 57277-2024 tillsynsbegäran.docx", "A 57277-2024")</f>
        <v/>
      </c>
      <c r="Y159">
        <f>HYPERLINK("https://klasma.github.io/Logging_2085/tillsynsmail/A 57277-2024 tillsynsbegäran mail.docx", "A 57277-2024")</f>
        <v/>
      </c>
    </row>
    <row r="160" ht="15" customHeight="1">
      <c r="A160" t="inlineStr">
        <is>
          <t>A 28385-2025</t>
        </is>
      </c>
      <c r="B160" s="1" t="n">
        <v>45819.31755787037</v>
      </c>
      <c r="C160" s="1" t="n">
        <v>46114</v>
      </c>
      <c r="D160" t="inlineStr">
        <is>
          <t>DALARNAS LÄN</t>
        </is>
      </c>
      <c r="E160" t="inlineStr">
        <is>
          <t>FALUN</t>
        </is>
      </c>
      <c r="G160" t="n">
        <v>14.2</v>
      </c>
      <c r="H160" t="n">
        <v>8</v>
      </c>
      <c r="I160" t="n">
        <v>2</v>
      </c>
      <c r="J160" t="n">
        <v>5</v>
      </c>
      <c r="K160" t="n">
        <v>1</v>
      </c>
      <c r="L160" t="n">
        <v>0</v>
      </c>
      <c r="M160" t="n">
        <v>0</v>
      </c>
      <c r="N160" t="n">
        <v>0</v>
      </c>
      <c r="O160" t="n">
        <v>6</v>
      </c>
      <c r="P160" t="n">
        <v>1</v>
      </c>
      <c r="Q160" t="n">
        <v>11</v>
      </c>
      <c r="R160" s="2" t="inlineStr">
        <is>
          <t>Knärot
Kråka
Motaggsvamp
Rödvingetrast
Spillkråka
Talltita
Dropptaggsvamp
Mindre märgborre
Kungsfågel
Tjäder
Fläcknycklar</t>
        </is>
      </c>
      <c r="S160">
        <f>HYPERLINK("https://klasma.github.io/Logging_2080/artfynd/A 28385-2025 artfynd.xlsx", "A 28385-2025")</f>
        <v/>
      </c>
      <c r="T160">
        <f>HYPERLINK("https://klasma.github.io/Logging_2080/kartor/A 28385-2025 karta.png", "A 28385-2025")</f>
        <v/>
      </c>
      <c r="U160">
        <f>HYPERLINK("https://klasma.github.io/Logging_2080/knärot/A 28385-2025 karta knärot.png", "A 28385-2025")</f>
        <v/>
      </c>
      <c r="V160">
        <f>HYPERLINK("https://klasma.github.io/Logging_2080/klagomål/A 28385-2025 FSC-klagomål.docx", "A 28385-2025")</f>
        <v/>
      </c>
      <c r="W160">
        <f>HYPERLINK("https://klasma.github.io/Logging_2080/klagomålsmail/A 28385-2025 FSC-klagomål mail.docx", "A 28385-2025")</f>
        <v/>
      </c>
      <c r="X160">
        <f>HYPERLINK("https://klasma.github.io/Logging_2080/tillsyn/A 28385-2025 tillsynsbegäran.docx", "A 28385-2025")</f>
        <v/>
      </c>
      <c r="Y160">
        <f>HYPERLINK("https://klasma.github.io/Logging_2080/tillsynsmail/A 28385-2025 tillsynsbegäran mail.docx", "A 28385-2025")</f>
        <v/>
      </c>
      <c r="Z160">
        <f>HYPERLINK("https://klasma.github.io/Logging_2080/fåglar/A 28385-2025 prioriterade fågelarter.docx", "A 28385-2025")</f>
        <v/>
      </c>
    </row>
    <row r="161" ht="15" customHeight="1">
      <c r="A161" t="inlineStr">
        <is>
          <t>A 33533-2025</t>
        </is>
      </c>
      <c r="B161" s="1" t="n">
        <v>45841.55677083333</v>
      </c>
      <c r="C161" s="1" t="n">
        <v>46114</v>
      </c>
      <c r="D161" t="inlineStr">
        <is>
          <t>DALARNAS LÄN</t>
        </is>
      </c>
      <c r="E161" t="inlineStr">
        <is>
          <t>ORSA</t>
        </is>
      </c>
      <c r="F161" t="inlineStr">
        <is>
          <t>Bergvik skog öst AB</t>
        </is>
      </c>
      <c r="G161" t="n">
        <v>9.4</v>
      </c>
      <c r="H161" t="n">
        <v>5</v>
      </c>
      <c r="I161" t="n">
        <v>1</v>
      </c>
      <c r="J161" t="n">
        <v>8</v>
      </c>
      <c r="K161" t="n">
        <v>0</v>
      </c>
      <c r="L161" t="n">
        <v>0</v>
      </c>
      <c r="M161" t="n">
        <v>0</v>
      </c>
      <c r="N161" t="n">
        <v>0</v>
      </c>
      <c r="O161" t="n">
        <v>8</v>
      </c>
      <c r="P161" t="n">
        <v>0</v>
      </c>
      <c r="Q161" t="n">
        <v>11</v>
      </c>
      <c r="R161" s="2" t="inlineStr">
        <is>
          <t>Garnlav
Spillkråka
Talltita
Tretåig hackspett
Ullticka
Vedflamlav
Violettgrå tagellav
Vitgrynig nållav
Bronshjon
Kungsfågel
Fläcknycklar</t>
        </is>
      </c>
      <c r="S161">
        <f>HYPERLINK("https://klasma.github.io/Logging_2034/artfynd/A 33533-2025 artfynd.xlsx", "A 33533-2025")</f>
        <v/>
      </c>
      <c r="T161">
        <f>HYPERLINK("https://klasma.github.io/Logging_2034/kartor/A 33533-2025 karta.png", "A 33533-2025")</f>
        <v/>
      </c>
      <c r="V161">
        <f>HYPERLINK("https://klasma.github.io/Logging_2034/klagomål/A 33533-2025 FSC-klagomål.docx", "A 33533-2025")</f>
        <v/>
      </c>
      <c r="W161">
        <f>HYPERLINK("https://klasma.github.io/Logging_2034/klagomålsmail/A 33533-2025 FSC-klagomål mail.docx", "A 33533-2025")</f>
        <v/>
      </c>
      <c r="X161">
        <f>HYPERLINK("https://klasma.github.io/Logging_2034/tillsyn/A 33533-2025 tillsynsbegäran.docx", "A 33533-2025")</f>
        <v/>
      </c>
      <c r="Y161">
        <f>HYPERLINK("https://klasma.github.io/Logging_2034/tillsynsmail/A 33533-2025 tillsynsbegäran mail.docx", "A 33533-2025")</f>
        <v/>
      </c>
      <c r="Z161">
        <f>HYPERLINK("https://klasma.github.io/Logging_2034/fåglar/A 33533-2025 prioriterade fågelarter.docx", "A 33533-2025")</f>
        <v/>
      </c>
    </row>
    <row r="162" ht="15" customHeight="1">
      <c r="A162" t="inlineStr">
        <is>
          <t>A 33461-2025</t>
        </is>
      </c>
      <c r="B162" s="1" t="n">
        <v>45841</v>
      </c>
      <c r="C162" s="1" t="n">
        <v>46114</v>
      </c>
      <c r="D162" t="inlineStr">
        <is>
          <t>DALARNAS LÄN</t>
        </is>
      </c>
      <c r="E162" t="inlineStr">
        <is>
          <t>LUDVIKA</t>
        </is>
      </c>
      <c r="F162" t="inlineStr">
        <is>
          <t>Bergvik skog väst AB</t>
        </is>
      </c>
      <c r="G162" t="n">
        <v>9.6</v>
      </c>
      <c r="H162" t="n">
        <v>0</v>
      </c>
      <c r="I162" t="n">
        <v>1</v>
      </c>
      <c r="J162" t="n">
        <v>9</v>
      </c>
      <c r="K162" t="n">
        <v>1</v>
      </c>
      <c r="L162" t="n">
        <v>0</v>
      </c>
      <c r="M162" t="n">
        <v>0</v>
      </c>
      <c r="N162" t="n">
        <v>0</v>
      </c>
      <c r="O162" t="n">
        <v>10</v>
      </c>
      <c r="P162" t="n">
        <v>1</v>
      </c>
      <c r="Q162" t="n">
        <v>11</v>
      </c>
      <c r="R162" s="2" t="inlineStr">
        <is>
          <t>Gräddporing
Dvärgbägarlav
Kolflarnlav
Motaggsvamp
Mörk kolflarnlav
Skrovlig taggsvamp
Tallticka
Ullticka
Vedskivlav
Vedtrappmossa
Mindre märgborre</t>
        </is>
      </c>
      <c r="S162">
        <f>HYPERLINK("https://klasma.github.io/Logging_2085/artfynd/A 33461-2025 artfynd.xlsx", "A 33461-2025")</f>
        <v/>
      </c>
      <c r="T162">
        <f>HYPERLINK("https://klasma.github.io/Logging_2085/kartor/A 33461-2025 karta.png", "A 33461-2025")</f>
        <v/>
      </c>
      <c r="V162">
        <f>HYPERLINK("https://klasma.github.io/Logging_2085/klagomål/A 33461-2025 FSC-klagomål.docx", "A 33461-2025")</f>
        <v/>
      </c>
      <c r="W162">
        <f>HYPERLINK("https://klasma.github.io/Logging_2085/klagomålsmail/A 33461-2025 FSC-klagomål mail.docx", "A 33461-2025")</f>
        <v/>
      </c>
      <c r="X162">
        <f>HYPERLINK("https://klasma.github.io/Logging_2085/tillsyn/A 33461-2025 tillsynsbegäran.docx", "A 33461-2025")</f>
        <v/>
      </c>
      <c r="Y162">
        <f>HYPERLINK("https://klasma.github.io/Logging_2085/tillsynsmail/A 33461-2025 tillsynsbegäran mail.docx", "A 33461-2025")</f>
        <v/>
      </c>
    </row>
    <row r="163" ht="15" customHeight="1">
      <c r="A163" t="inlineStr">
        <is>
          <t>A 38364-2021</t>
        </is>
      </c>
      <c r="B163" s="1" t="n">
        <v>44406</v>
      </c>
      <c r="C163" s="1" t="n">
        <v>46114</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5064-2023</t>
        </is>
      </c>
      <c r="B164" s="1" t="n">
        <v>44958.60337962963</v>
      </c>
      <c r="C164" s="1" t="n">
        <v>46114</v>
      </c>
      <c r="D164" t="inlineStr">
        <is>
          <t>DALARNAS LÄN</t>
        </is>
      </c>
      <c r="E164" t="inlineStr">
        <is>
          <t>MORA</t>
        </is>
      </c>
      <c r="G164" t="n">
        <v>3.9</v>
      </c>
      <c r="H164" t="n">
        <v>2</v>
      </c>
      <c r="I164" t="n">
        <v>1</v>
      </c>
      <c r="J164" t="n">
        <v>9</v>
      </c>
      <c r="K164" t="n">
        <v>0</v>
      </c>
      <c r="L164" t="n">
        <v>0</v>
      </c>
      <c r="M164" t="n">
        <v>0</v>
      </c>
      <c r="N164" t="n">
        <v>0</v>
      </c>
      <c r="O164" t="n">
        <v>9</v>
      </c>
      <c r="P164" t="n">
        <v>0</v>
      </c>
      <c r="Q164" t="n">
        <v>10</v>
      </c>
      <c r="R164" s="2" t="inlineStr">
        <is>
          <t>Garnlav
Granticka
Rosenticka
Spillkråka
Tallticka
Tretåig hackspett
Ullticka
Vedskivlav
Vitgrynig nållav
Bronshjon</t>
        </is>
      </c>
      <c r="S164">
        <f>HYPERLINK("https://klasma.github.io/Logging_2062/artfynd/A 5064-2023 artfynd.xlsx", "A 5064-2023")</f>
        <v/>
      </c>
      <c r="T164">
        <f>HYPERLINK("https://klasma.github.io/Logging_2062/kartor/A 5064-2023 karta.png", "A 5064-2023")</f>
        <v/>
      </c>
      <c r="V164">
        <f>HYPERLINK("https://klasma.github.io/Logging_2062/klagomål/A 5064-2023 FSC-klagomål.docx", "A 5064-2023")</f>
        <v/>
      </c>
      <c r="W164">
        <f>HYPERLINK("https://klasma.github.io/Logging_2062/klagomålsmail/A 5064-2023 FSC-klagomål mail.docx", "A 5064-2023")</f>
        <v/>
      </c>
      <c r="X164">
        <f>HYPERLINK("https://klasma.github.io/Logging_2062/tillsyn/A 5064-2023 tillsynsbegäran.docx", "A 5064-2023")</f>
        <v/>
      </c>
      <c r="Y164">
        <f>HYPERLINK("https://klasma.github.io/Logging_2062/tillsynsmail/A 5064-2023 tillsynsbegäran mail.docx", "A 5064-2023")</f>
        <v/>
      </c>
      <c r="Z164">
        <f>HYPERLINK("https://klasma.github.io/Logging_2062/fåglar/A 5064-2023 prioriterade fågelarter.docx", "A 5064-2023")</f>
        <v/>
      </c>
    </row>
    <row r="165" ht="15" customHeight="1">
      <c r="A165" t="inlineStr">
        <is>
          <t>A 30220-2023</t>
        </is>
      </c>
      <c r="B165" s="1" t="n">
        <v>45110.64706018518</v>
      </c>
      <c r="C165" s="1" t="n">
        <v>46114</v>
      </c>
      <c r="D165" t="inlineStr">
        <is>
          <t>DALARNAS LÄN</t>
        </is>
      </c>
      <c r="E165" t="inlineStr">
        <is>
          <t>ÄLVDALEN</t>
        </is>
      </c>
      <c r="F165" t="inlineStr">
        <is>
          <t>Allmännings- och besparingsskogar</t>
        </is>
      </c>
      <c r="G165" t="n">
        <v>13</v>
      </c>
      <c r="H165" t="n">
        <v>0</v>
      </c>
      <c r="I165" t="n">
        <v>2</v>
      </c>
      <c r="J165" t="n">
        <v>6</v>
      </c>
      <c r="K165" t="n">
        <v>2</v>
      </c>
      <c r="L165" t="n">
        <v>0</v>
      </c>
      <c r="M165" t="n">
        <v>0</v>
      </c>
      <c r="N165" t="n">
        <v>0</v>
      </c>
      <c r="O165" t="n">
        <v>8</v>
      </c>
      <c r="P165" t="n">
        <v>2</v>
      </c>
      <c r="Q165" t="n">
        <v>10</v>
      </c>
      <c r="R165" s="2" t="inlineStr">
        <is>
          <t>Goliatmusseron
Smalfotad taggsvamp
Blå taggsvamp
Kolflarnlav
Orange taggsvamp
Talltaggsvamp
Vedskivlav
Vitplätt
Dropptaggsvamp
Skarp dropptaggsvamp</t>
        </is>
      </c>
      <c r="S165">
        <f>HYPERLINK("https://klasma.github.io/Logging_2039/artfynd/A 30220-2023 artfynd.xlsx", "A 30220-2023")</f>
        <v/>
      </c>
      <c r="T165">
        <f>HYPERLINK("https://klasma.github.io/Logging_2039/kartor/A 30220-2023 karta.png", "A 30220-2023")</f>
        <v/>
      </c>
      <c r="V165">
        <f>HYPERLINK("https://klasma.github.io/Logging_2039/klagomål/A 30220-2023 FSC-klagomål.docx", "A 30220-2023")</f>
        <v/>
      </c>
      <c r="W165">
        <f>HYPERLINK("https://klasma.github.io/Logging_2039/klagomålsmail/A 30220-2023 FSC-klagomål mail.docx", "A 30220-2023")</f>
        <v/>
      </c>
      <c r="X165">
        <f>HYPERLINK("https://klasma.github.io/Logging_2039/tillsyn/A 30220-2023 tillsynsbegäran.docx", "A 30220-2023")</f>
        <v/>
      </c>
      <c r="Y165">
        <f>HYPERLINK("https://klasma.github.io/Logging_2039/tillsynsmail/A 30220-2023 tillsynsbegäran mail.docx", "A 30220-2023")</f>
        <v/>
      </c>
    </row>
    <row r="166" ht="15" customHeight="1">
      <c r="A166" t="inlineStr">
        <is>
          <t>A 47701-2024</t>
        </is>
      </c>
      <c r="B166" s="1" t="n">
        <v>45588.46537037037</v>
      </c>
      <c r="C166" s="1" t="n">
        <v>46114</v>
      </c>
      <c r="D166" t="inlineStr">
        <is>
          <t>DALARNAS LÄN</t>
        </is>
      </c>
      <c r="E166" t="inlineStr">
        <is>
          <t>LUDVIKA</t>
        </is>
      </c>
      <c r="F166" t="inlineStr">
        <is>
          <t>Bergvik skog väst AB</t>
        </is>
      </c>
      <c r="G166" t="n">
        <v>16</v>
      </c>
      <c r="H166" t="n">
        <v>0</v>
      </c>
      <c r="I166" t="n">
        <v>6</v>
      </c>
      <c r="J166" t="n">
        <v>2</v>
      </c>
      <c r="K166" t="n">
        <v>2</v>
      </c>
      <c r="L166" t="n">
        <v>0</v>
      </c>
      <c r="M166" t="n">
        <v>0</v>
      </c>
      <c r="N166" t="n">
        <v>0</v>
      </c>
      <c r="O166" t="n">
        <v>4</v>
      </c>
      <c r="P166" t="n">
        <v>2</v>
      </c>
      <c r="Q166" t="n">
        <v>10</v>
      </c>
      <c r="R166" s="2" t="inlineStr">
        <is>
          <t>Aspgelélav
Läderlappslav
Grentaggsvamp
Gultoppig fingersvamp
Bårdlav
Dvärgtufs
Korallblylav
Mörk husmossa
Skinnlav
Stuplav</t>
        </is>
      </c>
      <c r="S166">
        <f>HYPERLINK("https://klasma.github.io/Logging_2085/artfynd/A 47701-2024 artfynd.xlsx", "A 47701-2024")</f>
        <v/>
      </c>
      <c r="T166">
        <f>HYPERLINK("https://klasma.github.io/Logging_2085/kartor/A 47701-2024 karta.png", "A 47701-2024")</f>
        <v/>
      </c>
      <c r="V166">
        <f>HYPERLINK("https://klasma.github.io/Logging_2085/klagomål/A 47701-2024 FSC-klagomål.docx", "A 47701-2024")</f>
        <v/>
      </c>
      <c r="W166">
        <f>HYPERLINK("https://klasma.github.io/Logging_2085/klagomålsmail/A 47701-2024 FSC-klagomål mail.docx", "A 47701-2024")</f>
        <v/>
      </c>
      <c r="X166">
        <f>HYPERLINK("https://klasma.github.io/Logging_2085/tillsyn/A 47701-2024 tillsynsbegäran.docx", "A 47701-2024")</f>
        <v/>
      </c>
      <c r="Y166">
        <f>HYPERLINK("https://klasma.github.io/Logging_2085/tillsynsmail/A 47701-2024 tillsynsbegäran mail.docx", "A 47701-2024")</f>
        <v/>
      </c>
    </row>
    <row r="167" ht="15" customHeight="1">
      <c r="A167" t="inlineStr">
        <is>
          <t>A 35944-2024</t>
        </is>
      </c>
      <c r="B167" s="1" t="n">
        <v>45533.45853009259</v>
      </c>
      <c r="C167" s="1" t="n">
        <v>46114</v>
      </c>
      <c r="D167" t="inlineStr">
        <is>
          <t>DALARNAS LÄN</t>
        </is>
      </c>
      <c r="E167" t="inlineStr">
        <is>
          <t>MORA</t>
        </is>
      </c>
      <c r="G167" t="n">
        <v>1.7</v>
      </c>
      <c r="H167" t="n">
        <v>2</v>
      </c>
      <c r="I167" t="n">
        <v>4</v>
      </c>
      <c r="J167" t="n">
        <v>6</v>
      </c>
      <c r="K167" t="n">
        <v>0</v>
      </c>
      <c r="L167" t="n">
        <v>0</v>
      </c>
      <c r="M167" t="n">
        <v>0</v>
      </c>
      <c r="N167" t="n">
        <v>0</v>
      </c>
      <c r="O167" t="n">
        <v>6</v>
      </c>
      <c r="P167" t="n">
        <v>0</v>
      </c>
      <c r="Q167" t="n">
        <v>10</v>
      </c>
      <c r="R167" s="2" t="inlineStr">
        <is>
          <t>Garnlav
Kortskaftad ärgspik
Spillkråka
Talltita
Ullticka
Vedtrappmossa
Bronshjon
Mindre märgborre
Thomsons trägnagare
Vedticka</t>
        </is>
      </c>
      <c r="S167">
        <f>HYPERLINK("https://klasma.github.io/Logging_2062/artfynd/A 35944-2024 artfynd.xlsx", "A 35944-2024")</f>
        <v/>
      </c>
      <c r="T167">
        <f>HYPERLINK("https://klasma.github.io/Logging_2062/kartor/A 35944-2024 karta.png", "A 35944-2024")</f>
        <v/>
      </c>
      <c r="V167">
        <f>HYPERLINK("https://klasma.github.io/Logging_2062/klagomål/A 35944-2024 FSC-klagomål.docx", "A 35944-2024")</f>
        <v/>
      </c>
      <c r="W167">
        <f>HYPERLINK("https://klasma.github.io/Logging_2062/klagomålsmail/A 35944-2024 FSC-klagomål mail.docx", "A 35944-2024")</f>
        <v/>
      </c>
      <c r="X167">
        <f>HYPERLINK("https://klasma.github.io/Logging_2062/tillsyn/A 35944-2024 tillsynsbegäran.docx", "A 35944-2024")</f>
        <v/>
      </c>
      <c r="Y167">
        <f>HYPERLINK("https://klasma.github.io/Logging_2062/tillsynsmail/A 35944-2024 tillsynsbegäran mail.docx", "A 35944-2024")</f>
        <v/>
      </c>
      <c r="Z167">
        <f>HYPERLINK("https://klasma.github.io/Logging_2062/fåglar/A 35944-2024 prioriterade fågelarter.docx", "A 35944-2024")</f>
        <v/>
      </c>
    </row>
    <row r="168" ht="15" customHeight="1">
      <c r="A168" t="inlineStr">
        <is>
          <t>A 16370-2024</t>
        </is>
      </c>
      <c r="B168" s="1" t="n">
        <v>45407</v>
      </c>
      <c r="C168" s="1" t="n">
        <v>46114</v>
      </c>
      <c r="D168" t="inlineStr">
        <is>
          <t>DALARNAS LÄN</t>
        </is>
      </c>
      <c r="E168" t="inlineStr">
        <is>
          <t>ÄLVDALEN</t>
        </is>
      </c>
      <c r="F168" t="inlineStr">
        <is>
          <t>Sveaskog</t>
        </is>
      </c>
      <c r="G168" t="n">
        <v>11.8</v>
      </c>
      <c r="H168" t="n">
        <v>0</v>
      </c>
      <c r="I168" t="n">
        <v>3</v>
      </c>
      <c r="J168" t="n">
        <v>5</v>
      </c>
      <c r="K168" t="n">
        <v>2</v>
      </c>
      <c r="L168" t="n">
        <v>0</v>
      </c>
      <c r="M168" t="n">
        <v>0</v>
      </c>
      <c r="N168" t="n">
        <v>0</v>
      </c>
      <c r="O168" t="n">
        <v>7</v>
      </c>
      <c r="P168" t="n">
        <v>2</v>
      </c>
      <c r="Q168" t="n">
        <v>10</v>
      </c>
      <c r="R168" s="2" t="inlineStr">
        <is>
          <t>Fläckporing
Gräddporing
Dvärgbägarlav
Garnlav
Lunglav
Mörk kolflarnlav
Skrovellav
Dropptaggsvamp
Skarp dropptaggsvamp
Stuplav</t>
        </is>
      </c>
      <c r="S168">
        <f>HYPERLINK("https://klasma.github.io/Logging_2039/artfynd/A 16370-2024 artfynd.xlsx", "A 16370-2024")</f>
        <v/>
      </c>
      <c r="T168">
        <f>HYPERLINK("https://klasma.github.io/Logging_2039/kartor/A 16370-2024 karta.png", "A 16370-2024")</f>
        <v/>
      </c>
      <c r="V168">
        <f>HYPERLINK("https://klasma.github.io/Logging_2039/klagomål/A 16370-2024 FSC-klagomål.docx", "A 16370-2024")</f>
        <v/>
      </c>
      <c r="W168">
        <f>HYPERLINK("https://klasma.github.io/Logging_2039/klagomålsmail/A 16370-2024 FSC-klagomål mail.docx", "A 16370-2024")</f>
        <v/>
      </c>
      <c r="X168">
        <f>HYPERLINK("https://klasma.github.io/Logging_2039/tillsyn/A 16370-2024 tillsynsbegäran.docx", "A 16370-2024")</f>
        <v/>
      </c>
      <c r="Y168">
        <f>HYPERLINK("https://klasma.github.io/Logging_2039/tillsynsmail/A 16370-2024 tillsynsbegäran mail.docx", "A 16370-2024")</f>
        <v/>
      </c>
    </row>
    <row r="169" ht="15" customHeight="1">
      <c r="A169" t="inlineStr">
        <is>
          <t>A 19473-2021</t>
        </is>
      </c>
      <c r="B169" s="1" t="n">
        <v>44311</v>
      </c>
      <c r="C169" s="1" t="n">
        <v>46114</v>
      </c>
      <c r="D169" t="inlineStr">
        <is>
          <t>DALARNAS LÄN</t>
        </is>
      </c>
      <c r="E169" t="inlineStr">
        <is>
          <t>MALUNG-SÄLEN</t>
        </is>
      </c>
      <c r="G169" t="n">
        <v>27.9</v>
      </c>
      <c r="H169" t="n">
        <v>0</v>
      </c>
      <c r="I169" t="n">
        <v>1</v>
      </c>
      <c r="J169" t="n">
        <v>7</v>
      </c>
      <c r="K169" t="n">
        <v>2</v>
      </c>
      <c r="L169" t="n">
        <v>0</v>
      </c>
      <c r="M169" t="n">
        <v>0</v>
      </c>
      <c r="N169" t="n">
        <v>0</v>
      </c>
      <c r="O169" t="n">
        <v>9</v>
      </c>
      <c r="P169" t="n">
        <v>2</v>
      </c>
      <c r="Q169" t="n">
        <v>10</v>
      </c>
      <c r="R169" s="2" t="inlineStr">
        <is>
          <t>Fläckporing
Gräddporing
Garnlav
Granticka
Kolflarnlav
Vedflamlav
Vedskivlav
Violettgrå tagellav
Vitplätt
Trådticka</t>
        </is>
      </c>
      <c r="S169">
        <f>HYPERLINK("https://klasma.github.io/Logging_2023/artfynd/A 19473-2021 artfynd.xlsx", "A 19473-2021")</f>
        <v/>
      </c>
      <c r="T169">
        <f>HYPERLINK("https://klasma.github.io/Logging_2023/kartor/A 19473-2021 karta.png", "A 19473-2021")</f>
        <v/>
      </c>
      <c r="V169">
        <f>HYPERLINK("https://klasma.github.io/Logging_2023/klagomål/A 19473-2021 FSC-klagomål.docx", "A 19473-2021")</f>
        <v/>
      </c>
      <c r="W169">
        <f>HYPERLINK("https://klasma.github.io/Logging_2023/klagomålsmail/A 19473-2021 FSC-klagomål mail.docx", "A 19473-2021")</f>
        <v/>
      </c>
      <c r="X169">
        <f>HYPERLINK("https://klasma.github.io/Logging_2023/tillsyn/A 19473-2021 tillsynsbegäran.docx", "A 19473-2021")</f>
        <v/>
      </c>
      <c r="Y169">
        <f>HYPERLINK("https://klasma.github.io/Logging_2023/tillsynsmail/A 19473-2021 tillsynsbegäran mail.docx", "A 19473-2021")</f>
        <v/>
      </c>
    </row>
    <row r="170" ht="15" customHeight="1">
      <c r="A170" t="inlineStr">
        <is>
          <t>A 34714-2025</t>
        </is>
      </c>
      <c r="B170" s="1" t="n">
        <v>45848</v>
      </c>
      <c r="C170" s="1" t="n">
        <v>46114</v>
      </c>
      <c r="D170" t="inlineStr">
        <is>
          <t>DALARNAS LÄN</t>
        </is>
      </c>
      <c r="E170" t="inlineStr">
        <is>
          <t>MORA</t>
        </is>
      </c>
      <c r="G170" t="n">
        <v>8.199999999999999</v>
      </c>
      <c r="H170" t="n">
        <v>5</v>
      </c>
      <c r="I170" t="n">
        <v>3</v>
      </c>
      <c r="J170" t="n">
        <v>5</v>
      </c>
      <c r="K170" t="n">
        <v>1</v>
      </c>
      <c r="L170" t="n">
        <v>0</v>
      </c>
      <c r="M170" t="n">
        <v>0</v>
      </c>
      <c r="N170" t="n">
        <v>0</v>
      </c>
      <c r="O170" t="n">
        <v>6</v>
      </c>
      <c r="P170" t="n">
        <v>1</v>
      </c>
      <c r="Q170" t="n">
        <v>10</v>
      </c>
      <c r="R170" s="2" t="inlineStr">
        <is>
          <t>Knärot
Dvärgbägarlav
Garnlav
Kolflarnlav
Mörk kolflarnlav
Tretåig hackspett
Korallrot
Mindre märgborre
Spindelblomster
Tjäder</t>
        </is>
      </c>
      <c r="S170">
        <f>HYPERLINK("https://klasma.github.io/Logging_2062/artfynd/A 34714-2025 artfynd.xlsx", "A 34714-2025")</f>
        <v/>
      </c>
      <c r="T170">
        <f>HYPERLINK("https://klasma.github.io/Logging_2062/kartor/A 34714-2025 karta.png", "A 34714-2025")</f>
        <v/>
      </c>
      <c r="U170">
        <f>HYPERLINK("https://klasma.github.io/Logging_2062/knärot/A 34714-2025 karta knärot.png", "A 34714-2025")</f>
        <v/>
      </c>
      <c r="V170">
        <f>HYPERLINK("https://klasma.github.io/Logging_2062/klagomål/A 34714-2025 FSC-klagomål.docx", "A 34714-2025")</f>
        <v/>
      </c>
      <c r="W170">
        <f>HYPERLINK("https://klasma.github.io/Logging_2062/klagomålsmail/A 34714-2025 FSC-klagomål mail.docx", "A 34714-2025")</f>
        <v/>
      </c>
      <c r="X170">
        <f>HYPERLINK("https://klasma.github.io/Logging_2062/tillsyn/A 34714-2025 tillsynsbegäran.docx", "A 34714-2025")</f>
        <v/>
      </c>
      <c r="Y170">
        <f>HYPERLINK("https://klasma.github.io/Logging_2062/tillsynsmail/A 34714-2025 tillsynsbegäran mail.docx", "A 34714-2025")</f>
        <v/>
      </c>
      <c r="Z170">
        <f>HYPERLINK("https://klasma.github.io/Logging_2062/fåglar/A 34714-2025 prioriterade fågelarter.docx", "A 34714-2025")</f>
        <v/>
      </c>
    </row>
    <row r="171" ht="15" customHeight="1">
      <c r="A171" t="inlineStr">
        <is>
          <t>A 39762-2025</t>
        </is>
      </c>
      <c r="B171" s="1" t="n">
        <v>45891</v>
      </c>
      <c r="C171" s="1" t="n">
        <v>46114</v>
      </c>
      <c r="D171" t="inlineStr">
        <is>
          <t>DALARNAS LÄN</t>
        </is>
      </c>
      <c r="E171" t="inlineStr">
        <is>
          <t>ÄLVDALEN</t>
        </is>
      </c>
      <c r="G171" t="n">
        <v>4.7</v>
      </c>
      <c r="H171" t="n">
        <v>4</v>
      </c>
      <c r="I171" t="n">
        <v>1</v>
      </c>
      <c r="J171" t="n">
        <v>6</v>
      </c>
      <c r="K171" t="n">
        <v>0</v>
      </c>
      <c r="L171" t="n">
        <v>1</v>
      </c>
      <c r="M171" t="n">
        <v>0</v>
      </c>
      <c r="N171" t="n">
        <v>0</v>
      </c>
      <c r="O171" t="n">
        <v>7</v>
      </c>
      <c r="P171" t="n">
        <v>1</v>
      </c>
      <c r="Q171" t="n">
        <v>10</v>
      </c>
      <c r="R171" s="2" t="inlineStr">
        <is>
          <t>Långt broktagel
Garnlav
Spillkråka
Tallticka
Tretåig hackspett
Vedskivlav
Violettgrå tagellav
Mindre märgborre
Lavskrika
Tjäder</t>
        </is>
      </c>
      <c r="S171">
        <f>HYPERLINK("https://klasma.github.io/Logging_2039/artfynd/A 39762-2025 artfynd.xlsx", "A 39762-2025")</f>
        <v/>
      </c>
      <c r="T171">
        <f>HYPERLINK("https://klasma.github.io/Logging_2039/kartor/A 39762-2025 karta.png", "A 39762-2025")</f>
        <v/>
      </c>
      <c r="V171">
        <f>HYPERLINK("https://klasma.github.io/Logging_2039/klagomål/A 39762-2025 FSC-klagomål.docx", "A 39762-2025")</f>
        <v/>
      </c>
      <c r="W171">
        <f>HYPERLINK("https://klasma.github.io/Logging_2039/klagomålsmail/A 39762-2025 FSC-klagomål mail.docx", "A 39762-2025")</f>
        <v/>
      </c>
      <c r="X171">
        <f>HYPERLINK("https://klasma.github.io/Logging_2039/tillsyn/A 39762-2025 tillsynsbegäran.docx", "A 39762-2025")</f>
        <v/>
      </c>
      <c r="Y171">
        <f>HYPERLINK("https://klasma.github.io/Logging_2039/tillsynsmail/A 39762-2025 tillsynsbegäran mail.docx", "A 39762-2025")</f>
        <v/>
      </c>
      <c r="Z171">
        <f>HYPERLINK("https://klasma.github.io/Logging_2039/fåglar/A 39762-2025 prioriterade fågelarter.docx", "A 39762-2025")</f>
        <v/>
      </c>
    </row>
    <row r="172" ht="15" customHeight="1">
      <c r="A172" t="inlineStr">
        <is>
          <t>A 40444-2025</t>
        </is>
      </c>
      <c r="B172" s="1" t="n">
        <v>45895</v>
      </c>
      <c r="C172" s="1" t="n">
        <v>46114</v>
      </c>
      <c r="D172" t="inlineStr">
        <is>
          <t>DALARNAS LÄN</t>
        </is>
      </c>
      <c r="E172" t="inlineStr">
        <is>
          <t>ÄLVDALEN</t>
        </is>
      </c>
      <c r="G172" t="n">
        <v>7.4</v>
      </c>
      <c r="H172" t="n">
        <v>2</v>
      </c>
      <c r="I172" t="n">
        <v>2</v>
      </c>
      <c r="J172" t="n">
        <v>7</v>
      </c>
      <c r="K172" t="n">
        <v>0</v>
      </c>
      <c r="L172" t="n">
        <v>0</v>
      </c>
      <c r="M172" t="n">
        <v>0</v>
      </c>
      <c r="N172" t="n">
        <v>0</v>
      </c>
      <c r="O172" t="n">
        <v>7</v>
      </c>
      <c r="P172" t="n">
        <v>0</v>
      </c>
      <c r="Q172" t="n">
        <v>10</v>
      </c>
      <c r="R172" s="2" t="inlineStr">
        <is>
          <t>Blanksvart spiklav
Blågrå svartspik
Garnlav
Mörk kolflarnlav
Talltita
Vedflamlav
Vedskivlav
Dropptaggsvamp
Vedticka
Lavskrika</t>
        </is>
      </c>
      <c r="S172">
        <f>HYPERLINK("https://klasma.github.io/Logging_2039/artfynd/A 40444-2025 artfynd.xlsx", "A 40444-2025")</f>
        <v/>
      </c>
      <c r="T172">
        <f>HYPERLINK("https://klasma.github.io/Logging_2039/kartor/A 40444-2025 karta.png", "A 40444-2025")</f>
        <v/>
      </c>
      <c r="V172">
        <f>HYPERLINK("https://klasma.github.io/Logging_2039/klagomål/A 40444-2025 FSC-klagomål.docx", "A 40444-2025")</f>
        <v/>
      </c>
      <c r="W172">
        <f>HYPERLINK("https://klasma.github.io/Logging_2039/klagomålsmail/A 40444-2025 FSC-klagomål mail.docx", "A 40444-2025")</f>
        <v/>
      </c>
      <c r="X172">
        <f>HYPERLINK("https://klasma.github.io/Logging_2039/tillsyn/A 40444-2025 tillsynsbegäran.docx", "A 40444-2025")</f>
        <v/>
      </c>
      <c r="Y172">
        <f>HYPERLINK("https://klasma.github.io/Logging_2039/tillsynsmail/A 40444-2025 tillsynsbegäran mail.docx", "A 40444-2025")</f>
        <v/>
      </c>
      <c r="Z172">
        <f>HYPERLINK("https://klasma.github.io/Logging_2039/fåglar/A 40444-2025 prioriterade fågelarter.docx", "A 40444-2025")</f>
        <v/>
      </c>
    </row>
    <row r="173" ht="15" customHeight="1">
      <c r="A173" t="inlineStr">
        <is>
          <t>A 41484-2025</t>
        </is>
      </c>
      <c r="B173" s="1" t="n">
        <v>45901.476875</v>
      </c>
      <c r="C173" s="1" t="n">
        <v>46114</v>
      </c>
      <c r="D173" t="inlineStr">
        <is>
          <t>DALARNAS LÄN</t>
        </is>
      </c>
      <c r="E173" t="inlineStr">
        <is>
          <t>FALUN</t>
        </is>
      </c>
      <c r="G173" t="n">
        <v>6</v>
      </c>
      <c r="H173" t="n">
        <v>5</v>
      </c>
      <c r="I173" t="n">
        <v>2</v>
      </c>
      <c r="J173" t="n">
        <v>3</v>
      </c>
      <c r="K173" t="n">
        <v>2</v>
      </c>
      <c r="L173" t="n">
        <v>0</v>
      </c>
      <c r="M173" t="n">
        <v>0</v>
      </c>
      <c r="N173" t="n">
        <v>0</v>
      </c>
      <c r="O173" t="n">
        <v>5</v>
      </c>
      <c r="P173" t="n">
        <v>2</v>
      </c>
      <c r="Q173" t="n">
        <v>10</v>
      </c>
      <c r="R173" s="2" t="inlineStr">
        <is>
          <t>Bullspindling
Knärot
Svart taggsvamp agg.
Talltita
Vitgrynig nållav
Bronshjon
Skarp dropptaggsvamp
Kungsfågel
Mattlummer
Revlummer</t>
        </is>
      </c>
      <c r="S173">
        <f>HYPERLINK("https://klasma.github.io/Logging_2080/artfynd/A 41484-2025 artfynd.xlsx", "A 41484-2025")</f>
        <v/>
      </c>
      <c r="T173">
        <f>HYPERLINK("https://klasma.github.io/Logging_2080/kartor/A 41484-2025 karta.png", "A 41484-2025")</f>
        <v/>
      </c>
      <c r="U173">
        <f>HYPERLINK("https://klasma.github.io/Logging_2080/knärot/A 41484-2025 karta knärot.png", "A 41484-2025")</f>
        <v/>
      </c>
      <c r="V173">
        <f>HYPERLINK("https://klasma.github.io/Logging_2080/klagomål/A 41484-2025 FSC-klagomål.docx", "A 41484-2025")</f>
        <v/>
      </c>
      <c r="W173">
        <f>HYPERLINK("https://klasma.github.io/Logging_2080/klagomålsmail/A 41484-2025 FSC-klagomål mail.docx", "A 41484-2025")</f>
        <v/>
      </c>
      <c r="X173">
        <f>HYPERLINK("https://klasma.github.io/Logging_2080/tillsyn/A 41484-2025 tillsynsbegäran.docx", "A 41484-2025")</f>
        <v/>
      </c>
      <c r="Y173">
        <f>HYPERLINK("https://klasma.github.io/Logging_2080/tillsynsmail/A 41484-2025 tillsynsbegäran mail.docx", "A 41484-2025")</f>
        <v/>
      </c>
      <c r="Z173">
        <f>HYPERLINK("https://klasma.github.io/Logging_2080/fåglar/A 41484-2025 prioriterade fågelarter.docx", "A 41484-2025")</f>
        <v/>
      </c>
    </row>
    <row r="174" ht="15" customHeight="1">
      <c r="A174" t="inlineStr">
        <is>
          <t>A 55981-2025</t>
        </is>
      </c>
      <c r="B174" s="1" t="n">
        <v>45973.53064814815</v>
      </c>
      <c r="C174" s="1" t="n">
        <v>46114</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29934-2025</t>
        </is>
      </c>
      <c r="B175" s="1" t="n">
        <v>45826</v>
      </c>
      <c r="C175" s="1" t="n">
        <v>46114</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61999-2025</t>
        </is>
      </c>
      <c r="B176" s="1" t="n">
        <v>46003.64638888889</v>
      </c>
      <c r="C176" s="1" t="n">
        <v>46114</v>
      </c>
      <c r="D176" t="inlineStr">
        <is>
          <t>DALARNAS LÄN</t>
        </is>
      </c>
      <c r="E176" t="inlineStr">
        <is>
          <t>ÄLVDALEN</t>
        </is>
      </c>
      <c r="G176" t="n">
        <v>9.199999999999999</v>
      </c>
      <c r="H176" t="n">
        <v>4</v>
      </c>
      <c r="I176" t="n">
        <v>2</v>
      </c>
      <c r="J176" t="n">
        <v>5</v>
      </c>
      <c r="K176" t="n">
        <v>0</v>
      </c>
      <c r="L176" t="n">
        <v>0</v>
      </c>
      <c r="M176" t="n">
        <v>0</v>
      </c>
      <c r="N176" t="n">
        <v>0</v>
      </c>
      <c r="O176" t="n">
        <v>5</v>
      </c>
      <c r="P176" t="n">
        <v>0</v>
      </c>
      <c r="Q176" t="n">
        <v>10</v>
      </c>
      <c r="R176" s="2" t="inlineStr">
        <is>
          <t>Garnlav
Granticka
Skogshare
Spillkråka
Tallticka
Björksplintborre
Mindre märgborre
Kungsfågel
Orre
Tjäder</t>
        </is>
      </c>
      <c r="S176">
        <f>HYPERLINK("https://klasma.github.io/Logging_2039/artfynd/A 61999-2025 artfynd.xlsx", "A 61999-2025")</f>
        <v/>
      </c>
      <c r="T176">
        <f>HYPERLINK("https://klasma.github.io/Logging_2039/kartor/A 61999-2025 karta.png", "A 61999-2025")</f>
        <v/>
      </c>
      <c r="V176">
        <f>HYPERLINK("https://klasma.github.io/Logging_2039/klagomål/A 61999-2025 FSC-klagomål.docx", "A 61999-2025")</f>
        <v/>
      </c>
      <c r="W176">
        <f>HYPERLINK("https://klasma.github.io/Logging_2039/klagomålsmail/A 61999-2025 FSC-klagomål mail.docx", "A 61999-2025")</f>
        <v/>
      </c>
      <c r="X176">
        <f>HYPERLINK("https://klasma.github.io/Logging_2039/tillsyn/A 61999-2025 tillsynsbegäran.docx", "A 61999-2025")</f>
        <v/>
      </c>
      <c r="Y176">
        <f>HYPERLINK("https://klasma.github.io/Logging_2039/tillsynsmail/A 61999-2025 tillsynsbegäran mail.docx", "A 61999-2025")</f>
        <v/>
      </c>
      <c r="Z176">
        <f>HYPERLINK("https://klasma.github.io/Logging_2039/fåglar/A 61999-2025 prioriterade fågelarter.docx", "A 61999-2025")</f>
        <v/>
      </c>
    </row>
    <row r="177" ht="15" customHeight="1">
      <c r="A177" t="inlineStr">
        <is>
          <t>A 62461-2025</t>
        </is>
      </c>
      <c r="B177" s="1" t="n">
        <v>46007.50496527777</v>
      </c>
      <c r="C177" s="1" t="n">
        <v>46114</v>
      </c>
      <c r="D177" t="inlineStr">
        <is>
          <t>DALARNAS LÄN</t>
        </is>
      </c>
      <c r="E177" t="inlineStr">
        <is>
          <t>VANSBRO</t>
        </is>
      </c>
      <c r="G177" t="n">
        <v>11.9</v>
      </c>
      <c r="H177" t="n">
        <v>4</v>
      </c>
      <c r="I177" t="n">
        <v>2</v>
      </c>
      <c r="J177" t="n">
        <v>6</v>
      </c>
      <c r="K177" t="n">
        <v>1</v>
      </c>
      <c r="L177" t="n">
        <v>0</v>
      </c>
      <c r="M177" t="n">
        <v>0</v>
      </c>
      <c r="N177" t="n">
        <v>0</v>
      </c>
      <c r="O177" t="n">
        <v>7</v>
      </c>
      <c r="P177" t="n">
        <v>1</v>
      </c>
      <c r="Q177" t="n">
        <v>10</v>
      </c>
      <c r="R177" s="2" t="inlineStr">
        <is>
          <t>Knärot
Garnlav
Kolflarnlav
Mörk kolflarnlav
Spillkråka
Tretåig hackspett
Vaddporing
Bollvitmossa
Dropptaggsvamp
Tjäder</t>
        </is>
      </c>
      <c r="S177">
        <f>HYPERLINK("https://klasma.github.io/Logging_2021/artfynd/A 62461-2025 artfynd.xlsx", "A 62461-2025")</f>
        <v/>
      </c>
      <c r="T177">
        <f>HYPERLINK("https://klasma.github.io/Logging_2021/kartor/A 62461-2025 karta.png", "A 62461-2025")</f>
        <v/>
      </c>
      <c r="U177">
        <f>HYPERLINK("https://klasma.github.io/Logging_2021/knärot/A 62461-2025 karta knärot.png", "A 62461-2025")</f>
        <v/>
      </c>
      <c r="V177">
        <f>HYPERLINK("https://klasma.github.io/Logging_2021/klagomål/A 62461-2025 FSC-klagomål.docx", "A 62461-2025")</f>
        <v/>
      </c>
      <c r="W177">
        <f>HYPERLINK("https://klasma.github.io/Logging_2021/klagomålsmail/A 62461-2025 FSC-klagomål mail.docx", "A 62461-2025")</f>
        <v/>
      </c>
      <c r="X177">
        <f>HYPERLINK("https://klasma.github.io/Logging_2021/tillsyn/A 62461-2025 tillsynsbegäran.docx", "A 62461-2025")</f>
        <v/>
      </c>
      <c r="Y177">
        <f>HYPERLINK("https://klasma.github.io/Logging_2021/tillsynsmail/A 62461-2025 tillsynsbegäran mail.docx", "A 62461-2025")</f>
        <v/>
      </c>
      <c r="Z177">
        <f>HYPERLINK("https://klasma.github.io/Logging_2021/fåglar/A 62461-2025 prioriterade fågelarter.docx", "A 62461-2025")</f>
        <v/>
      </c>
    </row>
    <row r="178" ht="15" customHeight="1">
      <c r="A178" t="inlineStr">
        <is>
          <t>A 10669-2026</t>
        </is>
      </c>
      <c r="B178" s="1" t="n">
        <v>46078.39233796296</v>
      </c>
      <c r="C178" s="1" t="n">
        <v>46114</v>
      </c>
      <c r="D178" t="inlineStr">
        <is>
          <t>DALARNAS LÄN</t>
        </is>
      </c>
      <c r="E178" t="inlineStr">
        <is>
          <t>HEDEMORA</t>
        </is>
      </c>
      <c r="G178" t="n">
        <v>9.1</v>
      </c>
      <c r="H178" t="n">
        <v>4</v>
      </c>
      <c r="I178" t="n">
        <v>4</v>
      </c>
      <c r="J178" t="n">
        <v>3</v>
      </c>
      <c r="K178" t="n">
        <v>2</v>
      </c>
      <c r="L178" t="n">
        <v>0</v>
      </c>
      <c r="M178" t="n">
        <v>0</v>
      </c>
      <c r="N178" t="n">
        <v>0</v>
      </c>
      <c r="O178" t="n">
        <v>5</v>
      </c>
      <c r="P178" t="n">
        <v>2</v>
      </c>
      <c r="Q178" t="n">
        <v>10</v>
      </c>
      <c r="R178" s="2" t="inlineStr">
        <is>
          <t>Knärot
Ulltickeporing
Spillkråka
Talltita
Ullticka
Björksplintborre
Bronshjon
Thomsons trägnagare
Vedticka
Revlummer</t>
        </is>
      </c>
      <c r="S178">
        <f>HYPERLINK("https://klasma.github.io/Logging_2083/artfynd/A 10669-2026 artfynd.xlsx", "A 10669-2026")</f>
        <v/>
      </c>
      <c r="T178">
        <f>HYPERLINK("https://klasma.github.io/Logging_2083/kartor/A 10669-2026 karta.png", "A 10669-2026")</f>
        <v/>
      </c>
      <c r="U178">
        <f>HYPERLINK("https://klasma.github.io/Logging_2083/knärot/A 10669-2026 karta knärot.png", "A 10669-2026")</f>
        <v/>
      </c>
      <c r="V178">
        <f>HYPERLINK("https://klasma.github.io/Logging_2083/klagomål/A 10669-2026 FSC-klagomål.docx", "A 10669-2026")</f>
        <v/>
      </c>
      <c r="W178">
        <f>HYPERLINK("https://klasma.github.io/Logging_2083/klagomålsmail/A 10669-2026 FSC-klagomål mail.docx", "A 10669-2026")</f>
        <v/>
      </c>
      <c r="X178">
        <f>HYPERLINK("https://klasma.github.io/Logging_2083/tillsyn/A 10669-2026 tillsynsbegäran.docx", "A 10669-2026")</f>
        <v/>
      </c>
      <c r="Y178">
        <f>HYPERLINK("https://klasma.github.io/Logging_2083/tillsynsmail/A 10669-2026 tillsynsbegäran mail.docx", "A 10669-2026")</f>
        <v/>
      </c>
      <c r="Z178">
        <f>HYPERLINK("https://klasma.github.io/Logging_2083/fåglar/A 10669-2026 prioriterade fågelarter.docx", "A 10669-2026")</f>
        <v/>
      </c>
    </row>
    <row r="179" ht="15" customHeight="1">
      <c r="A179" t="inlineStr">
        <is>
          <t>A 1159-2026</t>
        </is>
      </c>
      <c r="B179" s="1" t="n">
        <v>46031.32924768519</v>
      </c>
      <c r="C179" s="1" t="n">
        <v>46114</v>
      </c>
      <c r="D179" t="inlineStr">
        <is>
          <t>DALARNAS LÄN</t>
        </is>
      </c>
      <c r="E179" t="inlineStr">
        <is>
          <t>ÄLVDALEN</t>
        </is>
      </c>
      <c r="F179" t="inlineStr">
        <is>
          <t>Allmännings- och besparingsskogar</t>
        </is>
      </c>
      <c r="G179" t="n">
        <v>33.9</v>
      </c>
      <c r="H179" t="n">
        <v>3</v>
      </c>
      <c r="I179" t="n">
        <v>1</v>
      </c>
      <c r="J179" t="n">
        <v>7</v>
      </c>
      <c r="K179" t="n">
        <v>1</v>
      </c>
      <c r="L179" t="n">
        <v>0</v>
      </c>
      <c r="M179" t="n">
        <v>0</v>
      </c>
      <c r="N179" t="n">
        <v>0</v>
      </c>
      <c r="O179" t="n">
        <v>8</v>
      </c>
      <c r="P179" t="n">
        <v>1</v>
      </c>
      <c r="Q179" t="n">
        <v>10</v>
      </c>
      <c r="R179" s="2" t="inlineStr">
        <is>
          <t>Raggbock
Garnlav
Kolflarnlav
Mörk kolflarnlav
Spillkråka
Tallticka
Tretåig hackspett
Vedflamlav
Mindre märgborre
Kungsfågel</t>
        </is>
      </c>
      <c r="S179">
        <f>HYPERLINK("https://klasma.github.io/Logging_2039/artfynd/A 1159-2026 artfynd.xlsx", "A 1159-2026")</f>
        <v/>
      </c>
      <c r="T179">
        <f>HYPERLINK("https://klasma.github.io/Logging_2039/kartor/A 1159-2026 karta.png", "A 1159-2026")</f>
        <v/>
      </c>
      <c r="V179">
        <f>HYPERLINK("https://klasma.github.io/Logging_2039/klagomål/A 1159-2026 FSC-klagomål.docx", "A 1159-2026")</f>
        <v/>
      </c>
      <c r="W179">
        <f>HYPERLINK("https://klasma.github.io/Logging_2039/klagomålsmail/A 1159-2026 FSC-klagomål mail.docx", "A 1159-2026")</f>
        <v/>
      </c>
      <c r="X179">
        <f>HYPERLINK("https://klasma.github.io/Logging_2039/tillsyn/A 1159-2026 tillsynsbegäran.docx", "A 1159-2026")</f>
        <v/>
      </c>
      <c r="Y179">
        <f>HYPERLINK("https://klasma.github.io/Logging_2039/tillsynsmail/A 1159-2026 tillsynsbegäran mail.docx", "A 1159-2026")</f>
        <v/>
      </c>
      <c r="Z179">
        <f>HYPERLINK("https://klasma.github.io/Logging_2039/fåglar/A 1159-2026 prioriterade fågelarter.docx", "A 1159-2026")</f>
        <v/>
      </c>
    </row>
    <row r="180" ht="15" customHeight="1">
      <c r="A180" t="inlineStr">
        <is>
          <t>A 2044-2026</t>
        </is>
      </c>
      <c r="B180" s="1" t="n">
        <v>46035</v>
      </c>
      <c r="C180" s="1" t="n">
        <v>46114</v>
      </c>
      <c r="D180" t="inlineStr">
        <is>
          <t>DALARNAS LÄN</t>
        </is>
      </c>
      <c r="E180" t="inlineStr">
        <is>
          <t>FALUN</t>
        </is>
      </c>
      <c r="G180" t="n">
        <v>35.4</v>
      </c>
      <c r="H180" t="n">
        <v>3</v>
      </c>
      <c r="I180" t="n">
        <v>2</v>
      </c>
      <c r="J180" t="n">
        <v>6</v>
      </c>
      <c r="K180" t="n">
        <v>0</v>
      </c>
      <c r="L180" t="n">
        <v>0</v>
      </c>
      <c r="M180" t="n">
        <v>0</v>
      </c>
      <c r="N180" t="n">
        <v>0</v>
      </c>
      <c r="O180" t="n">
        <v>6</v>
      </c>
      <c r="P180" t="n">
        <v>0</v>
      </c>
      <c r="Q180" t="n">
        <v>10</v>
      </c>
      <c r="R180" s="2" t="inlineStr">
        <is>
          <t>Garnlav
Granticka
Kolflarnlav
Mörk kolflarnlav
Tallticka
Tretåig hackspett
Bronshjon
Mindre märgborre
Orre
Tjäder</t>
        </is>
      </c>
      <c r="S180">
        <f>HYPERLINK("https://klasma.github.io/Logging_2080/artfynd/A 2044-2026 artfynd.xlsx", "A 2044-2026")</f>
        <v/>
      </c>
      <c r="T180">
        <f>HYPERLINK("https://klasma.github.io/Logging_2080/kartor/A 2044-2026 karta.png", "A 2044-2026")</f>
        <v/>
      </c>
      <c r="V180">
        <f>HYPERLINK("https://klasma.github.io/Logging_2080/klagomål/A 2044-2026 FSC-klagomål.docx", "A 2044-2026")</f>
        <v/>
      </c>
      <c r="W180">
        <f>HYPERLINK("https://klasma.github.io/Logging_2080/klagomålsmail/A 2044-2026 FSC-klagomål mail.docx", "A 2044-2026")</f>
        <v/>
      </c>
      <c r="X180">
        <f>HYPERLINK("https://klasma.github.io/Logging_2080/tillsyn/A 2044-2026 tillsynsbegäran.docx", "A 2044-2026")</f>
        <v/>
      </c>
      <c r="Y180">
        <f>HYPERLINK("https://klasma.github.io/Logging_2080/tillsynsmail/A 2044-2026 tillsynsbegäran mail.docx", "A 2044-2026")</f>
        <v/>
      </c>
      <c r="Z180">
        <f>HYPERLINK("https://klasma.github.io/Logging_2080/fåglar/A 2044-2026 prioriterade fågelarter.docx", "A 2044-2026")</f>
        <v/>
      </c>
    </row>
    <row r="181" ht="15" customHeight="1">
      <c r="A181" t="inlineStr">
        <is>
          <t>A 42681-2025</t>
        </is>
      </c>
      <c r="B181" s="1" t="n">
        <v>45908.34037037037</v>
      </c>
      <c r="C181" s="1" t="n">
        <v>46114</v>
      </c>
      <c r="D181" t="inlineStr">
        <is>
          <t>DALARNAS LÄN</t>
        </is>
      </c>
      <c r="E181" t="inlineStr">
        <is>
          <t>GAGNEF</t>
        </is>
      </c>
      <c r="G181" t="n">
        <v>10</v>
      </c>
      <c r="H181" t="n">
        <v>3</v>
      </c>
      <c r="I181" t="n">
        <v>4</v>
      </c>
      <c r="J181" t="n">
        <v>6</v>
      </c>
      <c r="K181" t="n">
        <v>0</v>
      </c>
      <c r="L181" t="n">
        <v>0</v>
      </c>
      <c r="M181" t="n">
        <v>0</v>
      </c>
      <c r="N181" t="n">
        <v>0</v>
      </c>
      <c r="O181" t="n">
        <v>6</v>
      </c>
      <c r="P181" t="n">
        <v>0</v>
      </c>
      <c r="Q181" t="n">
        <v>10</v>
      </c>
      <c r="R181" s="2" t="inlineStr">
        <is>
          <t>Garnlav
Granticka
Spillkråka
Stjärntagging
Talltita
Tretåig hackspett
Korallblylav
Skinnlav
Stuplav
Vedticka</t>
        </is>
      </c>
      <c r="S181">
        <f>HYPERLINK("https://klasma.github.io/Logging_2026/artfynd/A 42681-2025 artfynd.xlsx", "A 42681-2025")</f>
        <v/>
      </c>
      <c r="T181">
        <f>HYPERLINK("https://klasma.github.io/Logging_2026/kartor/A 42681-2025 karta.png", "A 42681-2025")</f>
        <v/>
      </c>
      <c r="V181">
        <f>HYPERLINK("https://klasma.github.io/Logging_2026/klagomål/A 42681-2025 FSC-klagomål.docx", "A 42681-2025")</f>
        <v/>
      </c>
      <c r="W181">
        <f>HYPERLINK("https://klasma.github.io/Logging_2026/klagomålsmail/A 42681-2025 FSC-klagomål mail.docx", "A 42681-2025")</f>
        <v/>
      </c>
      <c r="X181">
        <f>HYPERLINK("https://klasma.github.io/Logging_2026/tillsyn/A 42681-2025 tillsynsbegäran.docx", "A 42681-2025")</f>
        <v/>
      </c>
      <c r="Y181">
        <f>HYPERLINK("https://klasma.github.io/Logging_2026/tillsynsmail/A 42681-2025 tillsynsbegäran mail.docx", "A 42681-2025")</f>
        <v/>
      </c>
      <c r="Z181">
        <f>HYPERLINK("https://klasma.github.io/Logging_2026/fåglar/A 42681-2025 prioriterade fågelarter.docx", "A 42681-2025")</f>
        <v/>
      </c>
    </row>
    <row r="182" ht="15" customHeight="1">
      <c r="A182" t="inlineStr">
        <is>
          <t>A 57804-2025</t>
        </is>
      </c>
      <c r="B182" s="1" t="n">
        <v>45981</v>
      </c>
      <c r="C182" s="1" t="n">
        <v>46114</v>
      </c>
      <c r="D182" t="inlineStr">
        <is>
          <t>DALARNAS LÄN</t>
        </is>
      </c>
      <c r="E182" t="inlineStr">
        <is>
          <t>LUDVIKA</t>
        </is>
      </c>
      <c r="F182" t="inlineStr">
        <is>
          <t>Bergvik skog väst AB</t>
        </is>
      </c>
      <c r="G182" t="n">
        <v>4.5</v>
      </c>
      <c r="H182" t="n">
        <v>3</v>
      </c>
      <c r="I182" t="n">
        <v>2</v>
      </c>
      <c r="J182" t="n">
        <v>6</v>
      </c>
      <c r="K182" t="n">
        <v>2</v>
      </c>
      <c r="L182" t="n">
        <v>0</v>
      </c>
      <c r="M182" t="n">
        <v>0</v>
      </c>
      <c r="N182" t="n">
        <v>0</v>
      </c>
      <c r="O182" t="n">
        <v>8</v>
      </c>
      <c r="P182" t="n">
        <v>2</v>
      </c>
      <c r="Q182" t="n">
        <v>10</v>
      </c>
      <c r="R182" s="2" t="inlineStr">
        <is>
          <t>Knärot
Rynkskinn
Kortskaftad ärgspik
Rosenticka
Spillkråka
Tretåig hackspett
Ullticka
Vedtrappmossa
Dropptaggsvamp
Mindre märgborre</t>
        </is>
      </c>
      <c r="S182">
        <f>HYPERLINK("https://klasma.github.io/Logging_2085/artfynd/A 57804-2025 artfynd.xlsx", "A 57804-2025")</f>
        <v/>
      </c>
      <c r="T182">
        <f>HYPERLINK("https://klasma.github.io/Logging_2085/kartor/A 57804-2025 karta.png", "A 57804-2025")</f>
        <v/>
      </c>
      <c r="U182">
        <f>HYPERLINK("https://klasma.github.io/Logging_2085/knärot/A 57804-2025 karta knärot.png", "A 57804-2025")</f>
        <v/>
      </c>
      <c r="V182">
        <f>HYPERLINK("https://klasma.github.io/Logging_2085/klagomål/A 57804-2025 FSC-klagomål.docx", "A 57804-2025")</f>
        <v/>
      </c>
      <c r="W182">
        <f>HYPERLINK("https://klasma.github.io/Logging_2085/klagomålsmail/A 57804-2025 FSC-klagomål mail.docx", "A 57804-2025")</f>
        <v/>
      </c>
      <c r="X182">
        <f>HYPERLINK("https://klasma.github.io/Logging_2085/tillsyn/A 57804-2025 tillsynsbegäran.docx", "A 57804-2025")</f>
        <v/>
      </c>
      <c r="Y182">
        <f>HYPERLINK("https://klasma.github.io/Logging_2085/tillsynsmail/A 57804-2025 tillsynsbegäran mail.docx", "A 57804-2025")</f>
        <v/>
      </c>
      <c r="Z182">
        <f>HYPERLINK("https://klasma.github.io/Logging_2085/fåglar/A 57804-2025 prioriterade fågelarter.docx", "A 57804-2025")</f>
        <v/>
      </c>
    </row>
    <row r="183" ht="15" customHeight="1">
      <c r="A183" t="inlineStr">
        <is>
          <t>A 37473-2025</t>
        </is>
      </c>
      <c r="B183" s="1" t="n">
        <v>45877</v>
      </c>
      <c r="C183" s="1" t="n">
        <v>46114</v>
      </c>
      <c r="D183" t="inlineStr">
        <is>
          <t>DALARNAS LÄN</t>
        </is>
      </c>
      <c r="E183" t="inlineStr">
        <is>
          <t>BORLÄNGE</t>
        </is>
      </c>
      <c r="G183" t="n">
        <v>12.2</v>
      </c>
      <c r="H183" t="n">
        <v>4</v>
      </c>
      <c r="I183" t="n">
        <v>3</v>
      </c>
      <c r="J183" t="n">
        <v>5</v>
      </c>
      <c r="K183" t="n">
        <v>1</v>
      </c>
      <c r="L183" t="n">
        <v>0</v>
      </c>
      <c r="M183" t="n">
        <v>0</v>
      </c>
      <c r="N183" t="n">
        <v>0</v>
      </c>
      <c r="O183" t="n">
        <v>6</v>
      </c>
      <c r="P183" t="n">
        <v>1</v>
      </c>
      <c r="Q183" t="n">
        <v>10</v>
      </c>
      <c r="R183" s="2" t="inlineStr">
        <is>
          <t>Knärot
Garnlav
Spillkråka
Tretåig hackspett
Ullticka
Violettgrå tagellav
Dropptaggsvamp
Skarp dropptaggsvamp
Vedticka
Fläcknycklar</t>
        </is>
      </c>
      <c r="S183">
        <f>HYPERLINK("https://klasma.github.io/Logging_2081/artfynd/A 37473-2025 artfynd.xlsx", "A 37473-2025")</f>
        <v/>
      </c>
      <c r="T183">
        <f>HYPERLINK("https://klasma.github.io/Logging_2081/kartor/A 37473-2025 karta.png", "A 37473-2025")</f>
        <v/>
      </c>
      <c r="U183">
        <f>HYPERLINK("https://klasma.github.io/Logging_2081/knärot/A 37473-2025 karta knärot.png", "A 37473-2025")</f>
        <v/>
      </c>
      <c r="V183">
        <f>HYPERLINK("https://klasma.github.io/Logging_2081/klagomål/A 37473-2025 FSC-klagomål.docx", "A 37473-2025")</f>
        <v/>
      </c>
      <c r="W183">
        <f>HYPERLINK("https://klasma.github.io/Logging_2081/klagomålsmail/A 37473-2025 FSC-klagomål mail.docx", "A 37473-2025")</f>
        <v/>
      </c>
      <c r="X183">
        <f>HYPERLINK("https://klasma.github.io/Logging_2081/tillsyn/A 37473-2025 tillsynsbegäran.docx", "A 37473-2025")</f>
        <v/>
      </c>
      <c r="Y183">
        <f>HYPERLINK("https://klasma.github.io/Logging_2081/tillsynsmail/A 37473-2025 tillsynsbegäran mail.docx", "A 37473-2025")</f>
        <v/>
      </c>
      <c r="Z183">
        <f>HYPERLINK("https://klasma.github.io/Logging_2081/fåglar/A 37473-2025 prioriterade fågelarter.docx", "A 37473-2025")</f>
        <v/>
      </c>
    </row>
    <row r="184" ht="15" customHeight="1">
      <c r="A184" t="inlineStr">
        <is>
          <t>A 6034-2026</t>
        </is>
      </c>
      <c r="B184" s="1" t="n">
        <v>46052.61299768519</v>
      </c>
      <c r="C184" s="1" t="n">
        <v>46114</v>
      </c>
      <c r="D184" t="inlineStr">
        <is>
          <t>DALARNAS LÄN</t>
        </is>
      </c>
      <c r="E184" t="inlineStr">
        <is>
          <t>ORSA</t>
        </is>
      </c>
      <c r="G184" t="n">
        <v>3.5</v>
      </c>
      <c r="H184" t="n">
        <v>4</v>
      </c>
      <c r="I184" t="n">
        <v>3</v>
      </c>
      <c r="J184" t="n">
        <v>4</v>
      </c>
      <c r="K184" t="n">
        <v>2</v>
      </c>
      <c r="L184" t="n">
        <v>0</v>
      </c>
      <c r="M184" t="n">
        <v>0</v>
      </c>
      <c r="N184" t="n">
        <v>0</v>
      </c>
      <c r="O184" t="n">
        <v>6</v>
      </c>
      <c r="P184" t="n">
        <v>2</v>
      </c>
      <c r="Q184" t="n">
        <v>10</v>
      </c>
      <c r="R184" s="2" t="inlineStr">
        <is>
          <t>Knärot
Kopparspindling
Spillkråka
Tallticka
Tretåig hackspett
Vedtrappmossa
Mindre märgborre
Svavelriska
Tibast
Blåsippa</t>
        </is>
      </c>
      <c r="S184">
        <f>HYPERLINK("https://klasma.github.io/Logging_2034/artfynd/A 6034-2026 artfynd.xlsx", "A 6034-2026")</f>
        <v/>
      </c>
      <c r="T184">
        <f>HYPERLINK("https://klasma.github.io/Logging_2034/kartor/A 6034-2026 karta.png", "A 6034-2026")</f>
        <v/>
      </c>
      <c r="U184">
        <f>HYPERLINK("https://klasma.github.io/Logging_2034/knärot/A 6034-2026 karta knärot.png", "A 6034-2026")</f>
        <v/>
      </c>
      <c r="V184">
        <f>HYPERLINK("https://klasma.github.io/Logging_2034/klagomål/A 6034-2026 FSC-klagomål.docx", "A 6034-2026")</f>
        <v/>
      </c>
      <c r="W184">
        <f>HYPERLINK("https://klasma.github.io/Logging_2034/klagomålsmail/A 6034-2026 FSC-klagomål mail.docx", "A 6034-2026")</f>
        <v/>
      </c>
      <c r="X184">
        <f>HYPERLINK("https://klasma.github.io/Logging_2034/tillsyn/A 6034-2026 tillsynsbegäran.docx", "A 6034-2026")</f>
        <v/>
      </c>
      <c r="Y184">
        <f>HYPERLINK("https://klasma.github.io/Logging_2034/tillsynsmail/A 6034-2026 tillsynsbegäran mail.docx", "A 6034-2026")</f>
        <v/>
      </c>
      <c r="Z184">
        <f>HYPERLINK("https://klasma.github.io/Logging_2034/fåglar/A 6034-2026 prioriterade fågelarter.docx", "A 6034-2026")</f>
        <v/>
      </c>
    </row>
    <row r="185" ht="15" customHeight="1">
      <c r="A185" t="inlineStr">
        <is>
          <t>A 12291-2022</t>
        </is>
      </c>
      <c r="B185" s="1" t="n">
        <v>44637</v>
      </c>
      <c r="C185" s="1" t="n">
        <v>46114</v>
      </c>
      <c r="D185" t="inlineStr">
        <is>
          <t>DALARNAS LÄN</t>
        </is>
      </c>
      <c r="E185" t="inlineStr">
        <is>
          <t>MALUNG-SÄLEN</t>
        </is>
      </c>
      <c r="G185" t="n">
        <v>3.4</v>
      </c>
      <c r="H185" t="n">
        <v>1</v>
      </c>
      <c r="I185" t="n">
        <v>6</v>
      </c>
      <c r="J185" t="n">
        <v>4</v>
      </c>
      <c r="K185" t="n">
        <v>0</v>
      </c>
      <c r="L185" t="n">
        <v>0</v>
      </c>
      <c r="M185" t="n">
        <v>0</v>
      </c>
      <c r="N185" t="n">
        <v>0</v>
      </c>
      <c r="O185" t="n">
        <v>4</v>
      </c>
      <c r="P185" t="n">
        <v>0</v>
      </c>
      <c r="Q185" t="n">
        <v>10</v>
      </c>
      <c r="R185" s="2" t="inlineStr">
        <is>
          <t>Brunpudrad nållav
Gammelgransskål
Garnlav
Ullticka
Barkkornlav
Kattfotslav
Mörk husmossa
Skuggblåslav
Spindelblomster
Vedticka</t>
        </is>
      </c>
      <c r="S185">
        <f>HYPERLINK("https://klasma.github.io/Logging_2023/artfynd/A 12291-2022 artfynd.xlsx", "A 12291-2022")</f>
        <v/>
      </c>
      <c r="T185">
        <f>HYPERLINK("https://klasma.github.io/Logging_2023/kartor/A 12291-2022 karta.png", "A 12291-2022")</f>
        <v/>
      </c>
      <c r="V185">
        <f>HYPERLINK("https://klasma.github.io/Logging_2023/klagomål/A 12291-2022 FSC-klagomål.docx", "A 12291-2022")</f>
        <v/>
      </c>
      <c r="W185">
        <f>HYPERLINK("https://klasma.github.io/Logging_2023/klagomålsmail/A 12291-2022 FSC-klagomål mail.docx", "A 12291-2022")</f>
        <v/>
      </c>
      <c r="X185">
        <f>HYPERLINK("https://klasma.github.io/Logging_2023/tillsyn/A 12291-2022 tillsynsbegäran.docx", "A 12291-2022")</f>
        <v/>
      </c>
      <c r="Y185">
        <f>HYPERLINK("https://klasma.github.io/Logging_2023/tillsynsmail/A 12291-2022 tillsynsbegäran mail.docx", "A 12291-2022")</f>
        <v/>
      </c>
    </row>
    <row r="186" ht="15" customHeight="1">
      <c r="A186" t="inlineStr">
        <is>
          <t>A 63440-2025</t>
        </is>
      </c>
      <c r="B186" s="1" t="n">
        <v>46013.38466435186</v>
      </c>
      <c r="C186" s="1" t="n">
        <v>46114</v>
      </c>
      <c r="D186" t="inlineStr">
        <is>
          <t>DALARNAS LÄN</t>
        </is>
      </c>
      <c r="E186" t="inlineStr">
        <is>
          <t>GAGNEF</t>
        </is>
      </c>
      <c r="G186" t="n">
        <v>10</v>
      </c>
      <c r="H186" t="n">
        <v>3</v>
      </c>
      <c r="I186" t="n">
        <v>4</v>
      </c>
      <c r="J186" t="n">
        <v>6</v>
      </c>
      <c r="K186" t="n">
        <v>0</v>
      </c>
      <c r="L186" t="n">
        <v>0</v>
      </c>
      <c r="M186" t="n">
        <v>0</v>
      </c>
      <c r="N186" t="n">
        <v>0</v>
      </c>
      <c r="O186" t="n">
        <v>6</v>
      </c>
      <c r="P186" t="n">
        <v>0</v>
      </c>
      <c r="Q186" t="n">
        <v>10</v>
      </c>
      <c r="R186" s="2" t="inlineStr">
        <is>
          <t>Garnlav
Granticka
Spillkråka
Stjärntagging
Talltita
Tretåig hackspett
Korallblylav
Skinnlav
Stuplav
Vedticka</t>
        </is>
      </c>
      <c r="S186">
        <f>HYPERLINK("https://klasma.github.io/Logging_2026/artfynd/A 63440-2025 artfynd.xlsx", "A 63440-2025")</f>
        <v/>
      </c>
      <c r="T186">
        <f>HYPERLINK("https://klasma.github.io/Logging_2026/kartor/A 63440-2025 karta.png", "A 63440-2025")</f>
        <v/>
      </c>
      <c r="V186">
        <f>HYPERLINK("https://klasma.github.io/Logging_2026/klagomål/A 63440-2025 FSC-klagomål.docx", "A 63440-2025")</f>
        <v/>
      </c>
      <c r="W186">
        <f>HYPERLINK("https://klasma.github.io/Logging_2026/klagomålsmail/A 63440-2025 FSC-klagomål mail.docx", "A 63440-2025")</f>
        <v/>
      </c>
      <c r="X186">
        <f>HYPERLINK("https://klasma.github.io/Logging_2026/tillsyn/A 63440-2025 tillsynsbegäran.docx", "A 63440-2025")</f>
        <v/>
      </c>
      <c r="Y186">
        <f>HYPERLINK("https://klasma.github.io/Logging_2026/tillsynsmail/A 63440-2025 tillsynsbegäran mail.docx", "A 63440-2025")</f>
        <v/>
      </c>
      <c r="Z186">
        <f>HYPERLINK("https://klasma.github.io/Logging_2026/fåglar/A 63440-2025 prioriterade fågelarter.docx", "A 63440-2025")</f>
        <v/>
      </c>
    </row>
    <row r="187" ht="15" customHeight="1">
      <c r="A187" t="inlineStr">
        <is>
          <t>A 7921-2026</t>
        </is>
      </c>
      <c r="B187" s="1" t="n">
        <v>46063</v>
      </c>
      <c r="C187" s="1" t="n">
        <v>46114</v>
      </c>
      <c r="D187" t="inlineStr">
        <is>
          <t>DALARNAS LÄN</t>
        </is>
      </c>
      <c r="E187" t="inlineStr">
        <is>
          <t>ÄLVDALEN</t>
        </is>
      </c>
      <c r="F187" t="inlineStr">
        <is>
          <t>Övriga Aktiebolag</t>
        </is>
      </c>
      <c r="G187" t="n">
        <v>6.6</v>
      </c>
      <c r="H187" t="n">
        <v>3</v>
      </c>
      <c r="I187" t="n">
        <v>3</v>
      </c>
      <c r="J187" t="n">
        <v>5</v>
      </c>
      <c r="K187" t="n">
        <v>0</v>
      </c>
      <c r="L187" t="n">
        <v>0</v>
      </c>
      <c r="M187" t="n">
        <v>0</v>
      </c>
      <c r="N187" t="n">
        <v>0</v>
      </c>
      <c r="O187" t="n">
        <v>5</v>
      </c>
      <c r="P187" t="n">
        <v>0</v>
      </c>
      <c r="Q187" t="n">
        <v>10</v>
      </c>
      <c r="R187" s="2" t="inlineStr">
        <is>
          <t>Knottrig blåslav
Kolflarnlav
Lunglav
Skrovellav
Spillkråka
Bårdlav
Mindre märgborre
Stuplav
Orre
Tjäder</t>
        </is>
      </c>
      <c r="S187">
        <f>HYPERLINK("https://klasma.github.io/Logging_2039/artfynd/A 7921-2026 artfynd.xlsx", "A 7921-2026")</f>
        <v/>
      </c>
      <c r="T187">
        <f>HYPERLINK("https://klasma.github.io/Logging_2039/kartor/A 7921-2026 karta.png", "A 7921-2026")</f>
        <v/>
      </c>
      <c r="V187">
        <f>HYPERLINK("https://klasma.github.io/Logging_2039/klagomål/A 7921-2026 FSC-klagomål.docx", "A 7921-2026")</f>
        <v/>
      </c>
      <c r="W187">
        <f>HYPERLINK("https://klasma.github.io/Logging_2039/klagomålsmail/A 7921-2026 FSC-klagomål mail.docx", "A 7921-2026")</f>
        <v/>
      </c>
      <c r="X187">
        <f>HYPERLINK("https://klasma.github.io/Logging_2039/tillsyn/A 7921-2026 tillsynsbegäran.docx", "A 7921-2026")</f>
        <v/>
      </c>
      <c r="Y187">
        <f>HYPERLINK("https://klasma.github.io/Logging_2039/tillsynsmail/A 7921-2026 tillsynsbegäran mail.docx", "A 7921-2026")</f>
        <v/>
      </c>
      <c r="Z187">
        <f>HYPERLINK("https://klasma.github.io/Logging_2039/fåglar/A 7921-2026 prioriterade fågelarter.docx", "A 7921-2026")</f>
        <v/>
      </c>
    </row>
    <row r="188" ht="15" customHeight="1">
      <c r="A188" t="inlineStr">
        <is>
          <t>A 7900-2026</t>
        </is>
      </c>
      <c r="B188" s="1" t="n">
        <v>46063</v>
      </c>
      <c r="C188" s="1" t="n">
        <v>46114</v>
      </c>
      <c r="D188" t="inlineStr">
        <is>
          <t>DALARNAS LÄN</t>
        </is>
      </c>
      <c r="E188" t="inlineStr">
        <is>
          <t>ÄLVDALEN</t>
        </is>
      </c>
      <c r="F188" t="inlineStr">
        <is>
          <t>Övriga Aktiebolag</t>
        </is>
      </c>
      <c r="G188" t="n">
        <v>3.9</v>
      </c>
      <c r="H188" t="n">
        <v>4</v>
      </c>
      <c r="I188" t="n">
        <v>1</v>
      </c>
      <c r="J188" t="n">
        <v>8</v>
      </c>
      <c r="K188" t="n">
        <v>0</v>
      </c>
      <c r="L188" t="n">
        <v>0</v>
      </c>
      <c r="M188" t="n">
        <v>0</v>
      </c>
      <c r="N188" t="n">
        <v>0</v>
      </c>
      <c r="O188" t="n">
        <v>8</v>
      </c>
      <c r="P188" t="n">
        <v>0</v>
      </c>
      <c r="Q188" t="n">
        <v>10</v>
      </c>
      <c r="R188" s="2" t="inlineStr">
        <is>
          <t>Garnlav
Kolflarnlav
Mörk kolflarnlav
Spillkråka
Talltita
Tretåig hackspett
Vedflamlav
Vedskivlav
Mindre märgborre
Kungsfågel</t>
        </is>
      </c>
      <c r="S188">
        <f>HYPERLINK("https://klasma.github.io/Logging_2039/artfynd/A 7900-2026 artfynd.xlsx", "A 7900-2026")</f>
        <v/>
      </c>
      <c r="T188">
        <f>HYPERLINK("https://klasma.github.io/Logging_2039/kartor/A 7900-2026 karta.png", "A 7900-2026")</f>
        <v/>
      </c>
      <c r="V188">
        <f>HYPERLINK("https://klasma.github.io/Logging_2039/klagomål/A 7900-2026 FSC-klagomål.docx", "A 7900-2026")</f>
        <v/>
      </c>
      <c r="W188">
        <f>HYPERLINK("https://klasma.github.io/Logging_2039/klagomålsmail/A 7900-2026 FSC-klagomål mail.docx", "A 7900-2026")</f>
        <v/>
      </c>
      <c r="X188">
        <f>HYPERLINK("https://klasma.github.io/Logging_2039/tillsyn/A 7900-2026 tillsynsbegäran.docx", "A 7900-2026")</f>
        <v/>
      </c>
      <c r="Y188">
        <f>HYPERLINK("https://klasma.github.io/Logging_2039/tillsynsmail/A 7900-2026 tillsynsbegäran mail.docx", "A 7900-2026")</f>
        <v/>
      </c>
      <c r="Z188">
        <f>HYPERLINK("https://klasma.github.io/Logging_2039/fåglar/A 7900-2026 prioriterade fågelarter.docx", "A 7900-2026")</f>
        <v/>
      </c>
    </row>
    <row r="189" ht="15" customHeight="1">
      <c r="A189" t="inlineStr">
        <is>
          <t>A 6098-2026</t>
        </is>
      </c>
      <c r="B189" s="1" t="n">
        <v>46052.74193287037</v>
      </c>
      <c r="C189" s="1" t="n">
        <v>46114</v>
      </c>
      <c r="D189" t="inlineStr">
        <is>
          <t>DALARNAS LÄN</t>
        </is>
      </c>
      <c r="E189" t="inlineStr">
        <is>
          <t>ÄLVDALEN</t>
        </is>
      </c>
      <c r="G189" t="n">
        <v>4.1</v>
      </c>
      <c r="H189" t="n">
        <v>4</v>
      </c>
      <c r="I189" t="n">
        <v>2</v>
      </c>
      <c r="J189" t="n">
        <v>6</v>
      </c>
      <c r="K189" t="n">
        <v>0</v>
      </c>
      <c r="L189" t="n">
        <v>0</v>
      </c>
      <c r="M189" t="n">
        <v>0</v>
      </c>
      <c r="N189" t="n">
        <v>0</v>
      </c>
      <c r="O189" t="n">
        <v>6</v>
      </c>
      <c r="P189" t="n">
        <v>0</v>
      </c>
      <c r="Q189" t="n">
        <v>10</v>
      </c>
      <c r="R189" s="2" t="inlineStr">
        <is>
          <t>Garnlav
Kolflarnlav
Mörk kolflarnlav
Spillkråka
Tretåig hackspett
Vedskivlav
Björksplintborre
Mindre märgborre
Orre
Tjäder</t>
        </is>
      </c>
      <c r="S189">
        <f>HYPERLINK("https://klasma.github.io/Logging_2039/artfynd/A 6098-2026 artfynd.xlsx", "A 6098-2026")</f>
        <v/>
      </c>
      <c r="T189">
        <f>HYPERLINK("https://klasma.github.io/Logging_2039/kartor/A 6098-2026 karta.png", "A 6098-2026")</f>
        <v/>
      </c>
      <c r="V189">
        <f>HYPERLINK("https://klasma.github.io/Logging_2039/klagomål/A 6098-2026 FSC-klagomål.docx", "A 6098-2026")</f>
        <v/>
      </c>
      <c r="W189">
        <f>HYPERLINK("https://klasma.github.io/Logging_2039/klagomålsmail/A 6098-2026 FSC-klagomål mail.docx", "A 6098-2026")</f>
        <v/>
      </c>
      <c r="X189">
        <f>HYPERLINK("https://klasma.github.io/Logging_2039/tillsyn/A 6098-2026 tillsynsbegäran.docx", "A 6098-2026")</f>
        <v/>
      </c>
      <c r="Y189">
        <f>HYPERLINK("https://klasma.github.io/Logging_2039/tillsynsmail/A 6098-2026 tillsynsbegäran mail.docx", "A 6098-2026")</f>
        <v/>
      </c>
      <c r="Z189">
        <f>HYPERLINK("https://klasma.github.io/Logging_2039/fåglar/A 6098-2026 prioriterade fågelarter.docx", "A 6098-2026")</f>
        <v/>
      </c>
    </row>
    <row r="190" ht="15" customHeight="1">
      <c r="A190" t="inlineStr">
        <is>
          <t>A 34765-2025</t>
        </is>
      </c>
      <c r="B190" s="1" t="n">
        <v>45848</v>
      </c>
      <c r="C190" s="1" t="n">
        <v>46114</v>
      </c>
      <c r="D190" t="inlineStr">
        <is>
          <t>DALARNAS LÄN</t>
        </is>
      </c>
      <c r="E190" t="inlineStr">
        <is>
          <t>ÄLVDALEN</t>
        </is>
      </c>
      <c r="F190" t="inlineStr">
        <is>
          <t>Allmännings- och besparingsskogar</t>
        </is>
      </c>
      <c r="G190" t="n">
        <v>32.9</v>
      </c>
      <c r="H190" t="n">
        <v>3</v>
      </c>
      <c r="I190" t="n">
        <v>1</v>
      </c>
      <c r="J190" t="n">
        <v>8</v>
      </c>
      <c r="K190" t="n">
        <v>0</v>
      </c>
      <c r="L190" t="n">
        <v>0</v>
      </c>
      <c r="M190" t="n">
        <v>0</v>
      </c>
      <c r="N190" t="n">
        <v>0</v>
      </c>
      <c r="O190" t="n">
        <v>8</v>
      </c>
      <c r="P190" t="n">
        <v>0</v>
      </c>
      <c r="Q190" t="n">
        <v>10</v>
      </c>
      <c r="R190" s="2" t="inlineStr">
        <is>
          <t>Garnlav
Järpe
Kolflarnlav
Mörk kolflarnlav
Spillkråka
Tallticka
Vedflamlav
Vedskivlav
Mindre märgborre
Tjäder</t>
        </is>
      </c>
      <c r="S190">
        <f>HYPERLINK("https://klasma.github.io/Logging_2039/artfynd/A 34765-2025 artfynd.xlsx", "A 34765-2025")</f>
        <v/>
      </c>
      <c r="T190">
        <f>HYPERLINK("https://klasma.github.io/Logging_2039/kartor/A 34765-2025 karta.png", "A 34765-2025")</f>
        <v/>
      </c>
      <c r="V190">
        <f>HYPERLINK("https://klasma.github.io/Logging_2039/klagomål/A 34765-2025 FSC-klagomål.docx", "A 34765-2025")</f>
        <v/>
      </c>
      <c r="W190">
        <f>HYPERLINK("https://klasma.github.io/Logging_2039/klagomålsmail/A 34765-2025 FSC-klagomål mail.docx", "A 34765-2025")</f>
        <v/>
      </c>
      <c r="X190">
        <f>HYPERLINK("https://klasma.github.io/Logging_2039/tillsyn/A 34765-2025 tillsynsbegäran.docx", "A 34765-2025")</f>
        <v/>
      </c>
      <c r="Y190">
        <f>HYPERLINK("https://klasma.github.io/Logging_2039/tillsynsmail/A 34765-2025 tillsynsbegäran mail.docx", "A 34765-2025")</f>
        <v/>
      </c>
      <c r="Z190">
        <f>HYPERLINK("https://klasma.github.io/Logging_2039/fåglar/A 34765-2025 prioriterade fågelarter.docx", "A 34765-2025")</f>
        <v/>
      </c>
    </row>
    <row r="191" ht="15" customHeight="1">
      <c r="A191" t="inlineStr">
        <is>
          <t>A 25362-2025</t>
        </is>
      </c>
      <c r="B191" s="1" t="n">
        <v>45800</v>
      </c>
      <c r="C191" s="1" t="n">
        <v>46114</v>
      </c>
      <c r="D191" t="inlineStr">
        <is>
          <t>DALARNAS LÄN</t>
        </is>
      </c>
      <c r="E191" t="inlineStr">
        <is>
          <t>LEKSAND</t>
        </is>
      </c>
      <c r="G191" t="n">
        <v>7.3</v>
      </c>
      <c r="H191" t="n">
        <v>1</v>
      </c>
      <c r="I191" t="n">
        <v>2</v>
      </c>
      <c r="J191" t="n">
        <v>7</v>
      </c>
      <c r="K191" t="n">
        <v>1</v>
      </c>
      <c r="L191" t="n">
        <v>0</v>
      </c>
      <c r="M191" t="n">
        <v>0</v>
      </c>
      <c r="N191" t="n">
        <v>0</v>
      </c>
      <c r="O191" t="n">
        <v>8</v>
      </c>
      <c r="P191" t="n">
        <v>1</v>
      </c>
      <c r="Q191" t="n">
        <v>10</v>
      </c>
      <c r="R191" s="2" t="inlineStr">
        <is>
          <t>Raggbock
Blågrå svartspik
Dvärgbägarlav
Garnlav
Tallticka
Varglav
Vedflamlav
Vitgrynig nållav
Bronshjon
Mindre märgborre</t>
        </is>
      </c>
      <c r="S191">
        <f>HYPERLINK("https://klasma.github.io/Logging_2029/artfynd/A 25362-2025 artfynd.xlsx", "A 25362-2025")</f>
        <v/>
      </c>
      <c r="T191">
        <f>HYPERLINK("https://klasma.github.io/Logging_2029/kartor/A 25362-2025 karta.png", "A 25362-2025")</f>
        <v/>
      </c>
      <c r="V191">
        <f>HYPERLINK("https://klasma.github.io/Logging_2029/klagomål/A 25362-2025 FSC-klagomål.docx", "A 25362-2025")</f>
        <v/>
      </c>
      <c r="W191">
        <f>HYPERLINK("https://klasma.github.io/Logging_2029/klagomålsmail/A 25362-2025 FSC-klagomål mail.docx", "A 25362-2025")</f>
        <v/>
      </c>
      <c r="X191">
        <f>HYPERLINK("https://klasma.github.io/Logging_2029/tillsyn/A 25362-2025 tillsynsbegäran.docx", "A 25362-2025")</f>
        <v/>
      </c>
      <c r="Y191">
        <f>HYPERLINK("https://klasma.github.io/Logging_2029/tillsynsmail/A 25362-2025 tillsynsbegäran mail.docx", "A 25362-2025")</f>
        <v/>
      </c>
    </row>
    <row r="192" ht="15" customHeight="1">
      <c r="A192" t="inlineStr">
        <is>
          <t>A 32236-2025</t>
        </is>
      </c>
      <c r="B192" s="1" t="n">
        <v>45835.61137731482</v>
      </c>
      <c r="C192" s="1" t="n">
        <v>46114</v>
      </c>
      <c r="D192" t="inlineStr">
        <is>
          <t>DALARNAS LÄN</t>
        </is>
      </c>
      <c r="E192" t="inlineStr">
        <is>
          <t>RÄTTVIK</t>
        </is>
      </c>
      <c r="G192" t="n">
        <v>14.9</v>
      </c>
      <c r="H192" t="n">
        <v>5</v>
      </c>
      <c r="I192" t="n">
        <v>6</v>
      </c>
      <c r="J192" t="n">
        <v>1</v>
      </c>
      <c r="K192" t="n">
        <v>0</v>
      </c>
      <c r="L192" t="n">
        <v>0</v>
      </c>
      <c r="M192" t="n">
        <v>0</v>
      </c>
      <c r="N192" t="n">
        <v>0</v>
      </c>
      <c r="O192" t="n">
        <v>1</v>
      </c>
      <c r="P192" t="n">
        <v>0</v>
      </c>
      <c r="Q192" t="n">
        <v>10</v>
      </c>
      <c r="R192" s="2" t="inlineStr">
        <is>
          <t>Granticka
Guckusko
Korallblylav
Källpraktmossa
Mindre märgborre
Tibast
Tvåblad
Fläcknycklar
Nattviol
Blåsippa</t>
        </is>
      </c>
      <c r="S192">
        <f>HYPERLINK("https://klasma.github.io/Logging_2031/artfynd/A 32236-2025 artfynd.xlsx", "A 32236-2025")</f>
        <v/>
      </c>
      <c r="T192">
        <f>HYPERLINK("https://klasma.github.io/Logging_2031/kartor/A 32236-2025 karta.png", "A 32236-2025")</f>
        <v/>
      </c>
      <c r="V192">
        <f>HYPERLINK("https://klasma.github.io/Logging_2031/klagomål/A 32236-2025 FSC-klagomål.docx", "A 32236-2025")</f>
        <v/>
      </c>
      <c r="W192">
        <f>HYPERLINK("https://klasma.github.io/Logging_2031/klagomålsmail/A 32236-2025 FSC-klagomål mail.docx", "A 32236-2025")</f>
        <v/>
      </c>
      <c r="X192">
        <f>HYPERLINK("https://klasma.github.io/Logging_2031/tillsyn/A 32236-2025 tillsynsbegäran.docx", "A 32236-2025")</f>
        <v/>
      </c>
      <c r="Y192">
        <f>HYPERLINK("https://klasma.github.io/Logging_2031/tillsynsmail/A 32236-2025 tillsynsbegäran mail.docx", "A 32236-2025")</f>
        <v/>
      </c>
    </row>
    <row r="193" ht="15" customHeight="1">
      <c r="A193" t="inlineStr">
        <is>
          <t>A 31658-2025</t>
        </is>
      </c>
      <c r="B193" s="1" t="n">
        <v>45834.34892361111</v>
      </c>
      <c r="C193" s="1" t="n">
        <v>46114</v>
      </c>
      <c r="D193" t="inlineStr">
        <is>
          <t>DALARNAS LÄN</t>
        </is>
      </c>
      <c r="E193" t="inlineStr">
        <is>
          <t>ÄLVDALEN</t>
        </is>
      </c>
      <c r="F193" t="inlineStr">
        <is>
          <t>Allmännings- och besparingsskogar</t>
        </is>
      </c>
      <c r="G193" t="n">
        <v>0.7</v>
      </c>
      <c r="H193" t="n">
        <v>2</v>
      </c>
      <c r="I193" t="n">
        <v>1</v>
      </c>
      <c r="J193" t="n">
        <v>9</v>
      </c>
      <c r="K193" t="n">
        <v>0</v>
      </c>
      <c r="L193" t="n">
        <v>0</v>
      </c>
      <c r="M193" t="n">
        <v>0</v>
      </c>
      <c r="N193" t="n">
        <v>0</v>
      </c>
      <c r="O193" t="n">
        <v>9</v>
      </c>
      <c r="P193" t="n">
        <v>0</v>
      </c>
      <c r="Q193" t="n">
        <v>10</v>
      </c>
      <c r="R193" s="2" t="inlineStr">
        <is>
          <t>Blanksvart spiklav
Blågrå svartspik
Dvärgbägarlav
Mörk kolflarnlav
Nordtagging
Talltita
Tretåig hackspett
Vedflamlav
Vedskivlav
Vedticka</t>
        </is>
      </c>
      <c r="S193">
        <f>HYPERLINK("https://klasma.github.io/Logging_2039/artfynd/A 31658-2025 artfynd.xlsx", "A 31658-2025")</f>
        <v/>
      </c>
      <c r="T193">
        <f>HYPERLINK("https://klasma.github.io/Logging_2039/kartor/A 31658-2025 karta.png", "A 31658-2025")</f>
        <v/>
      </c>
      <c r="V193">
        <f>HYPERLINK("https://klasma.github.io/Logging_2039/klagomål/A 31658-2025 FSC-klagomål.docx", "A 31658-2025")</f>
        <v/>
      </c>
      <c r="W193">
        <f>HYPERLINK("https://klasma.github.io/Logging_2039/klagomålsmail/A 31658-2025 FSC-klagomål mail.docx", "A 31658-2025")</f>
        <v/>
      </c>
      <c r="X193">
        <f>HYPERLINK("https://klasma.github.io/Logging_2039/tillsyn/A 31658-2025 tillsynsbegäran.docx", "A 31658-2025")</f>
        <v/>
      </c>
      <c r="Y193">
        <f>HYPERLINK("https://klasma.github.io/Logging_2039/tillsynsmail/A 31658-2025 tillsynsbegäran mail.docx", "A 31658-2025")</f>
        <v/>
      </c>
      <c r="Z193">
        <f>HYPERLINK("https://klasma.github.io/Logging_2039/fåglar/A 31658-2025 prioriterade fågelarter.docx", "A 31658-2025")</f>
        <v/>
      </c>
    </row>
    <row r="194" ht="15" customHeight="1">
      <c r="A194" t="inlineStr">
        <is>
          <t>A 38582-2023</t>
        </is>
      </c>
      <c r="B194" s="1" t="n">
        <v>45162</v>
      </c>
      <c r="C194" s="1" t="n">
        <v>46114</v>
      </c>
      <c r="D194" t="inlineStr">
        <is>
          <t>DALARNAS LÄN</t>
        </is>
      </c>
      <c r="E194" t="inlineStr">
        <is>
          <t>ÄLVDALEN</t>
        </is>
      </c>
      <c r="F194" t="inlineStr">
        <is>
          <t>Sveaskog</t>
        </is>
      </c>
      <c r="G194" t="n">
        <v>4.4</v>
      </c>
      <c r="H194" t="n">
        <v>1</v>
      </c>
      <c r="I194" t="n">
        <v>3</v>
      </c>
      <c r="J194" t="n">
        <v>5</v>
      </c>
      <c r="K194" t="n">
        <v>1</v>
      </c>
      <c r="L194" t="n">
        <v>0</v>
      </c>
      <c r="M194" t="n">
        <v>0</v>
      </c>
      <c r="N194" t="n">
        <v>0</v>
      </c>
      <c r="O194" t="n">
        <v>6</v>
      </c>
      <c r="P194" t="n">
        <v>1</v>
      </c>
      <c r="Q194" t="n">
        <v>9</v>
      </c>
      <c r="R194" s="2" t="inlineStr">
        <is>
          <t>Gräddporing
Blanksvart spiklav
Blå taggsvamp
Kolflarnlav
Mörk kolflarnlav
Vedskivlav
Dropptaggsvamp
Plattlummer
Skarp dropptaggsvamp</t>
        </is>
      </c>
      <c r="S194">
        <f>HYPERLINK("https://klasma.github.io/Logging_2039/artfynd/A 38582-2023 artfynd.xlsx", "A 38582-2023")</f>
        <v/>
      </c>
      <c r="T194">
        <f>HYPERLINK("https://klasma.github.io/Logging_2039/kartor/A 38582-2023 karta.png", "A 38582-2023")</f>
        <v/>
      </c>
      <c r="V194">
        <f>HYPERLINK("https://klasma.github.io/Logging_2039/klagomål/A 38582-2023 FSC-klagomål.docx", "A 38582-2023")</f>
        <v/>
      </c>
      <c r="W194">
        <f>HYPERLINK("https://klasma.github.io/Logging_2039/klagomålsmail/A 38582-2023 FSC-klagomål mail.docx", "A 38582-2023")</f>
        <v/>
      </c>
      <c r="X194">
        <f>HYPERLINK("https://klasma.github.io/Logging_2039/tillsyn/A 38582-2023 tillsynsbegäran.docx", "A 38582-2023")</f>
        <v/>
      </c>
      <c r="Y194">
        <f>HYPERLINK("https://klasma.github.io/Logging_2039/tillsynsmail/A 38582-2023 tillsynsbegäran mail.docx", "A 38582-2023")</f>
        <v/>
      </c>
    </row>
    <row r="195" ht="15" customHeight="1">
      <c r="A195" t="inlineStr">
        <is>
          <t>A 34485-2025</t>
        </is>
      </c>
      <c r="B195" s="1" t="n">
        <v>45847</v>
      </c>
      <c r="C195" s="1" t="n">
        <v>46114</v>
      </c>
      <c r="D195" t="inlineStr">
        <is>
          <t>DALARNAS LÄN</t>
        </is>
      </c>
      <c r="E195" t="inlineStr">
        <is>
          <t>LUDVIKA</t>
        </is>
      </c>
      <c r="F195" t="inlineStr">
        <is>
          <t>Bergvik skog väst AB</t>
        </is>
      </c>
      <c r="G195" t="n">
        <v>1.5</v>
      </c>
      <c r="H195" t="n">
        <v>0</v>
      </c>
      <c r="I195" t="n">
        <v>5</v>
      </c>
      <c r="J195" t="n">
        <v>2</v>
      </c>
      <c r="K195" t="n">
        <v>2</v>
      </c>
      <c r="L195" t="n">
        <v>0</v>
      </c>
      <c r="M195" t="n">
        <v>0</v>
      </c>
      <c r="N195" t="n">
        <v>0</v>
      </c>
      <c r="O195" t="n">
        <v>4</v>
      </c>
      <c r="P195" t="n">
        <v>2</v>
      </c>
      <c r="Q195" t="n">
        <v>9</v>
      </c>
      <c r="R195" s="2" t="inlineStr">
        <is>
          <t>Aspgelélav
Honungsticka
Gränsticka
Lunglav
Bårdlav
Dvärgtufs
Korallblylav
Skinnlav
Stuplav</t>
        </is>
      </c>
      <c r="S195">
        <f>HYPERLINK("https://klasma.github.io/Logging_2085/artfynd/A 34485-2025 artfynd.xlsx", "A 34485-2025")</f>
        <v/>
      </c>
      <c r="T195">
        <f>HYPERLINK("https://klasma.github.io/Logging_2085/kartor/A 34485-2025 karta.png", "A 34485-2025")</f>
        <v/>
      </c>
      <c r="V195">
        <f>HYPERLINK("https://klasma.github.io/Logging_2085/klagomål/A 34485-2025 FSC-klagomål.docx", "A 34485-2025")</f>
        <v/>
      </c>
      <c r="W195">
        <f>HYPERLINK("https://klasma.github.io/Logging_2085/klagomålsmail/A 34485-2025 FSC-klagomål mail.docx", "A 34485-2025")</f>
        <v/>
      </c>
      <c r="X195">
        <f>HYPERLINK("https://klasma.github.io/Logging_2085/tillsyn/A 34485-2025 tillsynsbegäran.docx", "A 34485-2025")</f>
        <v/>
      </c>
      <c r="Y195">
        <f>HYPERLINK("https://klasma.github.io/Logging_2085/tillsynsmail/A 34485-2025 tillsynsbegäran mail.docx", "A 34485-2025")</f>
        <v/>
      </c>
    </row>
    <row r="196" ht="15" customHeight="1">
      <c r="A196" t="inlineStr">
        <is>
          <t>A 41913-2022</t>
        </is>
      </c>
      <c r="B196" s="1" t="n">
        <v>44830</v>
      </c>
      <c r="C196" s="1" t="n">
        <v>46114</v>
      </c>
      <c r="D196" t="inlineStr">
        <is>
          <t>DALARNAS LÄN</t>
        </is>
      </c>
      <c r="E196" t="inlineStr">
        <is>
          <t>ÄLVDALEN</t>
        </is>
      </c>
      <c r="F196" t="inlineStr">
        <is>
          <t>Sveaskog</t>
        </is>
      </c>
      <c r="G196" t="n">
        <v>5.6</v>
      </c>
      <c r="H196" t="n">
        <v>1</v>
      </c>
      <c r="I196" t="n">
        <v>1</v>
      </c>
      <c r="J196" t="n">
        <v>6</v>
      </c>
      <c r="K196" t="n">
        <v>2</v>
      </c>
      <c r="L196" t="n">
        <v>0</v>
      </c>
      <c r="M196" t="n">
        <v>0</v>
      </c>
      <c r="N196" t="n">
        <v>0</v>
      </c>
      <c r="O196" t="n">
        <v>8</v>
      </c>
      <c r="P196" t="n">
        <v>2</v>
      </c>
      <c r="Q196" t="n">
        <v>9</v>
      </c>
      <c r="R196" s="2" t="inlineStr">
        <is>
          <t>Fläckporing
Tajgataggsvamp
Blanksvart spiklav
Orange taggsvamp
Tretåig hackspett
Vaddporing
Vedflamlav
Vedskivlav
Dropptaggsvamp</t>
        </is>
      </c>
      <c r="S196">
        <f>HYPERLINK("https://klasma.github.io/Logging_2039/artfynd/A 41913-2022 artfynd.xlsx", "A 41913-2022")</f>
        <v/>
      </c>
      <c r="T196">
        <f>HYPERLINK("https://klasma.github.io/Logging_2039/kartor/A 41913-2022 karta.png", "A 41913-2022")</f>
        <v/>
      </c>
      <c r="V196">
        <f>HYPERLINK("https://klasma.github.io/Logging_2039/klagomål/A 41913-2022 FSC-klagomål.docx", "A 41913-2022")</f>
        <v/>
      </c>
      <c r="W196">
        <f>HYPERLINK("https://klasma.github.io/Logging_2039/klagomålsmail/A 41913-2022 FSC-klagomål mail.docx", "A 41913-2022")</f>
        <v/>
      </c>
      <c r="X196">
        <f>HYPERLINK("https://klasma.github.io/Logging_2039/tillsyn/A 41913-2022 tillsynsbegäran.docx", "A 41913-2022")</f>
        <v/>
      </c>
      <c r="Y196">
        <f>HYPERLINK("https://klasma.github.io/Logging_2039/tillsynsmail/A 41913-2022 tillsynsbegäran mail.docx", "A 41913-2022")</f>
        <v/>
      </c>
      <c r="Z196">
        <f>HYPERLINK("https://klasma.github.io/Logging_2039/fåglar/A 41913-2022 prioriterade fågelarter.docx", "A 41913-2022")</f>
        <v/>
      </c>
    </row>
    <row r="197" ht="15" customHeight="1">
      <c r="A197" t="inlineStr">
        <is>
          <t>A 42011-2025</t>
        </is>
      </c>
      <c r="B197" s="1" t="n">
        <v>45903.56965277778</v>
      </c>
      <c r="C197" s="1" t="n">
        <v>46114</v>
      </c>
      <c r="D197" t="inlineStr">
        <is>
          <t>DALARNAS LÄN</t>
        </is>
      </c>
      <c r="E197" t="inlineStr">
        <is>
          <t>MALUNG-SÄLEN</t>
        </is>
      </c>
      <c r="F197" t="inlineStr">
        <is>
          <t>Allmännings- och besparingsskogar</t>
        </is>
      </c>
      <c r="G197" t="n">
        <v>58.3</v>
      </c>
      <c r="H197" t="n">
        <v>1</v>
      </c>
      <c r="I197" t="n">
        <v>0</v>
      </c>
      <c r="J197" t="n">
        <v>8</v>
      </c>
      <c r="K197" t="n">
        <v>1</v>
      </c>
      <c r="L197" t="n">
        <v>0</v>
      </c>
      <c r="M197" t="n">
        <v>0</v>
      </c>
      <c r="N197" t="n">
        <v>0</v>
      </c>
      <c r="O197" t="n">
        <v>9</v>
      </c>
      <c r="P197" t="n">
        <v>1</v>
      </c>
      <c r="Q197" t="n">
        <v>9</v>
      </c>
      <c r="R197" s="2" t="inlineStr">
        <is>
          <t>Gräddporing
Dvärgbägarlav
Garnlav
Kolflarnlav
Kortskaftad ärgspik
Mörk kolflarnlav
Tretåig hackspett
Vedflamlav
Vedskivlav</t>
        </is>
      </c>
      <c r="S197">
        <f>HYPERLINK("https://klasma.github.io/Logging_2023/artfynd/A 42011-2025 artfynd.xlsx", "A 42011-2025")</f>
        <v/>
      </c>
      <c r="T197">
        <f>HYPERLINK("https://klasma.github.io/Logging_2023/kartor/A 42011-2025 karta.png", "A 42011-2025")</f>
        <v/>
      </c>
      <c r="V197">
        <f>HYPERLINK("https://klasma.github.io/Logging_2023/klagomål/A 42011-2025 FSC-klagomål.docx", "A 42011-2025")</f>
        <v/>
      </c>
      <c r="W197">
        <f>HYPERLINK("https://klasma.github.io/Logging_2023/klagomålsmail/A 42011-2025 FSC-klagomål mail.docx", "A 42011-2025")</f>
        <v/>
      </c>
      <c r="X197">
        <f>HYPERLINK("https://klasma.github.io/Logging_2023/tillsyn/A 42011-2025 tillsynsbegäran.docx", "A 42011-2025")</f>
        <v/>
      </c>
      <c r="Y197">
        <f>HYPERLINK("https://klasma.github.io/Logging_2023/tillsynsmail/A 42011-2025 tillsynsbegäran mail.docx", "A 42011-2025")</f>
        <v/>
      </c>
      <c r="Z197">
        <f>HYPERLINK("https://klasma.github.io/Logging_2023/fåglar/A 42011-2025 prioriterade fågelarter.docx", "A 42011-2025")</f>
        <v/>
      </c>
    </row>
    <row r="198" ht="15" customHeight="1">
      <c r="A198" t="inlineStr">
        <is>
          <t>A 41753-2025</t>
        </is>
      </c>
      <c r="B198" s="1" t="n">
        <v>45902.49891203704</v>
      </c>
      <c r="C198" s="1" t="n">
        <v>46114</v>
      </c>
      <c r="D198" t="inlineStr">
        <is>
          <t>DALARNAS LÄN</t>
        </is>
      </c>
      <c r="E198" t="inlineStr">
        <is>
          <t>ÄLVDALEN</t>
        </is>
      </c>
      <c r="F198" t="inlineStr">
        <is>
          <t>Sveaskog</t>
        </is>
      </c>
      <c r="G198" t="n">
        <v>6.2</v>
      </c>
      <c r="H198" t="n">
        <v>1</v>
      </c>
      <c r="I198" t="n">
        <v>1</v>
      </c>
      <c r="J198" t="n">
        <v>7</v>
      </c>
      <c r="K198" t="n">
        <v>1</v>
      </c>
      <c r="L198" t="n">
        <v>0</v>
      </c>
      <c r="M198" t="n">
        <v>0</v>
      </c>
      <c r="N198" t="n">
        <v>0</v>
      </c>
      <c r="O198" t="n">
        <v>8</v>
      </c>
      <c r="P198" t="n">
        <v>1</v>
      </c>
      <c r="Q198" t="n">
        <v>9</v>
      </c>
      <c r="R198" s="2" t="inlineStr">
        <is>
          <t>Fläckporing
Blå taggsvamp
Dvärgbägarlav
Kolflarnlav
Orange taggsvamp
Talltaggsvamp
Varglav
Vedflamlav
Dropptaggsvamp</t>
        </is>
      </c>
      <c r="S198">
        <f>HYPERLINK("https://klasma.github.io/Logging_2039/artfynd/A 41753-2025 artfynd.xlsx", "A 41753-2025")</f>
        <v/>
      </c>
      <c r="T198">
        <f>HYPERLINK("https://klasma.github.io/Logging_2039/kartor/A 41753-2025 karta.png", "A 41753-2025")</f>
        <v/>
      </c>
      <c r="V198">
        <f>HYPERLINK("https://klasma.github.io/Logging_2039/klagomål/A 41753-2025 FSC-klagomål.docx", "A 41753-2025")</f>
        <v/>
      </c>
      <c r="W198">
        <f>HYPERLINK("https://klasma.github.io/Logging_2039/klagomålsmail/A 41753-2025 FSC-klagomål mail.docx", "A 41753-2025")</f>
        <v/>
      </c>
      <c r="X198">
        <f>HYPERLINK("https://klasma.github.io/Logging_2039/tillsyn/A 41753-2025 tillsynsbegäran.docx", "A 41753-2025")</f>
        <v/>
      </c>
      <c r="Y198">
        <f>HYPERLINK("https://klasma.github.io/Logging_2039/tillsynsmail/A 41753-2025 tillsynsbegäran mail.docx", "A 41753-2025")</f>
        <v/>
      </c>
    </row>
    <row r="199" ht="15" customHeight="1">
      <c r="A199" t="inlineStr">
        <is>
          <t>A 38724-2025</t>
        </is>
      </c>
      <c r="B199" s="1" t="n">
        <v>45887.29802083333</v>
      </c>
      <c r="C199" s="1" t="n">
        <v>46114</v>
      </c>
      <c r="D199" t="inlineStr">
        <is>
          <t>DALARNAS LÄN</t>
        </is>
      </c>
      <c r="E199" t="inlineStr">
        <is>
          <t>HEDEMORA</t>
        </is>
      </c>
      <c r="G199" t="n">
        <v>5</v>
      </c>
      <c r="H199" t="n">
        <v>0</v>
      </c>
      <c r="I199" t="n">
        <v>6</v>
      </c>
      <c r="J199" t="n">
        <v>2</v>
      </c>
      <c r="K199" t="n">
        <v>1</v>
      </c>
      <c r="L199" t="n">
        <v>0</v>
      </c>
      <c r="M199" t="n">
        <v>0</v>
      </c>
      <c r="N199" t="n">
        <v>0</v>
      </c>
      <c r="O199" t="n">
        <v>3</v>
      </c>
      <c r="P199" t="n">
        <v>1</v>
      </c>
      <c r="Q199" t="n">
        <v>9</v>
      </c>
      <c r="R199" s="2" t="inlineStr">
        <is>
          <t>Läderdoftande fingersvamp
Gul taggsvamp
Odörspindling
Diskvaxskivling
Fjällig taggsvamp s.str.
Olivspindling
Skarp dropptaggsvamp
Strimspindling
Svavelriska</t>
        </is>
      </c>
      <c r="S199">
        <f>HYPERLINK("https://klasma.github.io/Logging_2083/artfynd/A 38724-2025 artfynd.xlsx", "A 38724-2025")</f>
        <v/>
      </c>
      <c r="T199">
        <f>HYPERLINK("https://klasma.github.io/Logging_2083/kartor/A 38724-2025 karta.png", "A 38724-2025")</f>
        <v/>
      </c>
      <c r="V199">
        <f>HYPERLINK("https://klasma.github.io/Logging_2083/klagomål/A 38724-2025 FSC-klagomål.docx", "A 38724-2025")</f>
        <v/>
      </c>
      <c r="W199">
        <f>HYPERLINK("https://klasma.github.io/Logging_2083/klagomålsmail/A 38724-2025 FSC-klagomål mail.docx", "A 38724-2025")</f>
        <v/>
      </c>
      <c r="X199">
        <f>HYPERLINK("https://klasma.github.io/Logging_2083/tillsyn/A 38724-2025 tillsynsbegäran.docx", "A 38724-2025")</f>
        <v/>
      </c>
      <c r="Y199">
        <f>HYPERLINK("https://klasma.github.io/Logging_2083/tillsynsmail/A 38724-2025 tillsynsbegäran mail.docx", "A 38724-2025")</f>
        <v/>
      </c>
    </row>
    <row r="200" ht="15" customHeight="1">
      <c r="A200" t="inlineStr">
        <is>
          <t>A 40313-2025</t>
        </is>
      </c>
      <c r="B200" s="1" t="n">
        <v>45895.42209490741</v>
      </c>
      <c r="C200" s="1" t="n">
        <v>46114</v>
      </c>
      <c r="D200" t="inlineStr">
        <is>
          <t>DALARNAS LÄN</t>
        </is>
      </c>
      <c r="E200" t="inlineStr">
        <is>
          <t>MORA</t>
        </is>
      </c>
      <c r="G200" t="n">
        <v>16</v>
      </c>
      <c r="H200" t="n">
        <v>3</v>
      </c>
      <c r="I200" t="n">
        <v>3</v>
      </c>
      <c r="J200" t="n">
        <v>5</v>
      </c>
      <c r="K200" t="n">
        <v>0</v>
      </c>
      <c r="L200" t="n">
        <v>0</v>
      </c>
      <c r="M200" t="n">
        <v>0</v>
      </c>
      <c r="N200" t="n">
        <v>0</v>
      </c>
      <c r="O200" t="n">
        <v>5</v>
      </c>
      <c r="P200" t="n">
        <v>0</v>
      </c>
      <c r="Q200" t="n">
        <v>9</v>
      </c>
      <c r="R200" s="2" t="inlineStr">
        <is>
          <t>Garnlav
Mörk kolflarnlav
Spillkråka
Tallticka
Tretåig hackspett
Bollvitmossa
Dropptaggsvamp
Mindre märgborre
Tjäder</t>
        </is>
      </c>
      <c r="S200">
        <f>HYPERLINK("https://klasma.github.io/Logging_2062/artfynd/A 40313-2025 artfynd.xlsx", "A 40313-2025")</f>
        <v/>
      </c>
      <c r="T200">
        <f>HYPERLINK("https://klasma.github.io/Logging_2062/kartor/A 40313-2025 karta.png", "A 40313-2025")</f>
        <v/>
      </c>
      <c r="V200">
        <f>HYPERLINK("https://klasma.github.io/Logging_2062/klagomål/A 40313-2025 FSC-klagomål.docx", "A 40313-2025")</f>
        <v/>
      </c>
      <c r="W200">
        <f>HYPERLINK("https://klasma.github.io/Logging_2062/klagomålsmail/A 40313-2025 FSC-klagomål mail.docx", "A 40313-2025")</f>
        <v/>
      </c>
      <c r="X200">
        <f>HYPERLINK("https://klasma.github.io/Logging_2062/tillsyn/A 40313-2025 tillsynsbegäran.docx", "A 40313-2025")</f>
        <v/>
      </c>
      <c r="Y200">
        <f>HYPERLINK("https://klasma.github.io/Logging_2062/tillsynsmail/A 40313-2025 tillsynsbegäran mail.docx", "A 40313-2025")</f>
        <v/>
      </c>
      <c r="Z200">
        <f>HYPERLINK("https://klasma.github.io/Logging_2062/fåglar/A 40313-2025 prioriterade fågelarter.docx", "A 40313-2025")</f>
        <v/>
      </c>
    </row>
    <row r="201" ht="15" customHeight="1">
      <c r="A201" t="inlineStr">
        <is>
          <t>A 61943-2024</t>
        </is>
      </c>
      <c r="B201" s="1" t="n">
        <v>45653.49774305556</v>
      </c>
      <c r="C201" s="1" t="n">
        <v>46114</v>
      </c>
      <c r="D201" t="inlineStr">
        <is>
          <t>DALARNAS LÄN</t>
        </is>
      </c>
      <c r="E201" t="inlineStr">
        <is>
          <t>MORA</t>
        </is>
      </c>
      <c r="G201" t="n">
        <v>4.3</v>
      </c>
      <c r="H201" t="n">
        <v>2</v>
      </c>
      <c r="I201" t="n">
        <v>1</v>
      </c>
      <c r="J201" t="n">
        <v>7</v>
      </c>
      <c r="K201" t="n">
        <v>0</v>
      </c>
      <c r="L201" t="n">
        <v>0</v>
      </c>
      <c r="M201" t="n">
        <v>0</v>
      </c>
      <c r="N201" t="n">
        <v>0</v>
      </c>
      <c r="O201" t="n">
        <v>7</v>
      </c>
      <c r="P201" t="n">
        <v>0</v>
      </c>
      <c r="Q201" t="n">
        <v>9</v>
      </c>
      <c r="R201" s="2" t="inlineStr">
        <is>
          <t>Dvärgbägarlav
Garnlav
Mörk kolflarnlav
Spillkråka
Vedskivlav
Violettgrå tagellav
Vitgrynig nållav
Mindre märgborre
Tjäder</t>
        </is>
      </c>
      <c r="S201">
        <f>HYPERLINK("https://klasma.github.io/Logging_2062/artfynd/A 61943-2024 artfynd.xlsx", "A 61943-2024")</f>
        <v/>
      </c>
      <c r="T201">
        <f>HYPERLINK("https://klasma.github.io/Logging_2062/kartor/A 61943-2024 karta.png", "A 61943-2024")</f>
        <v/>
      </c>
      <c r="V201">
        <f>HYPERLINK("https://klasma.github.io/Logging_2062/klagomål/A 61943-2024 FSC-klagomål.docx", "A 61943-2024")</f>
        <v/>
      </c>
      <c r="W201">
        <f>HYPERLINK("https://klasma.github.io/Logging_2062/klagomålsmail/A 61943-2024 FSC-klagomål mail.docx", "A 61943-2024")</f>
        <v/>
      </c>
      <c r="X201">
        <f>HYPERLINK("https://klasma.github.io/Logging_2062/tillsyn/A 61943-2024 tillsynsbegäran.docx", "A 61943-2024")</f>
        <v/>
      </c>
      <c r="Y201">
        <f>HYPERLINK("https://klasma.github.io/Logging_2062/tillsynsmail/A 61943-2024 tillsynsbegäran mail.docx", "A 61943-2024")</f>
        <v/>
      </c>
      <c r="Z201">
        <f>HYPERLINK("https://klasma.github.io/Logging_2062/fåglar/A 61943-2024 prioriterade fågelarter.docx", "A 61943-2024")</f>
        <v/>
      </c>
    </row>
    <row r="202" ht="15" customHeight="1">
      <c r="A202" t="inlineStr">
        <is>
          <t>A 57661-2025</t>
        </is>
      </c>
      <c r="B202" s="1" t="n">
        <v>45981.41530092592</v>
      </c>
      <c r="C202" s="1" t="n">
        <v>46114</v>
      </c>
      <c r="D202" t="inlineStr">
        <is>
          <t>DALARNAS LÄN</t>
        </is>
      </c>
      <c r="E202" t="inlineStr">
        <is>
          <t>MORA</t>
        </is>
      </c>
      <c r="G202" t="n">
        <v>6.3</v>
      </c>
      <c r="H202" t="n">
        <v>0</v>
      </c>
      <c r="I202" t="n">
        <v>3</v>
      </c>
      <c r="J202" t="n">
        <v>6</v>
      </c>
      <c r="K202" t="n">
        <v>0</v>
      </c>
      <c r="L202" t="n">
        <v>0</v>
      </c>
      <c r="M202" t="n">
        <v>0</v>
      </c>
      <c r="N202" t="n">
        <v>0</v>
      </c>
      <c r="O202" t="n">
        <v>6</v>
      </c>
      <c r="P202" t="n">
        <v>0</v>
      </c>
      <c r="Q202" t="n">
        <v>9</v>
      </c>
      <c r="R202" s="2" t="inlineStr">
        <is>
          <t>Dvärgbägarlav
Garnlav
Tallticka
Vedskivlav
Vedtrappmossa
Vitgrynig nållav
Bronshjon
Mindre märgborre
Skarp dropptaggsvamp</t>
        </is>
      </c>
      <c r="S202">
        <f>HYPERLINK("https://klasma.github.io/Logging_2062/artfynd/A 57661-2025 artfynd.xlsx", "A 57661-2025")</f>
        <v/>
      </c>
      <c r="T202">
        <f>HYPERLINK("https://klasma.github.io/Logging_2062/kartor/A 57661-2025 karta.png", "A 57661-2025")</f>
        <v/>
      </c>
      <c r="V202">
        <f>HYPERLINK("https://klasma.github.io/Logging_2062/klagomål/A 57661-2025 FSC-klagomål.docx", "A 57661-2025")</f>
        <v/>
      </c>
      <c r="W202">
        <f>HYPERLINK("https://klasma.github.io/Logging_2062/klagomålsmail/A 57661-2025 FSC-klagomål mail.docx", "A 57661-2025")</f>
        <v/>
      </c>
      <c r="X202">
        <f>HYPERLINK("https://klasma.github.io/Logging_2062/tillsyn/A 57661-2025 tillsynsbegäran.docx", "A 57661-2025")</f>
        <v/>
      </c>
      <c r="Y202">
        <f>HYPERLINK("https://klasma.github.io/Logging_2062/tillsynsmail/A 57661-2025 tillsynsbegäran mail.docx", "A 57661-2025")</f>
        <v/>
      </c>
    </row>
    <row r="203" ht="15" customHeight="1">
      <c r="A203" t="inlineStr">
        <is>
          <t>A 21041-2023</t>
        </is>
      </c>
      <c r="B203" s="1" t="n">
        <v>45061.58952546296</v>
      </c>
      <c r="C203" s="1" t="n">
        <v>46114</v>
      </c>
      <c r="D203" t="inlineStr">
        <is>
          <t>DALARNAS LÄN</t>
        </is>
      </c>
      <c r="E203" t="inlineStr">
        <is>
          <t>MORA</t>
        </is>
      </c>
      <c r="F203" t="inlineStr">
        <is>
          <t>Bergvik skog öst AB</t>
        </is>
      </c>
      <c r="G203" t="n">
        <v>9.9</v>
      </c>
      <c r="H203" t="n">
        <v>0</v>
      </c>
      <c r="I203" t="n">
        <v>1</v>
      </c>
      <c r="J203" t="n">
        <v>8</v>
      </c>
      <c r="K203" t="n">
        <v>0</v>
      </c>
      <c r="L203" t="n">
        <v>0</v>
      </c>
      <c r="M203" t="n">
        <v>0</v>
      </c>
      <c r="N203" t="n">
        <v>0</v>
      </c>
      <c r="O203" t="n">
        <v>8</v>
      </c>
      <c r="P203" t="n">
        <v>0</v>
      </c>
      <c r="Q203" t="n">
        <v>9</v>
      </c>
      <c r="R203" s="2" t="inlineStr">
        <is>
          <t>Dvärgbägarlav
Garnlav
Kolflarnlav
Kortskaftad ärgspik
Mörk kolflarnlav
Vedflamlav
Vedskivlav
Violettgrå tagellav
Mindre märgborre</t>
        </is>
      </c>
      <c r="S203">
        <f>HYPERLINK("https://klasma.github.io/Logging_2062/artfynd/A 21041-2023 artfynd.xlsx", "A 21041-2023")</f>
        <v/>
      </c>
      <c r="T203">
        <f>HYPERLINK("https://klasma.github.io/Logging_2062/kartor/A 21041-2023 karta.png", "A 21041-2023")</f>
        <v/>
      </c>
      <c r="V203">
        <f>HYPERLINK("https://klasma.github.io/Logging_2062/klagomål/A 21041-2023 FSC-klagomål.docx", "A 21041-2023")</f>
        <v/>
      </c>
      <c r="W203">
        <f>HYPERLINK("https://klasma.github.io/Logging_2062/klagomålsmail/A 21041-2023 FSC-klagomål mail.docx", "A 21041-2023")</f>
        <v/>
      </c>
      <c r="X203">
        <f>HYPERLINK("https://klasma.github.io/Logging_2062/tillsyn/A 21041-2023 tillsynsbegäran.docx", "A 21041-2023")</f>
        <v/>
      </c>
      <c r="Y203">
        <f>HYPERLINK("https://klasma.github.io/Logging_2062/tillsynsmail/A 21041-2023 tillsynsbegäran mail.docx", "A 21041-2023")</f>
        <v/>
      </c>
    </row>
    <row r="204" ht="15" customHeight="1">
      <c r="A204" t="inlineStr">
        <is>
          <t>A 47938-2025</t>
        </is>
      </c>
      <c r="B204" s="1" t="n">
        <v>45932</v>
      </c>
      <c r="C204" s="1" t="n">
        <v>46114</v>
      </c>
      <c r="D204" t="inlineStr">
        <is>
          <t>DALARNAS LÄN</t>
        </is>
      </c>
      <c r="E204" t="inlineStr">
        <is>
          <t>MALUNG-SÄLEN</t>
        </is>
      </c>
      <c r="G204" t="n">
        <v>24.3</v>
      </c>
      <c r="H204" t="n">
        <v>1</v>
      </c>
      <c r="I204" t="n">
        <v>0</v>
      </c>
      <c r="J204" t="n">
        <v>8</v>
      </c>
      <c r="K204" t="n">
        <v>1</v>
      </c>
      <c r="L204" t="n">
        <v>0</v>
      </c>
      <c r="M204" t="n">
        <v>0</v>
      </c>
      <c r="N204" t="n">
        <v>0</v>
      </c>
      <c r="O204" t="n">
        <v>9</v>
      </c>
      <c r="P204" t="n">
        <v>1</v>
      </c>
      <c r="Q204" t="n">
        <v>9</v>
      </c>
      <c r="R204" s="2" t="inlineStr">
        <is>
          <t>Rynkskinn
Garnlav
Granticka
Kolflarnlav
Tallticka
Tretåig hackspett
Ullticka
Vedflamlav
Vedskivlav</t>
        </is>
      </c>
      <c r="S204">
        <f>HYPERLINK("https://klasma.github.io/Logging_2023/artfynd/A 47938-2025 artfynd.xlsx", "A 47938-2025")</f>
        <v/>
      </c>
      <c r="T204">
        <f>HYPERLINK("https://klasma.github.io/Logging_2023/kartor/A 47938-2025 karta.png", "A 47938-2025")</f>
        <v/>
      </c>
      <c r="V204">
        <f>HYPERLINK("https://klasma.github.io/Logging_2023/klagomål/A 47938-2025 FSC-klagomål.docx", "A 47938-2025")</f>
        <v/>
      </c>
      <c r="W204">
        <f>HYPERLINK("https://klasma.github.io/Logging_2023/klagomålsmail/A 47938-2025 FSC-klagomål mail.docx", "A 47938-2025")</f>
        <v/>
      </c>
      <c r="X204">
        <f>HYPERLINK("https://klasma.github.io/Logging_2023/tillsyn/A 47938-2025 tillsynsbegäran.docx", "A 47938-2025")</f>
        <v/>
      </c>
      <c r="Y204">
        <f>HYPERLINK("https://klasma.github.io/Logging_2023/tillsynsmail/A 47938-2025 tillsynsbegäran mail.docx", "A 47938-2025")</f>
        <v/>
      </c>
      <c r="Z204">
        <f>HYPERLINK("https://klasma.github.io/Logging_2023/fåglar/A 47938-2025 prioriterade fågelarter.docx", "A 47938-2025")</f>
        <v/>
      </c>
    </row>
    <row r="205" ht="15" customHeight="1">
      <c r="A205" t="inlineStr">
        <is>
          <t>A 35486-2025</t>
        </is>
      </c>
      <c r="B205" s="1" t="n">
        <v>45855</v>
      </c>
      <c r="C205" s="1" t="n">
        <v>46114</v>
      </c>
      <c r="D205" t="inlineStr">
        <is>
          <t>DALARNAS LÄN</t>
        </is>
      </c>
      <c r="E205" t="inlineStr">
        <is>
          <t>MORA</t>
        </is>
      </c>
      <c r="F205" t="inlineStr">
        <is>
          <t>Allmännings- och besparingsskogar</t>
        </is>
      </c>
      <c r="G205" t="n">
        <v>3.9</v>
      </c>
      <c r="H205" t="n">
        <v>3</v>
      </c>
      <c r="I205" t="n">
        <v>2</v>
      </c>
      <c r="J205" t="n">
        <v>7</v>
      </c>
      <c r="K205" t="n">
        <v>0</v>
      </c>
      <c r="L205" t="n">
        <v>0</v>
      </c>
      <c r="M205" t="n">
        <v>0</v>
      </c>
      <c r="N205" t="n">
        <v>0</v>
      </c>
      <c r="O205" t="n">
        <v>7</v>
      </c>
      <c r="P205" t="n">
        <v>0</v>
      </c>
      <c r="Q205" t="n">
        <v>9</v>
      </c>
      <c r="R205" s="2" t="inlineStr">
        <is>
          <t>Dvärgbägarlav
Garnlav
Spillkråka
Talltita
Tretåig hackspett
Ullticka
Vedskivlav
Dropptaggsvamp
Mindre märgborre</t>
        </is>
      </c>
      <c r="S205">
        <f>HYPERLINK("https://klasma.github.io/Logging_2062/artfynd/A 35486-2025 artfynd.xlsx", "A 35486-2025")</f>
        <v/>
      </c>
      <c r="T205">
        <f>HYPERLINK("https://klasma.github.io/Logging_2062/kartor/A 35486-2025 karta.png", "A 35486-2025")</f>
        <v/>
      </c>
      <c r="V205">
        <f>HYPERLINK("https://klasma.github.io/Logging_2062/klagomål/A 35486-2025 FSC-klagomål.docx", "A 35486-2025")</f>
        <v/>
      </c>
      <c r="W205">
        <f>HYPERLINK("https://klasma.github.io/Logging_2062/klagomålsmail/A 35486-2025 FSC-klagomål mail.docx", "A 35486-2025")</f>
        <v/>
      </c>
      <c r="X205">
        <f>HYPERLINK("https://klasma.github.io/Logging_2062/tillsyn/A 35486-2025 tillsynsbegäran.docx", "A 35486-2025")</f>
        <v/>
      </c>
      <c r="Y205">
        <f>HYPERLINK("https://klasma.github.io/Logging_2062/tillsynsmail/A 35486-2025 tillsynsbegäran mail.docx", "A 35486-2025")</f>
        <v/>
      </c>
      <c r="Z205">
        <f>HYPERLINK("https://klasma.github.io/Logging_2062/fåglar/A 35486-2025 prioriterade fågelarter.docx", "A 35486-2025")</f>
        <v/>
      </c>
    </row>
    <row r="206" ht="15" customHeight="1">
      <c r="A206" t="inlineStr">
        <is>
          <t>A 22685-2025</t>
        </is>
      </c>
      <c r="B206" s="1" t="n">
        <v>45786</v>
      </c>
      <c r="C206" s="1" t="n">
        <v>46114</v>
      </c>
      <c r="D206" t="inlineStr">
        <is>
          <t>DALARNAS LÄN</t>
        </is>
      </c>
      <c r="E206" t="inlineStr">
        <is>
          <t>LUDVIKA</t>
        </is>
      </c>
      <c r="G206" t="n">
        <v>2.9</v>
      </c>
      <c r="H206" t="n">
        <v>9</v>
      </c>
      <c r="I206" t="n">
        <v>0</v>
      </c>
      <c r="J206" t="n">
        <v>5</v>
      </c>
      <c r="K206" t="n">
        <v>0</v>
      </c>
      <c r="L206" t="n">
        <v>1</v>
      </c>
      <c r="M206" t="n">
        <v>0</v>
      </c>
      <c r="N206" t="n">
        <v>0</v>
      </c>
      <c r="O206" t="n">
        <v>6</v>
      </c>
      <c r="P206" t="n">
        <v>1</v>
      </c>
      <c r="Q206" t="n">
        <v>9</v>
      </c>
      <c r="R206" s="2" t="inlineStr">
        <is>
          <t>Tornseglare
Brunlångöra
Entita
Nordfladdermus
Spillkråka
Talltita
Gråskimlig fladdermus
Tajgafladdermus
Vattenfladdermus</t>
        </is>
      </c>
      <c r="S206">
        <f>HYPERLINK("https://klasma.github.io/Logging_2085/artfynd/A 22685-2025 artfynd.xlsx", "A 22685-2025")</f>
        <v/>
      </c>
      <c r="T206">
        <f>HYPERLINK("https://klasma.github.io/Logging_2085/kartor/A 22685-2025 karta.png", "A 22685-2025")</f>
        <v/>
      </c>
      <c r="V206">
        <f>HYPERLINK("https://klasma.github.io/Logging_2085/klagomål/A 22685-2025 FSC-klagomål.docx", "A 22685-2025")</f>
        <v/>
      </c>
      <c r="W206">
        <f>HYPERLINK("https://klasma.github.io/Logging_2085/klagomålsmail/A 22685-2025 FSC-klagomål mail.docx", "A 22685-2025")</f>
        <v/>
      </c>
      <c r="X206">
        <f>HYPERLINK("https://klasma.github.io/Logging_2085/tillsyn/A 22685-2025 tillsynsbegäran.docx", "A 22685-2025")</f>
        <v/>
      </c>
      <c r="Y206">
        <f>HYPERLINK("https://klasma.github.io/Logging_2085/tillsynsmail/A 22685-2025 tillsynsbegäran mail.docx", "A 22685-2025")</f>
        <v/>
      </c>
      <c r="Z206">
        <f>HYPERLINK("https://klasma.github.io/Logging_2085/fåglar/A 22685-2025 prioriterade fågelarter.docx", "A 22685-2025")</f>
        <v/>
      </c>
    </row>
    <row r="207" ht="15" customHeight="1">
      <c r="A207" t="inlineStr">
        <is>
          <t>A 62040-2021</t>
        </is>
      </c>
      <c r="B207" s="1" t="n">
        <v>44502</v>
      </c>
      <c r="C207" s="1" t="n">
        <v>46114</v>
      </c>
      <c r="D207" t="inlineStr">
        <is>
          <t>DALARNAS LÄN</t>
        </is>
      </c>
      <c r="E207" t="inlineStr">
        <is>
          <t>HEDEMORA</t>
        </is>
      </c>
      <c r="G207" t="n">
        <v>1.6</v>
      </c>
      <c r="H207" t="n">
        <v>2</v>
      </c>
      <c r="I207" t="n">
        <v>3</v>
      </c>
      <c r="J207" t="n">
        <v>5</v>
      </c>
      <c r="K207" t="n">
        <v>1</v>
      </c>
      <c r="L207" t="n">
        <v>0</v>
      </c>
      <c r="M207" t="n">
        <v>0</v>
      </c>
      <c r="N207" t="n">
        <v>0</v>
      </c>
      <c r="O207" t="n">
        <v>6</v>
      </c>
      <c r="P207" t="n">
        <v>1</v>
      </c>
      <c r="Q207" t="n">
        <v>9</v>
      </c>
      <c r="R207" s="2" t="inlineStr">
        <is>
          <t>Knärot
Blågrå svartspik
Gropticka
Kortskaftad ärgspik
Tretåig hackspett
Ullticka
Bronshjon
Vedticka
Vågbandad barkbock</t>
        </is>
      </c>
      <c r="S207">
        <f>HYPERLINK("https://klasma.github.io/Logging_2083/artfynd/A 62040-2021 artfynd.xlsx", "A 62040-2021")</f>
        <v/>
      </c>
      <c r="T207">
        <f>HYPERLINK("https://klasma.github.io/Logging_2083/kartor/A 62040-2021 karta.png", "A 62040-2021")</f>
        <v/>
      </c>
      <c r="U207">
        <f>HYPERLINK("https://klasma.github.io/Logging_2083/knärot/A 62040-2021 karta knärot.png", "A 62040-2021")</f>
        <v/>
      </c>
      <c r="V207">
        <f>HYPERLINK("https://klasma.github.io/Logging_2083/klagomål/A 62040-2021 FSC-klagomål.docx", "A 62040-2021")</f>
        <v/>
      </c>
      <c r="W207">
        <f>HYPERLINK("https://klasma.github.io/Logging_2083/klagomålsmail/A 62040-2021 FSC-klagomål mail.docx", "A 62040-2021")</f>
        <v/>
      </c>
      <c r="X207">
        <f>HYPERLINK("https://klasma.github.io/Logging_2083/tillsyn/A 62040-2021 tillsynsbegäran.docx", "A 62040-2021")</f>
        <v/>
      </c>
      <c r="Y207">
        <f>HYPERLINK("https://klasma.github.io/Logging_2083/tillsynsmail/A 62040-2021 tillsynsbegäran mail.docx", "A 62040-2021")</f>
        <v/>
      </c>
      <c r="Z207">
        <f>HYPERLINK("https://klasma.github.io/Logging_2083/fåglar/A 62040-2021 prioriterade fågelarter.docx", "A 62040-2021")</f>
        <v/>
      </c>
    </row>
    <row r="208" ht="15" customHeight="1">
      <c r="A208" t="inlineStr">
        <is>
          <t>A 53820-2025</t>
        </is>
      </c>
      <c r="B208" s="1" t="n">
        <v>45961.32736111111</v>
      </c>
      <c r="C208" s="1" t="n">
        <v>46114</v>
      </c>
      <c r="D208" t="inlineStr">
        <is>
          <t>DALARNAS LÄN</t>
        </is>
      </c>
      <c r="E208" t="inlineStr">
        <is>
          <t>HEDEMORA</t>
        </is>
      </c>
      <c r="G208" t="n">
        <v>10</v>
      </c>
      <c r="H208" t="n">
        <v>4</v>
      </c>
      <c r="I208" t="n">
        <v>4</v>
      </c>
      <c r="J208" t="n">
        <v>2</v>
      </c>
      <c r="K208" t="n">
        <v>1</v>
      </c>
      <c r="L208" t="n">
        <v>0</v>
      </c>
      <c r="M208" t="n">
        <v>0</v>
      </c>
      <c r="N208" t="n">
        <v>0</v>
      </c>
      <c r="O208" t="n">
        <v>3</v>
      </c>
      <c r="P208" t="n">
        <v>1</v>
      </c>
      <c r="Q208" t="n">
        <v>9</v>
      </c>
      <c r="R208" s="2" t="inlineStr">
        <is>
          <t>Knärot
Spillkråka
Ullticka
Skogshakmossa
Svavelriska
Thomsons trägnagare
Vågbandad barkbock
Kungsfågel
Revlummer</t>
        </is>
      </c>
      <c r="S208">
        <f>HYPERLINK("https://klasma.github.io/Logging_2083/artfynd/A 53820-2025 artfynd.xlsx", "A 53820-2025")</f>
        <v/>
      </c>
      <c r="T208">
        <f>HYPERLINK("https://klasma.github.io/Logging_2083/kartor/A 53820-2025 karta.png", "A 53820-2025")</f>
        <v/>
      </c>
      <c r="U208">
        <f>HYPERLINK("https://klasma.github.io/Logging_2083/knärot/A 53820-2025 karta knärot.png", "A 53820-2025")</f>
        <v/>
      </c>
      <c r="V208">
        <f>HYPERLINK("https://klasma.github.io/Logging_2083/klagomål/A 53820-2025 FSC-klagomål.docx", "A 53820-2025")</f>
        <v/>
      </c>
      <c r="W208">
        <f>HYPERLINK("https://klasma.github.io/Logging_2083/klagomålsmail/A 53820-2025 FSC-klagomål mail.docx", "A 53820-2025")</f>
        <v/>
      </c>
      <c r="X208">
        <f>HYPERLINK("https://klasma.github.io/Logging_2083/tillsyn/A 53820-2025 tillsynsbegäran.docx", "A 53820-2025")</f>
        <v/>
      </c>
      <c r="Y208">
        <f>HYPERLINK("https://klasma.github.io/Logging_2083/tillsynsmail/A 53820-2025 tillsynsbegäran mail.docx", "A 53820-2025")</f>
        <v/>
      </c>
      <c r="Z208">
        <f>HYPERLINK("https://klasma.github.io/Logging_2083/fåglar/A 53820-2025 prioriterade fågelarter.docx", "A 53820-2025")</f>
        <v/>
      </c>
    </row>
    <row r="209" ht="15" customHeight="1">
      <c r="A209" t="inlineStr">
        <is>
          <t>A 45277-2025</t>
        </is>
      </c>
      <c r="B209" s="1" t="n">
        <v>45919.71271990741</v>
      </c>
      <c r="C209" s="1" t="n">
        <v>46114</v>
      </c>
      <c r="D209" t="inlineStr">
        <is>
          <t>DALARNAS LÄN</t>
        </is>
      </c>
      <c r="E209" t="inlineStr">
        <is>
          <t>HEDEMORA</t>
        </is>
      </c>
      <c r="G209" t="n">
        <v>6.9</v>
      </c>
      <c r="H209" t="n">
        <v>4</v>
      </c>
      <c r="I209" t="n">
        <v>3</v>
      </c>
      <c r="J209" t="n">
        <v>3</v>
      </c>
      <c r="K209" t="n">
        <v>2</v>
      </c>
      <c r="L209" t="n">
        <v>0</v>
      </c>
      <c r="M209" t="n">
        <v>0</v>
      </c>
      <c r="N209" t="n">
        <v>0</v>
      </c>
      <c r="O209" t="n">
        <v>5</v>
      </c>
      <c r="P209" t="n">
        <v>2</v>
      </c>
      <c r="Q209" t="n">
        <v>9</v>
      </c>
      <c r="R209" s="2" t="inlineStr">
        <is>
          <t>Knärot
Kopparspindling
Spillkråka
Talltita
Ullticka
Bronshjon
Fjällig taggsvamp s.str.
Rödfläckig zontaggsvamp
Blåsippa</t>
        </is>
      </c>
      <c r="S209">
        <f>HYPERLINK("https://klasma.github.io/Logging_2083/artfynd/A 45277-2025 artfynd.xlsx", "A 45277-2025")</f>
        <v/>
      </c>
      <c r="T209">
        <f>HYPERLINK("https://klasma.github.io/Logging_2083/kartor/A 45277-2025 karta.png", "A 45277-2025")</f>
        <v/>
      </c>
      <c r="U209">
        <f>HYPERLINK("https://klasma.github.io/Logging_2083/knärot/A 45277-2025 karta knärot.png", "A 45277-2025")</f>
        <v/>
      </c>
      <c r="V209">
        <f>HYPERLINK("https://klasma.github.io/Logging_2083/klagomål/A 45277-2025 FSC-klagomål.docx", "A 45277-2025")</f>
        <v/>
      </c>
      <c r="W209">
        <f>HYPERLINK("https://klasma.github.io/Logging_2083/klagomålsmail/A 45277-2025 FSC-klagomål mail.docx", "A 45277-2025")</f>
        <v/>
      </c>
      <c r="X209">
        <f>HYPERLINK("https://klasma.github.io/Logging_2083/tillsyn/A 45277-2025 tillsynsbegäran.docx", "A 45277-2025")</f>
        <v/>
      </c>
      <c r="Y209">
        <f>HYPERLINK("https://klasma.github.io/Logging_2083/tillsynsmail/A 45277-2025 tillsynsbegäran mail.docx", "A 45277-2025")</f>
        <v/>
      </c>
      <c r="Z209">
        <f>HYPERLINK("https://klasma.github.io/Logging_2083/fåglar/A 45277-2025 prioriterade fågelarter.docx", "A 45277-2025")</f>
        <v/>
      </c>
    </row>
    <row r="210" ht="15" customHeight="1">
      <c r="A210" t="inlineStr">
        <is>
          <t>A 58943-2023</t>
        </is>
      </c>
      <c r="B210" s="1" t="n">
        <v>45250</v>
      </c>
      <c r="C210" s="1" t="n">
        <v>46114</v>
      </c>
      <c r="D210" t="inlineStr">
        <is>
          <t>DALARNAS LÄN</t>
        </is>
      </c>
      <c r="E210" t="inlineStr">
        <is>
          <t>HEDEMORA</t>
        </is>
      </c>
      <c r="G210" t="n">
        <v>5.4</v>
      </c>
      <c r="H210" t="n">
        <v>2</v>
      </c>
      <c r="I210" t="n">
        <v>3</v>
      </c>
      <c r="J210" t="n">
        <v>3</v>
      </c>
      <c r="K210" t="n">
        <v>2</v>
      </c>
      <c r="L210" t="n">
        <v>0</v>
      </c>
      <c r="M210" t="n">
        <v>0</v>
      </c>
      <c r="N210" t="n">
        <v>0</v>
      </c>
      <c r="O210" t="n">
        <v>5</v>
      </c>
      <c r="P210" t="n">
        <v>2</v>
      </c>
      <c r="Q210" t="n">
        <v>9</v>
      </c>
      <c r="R210" s="2" t="inlineStr">
        <is>
          <t>Knärot
Rynkskinn
Garnlav
Rosenticka
Ullticka
Blodticka
Bronshjon
Vedticka
Tjäder</t>
        </is>
      </c>
      <c r="S210">
        <f>HYPERLINK("https://klasma.github.io/Logging_2083/artfynd/A 58943-2023 artfynd.xlsx", "A 58943-2023")</f>
        <v/>
      </c>
      <c r="T210">
        <f>HYPERLINK("https://klasma.github.io/Logging_2083/kartor/A 58943-2023 karta.png", "A 58943-2023")</f>
        <v/>
      </c>
      <c r="U210">
        <f>HYPERLINK("https://klasma.github.io/Logging_2083/knärot/A 58943-2023 karta knärot.png", "A 58943-2023")</f>
        <v/>
      </c>
      <c r="V210">
        <f>HYPERLINK("https://klasma.github.io/Logging_2083/klagomål/A 58943-2023 FSC-klagomål.docx", "A 58943-2023")</f>
        <v/>
      </c>
      <c r="W210">
        <f>HYPERLINK("https://klasma.github.io/Logging_2083/klagomålsmail/A 58943-2023 FSC-klagomål mail.docx", "A 58943-2023")</f>
        <v/>
      </c>
      <c r="X210">
        <f>HYPERLINK("https://klasma.github.io/Logging_2083/tillsyn/A 58943-2023 tillsynsbegäran.docx", "A 58943-2023")</f>
        <v/>
      </c>
      <c r="Y210">
        <f>HYPERLINK("https://klasma.github.io/Logging_2083/tillsynsmail/A 58943-2023 tillsynsbegäran mail.docx", "A 58943-2023")</f>
        <v/>
      </c>
      <c r="Z210">
        <f>HYPERLINK("https://klasma.github.io/Logging_2083/fåglar/A 58943-2023 prioriterade fågelarter.docx", "A 58943-2023")</f>
        <v/>
      </c>
    </row>
    <row r="211" ht="15" customHeight="1">
      <c r="A211" t="inlineStr">
        <is>
          <t>A 22907-2025</t>
        </is>
      </c>
      <c r="B211" s="1" t="n">
        <v>45790</v>
      </c>
      <c r="C211" s="1" t="n">
        <v>46114</v>
      </c>
      <c r="D211" t="inlineStr">
        <is>
          <t>DALARNAS LÄN</t>
        </is>
      </c>
      <c r="E211" t="inlineStr">
        <is>
          <t>BORLÄNGE</t>
        </is>
      </c>
      <c r="G211" t="n">
        <v>10</v>
      </c>
      <c r="H211" t="n">
        <v>7</v>
      </c>
      <c r="I211" t="n">
        <v>2</v>
      </c>
      <c r="J211" t="n">
        <v>3</v>
      </c>
      <c r="K211" t="n">
        <v>1</v>
      </c>
      <c r="L211" t="n">
        <v>0</v>
      </c>
      <c r="M211" t="n">
        <v>0</v>
      </c>
      <c r="N211" t="n">
        <v>0</v>
      </c>
      <c r="O211" t="n">
        <v>4</v>
      </c>
      <c r="P211" t="n">
        <v>1</v>
      </c>
      <c r="Q211" t="n">
        <v>9</v>
      </c>
      <c r="R211" s="2" t="inlineStr">
        <is>
          <t>Knärot
Garnlav
Järpe
Spillkråka
Mindre märgborre
Spindelblomster
Tjäder
Fläcknycklar
Mattlummer</t>
        </is>
      </c>
      <c r="S211">
        <f>HYPERLINK("https://klasma.github.io/Logging_2081/artfynd/A 22907-2025 artfynd.xlsx", "A 22907-2025")</f>
        <v/>
      </c>
      <c r="T211">
        <f>HYPERLINK("https://klasma.github.io/Logging_2081/kartor/A 22907-2025 karta.png", "A 22907-2025")</f>
        <v/>
      </c>
      <c r="U211">
        <f>HYPERLINK("https://klasma.github.io/Logging_2081/knärot/A 22907-2025 karta knärot.png", "A 22907-2025")</f>
        <v/>
      </c>
      <c r="V211">
        <f>HYPERLINK("https://klasma.github.io/Logging_2081/klagomål/A 22907-2025 FSC-klagomål.docx", "A 22907-2025")</f>
        <v/>
      </c>
      <c r="W211">
        <f>HYPERLINK("https://klasma.github.io/Logging_2081/klagomålsmail/A 22907-2025 FSC-klagomål mail.docx", "A 22907-2025")</f>
        <v/>
      </c>
      <c r="X211">
        <f>HYPERLINK("https://klasma.github.io/Logging_2081/tillsyn/A 22907-2025 tillsynsbegäran.docx", "A 22907-2025")</f>
        <v/>
      </c>
      <c r="Y211">
        <f>HYPERLINK("https://klasma.github.io/Logging_2081/tillsynsmail/A 22907-2025 tillsynsbegäran mail.docx", "A 22907-2025")</f>
        <v/>
      </c>
      <c r="Z211">
        <f>HYPERLINK("https://klasma.github.io/Logging_2081/fåglar/A 22907-2025 prioriterade fågelarter.docx", "A 22907-2025")</f>
        <v/>
      </c>
    </row>
    <row r="212" ht="15" customHeight="1">
      <c r="A212" t="inlineStr">
        <is>
          <t>A 38847-2022</t>
        </is>
      </c>
      <c r="B212" s="1" t="n">
        <v>44816</v>
      </c>
      <c r="C212" s="1" t="n">
        <v>46114</v>
      </c>
      <c r="D212" t="inlineStr">
        <is>
          <t>DALARNAS LÄN</t>
        </is>
      </c>
      <c r="E212" t="inlineStr">
        <is>
          <t>FALUN</t>
        </is>
      </c>
      <c r="G212" t="n">
        <v>4.9</v>
      </c>
      <c r="H212" t="n">
        <v>1</v>
      </c>
      <c r="I212" t="n">
        <v>4</v>
      </c>
      <c r="J212" t="n">
        <v>4</v>
      </c>
      <c r="K212" t="n">
        <v>1</v>
      </c>
      <c r="L212" t="n">
        <v>0</v>
      </c>
      <c r="M212" t="n">
        <v>0</v>
      </c>
      <c r="N212" t="n">
        <v>0</v>
      </c>
      <c r="O212" t="n">
        <v>5</v>
      </c>
      <c r="P212" t="n">
        <v>1</v>
      </c>
      <c r="Q212" t="n">
        <v>9</v>
      </c>
      <c r="R212" s="2" t="inlineStr">
        <is>
          <t>Ulltickeporing
Garnlav
Tretåig hackspett
Ullticka
Violettgrå tagellav
Bronshjon
Dropptaggsvamp
Gullgröppa
Vågbandad barkbock</t>
        </is>
      </c>
      <c r="S212">
        <f>HYPERLINK("https://klasma.github.io/Logging_2080/artfynd/A 38847-2022 artfynd.xlsx", "A 38847-2022")</f>
        <v/>
      </c>
      <c r="T212">
        <f>HYPERLINK("https://klasma.github.io/Logging_2080/kartor/A 38847-2022 karta.png", "A 38847-2022")</f>
        <v/>
      </c>
      <c r="V212">
        <f>HYPERLINK("https://klasma.github.io/Logging_2080/klagomål/A 38847-2022 FSC-klagomål.docx", "A 38847-2022")</f>
        <v/>
      </c>
      <c r="W212">
        <f>HYPERLINK("https://klasma.github.io/Logging_2080/klagomålsmail/A 38847-2022 FSC-klagomål mail.docx", "A 38847-2022")</f>
        <v/>
      </c>
      <c r="X212">
        <f>HYPERLINK("https://klasma.github.io/Logging_2080/tillsyn/A 38847-2022 tillsynsbegäran.docx", "A 38847-2022")</f>
        <v/>
      </c>
      <c r="Y212">
        <f>HYPERLINK("https://klasma.github.io/Logging_2080/tillsynsmail/A 38847-2022 tillsynsbegäran mail.docx", "A 38847-2022")</f>
        <v/>
      </c>
      <c r="Z212">
        <f>HYPERLINK("https://klasma.github.io/Logging_2080/fåglar/A 38847-2022 prioriterade fågelarter.docx", "A 38847-2022")</f>
        <v/>
      </c>
    </row>
    <row r="213" ht="15" customHeight="1">
      <c r="A213" t="inlineStr">
        <is>
          <t>A 59728-2021</t>
        </is>
      </c>
      <c r="B213" s="1" t="n">
        <v>44494</v>
      </c>
      <c r="C213" s="1" t="n">
        <v>46114</v>
      </c>
      <c r="D213" t="inlineStr">
        <is>
          <t>DALARNAS LÄN</t>
        </is>
      </c>
      <c r="E213" t="inlineStr">
        <is>
          <t>BORLÄNGE</t>
        </is>
      </c>
      <c r="G213" t="n">
        <v>6.7</v>
      </c>
      <c r="H213" t="n">
        <v>3</v>
      </c>
      <c r="I213" t="n">
        <v>2</v>
      </c>
      <c r="J213" t="n">
        <v>3</v>
      </c>
      <c r="K213" t="n">
        <v>1</v>
      </c>
      <c r="L213" t="n">
        <v>0</v>
      </c>
      <c r="M213" t="n">
        <v>1</v>
      </c>
      <c r="N213" t="n">
        <v>0</v>
      </c>
      <c r="O213" t="n">
        <v>5</v>
      </c>
      <c r="P213" t="n">
        <v>2</v>
      </c>
      <c r="Q213" t="n">
        <v>9</v>
      </c>
      <c r="R213" s="2" t="inlineStr">
        <is>
          <t>Citronporing
Knärot
Gransotdyna
Ullticka
Vedtrappmossa
Bronshjon
Fjällig taggsvamp s.str.
Blåsippa
Lopplummer (aggregat)</t>
        </is>
      </c>
      <c r="S213">
        <f>HYPERLINK("https://klasma.github.io/Logging_2081/artfynd/A 59728-2021 artfynd.xlsx", "A 59728-2021")</f>
        <v/>
      </c>
      <c r="T213">
        <f>HYPERLINK("https://klasma.github.io/Logging_2081/kartor/A 59728-2021 karta.png", "A 59728-2021")</f>
        <v/>
      </c>
      <c r="U213">
        <f>HYPERLINK("https://klasma.github.io/Logging_2081/knärot/A 59728-2021 karta knärot.png", "A 59728-2021")</f>
        <v/>
      </c>
      <c r="V213">
        <f>HYPERLINK("https://klasma.github.io/Logging_2081/klagomål/A 59728-2021 FSC-klagomål.docx", "A 59728-2021")</f>
        <v/>
      </c>
      <c r="W213">
        <f>HYPERLINK("https://klasma.github.io/Logging_2081/klagomålsmail/A 59728-2021 FSC-klagomål mail.docx", "A 59728-2021")</f>
        <v/>
      </c>
      <c r="X213">
        <f>HYPERLINK("https://klasma.github.io/Logging_2081/tillsyn/A 59728-2021 tillsynsbegäran.docx", "A 59728-2021")</f>
        <v/>
      </c>
      <c r="Y213">
        <f>HYPERLINK("https://klasma.github.io/Logging_2081/tillsynsmail/A 59728-2021 tillsynsbegäran mail.docx", "A 59728-2021")</f>
        <v/>
      </c>
    </row>
    <row r="214" ht="15" customHeight="1">
      <c r="A214" t="inlineStr">
        <is>
          <t>A 15738-2025</t>
        </is>
      </c>
      <c r="B214" s="1" t="n">
        <v>45748.54524305555</v>
      </c>
      <c r="C214" s="1" t="n">
        <v>46114</v>
      </c>
      <c r="D214" t="inlineStr">
        <is>
          <t>DALARNAS LÄN</t>
        </is>
      </c>
      <c r="E214" t="inlineStr">
        <is>
          <t>ÄLVDALEN</t>
        </is>
      </c>
      <c r="G214" t="n">
        <v>4.5</v>
      </c>
      <c r="H214" t="n">
        <v>2</v>
      </c>
      <c r="I214" t="n">
        <v>3</v>
      </c>
      <c r="J214" t="n">
        <v>6</v>
      </c>
      <c r="K214" t="n">
        <v>0</v>
      </c>
      <c r="L214" t="n">
        <v>0</v>
      </c>
      <c r="M214" t="n">
        <v>0</v>
      </c>
      <c r="N214" t="n">
        <v>0</v>
      </c>
      <c r="O214" t="n">
        <v>6</v>
      </c>
      <c r="P214" t="n">
        <v>0</v>
      </c>
      <c r="Q214" t="n">
        <v>9</v>
      </c>
      <c r="R214" s="2" t="inlineStr">
        <is>
          <t>Doftskinn
Garnlav
Spillkråka
Talltita
Ullticka
Vedskivlav
Bronshjon
Dropptaggsvamp
Mindre märgborre</t>
        </is>
      </c>
      <c r="S214">
        <f>HYPERLINK("https://klasma.github.io/Logging_2039/artfynd/A 15738-2025 artfynd.xlsx", "A 15738-2025")</f>
        <v/>
      </c>
      <c r="T214">
        <f>HYPERLINK("https://klasma.github.io/Logging_2039/kartor/A 15738-2025 karta.png", "A 15738-2025")</f>
        <v/>
      </c>
      <c r="V214">
        <f>HYPERLINK("https://klasma.github.io/Logging_2039/klagomål/A 15738-2025 FSC-klagomål.docx", "A 15738-2025")</f>
        <v/>
      </c>
      <c r="W214">
        <f>HYPERLINK("https://klasma.github.io/Logging_2039/klagomålsmail/A 15738-2025 FSC-klagomål mail.docx", "A 15738-2025")</f>
        <v/>
      </c>
      <c r="X214">
        <f>HYPERLINK("https://klasma.github.io/Logging_2039/tillsyn/A 15738-2025 tillsynsbegäran.docx", "A 15738-2025")</f>
        <v/>
      </c>
      <c r="Y214">
        <f>HYPERLINK("https://klasma.github.io/Logging_2039/tillsynsmail/A 15738-2025 tillsynsbegäran mail.docx", "A 15738-2025")</f>
        <v/>
      </c>
      <c r="Z214">
        <f>HYPERLINK("https://klasma.github.io/Logging_2039/fåglar/A 15738-2025 prioriterade fågelarter.docx", "A 15738-2025")</f>
        <v/>
      </c>
    </row>
    <row r="215" ht="15" customHeight="1">
      <c r="A215" t="inlineStr">
        <is>
          <t>A 66637-2021</t>
        </is>
      </c>
      <c r="B215" s="1" t="n">
        <v>44519</v>
      </c>
      <c r="C215" s="1" t="n">
        <v>46114</v>
      </c>
      <c r="D215" t="inlineStr">
        <is>
          <t>DALARNAS LÄN</t>
        </is>
      </c>
      <c r="E215" t="inlineStr">
        <is>
          <t>ÄLVDALEN</t>
        </is>
      </c>
      <c r="F215" t="inlineStr">
        <is>
          <t>Sveaskog</t>
        </is>
      </c>
      <c r="G215" t="n">
        <v>4.7</v>
      </c>
      <c r="H215" t="n">
        <v>0</v>
      </c>
      <c r="I215" t="n">
        <v>3</v>
      </c>
      <c r="J215" t="n">
        <v>6</v>
      </c>
      <c r="K215" t="n">
        <v>0</v>
      </c>
      <c r="L215" t="n">
        <v>0</v>
      </c>
      <c r="M215" t="n">
        <v>0</v>
      </c>
      <c r="N215" t="n">
        <v>0</v>
      </c>
      <c r="O215" t="n">
        <v>6</v>
      </c>
      <c r="P215" t="n">
        <v>0</v>
      </c>
      <c r="Q215" t="n">
        <v>9</v>
      </c>
      <c r="R215" s="2" t="inlineStr">
        <is>
          <t>Dvärgbägarlav
Kolflarnlav
Mörk kolflarnlav
Nordtagging
Vedskivlav
Vitplätt
Dropptaggsvamp
Nästlav
Vedticka</t>
        </is>
      </c>
      <c r="S215">
        <f>HYPERLINK("https://klasma.github.io/Logging_2039/artfynd/A 66637-2021 artfynd.xlsx", "A 66637-2021")</f>
        <v/>
      </c>
      <c r="T215">
        <f>HYPERLINK("https://klasma.github.io/Logging_2039/kartor/A 66637-2021 karta.png", "A 66637-2021")</f>
        <v/>
      </c>
      <c r="V215">
        <f>HYPERLINK("https://klasma.github.io/Logging_2039/klagomål/A 66637-2021 FSC-klagomål.docx", "A 66637-2021")</f>
        <v/>
      </c>
      <c r="W215">
        <f>HYPERLINK("https://klasma.github.io/Logging_2039/klagomålsmail/A 66637-2021 FSC-klagomål mail.docx", "A 66637-2021")</f>
        <v/>
      </c>
      <c r="X215">
        <f>HYPERLINK("https://klasma.github.io/Logging_2039/tillsyn/A 66637-2021 tillsynsbegäran.docx", "A 66637-2021")</f>
        <v/>
      </c>
      <c r="Y215">
        <f>HYPERLINK("https://klasma.github.io/Logging_2039/tillsynsmail/A 66637-2021 tillsynsbegäran mail.docx", "A 66637-2021")</f>
        <v/>
      </c>
    </row>
    <row r="216" ht="15" customHeight="1">
      <c r="A216" t="inlineStr">
        <is>
          <t>A 41794-2025</t>
        </is>
      </c>
      <c r="B216" s="1" t="n">
        <v>45902</v>
      </c>
      <c r="C216" s="1" t="n">
        <v>46114</v>
      </c>
      <c r="D216" t="inlineStr">
        <is>
          <t>DALARNAS LÄN</t>
        </is>
      </c>
      <c r="E216" t="inlineStr">
        <is>
          <t>MORA</t>
        </is>
      </c>
      <c r="G216" t="n">
        <v>14.4</v>
      </c>
      <c r="H216" t="n">
        <v>4</v>
      </c>
      <c r="I216" t="n">
        <v>1</v>
      </c>
      <c r="J216" t="n">
        <v>6</v>
      </c>
      <c r="K216" t="n">
        <v>0</v>
      </c>
      <c r="L216" t="n">
        <v>0</v>
      </c>
      <c r="M216" t="n">
        <v>0</v>
      </c>
      <c r="N216" t="n">
        <v>0</v>
      </c>
      <c r="O216" t="n">
        <v>6</v>
      </c>
      <c r="P216" t="n">
        <v>0</v>
      </c>
      <c r="Q216" t="n">
        <v>9</v>
      </c>
      <c r="R216" s="2" t="inlineStr">
        <is>
          <t>Garnlav
Motaggsvamp
Rödvingetrast
Spillkråka
Tallticka
Vedskivlav
Mindre märgborre
Kungsfågel
Revlummer</t>
        </is>
      </c>
      <c r="S216">
        <f>HYPERLINK("https://klasma.github.io/Logging_2062/artfynd/A 41794-2025 artfynd.xlsx", "A 41794-2025")</f>
        <v/>
      </c>
      <c r="T216">
        <f>HYPERLINK("https://klasma.github.io/Logging_2062/kartor/A 41794-2025 karta.png", "A 41794-2025")</f>
        <v/>
      </c>
      <c r="V216">
        <f>HYPERLINK("https://klasma.github.io/Logging_2062/klagomål/A 41794-2025 FSC-klagomål.docx", "A 41794-2025")</f>
        <v/>
      </c>
      <c r="W216">
        <f>HYPERLINK("https://klasma.github.io/Logging_2062/klagomålsmail/A 41794-2025 FSC-klagomål mail.docx", "A 41794-2025")</f>
        <v/>
      </c>
      <c r="X216">
        <f>HYPERLINK("https://klasma.github.io/Logging_2062/tillsyn/A 41794-2025 tillsynsbegäran.docx", "A 41794-2025")</f>
        <v/>
      </c>
      <c r="Y216">
        <f>HYPERLINK("https://klasma.github.io/Logging_2062/tillsynsmail/A 41794-2025 tillsynsbegäran mail.docx", "A 41794-2025")</f>
        <v/>
      </c>
      <c r="Z216">
        <f>HYPERLINK("https://klasma.github.io/Logging_2062/fåglar/A 41794-2025 prioriterade fågelarter.docx", "A 41794-2025")</f>
        <v/>
      </c>
    </row>
    <row r="217" ht="15" customHeight="1">
      <c r="A217" t="inlineStr">
        <is>
          <t>A 49765-2022</t>
        </is>
      </c>
      <c r="B217" s="1" t="n">
        <v>44859</v>
      </c>
      <c r="C217" s="1" t="n">
        <v>46114</v>
      </c>
      <c r="D217" t="inlineStr">
        <is>
          <t>DALARNAS LÄN</t>
        </is>
      </c>
      <c r="E217" t="inlineStr">
        <is>
          <t>SMEDJEBACKEN</t>
        </is>
      </c>
      <c r="G217" t="n">
        <v>6.3</v>
      </c>
      <c r="H217" t="n">
        <v>4</v>
      </c>
      <c r="I217" t="n">
        <v>0</v>
      </c>
      <c r="J217" t="n">
        <v>3</v>
      </c>
      <c r="K217" t="n">
        <v>4</v>
      </c>
      <c r="L217" t="n">
        <v>0</v>
      </c>
      <c r="M217" t="n">
        <v>0</v>
      </c>
      <c r="N217" t="n">
        <v>0</v>
      </c>
      <c r="O217" t="n">
        <v>7</v>
      </c>
      <c r="P217" t="n">
        <v>4</v>
      </c>
      <c r="Q217" t="n">
        <v>9</v>
      </c>
      <c r="R217" s="2" t="inlineStr">
        <is>
          <t>Knärot
Läderdoftande fingersvamp
Rynkskinn
Vågticka
Druvfingersvampar
Gultoppig fingersvamp
Tretåig hackspett
Nattviol
Blåsippa</t>
        </is>
      </c>
      <c r="S217">
        <f>HYPERLINK("https://klasma.github.io/Logging_2061/artfynd/A 49765-2022 artfynd.xlsx", "A 49765-2022")</f>
        <v/>
      </c>
      <c r="T217">
        <f>HYPERLINK("https://klasma.github.io/Logging_2061/kartor/A 49765-2022 karta.png", "A 49765-2022")</f>
        <v/>
      </c>
      <c r="U217">
        <f>HYPERLINK("https://klasma.github.io/Logging_2061/knärot/A 49765-2022 karta knärot.png", "A 49765-2022")</f>
        <v/>
      </c>
      <c r="V217">
        <f>HYPERLINK("https://klasma.github.io/Logging_2061/klagomål/A 49765-2022 FSC-klagomål.docx", "A 49765-2022")</f>
        <v/>
      </c>
      <c r="W217">
        <f>HYPERLINK("https://klasma.github.io/Logging_2061/klagomålsmail/A 49765-2022 FSC-klagomål mail.docx", "A 49765-2022")</f>
        <v/>
      </c>
      <c r="X217">
        <f>HYPERLINK("https://klasma.github.io/Logging_2061/tillsyn/A 49765-2022 tillsynsbegäran.docx", "A 49765-2022")</f>
        <v/>
      </c>
      <c r="Y217">
        <f>HYPERLINK("https://klasma.github.io/Logging_2061/tillsynsmail/A 49765-2022 tillsynsbegäran mail.docx", "A 49765-2022")</f>
        <v/>
      </c>
      <c r="Z217">
        <f>HYPERLINK("https://klasma.github.io/Logging_2061/fåglar/A 49765-2022 prioriterade fågelarter.docx", "A 49765-2022")</f>
        <v/>
      </c>
    </row>
    <row r="218" ht="15" customHeight="1">
      <c r="A218" t="inlineStr">
        <is>
          <t>A 7214-2026</t>
        </is>
      </c>
      <c r="B218" s="1" t="n">
        <v>46058.55002314815</v>
      </c>
      <c r="C218" s="1" t="n">
        <v>46114</v>
      </c>
      <c r="D218" t="inlineStr">
        <is>
          <t>DALARNAS LÄN</t>
        </is>
      </c>
      <c r="E218" t="inlineStr">
        <is>
          <t>LUDVIKA</t>
        </is>
      </c>
      <c r="G218" t="n">
        <v>4.2</v>
      </c>
      <c r="H218" t="n">
        <v>4</v>
      </c>
      <c r="I218" t="n">
        <v>2</v>
      </c>
      <c r="J218" t="n">
        <v>5</v>
      </c>
      <c r="K218" t="n">
        <v>2</v>
      </c>
      <c r="L218" t="n">
        <v>0</v>
      </c>
      <c r="M218" t="n">
        <v>0</v>
      </c>
      <c r="N218" t="n">
        <v>0</v>
      </c>
      <c r="O218" t="n">
        <v>7</v>
      </c>
      <c r="P218" t="n">
        <v>2</v>
      </c>
      <c r="Q218" t="n">
        <v>9</v>
      </c>
      <c r="R218" s="2" t="inlineStr">
        <is>
          <t>Knärot
Rynkskinn
Granticka
Spillkråka
Talltita
Tretåig hackspett
Vedtrappmossa
Dropptaggsvamp
Thomsons trägnagare</t>
        </is>
      </c>
      <c r="S218">
        <f>HYPERLINK("https://klasma.github.io/Logging_2085/artfynd/A 7214-2026 artfynd.xlsx", "A 7214-2026")</f>
        <v/>
      </c>
      <c r="T218">
        <f>HYPERLINK("https://klasma.github.io/Logging_2085/kartor/A 7214-2026 karta.png", "A 7214-2026")</f>
        <v/>
      </c>
      <c r="U218">
        <f>HYPERLINK("https://klasma.github.io/Logging_2085/knärot/A 7214-2026 karta knärot.png", "A 7214-2026")</f>
        <v/>
      </c>
      <c r="V218">
        <f>HYPERLINK("https://klasma.github.io/Logging_2085/klagomål/A 7214-2026 FSC-klagomål.docx", "A 7214-2026")</f>
        <v/>
      </c>
      <c r="W218">
        <f>HYPERLINK("https://klasma.github.io/Logging_2085/klagomålsmail/A 7214-2026 FSC-klagomål mail.docx", "A 7214-2026")</f>
        <v/>
      </c>
      <c r="X218">
        <f>HYPERLINK("https://klasma.github.io/Logging_2085/tillsyn/A 7214-2026 tillsynsbegäran.docx", "A 7214-2026")</f>
        <v/>
      </c>
      <c r="Y218">
        <f>HYPERLINK("https://klasma.github.io/Logging_2085/tillsynsmail/A 7214-2026 tillsynsbegäran mail.docx", "A 7214-2026")</f>
        <v/>
      </c>
      <c r="Z218">
        <f>HYPERLINK("https://klasma.github.io/Logging_2085/fåglar/A 7214-2026 prioriterade fågelarter.docx", "A 7214-2026")</f>
        <v/>
      </c>
    </row>
    <row r="219" ht="15" customHeight="1">
      <c r="A219" t="inlineStr">
        <is>
          <t>A 7213-2026</t>
        </is>
      </c>
      <c r="B219" s="1" t="n">
        <v>46058.54565972222</v>
      </c>
      <c r="C219" s="1" t="n">
        <v>46114</v>
      </c>
      <c r="D219" t="inlineStr">
        <is>
          <t>DALARNAS LÄN</t>
        </is>
      </c>
      <c r="E219" t="inlineStr">
        <is>
          <t>ÄLVDALEN</t>
        </is>
      </c>
      <c r="G219" t="n">
        <v>1.7</v>
      </c>
      <c r="H219" t="n">
        <v>3</v>
      </c>
      <c r="I219" t="n">
        <v>1</v>
      </c>
      <c r="J219" t="n">
        <v>7</v>
      </c>
      <c r="K219" t="n">
        <v>0</v>
      </c>
      <c r="L219" t="n">
        <v>0</v>
      </c>
      <c r="M219" t="n">
        <v>0</v>
      </c>
      <c r="N219" t="n">
        <v>0</v>
      </c>
      <c r="O219" t="n">
        <v>7</v>
      </c>
      <c r="P219" t="n">
        <v>0</v>
      </c>
      <c r="Q219" t="n">
        <v>9</v>
      </c>
      <c r="R219" s="2" t="inlineStr">
        <is>
          <t>Garnlav
Kolflarnlav
Mörk kolflarnlav
Spillkråka
Tretåig hackspett
Vedflamlav
Vedskivlav
Mindre märgborre
Tjäder</t>
        </is>
      </c>
      <c r="S219">
        <f>HYPERLINK("https://klasma.github.io/Logging_2039/artfynd/A 7213-2026 artfynd.xlsx", "A 7213-2026")</f>
        <v/>
      </c>
      <c r="T219">
        <f>HYPERLINK("https://klasma.github.io/Logging_2039/kartor/A 7213-2026 karta.png", "A 7213-2026")</f>
        <v/>
      </c>
      <c r="V219">
        <f>HYPERLINK("https://klasma.github.io/Logging_2039/klagomål/A 7213-2026 FSC-klagomål.docx", "A 7213-2026")</f>
        <v/>
      </c>
      <c r="W219">
        <f>HYPERLINK("https://klasma.github.io/Logging_2039/klagomålsmail/A 7213-2026 FSC-klagomål mail.docx", "A 7213-2026")</f>
        <v/>
      </c>
      <c r="X219">
        <f>HYPERLINK("https://klasma.github.io/Logging_2039/tillsyn/A 7213-2026 tillsynsbegäran.docx", "A 7213-2026")</f>
        <v/>
      </c>
      <c r="Y219">
        <f>HYPERLINK("https://klasma.github.io/Logging_2039/tillsynsmail/A 7213-2026 tillsynsbegäran mail.docx", "A 7213-2026")</f>
        <v/>
      </c>
      <c r="Z219">
        <f>HYPERLINK("https://klasma.github.io/Logging_2039/fåglar/A 7213-2026 prioriterade fågelarter.docx", "A 7213-2026")</f>
        <v/>
      </c>
    </row>
    <row r="220" ht="15" customHeight="1">
      <c r="A220" t="inlineStr">
        <is>
          <t>A 34929-2024</t>
        </is>
      </c>
      <c r="B220" s="1" t="n">
        <v>45527.44895833333</v>
      </c>
      <c r="C220" s="1" t="n">
        <v>46114</v>
      </c>
      <c r="D220" t="inlineStr">
        <is>
          <t>DALARNAS LÄN</t>
        </is>
      </c>
      <c r="E220" t="inlineStr">
        <is>
          <t>HEDEMORA</t>
        </is>
      </c>
      <c r="F220" t="inlineStr">
        <is>
          <t>Sveaskog</t>
        </is>
      </c>
      <c r="G220" t="n">
        <v>5.1</v>
      </c>
      <c r="H220" t="n">
        <v>2</v>
      </c>
      <c r="I220" t="n">
        <v>4</v>
      </c>
      <c r="J220" t="n">
        <v>3</v>
      </c>
      <c r="K220" t="n">
        <v>1</v>
      </c>
      <c r="L220" t="n">
        <v>0</v>
      </c>
      <c r="M220" t="n">
        <v>0</v>
      </c>
      <c r="N220" t="n">
        <v>0</v>
      </c>
      <c r="O220" t="n">
        <v>4</v>
      </c>
      <c r="P220" t="n">
        <v>1</v>
      </c>
      <c r="Q220" t="n">
        <v>9</v>
      </c>
      <c r="R220" s="2" t="inlineStr">
        <is>
          <t>Sammetstaggsvamp
Gul taggsvamp
Gultoppig fingersvamp
Svart taggsvamp agg.
Olivspindling
Rödgul trumpetsvamp
Skogsknipprot
Svavelriska
Blåsippa</t>
        </is>
      </c>
      <c r="S220">
        <f>HYPERLINK("https://klasma.github.io/Logging_2083/artfynd/A 34929-2024 artfynd.xlsx", "A 34929-2024")</f>
        <v/>
      </c>
      <c r="T220">
        <f>HYPERLINK("https://klasma.github.io/Logging_2083/kartor/A 34929-2024 karta.png", "A 34929-2024")</f>
        <v/>
      </c>
      <c r="V220">
        <f>HYPERLINK("https://klasma.github.io/Logging_2083/klagomål/A 34929-2024 FSC-klagomål.docx", "A 34929-2024")</f>
        <v/>
      </c>
      <c r="W220">
        <f>HYPERLINK("https://klasma.github.io/Logging_2083/klagomålsmail/A 34929-2024 FSC-klagomål mail.docx", "A 34929-2024")</f>
        <v/>
      </c>
      <c r="X220">
        <f>HYPERLINK("https://klasma.github.io/Logging_2083/tillsyn/A 34929-2024 tillsynsbegäran.docx", "A 34929-2024")</f>
        <v/>
      </c>
      <c r="Y220">
        <f>HYPERLINK("https://klasma.github.io/Logging_2083/tillsynsmail/A 34929-2024 tillsynsbegäran mail.docx", "A 34929-2024")</f>
        <v/>
      </c>
    </row>
    <row r="221" ht="15" customHeight="1">
      <c r="A221" t="inlineStr">
        <is>
          <t>A 33487-2025</t>
        </is>
      </c>
      <c r="B221" s="1" t="n">
        <v>45841.50515046297</v>
      </c>
      <c r="C221" s="1" t="n">
        <v>46114</v>
      </c>
      <c r="D221" t="inlineStr">
        <is>
          <t>DALARNAS LÄN</t>
        </is>
      </c>
      <c r="E221" t="inlineStr">
        <is>
          <t>ÄLVDALEN</t>
        </is>
      </c>
      <c r="F221" t="inlineStr">
        <is>
          <t>Sveaskog</t>
        </is>
      </c>
      <c r="G221" t="n">
        <v>15.2</v>
      </c>
      <c r="H221" t="n">
        <v>4</v>
      </c>
      <c r="I221" t="n">
        <v>2</v>
      </c>
      <c r="J221" t="n">
        <v>5</v>
      </c>
      <c r="K221" t="n">
        <v>0</v>
      </c>
      <c r="L221" t="n">
        <v>1</v>
      </c>
      <c r="M221" t="n">
        <v>0</v>
      </c>
      <c r="N221" t="n">
        <v>0</v>
      </c>
      <c r="O221" t="n">
        <v>6</v>
      </c>
      <c r="P221" t="n">
        <v>1</v>
      </c>
      <c r="Q221" t="n">
        <v>9</v>
      </c>
      <c r="R221" s="2" t="inlineStr">
        <is>
          <t>Mosippa
Dvärgbägarlav
Kolflarnlav
Mörk kolflarnlav
Talltita
Vedflamlav
Dropptaggsvamp
Plattlummer
Fläcknycklar</t>
        </is>
      </c>
      <c r="S221">
        <f>HYPERLINK("https://klasma.github.io/Logging_2039/artfynd/A 33487-2025 artfynd.xlsx", "A 33487-2025")</f>
        <v/>
      </c>
      <c r="T221">
        <f>HYPERLINK("https://klasma.github.io/Logging_2039/kartor/A 33487-2025 karta.png", "A 33487-2025")</f>
        <v/>
      </c>
      <c r="V221">
        <f>HYPERLINK("https://klasma.github.io/Logging_2039/klagomål/A 33487-2025 FSC-klagomål.docx", "A 33487-2025")</f>
        <v/>
      </c>
      <c r="W221">
        <f>HYPERLINK("https://klasma.github.io/Logging_2039/klagomålsmail/A 33487-2025 FSC-klagomål mail.docx", "A 33487-2025")</f>
        <v/>
      </c>
      <c r="X221">
        <f>HYPERLINK("https://klasma.github.io/Logging_2039/tillsyn/A 33487-2025 tillsynsbegäran.docx", "A 33487-2025")</f>
        <v/>
      </c>
      <c r="Y221">
        <f>HYPERLINK("https://klasma.github.io/Logging_2039/tillsynsmail/A 33487-2025 tillsynsbegäran mail.docx", "A 33487-2025")</f>
        <v/>
      </c>
      <c r="Z221">
        <f>HYPERLINK("https://klasma.github.io/Logging_2039/fåglar/A 33487-2025 prioriterade fågelarter.docx", "A 33487-2025")</f>
        <v/>
      </c>
    </row>
    <row r="222" ht="15" customHeight="1">
      <c r="A222" t="inlineStr">
        <is>
          <t>A 50080-2021</t>
        </is>
      </c>
      <c r="B222" s="1" t="n">
        <v>44456</v>
      </c>
      <c r="C222" s="1" t="n">
        <v>46114</v>
      </c>
      <c r="D222" t="inlineStr">
        <is>
          <t>DALARNAS LÄN</t>
        </is>
      </c>
      <c r="E222" t="inlineStr">
        <is>
          <t>FALUN</t>
        </is>
      </c>
      <c r="F222" t="inlineStr">
        <is>
          <t>Bergvik skog väst AB</t>
        </is>
      </c>
      <c r="G222" t="n">
        <v>6.9</v>
      </c>
      <c r="H222" t="n">
        <v>4</v>
      </c>
      <c r="I222" t="n">
        <v>3</v>
      </c>
      <c r="J222" t="n">
        <v>2</v>
      </c>
      <c r="K222" t="n">
        <v>0</v>
      </c>
      <c r="L222" t="n">
        <v>0</v>
      </c>
      <c r="M222" t="n">
        <v>0</v>
      </c>
      <c r="N222" t="n">
        <v>0</v>
      </c>
      <c r="O222" t="n">
        <v>2</v>
      </c>
      <c r="P222" t="n">
        <v>0</v>
      </c>
      <c r="Q222" t="n">
        <v>8</v>
      </c>
      <c r="R222" s="2" t="inlineStr">
        <is>
          <t>Gultoppig fingersvamp
Slaguggla
Mörk husmossa
Svavelriska
Tibast
Skogsödla
Vanlig groda
Vanlig padda</t>
        </is>
      </c>
      <c r="S222">
        <f>HYPERLINK("https://klasma.github.io/Logging_2080/artfynd/A 50080-2021 artfynd.xlsx", "A 50080-2021")</f>
        <v/>
      </c>
      <c r="T222">
        <f>HYPERLINK("https://klasma.github.io/Logging_2080/kartor/A 50080-2021 karta.png", "A 50080-2021")</f>
        <v/>
      </c>
      <c r="V222">
        <f>HYPERLINK("https://klasma.github.io/Logging_2080/klagomål/A 50080-2021 FSC-klagomål.docx", "A 50080-2021")</f>
        <v/>
      </c>
      <c r="W222">
        <f>HYPERLINK("https://klasma.github.io/Logging_2080/klagomålsmail/A 50080-2021 FSC-klagomål mail.docx", "A 50080-2021")</f>
        <v/>
      </c>
      <c r="X222">
        <f>HYPERLINK("https://klasma.github.io/Logging_2080/tillsyn/A 50080-2021 tillsynsbegäran.docx", "A 50080-2021")</f>
        <v/>
      </c>
      <c r="Y222">
        <f>HYPERLINK("https://klasma.github.io/Logging_2080/tillsynsmail/A 50080-2021 tillsynsbegäran mail.docx", "A 50080-2021")</f>
        <v/>
      </c>
      <c r="Z222">
        <f>HYPERLINK("https://klasma.github.io/Logging_2080/fåglar/A 50080-2021 prioriterade fågelarter.docx", "A 50080-2021")</f>
        <v/>
      </c>
    </row>
    <row r="223" ht="15" customHeight="1">
      <c r="A223" t="inlineStr">
        <is>
          <t>A 49269-2024</t>
        </is>
      </c>
      <c r="B223" s="1" t="n">
        <v>45595.49747685185</v>
      </c>
      <c r="C223" s="1" t="n">
        <v>46114</v>
      </c>
      <c r="D223" t="inlineStr">
        <is>
          <t>DALARNAS LÄN</t>
        </is>
      </c>
      <c r="E223" t="inlineStr">
        <is>
          <t>HEDEMORA</t>
        </is>
      </c>
      <c r="G223" t="n">
        <v>1.6</v>
      </c>
      <c r="H223" t="n">
        <v>5</v>
      </c>
      <c r="I223" t="n">
        <v>2</v>
      </c>
      <c r="J223" t="n">
        <v>5</v>
      </c>
      <c r="K223" t="n">
        <v>0</v>
      </c>
      <c r="L223" t="n">
        <v>0</v>
      </c>
      <c r="M223" t="n">
        <v>0</v>
      </c>
      <c r="N223" t="n">
        <v>0</v>
      </c>
      <c r="O223" t="n">
        <v>5</v>
      </c>
      <c r="P223" t="n">
        <v>0</v>
      </c>
      <c r="Q223" t="n">
        <v>8</v>
      </c>
      <c r="R223" s="2" t="inlineStr">
        <is>
          <t>Fagervaxing
Havsörn
Rödvingetrast
Spillkråka
Talltita
Blodvaxing
Broskvaxing
Gröngöling</t>
        </is>
      </c>
      <c r="S223">
        <f>HYPERLINK("https://klasma.github.io/Logging_2083/artfynd/A 49269-2024 artfynd.xlsx", "A 49269-2024")</f>
        <v/>
      </c>
      <c r="T223">
        <f>HYPERLINK("https://klasma.github.io/Logging_2083/kartor/A 49269-2024 karta.png", "A 49269-2024")</f>
        <v/>
      </c>
      <c r="V223">
        <f>HYPERLINK("https://klasma.github.io/Logging_2083/klagomål/A 49269-2024 FSC-klagomål.docx", "A 49269-2024")</f>
        <v/>
      </c>
      <c r="W223">
        <f>HYPERLINK("https://klasma.github.io/Logging_2083/klagomålsmail/A 49269-2024 FSC-klagomål mail.docx", "A 49269-2024")</f>
        <v/>
      </c>
      <c r="X223">
        <f>HYPERLINK("https://klasma.github.io/Logging_2083/tillsyn/A 49269-2024 tillsynsbegäran.docx", "A 49269-2024")</f>
        <v/>
      </c>
      <c r="Y223">
        <f>HYPERLINK("https://klasma.github.io/Logging_2083/tillsynsmail/A 49269-2024 tillsynsbegäran mail.docx", "A 49269-2024")</f>
        <v/>
      </c>
      <c r="Z223">
        <f>HYPERLINK("https://klasma.github.io/Logging_2083/fåglar/A 49269-2024 prioriterade fågelarter.docx", "A 49269-2024")</f>
        <v/>
      </c>
    </row>
    <row r="224" ht="15" customHeight="1">
      <c r="A224" t="inlineStr">
        <is>
          <t>A 35146-2025</t>
        </is>
      </c>
      <c r="B224" s="1" t="n">
        <v>45852.66946759259</v>
      </c>
      <c r="C224" s="1" t="n">
        <v>46114</v>
      </c>
      <c r="D224" t="inlineStr">
        <is>
          <t>DALARNAS LÄN</t>
        </is>
      </c>
      <c r="E224" t="inlineStr">
        <is>
          <t>SÄTER</t>
        </is>
      </c>
      <c r="F224" t="inlineStr">
        <is>
          <t>Bergvik skog väst AB</t>
        </is>
      </c>
      <c r="G224" t="n">
        <v>2.2</v>
      </c>
      <c r="H224" t="n">
        <v>1</v>
      </c>
      <c r="I224" t="n">
        <v>3</v>
      </c>
      <c r="J224" t="n">
        <v>2</v>
      </c>
      <c r="K224" t="n">
        <v>2</v>
      </c>
      <c r="L224" t="n">
        <v>0</v>
      </c>
      <c r="M224" t="n">
        <v>1</v>
      </c>
      <c r="N224" t="n">
        <v>0</v>
      </c>
      <c r="O224" t="n">
        <v>5</v>
      </c>
      <c r="P224" t="n">
        <v>3</v>
      </c>
      <c r="Q224" t="n">
        <v>8</v>
      </c>
      <c r="R224" s="2" t="inlineStr">
        <is>
          <t>Skogsalm
Grangråticka
Rynkskinn
Barrviolspindling
Ullticka
Grön sköldmossa
Svavelriska
Tibast</t>
        </is>
      </c>
      <c r="S224">
        <f>HYPERLINK("https://klasma.github.io/Logging_2082/artfynd/A 35146-2025 artfynd.xlsx", "A 35146-2025")</f>
        <v/>
      </c>
      <c r="T224">
        <f>HYPERLINK("https://klasma.github.io/Logging_2082/kartor/A 35146-2025 karta.png", "A 35146-2025")</f>
        <v/>
      </c>
      <c r="V224">
        <f>HYPERLINK("https://klasma.github.io/Logging_2082/klagomål/A 35146-2025 FSC-klagomål.docx", "A 35146-2025")</f>
        <v/>
      </c>
      <c r="W224">
        <f>HYPERLINK("https://klasma.github.io/Logging_2082/klagomålsmail/A 35146-2025 FSC-klagomål mail.docx", "A 35146-2025")</f>
        <v/>
      </c>
      <c r="X224">
        <f>HYPERLINK("https://klasma.github.io/Logging_2082/tillsyn/A 35146-2025 tillsynsbegäran.docx", "A 35146-2025")</f>
        <v/>
      </c>
      <c r="Y224">
        <f>HYPERLINK("https://klasma.github.io/Logging_2082/tillsynsmail/A 35146-2025 tillsynsbegäran mail.docx", "A 35146-2025")</f>
        <v/>
      </c>
    </row>
    <row r="225" ht="15" customHeight="1">
      <c r="A225" t="inlineStr">
        <is>
          <t>A 59983-2024</t>
        </is>
      </c>
      <c r="B225" s="1" t="n">
        <v>45642</v>
      </c>
      <c r="C225" s="1" t="n">
        <v>46114</v>
      </c>
      <c r="D225" t="inlineStr">
        <is>
          <t>DALARNAS LÄN</t>
        </is>
      </c>
      <c r="E225" t="inlineStr">
        <is>
          <t>MORA</t>
        </is>
      </c>
      <c r="G225" t="n">
        <v>0.8</v>
      </c>
      <c r="H225" t="n">
        <v>6</v>
      </c>
      <c r="I225" t="n">
        <v>1</v>
      </c>
      <c r="J225" t="n">
        <v>5</v>
      </c>
      <c r="K225" t="n">
        <v>1</v>
      </c>
      <c r="L225" t="n">
        <v>0</v>
      </c>
      <c r="M225" t="n">
        <v>0</v>
      </c>
      <c r="N225" t="n">
        <v>0</v>
      </c>
      <c r="O225" t="n">
        <v>6</v>
      </c>
      <c r="P225" t="n">
        <v>1</v>
      </c>
      <c r="Q225" t="n">
        <v>8</v>
      </c>
      <c r="R225" s="2" t="inlineStr">
        <is>
          <t>Knärot
Gul taggsvamp
Järpe
Spillkråka
Talltita
Tretåig hackspett
Vågbandad barkbock
Tjäder</t>
        </is>
      </c>
      <c r="S225">
        <f>HYPERLINK("https://klasma.github.io/Logging_2062/artfynd/A 59983-2024 artfynd.xlsx", "A 59983-2024")</f>
        <v/>
      </c>
      <c r="T225">
        <f>HYPERLINK("https://klasma.github.io/Logging_2062/kartor/A 59983-2024 karta.png", "A 59983-2024")</f>
        <v/>
      </c>
      <c r="U225">
        <f>HYPERLINK("https://klasma.github.io/Logging_2062/knärot/A 59983-2024 karta knärot.png", "A 59983-2024")</f>
        <v/>
      </c>
      <c r="V225">
        <f>HYPERLINK("https://klasma.github.io/Logging_2062/klagomål/A 59983-2024 FSC-klagomål.docx", "A 59983-2024")</f>
        <v/>
      </c>
      <c r="W225">
        <f>HYPERLINK("https://klasma.github.io/Logging_2062/klagomålsmail/A 59983-2024 FSC-klagomål mail.docx", "A 59983-2024")</f>
        <v/>
      </c>
      <c r="X225">
        <f>HYPERLINK("https://klasma.github.io/Logging_2062/tillsyn/A 59983-2024 tillsynsbegäran.docx", "A 59983-2024")</f>
        <v/>
      </c>
      <c r="Y225">
        <f>HYPERLINK("https://klasma.github.io/Logging_2062/tillsynsmail/A 59983-2024 tillsynsbegäran mail.docx", "A 59983-2024")</f>
        <v/>
      </c>
      <c r="Z225">
        <f>HYPERLINK("https://klasma.github.io/Logging_2062/fåglar/A 59983-2024 prioriterade fågelarter.docx", "A 59983-2024")</f>
        <v/>
      </c>
    </row>
    <row r="226" ht="15" customHeight="1">
      <c r="A226" t="inlineStr">
        <is>
          <t>A 39480-2025</t>
        </is>
      </c>
      <c r="B226" s="1" t="n">
        <v>45890.35232638889</v>
      </c>
      <c r="C226" s="1" t="n">
        <v>46114</v>
      </c>
      <c r="D226" t="inlineStr">
        <is>
          <t>DALARNAS LÄN</t>
        </is>
      </c>
      <c r="E226" t="inlineStr">
        <is>
          <t>MORA</t>
        </is>
      </c>
      <c r="G226" t="n">
        <v>1.3</v>
      </c>
      <c r="H226" t="n">
        <v>3</v>
      </c>
      <c r="I226" t="n">
        <v>1</v>
      </c>
      <c r="J226" t="n">
        <v>6</v>
      </c>
      <c r="K226" t="n">
        <v>0</v>
      </c>
      <c r="L226" t="n">
        <v>0</v>
      </c>
      <c r="M226" t="n">
        <v>0</v>
      </c>
      <c r="N226" t="n">
        <v>0</v>
      </c>
      <c r="O226" t="n">
        <v>6</v>
      </c>
      <c r="P226" t="n">
        <v>0</v>
      </c>
      <c r="Q226" t="n">
        <v>8</v>
      </c>
      <c r="R226" s="2" t="inlineStr">
        <is>
          <t>Garnlav
Rödvingetrast
Spillkråka
Tallticka
Vedflamlav
Vedskivlav
Mindre märgborre
Järnsparv</t>
        </is>
      </c>
      <c r="S226">
        <f>HYPERLINK("https://klasma.github.io/Logging_2062/artfynd/A 39480-2025 artfynd.xlsx", "A 39480-2025")</f>
        <v/>
      </c>
      <c r="T226">
        <f>HYPERLINK("https://klasma.github.io/Logging_2062/kartor/A 39480-2025 karta.png", "A 39480-2025")</f>
        <v/>
      </c>
      <c r="V226">
        <f>HYPERLINK("https://klasma.github.io/Logging_2062/klagomål/A 39480-2025 FSC-klagomål.docx", "A 39480-2025")</f>
        <v/>
      </c>
      <c r="W226">
        <f>HYPERLINK("https://klasma.github.io/Logging_2062/klagomålsmail/A 39480-2025 FSC-klagomål mail.docx", "A 39480-2025")</f>
        <v/>
      </c>
      <c r="X226">
        <f>HYPERLINK("https://klasma.github.io/Logging_2062/tillsyn/A 39480-2025 tillsynsbegäran.docx", "A 39480-2025")</f>
        <v/>
      </c>
      <c r="Y226">
        <f>HYPERLINK("https://klasma.github.io/Logging_2062/tillsynsmail/A 39480-2025 tillsynsbegäran mail.docx", "A 39480-2025")</f>
        <v/>
      </c>
      <c r="Z226">
        <f>HYPERLINK("https://klasma.github.io/Logging_2062/fåglar/A 39480-2025 prioriterade fågelarter.docx", "A 39480-2025")</f>
        <v/>
      </c>
    </row>
    <row r="227" ht="15" customHeight="1">
      <c r="A227" t="inlineStr">
        <is>
          <t>A 39682-2025</t>
        </is>
      </c>
      <c r="B227" s="1" t="n">
        <v>45890.66075231481</v>
      </c>
      <c r="C227" s="1" t="n">
        <v>46114</v>
      </c>
      <c r="D227" t="inlineStr">
        <is>
          <t>DALARNAS LÄN</t>
        </is>
      </c>
      <c r="E227" t="inlineStr">
        <is>
          <t>ORSA</t>
        </is>
      </c>
      <c r="G227" t="n">
        <v>6.6</v>
      </c>
      <c r="H227" t="n">
        <v>2</v>
      </c>
      <c r="I227" t="n">
        <v>3</v>
      </c>
      <c r="J227" t="n">
        <v>5</v>
      </c>
      <c r="K227" t="n">
        <v>0</v>
      </c>
      <c r="L227" t="n">
        <v>0</v>
      </c>
      <c r="M227" t="n">
        <v>0</v>
      </c>
      <c r="N227" t="n">
        <v>0</v>
      </c>
      <c r="O227" t="n">
        <v>5</v>
      </c>
      <c r="P227" t="n">
        <v>0</v>
      </c>
      <c r="Q227" t="n">
        <v>8</v>
      </c>
      <c r="R227" s="2" t="inlineStr">
        <is>
          <t>Garnlav
Spillkråka
Tretåig hackspett
Vaddporing
Vedskivlav
Dropptaggsvamp
Jättesvampmal
Mindre märgborre</t>
        </is>
      </c>
      <c r="S227">
        <f>HYPERLINK("https://klasma.github.io/Logging_2034/artfynd/A 39682-2025 artfynd.xlsx", "A 39682-2025")</f>
        <v/>
      </c>
      <c r="T227">
        <f>HYPERLINK("https://klasma.github.io/Logging_2034/kartor/A 39682-2025 karta.png", "A 39682-2025")</f>
        <v/>
      </c>
      <c r="V227">
        <f>HYPERLINK("https://klasma.github.io/Logging_2034/klagomål/A 39682-2025 FSC-klagomål.docx", "A 39682-2025")</f>
        <v/>
      </c>
      <c r="W227">
        <f>HYPERLINK("https://klasma.github.io/Logging_2034/klagomålsmail/A 39682-2025 FSC-klagomål mail.docx", "A 39682-2025")</f>
        <v/>
      </c>
      <c r="X227">
        <f>HYPERLINK("https://klasma.github.io/Logging_2034/tillsyn/A 39682-2025 tillsynsbegäran.docx", "A 39682-2025")</f>
        <v/>
      </c>
      <c r="Y227">
        <f>HYPERLINK("https://klasma.github.io/Logging_2034/tillsynsmail/A 39682-2025 tillsynsbegäran mail.docx", "A 39682-2025")</f>
        <v/>
      </c>
      <c r="Z227">
        <f>HYPERLINK("https://klasma.github.io/Logging_2034/fåglar/A 39682-2025 prioriterade fågelarter.docx", "A 39682-2025")</f>
        <v/>
      </c>
    </row>
    <row r="228" ht="15" customHeight="1">
      <c r="A228" t="inlineStr">
        <is>
          <t>A 41755-2025</t>
        </is>
      </c>
      <c r="B228" s="1" t="n">
        <v>45902.50262731482</v>
      </c>
      <c r="C228" s="1" t="n">
        <v>46114</v>
      </c>
      <c r="D228" t="inlineStr">
        <is>
          <t>DALARNAS LÄN</t>
        </is>
      </c>
      <c r="E228" t="inlineStr">
        <is>
          <t>ÄLVDALEN</t>
        </is>
      </c>
      <c r="F228" t="inlineStr">
        <is>
          <t>Sveaskog</t>
        </is>
      </c>
      <c r="G228" t="n">
        <v>18.2</v>
      </c>
      <c r="H228" t="n">
        <v>0</v>
      </c>
      <c r="I228" t="n">
        <v>2</v>
      </c>
      <c r="J228" t="n">
        <v>6</v>
      </c>
      <c r="K228" t="n">
        <v>0</v>
      </c>
      <c r="L228" t="n">
        <v>0</v>
      </c>
      <c r="M228" t="n">
        <v>0</v>
      </c>
      <c r="N228" t="n">
        <v>0</v>
      </c>
      <c r="O228" t="n">
        <v>6</v>
      </c>
      <c r="P228" t="n">
        <v>0</v>
      </c>
      <c r="Q228" t="n">
        <v>8</v>
      </c>
      <c r="R228" s="2" t="inlineStr">
        <is>
          <t>Blå taggsvamp
Kolflarnlav
Mörk kolflarnlav
Orange taggsvamp
Talltaggsvamp
Vedflamlav
Dropptaggsvamp
Skarp dropptaggsvamp</t>
        </is>
      </c>
      <c r="S228">
        <f>HYPERLINK("https://klasma.github.io/Logging_2039/artfynd/A 41755-2025 artfynd.xlsx", "A 41755-2025")</f>
        <v/>
      </c>
      <c r="T228">
        <f>HYPERLINK("https://klasma.github.io/Logging_2039/kartor/A 41755-2025 karta.png", "A 41755-2025")</f>
        <v/>
      </c>
      <c r="V228">
        <f>HYPERLINK("https://klasma.github.io/Logging_2039/klagomål/A 41755-2025 FSC-klagomål.docx", "A 41755-2025")</f>
        <v/>
      </c>
      <c r="W228">
        <f>HYPERLINK("https://klasma.github.io/Logging_2039/klagomålsmail/A 41755-2025 FSC-klagomål mail.docx", "A 41755-2025")</f>
        <v/>
      </c>
      <c r="X228">
        <f>HYPERLINK("https://klasma.github.io/Logging_2039/tillsyn/A 41755-2025 tillsynsbegäran.docx", "A 41755-2025")</f>
        <v/>
      </c>
      <c r="Y228">
        <f>HYPERLINK("https://klasma.github.io/Logging_2039/tillsynsmail/A 41755-2025 tillsynsbegäran mail.docx", "A 41755-2025")</f>
        <v/>
      </c>
    </row>
    <row r="229" ht="15" customHeight="1">
      <c r="A229" t="inlineStr">
        <is>
          <t>A 44785-2025</t>
        </is>
      </c>
      <c r="B229" s="1" t="n">
        <v>45917.96543981481</v>
      </c>
      <c r="C229" s="1" t="n">
        <v>46114</v>
      </c>
      <c r="D229" t="inlineStr">
        <is>
          <t>DALARNAS LÄN</t>
        </is>
      </c>
      <c r="E229" t="inlineStr">
        <is>
          <t>ÄLVDALEN</t>
        </is>
      </c>
      <c r="F229" t="inlineStr">
        <is>
          <t>Sveaskog</t>
        </is>
      </c>
      <c r="G229" t="n">
        <v>29.6</v>
      </c>
      <c r="H229" t="n">
        <v>0</v>
      </c>
      <c r="I229" t="n">
        <v>2</v>
      </c>
      <c r="J229" t="n">
        <v>5</v>
      </c>
      <c r="K229" t="n">
        <v>1</v>
      </c>
      <c r="L229" t="n">
        <v>0</v>
      </c>
      <c r="M229" t="n">
        <v>0</v>
      </c>
      <c r="N229" t="n">
        <v>0</v>
      </c>
      <c r="O229" t="n">
        <v>6</v>
      </c>
      <c r="P229" t="n">
        <v>1</v>
      </c>
      <c r="Q229" t="n">
        <v>8</v>
      </c>
      <c r="R229" s="2" t="inlineStr">
        <is>
          <t>Tallgråticka
Blå taggsvamp
Dvärgbägarlav
Kolflarnlav
Talltaggsvamp
Vedflamlav
Dropptaggsvamp
Skarp dropptaggsvamp</t>
        </is>
      </c>
      <c r="S229">
        <f>HYPERLINK("https://klasma.github.io/Logging_2039/artfynd/A 44785-2025 artfynd.xlsx", "A 44785-2025")</f>
        <v/>
      </c>
      <c r="T229">
        <f>HYPERLINK("https://klasma.github.io/Logging_2039/kartor/A 44785-2025 karta.png", "A 44785-2025")</f>
        <v/>
      </c>
      <c r="V229">
        <f>HYPERLINK("https://klasma.github.io/Logging_2039/klagomål/A 44785-2025 FSC-klagomål.docx", "A 44785-2025")</f>
        <v/>
      </c>
      <c r="W229">
        <f>HYPERLINK("https://klasma.github.io/Logging_2039/klagomålsmail/A 44785-2025 FSC-klagomål mail.docx", "A 44785-2025")</f>
        <v/>
      </c>
      <c r="X229">
        <f>HYPERLINK("https://klasma.github.io/Logging_2039/tillsyn/A 44785-2025 tillsynsbegäran.docx", "A 44785-2025")</f>
        <v/>
      </c>
      <c r="Y229">
        <f>HYPERLINK("https://klasma.github.io/Logging_2039/tillsynsmail/A 44785-2025 tillsynsbegäran mail.docx", "A 44785-2025")</f>
        <v/>
      </c>
    </row>
    <row r="230" ht="15" customHeight="1">
      <c r="A230" t="inlineStr">
        <is>
          <t>A 46450-2025</t>
        </is>
      </c>
      <c r="B230" s="1" t="n">
        <v>45925.6530324074</v>
      </c>
      <c r="C230" s="1" t="n">
        <v>46114</v>
      </c>
      <c r="D230" t="inlineStr">
        <is>
          <t>DALARNAS LÄN</t>
        </is>
      </c>
      <c r="E230" t="inlineStr">
        <is>
          <t>MORA</t>
        </is>
      </c>
      <c r="G230" t="n">
        <v>4.2</v>
      </c>
      <c r="H230" t="n">
        <v>2</v>
      </c>
      <c r="I230" t="n">
        <v>2</v>
      </c>
      <c r="J230" t="n">
        <v>6</v>
      </c>
      <c r="K230" t="n">
        <v>0</v>
      </c>
      <c r="L230" t="n">
        <v>0</v>
      </c>
      <c r="M230" t="n">
        <v>0</v>
      </c>
      <c r="N230" t="n">
        <v>0</v>
      </c>
      <c r="O230" t="n">
        <v>6</v>
      </c>
      <c r="P230" t="n">
        <v>0</v>
      </c>
      <c r="Q230" t="n">
        <v>8</v>
      </c>
      <c r="R230" s="2" t="inlineStr">
        <is>
          <t>Garnlav
Kolflarnlav
Spillkråka
Talltita
Vedflamlav
Vedskivlav
Dropptaggsvamp
Mindre märgborre</t>
        </is>
      </c>
      <c r="S230">
        <f>HYPERLINK("https://klasma.github.io/Logging_2062/artfynd/A 46450-2025 artfynd.xlsx", "A 46450-2025")</f>
        <v/>
      </c>
      <c r="T230">
        <f>HYPERLINK("https://klasma.github.io/Logging_2062/kartor/A 46450-2025 karta.png", "A 46450-2025")</f>
        <v/>
      </c>
      <c r="V230">
        <f>HYPERLINK("https://klasma.github.io/Logging_2062/klagomål/A 46450-2025 FSC-klagomål.docx", "A 46450-2025")</f>
        <v/>
      </c>
      <c r="W230">
        <f>HYPERLINK("https://klasma.github.io/Logging_2062/klagomålsmail/A 46450-2025 FSC-klagomål mail.docx", "A 46450-2025")</f>
        <v/>
      </c>
      <c r="X230">
        <f>HYPERLINK("https://klasma.github.io/Logging_2062/tillsyn/A 46450-2025 tillsynsbegäran.docx", "A 46450-2025")</f>
        <v/>
      </c>
      <c r="Y230">
        <f>HYPERLINK("https://klasma.github.io/Logging_2062/tillsynsmail/A 46450-2025 tillsynsbegäran mail.docx", "A 46450-2025")</f>
        <v/>
      </c>
      <c r="Z230">
        <f>HYPERLINK("https://klasma.github.io/Logging_2062/fåglar/A 46450-2025 prioriterade fågelarter.docx", "A 46450-2025")</f>
        <v/>
      </c>
    </row>
    <row r="231" ht="15" customHeight="1">
      <c r="A231" t="inlineStr">
        <is>
          <t>A 33371-2025</t>
        </is>
      </c>
      <c r="B231" s="1" t="n">
        <v>45841</v>
      </c>
      <c r="C231" s="1" t="n">
        <v>46114</v>
      </c>
      <c r="D231" t="inlineStr">
        <is>
          <t>DALARNAS LÄN</t>
        </is>
      </c>
      <c r="E231" t="inlineStr">
        <is>
          <t>FALUN</t>
        </is>
      </c>
      <c r="F231" t="inlineStr">
        <is>
          <t>Bergvik skog väst AB</t>
        </is>
      </c>
      <c r="G231" t="n">
        <v>17.7</v>
      </c>
      <c r="H231" t="n">
        <v>2</v>
      </c>
      <c r="I231" t="n">
        <v>3</v>
      </c>
      <c r="J231" t="n">
        <v>4</v>
      </c>
      <c r="K231" t="n">
        <v>1</v>
      </c>
      <c r="L231" t="n">
        <v>0</v>
      </c>
      <c r="M231" t="n">
        <v>0</v>
      </c>
      <c r="N231" t="n">
        <v>0</v>
      </c>
      <c r="O231" t="n">
        <v>5</v>
      </c>
      <c r="P231" t="n">
        <v>1</v>
      </c>
      <c r="Q231" t="n">
        <v>8</v>
      </c>
      <c r="R231" s="2" t="inlineStr">
        <is>
          <t>Knärot
Garnlav
Tretåig hackspett
Ullticka
Vedtrappmossa
Bronshjon
Dropptaggsvamp
Mindre märgborre</t>
        </is>
      </c>
      <c r="S231">
        <f>HYPERLINK("https://klasma.github.io/Logging_2080/artfynd/A 33371-2025 artfynd.xlsx", "A 33371-2025")</f>
        <v/>
      </c>
      <c r="T231">
        <f>HYPERLINK("https://klasma.github.io/Logging_2080/kartor/A 33371-2025 karta.png", "A 33371-2025")</f>
        <v/>
      </c>
      <c r="U231">
        <f>HYPERLINK("https://klasma.github.io/Logging_2080/knärot/A 33371-2025 karta knärot.png", "A 33371-2025")</f>
        <v/>
      </c>
      <c r="V231">
        <f>HYPERLINK("https://klasma.github.io/Logging_2080/klagomål/A 33371-2025 FSC-klagomål.docx", "A 33371-2025")</f>
        <v/>
      </c>
      <c r="W231">
        <f>HYPERLINK("https://klasma.github.io/Logging_2080/klagomålsmail/A 33371-2025 FSC-klagomål mail.docx", "A 33371-2025")</f>
        <v/>
      </c>
      <c r="X231">
        <f>HYPERLINK("https://klasma.github.io/Logging_2080/tillsyn/A 33371-2025 tillsynsbegäran.docx", "A 33371-2025")</f>
        <v/>
      </c>
      <c r="Y231">
        <f>HYPERLINK("https://klasma.github.io/Logging_2080/tillsynsmail/A 33371-2025 tillsynsbegäran mail.docx", "A 33371-2025")</f>
        <v/>
      </c>
      <c r="Z231">
        <f>HYPERLINK("https://klasma.github.io/Logging_2080/fåglar/A 33371-2025 prioriterade fågelarter.docx", "A 33371-2025")</f>
        <v/>
      </c>
    </row>
    <row r="232" ht="15" customHeight="1">
      <c r="A232" t="inlineStr">
        <is>
          <t>A 30904-2025</t>
        </is>
      </c>
      <c r="B232" s="1" t="n">
        <v>45832</v>
      </c>
      <c r="C232" s="1" t="n">
        <v>46114</v>
      </c>
      <c r="D232" t="inlineStr">
        <is>
          <t>DALARNAS LÄN</t>
        </is>
      </c>
      <c r="E232" t="inlineStr">
        <is>
          <t>MORA</t>
        </is>
      </c>
      <c r="G232" t="n">
        <v>6.6</v>
      </c>
      <c r="H232" t="n">
        <v>3</v>
      </c>
      <c r="I232" t="n">
        <v>1</v>
      </c>
      <c r="J232" t="n">
        <v>6</v>
      </c>
      <c r="K232" t="n">
        <v>0</v>
      </c>
      <c r="L232" t="n">
        <v>0</v>
      </c>
      <c r="M232" t="n">
        <v>0</v>
      </c>
      <c r="N232" t="n">
        <v>0</v>
      </c>
      <c r="O232" t="n">
        <v>6</v>
      </c>
      <c r="P232" t="n">
        <v>0</v>
      </c>
      <c r="Q232" t="n">
        <v>8</v>
      </c>
      <c r="R232" s="2" t="inlineStr">
        <is>
          <t>Garnlav
Spillkråka
Tallticka
Talltita
Vedflamlav
Vedskivlav
Mindre märgborre
Kungsfågel</t>
        </is>
      </c>
      <c r="S232">
        <f>HYPERLINK("https://klasma.github.io/Logging_2062/artfynd/A 30904-2025 artfynd.xlsx", "A 30904-2025")</f>
        <v/>
      </c>
      <c r="T232">
        <f>HYPERLINK("https://klasma.github.io/Logging_2062/kartor/A 30904-2025 karta.png", "A 30904-2025")</f>
        <v/>
      </c>
      <c r="V232">
        <f>HYPERLINK("https://klasma.github.io/Logging_2062/klagomål/A 30904-2025 FSC-klagomål.docx", "A 30904-2025")</f>
        <v/>
      </c>
      <c r="W232">
        <f>HYPERLINK("https://klasma.github.io/Logging_2062/klagomålsmail/A 30904-2025 FSC-klagomål mail.docx", "A 30904-2025")</f>
        <v/>
      </c>
      <c r="X232">
        <f>HYPERLINK("https://klasma.github.io/Logging_2062/tillsyn/A 30904-2025 tillsynsbegäran.docx", "A 30904-2025")</f>
        <v/>
      </c>
      <c r="Y232">
        <f>HYPERLINK("https://klasma.github.io/Logging_2062/tillsynsmail/A 30904-2025 tillsynsbegäran mail.docx", "A 30904-2025")</f>
        <v/>
      </c>
      <c r="Z232">
        <f>HYPERLINK("https://klasma.github.io/Logging_2062/fåglar/A 30904-2025 prioriterade fågelarter.docx", "A 30904-2025")</f>
        <v/>
      </c>
    </row>
    <row r="233" ht="15" customHeight="1">
      <c r="A233" t="inlineStr">
        <is>
          <t>A 53705-2025</t>
        </is>
      </c>
      <c r="B233" s="1" t="n">
        <v>45960.605</v>
      </c>
      <c r="C233" s="1" t="n">
        <v>46114</v>
      </c>
      <c r="D233" t="inlineStr">
        <is>
          <t>DALARNAS LÄN</t>
        </is>
      </c>
      <c r="E233" t="inlineStr">
        <is>
          <t>ORSA</t>
        </is>
      </c>
      <c r="G233" t="n">
        <v>3</v>
      </c>
      <c r="H233" t="n">
        <v>1</v>
      </c>
      <c r="I233" t="n">
        <v>3</v>
      </c>
      <c r="J233" t="n">
        <v>4</v>
      </c>
      <c r="K233" t="n">
        <v>1</v>
      </c>
      <c r="L233" t="n">
        <v>0</v>
      </c>
      <c r="M233" t="n">
        <v>0</v>
      </c>
      <c r="N233" t="n">
        <v>0</v>
      </c>
      <c r="O233" t="n">
        <v>5</v>
      </c>
      <c r="P233" t="n">
        <v>1</v>
      </c>
      <c r="Q233" t="n">
        <v>8</v>
      </c>
      <c r="R233" s="2" t="inlineStr">
        <is>
          <t>Rynkskinn
Rosenticka
Spillkråka
Ullticka
Vedtrappmossa
Bronshjon
Skogshakmossa
Thomsons trägnagare</t>
        </is>
      </c>
      <c r="S233">
        <f>HYPERLINK("https://klasma.github.io/Logging_2034/artfynd/A 53705-2025 artfynd.xlsx", "A 53705-2025")</f>
        <v/>
      </c>
      <c r="T233">
        <f>HYPERLINK("https://klasma.github.io/Logging_2034/kartor/A 53705-2025 karta.png", "A 53705-2025")</f>
        <v/>
      </c>
      <c r="V233">
        <f>HYPERLINK("https://klasma.github.io/Logging_2034/klagomål/A 53705-2025 FSC-klagomål.docx", "A 53705-2025")</f>
        <v/>
      </c>
      <c r="W233">
        <f>HYPERLINK("https://klasma.github.io/Logging_2034/klagomålsmail/A 53705-2025 FSC-klagomål mail.docx", "A 53705-2025")</f>
        <v/>
      </c>
      <c r="X233">
        <f>HYPERLINK("https://klasma.github.io/Logging_2034/tillsyn/A 53705-2025 tillsynsbegäran.docx", "A 53705-2025")</f>
        <v/>
      </c>
      <c r="Y233">
        <f>HYPERLINK("https://klasma.github.io/Logging_2034/tillsynsmail/A 53705-2025 tillsynsbegäran mail.docx", "A 53705-2025")</f>
        <v/>
      </c>
      <c r="Z233">
        <f>HYPERLINK("https://klasma.github.io/Logging_2034/fåglar/A 53705-2025 prioriterade fågelarter.docx", "A 53705-2025")</f>
        <v/>
      </c>
    </row>
    <row r="234" ht="15" customHeight="1">
      <c r="A234" t="inlineStr">
        <is>
          <t>A 54840-2025</t>
        </is>
      </c>
      <c r="B234" s="1" t="n">
        <v>45966.68414351852</v>
      </c>
      <c r="C234" s="1" t="n">
        <v>46114</v>
      </c>
      <c r="D234" t="inlineStr">
        <is>
          <t>DALARNAS LÄN</t>
        </is>
      </c>
      <c r="E234" t="inlineStr">
        <is>
          <t>ÄLVDALEN</t>
        </is>
      </c>
      <c r="G234" t="n">
        <v>16.3</v>
      </c>
      <c r="H234" t="n">
        <v>3</v>
      </c>
      <c r="I234" t="n">
        <v>2</v>
      </c>
      <c r="J234" t="n">
        <v>4</v>
      </c>
      <c r="K234" t="n">
        <v>0</v>
      </c>
      <c r="L234" t="n">
        <v>0</v>
      </c>
      <c r="M234" t="n">
        <v>0</v>
      </c>
      <c r="N234" t="n">
        <v>0</v>
      </c>
      <c r="O234" t="n">
        <v>4</v>
      </c>
      <c r="P234" t="n">
        <v>0</v>
      </c>
      <c r="Q234" t="n">
        <v>8</v>
      </c>
      <c r="R234" s="2" t="inlineStr">
        <is>
          <t>Garnlav
Kolflarnlav
Spillkråka
Vedskivlav
Bronshjon
Mindre märgborre
Kungsfågel
Revlummer</t>
        </is>
      </c>
      <c r="S234">
        <f>HYPERLINK("https://klasma.github.io/Logging_2039/artfynd/A 54840-2025 artfynd.xlsx", "A 54840-2025")</f>
        <v/>
      </c>
      <c r="T234">
        <f>HYPERLINK("https://klasma.github.io/Logging_2039/kartor/A 54840-2025 karta.png", "A 54840-2025")</f>
        <v/>
      </c>
      <c r="V234">
        <f>HYPERLINK("https://klasma.github.io/Logging_2039/klagomål/A 54840-2025 FSC-klagomål.docx", "A 54840-2025")</f>
        <v/>
      </c>
      <c r="W234">
        <f>HYPERLINK("https://klasma.github.io/Logging_2039/klagomålsmail/A 54840-2025 FSC-klagomål mail.docx", "A 54840-2025")</f>
        <v/>
      </c>
      <c r="X234">
        <f>HYPERLINK("https://klasma.github.io/Logging_2039/tillsyn/A 54840-2025 tillsynsbegäran.docx", "A 54840-2025")</f>
        <v/>
      </c>
      <c r="Y234">
        <f>HYPERLINK("https://klasma.github.io/Logging_2039/tillsynsmail/A 54840-2025 tillsynsbegäran mail.docx", "A 54840-2025")</f>
        <v/>
      </c>
      <c r="Z234">
        <f>HYPERLINK("https://klasma.github.io/Logging_2039/fåglar/A 54840-2025 prioriterade fågelarter.docx", "A 54840-2025")</f>
        <v/>
      </c>
    </row>
    <row r="235" ht="15" customHeight="1">
      <c r="A235" t="inlineStr">
        <is>
          <t>A 29287-2024</t>
        </is>
      </c>
      <c r="B235" s="1" t="n">
        <v>45483.31681712963</v>
      </c>
      <c r="C235" s="1" t="n">
        <v>46114</v>
      </c>
      <c r="D235" t="inlineStr">
        <is>
          <t>DALARNAS LÄN</t>
        </is>
      </c>
      <c r="E235" t="inlineStr">
        <is>
          <t>VANSBRO</t>
        </is>
      </c>
      <c r="G235" t="n">
        <v>5.3</v>
      </c>
      <c r="H235" t="n">
        <v>2</v>
      </c>
      <c r="I235" t="n">
        <v>4</v>
      </c>
      <c r="J235" t="n">
        <v>2</v>
      </c>
      <c r="K235" t="n">
        <v>1</v>
      </c>
      <c r="L235" t="n">
        <v>0</v>
      </c>
      <c r="M235" t="n">
        <v>0</v>
      </c>
      <c r="N235" t="n">
        <v>0</v>
      </c>
      <c r="O235" t="n">
        <v>3</v>
      </c>
      <c r="P235" t="n">
        <v>1</v>
      </c>
      <c r="Q235" t="n">
        <v>8</v>
      </c>
      <c r="R235" s="2" t="inlineStr">
        <is>
          <t>Rotfingersvamp
Skrovlig taggsvamp
Tretåig hackspett
Bollvitmossa
Dropptaggsvamp
Mindre märgborre
Skarp dropptaggsvamp
Tjäder</t>
        </is>
      </c>
      <c r="S235">
        <f>HYPERLINK("https://klasma.github.io/Logging_2021/artfynd/A 29287-2024 artfynd.xlsx", "A 29287-2024")</f>
        <v/>
      </c>
      <c r="T235">
        <f>HYPERLINK("https://klasma.github.io/Logging_2021/kartor/A 29287-2024 karta.png", "A 29287-2024")</f>
        <v/>
      </c>
      <c r="V235">
        <f>HYPERLINK("https://klasma.github.io/Logging_2021/klagomål/A 29287-2024 FSC-klagomål.docx", "A 29287-2024")</f>
        <v/>
      </c>
      <c r="W235">
        <f>HYPERLINK("https://klasma.github.io/Logging_2021/klagomålsmail/A 29287-2024 FSC-klagomål mail.docx", "A 29287-2024")</f>
        <v/>
      </c>
      <c r="X235">
        <f>HYPERLINK("https://klasma.github.io/Logging_2021/tillsyn/A 29287-2024 tillsynsbegäran.docx", "A 29287-2024")</f>
        <v/>
      </c>
      <c r="Y235">
        <f>HYPERLINK("https://klasma.github.io/Logging_2021/tillsynsmail/A 29287-2024 tillsynsbegäran mail.docx", "A 29287-2024")</f>
        <v/>
      </c>
      <c r="Z235">
        <f>HYPERLINK("https://klasma.github.io/Logging_2021/fåglar/A 29287-2024 prioriterade fågelarter.docx", "A 29287-2024")</f>
        <v/>
      </c>
    </row>
    <row r="236" ht="15" customHeight="1">
      <c r="A236" t="inlineStr">
        <is>
          <t>A 50070-2025</t>
        </is>
      </c>
      <c r="B236" s="1" t="n">
        <v>45943</v>
      </c>
      <c r="C236" s="1" t="n">
        <v>46114</v>
      </c>
      <c r="D236" t="inlineStr">
        <is>
          <t>DALARNAS LÄN</t>
        </is>
      </c>
      <c r="E236" t="inlineStr">
        <is>
          <t>ÄLVDALEN</t>
        </is>
      </c>
      <c r="F236" t="inlineStr">
        <is>
          <t>Allmännings- och besparingsskogar</t>
        </is>
      </c>
      <c r="G236" t="n">
        <v>2.6</v>
      </c>
      <c r="H236" t="n">
        <v>3</v>
      </c>
      <c r="I236" t="n">
        <v>0</v>
      </c>
      <c r="J236" t="n">
        <v>7</v>
      </c>
      <c r="K236" t="n">
        <v>0</v>
      </c>
      <c r="L236" t="n">
        <v>0</v>
      </c>
      <c r="M236" t="n">
        <v>0</v>
      </c>
      <c r="N236" t="n">
        <v>0</v>
      </c>
      <c r="O236" t="n">
        <v>7</v>
      </c>
      <c r="P236" t="n">
        <v>0</v>
      </c>
      <c r="Q236" t="n">
        <v>8</v>
      </c>
      <c r="R236" s="2" t="inlineStr">
        <is>
          <t>Garnlav
Kolflarnlav
Mörk kolflarnlav
Spillkråka
Tallticka
Varglav
Vedskivlav
Tjäder</t>
        </is>
      </c>
      <c r="S236">
        <f>HYPERLINK("https://klasma.github.io/Logging_2039/artfynd/A 50070-2025 artfynd.xlsx", "A 50070-2025")</f>
        <v/>
      </c>
      <c r="T236">
        <f>HYPERLINK("https://klasma.github.io/Logging_2039/kartor/A 50070-2025 karta.png", "A 50070-2025")</f>
        <v/>
      </c>
      <c r="V236">
        <f>HYPERLINK("https://klasma.github.io/Logging_2039/klagomål/A 50070-2025 FSC-klagomål.docx", "A 50070-2025")</f>
        <v/>
      </c>
      <c r="W236">
        <f>HYPERLINK("https://klasma.github.io/Logging_2039/klagomålsmail/A 50070-2025 FSC-klagomål mail.docx", "A 50070-2025")</f>
        <v/>
      </c>
      <c r="X236">
        <f>HYPERLINK("https://klasma.github.io/Logging_2039/tillsyn/A 50070-2025 tillsynsbegäran.docx", "A 50070-2025")</f>
        <v/>
      </c>
      <c r="Y236">
        <f>HYPERLINK("https://klasma.github.io/Logging_2039/tillsynsmail/A 50070-2025 tillsynsbegäran mail.docx", "A 50070-2025")</f>
        <v/>
      </c>
      <c r="Z236">
        <f>HYPERLINK("https://klasma.github.io/Logging_2039/fåglar/A 50070-2025 prioriterade fågelarter.docx", "A 50070-2025")</f>
        <v/>
      </c>
    </row>
    <row r="237" ht="15" customHeight="1">
      <c r="A237" t="inlineStr">
        <is>
          <t>A 33380-2025</t>
        </is>
      </c>
      <c r="B237" s="1" t="n">
        <v>45841.40309027778</v>
      </c>
      <c r="C237" s="1" t="n">
        <v>46114</v>
      </c>
      <c r="D237" t="inlineStr">
        <is>
          <t>DALARNAS LÄN</t>
        </is>
      </c>
      <c r="E237" t="inlineStr">
        <is>
          <t>MORA</t>
        </is>
      </c>
      <c r="G237" t="n">
        <v>6.6</v>
      </c>
      <c r="H237" t="n">
        <v>5</v>
      </c>
      <c r="I237" t="n">
        <v>1</v>
      </c>
      <c r="J237" t="n">
        <v>6</v>
      </c>
      <c r="K237" t="n">
        <v>0</v>
      </c>
      <c r="L237" t="n">
        <v>0</v>
      </c>
      <c r="M237" t="n">
        <v>0</v>
      </c>
      <c r="N237" t="n">
        <v>0</v>
      </c>
      <c r="O237" t="n">
        <v>6</v>
      </c>
      <c r="P237" t="n">
        <v>0</v>
      </c>
      <c r="Q237" t="n">
        <v>8</v>
      </c>
      <c r="R237" s="2" t="inlineStr">
        <is>
          <t>Garnlav
Rödvingetrast
Spillkråka
Talltita
Tretåig hackspett
Ullticka
Mindre märgborre
Revlummer</t>
        </is>
      </c>
      <c r="S237">
        <f>HYPERLINK("https://klasma.github.io/Logging_2062/artfynd/A 33380-2025 artfynd.xlsx", "A 33380-2025")</f>
        <v/>
      </c>
      <c r="T237">
        <f>HYPERLINK("https://klasma.github.io/Logging_2062/kartor/A 33380-2025 karta.png", "A 33380-2025")</f>
        <v/>
      </c>
      <c r="V237">
        <f>HYPERLINK("https://klasma.github.io/Logging_2062/klagomål/A 33380-2025 FSC-klagomål.docx", "A 33380-2025")</f>
        <v/>
      </c>
      <c r="W237">
        <f>HYPERLINK("https://klasma.github.io/Logging_2062/klagomålsmail/A 33380-2025 FSC-klagomål mail.docx", "A 33380-2025")</f>
        <v/>
      </c>
      <c r="X237">
        <f>HYPERLINK("https://klasma.github.io/Logging_2062/tillsyn/A 33380-2025 tillsynsbegäran.docx", "A 33380-2025")</f>
        <v/>
      </c>
      <c r="Y237">
        <f>HYPERLINK("https://klasma.github.io/Logging_2062/tillsynsmail/A 33380-2025 tillsynsbegäran mail.docx", "A 33380-2025")</f>
        <v/>
      </c>
      <c r="Z237">
        <f>HYPERLINK("https://klasma.github.io/Logging_2062/fåglar/A 33380-2025 prioriterade fågelarter.docx", "A 33380-2025")</f>
        <v/>
      </c>
    </row>
    <row r="238" ht="15" customHeight="1">
      <c r="A238" t="inlineStr">
        <is>
          <t>A 43051-2025</t>
        </is>
      </c>
      <c r="B238" s="1" t="n">
        <v>45909.56883101852</v>
      </c>
      <c r="C238" s="1" t="n">
        <v>46114</v>
      </c>
      <c r="D238" t="inlineStr">
        <is>
          <t>DALARNAS LÄN</t>
        </is>
      </c>
      <c r="E238" t="inlineStr">
        <is>
          <t>ÄLVDALEN</t>
        </is>
      </c>
      <c r="G238" t="n">
        <v>1.1</v>
      </c>
      <c r="H238" t="n">
        <v>4</v>
      </c>
      <c r="I238" t="n">
        <v>1</v>
      </c>
      <c r="J238" t="n">
        <v>4</v>
      </c>
      <c r="K238" t="n">
        <v>0</v>
      </c>
      <c r="L238" t="n">
        <v>0</v>
      </c>
      <c r="M238" t="n">
        <v>0</v>
      </c>
      <c r="N238" t="n">
        <v>0</v>
      </c>
      <c r="O238" t="n">
        <v>4</v>
      </c>
      <c r="P238" t="n">
        <v>0</v>
      </c>
      <c r="Q238" t="n">
        <v>8</v>
      </c>
      <c r="R238" s="2" t="inlineStr">
        <is>
          <t>Garnlav
Skrovellav
Tretåig hackspett
Vitgrynig nållav
Bronshjon
Pärluggla
Tjäder
Revlummer</t>
        </is>
      </c>
      <c r="S238">
        <f>HYPERLINK("https://klasma.github.io/Logging_2039/artfynd/A 43051-2025 artfynd.xlsx", "A 43051-2025")</f>
        <v/>
      </c>
      <c r="T238">
        <f>HYPERLINK("https://klasma.github.io/Logging_2039/kartor/A 43051-2025 karta.png", "A 43051-2025")</f>
        <v/>
      </c>
      <c r="V238">
        <f>HYPERLINK("https://klasma.github.io/Logging_2039/klagomål/A 43051-2025 FSC-klagomål.docx", "A 43051-2025")</f>
        <v/>
      </c>
      <c r="W238">
        <f>HYPERLINK("https://klasma.github.io/Logging_2039/klagomålsmail/A 43051-2025 FSC-klagomål mail.docx", "A 43051-2025")</f>
        <v/>
      </c>
      <c r="X238">
        <f>HYPERLINK("https://klasma.github.io/Logging_2039/tillsyn/A 43051-2025 tillsynsbegäran.docx", "A 43051-2025")</f>
        <v/>
      </c>
      <c r="Y238">
        <f>HYPERLINK("https://klasma.github.io/Logging_2039/tillsynsmail/A 43051-2025 tillsynsbegäran mail.docx", "A 43051-2025")</f>
        <v/>
      </c>
      <c r="Z238">
        <f>HYPERLINK("https://klasma.github.io/Logging_2039/fåglar/A 43051-2025 prioriterade fågelarter.docx", "A 43051-2025")</f>
        <v/>
      </c>
    </row>
    <row r="239" ht="15" customHeight="1">
      <c r="A239" t="inlineStr">
        <is>
          <t>A 28671-2025</t>
        </is>
      </c>
      <c r="B239" s="1" t="n">
        <v>45819</v>
      </c>
      <c r="C239" s="1" t="n">
        <v>46114</v>
      </c>
      <c r="D239" t="inlineStr">
        <is>
          <t>DALARNAS LÄN</t>
        </is>
      </c>
      <c r="E239" t="inlineStr">
        <is>
          <t>BORLÄNGE</t>
        </is>
      </c>
      <c r="G239" t="n">
        <v>4.9</v>
      </c>
      <c r="H239" t="n">
        <v>3</v>
      </c>
      <c r="I239" t="n">
        <v>1</v>
      </c>
      <c r="J239" t="n">
        <v>5</v>
      </c>
      <c r="K239" t="n">
        <v>2</v>
      </c>
      <c r="L239" t="n">
        <v>0</v>
      </c>
      <c r="M239" t="n">
        <v>0</v>
      </c>
      <c r="N239" t="n">
        <v>0</v>
      </c>
      <c r="O239" t="n">
        <v>7</v>
      </c>
      <c r="P239" t="n">
        <v>2</v>
      </c>
      <c r="Q239" t="n">
        <v>8</v>
      </c>
      <c r="R239" s="2" t="inlineStr">
        <is>
          <t>Knärot
Rynkskinn
Granticka
Rosenticka
Spillkråka
Tretåig hackspett
Ullticka
Vedticka</t>
        </is>
      </c>
      <c r="S239">
        <f>HYPERLINK("https://klasma.github.io/Logging_2081/artfynd/A 28671-2025 artfynd.xlsx", "A 28671-2025")</f>
        <v/>
      </c>
      <c r="T239">
        <f>HYPERLINK("https://klasma.github.io/Logging_2081/kartor/A 28671-2025 karta.png", "A 28671-2025")</f>
        <v/>
      </c>
      <c r="U239">
        <f>HYPERLINK("https://klasma.github.io/Logging_2081/knärot/A 28671-2025 karta knärot.png", "A 28671-2025")</f>
        <v/>
      </c>
      <c r="V239">
        <f>HYPERLINK("https://klasma.github.io/Logging_2081/klagomål/A 28671-2025 FSC-klagomål.docx", "A 28671-2025")</f>
        <v/>
      </c>
      <c r="W239">
        <f>HYPERLINK("https://klasma.github.io/Logging_2081/klagomålsmail/A 28671-2025 FSC-klagomål mail.docx", "A 28671-2025")</f>
        <v/>
      </c>
      <c r="X239">
        <f>HYPERLINK("https://klasma.github.io/Logging_2081/tillsyn/A 28671-2025 tillsynsbegäran.docx", "A 28671-2025")</f>
        <v/>
      </c>
      <c r="Y239">
        <f>HYPERLINK("https://klasma.github.io/Logging_2081/tillsynsmail/A 28671-2025 tillsynsbegäran mail.docx", "A 28671-2025")</f>
        <v/>
      </c>
      <c r="Z239">
        <f>HYPERLINK("https://klasma.github.io/Logging_2081/fåglar/A 28671-2025 prioriterade fågelarter.docx", "A 28671-2025")</f>
        <v/>
      </c>
    </row>
    <row r="240" ht="15" customHeight="1">
      <c r="A240" t="inlineStr">
        <is>
          <t>A 1164-2026</t>
        </is>
      </c>
      <c r="B240" s="1" t="n">
        <v>46029</v>
      </c>
      <c r="C240" s="1" t="n">
        <v>46114</v>
      </c>
      <c r="D240" t="inlineStr">
        <is>
          <t>DALARNAS LÄN</t>
        </is>
      </c>
      <c r="E240" t="inlineStr">
        <is>
          <t>FALUN</t>
        </is>
      </c>
      <c r="G240" t="n">
        <v>17.9</v>
      </c>
      <c r="H240" t="n">
        <v>7</v>
      </c>
      <c r="I240" t="n">
        <v>1</v>
      </c>
      <c r="J240" t="n">
        <v>5</v>
      </c>
      <c r="K240" t="n">
        <v>1</v>
      </c>
      <c r="L240" t="n">
        <v>0</v>
      </c>
      <c r="M240" t="n">
        <v>0</v>
      </c>
      <c r="N240" t="n">
        <v>0</v>
      </c>
      <c r="O240" t="n">
        <v>6</v>
      </c>
      <c r="P240" t="n">
        <v>1</v>
      </c>
      <c r="Q240" t="n">
        <v>8</v>
      </c>
      <c r="R240" s="2" t="inlineStr">
        <is>
          <t>Knärot
Buskskvätta
Järpe
Spillkråka
Talltita
Tretåig hackspett
Mindre märgborre
Tjäder</t>
        </is>
      </c>
      <c r="S240">
        <f>HYPERLINK("https://klasma.github.io/Logging_2080/artfynd/A 1164-2026 artfynd.xlsx", "A 1164-2026")</f>
        <v/>
      </c>
      <c r="T240">
        <f>HYPERLINK("https://klasma.github.io/Logging_2080/kartor/A 1164-2026 karta.png", "A 1164-2026")</f>
        <v/>
      </c>
      <c r="U240">
        <f>HYPERLINK("https://klasma.github.io/Logging_2080/knärot/A 1164-2026 karta knärot.png", "A 1164-2026")</f>
        <v/>
      </c>
      <c r="V240">
        <f>HYPERLINK("https://klasma.github.io/Logging_2080/klagomål/A 1164-2026 FSC-klagomål.docx", "A 1164-2026")</f>
        <v/>
      </c>
      <c r="W240">
        <f>HYPERLINK("https://klasma.github.io/Logging_2080/klagomålsmail/A 1164-2026 FSC-klagomål mail.docx", "A 1164-2026")</f>
        <v/>
      </c>
      <c r="X240">
        <f>HYPERLINK("https://klasma.github.io/Logging_2080/tillsyn/A 1164-2026 tillsynsbegäran.docx", "A 1164-2026")</f>
        <v/>
      </c>
      <c r="Y240">
        <f>HYPERLINK("https://klasma.github.io/Logging_2080/tillsynsmail/A 1164-2026 tillsynsbegäran mail.docx", "A 1164-2026")</f>
        <v/>
      </c>
      <c r="Z240">
        <f>HYPERLINK("https://klasma.github.io/Logging_2080/fåglar/A 1164-2026 prioriterade fågelarter.docx", "A 1164-2026")</f>
        <v/>
      </c>
    </row>
    <row r="241" ht="15" customHeight="1">
      <c r="A241" t="inlineStr">
        <is>
          <t>A 2762-2026</t>
        </is>
      </c>
      <c r="B241" s="1" t="n">
        <v>46036</v>
      </c>
      <c r="C241" s="1" t="n">
        <v>46114</v>
      </c>
      <c r="D241" t="inlineStr">
        <is>
          <t>DALARNAS LÄN</t>
        </is>
      </c>
      <c r="E241" t="inlineStr">
        <is>
          <t>MORA</t>
        </is>
      </c>
      <c r="G241" t="n">
        <v>5.7</v>
      </c>
      <c r="H241" t="n">
        <v>2</v>
      </c>
      <c r="I241" t="n">
        <v>1</v>
      </c>
      <c r="J241" t="n">
        <v>7</v>
      </c>
      <c r="K241" t="n">
        <v>0</v>
      </c>
      <c r="L241" t="n">
        <v>0</v>
      </c>
      <c r="M241" t="n">
        <v>0</v>
      </c>
      <c r="N241" t="n">
        <v>0</v>
      </c>
      <c r="O241" t="n">
        <v>7</v>
      </c>
      <c r="P241" t="n">
        <v>0</v>
      </c>
      <c r="Q241" t="n">
        <v>8</v>
      </c>
      <c r="R241" s="2" t="inlineStr">
        <is>
          <t>Garnlav
Kolflarnlav
Mörk kolflarnlav
Spillkråka
Tretåig hackspett
Vedflamlav
Vedskivlav
Mindre märgborre</t>
        </is>
      </c>
      <c r="S241">
        <f>HYPERLINK("https://klasma.github.io/Logging_2062/artfynd/A 2762-2026 artfynd.xlsx", "A 2762-2026")</f>
        <v/>
      </c>
      <c r="T241">
        <f>HYPERLINK("https://klasma.github.io/Logging_2062/kartor/A 2762-2026 karta.png", "A 2762-2026")</f>
        <v/>
      </c>
      <c r="V241">
        <f>HYPERLINK("https://klasma.github.io/Logging_2062/klagomål/A 2762-2026 FSC-klagomål.docx", "A 2762-2026")</f>
        <v/>
      </c>
      <c r="W241">
        <f>HYPERLINK("https://klasma.github.io/Logging_2062/klagomålsmail/A 2762-2026 FSC-klagomål mail.docx", "A 2762-2026")</f>
        <v/>
      </c>
      <c r="X241">
        <f>HYPERLINK("https://klasma.github.io/Logging_2062/tillsyn/A 2762-2026 tillsynsbegäran.docx", "A 2762-2026")</f>
        <v/>
      </c>
      <c r="Y241">
        <f>HYPERLINK("https://klasma.github.io/Logging_2062/tillsynsmail/A 2762-2026 tillsynsbegäran mail.docx", "A 2762-2026")</f>
        <v/>
      </c>
      <c r="Z241">
        <f>HYPERLINK("https://klasma.github.io/Logging_2062/fåglar/A 2762-2026 prioriterade fågelarter.docx", "A 2762-2026")</f>
        <v/>
      </c>
    </row>
    <row r="242" ht="15" customHeight="1">
      <c r="A242" t="inlineStr">
        <is>
          <t>A 15915-2022</t>
        </is>
      </c>
      <c r="B242" s="1" t="n">
        <v>44664</v>
      </c>
      <c r="C242" s="1" t="n">
        <v>46114</v>
      </c>
      <c r="D242" t="inlineStr">
        <is>
          <t>DALARNAS LÄN</t>
        </is>
      </c>
      <c r="E242" t="inlineStr">
        <is>
          <t>FALUN</t>
        </is>
      </c>
      <c r="F242" t="inlineStr">
        <is>
          <t>Bergvik skog väst AB</t>
        </is>
      </c>
      <c r="G242" t="n">
        <v>2.9</v>
      </c>
      <c r="H242" t="n">
        <v>2</v>
      </c>
      <c r="I242" t="n">
        <v>5</v>
      </c>
      <c r="J242" t="n">
        <v>2</v>
      </c>
      <c r="K242" t="n">
        <v>1</v>
      </c>
      <c r="L242" t="n">
        <v>0</v>
      </c>
      <c r="M242" t="n">
        <v>0</v>
      </c>
      <c r="N242" t="n">
        <v>0</v>
      </c>
      <c r="O242" t="n">
        <v>3</v>
      </c>
      <c r="P242" t="n">
        <v>1</v>
      </c>
      <c r="Q242" t="n">
        <v>8</v>
      </c>
      <c r="R242" s="2" t="inlineStr">
        <is>
          <t>Knärot
Spillkråka
Ullticka
Bronshjon
Dropptaggsvamp
Mindre märgborre
Thomsons trägnagare
Vågbandad barkbock</t>
        </is>
      </c>
      <c r="S242">
        <f>HYPERLINK("https://klasma.github.io/Logging_2080/artfynd/A 15915-2022 artfynd.xlsx", "A 15915-2022")</f>
        <v/>
      </c>
      <c r="T242">
        <f>HYPERLINK("https://klasma.github.io/Logging_2080/kartor/A 15915-2022 karta.png", "A 15915-2022")</f>
        <v/>
      </c>
      <c r="U242">
        <f>HYPERLINK("https://klasma.github.io/Logging_2080/knärot/A 15915-2022 karta knärot.png", "A 15915-2022")</f>
        <v/>
      </c>
      <c r="V242">
        <f>HYPERLINK("https://klasma.github.io/Logging_2080/klagomål/A 15915-2022 FSC-klagomål.docx", "A 15915-2022")</f>
        <v/>
      </c>
      <c r="W242">
        <f>HYPERLINK("https://klasma.github.io/Logging_2080/klagomålsmail/A 15915-2022 FSC-klagomål mail.docx", "A 15915-2022")</f>
        <v/>
      </c>
      <c r="X242">
        <f>HYPERLINK("https://klasma.github.io/Logging_2080/tillsyn/A 15915-2022 tillsynsbegäran.docx", "A 15915-2022")</f>
        <v/>
      </c>
      <c r="Y242">
        <f>HYPERLINK("https://klasma.github.io/Logging_2080/tillsynsmail/A 15915-2022 tillsynsbegäran mail.docx", "A 15915-2022")</f>
        <v/>
      </c>
      <c r="Z242">
        <f>HYPERLINK("https://klasma.github.io/Logging_2080/fåglar/A 15915-2022 prioriterade fågelarter.docx", "A 15915-2022")</f>
        <v/>
      </c>
    </row>
    <row r="243" ht="15" customHeight="1">
      <c r="A243" t="inlineStr">
        <is>
          <t>A 1482-2026</t>
        </is>
      </c>
      <c r="B243" s="1" t="n">
        <v>46033.93405092593</v>
      </c>
      <c r="C243" s="1" t="n">
        <v>46114</v>
      </c>
      <c r="D243" t="inlineStr">
        <is>
          <t>DALARNAS LÄN</t>
        </is>
      </c>
      <c r="E243" t="inlineStr">
        <is>
          <t>MALUNG-SÄLEN</t>
        </is>
      </c>
      <c r="G243" t="n">
        <v>2.7</v>
      </c>
      <c r="H243" t="n">
        <v>3</v>
      </c>
      <c r="I243" t="n">
        <v>1</v>
      </c>
      <c r="J243" t="n">
        <v>5</v>
      </c>
      <c r="K243" t="n">
        <v>1</v>
      </c>
      <c r="L243" t="n">
        <v>0</v>
      </c>
      <c r="M243" t="n">
        <v>0</v>
      </c>
      <c r="N243" t="n">
        <v>0</v>
      </c>
      <c r="O243" t="n">
        <v>6</v>
      </c>
      <c r="P243" t="n">
        <v>1</v>
      </c>
      <c r="Q243" t="n">
        <v>8</v>
      </c>
      <c r="R243" s="2" t="inlineStr">
        <is>
          <t>Rynkskinn
Garnlav
Gränsticka
Spillkråka
Tretåig hackspett
Ullticka
Vedticka
Tjäder</t>
        </is>
      </c>
      <c r="S243">
        <f>HYPERLINK("https://klasma.github.io/Logging_2023/artfynd/A 1482-2026 artfynd.xlsx", "A 1482-2026")</f>
        <v/>
      </c>
      <c r="T243">
        <f>HYPERLINK("https://klasma.github.io/Logging_2023/kartor/A 1482-2026 karta.png", "A 1482-2026")</f>
        <v/>
      </c>
      <c r="V243">
        <f>HYPERLINK("https://klasma.github.io/Logging_2023/klagomål/A 1482-2026 FSC-klagomål.docx", "A 1482-2026")</f>
        <v/>
      </c>
      <c r="W243">
        <f>HYPERLINK("https://klasma.github.io/Logging_2023/klagomålsmail/A 1482-2026 FSC-klagomål mail.docx", "A 1482-2026")</f>
        <v/>
      </c>
      <c r="X243">
        <f>HYPERLINK("https://klasma.github.io/Logging_2023/tillsyn/A 1482-2026 tillsynsbegäran.docx", "A 1482-2026")</f>
        <v/>
      </c>
      <c r="Y243">
        <f>HYPERLINK("https://klasma.github.io/Logging_2023/tillsynsmail/A 1482-2026 tillsynsbegäran mail.docx", "A 1482-2026")</f>
        <v/>
      </c>
      <c r="Z243">
        <f>HYPERLINK("https://klasma.github.io/Logging_2023/fåglar/A 1482-2026 prioriterade fågelarter.docx", "A 1482-2026")</f>
        <v/>
      </c>
    </row>
    <row r="244" ht="15" customHeight="1">
      <c r="A244" t="inlineStr">
        <is>
          <t>A 1455-2026</t>
        </is>
      </c>
      <c r="B244" s="1" t="n">
        <v>46033</v>
      </c>
      <c r="C244" s="1" t="n">
        <v>46114</v>
      </c>
      <c r="D244" t="inlineStr">
        <is>
          <t>DALARNAS LÄN</t>
        </is>
      </c>
      <c r="E244" t="inlineStr">
        <is>
          <t>HEDEMORA</t>
        </is>
      </c>
      <c r="G244" t="n">
        <v>1.4</v>
      </c>
      <c r="H244" t="n">
        <v>2</v>
      </c>
      <c r="I244" t="n">
        <v>3</v>
      </c>
      <c r="J244" t="n">
        <v>4</v>
      </c>
      <c r="K244" t="n">
        <v>1</v>
      </c>
      <c r="L244" t="n">
        <v>0</v>
      </c>
      <c r="M244" t="n">
        <v>0</v>
      </c>
      <c r="N244" t="n">
        <v>0</v>
      </c>
      <c r="O244" t="n">
        <v>5</v>
      </c>
      <c r="P244" t="n">
        <v>1</v>
      </c>
      <c r="Q244" t="n">
        <v>8</v>
      </c>
      <c r="R244" s="2" t="inlineStr">
        <is>
          <t>Knärot
Blågrå svartspik
Gropticka
Tretåig hackspett
Ullticka
Bronshjon
Vedticka
Vågbandad barkbock</t>
        </is>
      </c>
      <c r="S244">
        <f>HYPERLINK("https://klasma.github.io/Logging_2083/artfynd/A 1455-2026 artfynd.xlsx", "A 1455-2026")</f>
        <v/>
      </c>
      <c r="T244">
        <f>HYPERLINK("https://klasma.github.io/Logging_2083/kartor/A 1455-2026 karta.png", "A 1455-2026")</f>
        <v/>
      </c>
      <c r="U244">
        <f>HYPERLINK("https://klasma.github.io/Logging_2083/knärot/A 1455-2026 karta knärot.png", "A 1455-2026")</f>
        <v/>
      </c>
      <c r="V244">
        <f>HYPERLINK("https://klasma.github.io/Logging_2083/klagomål/A 1455-2026 FSC-klagomål.docx", "A 1455-2026")</f>
        <v/>
      </c>
      <c r="W244">
        <f>HYPERLINK("https://klasma.github.io/Logging_2083/klagomålsmail/A 1455-2026 FSC-klagomål mail.docx", "A 1455-2026")</f>
        <v/>
      </c>
      <c r="X244">
        <f>HYPERLINK("https://klasma.github.io/Logging_2083/tillsyn/A 1455-2026 tillsynsbegäran.docx", "A 1455-2026")</f>
        <v/>
      </c>
      <c r="Y244">
        <f>HYPERLINK("https://klasma.github.io/Logging_2083/tillsynsmail/A 1455-2026 tillsynsbegäran mail.docx", "A 1455-2026")</f>
        <v/>
      </c>
      <c r="Z244">
        <f>HYPERLINK("https://klasma.github.io/Logging_2083/fåglar/A 1455-2026 prioriterade fågelarter.docx", "A 1455-2026")</f>
        <v/>
      </c>
    </row>
    <row r="245" ht="15" customHeight="1">
      <c r="A245" t="inlineStr">
        <is>
          <t>A 23427-2025</t>
        </is>
      </c>
      <c r="B245" s="1" t="n">
        <v>45792</v>
      </c>
      <c r="C245" s="1" t="n">
        <v>46114</v>
      </c>
      <c r="D245" t="inlineStr">
        <is>
          <t>DALARNAS LÄN</t>
        </is>
      </c>
      <c r="E245" t="inlineStr">
        <is>
          <t>ÄLVDALEN</t>
        </is>
      </c>
      <c r="F245" t="inlineStr">
        <is>
          <t>Bergvik skog väst AB</t>
        </is>
      </c>
      <c r="G245" t="n">
        <v>11.7</v>
      </c>
      <c r="H245" t="n">
        <v>4</v>
      </c>
      <c r="I245" t="n">
        <v>1</v>
      </c>
      <c r="J245" t="n">
        <v>5</v>
      </c>
      <c r="K245" t="n">
        <v>0</v>
      </c>
      <c r="L245" t="n">
        <v>0</v>
      </c>
      <c r="M245" t="n">
        <v>0</v>
      </c>
      <c r="N245" t="n">
        <v>0</v>
      </c>
      <c r="O245" t="n">
        <v>5</v>
      </c>
      <c r="P245" t="n">
        <v>0</v>
      </c>
      <c r="Q245" t="n">
        <v>8</v>
      </c>
      <c r="R245" s="2" t="inlineStr">
        <is>
          <t>Blågrå svartspik
Garnlav
Tretåig hackspett
Varglav
Vedflamlav
Bronshjon
Fläcknycklar
Revlummer</t>
        </is>
      </c>
      <c r="S245">
        <f>HYPERLINK("https://klasma.github.io/Logging_2039/artfynd/A 23427-2025 artfynd.xlsx", "A 23427-2025")</f>
        <v/>
      </c>
      <c r="T245">
        <f>HYPERLINK("https://klasma.github.io/Logging_2039/kartor/A 23427-2025 karta.png", "A 23427-2025")</f>
        <v/>
      </c>
      <c r="V245">
        <f>HYPERLINK("https://klasma.github.io/Logging_2039/klagomål/A 23427-2025 FSC-klagomål.docx", "A 23427-2025")</f>
        <v/>
      </c>
      <c r="W245">
        <f>HYPERLINK("https://klasma.github.io/Logging_2039/klagomålsmail/A 23427-2025 FSC-klagomål mail.docx", "A 23427-2025")</f>
        <v/>
      </c>
      <c r="X245">
        <f>HYPERLINK("https://klasma.github.io/Logging_2039/tillsyn/A 23427-2025 tillsynsbegäran.docx", "A 23427-2025")</f>
        <v/>
      </c>
      <c r="Y245">
        <f>HYPERLINK("https://klasma.github.io/Logging_2039/tillsynsmail/A 23427-2025 tillsynsbegäran mail.docx", "A 23427-2025")</f>
        <v/>
      </c>
      <c r="Z245">
        <f>HYPERLINK("https://klasma.github.io/Logging_2039/fåglar/A 23427-2025 prioriterade fågelarter.docx", "A 23427-2025")</f>
        <v/>
      </c>
    </row>
    <row r="246" ht="15" customHeight="1">
      <c r="A246" t="inlineStr">
        <is>
          <t>A 71652-2021</t>
        </is>
      </c>
      <c r="B246" s="1" t="n">
        <v>44543</v>
      </c>
      <c r="C246" s="1" t="n">
        <v>46114</v>
      </c>
      <c r="D246" t="inlineStr">
        <is>
          <t>DALARNAS LÄN</t>
        </is>
      </c>
      <c r="E246" t="inlineStr">
        <is>
          <t>ÄLVDALEN</t>
        </is>
      </c>
      <c r="G246" t="n">
        <v>4.3</v>
      </c>
      <c r="H246" t="n">
        <v>3</v>
      </c>
      <c r="I246" t="n">
        <v>2</v>
      </c>
      <c r="J246" t="n">
        <v>6</v>
      </c>
      <c r="K246" t="n">
        <v>0</v>
      </c>
      <c r="L246" t="n">
        <v>0</v>
      </c>
      <c r="M246" t="n">
        <v>0</v>
      </c>
      <c r="N246" t="n">
        <v>0</v>
      </c>
      <c r="O246" t="n">
        <v>6</v>
      </c>
      <c r="P246" t="n">
        <v>0</v>
      </c>
      <c r="Q246" t="n">
        <v>8</v>
      </c>
      <c r="R246" s="2" t="inlineStr">
        <is>
          <t>Garnlav
Kolflarnlav
Spillkråka
Talltita
Tretåig hackspett
Vedskivlav
Björksplintborre
Mindre märgborre</t>
        </is>
      </c>
      <c r="S246">
        <f>HYPERLINK("https://klasma.github.io/Logging_2039/artfynd/A 71652-2021 artfynd.xlsx", "A 71652-2021")</f>
        <v/>
      </c>
      <c r="T246">
        <f>HYPERLINK("https://klasma.github.io/Logging_2039/kartor/A 71652-2021 karta.png", "A 71652-2021")</f>
        <v/>
      </c>
      <c r="V246">
        <f>HYPERLINK("https://klasma.github.io/Logging_2039/klagomål/A 71652-2021 FSC-klagomål.docx", "A 71652-2021")</f>
        <v/>
      </c>
      <c r="W246">
        <f>HYPERLINK("https://klasma.github.io/Logging_2039/klagomålsmail/A 71652-2021 FSC-klagomål mail.docx", "A 71652-2021")</f>
        <v/>
      </c>
      <c r="X246">
        <f>HYPERLINK("https://klasma.github.io/Logging_2039/tillsyn/A 71652-2021 tillsynsbegäran.docx", "A 71652-2021")</f>
        <v/>
      </c>
      <c r="Y246">
        <f>HYPERLINK("https://klasma.github.io/Logging_2039/tillsynsmail/A 71652-2021 tillsynsbegäran mail.docx", "A 71652-2021")</f>
        <v/>
      </c>
      <c r="Z246">
        <f>HYPERLINK("https://klasma.github.io/Logging_2039/fåglar/A 71652-2021 prioriterade fågelarter.docx", "A 71652-2021")</f>
        <v/>
      </c>
    </row>
    <row r="247" ht="15" customHeight="1">
      <c r="A247" t="inlineStr">
        <is>
          <t>A 6176-2026</t>
        </is>
      </c>
      <c r="B247" s="1" t="n">
        <v>46055.34652777778</v>
      </c>
      <c r="C247" s="1" t="n">
        <v>46114</v>
      </c>
      <c r="D247" t="inlineStr">
        <is>
          <t>DALARNAS LÄN</t>
        </is>
      </c>
      <c r="E247" t="inlineStr">
        <is>
          <t>MALUNG-SÄLEN</t>
        </is>
      </c>
      <c r="F247" t="inlineStr">
        <is>
          <t>Kommuner</t>
        </is>
      </c>
      <c r="G247" t="n">
        <v>7.1</v>
      </c>
      <c r="H247" t="n">
        <v>1</v>
      </c>
      <c r="I247" t="n">
        <v>1</v>
      </c>
      <c r="J247" t="n">
        <v>6</v>
      </c>
      <c r="K247" t="n">
        <v>0</v>
      </c>
      <c r="L247" t="n">
        <v>0</v>
      </c>
      <c r="M247" t="n">
        <v>0</v>
      </c>
      <c r="N247" t="n">
        <v>0</v>
      </c>
      <c r="O247" t="n">
        <v>6</v>
      </c>
      <c r="P247" t="n">
        <v>0</v>
      </c>
      <c r="Q247" t="n">
        <v>8</v>
      </c>
      <c r="R247" s="2" t="inlineStr">
        <is>
          <t>Dvärgbägarlav
Garnlav
Kolflarnlav
Mörk kolflarnlav
Vedflamlav
Vedskivlav
Nästlav
Tjäder</t>
        </is>
      </c>
      <c r="S247">
        <f>HYPERLINK("https://klasma.github.io/Logging_2023/artfynd/A 6176-2026 artfynd.xlsx", "A 6176-2026")</f>
        <v/>
      </c>
      <c r="T247">
        <f>HYPERLINK("https://klasma.github.io/Logging_2023/kartor/A 6176-2026 karta.png", "A 6176-2026")</f>
        <v/>
      </c>
      <c r="V247">
        <f>HYPERLINK("https://klasma.github.io/Logging_2023/klagomål/A 6176-2026 FSC-klagomål.docx", "A 6176-2026")</f>
        <v/>
      </c>
      <c r="W247">
        <f>HYPERLINK("https://klasma.github.io/Logging_2023/klagomålsmail/A 6176-2026 FSC-klagomål mail.docx", "A 6176-2026")</f>
        <v/>
      </c>
      <c r="X247">
        <f>HYPERLINK("https://klasma.github.io/Logging_2023/tillsyn/A 6176-2026 tillsynsbegäran.docx", "A 6176-2026")</f>
        <v/>
      </c>
      <c r="Y247">
        <f>HYPERLINK("https://klasma.github.io/Logging_2023/tillsynsmail/A 6176-2026 tillsynsbegäran mail.docx", "A 6176-2026")</f>
        <v/>
      </c>
      <c r="Z247">
        <f>HYPERLINK("https://klasma.github.io/Logging_2023/fåglar/A 6176-2026 prioriterade fågelarter.docx", "A 6176-2026")</f>
        <v/>
      </c>
    </row>
    <row r="248" ht="15" customHeight="1">
      <c r="A248" t="inlineStr">
        <is>
          <t>A 7951-2026</t>
        </is>
      </c>
      <c r="B248" s="1" t="n">
        <v>46063.42481481482</v>
      </c>
      <c r="C248" s="1" t="n">
        <v>46114</v>
      </c>
      <c r="D248" t="inlineStr">
        <is>
          <t>DALARNAS LÄN</t>
        </is>
      </c>
      <c r="E248" t="inlineStr">
        <is>
          <t>MORA</t>
        </is>
      </c>
      <c r="G248" t="n">
        <v>2.9</v>
      </c>
      <c r="H248" t="n">
        <v>3</v>
      </c>
      <c r="I248" t="n">
        <v>1</v>
      </c>
      <c r="J248" t="n">
        <v>6</v>
      </c>
      <c r="K248" t="n">
        <v>0</v>
      </c>
      <c r="L248" t="n">
        <v>0</v>
      </c>
      <c r="M248" t="n">
        <v>0</v>
      </c>
      <c r="N248" t="n">
        <v>0</v>
      </c>
      <c r="O248" t="n">
        <v>6</v>
      </c>
      <c r="P248" t="n">
        <v>0</v>
      </c>
      <c r="Q248" t="n">
        <v>8</v>
      </c>
      <c r="R248" s="2" t="inlineStr">
        <is>
          <t>Garnlav
Mörk kolflarnlav
Spillkråka
Tretåig hackspett
Vedflamlav
Vedskivlav
Mindre märgborre
Tjäder</t>
        </is>
      </c>
      <c r="S248">
        <f>HYPERLINK("https://klasma.github.io/Logging_2062/artfynd/A 7951-2026 artfynd.xlsx", "A 7951-2026")</f>
        <v/>
      </c>
      <c r="T248">
        <f>HYPERLINK("https://klasma.github.io/Logging_2062/kartor/A 7951-2026 karta.png", "A 7951-2026")</f>
        <v/>
      </c>
      <c r="V248">
        <f>HYPERLINK("https://klasma.github.io/Logging_2062/klagomål/A 7951-2026 FSC-klagomål.docx", "A 7951-2026")</f>
        <v/>
      </c>
      <c r="W248">
        <f>HYPERLINK("https://klasma.github.io/Logging_2062/klagomålsmail/A 7951-2026 FSC-klagomål mail.docx", "A 7951-2026")</f>
        <v/>
      </c>
      <c r="X248">
        <f>HYPERLINK("https://klasma.github.io/Logging_2062/tillsyn/A 7951-2026 tillsynsbegäran.docx", "A 7951-2026")</f>
        <v/>
      </c>
      <c r="Y248">
        <f>HYPERLINK("https://klasma.github.io/Logging_2062/tillsynsmail/A 7951-2026 tillsynsbegäran mail.docx", "A 7951-2026")</f>
        <v/>
      </c>
      <c r="Z248">
        <f>HYPERLINK("https://klasma.github.io/Logging_2062/fåglar/A 7951-2026 prioriterade fågelarter.docx", "A 7951-2026")</f>
        <v/>
      </c>
    </row>
    <row r="249" ht="15" customHeight="1">
      <c r="A249" t="inlineStr">
        <is>
          <t>A 62829-2025</t>
        </is>
      </c>
      <c r="B249" s="1" t="n">
        <v>46008</v>
      </c>
      <c r="C249" s="1" t="n">
        <v>46114</v>
      </c>
      <c r="D249" t="inlineStr">
        <is>
          <t>DALARNAS LÄN</t>
        </is>
      </c>
      <c r="E249" t="inlineStr">
        <is>
          <t>ORSA</t>
        </is>
      </c>
      <c r="G249" t="n">
        <v>10.4</v>
      </c>
      <c r="H249" t="n">
        <v>3</v>
      </c>
      <c r="I249" t="n">
        <v>1</v>
      </c>
      <c r="J249" t="n">
        <v>6</v>
      </c>
      <c r="K249" t="n">
        <v>0</v>
      </c>
      <c r="L249" t="n">
        <v>0</v>
      </c>
      <c r="M249" t="n">
        <v>0</v>
      </c>
      <c r="N249" t="n">
        <v>0</v>
      </c>
      <c r="O249" t="n">
        <v>6</v>
      </c>
      <c r="P249" t="n">
        <v>0</v>
      </c>
      <c r="Q249" t="n">
        <v>8</v>
      </c>
      <c r="R249" s="2" t="inlineStr">
        <is>
          <t>Blanksvart spiklav
Garnlav
Mörk kolflarnlav
Spillkråka
Tallticka
Tretåig hackspett
Mindre märgborre
Tjäder</t>
        </is>
      </c>
      <c r="S249">
        <f>HYPERLINK("https://klasma.github.io/Logging_2034/artfynd/A 62829-2025 artfynd.xlsx", "A 62829-2025")</f>
        <v/>
      </c>
      <c r="T249">
        <f>HYPERLINK("https://klasma.github.io/Logging_2034/kartor/A 62829-2025 karta.png", "A 62829-2025")</f>
        <v/>
      </c>
      <c r="V249">
        <f>HYPERLINK("https://klasma.github.io/Logging_2034/klagomål/A 62829-2025 FSC-klagomål.docx", "A 62829-2025")</f>
        <v/>
      </c>
      <c r="W249">
        <f>HYPERLINK("https://klasma.github.io/Logging_2034/klagomålsmail/A 62829-2025 FSC-klagomål mail.docx", "A 62829-2025")</f>
        <v/>
      </c>
      <c r="X249">
        <f>HYPERLINK("https://klasma.github.io/Logging_2034/tillsyn/A 62829-2025 tillsynsbegäran.docx", "A 62829-2025")</f>
        <v/>
      </c>
      <c r="Y249">
        <f>HYPERLINK("https://klasma.github.io/Logging_2034/tillsynsmail/A 62829-2025 tillsynsbegäran mail.docx", "A 62829-2025")</f>
        <v/>
      </c>
      <c r="Z249">
        <f>HYPERLINK("https://klasma.github.io/Logging_2034/fåglar/A 62829-2025 prioriterade fågelarter.docx", "A 62829-2025")</f>
        <v/>
      </c>
    </row>
    <row r="250" ht="15" customHeight="1">
      <c r="A250" t="inlineStr">
        <is>
          <t>A 51041-2025</t>
        </is>
      </c>
      <c r="B250" s="1" t="n">
        <v>45947</v>
      </c>
      <c r="C250" s="1" t="n">
        <v>46114</v>
      </c>
      <c r="D250" t="inlineStr">
        <is>
          <t>DALARNAS LÄN</t>
        </is>
      </c>
      <c r="E250" t="inlineStr">
        <is>
          <t>ÄLVDALEN</t>
        </is>
      </c>
      <c r="G250" t="n">
        <v>10.4</v>
      </c>
      <c r="H250" t="n">
        <v>4</v>
      </c>
      <c r="I250" t="n">
        <v>1</v>
      </c>
      <c r="J250" t="n">
        <v>5</v>
      </c>
      <c r="K250" t="n">
        <v>0</v>
      </c>
      <c r="L250" t="n">
        <v>0</v>
      </c>
      <c r="M250" t="n">
        <v>0</v>
      </c>
      <c r="N250" t="n">
        <v>0</v>
      </c>
      <c r="O250" t="n">
        <v>5</v>
      </c>
      <c r="P250" t="n">
        <v>0</v>
      </c>
      <c r="Q250" t="n">
        <v>8</v>
      </c>
      <c r="R250" s="2" t="inlineStr">
        <is>
          <t>Garnlav
Spillkråka
Tallticka
Talltita
Vedskivlav
Mindre märgborre
Kungsfågel
Tjäder</t>
        </is>
      </c>
      <c r="S250">
        <f>HYPERLINK("https://klasma.github.io/Logging_2039/artfynd/A 51041-2025 artfynd.xlsx", "A 51041-2025")</f>
        <v/>
      </c>
      <c r="T250">
        <f>HYPERLINK("https://klasma.github.io/Logging_2039/kartor/A 51041-2025 karta.png", "A 51041-2025")</f>
        <v/>
      </c>
      <c r="V250">
        <f>HYPERLINK("https://klasma.github.io/Logging_2039/klagomål/A 51041-2025 FSC-klagomål.docx", "A 51041-2025")</f>
        <v/>
      </c>
      <c r="W250">
        <f>HYPERLINK("https://klasma.github.io/Logging_2039/klagomålsmail/A 51041-2025 FSC-klagomål mail.docx", "A 51041-2025")</f>
        <v/>
      </c>
      <c r="X250">
        <f>HYPERLINK("https://klasma.github.io/Logging_2039/tillsyn/A 51041-2025 tillsynsbegäran.docx", "A 51041-2025")</f>
        <v/>
      </c>
      <c r="Y250">
        <f>HYPERLINK("https://klasma.github.io/Logging_2039/tillsynsmail/A 51041-2025 tillsynsbegäran mail.docx", "A 51041-2025")</f>
        <v/>
      </c>
      <c r="Z250">
        <f>HYPERLINK("https://klasma.github.io/Logging_2039/fåglar/A 51041-2025 prioriterade fågelarter.docx", "A 51041-2025")</f>
        <v/>
      </c>
    </row>
    <row r="251" ht="15" customHeight="1">
      <c r="A251" t="inlineStr">
        <is>
          <t>A 17715-2024</t>
        </is>
      </c>
      <c r="B251" s="1" t="n">
        <v>45415</v>
      </c>
      <c r="C251" s="1" t="n">
        <v>46114</v>
      </c>
      <c r="D251" t="inlineStr">
        <is>
          <t>DALARNAS LÄN</t>
        </is>
      </c>
      <c r="E251" t="inlineStr">
        <is>
          <t>ÄLVDALEN</t>
        </is>
      </c>
      <c r="F251" t="inlineStr">
        <is>
          <t>Övriga statliga verk och myndigheter</t>
        </is>
      </c>
      <c r="G251" t="n">
        <v>19.2</v>
      </c>
      <c r="H251" t="n">
        <v>1</v>
      </c>
      <c r="I251" t="n">
        <v>1</v>
      </c>
      <c r="J251" t="n">
        <v>6</v>
      </c>
      <c r="K251" t="n">
        <v>0</v>
      </c>
      <c r="L251" t="n">
        <v>0</v>
      </c>
      <c r="M251" t="n">
        <v>0</v>
      </c>
      <c r="N251" t="n">
        <v>0</v>
      </c>
      <c r="O251" t="n">
        <v>6</v>
      </c>
      <c r="P251" t="n">
        <v>0</v>
      </c>
      <c r="Q251" t="n">
        <v>8</v>
      </c>
      <c r="R251" s="2" t="inlineStr">
        <is>
          <t>Dvärgbägarlav
Kolflarnlav
Mörk kolflarnlav
Reliktbock
Vedflamlav
Vedskivlav
Dropptaggsvamp
Tjäder</t>
        </is>
      </c>
      <c r="S251">
        <f>HYPERLINK("https://klasma.github.io/Logging_2039/artfynd/A 17715-2024 artfynd.xlsx", "A 17715-2024")</f>
        <v/>
      </c>
      <c r="T251">
        <f>HYPERLINK("https://klasma.github.io/Logging_2039/kartor/A 17715-2024 karta.png", "A 17715-2024")</f>
        <v/>
      </c>
      <c r="V251">
        <f>HYPERLINK("https://klasma.github.io/Logging_2039/klagomål/A 17715-2024 FSC-klagomål.docx", "A 17715-2024")</f>
        <v/>
      </c>
      <c r="W251">
        <f>HYPERLINK("https://klasma.github.io/Logging_2039/klagomålsmail/A 17715-2024 FSC-klagomål mail.docx", "A 17715-2024")</f>
        <v/>
      </c>
      <c r="X251">
        <f>HYPERLINK("https://klasma.github.io/Logging_2039/tillsyn/A 17715-2024 tillsynsbegäran.docx", "A 17715-2024")</f>
        <v/>
      </c>
      <c r="Y251">
        <f>HYPERLINK("https://klasma.github.io/Logging_2039/tillsynsmail/A 17715-2024 tillsynsbegäran mail.docx", "A 17715-2024")</f>
        <v/>
      </c>
      <c r="Z251">
        <f>HYPERLINK("https://klasma.github.io/Logging_2039/fåglar/A 17715-2024 prioriterade fågelarter.docx", "A 17715-2024")</f>
        <v/>
      </c>
    </row>
    <row r="252" ht="15" customHeight="1">
      <c r="A252" t="inlineStr">
        <is>
          <t>A 14785-2023</t>
        </is>
      </c>
      <c r="B252" s="1" t="n">
        <v>45014</v>
      </c>
      <c r="C252" s="1" t="n">
        <v>46114</v>
      </c>
      <c r="D252" t="inlineStr">
        <is>
          <t>DALARNAS LÄN</t>
        </is>
      </c>
      <c r="E252" t="inlineStr">
        <is>
          <t>AVESTA</t>
        </is>
      </c>
      <c r="G252" t="n">
        <v>6.7</v>
      </c>
      <c r="H252" t="n">
        <v>1</v>
      </c>
      <c r="I252" t="n">
        <v>4</v>
      </c>
      <c r="J252" t="n">
        <v>0</v>
      </c>
      <c r="K252" t="n">
        <v>0</v>
      </c>
      <c r="L252" t="n">
        <v>4</v>
      </c>
      <c r="M252" t="n">
        <v>0</v>
      </c>
      <c r="N252" t="n">
        <v>0</v>
      </c>
      <c r="O252" t="n">
        <v>4</v>
      </c>
      <c r="P252" t="n">
        <v>4</v>
      </c>
      <c r="Q252" t="n">
        <v>8</v>
      </c>
      <c r="R252" s="2" t="inlineStr">
        <is>
          <t>Gråblå skinnlav
Mikroskapania
Svämskapania
Timmerskapania
Korallblylav
Piskbaronmossa
Skinnlav
Trubbfjädermossa</t>
        </is>
      </c>
      <c r="S252">
        <f>HYPERLINK("https://klasma.github.io/Logging_2084/artfynd/A 14785-2023 artfynd.xlsx", "A 14785-2023")</f>
        <v/>
      </c>
      <c r="T252">
        <f>HYPERLINK("https://klasma.github.io/Logging_2084/kartor/A 14785-2023 karta.png", "A 14785-2023")</f>
        <v/>
      </c>
      <c r="V252">
        <f>HYPERLINK("https://klasma.github.io/Logging_2084/klagomål/A 14785-2023 FSC-klagomål.docx", "A 14785-2023")</f>
        <v/>
      </c>
      <c r="W252">
        <f>HYPERLINK("https://klasma.github.io/Logging_2084/klagomålsmail/A 14785-2023 FSC-klagomål mail.docx", "A 14785-2023")</f>
        <v/>
      </c>
      <c r="X252">
        <f>HYPERLINK("https://klasma.github.io/Logging_2084/tillsyn/A 14785-2023 tillsynsbegäran.docx", "A 14785-2023")</f>
        <v/>
      </c>
      <c r="Y252">
        <f>HYPERLINK("https://klasma.github.io/Logging_2084/tillsynsmail/A 14785-2023 tillsynsbegäran mail.docx", "A 14785-2023")</f>
        <v/>
      </c>
    </row>
    <row r="253" ht="15" customHeight="1">
      <c r="A253" t="inlineStr">
        <is>
          <t>A 31749-2024</t>
        </is>
      </c>
      <c r="B253" s="1" t="n">
        <v>45509.42555555556</v>
      </c>
      <c r="C253" s="1" t="n">
        <v>46114</v>
      </c>
      <c r="D253" t="inlineStr">
        <is>
          <t>DALARNAS LÄN</t>
        </is>
      </c>
      <c r="E253" t="inlineStr">
        <is>
          <t>LUDVIKA</t>
        </is>
      </c>
      <c r="G253" t="n">
        <v>6.7</v>
      </c>
      <c r="H253" t="n">
        <v>1</v>
      </c>
      <c r="I253" t="n">
        <v>6</v>
      </c>
      <c r="J253" t="n">
        <v>0</v>
      </c>
      <c r="K253" t="n">
        <v>1</v>
      </c>
      <c r="L253" t="n">
        <v>0</v>
      </c>
      <c r="M253" t="n">
        <v>0</v>
      </c>
      <c r="N253" t="n">
        <v>0</v>
      </c>
      <c r="O253" t="n">
        <v>1</v>
      </c>
      <c r="P253" t="n">
        <v>1</v>
      </c>
      <c r="Q253" t="n">
        <v>8</v>
      </c>
      <c r="R253" s="2" t="inlineStr">
        <is>
          <t>Rynkskinn
Sotriska
Svart trolldruva
Svavelriska
Tibast
Underviol
Vårärt
Blåsippa</t>
        </is>
      </c>
      <c r="S253">
        <f>HYPERLINK("https://klasma.github.io/Logging_2085/artfynd/A 31749-2024 artfynd.xlsx", "A 31749-2024")</f>
        <v/>
      </c>
      <c r="T253">
        <f>HYPERLINK("https://klasma.github.io/Logging_2085/kartor/A 31749-2024 karta.png", "A 31749-2024")</f>
        <v/>
      </c>
      <c r="V253">
        <f>HYPERLINK("https://klasma.github.io/Logging_2085/klagomål/A 31749-2024 FSC-klagomål.docx", "A 31749-2024")</f>
        <v/>
      </c>
      <c r="W253">
        <f>HYPERLINK("https://klasma.github.io/Logging_2085/klagomålsmail/A 31749-2024 FSC-klagomål mail.docx", "A 31749-2024")</f>
        <v/>
      </c>
      <c r="X253">
        <f>HYPERLINK("https://klasma.github.io/Logging_2085/tillsyn/A 31749-2024 tillsynsbegäran.docx", "A 31749-2024")</f>
        <v/>
      </c>
      <c r="Y253">
        <f>HYPERLINK("https://klasma.github.io/Logging_2085/tillsynsmail/A 31749-2024 tillsynsbegäran mail.docx", "A 31749-2024")</f>
        <v/>
      </c>
    </row>
    <row r="254" ht="15" customHeight="1">
      <c r="A254" t="inlineStr">
        <is>
          <t>A 29429-2025</t>
        </is>
      </c>
      <c r="B254" s="1" t="n">
        <v>45824.64866898148</v>
      </c>
      <c r="C254" s="1" t="n">
        <v>46114</v>
      </c>
      <c r="D254" t="inlineStr">
        <is>
          <t>DALARNAS LÄN</t>
        </is>
      </c>
      <c r="E254" t="inlineStr">
        <is>
          <t>RÄTTVIK</t>
        </is>
      </c>
      <c r="G254" t="n">
        <v>5.6</v>
      </c>
      <c r="H254" t="n">
        <v>3</v>
      </c>
      <c r="I254" t="n">
        <v>1</v>
      </c>
      <c r="J254" t="n">
        <v>4</v>
      </c>
      <c r="K254" t="n">
        <v>1</v>
      </c>
      <c r="L254" t="n">
        <v>0</v>
      </c>
      <c r="M254" t="n">
        <v>0</v>
      </c>
      <c r="N254" t="n">
        <v>0</v>
      </c>
      <c r="O254" t="n">
        <v>5</v>
      </c>
      <c r="P254" t="n">
        <v>1</v>
      </c>
      <c r="Q254" t="n">
        <v>8</v>
      </c>
      <c r="R254" s="2" t="inlineStr">
        <is>
          <t>Knärot
Garnlav
Granticka
Rosenticka
Ullticka
Vedticka
Nattviol
Blåsippa</t>
        </is>
      </c>
      <c r="S254">
        <f>HYPERLINK("https://klasma.github.io/Logging_2031/artfynd/A 29429-2025 artfynd.xlsx", "A 29429-2025")</f>
        <v/>
      </c>
      <c r="T254">
        <f>HYPERLINK("https://klasma.github.io/Logging_2031/kartor/A 29429-2025 karta.png", "A 29429-2025")</f>
        <v/>
      </c>
      <c r="U254">
        <f>HYPERLINK("https://klasma.github.io/Logging_2031/knärot/A 29429-2025 karta knärot.png", "A 29429-2025")</f>
        <v/>
      </c>
      <c r="V254">
        <f>HYPERLINK("https://klasma.github.io/Logging_2031/klagomål/A 29429-2025 FSC-klagomål.docx", "A 29429-2025")</f>
        <v/>
      </c>
      <c r="W254">
        <f>HYPERLINK("https://klasma.github.io/Logging_2031/klagomålsmail/A 29429-2025 FSC-klagomål mail.docx", "A 29429-2025")</f>
        <v/>
      </c>
      <c r="X254">
        <f>HYPERLINK("https://klasma.github.io/Logging_2031/tillsyn/A 29429-2025 tillsynsbegäran.docx", "A 29429-2025")</f>
        <v/>
      </c>
      <c r="Y254">
        <f>HYPERLINK("https://klasma.github.io/Logging_2031/tillsynsmail/A 29429-2025 tillsynsbegäran mail.docx", "A 29429-2025")</f>
        <v/>
      </c>
    </row>
    <row r="255" ht="15" customHeight="1">
      <c r="A255" t="inlineStr">
        <is>
          <t>A 30224-2025</t>
        </is>
      </c>
      <c r="B255" s="1" t="n">
        <v>45827.37719907407</v>
      </c>
      <c r="C255" s="1" t="n">
        <v>46114</v>
      </c>
      <c r="D255" t="inlineStr">
        <is>
          <t>DALARNAS LÄN</t>
        </is>
      </c>
      <c r="E255" t="inlineStr">
        <is>
          <t>LEKSAND</t>
        </is>
      </c>
      <c r="G255" t="n">
        <v>14.6</v>
      </c>
      <c r="H255" t="n">
        <v>1</v>
      </c>
      <c r="I255" t="n">
        <v>1</v>
      </c>
      <c r="J255" t="n">
        <v>7</v>
      </c>
      <c r="K255" t="n">
        <v>0</v>
      </c>
      <c r="L255" t="n">
        <v>0</v>
      </c>
      <c r="M255" t="n">
        <v>0</v>
      </c>
      <c r="N255" t="n">
        <v>0</v>
      </c>
      <c r="O255" t="n">
        <v>7</v>
      </c>
      <c r="P255" t="n">
        <v>0</v>
      </c>
      <c r="Q255" t="n">
        <v>8</v>
      </c>
      <c r="R255" s="2" t="inlineStr">
        <is>
          <t>Garnlav
Kolflarnlav
Spillkråka
Tallticka
Ullticka
Vedflamlav
Vedskivlav
Mindre märgborre</t>
        </is>
      </c>
      <c r="S255">
        <f>HYPERLINK("https://klasma.github.io/Logging_2029/artfynd/A 30224-2025 artfynd.xlsx", "A 30224-2025")</f>
        <v/>
      </c>
      <c r="T255">
        <f>HYPERLINK("https://klasma.github.io/Logging_2029/kartor/A 30224-2025 karta.png", "A 30224-2025")</f>
        <v/>
      </c>
      <c r="V255">
        <f>HYPERLINK("https://klasma.github.io/Logging_2029/klagomål/A 30224-2025 FSC-klagomål.docx", "A 30224-2025")</f>
        <v/>
      </c>
      <c r="W255">
        <f>HYPERLINK("https://klasma.github.io/Logging_2029/klagomålsmail/A 30224-2025 FSC-klagomål mail.docx", "A 30224-2025")</f>
        <v/>
      </c>
      <c r="X255">
        <f>HYPERLINK("https://klasma.github.io/Logging_2029/tillsyn/A 30224-2025 tillsynsbegäran.docx", "A 30224-2025")</f>
        <v/>
      </c>
      <c r="Y255">
        <f>HYPERLINK("https://klasma.github.io/Logging_2029/tillsynsmail/A 30224-2025 tillsynsbegäran mail.docx", "A 30224-2025")</f>
        <v/>
      </c>
      <c r="Z255">
        <f>HYPERLINK("https://klasma.github.io/Logging_2029/fåglar/A 30224-2025 prioriterade fågelarter.docx", "A 30224-2025")</f>
        <v/>
      </c>
    </row>
    <row r="256" ht="15" customHeight="1">
      <c r="A256" t="inlineStr">
        <is>
          <t>A 31521-2025</t>
        </is>
      </c>
      <c r="B256" s="1" t="n">
        <v>45833</v>
      </c>
      <c r="C256" s="1" t="n">
        <v>46114</v>
      </c>
      <c r="D256" t="inlineStr">
        <is>
          <t>DALARNAS LÄN</t>
        </is>
      </c>
      <c r="E256" t="inlineStr">
        <is>
          <t>VANSBRO</t>
        </is>
      </c>
      <c r="G256" t="n">
        <v>12.2</v>
      </c>
      <c r="H256" t="n">
        <v>2</v>
      </c>
      <c r="I256" t="n">
        <v>4</v>
      </c>
      <c r="J256" t="n">
        <v>3</v>
      </c>
      <c r="K256" t="n">
        <v>1</v>
      </c>
      <c r="L256" t="n">
        <v>0</v>
      </c>
      <c r="M256" t="n">
        <v>0</v>
      </c>
      <c r="N256" t="n">
        <v>0</v>
      </c>
      <c r="O256" t="n">
        <v>4</v>
      </c>
      <c r="P256" t="n">
        <v>1</v>
      </c>
      <c r="Q256" t="n">
        <v>8</v>
      </c>
      <c r="R256" s="2" t="inlineStr">
        <is>
          <t>Knärot
Garnlav
Kolflarnlav
Mörk kolflarnlav
Bollvitmossa
Dropptaggsvamp
Mindre märgborre
Spindelblomster</t>
        </is>
      </c>
      <c r="S256">
        <f>HYPERLINK("https://klasma.github.io/Logging_2021/artfynd/A 31521-2025 artfynd.xlsx", "A 31521-2025")</f>
        <v/>
      </c>
      <c r="T256">
        <f>HYPERLINK("https://klasma.github.io/Logging_2021/kartor/A 31521-2025 karta.png", "A 31521-2025")</f>
        <v/>
      </c>
      <c r="U256">
        <f>HYPERLINK("https://klasma.github.io/Logging_2021/knärot/A 31521-2025 karta knärot.png", "A 31521-2025")</f>
        <v/>
      </c>
      <c r="V256">
        <f>HYPERLINK("https://klasma.github.io/Logging_2021/klagomål/A 31521-2025 FSC-klagomål.docx", "A 31521-2025")</f>
        <v/>
      </c>
      <c r="W256">
        <f>HYPERLINK("https://klasma.github.io/Logging_2021/klagomålsmail/A 31521-2025 FSC-klagomål mail.docx", "A 31521-2025")</f>
        <v/>
      </c>
      <c r="X256">
        <f>HYPERLINK("https://klasma.github.io/Logging_2021/tillsyn/A 31521-2025 tillsynsbegäran.docx", "A 31521-2025")</f>
        <v/>
      </c>
      <c r="Y256">
        <f>HYPERLINK("https://klasma.github.io/Logging_2021/tillsynsmail/A 31521-2025 tillsynsbegäran mail.docx", "A 31521-2025")</f>
        <v/>
      </c>
    </row>
    <row r="257" ht="15" customHeight="1">
      <c r="A257" t="inlineStr">
        <is>
          <t>A 8305-2022</t>
        </is>
      </c>
      <c r="B257" s="1" t="n">
        <v>44610.4637962963</v>
      </c>
      <c r="C257" s="1" t="n">
        <v>46114</v>
      </c>
      <c r="D257" t="inlineStr">
        <is>
          <t>DALARNAS LÄN</t>
        </is>
      </c>
      <c r="E257" t="inlineStr">
        <is>
          <t>MALUNG-SÄLEN</t>
        </is>
      </c>
      <c r="G257" t="n">
        <v>2.7</v>
      </c>
      <c r="H257" t="n">
        <v>0</v>
      </c>
      <c r="I257" t="n">
        <v>1</v>
      </c>
      <c r="J257" t="n">
        <v>6</v>
      </c>
      <c r="K257" t="n">
        <v>0</v>
      </c>
      <c r="L257" t="n">
        <v>0</v>
      </c>
      <c r="M257" t="n">
        <v>0</v>
      </c>
      <c r="N257" t="n">
        <v>0</v>
      </c>
      <c r="O257" t="n">
        <v>6</v>
      </c>
      <c r="P257" t="n">
        <v>0</v>
      </c>
      <c r="Q257" t="n">
        <v>7</v>
      </c>
      <c r="R257" s="2" t="inlineStr">
        <is>
          <t>Garnlav
Mörk kolflarnlav
Skrovlig taggsvamp
Svart taggsvamp agg.
Vaxspindling
Vedskivlav
Mindre märgborre</t>
        </is>
      </c>
      <c r="S257">
        <f>HYPERLINK("https://klasma.github.io/Logging_2023/artfynd/A 8305-2022 artfynd.xlsx", "A 8305-2022")</f>
        <v/>
      </c>
      <c r="T257">
        <f>HYPERLINK("https://klasma.github.io/Logging_2023/kartor/A 8305-2022 karta.png", "A 8305-2022")</f>
        <v/>
      </c>
      <c r="V257">
        <f>HYPERLINK("https://klasma.github.io/Logging_2023/klagomål/A 8305-2022 FSC-klagomål.docx", "A 8305-2022")</f>
        <v/>
      </c>
      <c r="W257">
        <f>HYPERLINK("https://klasma.github.io/Logging_2023/klagomålsmail/A 8305-2022 FSC-klagomål mail.docx", "A 8305-2022")</f>
        <v/>
      </c>
      <c r="X257">
        <f>HYPERLINK("https://klasma.github.io/Logging_2023/tillsyn/A 8305-2022 tillsynsbegäran.docx", "A 8305-2022")</f>
        <v/>
      </c>
      <c r="Y257">
        <f>HYPERLINK("https://klasma.github.io/Logging_2023/tillsynsmail/A 8305-2022 tillsynsbegäran mail.docx", "A 8305-2022")</f>
        <v/>
      </c>
    </row>
    <row r="258" ht="15" customHeight="1">
      <c r="A258" t="inlineStr">
        <is>
          <t>A 34602-2025</t>
        </is>
      </c>
      <c r="B258" s="1" t="n">
        <v>45847</v>
      </c>
      <c r="C258" s="1" t="n">
        <v>46114</v>
      </c>
      <c r="D258" t="inlineStr">
        <is>
          <t>DALARNAS LÄN</t>
        </is>
      </c>
      <c r="E258" t="inlineStr">
        <is>
          <t>SÄTER</t>
        </is>
      </c>
      <c r="G258" t="n">
        <v>14.2</v>
      </c>
      <c r="H258" t="n">
        <v>3</v>
      </c>
      <c r="I258" t="n">
        <v>3</v>
      </c>
      <c r="J258" t="n">
        <v>2</v>
      </c>
      <c r="K258" t="n">
        <v>2</v>
      </c>
      <c r="L258" t="n">
        <v>0</v>
      </c>
      <c r="M258" t="n">
        <v>0</v>
      </c>
      <c r="N258" t="n">
        <v>0</v>
      </c>
      <c r="O258" t="n">
        <v>4</v>
      </c>
      <c r="P258" t="n">
        <v>2</v>
      </c>
      <c r="Q258" t="n">
        <v>7</v>
      </c>
      <c r="R258" s="2" t="inlineStr">
        <is>
          <t>Knärot
Rynkskinn
Spillkråka
Ullticka
Grönpyrola
Plattlummer
Vedticka</t>
        </is>
      </c>
      <c r="S258">
        <f>HYPERLINK("https://klasma.github.io/Logging_2082/artfynd/A 34602-2025 artfynd.xlsx", "A 34602-2025")</f>
        <v/>
      </c>
      <c r="T258">
        <f>HYPERLINK("https://klasma.github.io/Logging_2082/kartor/A 34602-2025 karta.png", "A 34602-2025")</f>
        <v/>
      </c>
      <c r="U258">
        <f>HYPERLINK("https://klasma.github.io/Logging_2082/knärot/A 34602-2025 karta knärot.png", "A 34602-2025")</f>
        <v/>
      </c>
      <c r="V258">
        <f>HYPERLINK("https://klasma.github.io/Logging_2082/klagomål/A 34602-2025 FSC-klagomål.docx", "A 34602-2025")</f>
        <v/>
      </c>
      <c r="W258">
        <f>HYPERLINK("https://klasma.github.io/Logging_2082/klagomålsmail/A 34602-2025 FSC-klagomål mail.docx", "A 34602-2025")</f>
        <v/>
      </c>
      <c r="X258">
        <f>HYPERLINK("https://klasma.github.io/Logging_2082/tillsyn/A 34602-2025 tillsynsbegäran.docx", "A 34602-2025")</f>
        <v/>
      </c>
      <c r="Y258">
        <f>HYPERLINK("https://klasma.github.io/Logging_2082/tillsynsmail/A 34602-2025 tillsynsbegäran mail.docx", "A 34602-2025")</f>
        <v/>
      </c>
      <c r="Z258">
        <f>HYPERLINK("https://klasma.github.io/Logging_2082/fåglar/A 34602-2025 prioriterade fågelarter.docx", "A 34602-2025")</f>
        <v/>
      </c>
    </row>
    <row r="259" ht="15" customHeight="1">
      <c r="A259" t="inlineStr">
        <is>
          <t>A 36849-2025</t>
        </is>
      </c>
      <c r="B259" s="1" t="n">
        <v>45874.38917824074</v>
      </c>
      <c r="C259" s="1" t="n">
        <v>46114</v>
      </c>
      <c r="D259" t="inlineStr">
        <is>
          <t>DALARNAS LÄN</t>
        </is>
      </c>
      <c r="E259" t="inlineStr">
        <is>
          <t>RÄTTVIK</t>
        </is>
      </c>
      <c r="F259" t="inlineStr">
        <is>
          <t>Bergvik skog väst AB</t>
        </is>
      </c>
      <c r="G259" t="n">
        <v>26</v>
      </c>
      <c r="H259" t="n">
        <v>2</v>
      </c>
      <c r="I259" t="n">
        <v>2</v>
      </c>
      <c r="J259" t="n">
        <v>3</v>
      </c>
      <c r="K259" t="n">
        <v>0</v>
      </c>
      <c r="L259" t="n">
        <v>0</v>
      </c>
      <c r="M259" t="n">
        <v>0</v>
      </c>
      <c r="N259" t="n">
        <v>0</v>
      </c>
      <c r="O259" t="n">
        <v>3</v>
      </c>
      <c r="P259" t="n">
        <v>0</v>
      </c>
      <c r="Q259" t="n">
        <v>7</v>
      </c>
      <c r="R259" s="2" t="inlineStr">
        <is>
          <t>Gränsticka
Lunglav
Ullticka
Stuplav
Svart trolldruva
Tjäder
Blåsippa</t>
        </is>
      </c>
      <c r="S259">
        <f>HYPERLINK("https://klasma.github.io/Logging_2031/artfynd/A 36849-2025 artfynd.xlsx", "A 36849-2025")</f>
        <v/>
      </c>
      <c r="T259">
        <f>HYPERLINK("https://klasma.github.io/Logging_2031/kartor/A 36849-2025 karta.png", "A 36849-2025")</f>
        <v/>
      </c>
      <c r="V259">
        <f>HYPERLINK("https://klasma.github.io/Logging_2031/klagomål/A 36849-2025 FSC-klagomål.docx", "A 36849-2025")</f>
        <v/>
      </c>
      <c r="W259">
        <f>HYPERLINK("https://klasma.github.io/Logging_2031/klagomålsmail/A 36849-2025 FSC-klagomål mail.docx", "A 36849-2025")</f>
        <v/>
      </c>
      <c r="X259">
        <f>HYPERLINK("https://klasma.github.io/Logging_2031/tillsyn/A 36849-2025 tillsynsbegäran.docx", "A 36849-2025")</f>
        <v/>
      </c>
      <c r="Y259">
        <f>HYPERLINK("https://klasma.github.io/Logging_2031/tillsynsmail/A 36849-2025 tillsynsbegäran mail.docx", "A 36849-2025")</f>
        <v/>
      </c>
      <c r="Z259">
        <f>HYPERLINK("https://klasma.github.io/Logging_2031/fåglar/A 36849-2025 prioriterade fågelarter.docx", "A 36849-2025")</f>
        <v/>
      </c>
    </row>
    <row r="260" ht="15" customHeight="1">
      <c r="A260" t="inlineStr">
        <is>
          <t>A 42712-2025</t>
        </is>
      </c>
      <c r="B260" s="1" t="n">
        <v>45908</v>
      </c>
      <c r="C260" s="1" t="n">
        <v>46114</v>
      </c>
      <c r="D260" t="inlineStr">
        <is>
          <t>DALARNAS LÄN</t>
        </is>
      </c>
      <c r="E260" t="inlineStr">
        <is>
          <t>LUDVIKA</t>
        </is>
      </c>
      <c r="F260" t="inlineStr">
        <is>
          <t>Bergvik skog väst AB</t>
        </is>
      </c>
      <c r="G260" t="n">
        <v>9.300000000000001</v>
      </c>
      <c r="H260" t="n">
        <v>2</v>
      </c>
      <c r="I260" t="n">
        <v>1</v>
      </c>
      <c r="J260" t="n">
        <v>6</v>
      </c>
      <c r="K260" t="n">
        <v>0</v>
      </c>
      <c r="L260" t="n">
        <v>0</v>
      </c>
      <c r="M260" t="n">
        <v>0</v>
      </c>
      <c r="N260" t="n">
        <v>0</v>
      </c>
      <c r="O260" t="n">
        <v>6</v>
      </c>
      <c r="P260" t="n">
        <v>0</v>
      </c>
      <c r="Q260" t="n">
        <v>7</v>
      </c>
      <c r="R260" s="2" t="inlineStr">
        <is>
          <t>Garnlav
Kolflarnlav
Mörk kolflarnlav
Tretåig hackspett
Varglav
Vedskivlav
Nästlav</t>
        </is>
      </c>
      <c r="S260">
        <f>HYPERLINK("https://klasma.github.io/Logging_2085/artfynd/A 42712-2025 artfynd.xlsx", "A 42712-2025")</f>
        <v/>
      </c>
      <c r="T260">
        <f>HYPERLINK("https://klasma.github.io/Logging_2085/kartor/A 42712-2025 karta.png", "A 42712-2025")</f>
        <v/>
      </c>
      <c r="U260">
        <f>HYPERLINK("https://klasma.github.io/Logging_2085/knärot/A 42712-2025 karta knärot.png", "A 42712-2025")</f>
        <v/>
      </c>
      <c r="V260">
        <f>HYPERLINK("https://klasma.github.io/Logging_2085/klagomål/A 42712-2025 FSC-klagomål.docx", "A 42712-2025")</f>
        <v/>
      </c>
      <c r="W260">
        <f>HYPERLINK("https://klasma.github.io/Logging_2085/klagomålsmail/A 42712-2025 FSC-klagomål mail.docx", "A 42712-2025")</f>
        <v/>
      </c>
      <c r="X260">
        <f>HYPERLINK("https://klasma.github.io/Logging_2085/tillsyn/A 42712-2025 tillsynsbegäran.docx", "A 42712-2025")</f>
        <v/>
      </c>
      <c r="Y260">
        <f>HYPERLINK("https://klasma.github.io/Logging_2085/tillsynsmail/A 42712-2025 tillsynsbegäran mail.docx", "A 42712-2025")</f>
        <v/>
      </c>
      <c r="Z260">
        <f>HYPERLINK("https://klasma.github.io/Logging_2085/fåglar/A 42712-2025 prioriterade fågelarter.docx", "A 42712-2025")</f>
        <v/>
      </c>
    </row>
    <row r="261" ht="15" customHeight="1">
      <c r="A261" t="inlineStr">
        <is>
          <t>A 38277-2025</t>
        </is>
      </c>
      <c r="B261" s="1" t="n">
        <v>45883.41177083334</v>
      </c>
      <c r="C261" s="1" t="n">
        <v>46114</v>
      </c>
      <c r="D261" t="inlineStr">
        <is>
          <t>DALARNAS LÄN</t>
        </is>
      </c>
      <c r="E261" t="inlineStr">
        <is>
          <t>BORLÄNGE</t>
        </is>
      </c>
      <c r="F261" t="inlineStr">
        <is>
          <t>Bergvik skog väst AB</t>
        </is>
      </c>
      <c r="G261" t="n">
        <v>8.4</v>
      </c>
      <c r="H261" t="n">
        <v>3</v>
      </c>
      <c r="I261" t="n">
        <v>3</v>
      </c>
      <c r="J261" t="n">
        <v>4</v>
      </c>
      <c r="K261" t="n">
        <v>0</v>
      </c>
      <c r="L261" t="n">
        <v>0</v>
      </c>
      <c r="M261" t="n">
        <v>0</v>
      </c>
      <c r="N261" t="n">
        <v>0</v>
      </c>
      <c r="O261" t="n">
        <v>4</v>
      </c>
      <c r="P261" t="n">
        <v>0</v>
      </c>
      <c r="Q261" t="n">
        <v>7</v>
      </c>
      <c r="R261" s="2" t="inlineStr">
        <is>
          <t>Blå taggsvamp
Garnlav
Spillkråka
Tretåig hackspett
Dropptaggsvamp
Plattlummer
Skarp dropptaggsvamp</t>
        </is>
      </c>
      <c r="S261">
        <f>HYPERLINK("https://klasma.github.io/Logging_2081/artfynd/A 38277-2025 artfynd.xlsx", "A 38277-2025")</f>
        <v/>
      </c>
      <c r="T261">
        <f>HYPERLINK("https://klasma.github.io/Logging_2081/kartor/A 38277-2025 karta.png", "A 38277-2025")</f>
        <v/>
      </c>
      <c r="V261">
        <f>HYPERLINK("https://klasma.github.io/Logging_2081/klagomål/A 38277-2025 FSC-klagomål.docx", "A 38277-2025")</f>
        <v/>
      </c>
      <c r="W261">
        <f>HYPERLINK("https://klasma.github.io/Logging_2081/klagomålsmail/A 38277-2025 FSC-klagomål mail.docx", "A 38277-2025")</f>
        <v/>
      </c>
      <c r="X261">
        <f>HYPERLINK("https://klasma.github.io/Logging_2081/tillsyn/A 38277-2025 tillsynsbegäran.docx", "A 38277-2025")</f>
        <v/>
      </c>
      <c r="Y261">
        <f>HYPERLINK("https://klasma.github.io/Logging_2081/tillsynsmail/A 38277-2025 tillsynsbegäran mail.docx", "A 38277-2025")</f>
        <v/>
      </c>
      <c r="Z261">
        <f>HYPERLINK("https://klasma.github.io/Logging_2081/fåglar/A 38277-2025 prioriterade fågelarter.docx", "A 38277-2025")</f>
        <v/>
      </c>
    </row>
    <row r="262" ht="15" customHeight="1">
      <c r="A262" t="inlineStr">
        <is>
          <t>A 38725-2025</t>
        </is>
      </c>
      <c r="B262" s="1" t="n">
        <v>45887.30237268518</v>
      </c>
      <c r="C262" s="1" t="n">
        <v>46114</v>
      </c>
      <c r="D262" t="inlineStr">
        <is>
          <t>DALARNAS LÄN</t>
        </is>
      </c>
      <c r="E262" t="inlineStr">
        <is>
          <t>HEDEMORA</t>
        </is>
      </c>
      <c r="G262" t="n">
        <v>8.199999999999999</v>
      </c>
      <c r="H262" t="n">
        <v>0</v>
      </c>
      <c r="I262" t="n">
        <v>3</v>
      </c>
      <c r="J262" t="n">
        <v>3</v>
      </c>
      <c r="K262" t="n">
        <v>1</v>
      </c>
      <c r="L262" t="n">
        <v>0</v>
      </c>
      <c r="M262" t="n">
        <v>0</v>
      </c>
      <c r="N262" t="n">
        <v>0</v>
      </c>
      <c r="O262" t="n">
        <v>4</v>
      </c>
      <c r="P262" t="n">
        <v>1</v>
      </c>
      <c r="Q262" t="n">
        <v>7</v>
      </c>
      <c r="R262" s="2" t="inlineStr">
        <is>
          <t>Grangråticka
Odörspindling
Persiljespindling
Puderspindling
Fjällig taggsvamp s.str.
Olivspindling
Svavelriska</t>
        </is>
      </c>
      <c r="S262">
        <f>HYPERLINK("https://klasma.github.io/Logging_2083/artfynd/A 38725-2025 artfynd.xlsx", "A 38725-2025")</f>
        <v/>
      </c>
      <c r="T262">
        <f>HYPERLINK("https://klasma.github.io/Logging_2083/kartor/A 38725-2025 karta.png", "A 38725-2025")</f>
        <v/>
      </c>
      <c r="V262">
        <f>HYPERLINK("https://klasma.github.io/Logging_2083/klagomål/A 38725-2025 FSC-klagomål.docx", "A 38725-2025")</f>
        <v/>
      </c>
      <c r="W262">
        <f>HYPERLINK("https://klasma.github.io/Logging_2083/klagomålsmail/A 38725-2025 FSC-klagomål mail.docx", "A 38725-2025")</f>
        <v/>
      </c>
      <c r="X262">
        <f>HYPERLINK("https://klasma.github.io/Logging_2083/tillsyn/A 38725-2025 tillsynsbegäran.docx", "A 38725-2025")</f>
        <v/>
      </c>
      <c r="Y262">
        <f>HYPERLINK("https://klasma.github.io/Logging_2083/tillsynsmail/A 38725-2025 tillsynsbegäran mail.docx", "A 38725-2025")</f>
        <v/>
      </c>
    </row>
    <row r="263" ht="15" customHeight="1">
      <c r="A263" t="inlineStr">
        <is>
          <t>A 9783-2024</t>
        </is>
      </c>
      <c r="B263" s="1" t="n">
        <v>45362</v>
      </c>
      <c r="C263" s="1" t="n">
        <v>46114</v>
      </c>
      <c r="D263" t="inlineStr">
        <is>
          <t>DALARNAS LÄN</t>
        </is>
      </c>
      <c r="E263" t="inlineStr">
        <is>
          <t>ÄLVDALEN</t>
        </is>
      </c>
      <c r="F263" t="inlineStr">
        <is>
          <t>Övriga statliga verk och myndigheter</t>
        </is>
      </c>
      <c r="G263" t="n">
        <v>7</v>
      </c>
      <c r="H263" t="n">
        <v>0</v>
      </c>
      <c r="I263" t="n">
        <v>1</v>
      </c>
      <c r="J263" t="n">
        <v>6</v>
      </c>
      <c r="K263" t="n">
        <v>0</v>
      </c>
      <c r="L263" t="n">
        <v>0</v>
      </c>
      <c r="M263" t="n">
        <v>0</v>
      </c>
      <c r="N263" t="n">
        <v>0</v>
      </c>
      <c r="O263" t="n">
        <v>6</v>
      </c>
      <c r="P263" t="n">
        <v>0</v>
      </c>
      <c r="Q263" t="n">
        <v>7</v>
      </c>
      <c r="R263" s="2" t="inlineStr">
        <is>
          <t>Blanksvart spiklav
Blågrå svartspik
Kolflarnlav
Mörk kolflarnlav
Vedflamlav
Vedskivlav
Dropptaggsvamp</t>
        </is>
      </c>
      <c r="S263">
        <f>HYPERLINK("https://klasma.github.io/Logging_2039/artfynd/A 9783-2024 artfynd.xlsx", "A 9783-2024")</f>
        <v/>
      </c>
      <c r="T263">
        <f>HYPERLINK("https://klasma.github.io/Logging_2039/kartor/A 9783-2024 karta.png", "A 9783-2024")</f>
        <v/>
      </c>
      <c r="V263">
        <f>HYPERLINK("https://klasma.github.io/Logging_2039/klagomål/A 9783-2024 FSC-klagomål.docx", "A 9783-2024")</f>
        <v/>
      </c>
      <c r="W263">
        <f>HYPERLINK("https://klasma.github.io/Logging_2039/klagomålsmail/A 9783-2024 FSC-klagomål mail.docx", "A 9783-2024")</f>
        <v/>
      </c>
      <c r="X263">
        <f>HYPERLINK("https://klasma.github.io/Logging_2039/tillsyn/A 9783-2024 tillsynsbegäran.docx", "A 9783-2024")</f>
        <v/>
      </c>
      <c r="Y263">
        <f>HYPERLINK("https://klasma.github.io/Logging_2039/tillsynsmail/A 9783-2024 tillsynsbegäran mail.docx", "A 9783-2024")</f>
        <v/>
      </c>
    </row>
    <row r="264" ht="15" customHeight="1">
      <c r="A264" t="inlineStr">
        <is>
          <t>A 46305-2025</t>
        </is>
      </c>
      <c r="B264" s="1" t="n">
        <v>45925.4190625</v>
      </c>
      <c r="C264" s="1" t="n">
        <v>46114</v>
      </c>
      <c r="D264" t="inlineStr">
        <is>
          <t>DALARNAS LÄN</t>
        </is>
      </c>
      <c r="E264" t="inlineStr">
        <is>
          <t>ÄLVDALEN</t>
        </is>
      </c>
      <c r="F264" t="inlineStr">
        <is>
          <t>Allmännings- och besparingsskogar</t>
        </is>
      </c>
      <c r="G264" t="n">
        <v>6.4</v>
      </c>
      <c r="H264" t="n">
        <v>1</v>
      </c>
      <c r="I264" t="n">
        <v>1</v>
      </c>
      <c r="J264" t="n">
        <v>5</v>
      </c>
      <c r="K264" t="n">
        <v>0</v>
      </c>
      <c r="L264" t="n">
        <v>0</v>
      </c>
      <c r="M264" t="n">
        <v>0</v>
      </c>
      <c r="N264" t="n">
        <v>0</v>
      </c>
      <c r="O264" t="n">
        <v>5</v>
      </c>
      <c r="P264" t="n">
        <v>0</v>
      </c>
      <c r="Q264" t="n">
        <v>7</v>
      </c>
      <c r="R264" s="2" t="inlineStr">
        <is>
          <t>Garnlav
Kolflarnlav
Mörk kolflarnlav
Vedflamlav
Vedskivlav
Mindre märgborre
Tjäder</t>
        </is>
      </c>
      <c r="S264">
        <f>HYPERLINK("https://klasma.github.io/Logging_2039/artfynd/A 46305-2025 artfynd.xlsx", "A 46305-2025")</f>
        <v/>
      </c>
      <c r="T264">
        <f>HYPERLINK("https://klasma.github.io/Logging_2039/kartor/A 46305-2025 karta.png", "A 46305-2025")</f>
        <v/>
      </c>
      <c r="V264">
        <f>HYPERLINK("https://klasma.github.io/Logging_2039/klagomål/A 46305-2025 FSC-klagomål.docx", "A 46305-2025")</f>
        <v/>
      </c>
      <c r="W264">
        <f>HYPERLINK("https://klasma.github.io/Logging_2039/klagomålsmail/A 46305-2025 FSC-klagomål mail.docx", "A 46305-2025")</f>
        <v/>
      </c>
      <c r="X264">
        <f>HYPERLINK("https://klasma.github.io/Logging_2039/tillsyn/A 46305-2025 tillsynsbegäran.docx", "A 46305-2025")</f>
        <v/>
      </c>
      <c r="Y264">
        <f>HYPERLINK("https://klasma.github.io/Logging_2039/tillsynsmail/A 46305-2025 tillsynsbegäran mail.docx", "A 46305-2025")</f>
        <v/>
      </c>
      <c r="Z264">
        <f>HYPERLINK("https://klasma.github.io/Logging_2039/fåglar/A 46305-2025 prioriterade fågelarter.docx", "A 46305-2025")</f>
        <v/>
      </c>
    </row>
    <row r="265" ht="15" customHeight="1">
      <c r="A265" t="inlineStr">
        <is>
          <t>A 5851-2025</t>
        </is>
      </c>
      <c r="B265" s="1" t="n">
        <v>45695</v>
      </c>
      <c r="C265" s="1" t="n">
        <v>46114</v>
      </c>
      <c r="D265" t="inlineStr">
        <is>
          <t>DALARNAS LÄN</t>
        </is>
      </c>
      <c r="E265" t="inlineStr">
        <is>
          <t>MALUNG-SÄLEN</t>
        </is>
      </c>
      <c r="G265" t="n">
        <v>2.5</v>
      </c>
      <c r="H265" t="n">
        <v>0</v>
      </c>
      <c r="I265" t="n">
        <v>1</v>
      </c>
      <c r="J265" t="n">
        <v>6</v>
      </c>
      <c r="K265" t="n">
        <v>0</v>
      </c>
      <c r="L265" t="n">
        <v>0</v>
      </c>
      <c r="M265" t="n">
        <v>0</v>
      </c>
      <c r="N265" t="n">
        <v>0</v>
      </c>
      <c r="O265" t="n">
        <v>6</v>
      </c>
      <c r="P265" t="n">
        <v>0</v>
      </c>
      <c r="Q265" t="n">
        <v>7</v>
      </c>
      <c r="R265" s="2" t="inlineStr">
        <is>
          <t>Gammelgransskål
Garnlav
Kolflarnlav
Lunglav
Skrovellav
Vedtrappmossa
Bårdlav</t>
        </is>
      </c>
      <c r="S265">
        <f>HYPERLINK("https://klasma.github.io/Logging_2023/artfynd/A 5851-2025 artfynd.xlsx", "A 5851-2025")</f>
        <v/>
      </c>
      <c r="T265">
        <f>HYPERLINK("https://klasma.github.io/Logging_2023/kartor/A 5851-2025 karta.png", "A 5851-2025")</f>
        <v/>
      </c>
      <c r="V265">
        <f>HYPERLINK("https://klasma.github.io/Logging_2023/klagomål/A 5851-2025 FSC-klagomål.docx", "A 5851-2025")</f>
        <v/>
      </c>
      <c r="W265">
        <f>HYPERLINK("https://klasma.github.io/Logging_2023/klagomålsmail/A 5851-2025 FSC-klagomål mail.docx", "A 5851-2025")</f>
        <v/>
      </c>
      <c r="X265">
        <f>HYPERLINK("https://klasma.github.io/Logging_2023/tillsyn/A 5851-2025 tillsynsbegäran.docx", "A 5851-2025")</f>
        <v/>
      </c>
      <c r="Y265">
        <f>HYPERLINK("https://klasma.github.io/Logging_2023/tillsynsmail/A 5851-2025 tillsynsbegäran mail.docx", "A 5851-2025")</f>
        <v/>
      </c>
    </row>
    <row r="266" ht="15" customHeight="1">
      <c r="A266" t="inlineStr">
        <is>
          <t>A 50751-2025</t>
        </is>
      </c>
      <c r="B266" s="1" t="n">
        <v>45946.39505787037</v>
      </c>
      <c r="C266" s="1" t="n">
        <v>46114</v>
      </c>
      <c r="D266" t="inlineStr">
        <is>
          <t>DALARNAS LÄN</t>
        </is>
      </c>
      <c r="E266" t="inlineStr">
        <is>
          <t>MALUNG-SÄLEN</t>
        </is>
      </c>
      <c r="G266" t="n">
        <v>6.6</v>
      </c>
      <c r="H266" t="n">
        <v>2</v>
      </c>
      <c r="I266" t="n">
        <v>3</v>
      </c>
      <c r="J266" t="n">
        <v>4</v>
      </c>
      <c r="K266" t="n">
        <v>0</v>
      </c>
      <c r="L266" t="n">
        <v>0</v>
      </c>
      <c r="M266" t="n">
        <v>0</v>
      </c>
      <c r="N266" t="n">
        <v>0</v>
      </c>
      <c r="O266" t="n">
        <v>4</v>
      </c>
      <c r="P266" t="n">
        <v>0</v>
      </c>
      <c r="Q266" t="n">
        <v>7</v>
      </c>
      <c r="R266" s="2" t="inlineStr">
        <is>
          <t>Gränsticka
Spillkråka
Tretåig hackspett
Ullticka
Bronshjon
Skuggblåslav
Vedticka</t>
        </is>
      </c>
      <c r="S266">
        <f>HYPERLINK("https://klasma.github.io/Logging_2023/artfynd/A 50751-2025 artfynd.xlsx", "A 50751-2025")</f>
        <v/>
      </c>
      <c r="T266">
        <f>HYPERLINK("https://klasma.github.io/Logging_2023/kartor/A 50751-2025 karta.png", "A 50751-2025")</f>
        <v/>
      </c>
      <c r="V266">
        <f>HYPERLINK("https://klasma.github.io/Logging_2023/klagomål/A 50751-2025 FSC-klagomål.docx", "A 50751-2025")</f>
        <v/>
      </c>
      <c r="W266">
        <f>HYPERLINK("https://klasma.github.io/Logging_2023/klagomålsmail/A 50751-2025 FSC-klagomål mail.docx", "A 50751-2025")</f>
        <v/>
      </c>
      <c r="X266">
        <f>HYPERLINK("https://klasma.github.io/Logging_2023/tillsyn/A 50751-2025 tillsynsbegäran.docx", "A 50751-2025")</f>
        <v/>
      </c>
      <c r="Y266">
        <f>HYPERLINK("https://klasma.github.io/Logging_2023/tillsynsmail/A 50751-2025 tillsynsbegäran mail.docx", "A 50751-2025")</f>
        <v/>
      </c>
      <c r="Z266">
        <f>HYPERLINK("https://klasma.github.io/Logging_2023/fåglar/A 50751-2025 prioriterade fågelarter.docx", "A 50751-2025")</f>
        <v/>
      </c>
    </row>
    <row r="267" ht="15" customHeight="1">
      <c r="A267" t="inlineStr">
        <is>
          <t>A 28027-2025</t>
        </is>
      </c>
      <c r="B267" s="1" t="n">
        <v>45817</v>
      </c>
      <c r="C267" s="1" t="n">
        <v>46114</v>
      </c>
      <c r="D267" t="inlineStr">
        <is>
          <t>DALARNAS LÄN</t>
        </is>
      </c>
      <c r="E267" t="inlineStr">
        <is>
          <t>BORLÄNGE</t>
        </is>
      </c>
      <c r="F267" t="inlineStr">
        <is>
          <t>Bergvik skog väst AB</t>
        </is>
      </c>
      <c r="G267" t="n">
        <v>5.2</v>
      </c>
      <c r="H267" t="n">
        <v>5</v>
      </c>
      <c r="I267" t="n">
        <v>1</v>
      </c>
      <c r="J267" t="n">
        <v>3</v>
      </c>
      <c r="K267" t="n">
        <v>2</v>
      </c>
      <c r="L267" t="n">
        <v>0</v>
      </c>
      <c r="M267" t="n">
        <v>0</v>
      </c>
      <c r="N267" t="n">
        <v>0</v>
      </c>
      <c r="O267" t="n">
        <v>5</v>
      </c>
      <c r="P267" t="n">
        <v>2</v>
      </c>
      <c r="Q267" t="n">
        <v>7</v>
      </c>
      <c r="R267" s="2" t="inlineStr">
        <is>
          <t>Knärot
Rynkskinn
Spillkråka
Tretåig hackspett
Ullticka
Spindelblomster
Fläcknycklar</t>
        </is>
      </c>
      <c r="S267">
        <f>HYPERLINK("https://klasma.github.io/Logging_2081/artfynd/A 28027-2025 artfynd.xlsx", "A 28027-2025")</f>
        <v/>
      </c>
      <c r="T267">
        <f>HYPERLINK("https://klasma.github.io/Logging_2081/kartor/A 28027-2025 karta.png", "A 28027-2025")</f>
        <v/>
      </c>
      <c r="U267">
        <f>HYPERLINK("https://klasma.github.io/Logging_2081/knärot/A 28027-2025 karta knärot.png", "A 28027-2025")</f>
        <v/>
      </c>
      <c r="V267">
        <f>HYPERLINK("https://klasma.github.io/Logging_2081/klagomål/A 28027-2025 FSC-klagomål.docx", "A 28027-2025")</f>
        <v/>
      </c>
      <c r="W267">
        <f>HYPERLINK("https://klasma.github.io/Logging_2081/klagomålsmail/A 28027-2025 FSC-klagomål mail.docx", "A 28027-2025")</f>
        <v/>
      </c>
      <c r="X267">
        <f>HYPERLINK("https://klasma.github.io/Logging_2081/tillsyn/A 28027-2025 tillsynsbegäran.docx", "A 28027-2025")</f>
        <v/>
      </c>
      <c r="Y267">
        <f>HYPERLINK("https://klasma.github.io/Logging_2081/tillsynsmail/A 28027-2025 tillsynsbegäran mail.docx", "A 28027-2025")</f>
        <v/>
      </c>
      <c r="Z267">
        <f>HYPERLINK("https://klasma.github.io/Logging_2081/fåglar/A 28027-2025 prioriterade fågelarter.docx", "A 28027-2025")</f>
        <v/>
      </c>
    </row>
    <row r="268" ht="15" customHeight="1">
      <c r="A268" t="inlineStr">
        <is>
          <t>A 61259-2023</t>
        </is>
      </c>
      <c r="B268" s="1" t="n">
        <v>45264</v>
      </c>
      <c r="C268" s="1" t="n">
        <v>46114</v>
      </c>
      <c r="D268" t="inlineStr">
        <is>
          <t>DALARNAS LÄN</t>
        </is>
      </c>
      <c r="E268" t="inlineStr">
        <is>
          <t>MORA</t>
        </is>
      </c>
      <c r="F268" t="inlineStr">
        <is>
          <t>Allmännings- och besparingsskogar</t>
        </is>
      </c>
      <c r="G268" t="n">
        <v>1</v>
      </c>
      <c r="H268" t="n">
        <v>1</v>
      </c>
      <c r="I268" t="n">
        <v>3</v>
      </c>
      <c r="J268" t="n">
        <v>3</v>
      </c>
      <c r="K268" t="n">
        <v>1</v>
      </c>
      <c r="L268" t="n">
        <v>0</v>
      </c>
      <c r="M268" t="n">
        <v>0</v>
      </c>
      <c r="N268" t="n">
        <v>0</v>
      </c>
      <c r="O268" t="n">
        <v>4</v>
      </c>
      <c r="P268" t="n">
        <v>1</v>
      </c>
      <c r="Q268" t="n">
        <v>7</v>
      </c>
      <c r="R268" s="2" t="inlineStr">
        <is>
          <t>Knärot
Brunpudrad nållav
Garnlav
Vitgrynig nållav
Bronshjon
Thomsons trägnagare
Vågbandad barkbock</t>
        </is>
      </c>
      <c r="S268">
        <f>HYPERLINK("https://klasma.github.io/Logging_2062/artfynd/A 61259-2023 artfynd.xlsx", "A 61259-2023")</f>
        <v/>
      </c>
      <c r="T268">
        <f>HYPERLINK("https://klasma.github.io/Logging_2062/kartor/A 61259-2023 karta.png", "A 61259-2023")</f>
        <v/>
      </c>
      <c r="U268">
        <f>HYPERLINK("https://klasma.github.io/Logging_2062/knärot/A 61259-2023 karta knärot.png", "A 61259-2023")</f>
        <v/>
      </c>
      <c r="V268">
        <f>HYPERLINK("https://klasma.github.io/Logging_2062/klagomål/A 61259-2023 FSC-klagomål.docx", "A 61259-2023")</f>
        <v/>
      </c>
      <c r="W268">
        <f>HYPERLINK("https://klasma.github.io/Logging_2062/klagomålsmail/A 61259-2023 FSC-klagomål mail.docx", "A 61259-2023")</f>
        <v/>
      </c>
      <c r="X268">
        <f>HYPERLINK("https://klasma.github.io/Logging_2062/tillsyn/A 61259-2023 tillsynsbegäran.docx", "A 61259-2023")</f>
        <v/>
      </c>
      <c r="Y268">
        <f>HYPERLINK("https://klasma.github.io/Logging_2062/tillsynsmail/A 61259-2023 tillsynsbegäran mail.docx", "A 61259-2023")</f>
        <v/>
      </c>
    </row>
    <row r="269" ht="15" customHeight="1">
      <c r="A269" t="inlineStr">
        <is>
          <t>A 34928-2024</t>
        </is>
      </c>
      <c r="B269" s="1" t="n">
        <v>45527.44613425926</v>
      </c>
      <c r="C269" s="1" t="n">
        <v>46114</v>
      </c>
      <c r="D269" t="inlineStr">
        <is>
          <t>DALARNAS LÄN</t>
        </is>
      </c>
      <c r="E269" t="inlineStr">
        <is>
          <t>HEDEMORA</t>
        </is>
      </c>
      <c r="F269" t="inlineStr">
        <is>
          <t>Sveaskog</t>
        </is>
      </c>
      <c r="G269" t="n">
        <v>2.8</v>
      </c>
      <c r="H269" t="n">
        <v>1</v>
      </c>
      <c r="I269" t="n">
        <v>2</v>
      </c>
      <c r="J269" t="n">
        <v>3</v>
      </c>
      <c r="K269" t="n">
        <v>2</v>
      </c>
      <c r="L269" t="n">
        <v>0</v>
      </c>
      <c r="M269" t="n">
        <v>0</v>
      </c>
      <c r="N269" t="n">
        <v>0</v>
      </c>
      <c r="O269" t="n">
        <v>5</v>
      </c>
      <c r="P269" t="n">
        <v>2</v>
      </c>
      <c r="Q269" t="n">
        <v>7</v>
      </c>
      <c r="R269" s="2" t="inlineStr">
        <is>
          <t>Sammetstaggsvamp
Violgubbe
Gul taggsvamp
Puderspindling
Spillkråka
Olivspindling
Svavelriska</t>
        </is>
      </c>
      <c r="S269">
        <f>HYPERLINK("https://klasma.github.io/Logging_2083/artfynd/A 34928-2024 artfynd.xlsx", "A 34928-2024")</f>
        <v/>
      </c>
      <c r="T269">
        <f>HYPERLINK("https://klasma.github.io/Logging_2083/kartor/A 34928-2024 karta.png", "A 34928-2024")</f>
        <v/>
      </c>
      <c r="V269">
        <f>HYPERLINK("https://klasma.github.io/Logging_2083/klagomål/A 34928-2024 FSC-klagomål.docx", "A 34928-2024")</f>
        <v/>
      </c>
      <c r="W269">
        <f>HYPERLINK("https://klasma.github.io/Logging_2083/klagomålsmail/A 34928-2024 FSC-klagomål mail.docx", "A 34928-2024")</f>
        <v/>
      </c>
      <c r="X269">
        <f>HYPERLINK("https://klasma.github.io/Logging_2083/tillsyn/A 34928-2024 tillsynsbegäran.docx", "A 34928-2024")</f>
        <v/>
      </c>
      <c r="Y269">
        <f>HYPERLINK("https://klasma.github.io/Logging_2083/tillsynsmail/A 34928-2024 tillsynsbegäran mail.docx", "A 34928-2024")</f>
        <v/>
      </c>
      <c r="Z269">
        <f>HYPERLINK("https://klasma.github.io/Logging_2083/fåglar/A 34928-2024 prioriterade fågelarter.docx", "A 34928-2024")</f>
        <v/>
      </c>
    </row>
    <row r="270" ht="15" customHeight="1">
      <c r="A270" t="inlineStr">
        <is>
          <t>A 58839-2025</t>
        </is>
      </c>
      <c r="B270" s="1" t="n">
        <v>45987.36070601852</v>
      </c>
      <c r="C270" s="1" t="n">
        <v>46114</v>
      </c>
      <c r="D270" t="inlineStr">
        <is>
          <t>DALARNAS LÄN</t>
        </is>
      </c>
      <c r="E270" t="inlineStr">
        <is>
          <t>MORA</t>
        </is>
      </c>
      <c r="F270" t="inlineStr">
        <is>
          <t>Bergvik skog öst AB</t>
        </is>
      </c>
      <c r="G270" t="n">
        <v>6.3</v>
      </c>
      <c r="H270" t="n">
        <v>0</v>
      </c>
      <c r="I270" t="n">
        <v>3</v>
      </c>
      <c r="J270" t="n">
        <v>4</v>
      </c>
      <c r="K270" t="n">
        <v>0</v>
      </c>
      <c r="L270" t="n">
        <v>0</v>
      </c>
      <c r="M270" t="n">
        <v>0</v>
      </c>
      <c r="N270" t="n">
        <v>0</v>
      </c>
      <c r="O270" t="n">
        <v>4</v>
      </c>
      <c r="P270" t="n">
        <v>0</v>
      </c>
      <c r="Q270" t="n">
        <v>7</v>
      </c>
      <c r="R270" s="2" t="inlineStr">
        <is>
          <t>Garnlav
Kolflarnlav
Mörk kolflarnlav
Vedskivlav
Bollvitmossa
Mindre märgborre
Skinnlav</t>
        </is>
      </c>
      <c r="S270">
        <f>HYPERLINK("https://klasma.github.io/Logging_2062/artfynd/A 58839-2025 artfynd.xlsx", "A 58839-2025")</f>
        <v/>
      </c>
      <c r="T270">
        <f>HYPERLINK("https://klasma.github.io/Logging_2062/kartor/A 58839-2025 karta.png", "A 58839-2025")</f>
        <v/>
      </c>
      <c r="U270">
        <f>HYPERLINK("https://klasma.github.io/Logging_2062/knärot/A 58839-2025 karta knärot.png", "A 58839-2025")</f>
        <v/>
      </c>
      <c r="V270">
        <f>HYPERLINK("https://klasma.github.io/Logging_2062/klagomål/A 58839-2025 FSC-klagomål.docx", "A 58839-2025")</f>
        <v/>
      </c>
      <c r="W270">
        <f>HYPERLINK("https://klasma.github.io/Logging_2062/klagomålsmail/A 58839-2025 FSC-klagomål mail.docx", "A 58839-2025")</f>
        <v/>
      </c>
      <c r="X270">
        <f>HYPERLINK("https://klasma.github.io/Logging_2062/tillsyn/A 58839-2025 tillsynsbegäran.docx", "A 58839-2025")</f>
        <v/>
      </c>
      <c r="Y270">
        <f>HYPERLINK("https://klasma.github.io/Logging_2062/tillsynsmail/A 58839-2025 tillsynsbegäran mail.docx", "A 58839-2025")</f>
        <v/>
      </c>
    </row>
    <row r="271" ht="15" customHeight="1">
      <c r="A271" t="inlineStr">
        <is>
          <t>A 48616-2025</t>
        </is>
      </c>
      <c r="B271" s="1" t="n">
        <v>45936</v>
      </c>
      <c r="C271" s="1" t="n">
        <v>46114</v>
      </c>
      <c r="D271" t="inlineStr">
        <is>
          <t>DALARNAS LÄN</t>
        </is>
      </c>
      <c r="E271" t="inlineStr">
        <is>
          <t>LEKSAND</t>
        </is>
      </c>
      <c r="G271" t="n">
        <v>2.6</v>
      </c>
      <c r="H271" t="n">
        <v>2</v>
      </c>
      <c r="I271" t="n">
        <v>3</v>
      </c>
      <c r="J271" t="n">
        <v>3</v>
      </c>
      <c r="K271" t="n">
        <v>1</v>
      </c>
      <c r="L271" t="n">
        <v>0</v>
      </c>
      <c r="M271" t="n">
        <v>0</v>
      </c>
      <c r="N271" t="n">
        <v>0</v>
      </c>
      <c r="O271" t="n">
        <v>4</v>
      </c>
      <c r="P271" t="n">
        <v>1</v>
      </c>
      <c r="Q271" t="n">
        <v>7</v>
      </c>
      <c r="R271" s="2" t="inlineStr">
        <is>
          <t>Knärot
Garnlav
Rosenticka
Tretåig hackspett
Korallblylav
Rödgul trumpetsvamp
Stuplav</t>
        </is>
      </c>
      <c r="S271">
        <f>HYPERLINK("https://klasma.github.io/Logging_2029/artfynd/A 48616-2025 artfynd.xlsx", "A 48616-2025")</f>
        <v/>
      </c>
      <c r="T271">
        <f>HYPERLINK("https://klasma.github.io/Logging_2029/kartor/A 48616-2025 karta.png", "A 48616-2025")</f>
        <v/>
      </c>
      <c r="U271">
        <f>HYPERLINK("https://klasma.github.io/Logging_2029/knärot/A 48616-2025 karta knärot.png", "A 48616-2025")</f>
        <v/>
      </c>
      <c r="V271">
        <f>HYPERLINK("https://klasma.github.io/Logging_2029/klagomål/A 48616-2025 FSC-klagomål.docx", "A 48616-2025")</f>
        <v/>
      </c>
      <c r="W271">
        <f>HYPERLINK("https://klasma.github.io/Logging_2029/klagomålsmail/A 48616-2025 FSC-klagomål mail.docx", "A 48616-2025")</f>
        <v/>
      </c>
      <c r="X271">
        <f>HYPERLINK("https://klasma.github.io/Logging_2029/tillsyn/A 48616-2025 tillsynsbegäran.docx", "A 48616-2025")</f>
        <v/>
      </c>
      <c r="Y271">
        <f>HYPERLINK("https://klasma.github.io/Logging_2029/tillsynsmail/A 48616-2025 tillsynsbegäran mail.docx", "A 48616-2025")</f>
        <v/>
      </c>
      <c r="Z271">
        <f>HYPERLINK("https://klasma.github.io/Logging_2029/fåglar/A 48616-2025 prioriterade fågelarter.docx", "A 48616-2025")</f>
        <v/>
      </c>
    </row>
    <row r="272" ht="15" customHeight="1">
      <c r="A272" t="inlineStr">
        <is>
          <t>A 49775-2025</t>
        </is>
      </c>
      <c r="B272" s="1" t="n">
        <v>45940</v>
      </c>
      <c r="C272" s="1" t="n">
        <v>46114</v>
      </c>
      <c r="D272" t="inlineStr">
        <is>
          <t>DALARNAS LÄN</t>
        </is>
      </c>
      <c r="E272" t="inlineStr">
        <is>
          <t>LUDVIKA</t>
        </is>
      </c>
      <c r="F272" t="inlineStr">
        <is>
          <t>Bergvik skog väst AB</t>
        </is>
      </c>
      <c r="G272" t="n">
        <v>25.5</v>
      </c>
      <c r="H272" t="n">
        <v>3</v>
      </c>
      <c r="I272" t="n">
        <v>1</v>
      </c>
      <c r="J272" t="n">
        <v>5</v>
      </c>
      <c r="K272" t="n">
        <v>0</v>
      </c>
      <c r="L272" t="n">
        <v>0</v>
      </c>
      <c r="M272" t="n">
        <v>0</v>
      </c>
      <c r="N272" t="n">
        <v>0</v>
      </c>
      <c r="O272" t="n">
        <v>5</v>
      </c>
      <c r="P272" t="n">
        <v>0</v>
      </c>
      <c r="Q272" t="n">
        <v>7</v>
      </c>
      <c r="R272" s="2" t="inlineStr">
        <is>
          <t>Garnlav
Granticka
Järpe
Kolflarnlav
Tretåig hackspett
Mindre märgborre
Orre</t>
        </is>
      </c>
      <c r="S272">
        <f>HYPERLINK("https://klasma.github.io/Logging_2085/artfynd/A 49775-2025 artfynd.xlsx", "A 49775-2025")</f>
        <v/>
      </c>
      <c r="T272">
        <f>HYPERLINK("https://klasma.github.io/Logging_2085/kartor/A 49775-2025 karta.png", "A 49775-2025")</f>
        <v/>
      </c>
      <c r="V272">
        <f>HYPERLINK("https://klasma.github.io/Logging_2085/klagomål/A 49775-2025 FSC-klagomål.docx", "A 49775-2025")</f>
        <v/>
      </c>
      <c r="W272">
        <f>HYPERLINK("https://klasma.github.io/Logging_2085/klagomålsmail/A 49775-2025 FSC-klagomål mail.docx", "A 49775-2025")</f>
        <v/>
      </c>
      <c r="X272">
        <f>HYPERLINK("https://klasma.github.io/Logging_2085/tillsyn/A 49775-2025 tillsynsbegäran.docx", "A 49775-2025")</f>
        <v/>
      </c>
      <c r="Y272">
        <f>HYPERLINK("https://klasma.github.io/Logging_2085/tillsynsmail/A 49775-2025 tillsynsbegäran mail.docx", "A 49775-2025")</f>
        <v/>
      </c>
      <c r="Z272">
        <f>HYPERLINK("https://klasma.github.io/Logging_2085/fåglar/A 49775-2025 prioriterade fågelarter.docx", "A 49775-2025")</f>
        <v/>
      </c>
    </row>
    <row r="273" ht="15" customHeight="1">
      <c r="A273" t="inlineStr">
        <is>
          <t>A 62861-2025</t>
        </is>
      </c>
      <c r="B273" s="1" t="n">
        <v>46008.77298611111</v>
      </c>
      <c r="C273" s="1" t="n">
        <v>46114</v>
      </c>
      <c r="D273" t="inlineStr">
        <is>
          <t>DALARNAS LÄN</t>
        </is>
      </c>
      <c r="E273" t="inlineStr">
        <is>
          <t>LEKSAND</t>
        </is>
      </c>
      <c r="G273" t="n">
        <v>6</v>
      </c>
      <c r="H273" t="n">
        <v>1</v>
      </c>
      <c r="I273" t="n">
        <v>3</v>
      </c>
      <c r="J273" t="n">
        <v>3</v>
      </c>
      <c r="K273" t="n">
        <v>1</v>
      </c>
      <c r="L273" t="n">
        <v>0</v>
      </c>
      <c r="M273" t="n">
        <v>0</v>
      </c>
      <c r="N273" t="n">
        <v>0</v>
      </c>
      <c r="O273" t="n">
        <v>4</v>
      </c>
      <c r="P273" t="n">
        <v>1</v>
      </c>
      <c r="Q273" t="n">
        <v>7</v>
      </c>
      <c r="R273" s="2" t="inlineStr">
        <is>
          <t>Ulltickeporing
Garnlav
Spillkråka
Ullticka
Bronshjon
Mindre märgborre
Vågbandad barkbock</t>
        </is>
      </c>
      <c r="S273">
        <f>HYPERLINK("https://klasma.github.io/Logging_2029/artfynd/A 62861-2025 artfynd.xlsx", "A 62861-2025")</f>
        <v/>
      </c>
      <c r="T273">
        <f>HYPERLINK("https://klasma.github.io/Logging_2029/kartor/A 62861-2025 karta.png", "A 62861-2025")</f>
        <v/>
      </c>
      <c r="V273">
        <f>HYPERLINK("https://klasma.github.io/Logging_2029/klagomål/A 62861-2025 FSC-klagomål.docx", "A 62861-2025")</f>
        <v/>
      </c>
      <c r="W273">
        <f>HYPERLINK("https://klasma.github.io/Logging_2029/klagomålsmail/A 62861-2025 FSC-klagomål mail.docx", "A 62861-2025")</f>
        <v/>
      </c>
      <c r="X273">
        <f>HYPERLINK("https://klasma.github.io/Logging_2029/tillsyn/A 62861-2025 tillsynsbegäran.docx", "A 62861-2025")</f>
        <v/>
      </c>
      <c r="Y273">
        <f>HYPERLINK("https://klasma.github.io/Logging_2029/tillsynsmail/A 62861-2025 tillsynsbegäran mail.docx", "A 62861-2025")</f>
        <v/>
      </c>
      <c r="Z273">
        <f>HYPERLINK("https://klasma.github.io/Logging_2029/fåglar/A 62861-2025 prioriterade fågelarter.docx", "A 62861-2025")</f>
        <v/>
      </c>
    </row>
    <row r="274" ht="15" customHeight="1">
      <c r="A274" t="inlineStr">
        <is>
          <t>A 62761-2025</t>
        </is>
      </c>
      <c r="B274" s="1" t="n">
        <v>46008.59363425926</v>
      </c>
      <c r="C274" s="1" t="n">
        <v>46114</v>
      </c>
      <c r="D274" t="inlineStr">
        <is>
          <t>DALARNAS LÄN</t>
        </is>
      </c>
      <c r="E274" t="inlineStr">
        <is>
          <t>ORSA</t>
        </is>
      </c>
      <c r="G274" t="n">
        <v>1.1</v>
      </c>
      <c r="H274" t="n">
        <v>1</v>
      </c>
      <c r="I274" t="n">
        <v>4</v>
      </c>
      <c r="J274" t="n">
        <v>2</v>
      </c>
      <c r="K274" t="n">
        <v>1</v>
      </c>
      <c r="L274" t="n">
        <v>0</v>
      </c>
      <c r="M274" t="n">
        <v>0</v>
      </c>
      <c r="N274" t="n">
        <v>0</v>
      </c>
      <c r="O274" t="n">
        <v>3</v>
      </c>
      <c r="P274" t="n">
        <v>1</v>
      </c>
      <c r="Q274" t="n">
        <v>7</v>
      </c>
      <c r="R274" s="2" t="inlineStr">
        <is>
          <t>Ringlav
Garnlav
Tretåig hackspett
Bronshjon
Mindre märgborre
Rödgul trumpetsvamp
Svavelriska</t>
        </is>
      </c>
      <c r="S274">
        <f>HYPERLINK("https://klasma.github.io/Logging_2034/artfynd/A 62761-2025 artfynd.xlsx", "A 62761-2025")</f>
        <v/>
      </c>
      <c r="T274">
        <f>HYPERLINK("https://klasma.github.io/Logging_2034/kartor/A 62761-2025 karta.png", "A 62761-2025")</f>
        <v/>
      </c>
      <c r="V274">
        <f>HYPERLINK("https://klasma.github.io/Logging_2034/klagomål/A 62761-2025 FSC-klagomål.docx", "A 62761-2025")</f>
        <v/>
      </c>
      <c r="W274">
        <f>HYPERLINK("https://klasma.github.io/Logging_2034/klagomålsmail/A 62761-2025 FSC-klagomål mail.docx", "A 62761-2025")</f>
        <v/>
      </c>
      <c r="X274">
        <f>HYPERLINK("https://klasma.github.io/Logging_2034/tillsyn/A 62761-2025 tillsynsbegäran.docx", "A 62761-2025")</f>
        <v/>
      </c>
      <c r="Y274">
        <f>HYPERLINK("https://klasma.github.io/Logging_2034/tillsynsmail/A 62761-2025 tillsynsbegäran mail.docx", "A 62761-2025")</f>
        <v/>
      </c>
      <c r="Z274">
        <f>HYPERLINK("https://klasma.github.io/Logging_2034/fåglar/A 62761-2025 prioriterade fågelarter.docx", "A 62761-2025")</f>
        <v/>
      </c>
    </row>
    <row r="275" ht="15" customHeight="1">
      <c r="A275" t="inlineStr">
        <is>
          <t>A 14277-2024</t>
        </is>
      </c>
      <c r="B275" s="1" t="n">
        <v>45393</v>
      </c>
      <c r="C275" s="1" t="n">
        <v>46114</v>
      </c>
      <c r="D275" t="inlineStr">
        <is>
          <t>DALARNAS LÄN</t>
        </is>
      </c>
      <c r="E275" t="inlineStr">
        <is>
          <t>ÄLVDALEN</t>
        </is>
      </c>
      <c r="F275" t="inlineStr">
        <is>
          <t>Allmännings- och besparingsskogar</t>
        </is>
      </c>
      <c r="G275" t="n">
        <v>2.8</v>
      </c>
      <c r="H275" t="n">
        <v>2</v>
      </c>
      <c r="I275" t="n">
        <v>1</v>
      </c>
      <c r="J275" t="n">
        <v>6</v>
      </c>
      <c r="K275" t="n">
        <v>0</v>
      </c>
      <c r="L275" t="n">
        <v>0</v>
      </c>
      <c r="M275" t="n">
        <v>0</v>
      </c>
      <c r="N275" t="n">
        <v>0</v>
      </c>
      <c r="O275" t="n">
        <v>6</v>
      </c>
      <c r="P275" t="n">
        <v>0</v>
      </c>
      <c r="Q275" t="n">
        <v>7</v>
      </c>
      <c r="R275" s="2" t="inlineStr">
        <is>
          <t>Garnlav
Mörk kolflarnlav
Talltita
Varglav
Vedflamlav
Vedskivlav
Mindre märgborre</t>
        </is>
      </c>
      <c r="S275">
        <f>HYPERLINK("https://klasma.github.io/Logging_2039/artfynd/A 14277-2024 artfynd.xlsx", "A 14277-2024")</f>
        <v/>
      </c>
      <c r="T275">
        <f>HYPERLINK("https://klasma.github.io/Logging_2039/kartor/A 14277-2024 karta.png", "A 14277-2024")</f>
        <v/>
      </c>
      <c r="V275">
        <f>HYPERLINK("https://klasma.github.io/Logging_2039/klagomål/A 14277-2024 FSC-klagomål.docx", "A 14277-2024")</f>
        <v/>
      </c>
      <c r="W275">
        <f>HYPERLINK("https://klasma.github.io/Logging_2039/klagomålsmail/A 14277-2024 FSC-klagomål mail.docx", "A 14277-2024")</f>
        <v/>
      </c>
      <c r="X275">
        <f>HYPERLINK("https://klasma.github.io/Logging_2039/tillsyn/A 14277-2024 tillsynsbegäran.docx", "A 14277-2024")</f>
        <v/>
      </c>
      <c r="Y275">
        <f>HYPERLINK("https://klasma.github.io/Logging_2039/tillsynsmail/A 14277-2024 tillsynsbegäran mail.docx", "A 14277-2024")</f>
        <v/>
      </c>
      <c r="Z275">
        <f>HYPERLINK("https://klasma.github.io/Logging_2039/fåglar/A 14277-2024 prioriterade fågelarter.docx", "A 14277-2024")</f>
        <v/>
      </c>
    </row>
    <row r="276" ht="15" customHeight="1">
      <c r="A276" t="inlineStr">
        <is>
          <t>A 52620-2022</t>
        </is>
      </c>
      <c r="B276" s="1" t="n">
        <v>44874</v>
      </c>
      <c r="C276" s="1" t="n">
        <v>46114</v>
      </c>
      <c r="D276" t="inlineStr">
        <is>
          <t>DALARNAS LÄN</t>
        </is>
      </c>
      <c r="E276" t="inlineStr">
        <is>
          <t>RÄTTVIK</t>
        </is>
      </c>
      <c r="F276" t="inlineStr">
        <is>
          <t>Bergvik skog väst AB</t>
        </is>
      </c>
      <c r="G276" t="n">
        <v>46.7</v>
      </c>
      <c r="H276" t="n">
        <v>0</v>
      </c>
      <c r="I276" t="n">
        <v>1</v>
      </c>
      <c r="J276" t="n">
        <v>2</v>
      </c>
      <c r="K276" t="n">
        <v>3</v>
      </c>
      <c r="L276" t="n">
        <v>1</v>
      </c>
      <c r="M276" t="n">
        <v>0</v>
      </c>
      <c r="N276" t="n">
        <v>0</v>
      </c>
      <c r="O276" t="n">
        <v>6</v>
      </c>
      <c r="P276" t="n">
        <v>4</v>
      </c>
      <c r="Q276" t="n">
        <v>7</v>
      </c>
      <c r="R276" s="2" t="inlineStr">
        <is>
          <t>Urskogsporing
Gräddporing
Spadskinn
Tajgataggsvamp
Svartvit taggsvamp
Vaddporing
Vedticka</t>
        </is>
      </c>
      <c r="S276">
        <f>HYPERLINK("https://klasma.github.io/Logging_2031/artfynd/A 52620-2022 artfynd.xlsx", "A 52620-2022")</f>
        <v/>
      </c>
      <c r="T276">
        <f>HYPERLINK("https://klasma.github.io/Logging_2031/kartor/A 52620-2022 karta.png", "A 52620-2022")</f>
        <v/>
      </c>
      <c r="V276">
        <f>HYPERLINK("https://klasma.github.io/Logging_2031/klagomål/A 52620-2022 FSC-klagomål.docx", "A 52620-2022")</f>
        <v/>
      </c>
      <c r="W276">
        <f>HYPERLINK("https://klasma.github.io/Logging_2031/klagomålsmail/A 52620-2022 FSC-klagomål mail.docx", "A 52620-2022")</f>
        <v/>
      </c>
      <c r="X276">
        <f>HYPERLINK("https://klasma.github.io/Logging_2031/tillsyn/A 52620-2022 tillsynsbegäran.docx", "A 52620-2022")</f>
        <v/>
      </c>
      <c r="Y276">
        <f>HYPERLINK("https://klasma.github.io/Logging_2031/tillsynsmail/A 52620-2022 tillsynsbegäran mail.docx", "A 52620-2022")</f>
        <v/>
      </c>
    </row>
    <row r="277" ht="15" customHeight="1">
      <c r="A277" t="inlineStr">
        <is>
          <t>A 33963-2025</t>
        </is>
      </c>
      <c r="B277" s="1" t="n">
        <v>45842</v>
      </c>
      <c r="C277" s="1" t="n">
        <v>46114</v>
      </c>
      <c r="D277" t="inlineStr">
        <is>
          <t>DALARNAS LÄN</t>
        </is>
      </c>
      <c r="E277" t="inlineStr">
        <is>
          <t>VANSBRO</t>
        </is>
      </c>
      <c r="G277" t="n">
        <v>3.2</v>
      </c>
      <c r="H277" t="n">
        <v>2</v>
      </c>
      <c r="I277" t="n">
        <v>2</v>
      </c>
      <c r="J277" t="n">
        <v>4</v>
      </c>
      <c r="K277" t="n">
        <v>1</v>
      </c>
      <c r="L277" t="n">
        <v>0</v>
      </c>
      <c r="M277" t="n">
        <v>0</v>
      </c>
      <c r="N277" t="n">
        <v>0</v>
      </c>
      <c r="O277" t="n">
        <v>5</v>
      </c>
      <c r="P277" t="n">
        <v>1</v>
      </c>
      <c r="Q277" t="n">
        <v>7</v>
      </c>
      <c r="R277" s="2" t="inlineStr">
        <is>
          <t>Knärot
Garnlav
Tretåig hackspett
Ullticka
Vedskivlav
Kattfotslav
Vedticka</t>
        </is>
      </c>
      <c r="S277">
        <f>HYPERLINK("https://klasma.github.io/Logging_2021/artfynd/A 33963-2025 artfynd.xlsx", "A 33963-2025")</f>
        <v/>
      </c>
      <c r="T277">
        <f>HYPERLINK("https://klasma.github.io/Logging_2021/kartor/A 33963-2025 karta.png", "A 33963-2025")</f>
        <v/>
      </c>
      <c r="U277">
        <f>HYPERLINK("https://klasma.github.io/Logging_2021/knärot/A 33963-2025 karta knärot.png", "A 33963-2025")</f>
        <v/>
      </c>
      <c r="V277">
        <f>HYPERLINK("https://klasma.github.io/Logging_2021/klagomål/A 33963-2025 FSC-klagomål.docx", "A 33963-2025")</f>
        <v/>
      </c>
      <c r="W277">
        <f>HYPERLINK("https://klasma.github.io/Logging_2021/klagomålsmail/A 33963-2025 FSC-klagomål mail.docx", "A 33963-2025")</f>
        <v/>
      </c>
      <c r="X277">
        <f>HYPERLINK("https://klasma.github.io/Logging_2021/tillsyn/A 33963-2025 tillsynsbegäran.docx", "A 33963-2025")</f>
        <v/>
      </c>
      <c r="Y277">
        <f>HYPERLINK("https://klasma.github.io/Logging_2021/tillsynsmail/A 33963-2025 tillsynsbegäran mail.docx", "A 33963-2025")</f>
        <v/>
      </c>
      <c r="Z277">
        <f>HYPERLINK("https://klasma.github.io/Logging_2021/fåglar/A 33963-2025 prioriterade fågelarter.docx", "A 33963-2025")</f>
        <v/>
      </c>
    </row>
    <row r="278" ht="15" customHeight="1">
      <c r="A278" t="inlineStr">
        <is>
          <t>A 57701-2025</t>
        </is>
      </c>
      <c r="B278" s="1" t="n">
        <v>45981</v>
      </c>
      <c r="C278" s="1" t="n">
        <v>46114</v>
      </c>
      <c r="D278" t="inlineStr">
        <is>
          <t>DALARNAS LÄN</t>
        </is>
      </c>
      <c r="E278" t="inlineStr">
        <is>
          <t>LUDVIKA</t>
        </is>
      </c>
      <c r="F278" t="inlineStr">
        <is>
          <t>Bergvik skog väst AB</t>
        </is>
      </c>
      <c r="G278" t="n">
        <v>5.5</v>
      </c>
      <c r="H278" t="n">
        <v>5</v>
      </c>
      <c r="I278" t="n">
        <v>1</v>
      </c>
      <c r="J278" t="n">
        <v>4</v>
      </c>
      <c r="K278" t="n">
        <v>1</v>
      </c>
      <c r="L278" t="n">
        <v>0</v>
      </c>
      <c r="M278" t="n">
        <v>0</v>
      </c>
      <c r="N278" t="n">
        <v>0</v>
      </c>
      <c r="O278" t="n">
        <v>5</v>
      </c>
      <c r="P278" t="n">
        <v>1</v>
      </c>
      <c r="Q278" t="n">
        <v>7</v>
      </c>
      <c r="R278" s="2" t="inlineStr">
        <is>
          <t>Knärot
Järpe
Kortskaftad ärgspik
Spillkråka
Tretåig hackspett
Vedticka
Sparvuggla</t>
        </is>
      </c>
      <c r="S278">
        <f>HYPERLINK("https://klasma.github.io/Logging_2085/artfynd/A 57701-2025 artfynd.xlsx", "A 57701-2025")</f>
        <v/>
      </c>
      <c r="T278">
        <f>HYPERLINK("https://klasma.github.io/Logging_2085/kartor/A 57701-2025 karta.png", "A 57701-2025")</f>
        <v/>
      </c>
      <c r="U278">
        <f>HYPERLINK("https://klasma.github.io/Logging_2085/knärot/A 57701-2025 karta knärot.png", "A 57701-2025")</f>
        <v/>
      </c>
      <c r="V278">
        <f>HYPERLINK("https://klasma.github.io/Logging_2085/klagomål/A 57701-2025 FSC-klagomål.docx", "A 57701-2025")</f>
        <v/>
      </c>
      <c r="W278">
        <f>HYPERLINK("https://klasma.github.io/Logging_2085/klagomålsmail/A 57701-2025 FSC-klagomål mail.docx", "A 57701-2025")</f>
        <v/>
      </c>
      <c r="X278">
        <f>HYPERLINK("https://klasma.github.io/Logging_2085/tillsyn/A 57701-2025 tillsynsbegäran.docx", "A 57701-2025")</f>
        <v/>
      </c>
      <c r="Y278">
        <f>HYPERLINK("https://klasma.github.io/Logging_2085/tillsynsmail/A 57701-2025 tillsynsbegäran mail.docx", "A 57701-2025")</f>
        <v/>
      </c>
      <c r="Z278">
        <f>HYPERLINK("https://klasma.github.io/Logging_2085/fåglar/A 57701-2025 prioriterade fågelarter.docx", "A 57701-2025")</f>
        <v/>
      </c>
    </row>
    <row r="279" ht="15" customHeight="1">
      <c r="A279" t="inlineStr">
        <is>
          <t>A 4568-2026</t>
        </is>
      </c>
      <c r="B279" s="1" t="n">
        <v>46047</v>
      </c>
      <c r="C279" s="1" t="n">
        <v>46114</v>
      </c>
      <c r="D279" t="inlineStr">
        <is>
          <t>DALARNAS LÄN</t>
        </is>
      </c>
      <c r="E279" t="inlineStr">
        <is>
          <t>BORLÄNGE</t>
        </is>
      </c>
      <c r="G279" t="n">
        <v>21.7</v>
      </c>
      <c r="H279" t="n">
        <v>4</v>
      </c>
      <c r="I279" t="n">
        <v>1</v>
      </c>
      <c r="J279" t="n">
        <v>4</v>
      </c>
      <c r="K279" t="n">
        <v>0</v>
      </c>
      <c r="L279" t="n">
        <v>0</v>
      </c>
      <c r="M279" t="n">
        <v>0</v>
      </c>
      <c r="N279" t="n">
        <v>0</v>
      </c>
      <c r="O279" t="n">
        <v>4</v>
      </c>
      <c r="P279" t="n">
        <v>0</v>
      </c>
      <c r="Q279" t="n">
        <v>7</v>
      </c>
      <c r="R279" s="2" t="inlineStr">
        <is>
          <t>Garnlav
Talltita
Tretåig hackspett
Ullticka
Dropptaggsvamp
Tjäder
Lopplummer (aggregat)</t>
        </is>
      </c>
      <c r="S279">
        <f>HYPERLINK("https://klasma.github.io/Logging_2081/artfynd/A 4568-2026 artfynd.xlsx", "A 4568-2026")</f>
        <v/>
      </c>
      <c r="T279">
        <f>HYPERLINK("https://klasma.github.io/Logging_2081/kartor/A 4568-2026 karta.png", "A 4568-2026")</f>
        <v/>
      </c>
      <c r="V279">
        <f>HYPERLINK("https://klasma.github.io/Logging_2081/klagomål/A 4568-2026 FSC-klagomål.docx", "A 4568-2026")</f>
        <v/>
      </c>
      <c r="W279">
        <f>HYPERLINK("https://klasma.github.io/Logging_2081/klagomålsmail/A 4568-2026 FSC-klagomål mail.docx", "A 4568-2026")</f>
        <v/>
      </c>
      <c r="X279">
        <f>HYPERLINK("https://klasma.github.io/Logging_2081/tillsyn/A 4568-2026 tillsynsbegäran.docx", "A 4568-2026")</f>
        <v/>
      </c>
      <c r="Y279">
        <f>HYPERLINK("https://klasma.github.io/Logging_2081/tillsynsmail/A 4568-2026 tillsynsbegäran mail.docx", "A 4568-2026")</f>
        <v/>
      </c>
      <c r="Z279">
        <f>HYPERLINK("https://klasma.github.io/Logging_2081/fåglar/A 4568-2026 prioriterade fågelarter.docx", "A 4568-2026")</f>
        <v/>
      </c>
    </row>
    <row r="280" ht="15" customHeight="1">
      <c r="A280" t="inlineStr">
        <is>
          <t>A 5538-2026</t>
        </is>
      </c>
      <c r="B280" s="1" t="n">
        <v>46050.66849537037</v>
      </c>
      <c r="C280" s="1" t="n">
        <v>46114</v>
      </c>
      <c r="D280" t="inlineStr">
        <is>
          <t>DALARNAS LÄN</t>
        </is>
      </c>
      <c r="E280" t="inlineStr">
        <is>
          <t>LEKSAND</t>
        </is>
      </c>
      <c r="G280" t="n">
        <v>7.2</v>
      </c>
      <c r="H280" t="n">
        <v>0</v>
      </c>
      <c r="I280" t="n">
        <v>3</v>
      </c>
      <c r="J280" t="n">
        <v>2</v>
      </c>
      <c r="K280" t="n">
        <v>2</v>
      </c>
      <c r="L280" t="n">
        <v>0</v>
      </c>
      <c r="M280" t="n">
        <v>0</v>
      </c>
      <c r="N280" t="n">
        <v>0</v>
      </c>
      <c r="O280" t="n">
        <v>4</v>
      </c>
      <c r="P280" t="n">
        <v>2</v>
      </c>
      <c r="Q280" t="n">
        <v>7</v>
      </c>
      <c r="R280" s="2" t="inlineStr">
        <is>
          <t>Rynkskinn
Vågticka
Garnlav
Ullticka
Bronshjon
Vedticka
Vågbandad barkbock</t>
        </is>
      </c>
      <c r="S280">
        <f>HYPERLINK("https://klasma.github.io/Logging_2029/artfynd/A 5538-2026 artfynd.xlsx", "A 5538-2026")</f>
        <v/>
      </c>
      <c r="T280">
        <f>HYPERLINK("https://klasma.github.io/Logging_2029/kartor/A 5538-2026 karta.png", "A 5538-2026")</f>
        <v/>
      </c>
      <c r="U280">
        <f>HYPERLINK("https://klasma.github.io/Logging_2029/knärot/A 5538-2026 karta knärot.png", "A 5538-2026")</f>
        <v/>
      </c>
      <c r="V280">
        <f>HYPERLINK("https://klasma.github.io/Logging_2029/klagomål/A 5538-2026 FSC-klagomål.docx", "A 5538-2026")</f>
        <v/>
      </c>
      <c r="W280">
        <f>HYPERLINK("https://klasma.github.io/Logging_2029/klagomålsmail/A 5538-2026 FSC-klagomål mail.docx", "A 5538-2026")</f>
        <v/>
      </c>
      <c r="X280">
        <f>HYPERLINK("https://klasma.github.io/Logging_2029/tillsyn/A 5538-2026 tillsynsbegäran.docx", "A 5538-2026")</f>
        <v/>
      </c>
      <c r="Y280">
        <f>HYPERLINK("https://klasma.github.io/Logging_2029/tillsynsmail/A 5538-2026 tillsynsbegäran mail.docx", "A 5538-2026")</f>
        <v/>
      </c>
    </row>
    <row r="281" ht="15" customHeight="1">
      <c r="A281" t="inlineStr">
        <is>
          <t>A 6170-2026</t>
        </is>
      </c>
      <c r="B281" s="1" t="n">
        <v>46055.33912037037</v>
      </c>
      <c r="C281" s="1" t="n">
        <v>46114</v>
      </c>
      <c r="D281" t="inlineStr">
        <is>
          <t>DALARNAS LÄN</t>
        </is>
      </c>
      <c r="E281" t="inlineStr">
        <is>
          <t>MALUNG-SÄLEN</t>
        </is>
      </c>
      <c r="F281" t="inlineStr">
        <is>
          <t>Kommuner</t>
        </is>
      </c>
      <c r="G281" t="n">
        <v>8.5</v>
      </c>
      <c r="H281" t="n">
        <v>2</v>
      </c>
      <c r="I281" t="n">
        <v>1</v>
      </c>
      <c r="J281" t="n">
        <v>5</v>
      </c>
      <c r="K281" t="n">
        <v>0</v>
      </c>
      <c r="L281" t="n">
        <v>0</v>
      </c>
      <c r="M281" t="n">
        <v>0</v>
      </c>
      <c r="N281" t="n">
        <v>0</v>
      </c>
      <c r="O281" t="n">
        <v>5</v>
      </c>
      <c r="P281" t="n">
        <v>0</v>
      </c>
      <c r="Q281" t="n">
        <v>7</v>
      </c>
      <c r="R281" s="2" t="inlineStr">
        <is>
          <t>Dvärgbägarlav
Garnlav
Mörk kolflarnlav
Tretåig hackspett
Vedskivlav
Nästlav
Tjäder</t>
        </is>
      </c>
      <c r="S281">
        <f>HYPERLINK("https://klasma.github.io/Logging_2023/artfynd/A 6170-2026 artfynd.xlsx", "A 6170-2026")</f>
        <v/>
      </c>
      <c r="T281">
        <f>HYPERLINK("https://klasma.github.io/Logging_2023/kartor/A 6170-2026 karta.png", "A 6170-2026")</f>
        <v/>
      </c>
      <c r="V281">
        <f>HYPERLINK("https://klasma.github.io/Logging_2023/klagomål/A 6170-2026 FSC-klagomål.docx", "A 6170-2026")</f>
        <v/>
      </c>
      <c r="W281">
        <f>HYPERLINK("https://klasma.github.io/Logging_2023/klagomålsmail/A 6170-2026 FSC-klagomål mail.docx", "A 6170-2026")</f>
        <v/>
      </c>
      <c r="X281">
        <f>HYPERLINK("https://klasma.github.io/Logging_2023/tillsyn/A 6170-2026 tillsynsbegäran.docx", "A 6170-2026")</f>
        <v/>
      </c>
      <c r="Y281">
        <f>HYPERLINK("https://klasma.github.io/Logging_2023/tillsynsmail/A 6170-2026 tillsynsbegäran mail.docx", "A 6170-2026")</f>
        <v/>
      </c>
      <c r="Z281">
        <f>HYPERLINK("https://klasma.github.io/Logging_2023/fåglar/A 6170-2026 prioriterade fågelarter.docx", "A 6170-2026")</f>
        <v/>
      </c>
    </row>
    <row r="282" ht="15" customHeight="1">
      <c r="A282" t="inlineStr">
        <is>
          <t>A 65254-2023</t>
        </is>
      </c>
      <c r="B282" s="1" t="n">
        <v>45290.63932870371</v>
      </c>
      <c r="C282" s="1" t="n">
        <v>46114</v>
      </c>
      <c r="D282" t="inlineStr">
        <is>
          <t>DALARNAS LÄN</t>
        </is>
      </c>
      <c r="E282" t="inlineStr">
        <is>
          <t>BORLÄNGE</t>
        </is>
      </c>
      <c r="G282" t="n">
        <v>1.6</v>
      </c>
      <c r="H282" t="n">
        <v>1</v>
      </c>
      <c r="I282" t="n">
        <v>4</v>
      </c>
      <c r="J282" t="n">
        <v>1</v>
      </c>
      <c r="K282" t="n">
        <v>1</v>
      </c>
      <c r="L282" t="n">
        <v>0</v>
      </c>
      <c r="M282" t="n">
        <v>0</v>
      </c>
      <c r="N282" t="n">
        <v>0</v>
      </c>
      <c r="O282" t="n">
        <v>2</v>
      </c>
      <c r="P282" t="n">
        <v>1</v>
      </c>
      <c r="Q282" t="n">
        <v>7</v>
      </c>
      <c r="R282" s="2" t="inlineStr">
        <is>
          <t>Rostskinn
Vedtrappmossa
Björksplintborre
Blodticka
Thomsons trägnagare
Vågbandad barkbock
Revlummer</t>
        </is>
      </c>
      <c r="S282">
        <f>HYPERLINK("https://klasma.github.io/Logging_2081/artfynd/A 65254-2023 artfynd.xlsx", "A 65254-2023")</f>
        <v/>
      </c>
      <c r="T282">
        <f>HYPERLINK("https://klasma.github.io/Logging_2081/kartor/A 65254-2023 karta.png", "A 65254-2023")</f>
        <v/>
      </c>
      <c r="V282">
        <f>HYPERLINK("https://klasma.github.io/Logging_2081/klagomål/A 65254-2023 FSC-klagomål.docx", "A 65254-2023")</f>
        <v/>
      </c>
      <c r="W282">
        <f>HYPERLINK("https://klasma.github.io/Logging_2081/klagomålsmail/A 65254-2023 FSC-klagomål mail.docx", "A 65254-2023")</f>
        <v/>
      </c>
      <c r="X282">
        <f>HYPERLINK("https://klasma.github.io/Logging_2081/tillsyn/A 65254-2023 tillsynsbegäran.docx", "A 65254-2023")</f>
        <v/>
      </c>
      <c r="Y282">
        <f>HYPERLINK("https://klasma.github.io/Logging_2081/tillsynsmail/A 65254-2023 tillsynsbegäran mail.docx", "A 65254-2023")</f>
        <v/>
      </c>
    </row>
    <row r="283" ht="15" customHeight="1">
      <c r="A283" t="inlineStr">
        <is>
          <t>A 5812-2025</t>
        </is>
      </c>
      <c r="B283" s="1" t="n">
        <v>45694</v>
      </c>
      <c r="C283" s="1" t="n">
        <v>46114</v>
      </c>
      <c r="D283" t="inlineStr">
        <is>
          <t>DALARNAS LÄN</t>
        </is>
      </c>
      <c r="E283" t="inlineStr">
        <is>
          <t>FALUN</t>
        </is>
      </c>
      <c r="G283" t="n">
        <v>11.7</v>
      </c>
      <c r="H283" t="n">
        <v>4</v>
      </c>
      <c r="I283" t="n">
        <v>3</v>
      </c>
      <c r="J283" t="n">
        <v>1</v>
      </c>
      <c r="K283" t="n">
        <v>1</v>
      </c>
      <c r="L283" t="n">
        <v>0</v>
      </c>
      <c r="M283" t="n">
        <v>0</v>
      </c>
      <c r="N283" t="n">
        <v>0</v>
      </c>
      <c r="O283" t="n">
        <v>2</v>
      </c>
      <c r="P283" t="n">
        <v>1</v>
      </c>
      <c r="Q283" t="n">
        <v>7</v>
      </c>
      <c r="R283" s="2" t="inlineStr">
        <is>
          <t>Knärot
Spillkråka
Dropptaggsvamp
Mindre märgborre
Vågbandad barkbock
Tjäder
Revlummer</t>
        </is>
      </c>
      <c r="S283">
        <f>HYPERLINK("https://klasma.github.io/Logging_2080/artfynd/A 5812-2025 artfynd.xlsx", "A 5812-2025")</f>
        <v/>
      </c>
      <c r="T283">
        <f>HYPERLINK("https://klasma.github.io/Logging_2080/kartor/A 5812-2025 karta.png", "A 5812-2025")</f>
        <v/>
      </c>
      <c r="U283">
        <f>HYPERLINK("https://klasma.github.io/Logging_2080/knärot/A 5812-2025 karta knärot.png", "A 5812-2025")</f>
        <v/>
      </c>
      <c r="V283">
        <f>HYPERLINK("https://klasma.github.io/Logging_2080/klagomål/A 5812-2025 FSC-klagomål.docx", "A 5812-2025")</f>
        <v/>
      </c>
      <c r="W283">
        <f>HYPERLINK("https://klasma.github.io/Logging_2080/klagomålsmail/A 5812-2025 FSC-klagomål mail.docx", "A 5812-2025")</f>
        <v/>
      </c>
      <c r="X283">
        <f>HYPERLINK("https://klasma.github.io/Logging_2080/tillsyn/A 5812-2025 tillsynsbegäran.docx", "A 5812-2025")</f>
        <v/>
      </c>
      <c r="Y283">
        <f>HYPERLINK("https://klasma.github.io/Logging_2080/tillsynsmail/A 5812-2025 tillsynsbegäran mail.docx", "A 5812-2025")</f>
        <v/>
      </c>
      <c r="Z283">
        <f>HYPERLINK("https://klasma.github.io/Logging_2080/fåglar/A 5812-2025 prioriterade fågelarter.docx", "A 5812-2025")</f>
        <v/>
      </c>
    </row>
    <row r="284" ht="15" customHeight="1">
      <c r="A284" t="inlineStr">
        <is>
          <t>A 7965-2024</t>
        </is>
      </c>
      <c r="B284" s="1" t="n">
        <v>45350</v>
      </c>
      <c r="C284" s="1" t="n">
        <v>46114</v>
      </c>
      <c r="D284" t="inlineStr">
        <is>
          <t>DALARNAS LÄN</t>
        </is>
      </c>
      <c r="E284" t="inlineStr">
        <is>
          <t>RÄTTVIK</t>
        </is>
      </c>
      <c r="G284" t="n">
        <v>1.3</v>
      </c>
      <c r="H284" t="n">
        <v>0</v>
      </c>
      <c r="I284" t="n">
        <v>2</v>
      </c>
      <c r="J284" t="n">
        <v>4</v>
      </c>
      <c r="K284" t="n">
        <v>1</v>
      </c>
      <c r="L284" t="n">
        <v>0</v>
      </c>
      <c r="M284" t="n">
        <v>0</v>
      </c>
      <c r="N284" t="n">
        <v>0</v>
      </c>
      <c r="O284" t="n">
        <v>5</v>
      </c>
      <c r="P284" t="n">
        <v>1</v>
      </c>
      <c r="Q284" t="n">
        <v>7</v>
      </c>
      <c r="R284" s="2" t="inlineStr">
        <is>
          <t>Rynkskinn
Fyrflikig jordstjärna
Garnlav
Rosenticka
Ullticka
Bronshjon
Vedticka</t>
        </is>
      </c>
      <c r="S284">
        <f>HYPERLINK("https://klasma.github.io/Logging_2031/artfynd/A 7965-2024 artfynd.xlsx", "A 7965-2024")</f>
        <v/>
      </c>
      <c r="T284">
        <f>HYPERLINK("https://klasma.github.io/Logging_2031/kartor/A 7965-2024 karta.png", "A 7965-2024")</f>
        <v/>
      </c>
      <c r="V284">
        <f>HYPERLINK("https://klasma.github.io/Logging_2031/klagomål/A 7965-2024 FSC-klagomål.docx", "A 7965-2024")</f>
        <v/>
      </c>
      <c r="W284">
        <f>HYPERLINK("https://klasma.github.io/Logging_2031/klagomålsmail/A 7965-2024 FSC-klagomål mail.docx", "A 7965-2024")</f>
        <v/>
      </c>
      <c r="X284">
        <f>HYPERLINK("https://klasma.github.io/Logging_2031/tillsyn/A 7965-2024 tillsynsbegäran.docx", "A 7965-2024")</f>
        <v/>
      </c>
      <c r="Y284">
        <f>HYPERLINK("https://klasma.github.io/Logging_2031/tillsynsmail/A 7965-2024 tillsynsbegäran mail.docx", "A 7965-2024")</f>
        <v/>
      </c>
    </row>
    <row r="285" ht="15" customHeight="1">
      <c r="A285" t="inlineStr">
        <is>
          <t>A 27017-2025</t>
        </is>
      </c>
      <c r="B285" s="1" t="n">
        <v>45811.56905092593</v>
      </c>
      <c r="C285" s="1" t="n">
        <v>46114</v>
      </c>
      <c r="D285" t="inlineStr">
        <is>
          <t>DALARNAS LÄN</t>
        </is>
      </c>
      <c r="E285" t="inlineStr">
        <is>
          <t>FALUN</t>
        </is>
      </c>
      <c r="G285" t="n">
        <v>11.7</v>
      </c>
      <c r="H285" t="n">
        <v>4</v>
      </c>
      <c r="I285" t="n">
        <v>3</v>
      </c>
      <c r="J285" t="n">
        <v>1</v>
      </c>
      <c r="K285" t="n">
        <v>1</v>
      </c>
      <c r="L285" t="n">
        <v>0</v>
      </c>
      <c r="M285" t="n">
        <v>0</v>
      </c>
      <c r="N285" t="n">
        <v>0</v>
      </c>
      <c r="O285" t="n">
        <v>2</v>
      </c>
      <c r="P285" t="n">
        <v>1</v>
      </c>
      <c r="Q285" t="n">
        <v>7</v>
      </c>
      <c r="R285" s="2" t="inlineStr">
        <is>
          <t>Knärot
Spillkråka
Dropptaggsvamp
Mindre märgborre
Vågbandad barkbock
Tjäder
Revlummer</t>
        </is>
      </c>
      <c r="S285">
        <f>HYPERLINK("https://klasma.github.io/Logging_2080/artfynd/A 27017-2025 artfynd.xlsx", "A 27017-2025")</f>
        <v/>
      </c>
      <c r="T285">
        <f>HYPERLINK("https://klasma.github.io/Logging_2080/kartor/A 27017-2025 karta.png", "A 27017-2025")</f>
        <v/>
      </c>
      <c r="U285">
        <f>HYPERLINK("https://klasma.github.io/Logging_2080/knärot/A 27017-2025 karta knärot.png", "A 27017-2025")</f>
        <v/>
      </c>
      <c r="V285">
        <f>HYPERLINK("https://klasma.github.io/Logging_2080/klagomål/A 27017-2025 FSC-klagomål.docx", "A 27017-2025")</f>
        <v/>
      </c>
      <c r="W285">
        <f>HYPERLINK("https://klasma.github.io/Logging_2080/klagomålsmail/A 27017-2025 FSC-klagomål mail.docx", "A 27017-2025")</f>
        <v/>
      </c>
      <c r="X285">
        <f>HYPERLINK("https://klasma.github.io/Logging_2080/tillsyn/A 27017-2025 tillsynsbegäran.docx", "A 27017-2025")</f>
        <v/>
      </c>
      <c r="Y285">
        <f>HYPERLINK("https://klasma.github.io/Logging_2080/tillsynsmail/A 27017-2025 tillsynsbegäran mail.docx", "A 27017-2025")</f>
        <v/>
      </c>
      <c r="Z285">
        <f>HYPERLINK("https://klasma.github.io/Logging_2080/fåglar/A 27017-2025 prioriterade fågelarter.docx", "A 27017-2025")</f>
        <v/>
      </c>
    </row>
    <row r="286" ht="15" customHeight="1">
      <c r="A286" t="inlineStr">
        <is>
          <t>A 6640-2026</t>
        </is>
      </c>
      <c r="B286" s="1" t="n">
        <v>46052</v>
      </c>
      <c r="C286" s="1" t="n">
        <v>46114</v>
      </c>
      <c r="D286" t="inlineStr">
        <is>
          <t>DALARNAS LÄN</t>
        </is>
      </c>
      <c r="E286" t="inlineStr">
        <is>
          <t>VANSBRO</t>
        </is>
      </c>
      <c r="G286" t="n">
        <v>5.4</v>
      </c>
      <c r="H286" t="n">
        <v>0</v>
      </c>
      <c r="I286" t="n">
        <v>2</v>
      </c>
      <c r="J286" t="n">
        <v>5</v>
      </c>
      <c r="K286" t="n">
        <v>0</v>
      </c>
      <c r="L286" t="n">
        <v>0</v>
      </c>
      <c r="M286" t="n">
        <v>0</v>
      </c>
      <c r="N286" t="n">
        <v>0</v>
      </c>
      <c r="O286" t="n">
        <v>5</v>
      </c>
      <c r="P286" t="n">
        <v>0</v>
      </c>
      <c r="Q286" t="n">
        <v>7</v>
      </c>
      <c r="R286" s="2" t="inlineStr">
        <is>
          <t>Dvärgbägarlav
Garnlav
Mörk kolflarnlav
Tallticka
Vedskivlav
Mindre märgborre
Nästlav</t>
        </is>
      </c>
      <c r="S286">
        <f>HYPERLINK("https://klasma.github.io/Logging_2021/artfynd/A 6640-2026 artfynd.xlsx", "A 6640-2026")</f>
        <v/>
      </c>
      <c r="T286">
        <f>HYPERLINK("https://klasma.github.io/Logging_2021/kartor/A 6640-2026 karta.png", "A 6640-2026")</f>
        <v/>
      </c>
      <c r="V286">
        <f>HYPERLINK("https://klasma.github.io/Logging_2021/klagomål/A 6640-2026 FSC-klagomål.docx", "A 6640-2026")</f>
        <v/>
      </c>
      <c r="W286">
        <f>HYPERLINK("https://klasma.github.io/Logging_2021/klagomålsmail/A 6640-2026 FSC-klagomål mail.docx", "A 6640-2026")</f>
        <v/>
      </c>
      <c r="X286">
        <f>HYPERLINK("https://klasma.github.io/Logging_2021/tillsyn/A 6640-2026 tillsynsbegäran.docx", "A 6640-2026")</f>
        <v/>
      </c>
      <c r="Y286">
        <f>HYPERLINK("https://klasma.github.io/Logging_2021/tillsynsmail/A 6640-2026 tillsynsbegäran mail.docx", "A 6640-2026")</f>
        <v/>
      </c>
    </row>
    <row r="287" ht="15" customHeight="1">
      <c r="A287" t="inlineStr">
        <is>
          <t>A 16488-2025</t>
        </is>
      </c>
      <c r="B287" s="1" t="n">
        <v>45751</v>
      </c>
      <c r="C287" s="1" t="n">
        <v>46114</v>
      </c>
      <c r="D287" t="inlineStr">
        <is>
          <t>DALARNAS LÄN</t>
        </is>
      </c>
      <c r="E287" t="inlineStr">
        <is>
          <t>FALUN</t>
        </is>
      </c>
      <c r="F287" t="inlineStr">
        <is>
          <t>Övriga statliga verk och myndigheter</t>
        </is>
      </c>
      <c r="G287" t="n">
        <v>3.3</v>
      </c>
      <c r="H287" t="n">
        <v>3</v>
      </c>
      <c r="I287" t="n">
        <v>3</v>
      </c>
      <c r="J287" t="n">
        <v>2</v>
      </c>
      <c r="K287" t="n">
        <v>0</v>
      </c>
      <c r="L287" t="n">
        <v>0</v>
      </c>
      <c r="M287" t="n">
        <v>0</v>
      </c>
      <c r="N287" t="n">
        <v>0</v>
      </c>
      <c r="O287" t="n">
        <v>2</v>
      </c>
      <c r="P287" t="n">
        <v>0</v>
      </c>
      <c r="Q287" t="n">
        <v>7</v>
      </c>
      <c r="R287" s="2" t="inlineStr">
        <is>
          <t>Rosenticka
Ullticka
Bronshjon
Gullgröppa
Plattlummer
Mattlummer
Revlummer</t>
        </is>
      </c>
      <c r="S287">
        <f>HYPERLINK("https://klasma.github.io/Logging_2080/artfynd/A 16488-2025 artfynd.xlsx", "A 16488-2025")</f>
        <v/>
      </c>
      <c r="T287">
        <f>HYPERLINK("https://klasma.github.io/Logging_2080/kartor/A 16488-2025 karta.png", "A 16488-2025")</f>
        <v/>
      </c>
      <c r="V287">
        <f>HYPERLINK("https://klasma.github.io/Logging_2080/klagomål/A 16488-2025 FSC-klagomål.docx", "A 16488-2025")</f>
        <v/>
      </c>
      <c r="W287">
        <f>HYPERLINK("https://klasma.github.io/Logging_2080/klagomålsmail/A 16488-2025 FSC-klagomål mail.docx", "A 16488-2025")</f>
        <v/>
      </c>
      <c r="X287">
        <f>HYPERLINK("https://klasma.github.io/Logging_2080/tillsyn/A 16488-2025 tillsynsbegäran.docx", "A 16488-2025")</f>
        <v/>
      </c>
      <c r="Y287">
        <f>HYPERLINK("https://klasma.github.io/Logging_2080/tillsynsmail/A 16488-2025 tillsynsbegäran mail.docx", "A 16488-2025")</f>
        <v/>
      </c>
    </row>
    <row r="288" ht="15" customHeight="1">
      <c r="A288" t="inlineStr">
        <is>
          <t>A 49783-2024</t>
        </is>
      </c>
      <c r="B288" s="1" t="n">
        <v>45597.35666666667</v>
      </c>
      <c r="C288" s="1" t="n">
        <v>46114</v>
      </c>
      <c r="D288" t="inlineStr">
        <is>
          <t>DALARNAS LÄN</t>
        </is>
      </c>
      <c r="E288" t="inlineStr">
        <is>
          <t>LUDVIKA</t>
        </is>
      </c>
      <c r="F288" t="inlineStr">
        <is>
          <t>Bergvik skog väst AB</t>
        </is>
      </c>
      <c r="G288" t="n">
        <v>20.9</v>
      </c>
      <c r="H288" t="n">
        <v>2</v>
      </c>
      <c r="I288" t="n">
        <v>1</v>
      </c>
      <c r="J288" t="n">
        <v>5</v>
      </c>
      <c r="K288" t="n">
        <v>0</v>
      </c>
      <c r="L288" t="n">
        <v>0</v>
      </c>
      <c r="M288" t="n">
        <v>0</v>
      </c>
      <c r="N288" t="n">
        <v>0</v>
      </c>
      <c r="O288" t="n">
        <v>6</v>
      </c>
      <c r="P288" t="n">
        <v>0</v>
      </c>
      <c r="Q288" t="n">
        <v>7</v>
      </c>
      <c r="R288" s="2" t="inlineStr">
        <is>
          <t>Gammelgransskål
Garnlav
Spillkråka
Stjärntagging
Tretåig hackspett
Mörk kådsvartspik
Dropptaggsvamp</t>
        </is>
      </c>
      <c r="S288">
        <f>HYPERLINK("https://klasma.github.io/Logging_2085/artfynd/A 49783-2024 artfynd.xlsx", "A 49783-2024")</f>
        <v/>
      </c>
      <c r="T288">
        <f>HYPERLINK("https://klasma.github.io/Logging_2085/kartor/A 49783-2024 karta.png", "A 49783-2024")</f>
        <v/>
      </c>
      <c r="V288">
        <f>HYPERLINK("https://klasma.github.io/Logging_2085/klagomål/A 49783-2024 FSC-klagomål.docx", "A 49783-2024")</f>
        <v/>
      </c>
      <c r="W288">
        <f>HYPERLINK("https://klasma.github.io/Logging_2085/klagomålsmail/A 49783-2024 FSC-klagomål mail.docx", "A 49783-2024")</f>
        <v/>
      </c>
      <c r="X288">
        <f>HYPERLINK("https://klasma.github.io/Logging_2085/tillsyn/A 49783-2024 tillsynsbegäran.docx", "A 49783-2024")</f>
        <v/>
      </c>
      <c r="Y288">
        <f>HYPERLINK("https://klasma.github.io/Logging_2085/tillsynsmail/A 49783-2024 tillsynsbegäran mail.docx", "A 49783-2024")</f>
        <v/>
      </c>
      <c r="Z288">
        <f>HYPERLINK("https://klasma.github.io/Logging_2085/fåglar/A 49783-2024 prioriterade fågelarter.docx", "A 49783-2024")</f>
        <v/>
      </c>
    </row>
    <row r="289" ht="15" customHeight="1">
      <c r="A289" t="inlineStr">
        <is>
          <t>A 34931-2024</t>
        </is>
      </c>
      <c r="B289" s="1" t="n">
        <v>45527.45292824074</v>
      </c>
      <c r="C289" s="1" t="n">
        <v>46114</v>
      </c>
      <c r="D289" t="inlineStr">
        <is>
          <t>DALARNAS LÄN</t>
        </is>
      </c>
      <c r="E289" t="inlineStr">
        <is>
          <t>HEDEMORA</t>
        </is>
      </c>
      <c r="F289" t="inlineStr">
        <is>
          <t>Sveaskog</t>
        </is>
      </c>
      <c r="G289" t="n">
        <v>2.3</v>
      </c>
      <c r="H289" t="n">
        <v>0</v>
      </c>
      <c r="I289" t="n">
        <v>4</v>
      </c>
      <c r="J289" t="n">
        <v>2</v>
      </c>
      <c r="K289" t="n">
        <v>1</v>
      </c>
      <c r="L289" t="n">
        <v>0</v>
      </c>
      <c r="M289" t="n">
        <v>0</v>
      </c>
      <c r="N289" t="n">
        <v>0</v>
      </c>
      <c r="O289" t="n">
        <v>3</v>
      </c>
      <c r="P289" t="n">
        <v>1</v>
      </c>
      <c r="Q289" t="n">
        <v>7</v>
      </c>
      <c r="R289" s="2" t="inlineStr">
        <is>
          <t>Läderdoftande fingersvamp
Dofttaggsvamp
Gul taggsvamp
Fjällig taggsvamp s.str.
Olivspindling
Svavelriska
Tibast</t>
        </is>
      </c>
      <c r="S289">
        <f>HYPERLINK("https://klasma.github.io/Logging_2083/artfynd/A 34931-2024 artfynd.xlsx", "A 34931-2024")</f>
        <v/>
      </c>
      <c r="T289">
        <f>HYPERLINK("https://klasma.github.io/Logging_2083/kartor/A 34931-2024 karta.png", "A 34931-2024")</f>
        <v/>
      </c>
      <c r="V289">
        <f>HYPERLINK("https://klasma.github.io/Logging_2083/klagomål/A 34931-2024 FSC-klagomål.docx", "A 34931-2024")</f>
        <v/>
      </c>
      <c r="W289">
        <f>HYPERLINK("https://klasma.github.io/Logging_2083/klagomålsmail/A 34931-2024 FSC-klagomål mail.docx", "A 34931-2024")</f>
        <v/>
      </c>
      <c r="X289">
        <f>HYPERLINK("https://klasma.github.io/Logging_2083/tillsyn/A 34931-2024 tillsynsbegäran.docx", "A 34931-2024")</f>
        <v/>
      </c>
      <c r="Y289">
        <f>HYPERLINK("https://klasma.github.io/Logging_2083/tillsynsmail/A 34931-2024 tillsynsbegäran mail.docx", "A 34931-2024")</f>
        <v/>
      </c>
    </row>
    <row r="290" ht="15" customHeight="1">
      <c r="A290" t="inlineStr">
        <is>
          <t>A 55505-2024</t>
        </is>
      </c>
      <c r="B290" s="1" t="n">
        <v>45622</v>
      </c>
      <c r="C290" s="1" t="n">
        <v>46114</v>
      </c>
      <c r="D290" t="inlineStr">
        <is>
          <t>DALARNAS LÄN</t>
        </is>
      </c>
      <c r="E290" t="inlineStr">
        <is>
          <t>MALUNG-SÄLEN</t>
        </is>
      </c>
      <c r="F290" t="inlineStr">
        <is>
          <t>Allmännings- och besparingsskogar</t>
        </is>
      </c>
      <c r="G290" t="n">
        <v>34.5</v>
      </c>
      <c r="H290" t="n">
        <v>0</v>
      </c>
      <c r="I290" t="n">
        <v>0</v>
      </c>
      <c r="J290" t="n">
        <v>7</v>
      </c>
      <c r="K290" t="n">
        <v>0</v>
      </c>
      <c r="L290" t="n">
        <v>0</v>
      </c>
      <c r="M290" t="n">
        <v>0</v>
      </c>
      <c r="N290" t="n">
        <v>0</v>
      </c>
      <c r="O290" t="n">
        <v>7</v>
      </c>
      <c r="P290" t="n">
        <v>0</v>
      </c>
      <c r="Q290" t="n">
        <v>7</v>
      </c>
      <c r="R290" s="2" t="inlineStr">
        <is>
          <t>Dvärgbägarlav
Kolflarnlav
Kortskaftad ärgspik
Mörk kolflarnlav
Nordtagging
Vedflamlav
Vedskivlav</t>
        </is>
      </c>
      <c r="S290">
        <f>HYPERLINK("https://klasma.github.io/Logging_2023/artfynd/A 55505-2024 artfynd.xlsx", "A 55505-2024")</f>
        <v/>
      </c>
      <c r="T290">
        <f>HYPERLINK("https://klasma.github.io/Logging_2023/kartor/A 55505-2024 karta.png", "A 55505-2024")</f>
        <v/>
      </c>
      <c r="V290">
        <f>HYPERLINK("https://klasma.github.io/Logging_2023/klagomål/A 55505-2024 FSC-klagomål.docx", "A 55505-2024")</f>
        <v/>
      </c>
      <c r="W290">
        <f>HYPERLINK("https://klasma.github.io/Logging_2023/klagomålsmail/A 55505-2024 FSC-klagomål mail.docx", "A 55505-2024")</f>
        <v/>
      </c>
      <c r="X290">
        <f>HYPERLINK("https://klasma.github.io/Logging_2023/tillsyn/A 55505-2024 tillsynsbegäran.docx", "A 55505-2024")</f>
        <v/>
      </c>
      <c r="Y290">
        <f>HYPERLINK("https://klasma.github.io/Logging_2023/tillsynsmail/A 55505-2024 tillsynsbegäran mail.docx", "A 55505-2024")</f>
        <v/>
      </c>
    </row>
    <row r="291" ht="15" customHeight="1">
      <c r="A291" t="inlineStr">
        <is>
          <t>A 33882-2024</t>
        </is>
      </c>
      <c r="B291" s="1" t="n">
        <v>45522</v>
      </c>
      <c r="C291" s="1" t="n">
        <v>46114</v>
      </c>
      <c r="D291" t="inlineStr">
        <is>
          <t>DALARNAS LÄN</t>
        </is>
      </c>
      <c r="E291" t="inlineStr">
        <is>
          <t>ÄLVDALEN</t>
        </is>
      </c>
      <c r="G291" t="n">
        <v>53.8</v>
      </c>
      <c r="H291" t="n">
        <v>3</v>
      </c>
      <c r="I291" t="n">
        <v>1</v>
      </c>
      <c r="J291" t="n">
        <v>5</v>
      </c>
      <c r="K291" t="n">
        <v>0</v>
      </c>
      <c r="L291" t="n">
        <v>0</v>
      </c>
      <c r="M291" t="n">
        <v>0</v>
      </c>
      <c r="N291" t="n">
        <v>0</v>
      </c>
      <c r="O291" t="n">
        <v>5</v>
      </c>
      <c r="P291" t="n">
        <v>0</v>
      </c>
      <c r="Q291" t="n">
        <v>7</v>
      </c>
      <c r="R291" s="2" t="inlineStr">
        <is>
          <t>Garnlav
Granticka
Skrovellav
Tretåig hackspett
Vitplätt
Spindelblomster
Lavskrika</t>
        </is>
      </c>
      <c r="S291">
        <f>HYPERLINK("https://klasma.github.io/Logging_2039/artfynd/A 33882-2024 artfynd.xlsx", "A 33882-2024")</f>
        <v/>
      </c>
      <c r="T291">
        <f>HYPERLINK("https://klasma.github.io/Logging_2039/kartor/A 33882-2024 karta.png", "A 33882-2024")</f>
        <v/>
      </c>
      <c r="V291">
        <f>HYPERLINK("https://klasma.github.io/Logging_2039/klagomål/A 33882-2024 FSC-klagomål.docx", "A 33882-2024")</f>
        <v/>
      </c>
      <c r="W291">
        <f>HYPERLINK("https://klasma.github.io/Logging_2039/klagomålsmail/A 33882-2024 FSC-klagomål mail.docx", "A 33882-2024")</f>
        <v/>
      </c>
      <c r="X291">
        <f>HYPERLINK("https://klasma.github.io/Logging_2039/tillsyn/A 33882-2024 tillsynsbegäran.docx", "A 33882-2024")</f>
        <v/>
      </c>
      <c r="Y291">
        <f>HYPERLINK("https://klasma.github.io/Logging_2039/tillsynsmail/A 33882-2024 tillsynsbegäran mail.docx", "A 33882-2024")</f>
        <v/>
      </c>
      <c r="Z291">
        <f>HYPERLINK("https://klasma.github.io/Logging_2039/fåglar/A 33882-2024 prioriterade fågelarter.docx", "A 33882-2024")</f>
        <v/>
      </c>
    </row>
    <row r="292" ht="15" customHeight="1">
      <c r="A292" t="inlineStr">
        <is>
          <t>A 25754-2025</t>
        </is>
      </c>
      <c r="B292" s="1" t="n">
        <v>45804.32020833333</v>
      </c>
      <c r="C292" s="1" t="n">
        <v>46114</v>
      </c>
      <c r="D292" t="inlineStr">
        <is>
          <t>DALARNAS LÄN</t>
        </is>
      </c>
      <c r="E292" t="inlineStr">
        <is>
          <t>ÄLVDALEN</t>
        </is>
      </c>
      <c r="F292" t="inlineStr">
        <is>
          <t>Kommuner</t>
        </is>
      </c>
      <c r="G292" t="n">
        <v>2.2</v>
      </c>
      <c r="H292" t="n">
        <v>4</v>
      </c>
      <c r="I292" t="n">
        <v>2</v>
      </c>
      <c r="J292" t="n">
        <v>3</v>
      </c>
      <c r="K292" t="n">
        <v>0</v>
      </c>
      <c r="L292" t="n">
        <v>0</v>
      </c>
      <c r="M292" t="n">
        <v>0</v>
      </c>
      <c r="N292" t="n">
        <v>0</v>
      </c>
      <c r="O292" t="n">
        <v>3</v>
      </c>
      <c r="P292" t="n">
        <v>0</v>
      </c>
      <c r="Q292" t="n">
        <v>7</v>
      </c>
      <c r="R292" s="2" t="inlineStr">
        <is>
          <t>Garnlav
Spillkråka
Talltita
Dropptaggsvamp
Mindre märgborre
Kungsfågel
Revlummer</t>
        </is>
      </c>
      <c r="S292">
        <f>HYPERLINK("https://klasma.github.io/Logging_2039/artfynd/A 25754-2025 artfynd.xlsx", "A 25754-2025")</f>
        <v/>
      </c>
      <c r="T292">
        <f>HYPERLINK("https://klasma.github.io/Logging_2039/kartor/A 25754-2025 karta.png", "A 25754-2025")</f>
        <v/>
      </c>
      <c r="V292">
        <f>HYPERLINK("https://klasma.github.io/Logging_2039/klagomål/A 25754-2025 FSC-klagomål.docx", "A 25754-2025")</f>
        <v/>
      </c>
      <c r="W292">
        <f>HYPERLINK("https://klasma.github.io/Logging_2039/klagomålsmail/A 25754-2025 FSC-klagomål mail.docx", "A 25754-2025")</f>
        <v/>
      </c>
      <c r="X292">
        <f>HYPERLINK("https://klasma.github.io/Logging_2039/tillsyn/A 25754-2025 tillsynsbegäran.docx", "A 25754-2025")</f>
        <v/>
      </c>
      <c r="Y292">
        <f>HYPERLINK("https://klasma.github.io/Logging_2039/tillsynsmail/A 25754-2025 tillsynsbegäran mail.docx", "A 25754-2025")</f>
        <v/>
      </c>
      <c r="Z292">
        <f>HYPERLINK("https://klasma.github.io/Logging_2039/fåglar/A 25754-2025 prioriterade fågelarter.docx", "A 25754-2025")</f>
        <v/>
      </c>
    </row>
    <row r="293" ht="15" customHeight="1">
      <c r="A293" t="inlineStr">
        <is>
          <t>A 35844-2021</t>
        </is>
      </c>
      <c r="B293" s="1" t="n">
        <v>44386</v>
      </c>
      <c r="C293" s="1" t="n">
        <v>46114</v>
      </c>
      <c r="D293" t="inlineStr">
        <is>
          <t>DALARNAS LÄN</t>
        </is>
      </c>
      <c r="E293" t="inlineStr">
        <is>
          <t>AVESTA</t>
        </is>
      </c>
      <c r="F293" t="inlineStr">
        <is>
          <t>Sveaskog</t>
        </is>
      </c>
      <c r="G293" t="n">
        <v>4.4</v>
      </c>
      <c r="H293" t="n">
        <v>4</v>
      </c>
      <c r="I293" t="n">
        <v>3</v>
      </c>
      <c r="J293" t="n">
        <v>2</v>
      </c>
      <c r="K293" t="n">
        <v>0</v>
      </c>
      <c r="L293" t="n">
        <v>0</v>
      </c>
      <c r="M293" t="n">
        <v>0</v>
      </c>
      <c r="N293" t="n">
        <v>0</v>
      </c>
      <c r="O293" t="n">
        <v>2</v>
      </c>
      <c r="P293" t="n">
        <v>0</v>
      </c>
      <c r="Q293" t="n">
        <v>7</v>
      </c>
      <c r="R293" s="2" t="inlineStr">
        <is>
          <t>Spillkråka
Talltita
Bollvitmossa
Bronshjon
Nästlav
Fläcknycklar
Revlummer</t>
        </is>
      </c>
      <c r="S293">
        <f>HYPERLINK("https://klasma.github.io/Logging_2084/artfynd/A 35844-2021 artfynd.xlsx", "A 35844-2021")</f>
        <v/>
      </c>
      <c r="T293">
        <f>HYPERLINK("https://klasma.github.io/Logging_2084/kartor/A 35844-2021 karta.png", "A 35844-2021")</f>
        <v/>
      </c>
      <c r="V293">
        <f>HYPERLINK("https://klasma.github.io/Logging_2084/klagomål/A 35844-2021 FSC-klagomål.docx", "A 35844-2021")</f>
        <v/>
      </c>
      <c r="W293">
        <f>HYPERLINK("https://klasma.github.io/Logging_2084/klagomålsmail/A 35844-2021 FSC-klagomål mail.docx", "A 35844-2021")</f>
        <v/>
      </c>
      <c r="X293">
        <f>HYPERLINK("https://klasma.github.io/Logging_2084/tillsyn/A 35844-2021 tillsynsbegäran.docx", "A 35844-2021")</f>
        <v/>
      </c>
      <c r="Y293">
        <f>HYPERLINK("https://klasma.github.io/Logging_2084/tillsynsmail/A 35844-2021 tillsynsbegäran mail.docx", "A 35844-2021")</f>
        <v/>
      </c>
      <c r="Z293">
        <f>HYPERLINK("https://klasma.github.io/Logging_2084/fåglar/A 35844-2021 prioriterade fågelarter.docx", "A 35844-2021")</f>
        <v/>
      </c>
    </row>
    <row r="294" ht="15" customHeight="1">
      <c r="A294" t="inlineStr">
        <is>
          <t>A 707-2024</t>
        </is>
      </c>
      <c r="B294" s="1" t="n">
        <v>45300</v>
      </c>
      <c r="C294" s="1" t="n">
        <v>46114</v>
      </c>
      <c r="D294" t="inlineStr">
        <is>
          <t>DALARNAS LÄN</t>
        </is>
      </c>
      <c r="E294" t="inlineStr">
        <is>
          <t>ORSA</t>
        </is>
      </c>
      <c r="G294" t="n">
        <v>9.4</v>
      </c>
      <c r="H294" t="n">
        <v>2</v>
      </c>
      <c r="I294" t="n">
        <v>0</v>
      </c>
      <c r="J294" t="n">
        <v>7</v>
      </c>
      <c r="K294" t="n">
        <v>0</v>
      </c>
      <c r="L294" t="n">
        <v>0</v>
      </c>
      <c r="M294" t="n">
        <v>0</v>
      </c>
      <c r="N294" t="n">
        <v>0</v>
      </c>
      <c r="O294" t="n">
        <v>7</v>
      </c>
      <c r="P294" t="n">
        <v>0</v>
      </c>
      <c r="Q294" t="n">
        <v>7</v>
      </c>
      <c r="R294" s="2" t="inlineStr">
        <is>
          <t>Doftskinn
Garnlav
Granticka
Knottrig blåslav
Svartvit flugsnappare
Tretåig hackspett
Violettgrå tagellav</t>
        </is>
      </c>
      <c r="S294">
        <f>HYPERLINK("https://klasma.github.io/Logging_2034/artfynd/A 707-2024 artfynd.xlsx", "A 707-2024")</f>
        <v/>
      </c>
      <c r="T294">
        <f>HYPERLINK("https://klasma.github.io/Logging_2034/kartor/A 707-2024 karta.png", "A 707-2024")</f>
        <v/>
      </c>
      <c r="V294">
        <f>HYPERLINK("https://klasma.github.io/Logging_2034/klagomål/A 707-2024 FSC-klagomål.docx", "A 707-2024")</f>
        <v/>
      </c>
      <c r="W294">
        <f>HYPERLINK("https://klasma.github.io/Logging_2034/klagomålsmail/A 707-2024 FSC-klagomål mail.docx", "A 707-2024")</f>
        <v/>
      </c>
      <c r="X294">
        <f>HYPERLINK("https://klasma.github.io/Logging_2034/tillsyn/A 707-2024 tillsynsbegäran.docx", "A 707-2024")</f>
        <v/>
      </c>
      <c r="Y294">
        <f>HYPERLINK("https://klasma.github.io/Logging_2034/tillsynsmail/A 707-2024 tillsynsbegäran mail.docx", "A 707-2024")</f>
        <v/>
      </c>
      <c r="Z294">
        <f>HYPERLINK("https://klasma.github.io/Logging_2034/fåglar/A 707-2024 prioriterade fågelarter.docx", "A 707-2024")</f>
        <v/>
      </c>
    </row>
    <row r="295" ht="15" customHeight="1">
      <c r="A295" t="inlineStr">
        <is>
          <t>A 29520-2025</t>
        </is>
      </c>
      <c r="B295" s="1" t="n">
        <v>45825.3303125</v>
      </c>
      <c r="C295" s="1" t="n">
        <v>46114</v>
      </c>
      <c r="D295" t="inlineStr">
        <is>
          <t>DALARNAS LÄN</t>
        </is>
      </c>
      <c r="E295" t="inlineStr">
        <is>
          <t>MORA</t>
        </is>
      </c>
      <c r="G295" t="n">
        <v>20.5</v>
      </c>
      <c r="H295" t="n">
        <v>1</v>
      </c>
      <c r="I295" t="n">
        <v>2</v>
      </c>
      <c r="J295" t="n">
        <v>5</v>
      </c>
      <c r="K295" t="n">
        <v>0</v>
      </c>
      <c r="L295" t="n">
        <v>0</v>
      </c>
      <c r="M295" t="n">
        <v>0</v>
      </c>
      <c r="N295" t="n">
        <v>0</v>
      </c>
      <c r="O295" t="n">
        <v>5</v>
      </c>
      <c r="P295" t="n">
        <v>0</v>
      </c>
      <c r="Q295" t="n">
        <v>7</v>
      </c>
      <c r="R295" s="2" t="inlineStr">
        <is>
          <t>Garnlav
Granticka
Mörk kolflarnlav
Tretåig hackspett
Vedskivlav
Korallblylav
Mindre märgborre</t>
        </is>
      </c>
      <c r="S295">
        <f>HYPERLINK("https://klasma.github.io/Logging_2062/artfynd/A 29520-2025 artfynd.xlsx", "A 29520-2025")</f>
        <v/>
      </c>
      <c r="T295">
        <f>HYPERLINK("https://klasma.github.io/Logging_2062/kartor/A 29520-2025 karta.png", "A 29520-2025")</f>
        <v/>
      </c>
      <c r="V295">
        <f>HYPERLINK("https://klasma.github.io/Logging_2062/klagomål/A 29520-2025 FSC-klagomål.docx", "A 29520-2025")</f>
        <v/>
      </c>
      <c r="W295">
        <f>HYPERLINK("https://klasma.github.io/Logging_2062/klagomålsmail/A 29520-2025 FSC-klagomål mail.docx", "A 29520-2025")</f>
        <v/>
      </c>
      <c r="X295">
        <f>HYPERLINK("https://klasma.github.io/Logging_2062/tillsyn/A 29520-2025 tillsynsbegäran.docx", "A 29520-2025")</f>
        <v/>
      </c>
      <c r="Y295">
        <f>HYPERLINK("https://klasma.github.io/Logging_2062/tillsynsmail/A 29520-2025 tillsynsbegäran mail.docx", "A 29520-2025")</f>
        <v/>
      </c>
      <c r="Z295">
        <f>HYPERLINK("https://klasma.github.io/Logging_2062/fåglar/A 29520-2025 prioriterade fågelarter.docx", "A 29520-2025")</f>
        <v/>
      </c>
    </row>
    <row r="296" ht="15" customHeight="1">
      <c r="A296" t="inlineStr">
        <is>
          <t>A 29380-2025</t>
        </is>
      </c>
      <c r="B296" s="1" t="n">
        <v>45824.59025462963</v>
      </c>
      <c r="C296" s="1" t="n">
        <v>46114</v>
      </c>
      <c r="D296" t="inlineStr">
        <is>
          <t>DALARNAS LÄN</t>
        </is>
      </c>
      <c r="E296" t="inlineStr">
        <is>
          <t>MORA</t>
        </is>
      </c>
      <c r="G296" t="n">
        <v>8</v>
      </c>
      <c r="H296" t="n">
        <v>2</v>
      </c>
      <c r="I296" t="n">
        <v>1</v>
      </c>
      <c r="J296" t="n">
        <v>5</v>
      </c>
      <c r="K296" t="n">
        <v>0</v>
      </c>
      <c r="L296" t="n">
        <v>0</v>
      </c>
      <c r="M296" t="n">
        <v>0</v>
      </c>
      <c r="N296" t="n">
        <v>0</v>
      </c>
      <c r="O296" t="n">
        <v>5</v>
      </c>
      <c r="P296" t="n">
        <v>0</v>
      </c>
      <c r="Q296" t="n">
        <v>7</v>
      </c>
      <c r="R296" s="2" t="inlineStr">
        <is>
          <t>Garnlav
Kolflarnlav
Mörk kolflarnlav
Tallticka
Talltita
Mindre märgborre
Tjäder</t>
        </is>
      </c>
      <c r="S296">
        <f>HYPERLINK("https://klasma.github.io/Logging_2062/artfynd/A 29380-2025 artfynd.xlsx", "A 29380-2025")</f>
        <v/>
      </c>
      <c r="T296">
        <f>HYPERLINK("https://klasma.github.io/Logging_2062/kartor/A 29380-2025 karta.png", "A 29380-2025")</f>
        <v/>
      </c>
      <c r="V296">
        <f>HYPERLINK("https://klasma.github.io/Logging_2062/klagomål/A 29380-2025 FSC-klagomål.docx", "A 29380-2025")</f>
        <v/>
      </c>
      <c r="W296">
        <f>HYPERLINK("https://klasma.github.io/Logging_2062/klagomålsmail/A 29380-2025 FSC-klagomål mail.docx", "A 29380-2025")</f>
        <v/>
      </c>
      <c r="X296">
        <f>HYPERLINK("https://klasma.github.io/Logging_2062/tillsyn/A 29380-2025 tillsynsbegäran.docx", "A 29380-2025")</f>
        <v/>
      </c>
      <c r="Y296">
        <f>HYPERLINK("https://klasma.github.io/Logging_2062/tillsynsmail/A 29380-2025 tillsynsbegäran mail.docx", "A 29380-2025")</f>
        <v/>
      </c>
      <c r="Z296">
        <f>HYPERLINK("https://klasma.github.io/Logging_2062/fåglar/A 29380-2025 prioriterade fågelarter.docx", "A 29380-2025")</f>
        <v/>
      </c>
    </row>
    <row r="297" ht="15" customHeight="1">
      <c r="A297" t="inlineStr">
        <is>
          <t>A 35869-2023</t>
        </is>
      </c>
      <c r="B297" s="1" t="n">
        <v>45147</v>
      </c>
      <c r="C297" s="1" t="n">
        <v>46114</v>
      </c>
      <c r="D297" t="inlineStr">
        <is>
          <t>DALARNAS LÄN</t>
        </is>
      </c>
      <c r="E297" t="inlineStr">
        <is>
          <t>RÄTTVIK</t>
        </is>
      </c>
      <c r="G297" t="n">
        <v>3.6</v>
      </c>
      <c r="H297" t="n">
        <v>1</v>
      </c>
      <c r="I297" t="n">
        <v>2</v>
      </c>
      <c r="J297" t="n">
        <v>4</v>
      </c>
      <c r="K297" t="n">
        <v>1</v>
      </c>
      <c r="L297" t="n">
        <v>0</v>
      </c>
      <c r="M297" t="n">
        <v>0</v>
      </c>
      <c r="N297" t="n">
        <v>0</v>
      </c>
      <c r="O297" t="n">
        <v>5</v>
      </c>
      <c r="P297" t="n">
        <v>1</v>
      </c>
      <c r="Q297" t="n">
        <v>7</v>
      </c>
      <c r="R297" s="2" t="inlineStr">
        <is>
          <t>Rynkskinn
Garnlav
Rosenticka
Tretåig hackspett
Ullticka
Bollvitmossa
Bronshjon</t>
        </is>
      </c>
      <c r="S297">
        <f>HYPERLINK("https://klasma.github.io/Logging_2031/artfynd/A 35869-2023 artfynd.xlsx", "A 35869-2023")</f>
        <v/>
      </c>
      <c r="T297">
        <f>HYPERLINK("https://klasma.github.io/Logging_2031/kartor/A 35869-2023 karta.png", "A 35869-2023")</f>
        <v/>
      </c>
      <c r="V297">
        <f>HYPERLINK("https://klasma.github.io/Logging_2031/klagomål/A 35869-2023 FSC-klagomål.docx", "A 35869-2023")</f>
        <v/>
      </c>
      <c r="W297">
        <f>HYPERLINK("https://klasma.github.io/Logging_2031/klagomålsmail/A 35869-2023 FSC-klagomål mail.docx", "A 35869-2023")</f>
        <v/>
      </c>
      <c r="X297">
        <f>HYPERLINK("https://klasma.github.io/Logging_2031/tillsyn/A 35869-2023 tillsynsbegäran.docx", "A 35869-2023")</f>
        <v/>
      </c>
      <c r="Y297">
        <f>HYPERLINK("https://klasma.github.io/Logging_2031/tillsynsmail/A 35869-2023 tillsynsbegäran mail.docx", "A 35869-2023")</f>
        <v/>
      </c>
      <c r="Z297">
        <f>HYPERLINK("https://klasma.github.io/Logging_2031/fåglar/A 35869-2023 prioriterade fågelarter.docx", "A 35869-2023")</f>
        <v/>
      </c>
    </row>
    <row r="298" ht="15" customHeight="1">
      <c r="A298" t="inlineStr">
        <is>
          <t>A 39267-2021</t>
        </is>
      </c>
      <c r="B298" s="1" t="n">
        <v>44413</v>
      </c>
      <c r="C298" s="1" t="n">
        <v>46114</v>
      </c>
      <c r="D298" t="inlineStr">
        <is>
          <t>DALARNAS LÄN</t>
        </is>
      </c>
      <c r="E298" t="inlineStr">
        <is>
          <t>ÄLVDALEN</t>
        </is>
      </c>
      <c r="G298" t="n">
        <v>2.4</v>
      </c>
      <c r="H298" t="n">
        <v>4</v>
      </c>
      <c r="I298" t="n">
        <v>0</v>
      </c>
      <c r="J298" t="n">
        <v>4</v>
      </c>
      <c r="K298" t="n">
        <v>1</v>
      </c>
      <c r="L298" t="n">
        <v>0</v>
      </c>
      <c r="M298" t="n">
        <v>0</v>
      </c>
      <c r="N298" t="n">
        <v>0</v>
      </c>
      <c r="O298" t="n">
        <v>5</v>
      </c>
      <c r="P298" t="n">
        <v>1</v>
      </c>
      <c r="Q298" t="n">
        <v>6</v>
      </c>
      <c r="R298" s="2" t="inlineStr">
        <is>
          <t>Knärot
Garnlav
Spillkråka
Tretåig hackspett
Vedskivlav
Kungsfågel</t>
        </is>
      </c>
      <c r="S298">
        <f>HYPERLINK("https://klasma.github.io/Logging_2039/artfynd/A 39267-2021 artfynd.xlsx", "A 39267-2021")</f>
        <v/>
      </c>
      <c r="T298">
        <f>HYPERLINK("https://klasma.github.io/Logging_2039/kartor/A 39267-2021 karta.png", "A 39267-2021")</f>
        <v/>
      </c>
      <c r="U298">
        <f>HYPERLINK("https://klasma.github.io/Logging_2039/knärot/A 39267-2021 karta knärot.png", "A 39267-2021")</f>
        <v/>
      </c>
      <c r="V298">
        <f>HYPERLINK("https://klasma.github.io/Logging_2039/klagomål/A 39267-2021 FSC-klagomål.docx", "A 39267-2021")</f>
        <v/>
      </c>
      <c r="W298">
        <f>HYPERLINK("https://klasma.github.io/Logging_2039/klagomålsmail/A 39267-2021 FSC-klagomål mail.docx", "A 39267-2021")</f>
        <v/>
      </c>
      <c r="X298">
        <f>HYPERLINK("https://klasma.github.io/Logging_2039/tillsyn/A 39267-2021 tillsynsbegäran.docx", "A 39267-2021")</f>
        <v/>
      </c>
      <c r="Y298">
        <f>HYPERLINK("https://klasma.github.io/Logging_2039/tillsynsmail/A 39267-2021 tillsynsbegäran mail.docx", "A 39267-2021")</f>
        <v/>
      </c>
      <c r="Z298">
        <f>HYPERLINK("https://klasma.github.io/Logging_2039/fåglar/A 39267-2021 prioriterade fågelarter.docx", "A 39267-2021")</f>
        <v/>
      </c>
    </row>
    <row r="299" ht="15" customHeight="1">
      <c r="A299" t="inlineStr">
        <is>
          <t>A 54314-2021</t>
        </is>
      </c>
      <c r="B299" s="1" t="n">
        <v>44472</v>
      </c>
      <c r="C299" s="1" t="n">
        <v>46114</v>
      </c>
      <c r="D299" t="inlineStr">
        <is>
          <t>DALARNAS LÄN</t>
        </is>
      </c>
      <c r="E299" t="inlineStr">
        <is>
          <t>ÄLVDALEN</t>
        </is>
      </c>
      <c r="G299" t="n">
        <v>48.4</v>
      </c>
      <c r="H299" t="n">
        <v>0</v>
      </c>
      <c r="I299" t="n">
        <v>1</v>
      </c>
      <c r="J299" t="n">
        <v>5</v>
      </c>
      <c r="K299" t="n">
        <v>0</v>
      </c>
      <c r="L299" t="n">
        <v>0</v>
      </c>
      <c r="M299" t="n">
        <v>0</v>
      </c>
      <c r="N299" t="n">
        <v>0</v>
      </c>
      <c r="O299" t="n">
        <v>5</v>
      </c>
      <c r="P299" t="n">
        <v>0</v>
      </c>
      <c r="Q299" t="n">
        <v>6</v>
      </c>
      <c r="R299" s="2" t="inlineStr">
        <is>
          <t>Garnlav
Mörk kolflarnlav
Vedflamlav
Vedskivlav
Violettgrå tagellav
Mindre märgborre</t>
        </is>
      </c>
      <c r="S299">
        <f>HYPERLINK("https://klasma.github.io/Logging_2039/artfynd/A 54314-2021 artfynd.xlsx", "A 54314-2021")</f>
        <v/>
      </c>
      <c r="T299">
        <f>HYPERLINK("https://klasma.github.io/Logging_2039/kartor/A 54314-2021 karta.png", "A 54314-2021")</f>
        <v/>
      </c>
      <c r="V299">
        <f>HYPERLINK("https://klasma.github.io/Logging_2039/klagomål/A 54314-2021 FSC-klagomål.docx", "A 54314-2021")</f>
        <v/>
      </c>
      <c r="W299">
        <f>HYPERLINK("https://klasma.github.io/Logging_2039/klagomålsmail/A 54314-2021 FSC-klagomål mail.docx", "A 54314-2021")</f>
        <v/>
      </c>
      <c r="X299">
        <f>HYPERLINK("https://klasma.github.io/Logging_2039/tillsyn/A 54314-2021 tillsynsbegäran.docx", "A 54314-2021")</f>
        <v/>
      </c>
      <c r="Y299">
        <f>HYPERLINK("https://klasma.github.io/Logging_2039/tillsynsmail/A 54314-2021 tillsynsbegäran mail.docx", "A 54314-2021")</f>
        <v/>
      </c>
    </row>
    <row r="300" ht="15" customHeight="1">
      <c r="A300" t="inlineStr">
        <is>
          <t>A 45872-2021</t>
        </is>
      </c>
      <c r="B300" s="1" t="n">
        <v>44441</v>
      </c>
      <c r="C300" s="1" t="n">
        <v>46114</v>
      </c>
      <c r="D300" t="inlineStr">
        <is>
          <t>DALARNAS LÄN</t>
        </is>
      </c>
      <c r="E300" t="inlineStr">
        <is>
          <t>HEDEMORA</t>
        </is>
      </c>
      <c r="G300" t="n">
        <v>4.3</v>
      </c>
      <c r="H300" t="n">
        <v>2</v>
      </c>
      <c r="I300" t="n">
        <v>4</v>
      </c>
      <c r="J300" t="n">
        <v>2</v>
      </c>
      <c r="K300" t="n">
        <v>0</v>
      </c>
      <c r="L300" t="n">
        <v>0</v>
      </c>
      <c r="M300" t="n">
        <v>0</v>
      </c>
      <c r="N300" t="n">
        <v>0</v>
      </c>
      <c r="O300" t="n">
        <v>2</v>
      </c>
      <c r="P300" t="n">
        <v>0</v>
      </c>
      <c r="Q300" t="n">
        <v>6</v>
      </c>
      <c r="R300" s="2" t="inlineStr">
        <is>
          <t>Spillkråka
Talltita
Bollvitmossa
Gulnål
Rödgul trumpetsvamp
Svavelriska</t>
        </is>
      </c>
      <c r="S300">
        <f>HYPERLINK("https://klasma.github.io/Logging_2083/artfynd/A 45872-2021 artfynd.xlsx", "A 45872-2021")</f>
        <v/>
      </c>
      <c r="T300">
        <f>HYPERLINK("https://klasma.github.io/Logging_2083/kartor/A 45872-2021 karta.png", "A 45872-2021")</f>
        <v/>
      </c>
      <c r="V300">
        <f>HYPERLINK("https://klasma.github.io/Logging_2083/klagomål/A 45872-2021 FSC-klagomål.docx", "A 45872-2021")</f>
        <v/>
      </c>
      <c r="W300">
        <f>HYPERLINK("https://klasma.github.io/Logging_2083/klagomålsmail/A 45872-2021 FSC-klagomål mail.docx", "A 45872-2021")</f>
        <v/>
      </c>
      <c r="X300">
        <f>HYPERLINK("https://klasma.github.io/Logging_2083/tillsyn/A 45872-2021 tillsynsbegäran.docx", "A 45872-2021")</f>
        <v/>
      </c>
      <c r="Y300">
        <f>HYPERLINK("https://klasma.github.io/Logging_2083/tillsynsmail/A 45872-2021 tillsynsbegäran mail.docx", "A 45872-2021")</f>
        <v/>
      </c>
      <c r="Z300">
        <f>HYPERLINK("https://klasma.github.io/Logging_2083/fåglar/A 45872-2021 prioriterade fågelarter.docx", "A 45872-2021")</f>
        <v/>
      </c>
    </row>
    <row r="301" ht="15" customHeight="1">
      <c r="A301" t="inlineStr">
        <is>
          <t>A 22647-2022</t>
        </is>
      </c>
      <c r="B301" s="1" t="n">
        <v>44714</v>
      </c>
      <c r="C301" s="1" t="n">
        <v>46114</v>
      </c>
      <c r="D301" t="inlineStr">
        <is>
          <t>DALARNAS LÄN</t>
        </is>
      </c>
      <c r="E301" t="inlineStr">
        <is>
          <t>ORSA</t>
        </is>
      </c>
      <c r="F301" t="inlineStr">
        <is>
          <t>Allmännings- och besparingsskogar</t>
        </is>
      </c>
      <c r="G301" t="n">
        <v>2.7</v>
      </c>
      <c r="H301" t="n">
        <v>1</v>
      </c>
      <c r="I301" t="n">
        <v>2</v>
      </c>
      <c r="J301" t="n">
        <v>3</v>
      </c>
      <c r="K301" t="n">
        <v>1</v>
      </c>
      <c r="L301" t="n">
        <v>0</v>
      </c>
      <c r="M301" t="n">
        <v>0</v>
      </c>
      <c r="N301" t="n">
        <v>0</v>
      </c>
      <c r="O301" t="n">
        <v>4</v>
      </c>
      <c r="P301" t="n">
        <v>1</v>
      </c>
      <c r="Q301" t="n">
        <v>6</v>
      </c>
      <c r="R301" s="2" t="inlineStr">
        <is>
          <t>Knärot
Dvärgbägarlav
Kolflarnlav
Vedskivlav
Dropptaggsvamp
Vedticka</t>
        </is>
      </c>
      <c r="S301">
        <f>HYPERLINK("https://klasma.github.io/Logging_2034/artfynd/A 22647-2022 artfynd.xlsx", "A 22647-2022")</f>
        <v/>
      </c>
      <c r="T301">
        <f>HYPERLINK("https://klasma.github.io/Logging_2034/kartor/A 22647-2022 karta.png", "A 22647-2022")</f>
        <v/>
      </c>
      <c r="U301">
        <f>HYPERLINK("https://klasma.github.io/Logging_2034/knärot/A 22647-2022 karta knärot.png", "A 22647-2022")</f>
        <v/>
      </c>
      <c r="V301">
        <f>HYPERLINK("https://klasma.github.io/Logging_2034/klagomål/A 22647-2022 FSC-klagomål.docx", "A 22647-2022")</f>
        <v/>
      </c>
      <c r="W301">
        <f>HYPERLINK("https://klasma.github.io/Logging_2034/klagomålsmail/A 22647-2022 FSC-klagomål mail.docx", "A 22647-2022")</f>
        <v/>
      </c>
      <c r="X301">
        <f>HYPERLINK("https://klasma.github.io/Logging_2034/tillsyn/A 22647-2022 tillsynsbegäran.docx", "A 22647-2022")</f>
        <v/>
      </c>
      <c r="Y301">
        <f>HYPERLINK("https://klasma.github.io/Logging_2034/tillsynsmail/A 22647-2022 tillsynsbegäran mail.docx", "A 22647-2022")</f>
        <v/>
      </c>
    </row>
    <row r="302" ht="15" customHeight="1">
      <c r="A302" t="inlineStr">
        <is>
          <t>A 52673-2021</t>
        </is>
      </c>
      <c r="B302" s="1" t="n">
        <v>44466.70864583334</v>
      </c>
      <c r="C302" s="1" t="n">
        <v>46114</v>
      </c>
      <c r="D302" t="inlineStr">
        <is>
          <t>DALARNAS LÄN</t>
        </is>
      </c>
      <c r="E302" t="inlineStr">
        <is>
          <t>FALUN</t>
        </is>
      </c>
      <c r="G302" t="n">
        <v>2.7</v>
      </c>
      <c r="H302" t="n">
        <v>3</v>
      </c>
      <c r="I302" t="n">
        <v>1</v>
      </c>
      <c r="J302" t="n">
        <v>1</v>
      </c>
      <c r="K302" t="n">
        <v>2</v>
      </c>
      <c r="L302" t="n">
        <v>0</v>
      </c>
      <c r="M302" t="n">
        <v>0</v>
      </c>
      <c r="N302" t="n">
        <v>0</v>
      </c>
      <c r="O302" t="n">
        <v>3</v>
      </c>
      <c r="P302" t="n">
        <v>2</v>
      </c>
      <c r="Q302" t="n">
        <v>6</v>
      </c>
      <c r="R302" s="2" t="inlineStr">
        <is>
          <t>Knärot
Rynkskinn
Garnlav
Bollvitmossa
Tjäder
Grönvit nattviol</t>
        </is>
      </c>
      <c r="S302">
        <f>HYPERLINK("https://klasma.github.io/Logging_2080/artfynd/A 52673-2021 artfynd.xlsx", "A 52673-2021")</f>
        <v/>
      </c>
      <c r="T302">
        <f>HYPERLINK("https://klasma.github.io/Logging_2080/kartor/A 52673-2021 karta.png", "A 52673-2021")</f>
        <v/>
      </c>
      <c r="U302">
        <f>HYPERLINK("https://klasma.github.io/Logging_2080/knärot/A 52673-2021 karta knärot.png", "A 52673-2021")</f>
        <v/>
      </c>
      <c r="V302">
        <f>HYPERLINK("https://klasma.github.io/Logging_2080/klagomål/A 52673-2021 FSC-klagomål.docx", "A 52673-2021")</f>
        <v/>
      </c>
      <c r="W302">
        <f>HYPERLINK("https://klasma.github.io/Logging_2080/klagomålsmail/A 52673-2021 FSC-klagomål mail.docx", "A 52673-2021")</f>
        <v/>
      </c>
      <c r="X302">
        <f>HYPERLINK("https://klasma.github.io/Logging_2080/tillsyn/A 52673-2021 tillsynsbegäran.docx", "A 52673-2021")</f>
        <v/>
      </c>
      <c r="Y302">
        <f>HYPERLINK("https://klasma.github.io/Logging_2080/tillsynsmail/A 52673-2021 tillsynsbegäran mail.docx", "A 52673-2021")</f>
        <v/>
      </c>
      <c r="Z302">
        <f>HYPERLINK("https://klasma.github.io/Logging_2080/fåglar/A 52673-2021 prioriterade fågelarter.docx", "A 52673-2021")</f>
        <v/>
      </c>
    </row>
    <row r="303" ht="15" customHeight="1">
      <c r="A303" t="inlineStr">
        <is>
          <t>A 53634-2021</t>
        </is>
      </c>
      <c r="B303" s="1" t="n">
        <v>44469</v>
      </c>
      <c r="C303" s="1" t="n">
        <v>46114</v>
      </c>
      <c r="D303" t="inlineStr">
        <is>
          <t>DALARNAS LÄN</t>
        </is>
      </c>
      <c r="E303" t="inlineStr">
        <is>
          <t>ORSA</t>
        </is>
      </c>
      <c r="G303" t="n">
        <v>1.9</v>
      </c>
      <c r="H303" t="n">
        <v>1</v>
      </c>
      <c r="I303" t="n">
        <v>1</v>
      </c>
      <c r="J303" t="n">
        <v>4</v>
      </c>
      <c r="K303" t="n">
        <v>1</v>
      </c>
      <c r="L303" t="n">
        <v>0</v>
      </c>
      <c r="M303" t="n">
        <v>0</v>
      </c>
      <c r="N303" t="n">
        <v>0</v>
      </c>
      <c r="O303" t="n">
        <v>5</v>
      </c>
      <c r="P303" t="n">
        <v>1</v>
      </c>
      <c r="Q303" t="n">
        <v>6</v>
      </c>
      <c r="R303" s="2" t="inlineStr">
        <is>
          <t>Knärot
Garnlav
Lunglav
Vaddporing
Vedtrappmossa
Korallblylav</t>
        </is>
      </c>
      <c r="S303">
        <f>HYPERLINK("https://klasma.github.io/Logging_2034/artfynd/A 53634-2021 artfynd.xlsx", "A 53634-2021")</f>
        <v/>
      </c>
      <c r="T303">
        <f>HYPERLINK("https://klasma.github.io/Logging_2034/kartor/A 53634-2021 karta.png", "A 53634-2021")</f>
        <v/>
      </c>
      <c r="U303">
        <f>HYPERLINK("https://klasma.github.io/Logging_2034/knärot/A 53634-2021 karta knärot.png", "A 53634-2021")</f>
        <v/>
      </c>
      <c r="V303">
        <f>HYPERLINK("https://klasma.github.io/Logging_2034/klagomål/A 53634-2021 FSC-klagomål.docx", "A 53634-2021")</f>
        <v/>
      </c>
      <c r="W303">
        <f>HYPERLINK("https://klasma.github.io/Logging_2034/klagomålsmail/A 53634-2021 FSC-klagomål mail.docx", "A 53634-2021")</f>
        <v/>
      </c>
      <c r="X303">
        <f>HYPERLINK("https://klasma.github.io/Logging_2034/tillsyn/A 53634-2021 tillsynsbegäran.docx", "A 53634-2021")</f>
        <v/>
      </c>
      <c r="Y303">
        <f>HYPERLINK("https://klasma.github.io/Logging_2034/tillsynsmail/A 53634-2021 tillsynsbegäran mail.docx", "A 53634-2021")</f>
        <v/>
      </c>
    </row>
    <row r="304" ht="15" customHeight="1">
      <c r="A304" t="inlineStr">
        <is>
          <t>A 49052-2023</t>
        </is>
      </c>
      <c r="B304" s="1" t="n">
        <v>45210</v>
      </c>
      <c r="C304" s="1" t="n">
        <v>46114</v>
      </c>
      <c r="D304" t="inlineStr">
        <is>
          <t>DALARNAS LÄN</t>
        </is>
      </c>
      <c r="E304" t="inlineStr">
        <is>
          <t>ÄLVDALEN</t>
        </is>
      </c>
      <c r="F304" t="inlineStr">
        <is>
          <t>Sveaskog</t>
        </is>
      </c>
      <c r="G304" t="n">
        <v>4.4</v>
      </c>
      <c r="H304" t="n">
        <v>1</v>
      </c>
      <c r="I304" t="n">
        <v>2</v>
      </c>
      <c r="J304" t="n">
        <v>4</v>
      </c>
      <c r="K304" t="n">
        <v>0</v>
      </c>
      <c r="L304" t="n">
        <v>0</v>
      </c>
      <c r="M304" t="n">
        <v>0</v>
      </c>
      <c r="N304" t="n">
        <v>0</v>
      </c>
      <c r="O304" t="n">
        <v>4</v>
      </c>
      <c r="P304" t="n">
        <v>0</v>
      </c>
      <c r="Q304" t="n">
        <v>6</v>
      </c>
      <c r="R304" s="2" t="inlineStr">
        <is>
          <t>Kolflarnlav
Mörk kolflarnlav
Varglav
Vedflamlav
Dropptaggsvamp
Skarp dropptaggsvamp</t>
        </is>
      </c>
      <c r="S304">
        <f>HYPERLINK("https://klasma.github.io/Logging_2039/artfynd/A 49052-2023 artfynd.xlsx", "A 49052-2023")</f>
        <v/>
      </c>
      <c r="T304">
        <f>HYPERLINK("https://klasma.github.io/Logging_2039/kartor/A 49052-2023 karta.png", "A 49052-2023")</f>
        <v/>
      </c>
      <c r="V304">
        <f>HYPERLINK("https://klasma.github.io/Logging_2039/klagomål/A 49052-2023 FSC-klagomål.docx", "A 49052-2023")</f>
        <v/>
      </c>
      <c r="W304">
        <f>HYPERLINK("https://klasma.github.io/Logging_2039/klagomålsmail/A 49052-2023 FSC-klagomål mail.docx", "A 49052-2023")</f>
        <v/>
      </c>
      <c r="X304">
        <f>HYPERLINK("https://klasma.github.io/Logging_2039/tillsyn/A 49052-2023 tillsynsbegäran.docx", "A 49052-2023")</f>
        <v/>
      </c>
      <c r="Y304">
        <f>HYPERLINK("https://klasma.github.io/Logging_2039/tillsynsmail/A 49052-2023 tillsynsbegäran mail.docx", "A 49052-2023")</f>
        <v/>
      </c>
    </row>
    <row r="305" ht="15" customHeight="1">
      <c r="A305" t="inlineStr">
        <is>
          <t>A 54671-2021</t>
        </is>
      </c>
      <c r="B305" s="1" t="n">
        <v>44473</v>
      </c>
      <c r="C305" s="1" t="n">
        <v>46114</v>
      </c>
      <c r="D305" t="inlineStr">
        <is>
          <t>DALARNAS LÄN</t>
        </is>
      </c>
      <c r="E305" t="inlineStr">
        <is>
          <t>ÄLVDALEN</t>
        </is>
      </c>
      <c r="G305" t="n">
        <v>26.4</v>
      </c>
      <c r="H305" t="n">
        <v>0</v>
      </c>
      <c r="I305" t="n">
        <v>0</v>
      </c>
      <c r="J305" t="n">
        <v>4</v>
      </c>
      <c r="K305" t="n">
        <v>1</v>
      </c>
      <c r="L305" t="n">
        <v>1</v>
      </c>
      <c r="M305" t="n">
        <v>0</v>
      </c>
      <c r="N305" t="n">
        <v>0</v>
      </c>
      <c r="O305" t="n">
        <v>6</v>
      </c>
      <c r="P305" t="n">
        <v>2</v>
      </c>
      <c r="Q305" t="n">
        <v>6</v>
      </c>
      <c r="R305" s="2" t="inlineStr">
        <is>
          <t>Timmerskapania
Fläckporing
Granticka
Kolflarnlav
Mörk kolflarnlav
Ullticka</t>
        </is>
      </c>
      <c r="S305">
        <f>HYPERLINK("https://klasma.github.io/Logging_2039/artfynd/A 54671-2021 artfynd.xlsx", "A 54671-2021")</f>
        <v/>
      </c>
      <c r="T305">
        <f>HYPERLINK("https://klasma.github.io/Logging_2039/kartor/A 54671-2021 karta.png", "A 54671-2021")</f>
        <v/>
      </c>
      <c r="V305">
        <f>HYPERLINK("https://klasma.github.io/Logging_2039/klagomål/A 54671-2021 FSC-klagomål.docx", "A 54671-2021")</f>
        <v/>
      </c>
      <c r="W305">
        <f>HYPERLINK("https://klasma.github.io/Logging_2039/klagomålsmail/A 54671-2021 FSC-klagomål mail.docx", "A 54671-2021")</f>
        <v/>
      </c>
      <c r="X305">
        <f>HYPERLINK("https://klasma.github.io/Logging_2039/tillsyn/A 54671-2021 tillsynsbegäran.docx", "A 54671-2021")</f>
        <v/>
      </c>
      <c r="Y305">
        <f>HYPERLINK("https://klasma.github.io/Logging_2039/tillsynsmail/A 54671-2021 tillsynsbegäran mail.docx", "A 54671-2021")</f>
        <v/>
      </c>
    </row>
    <row r="306" ht="15" customHeight="1">
      <c r="A306" t="inlineStr">
        <is>
          <t>A 30176-2024</t>
        </is>
      </c>
      <c r="B306" s="1" t="n">
        <v>45489.84730324074</v>
      </c>
      <c r="C306" s="1" t="n">
        <v>46114</v>
      </c>
      <c r="D306" t="inlineStr">
        <is>
          <t>DALARNAS LÄN</t>
        </is>
      </c>
      <c r="E306" t="inlineStr">
        <is>
          <t>LEKSAND</t>
        </is>
      </c>
      <c r="G306" t="n">
        <v>15.1</v>
      </c>
      <c r="H306" t="n">
        <v>0</v>
      </c>
      <c r="I306" t="n">
        <v>4</v>
      </c>
      <c r="J306" t="n">
        <v>2</v>
      </c>
      <c r="K306" t="n">
        <v>0</v>
      </c>
      <c r="L306" t="n">
        <v>0</v>
      </c>
      <c r="M306" t="n">
        <v>0</v>
      </c>
      <c r="N306" t="n">
        <v>0</v>
      </c>
      <c r="O306" t="n">
        <v>2</v>
      </c>
      <c r="P306" t="n">
        <v>0</v>
      </c>
      <c r="Q306" t="n">
        <v>6</v>
      </c>
      <c r="R306" s="2" t="inlineStr">
        <is>
          <t>Kolflarnlav
Vedskivlav
Dropptaggsvamp
Mindre märgborre
Rävticka
Skinnlav</t>
        </is>
      </c>
      <c r="S306">
        <f>HYPERLINK("https://klasma.github.io/Logging_2029/artfynd/A 30176-2024 artfynd.xlsx", "A 30176-2024")</f>
        <v/>
      </c>
      <c r="T306">
        <f>HYPERLINK("https://klasma.github.io/Logging_2029/kartor/A 30176-2024 karta.png", "A 30176-2024")</f>
        <v/>
      </c>
      <c r="V306">
        <f>HYPERLINK("https://klasma.github.io/Logging_2029/klagomål/A 30176-2024 FSC-klagomål.docx", "A 30176-2024")</f>
        <v/>
      </c>
      <c r="W306">
        <f>HYPERLINK("https://klasma.github.io/Logging_2029/klagomålsmail/A 30176-2024 FSC-klagomål mail.docx", "A 30176-2024")</f>
        <v/>
      </c>
      <c r="X306">
        <f>HYPERLINK("https://klasma.github.io/Logging_2029/tillsyn/A 30176-2024 tillsynsbegäran.docx", "A 30176-2024")</f>
        <v/>
      </c>
      <c r="Y306">
        <f>HYPERLINK("https://klasma.github.io/Logging_2029/tillsynsmail/A 30176-2024 tillsynsbegäran mail.docx", "A 30176-2024")</f>
        <v/>
      </c>
    </row>
    <row r="307" ht="15" customHeight="1">
      <c r="A307" t="inlineStr">
        <is>
          <t>A 33638-2025</t>
        </is>
      </c>
      <c r="B307" s="1" t="n">
        <v>45841.64807870371</v>
      </c>
      <c r="C307" s="1" t="n">
        <v>46114</v>
      </c>
      <c r="D307" t="inlineStr">
        <is>
          <t>DALARNAS LÄN</t>
        </is>
      </c>
      <c r="E307" t="inlineStr">
        <is>
          <t>ÄLVDALEN</t>
        </is>
      </c>
      <c r="F307" t="inlineStr">
        <is>
          <t>Sveaskog</t>
        </is>
      </c>
      <c r="G307" t="n">
        <v>2.1</v>
      </c>
      <c r="H307" t="n">
        <v>0</v>
      </c>
      <c r="I307" t="n">
        <v>1</v>
      </c>
      <c r="J307" t="n">
        <v>4</v>
      </c>
      <c r="K307" t="n">
        <v>1</v>
      </c>
      <c r="L307" t="n">
        <v>0</v>
      </c>
      <c r="M307" t="n">
        <v>0</v>
      </c>
      <c r="N307" t="n">
        <v>0</v>
      </c>
      <c r="O307" t="n">
        <v>5</v>
      </c>
      <c r="P307" t="n">
        <v>1</v>
      </c>
      <c r="Q307" t="n">
        <v>6</v>
      </c>
      <c r="R307" s="2" t="inlineStr">
        <is>
          <t>Gräddporing
Blanksvart spiklav
Dvärgbägarlav
Kolflarnlav
Mörk kolflarnlav
Dropptaggsvamp</t>
        </is>
      </c>
      <c r="S307">
        <f>HYPERLINK("https://klasma.github.io/Logging_2039/artfynd/A 33638-2025 artfynd.xlsx", "A 33638-2025")</f>
        <v/>
      </c>
      <c r="T307">
        <f>HYPERLINK("https://klasma.github.io/Logging_2039/kartor/A 33638-2025 karta.png", "A 33638-2025")</f>
        <v/>
      </c>
      <c r="V307">
        <f>HYPERLINK("https://klasma.github.io/Logging_2039/klagomål/A 33638-2025 FSC-klagomål.docx", "A 33638-2025")</f>
        <v/>
      </c>
      <c r="W307">
        <f>HYPERLINK("https://klasma.github.io/Logging_2039/klagomålsmail/A 33638-2025 FSC-klagomål mail.docx", "A 33638-2025")</f>
        <v/>
      </c>
      <c r="X307">
        <f>HYPERLINK("https://klasma.github.io/Logging_2039/tillsyn/A 33638-2025 tillsynsbegäran.docx", "A 33638-2025")</f>
        <v/>
      </c>
      <c r="Y307">
        <f>HYPERLINK("https://klasma.github.io/Logging_2039/tillsynsmail/A 33638-2025 tillsynsbegäran mail.docx", "A 33638-2025")</f>
        <v/>
      </c>
    </row>
    <row r="308" ht="15" customHeight="1">
      <c r="A308" t="inlineStr">
        <is>
          <t>A 33822-2025</t>
        </is>
      </c>
      <c r="B308" s="1" t="n">
        <v>45842.46769675926</v>
      </c>
      <c r="C308" s="1" t="n">
        <v>46114</v>
      </c>
      <c r="D308" t="inlineStr">
        <is>
          <t>DALARNAS LÄN</t>
        </is>
      </c>
      <c r="E308" t="inlineStr">
        <is>
          <t>ÄLVDALEN</t>
        </is>
      </c>
      <c r="F308" t="inlineStr">
        <is>
          <t>Sveaskog</t>
        </is>
      </c>
      <c r="G308" t="n">
        <v>3.9</v>
      </c>
      <c r="H308" t="n">
        <v>0</v>
      </c>
      <c r="I308" t="n">
        <v>1</v>
      </c>
      <c r="J308" t="n">
        <v>5</v>
      </c>
      <c r="K308" t="n">
        <v>0</v>
      </c>
      <c r="L308" t="n">
        <v>0</v>
      </c>
      <c r="M308" t="n">
        <v>0</v>
      </c>
      <c r="N308" t="n">
        <v>0</v>
      </c>
      <c r="O308" t="n">
        <v>5</v>
      </c>
      <c r="P308" t="n">
        <v>0</v>
      </c>
      <c r="Q308" t="n">
        <v>6</v>
      </c>
      <c r="R308" s="2" t="inlineStr">
        <is>
          <t>Blå taggsvamp
Kolflarnlav
Motaggsvamp
Mörk kolflarnlav
Vedflamlav
Skarp dropptaggsvamp</t>
        </is>
      </c>
      <c r="S308">
        <f>HYPERLINK("https://klasma.github.io/Logging_2039/artfynd/A 33822-2025 artfynd.xlsx", "A 33822-2025")</f>
        <v/>
      </c>
      <c r="T308">
        <f>HYPERLINK("https://klasma.github.io/Logging_2039/kartor/A 33822-2025 karta.png", "A 33822-2025")</f>
        <v/>
      </c>
      <c r="V308">
        <f>HYPERLINK("https://klasma.github.io/Logging_2039/klagomål/A 33822-2025 FSC-klagomål.docx", "A 33822-2025")</f>
        <v/>
      </c>
      <c r="W308">
        <f>HYPERLINK("https://klasma.github.io/Logging_2039/klagomålsmail/A 33822-2025 FSC-klagomål mail.docx", "A 33822-2025")</f>
        <v/>
      </c>
      <c r="X308">
        <f>HYPERLINK("https://klasma.github.io/Logging_2039/tillsyn/A 33822-2025 tillsynsbegäran.docx", "A 33822-2025")</f>
        <v/>
      </c>
      <c r="Y308">
        <f>HYPERLINK("https://klasma.github.io/Logging_2039/tillsynsmail/A 33822-2025 tillsynsbegäran mail.docx", "A 33822-2025")</f>
        <v/>
      </c>
    </row>
    <row r="309" ht="15" customHeight="1">
      <c r="A309" t="inlineStr">
        <is>
          <t>A 33885-2025</t>
        </is>
      </c>
      <c r="B309" s="1" t="n">
        <v>45842</v>
      </c>
      <c r="C309" s="1" t="n">
        <v>46114</v>
      </c>
      <c r="D309" t="inlineStr">
        <is>
          <t>DALARNAS LÄN</t>
        </is>
      </c>
      <c r="E309" t="inlineStr">
        <is>
          <t>LUDVIKA</t>
        </is>
      </c>
      <c r="F309" t="inlineStr">
        <is>
          <t>Bergvik skog väst AB</t>
        </is>
      </c>
      <c r="G309" t="n">
        <v>2.6</v>
      </c>
      <c r="H309" t="n">
        <v>2</v>
      </c>
      <c r="I309" t="n">
        <v>2</v>
      </c>
      <c r="J309" t="n">
        <v>2</v>
      </c>
      <c r="K309" t="n">
        <v>1</v>
      </c>
      <c r="L309" t="n">
        <v>0</v>
      </c>
      <c r="M309" t="n">
        <v>0</v>
      </c>
      <c r="N309" t="n">
        <v>0</v>
      </c>
      <c r="O309" t="n">
        <v>3</v>
      </c>
      <c r="P309" t="n">
        <v>1</v>
      </c>
      <c r="Q309" t="n">
        <v>6</v>
      </c>
      <c r="R309" s="2" t="inlineStr">
        <is>
          <t>Knärot
Garnlav
Ullticka
Dropptaggsvamp
Nästlav
Tjäder</t>
        </is>
      </c>
      <c r="S309">
        <f>HYPERLINK("https://klasma.github.io/Logging_2085/artfynd/A 33885-2025 artfynd.xlsx", "A 33885-2025")</f>
        <v/>
      </c>
      <c r="T309">
        <f>HYPERLINK("https://klasma.github.io/Logging_2085/kartor/A 33885-2025 karta.png", "A 33885-2025")</f>
        <v/>
      </c>
      <c r="U309">
        <f>HYPERLINK("https://klasma.github.io/Logging_2085/knärot/A 33885-2025 karta knärot.png", "A 33885-2025")</f>
        <v/>
      </c>
      <c r="V309">
        <f>HYPERLINK("https://klasma.github.io/Logging_2085/klagomål/A 33885-2025 FSC-klagomål.docx", "A 33885-2025")</f>
        <v/>
      </c>
      <c r="W309">
        <f>HYPERLINK("https://klasma.github.io/Logging_2085/klagomålsmail/A 33885-2025 FSC-klagomål mail.docx", "A 33885-2025")</f>
        <v/>
      </c>
      <c r="X309">
        <f>HYPERLINK("https://klasma.github.io/Logging_2085/tillsyn/A 33885-2025 tillsynsbegäran.docx", "A 33885-2025")</f>
        <v/>
      </c>
      <c r="Y309">
        <f>HYPERLINK("https://klasma.github.io/Logging_2085/tillsynsmail/A 33885-2025 tillsynsbegäran mail.docx", "A 33885-2025")</f>
        <v/>
      </c>
      <c r="Z309">
        <f>HYPERLINK("https://klasma.github.io/Logging_2085/fåglar/A 33885-2025 prioriterade fågelarter.docx", "A 33885-2025")</f>
        <v/>
      </c>
    </row>
    <row r="310" ht="15" customHeight="1">
      <c r="A310" t="inlineStr">
        <is>
          <t>A 40704-2025</t>
        </is>
      </c>
      <c r="B310" s="1" t="n">
        <v>45897.33015046296</v>
      </c>
      <c r="C310" s="1" t="n">
        <v>46114</v>
      </c>
      <c r="D310" t="inlineStr">
        <is>
          <t>DALARNAS LÄN</t>
        </is>
      </c>
      <c r="E310" t="inlineStr">
        <is>
          <t>MALUNG-SÄLEN</t>
        </is>
      </c>
      <c r="G310" t="n">
        <v>19.7</v>
      </c>
      <c r="H310" t="n">
        <v>1</v>
      </c>
      <c r="I310" t="n">
        <v>1</v>
      </c>
      <c r="J310" t="n">
        <v>5</v>
      </c>
      <c r="K310" t="n">
        <v>0</v>
      </c>
      <c r="L310" t="n">
        <v>0</v>
      </c>
      <c r="M310" t="n">
        <v>0</v>
      </c>
      <c r="N310" t="n">
        <v>0</v>
      </c>
      <c r="O310" t="n">
        <v>5</v>
      </c>
      <c r="P310" t="n">
        <v>0</v>
      </c>
      <c r="Q310" t="n">
        <v>6</v>
      </c>
      <c r="R310" s="2" t="inlineStr">
        <is>
          <t>Garnlav
Kolflarnlav
Spillkråka
Vedskivlav
Violettgrå tagellav
Dropptaggsvamp</t>
        </is>
      </c>
      <c r="S310">
        <f>HYPERLINK("https://klasma.github.io/Logging_2023/artfynd/A 40704-2025 artfynd.xlsx", "A 40704-2025")</f>
        <v/>
      </c>
      <c r="T310">
        <f>HYPERLINK("https://klasma.github.io/Logging_2023/kartor/A 40704-2025 karta.png", "A 40704-2025")</f>
        <v/>
      </c>
      <c r="V310">
        <f>HYPERLINK("https://klasma.github.io/Logging_2023/klagomål/A 40704-2025 FSC-klagomål.docx", "A 40704-2025")</f>
        <v/>
      </c>
      <c r="W310">
        <f>HYPERLINK("https://klasma.github.io/Logging_2023/klagomålsmail/A 40704-2025 FSC-klagomål mail.docx", "A 40704-2025")</f>
        <v/>
      </c>
      <c r="X310">
        <f>HYPERLINK("https://klasma.github.io/Logging_2023/tillsyn/A 40704-2025 tillsynsbegäran.docx", "A 40704-2025")</f>
        <v/>
      </c>
      <c r="Y310">
        <f>HYPERLINK("https://klasma.github.io/Logging_2023/tillsynsmail/A 40704-2025 tillsynsbegäran mail.docx", "A 40704-2025")</f>
        <v/>
      </c>
      <c r="Z310">
        <f>HYPERLINK("https://klasma.github.io/Logging_2023/fåglar/A 40704-2025 prioriterade fågelarter.docx", "A 40704-2025")</f>
        <v/>
      </c>
    </row>
    <row r="311" ht="15" customHeight="1">
      <c r="A311" t="inlineStr">
        <is>
          <t>A 39278-2022</t>
        </is>
      </c>
      <c r="B311" s="1" t="n">
        <v>44817</v>
      </c>
      <c r="C311" s="1" t="n">
        <v>46114</v>
      </c>
      <c r="D311" t="inlineStr">
        <is>
          <t>DALARNAS LÄN</t>
        </is>
      </c>
      <c r="E311" t="inlineStr">
        <is>
          <t>ÄLVDALEN</t>
        </is>
      </c>
      <c r="G311" t="n">
        <v>20.3</v>
      </c>
      <c r="H311" t="n">
        <v>1</v>
      </c>
      <c r="I311" t="n">
        <v>0</v>
      </c>
      <c r="J311" t="n">
        <v>4</v>
      </c>
      <c r="K311" t="n">
        <v>2</v>
      </c>
      <c r="L311" t="n">
        <v>0</v>
      </c>
      <c r="M311" t="n">
        <v>0</v>
      </c>
      <c r="N311" t="n">
        <v>0</v>
      </c>
      <c r="O311" t="n">
        <v>6</v>
      </c>
      <c r="P311" t="n">
        <v>2</v>
      </c>
      <c r="Q311" t="n">
        <v>6</v>
      </c>
      <c r="R311" s="2" t="inlineStr">
        <is>
          <t>Rynkskinn
Sprickporing
Granticka
Gränsticka
Tretåig hackspett
Violettgrå tagellav</t>
        </is>
      </c>
      <c r="S311">
        <f>HYPERLINK("https://klasma.github.io/Logging_2039/artfynd/A 39278-2022 artfynd.xlsx", "A 39278-2022")</f>
        <v/>
      </c>
      <c r="T311">
        <f>HYPERLINK("https://klasma.github.io/Logging_2039/kartor/A 39278-2022 karta.png", "A 39278-2022")</f>
        <v/>
      </c>
      <c r="V311">
        <f>HYPERLINK("https://klasma.github.io/Logging_2039/klagomål/A 39278-2022 FSC-klagomål.docx", "A 39278-2022")</f>
        <v/>
      </c>
      <c r="W311">
        <f>HYPERLINK("https://klasma.github.io/Logging_2039/klagomålsmail/A 39278-2022 FSC-klagomål mail.docx", "A 39278-2022")</f>
        <v/>
      </c>
      <c r="X311">
        <f>HYPERLINK("https://klasma.github.io/Logging_2039/tillsyn/A 39278-2022 tillsynsbegäran.docx", "A 39278-2022")</f>
        <v/>
      </c>
      <c r="Y311">
        <f>HYPERLINK("https://klasma.github.io/Logging_2039/tillsynsmail/A 39278-2022 tillsynsbegäran mail.docx", "A 39278-2022")</f>
        <v/>
      </c>
      <c r="Z311">
        <f>HYPERLINK("https://klasma.github.io/Logging_2039/fåglar/A 39278-2022 prioriterade fågelarter.docx", "A 39278-2022")</f>
        <v/>
      </c>
    </row>
    <row r="312" ht="15" customHeight="1">
      <c r="A312" t="inlineStr">
        <is>
          <t>A 31875-2025</t>
        </is>
      </c>
      <c r="B312" s="1" t="n">
        <v>45834</v>
      </c>
      <c r="C312" s="1" t="n">
        <v>46114</v>
      </c>
      <c r="D312" t="inlineStr">
        <is>
          <t>DALARNAS LÄN</t>
        </is>
      </c>
      <c r="E312" t="inlineStr">
        <is>
          <t>AVESTA</t>
        </is>
      </c>
      <c r="G312" t="n">
        <v>2.6</v>
      </c>
      <c r="H312" t="n">
        <v>6</v>
      </c>
      <c r="I312" t="n">
        <v>0</v>
      </c>
      <c r="J312" t="n">
        <v>5</v>
      </c>
      <c r="K312" t="n">
        <v>0</v>
      </c>
      <c r="L312" t="n">
        <v>1</v>
      </c>
      <c r="M312" t="n">
        <v>0</v>
      </c>
      <c r="N312" t="n">
        <v>0</v>
      </c>
      <c r="O312" t="n">
        <v>6</v>
      </c>
      <c r="P312" t="n">
        <v>1</v>
      </c>
      <c r="Q312" t="n">
        <v>6</v>
      </c>
      <c r="R312" s="2" t="inlineStr">
        <is>
          <t>Grönfink
Björktrast
Entita
Gulsparv
Rödvingetrast
Talltita</t>
        </is>
      </c>
      <c r="S312">
        <f>HYPERLINK("https://klasma.github.io/Logging_2084/artfynd/A 31875-2025 artfynd.xlsx", "A 31875-2025")</f>
        <v/>
      </c>
      <c r="T312">
        <f>HYPERLINK("https://klasma.github.io/Logging_2084/kartor/A 31875-2025 karta.png", "A 31875-2025")</f>
        <v/>
      </c>
      <c r="V312">
        <f>HYPERLINK("https://klasma.github.io/Logging_2084/klagomål/A 31875-2025 FSC-klagomål.docx", "A 31875-2025")</f>
        <v/>
      </c>
      <c r="W312">
        <f>HYPERLINK("https://klasma.github.io/Logging_2084/klagomålsmail/A 31875-2025 FSC-klagomål mail.docx", "A 31875-2025")</f>
        <v/>
      </c>
      <c r="X312">
        <f>HYPERLINK("https://klasma.github.io/Logging_2084/tillsyn/A 31875-2025 tillsynsbegäran.docx", "A 31875-2025")</f>
        <v/>
      </c>
      <c r="Y312">
        <f>HYPERLINK("https://klasma.github.io/Logging_2084/tillsynsmail/A 31875-2025 tillsynsbegäran mail.docx", "A 31875-2025")</f>
        <v/>
      </c>
      <c r="Z312">
        <f>HYPERLINK("https://klasma.github.io/Logging_2084/fåglar/A 31875-2025 prioriterade fågelarter.docx", "A 31875-2025")</f>
        <v/>
      </c>
    </row>
    <row r="313" ht="15" customHeight="1">
      <c r="A313" t="inlineStr">
        <is>
          <t>A 41750-2025</t>
        </is>
      </c>
      <c r="B313" s="1" t="n">
        <v>45902.49466435185</v>
      </c>
      <c r="C313" s="1" t="n">
        <v>46114</v>
      </c>
      <c r="D313" t="inlineStr">
        <is>
          <t>DALARNAS LÄN</t>
        </is>
      </c>
      <c r="E313" t="inlineStr">
        <is>
          <t>ÄLVDALEN</t>
        </is>
      </c>
      <c r="G313" t="n">
        <v>1.2</v>
      </c>
      <c r="H313" t="n">
        <v>0</v>
      </c>
      <c r="I313" t="n">
        <v>1</v>
      </c>
      <c r="J313" t="n">
        <v>4</v>
      </c>
      <c r="K313" t="n">
        <v>1</v>
      </c>
      <c r="L313" t="n">
        <v>0</v>
      </c>
      <c r="M313" t="n">
        <v>0</v>
      </c>
      <c r="N313" t="n">
        <v>0</v>
      </c>
      <c r="O313" t="n">
        <v>5</v>
      </c>
      <c r="P313" t="n">
        <v>1</v>
      </c>
      <c r="Q313" t="n">
        <v>6</v>
      </c>
      <c r="R313" s="2" t="inlineStr">
        <is>
          <t>Gräddporing
Dvärgbägarlav
Kolflarnlav
Mörk kolflarnlav
Vedflamlav
Dropptaggsvamp</t>
        </is>
      </c>
      <c r="S313">
        <f>HYPERLINK("https://klasma.github.io/Logging_2039/artfynd/A 41750-2025 artfynd.xlsx", "A 41750-2025")</f>
        <v/>
      </c>
      <c r="T313">
        <f>HYPERLINK("https://klasma.github.io/Logging_2039/kartor/A 41750-2025 karta.png", "A 41750-2025")</f>
        <v/>
      </c>
      <c r="V313">
        <f>HYPERLINK("https://klasma.github.io/Logging_2039/klagomål/A 41750-2025 FSC-klagomål.docx", "A 41750-2025")</f>
        <v/>
      </c>
      <c r="W313">
        <f>HYPERLINK("https://klasma.github.io/Logging_2039/klagomålsmail/A 41750-2025 FSC-klagomål mail.docx", "A 41750-2025")</f>
        <v/>
      </c>
      <c r="X313">
        <f>HYPERLINK("https://klasma.github.io/Logging_2039/tillsyn/A 41750-2025 tillsynsbegäran.docx", "A 41750-2025")</f>
        <v/>
      </c>
      <c r="Y313">
        <f>HYPERLINK("https://klasma.github.io/Logging_2039/tillsynsmail/A 41750-2025 tillsynsbegäran mail.docx", "A 41750-2025")</f>
        <v/>
      </c>
    </row>
    <row r="314" ht="15" customHeight="1">
      <c r="A314" t="inlineStr">
        <is>
          <t>A 50355-2025</t>
        </is>
      </c>
      <c r="B314" s="1" t="n">
        <v>45944.55575231482</v>
      </c>
      <c r="C314" s="1" t="n">
        <v>46114</v>
      </c>
      <c r="D314" t="inlineStr">
        <is>
          <t>DALARNAS LÄN</t>
        </is>
      </c>
      <c r="E314" t="inlineStr">
        <is>
          <t>SÄTER</t>
        </is>
      </c>
      <c r="G314" t="n">
        <v>4.5</v>
      </c>
      <c r="H314" t="n">
        <v>2</v>
      </c>
      <c r="I314" t="n">
        <v>1</v>
      </c>
      <c r="J314" t="n">
        <v>3</v>
      </c>
      <c r="K314" t="n">
        <v>1</v>
      </c>
      <c r="L314" t="n">
        <v>0</v>
      </c>
      <c r="M314" t="n">
        <v>0</v>
      </c>
      <c r="N314" t="n">
        <v>0</v>
      </c>
      <c r="O314" t="n">
        <v>4</v>
      </c>
      <c r="P314" t="n">
        <v>1</v>
      </c>
      <c r="Q314" t="n">
        <v>6</v>
      </c>
      <c r="R314" s="2" t="inlineStr">
        <is>
          <t>Rynkskinn
Rosenticka
Slaguggla
Ullticka
Olivspindling
Blåsippa</t>
        </is>
      </c>
      <c r="S314">
        <f>HYPERLINK("https://klasma.github.io/Logging_2082/artfynd/A 50355-2025 artfynd.xlsx", "A 50355-2025")</f>
        <v/>
      </c>
      <c r="T314">
        <f>HYPERLINK("https://klasma.github.io/Logging_2082/kartor/A 50355-2025 karta.png", "A 50355-2025")</f>
        <v/>
      </c>
      <c r="V314">
        <f>HYPERLINK("https://klasma.github.io/Logging_2082/klagomål/A 50355-2025 FSC-klagomål.docx", "A 50355-2025")</f>
        <v/>
      </c>
      <c r="W314">
        <f>HYPERLINK("https://klasma.github.io/Logging_2082/klagomålsmail/A 50355-2025 FSC-klagomål mail.docx", "A 50355-2025")</f>
        <v/>
      </c>
      <c r="X314">
        <f>HYPERLINK("https://klasma.github.io/Logging_2082/tillsyn/A 50355-2025 tillsynsbegäran.docx", "A 50355-2025")</f>
        <v/>
      </c>
      <c r="Y314">
        <f>HYPERLINK("https://klasma.github.io/Logging_2082/tillsynsmail/A 50355-2025 tillsynsbegäran mail.docx", "A 50355-2025")</f>
        <v/>
      </c>
      <c r="Z314">
        <f>HYPERLINK("https://klasma.github.io/Logging_2082/fåglar/A 50355-2025 prioriterade fågelarter.docx", "A 50355-2025")</f>
        <v/>
      </c>
    </row>
    <row r="315" ht="15" customHeight="1">
      <c r="A315" t="inlineStr">
        <is>
          <t>A 50453-2025</t>
        </is>
      </c>
      <c r="B315" s="1" t="n">
        <v>45945</v>
      </c>
      <c r="C315" s="1" t="n">
        <v>46114</v>
      </c>
      <c r="D315" t="inlineStr">
        <is>
          <t>DALARNAS LÄN</t>
        </is>
      </c>
      <c r="E315" t="inlineStr">
        <is>
          <t>LUDVIKA</t>
        </is>
      </c>
      <c r="F315" t="inlineStr">
        <is>
          <t>Bergvik skog väst AB</t>
        </is>
      </c>
      <c r="G315" t="n">
        <v>5.6</v>
      </c>
      <c r="H315" t="n">
        <v>0</v>
      </c>
      <c r="I315" t="n">
        <v>4</v>
      </c>
      <c r="J315" t="n">
        <v>1</v>
      </c>
      <c r="K315" t="n">
        <v>1</v>
      </c>
      <c r="L315" t="n">
        <v>0</v>
      </c>
      <c r="M315" t="n">
        <v>0</v>
      </c>
      <c r="N315" t="n">
        <v>0</v>
      </c>
      <c r="O315" t="n">
        <v>2</v>
      </c>
      <c r="P315" t="n">
        <v>1</v>
      </c>
      <c r="Q315" t="n">
        <v>6</v>
      </c>
      <c r="R315" s="2" t="inlineStr">
        <is>
          <t>Aspgelélav
Gränsticka
Bårdlav
Luddlav
Sotlav
Vedticka</t>
        </is>
      </c>
      <c r="S315">
        <f>HYPERLINK("https://klasma.github.io/Logging_2085/artfynd/A 50453-2025 artfynd.xlsx", "A 50453-2025")</f>
        <v/>
      </c>
      <c r="T315">
        <f>HYPERLINK("https://klasma.github.io/Logging_2085/kartor/A 50453-2025 karta.png", "A 50453-2025")</f>
        <v/>
      </c>
      <c r="V315">
        <f>HYPERLINK("https://klasma.github.io/Logging_2085/klagomål/A 50453-2025 FSC-klagomål.docx", "A 50453-2025")</f>
        <v/>
      </c>
      <c r="W315">
        <f>HYPERLINK("https://klasma.github.io/Logging_2085/klagomålsmail/A 50453-2025 FSC-klagomål mail.docx", "A 50453-2025")</f>
        <v/>
      </c>
      <c r="X315">
        <f>HYPERLINK("https://klasma.github.io/Logging_2085/tillsyn/A 50453-2025 tillsynsbegäran.docx", "A 50453-2025")</f>
        <v/>
      </c>
      <c r="Y315">
        <f>HYPERLINK("https://klasma.github.io/Logging_2085/tillsynsmail/A 50453-2025 tillsynsbegäran mail.docx", "A 50453-2025")</f>
        <v/>
      </c>
    </row>
    <row r="316" ht="15" customHeight="1">
      <c r="A316" t="inlineStr">
        <is>
          <t>A 28028-2024</t>
        </is>
      </c>
      <c r="B316" s="1" t="n">
        <v>45476</v>
      </c>
      <c r="C316" s="1" t="n">
        <v>46114</v>
      </c>
      <c r="D316" t="inlineStr">
        <is>
          <t>DALARNAS LÄN</t>
        </is>
      </c>
      <c r="E316" t="inlineStr">
        <is>
          <t>RÄTTVIK</t>
        </is>
      </c>
      <c r="F316" t="inlineStr">
        <is>
          <t>Sveaskog</t>
        </is>
      </c>
      <c r="G316" t="n">
        <v>11.3</v>
      </c>
      <c r="H316" t="n">
        <v>0</v>
      </c>
      <c r="I316" t="n">
        <v>2</v>
      </c>
      <c r="J316" t="n">
        <v>4</v>
      </c>
      <c r="K316" t="n">
        <v>0</v>
      </c>
      <c r="L316" t="n">
        <v>0</v>
      </c>
      <c r="M316" t="n">
        <v>0</v>
      </c>
      <c r="N316" t="n">
        <v>0</v>
      </c>
      <c r="O316" t="n">
        <v>4</v>
      </c>
      <c r="P316" t="n">
        <v>0</v>
      </c>
      <c r="Q316" t="n">
        <v>6</v>
      </c>
      <c r="R316" s="2" t="inlineStr">
        <is>
          <t>Blå taggsvamp
Kolflarnlav
Motaggsvamp
Mörk kolflarnlav
Dropptaggsvamp
Skarp dropptaggsvamp</t>
        </is>
      </c>
      <c r="S316">
        <f>HYPERLINK("https://klasma.github.io/Logging_2031/artfynd/A 28028-2024 artfynd.xlsx", "A 28028-2024")</f>
        <v/>
      </c>
      <c r="T316">
        <f>HYPERLINK("https://klasma.github.io/Logging_2031/kartor/A 28028-2024 karta.png", "A 28028-2024")</f>
        <v/>
      </c>
      <c r="V316">
        <f>HYPERLINK("https://klasma.github.io/Logging_2031/klagomål/A 28028-2024 FSC-klagomål.docx", "A 28028-2024")</f>
        <v/>
      </c>
      <c r="W316">
        <f>HYPERLINK("https://klasma.github.io/Logging_2031/klagomålsmail/A 28028-2024 FSC-klagomål mail.docx", "A 28028-2024")</f>
        <v/>
      </c>
      <c r="X316">
        <f>HYPERLINK("https://klasma.github.io/Logging_2031/tillsyn/A 28028-2024 tillsynsbegäran.docx", "A 28028-2024")</f>
        <v/>
      </c>
      <c r="Y316">
        <f>HYPERLINK("https://klasma.github.io/Logging_2031/tillsynsmail/A 28028-2024 tillsynsbegäran mail.docx", "A 28028-2024")</f>
        <v/>
      </c>
    </row>
    <row r="317" ht="15" customHeight="1">
      <c r="A317" t="inlineStr">
        <is>
          <t>A 34719-2025</t>
        </is>
      </c>
      <c r="B317" s="1" t="n">
        <v>45848</v>
      </c>
      <c r="C317" s="1" t="n">
        <v>46114</v>
      </c>
      <c r="D317" t="inlineStr">
        <is>
          <t>DALARNAS LÄN</t>
        </is>
      </c>
      <c r="E317" t="inlineStr">
        <is>
          <t>MORA</t>
        </is>
      </c>
      <c r="G317" t="n">
        <v>1.9</v>
      </c>
      <c r="H317" t="n">
        <v>2</v>
      </c>
      <c r="I317" t="n">
        <v>1</v>
      </c>
      <c r="J317" t="n">
        <v>5</v>
      </c>
      <c r="K317" t="n">
        <v>0</v>
      </c>
      <c r="L317" t="n">
        <v>0</v>
      </c>
      <c r="M317" t="n">
        <v>0</v>
      </c>
      <c r="N317" t="n">
        <v>0</v>
      </c>
      <c r="O317" t="n">
        <v>5</v>
      </c>
      <c r="P317" t="n">
        <v>0</v>
      </c>
      <c r="Q317" t="n">
        <v>6</v>
      </c>
      <c r="R317" s="2" t="inlineStr">
        <is>
          <t>Dvärgbägarlav
Garnlav
Spillkråka
Tallticka
Tretåig hackspett
Mindre märgborre</t>
        </is>
      </c>
      <c r="S317">
        <f>HYPERLINK("https://klasma.github.io/Logging_2062/artfynd/A 34719-2025 artfynd.xlsx", "A 34719-2025")</f>
        <v/>
      </c>
      <c r="T317">
        <f>HYPERLINK("https://klasma.github.io/Logging_2062/kartor/A 34719-2025 karta.png", "A 34719-2025")</f>
        <v/>
      </c>
      <c r="V317">
        <f>HYPERLINK("https://klasma.github.io/Logging_2062/klagomål/A 34719-2025 FSC-klagomål.docx", "A 34719-2025")</f>
        <v/>
      </c>
      <c r="W317">
        <f>HYPERLINK("https://klasma.github.io/Logging_2062/klagomålsmail/A 34719-2025 FSC-klagomål mail.docx", "A 34719-2025")</f>
        <v/>
      </c>
      <c r="X317">
        <f>HYPERLINK("https://klasma.github.io/Logging_2062/tillsyn/A 34719-2025 tillsynsbegäran.docx", "A 34719-2025")</f>
        <v/>
      </c>
      <c r="Y317">
        <f>HYPERLINK("https://klasma.github.io/Logging_2062/tillsynsmail/A 34719-2025 tillsynsbegäran mail.docx", "A 34719-2025")</f>
        <v/>
      </c>
      <c r="Z317">
        <f>HYPERLINK("https://klasma.github.io/Logging_2062/fåglar/A 34719-2025 prioriterade fågelarter.docx", "A 34719-2025")</f>
        <v/>
      </c>
    </row>
    <row r="318" ht="15" customHeight="1">
      <c r="A318" t="inlineStr">
        <is>
          <t>A 40417-2025</t>
        </is>
      </c>
      <c r="B318" s="1" t="n">
        <v>45895</v>
      </c>
      <c r="C318" s="1" t="n">
        <v>46114</v>
      </c>
      <c r="D318" t="inlineStr">
        <is>
          <t>DALARNAS LÄN</t>
        </is>
      </c>
      <c r="E318" t="inlineStr">
        <is>
          <t>ÄLVDALEN</t>
        </is>
      </c>
      <c r="G318" t="n">
        <v>14.2</v>
      </c>
      <c r="H318" t="n">
        <v>2</v>
      </c>
      <c r="I318" t="n">
        <v>1</v>
      </c>
      <c r="J318" t="n">
        <v>4</v>
      </c>
      <c r="K318" t="n">
        <v>0</v>
      </c>
      <c r="L318" t="n">
        <v>0</v>
      </c>
      <c r="M318" t="n">
        <v>0</v>
      </c>
      <c r="N318" t="n">
        <v>0</v>
      </c>
      <c r="O318" t="n">
        <v>4</v>
      </c>
      <c r="P318" t="n">
        <v>0</v>
      </c>
      <c r="Q318" t="n">
        <v>6</v>
      </c>
      <c r="R318" s="2" t="inlineStr">
        <is>
          <t>Garnlav
Kolflarnlav
Mörk kolflarnlav
Vedskivlav
Plattlummer
Tjäder</t>
        </is>
      </c>
      <c r="S318">
        <f>HYPERLINK("https://klasma.github.io/Logging_2039/artfynd/A 40417-2025 artfynd.xlsx", "A 40417-2025")</f>
        <v/>
      </c>
      <c r="T318">
        <f>HYPERLINK("https://klasma.github.io/Logging_2039/kartor/A 40417-2025 karta.png", "A 40417-2025")</f>
        <v/>
      </c>
      <c r="V318">
        <f>HYPERLINK("https://klasma.github.io/Logging_2039/klagomål/A 40417-2025 FSC-klagomål.docx", "A 40417-2025")</f>
        <v/>
      </c>
      <c r="W318">
        <f>HYPERLINK("https://klasma.github.io/Logging_2039/klagomålsmail/A 40417-2025 FSC-klagomål mail.docx", "A 40417-2025")</f>
        <v/>
      </c>
      <c r="X318">
        <f>HYPERLINK("https://klasma.github.io/Logging_2039/tillsyn/A 40417-2025 tillsynsbegäran.docx", "A 40417-2025")</f>
        <v/>
      </c>
      <c r="Y318">
        <f>HYPERLINK("https://klasma.github.io/Logging_2039/tillsynsmail/A 40417-2025 tillsynsbegäran mail.docx", "A 40417-2025")</f>
        <v/>
      </c>
      <c r="Z318">
        <f>HYPERLINK("https://klasma.github.io/Logging_2039/fåglar/A 40417-2025 prioriterade fågelarter.docx", "A 40417-2025")</f>
        <v/>
      </c>
    </row>
    <row r="319" ht="15" customHeight="1">
      <c r="A319" t="inlineStr">
        <is>
          <t>A 11067-2023</t>
        </is>
      </c>
      <c r="B319" s="1" t="n">
        <v>44992</v>
      </c>
      <c r="C319" s="1" t="n">
        <v>46114</v>
      </c>
      <c r="D319" t="inlineStr">
        <is>
          <t>DALARNAS LÄN</t>
        </is>
      </c>
      <c r="E319" t="inlineStr">
        <is>
          <t>LEKSAND</t>
        </is>
      </c>
      <c r="G319" t="n">
        <v>2.9</v>
      </c>
      <c r="H319" t="n">
        <v>0</v>
      </c>
      <c r="I319" t="n">
        <v>3</v>
      </c>
      <c r="J319" t="n">
        <v>3</v>
      </c>
      <c r="K319" t="n">
        <v>0</v>
      </c>
      <c r="L319" t="n">
        <v>0</v>
      </c>
      <c r="M319" t="n">
        <v>0</v>
      </c>
      <c r="N319" t="n">
        <v>0</v>
      </c>
      <c r="O319" t="n">
        <v>3</v>
      </c>
      <c r="P319" t="n">
        <v>0</v>
      </c>
      <c r="Q319" t="n">
        <v>6</v>
      </c>
      <c r="R319" s="2" t="inlineStr">
        <is>
          <t>Reliktbock
Rosenticka
Ullticka
Bollvitmossa
Stuplav
Vedticka</t>
        </is>
      </c>
      <c r="S319">
        <f>HYPERLINK("https://klasma.github.io/Logging_2029/artfynd/A 11067-2023 artfynd.xlsx", "A 11067-2023")</f>
        <v/>
      </c>
      <c r="T319">
        <f>HYPERLINK("https://klasma.github.io/Logging_2029/kartor/A 11067-2023 karta.png", "A 11067-2023")</f>
        <v/>
      </c>
      <c r="V319">
        <f>HYPERLINK("https://klasma.github.io/Logging_2029/klagomål/A 11067-2023 FSC-klagomål.docx", "A 11067-2023")</f>
        <v/>
      </c>
      <c r="W319">
        <f>HYPERLINK("https://klasma.github.io/Logging_2029/klagomålsmail/A 11067-2023 FSC-klagomål mail.docx", "A 11067-2023")</f>
        <v/>
      </c>
      <c r="X319">
        <f>HYPERLINK("https://klasma.github.io/Logging_2029/tillsyn/A 11067-2023 tillsynsbegäran.docx", "A 11067-2023")</f>
        <v/>
      </c>
      <c r="Y319">
        <f>HYPERLINK("https://klasma.github.io/Logging_2029/tillsynsmail/A 11067-2023 tillsynsbegäran mail.docx", "A 11067-2023")</f>
        <v/>
      </c>
    </row>
    <row r="320" ht="15" customHeight="1">
      <c r="A320" t="inlineStr">
        <is>
          <t>A 19534-2025</t>
        </is>
      </c>
      <c r="B320" s="1" t="n">
        <v>45770.47667824074</v>
      </c>
      <c r="C320" s="1" t="n">
        <v>46114</v>
      </c>
      <c r="D320" t="inlineStr">
        <is>
          <t>DALARNAS LÄN</t>
        </is>
      </c>
      <c r="E320" t="inlineStr">
        <is>
          <t>ÄLVDALEN</t>
        </is>
      </c>
      <c r="F320" t="inlineStr">
        <is>
          <t>Sveaskog</t>
        </is>
      </c>
      <c r="G320" t="n">
        <v>34</v>
      </c>
      <c r="H320" t="n">
        <v>1</v>
      </c>
      <c r="I320" t="n">
        <v>1</v>
      </c>
      <c r="J320" t="n">
        <v>5</v>
      </c>
      <c r="K320" t="n">
        <v>0</v>
      </c>
      <c r="L320" t="n">
        <v>0</v>
      </c>
      <c r="M320" t="n">
        <v>0</v>
      </c>
      <c r="N320" t="n">
        <v>0</v>
      </c>
      <c r="O320" t="n">
        <v>5</v>
      </c>
      <c r="P320" t="n">
        <v>0</v>
      </c>
      <c r="Q320" t="n">
        <v>6</v>
      </c>
      <c r="R320" s="2" t="inlineStr">
        <is>
          <t>Dvärgbägarlav
Kolflarnlav
Mörk kolflarnlav
Varglav
Vedflamlav
Dropptaggsvamp</t>
        </is>
      </c>
      <c r="S320">
        <f>HYPERLINK("https://klasma.github.io/Logging_2039/artfynd/A 19534-2025 artfynd.xlsx", "A 19534-2025")</f>
        <v/>
      </c>
      <c r="T320">
        <f>HYPERLINK("https://klasma.github.io/Logging_2039/kartor/A 19534-2025 karta.png", "A 19534-2025")</f>
        <v/>
      </c>
      <c r="V320">
        <f>HYPERLINK("https://klasma.github.io/Logging_2039/klagomål/A 19534-2025 FSC-klagomål.docx", "A 19534-2025")</f>
        <v/>
      </c>
      <c r="W320">
        <f>HYPERLINK("https://klasma.github.io/Logging_2039/klagomålsmail/A 19534-2025 FSC-klagomål mail.docx", "A 19534-2025")</f>
        <v/>
      </c>
      <c r="X320">
        <f>HYPERLINK("https://klasma.github.io/Logging_2039/tillsyn/A 19534-2025 tillsynsbegäran.docx", "A 19534-2025")</f>
        <v/>
      </c>
      <c r="Y320">
        <f>HYPERLINK("https://klasma.github.io/Logging_2039/tillsynsmail/A 19534-2025 tillsynsbegäran mail.docx", "A 19534-2025")</f>
        <v/>
      </c>
    </row>
    <row r="321" ht="15" customHeight="1">
      <c r="A321" t="inlineStr">
        <is>
          <t>A 36739-2024</t>
        </is>
      </c>
      <c r="B321" s="1" t="n">
        <v>45538.31063657408</v>
      </c>
      <c r="C321" s="1" t="n">
        <v>46114</v>
      </c>
      <c r="D321" t="inlineStr">
        <is>
          <t>DALARNAS LÄN</t>
        </is>
      </c>
      <c r="E321" t="inlineStr">
        <is>
          <t>BORLÄNGE</t>
        </is>
      </c>
      <c r="F321" t="inlineStr">
        <is>
          <t>Bergvik skog väst AB</t>
        </is>
      </c>
      <c r="G321" t="n">
        <v>9.5</v>
      </c>
      <c r="H321" t="n">
        <v>3</v>
      </c>
      <c r="I321" t="n">
        <v>1</v>
      </c>
      <c r="J321" t="n">
        <v>3</v>
      </c>
      <c r="K321" t="n">
        <v>1</v>
      </c>
      <c r="L321" t="n">
        <v>0</v>
      </c>
      <c r="M321" t="n">
        <v>0</v>
      </c>
      <c r="N321" t="n">
        <v>0</v>
      </c>
      <c r="O321" t="n">
        <v>4</v>
      </c>
      <c r="P321" t="n">
        <v>1</v>
      </c>
      <c r="Q321" t="n">
        <v>6</v>
      </c>
      <c r="R321" s="2" t="inlineStr">
        <is>
          <t>Knärot
Spillkråka
Svart taggsvamp agg.
Ullticka
Mindre märgborre
Revlummer</t>
        </is>
      </c>
      <c r="S321">
        <f>HYPERLINK("https://klasma.github.io/Logging_2081/artfynd/A 36739-2024 artfynd.xlsx", "A 36739-2024")</f>
        <v/>
      </c>
      <c r="T321">
        <f>HYPERLINK("https://klasma.github.io/Logging_2081/kartor/A 36739-2024 karta.png", "A 36739-2024")</f>
        <v/>
      </c>
      <c r="U321">
        <f>HYPERLINK("https://klasma.github.io/Logging_2081/knärot/A 36739-2024 karta knärot.png", "A 36739-2024")</f>
        <v/>
      </c>
      <c r="V321">
        <f>HYPERLINK("https://klasma.github.io/Logging_2081/klagomål/A 36739-2024 FSC-klagomål.docx", "A 36739-2024")</f>
        <v/>
      </c>
      <c r="W321">
        <f>HYPERLINK("https://klasma.github.io/Logging_2081/klagomålsmail/A 36739-2024 FSC-klagomål mail.docx", "A 36739-2024")</f>
        <v/>
      </c>
      <c r="X321">
        <f>HYPERLINK("https://klasma.github.io/Logging_2081/tillsyn/A 36739-2024 tillsynsbegäran.docx", "A 36739-2024")</f>
        <v/>
      </c>
      <c r="Y321">
        <f>HYPERLINK("https://klasma.github.io/Logging_2081/tillsynsmail/A 36739-2024 tillsynsbegäran mail.docx", "A 36739-2024")</f>
        <v/>
      </c>
      <c r="Z321">
        <f>HYPERLINK("https://klasma.github.io/Logging_2081/fåglar/A 36739-2024 prioriterade fågelarter.docx", "A 36739-2024")</f>
        <v/>
      </c>
    </row>
    <row r="322" ht="15" customHeight="1">
      <c r="A322" t="inlineStr">
        <is>
          <t>A 58889-2025</t>
        </is>
      </c>
      <c r="B322" s="1" t="n">
        <v>45987.48891203704</v>
      </c>
      <c r="C322" s="1" t="n">
        <v>46114</v>
      </c>
      <c r="D322" t="inlineStr">
        <is>
          <t>DALARNAS LÄN</t>
        </is>
      </c>
      <c r="E322" t="inlineStr">
        <is>
          <t>ÄLVDALEN</t>
        </is>
      </c>
      <c r="F322" t="inlineStr">
        <is>
          <t>Sveaskog</t>
        </is>
      </c>
      <c r="G322" t="n">
        <v>6.6</v>
      </c>
      <c r="H322" t="n">
        <v>1</v>
      </c>
      <c r="I322" t="n">
        <v>2</v>
      </c>
      <c r="J322" t="n">
        <v>4</v>
      </c>
      <c r="K322" t="n">
        <v>0</v>
      </c>
      <c r="L322" t="n">
        <v>0</v>
      </c>
      <c r="M322" t="n">
        <v>0</v>
      </c>
      <c r="N322" t="n">
        <v>0</v>
      </c>
      <c r="O322" t="n">
        <v>4</v>
      </c>
      <c r="P322" t="n">
        <v>0</v>
      </c>
      <c r="Q322" t="n">
        <v>6</v>
      </c>
      <c r="R322" s="2" t="inlineStr">
        <is>
          <t>Dvärgbägarlav
Kolflarnlav
Mörk kolflarnlav
Vedflamlav
Dropptaggsvamp
Plattlummer</t>
        </is>
      </c>
      <c r="S322">
        <f>HYPERLINK("https://klasma.github.io/Logging_2039/artfynd/A 58889-2025 artfynd.xlsx", "A 58889-2025")</f>
        <v/>
      </c>
      <c r="T322">
        <f>HYPERLINK("https://klasma.github.io/Logging_2039/kartor/A 58889-2025 karta.png", "A 58889-2025")</f>
        <v/>
      </c>
      <c r="V322">
        <f>HYPERLINK("https://klasma.github.io/Logging_2039/klagomål/A 58889-2025 FSC-klagomål.docx", "A 58889-2025")</f>
        <v/>
      </c>
      <c r="W322">
        <f>HYPERLINK("https://klasma.github.io/Logging_2039/klagomålsmail/A 58889-2025 FSC-klagomål mail.docx", "A 58889-2025")</f>
        <v/>
      </c>
      <c r="X322">
        <f>HYPERLINK("https://klasma.github.io/Logging_2039/tillsyn/A 58889-2025 tillsynsbegäran.docx", "A 58889-2025")</f>
        <v/>
      </c>
      <c r="Y322">
        <f>HYPERLINK("https://klasma.github.io/Logging_2039/tillsynsmail/A 58889-2025 tillsynsbegäran mail.docx", "A 58889-2025")</f>
        <v/>
      </c>
    </row>
    <row r="323" ht="15" customHeight="1">
      <c r="A323" t="inlineStr">
        <is>
          <t>A 59303-2025</t>
        </is>
      </c>
      <c r="B323" s="1" t="n">
        <v>45988</v>
      </c>
      <c r="C323" s="1" t="n">
        <v>46114</v>
      </c>
      <c r="D323" t="inlineStr">
        <is>
          <t>DALARNAS LÄN</t>
        </is>
      </c>
      <c r="E323" t="inlineStr">
        <is>
          <t>ÄLVDALEN</t>
        </is>
      </c>
      <c r="F323" t="inlineStr">
        <is>
          <t>Allmännings- och besparingsskogar</t>
        </is>
      </c>
      <c r="G323" t="n">
        <v>18.2</v>
      </c>
      <c r="H323" t="n">
        <v>1</v>
      </c>
      <c r="I323" t="n">
        <v>0</v>
      </c>
      <c r="J323" t="n">
        <v>6</v>
      </c>
      <c r="K323" t="n">
        <v>0</v>
      </c>
      <c r="L323" t="n">
        <v>0</v>
      </c>
      <c r="M323" t="n">
        <v>0</v>
      </c>
      <c r="N323" t="n">
        <v>0</v>
      </c>
      <c r="O323" t="n">
        <v>6</v>
      </c>
      <c r="P323" t="n">
        <v>0</v>
      </c>
      <c r="Q323" t="n">
        <v>6</v>
      </c>
      <c r="R323" s="2" t="inlineStr">
        <is>
          <t>Blanksvart spiklav
Garnlav
Liten svartspik
Tretåig hackspett
Violettgrå tagellav
Vitgrynig nållav</t>
        </is>
      </c>
      <c r="S323">
        <f>HYPERLINK("https://klasma.github.io/Logging_2039/artfynd/A 59303-2025 artfynd.xlsx", "A 59303-2025")</f>
        <v/>
      </c>
      <c r="T323">
        <f>HYPERLINK("https://klasma.github.io/Logging_2039/kartor/A 59303-2025 karta.png", "A 59303-2025")</f>
        <v/>
      </c>
      <c r="V323">
        <f>HYPERLINK("https://klasma.github.io/Logging_2039/klagomål/A 59303-2025 FSC-klagomål.docx", "A 59303-2025")</f>
        <v/>
      </c>
      <c r="W323">
        <f>HYPERLINK("https://klasma.github.io/Logging_2039/klagomålsmail/A 59303-2025 FSC-klagomål mail.docx", "A 59303-2025")</f>
        <v/>
      </c>
      <c r="X323">
        <f>HYPERLINK("https://klasma.github.io/Logging_2039/tillsyn/A 59303-2025 tillsynsbegäran.docx", "A 59303-2025")</f>
        <v/>
      </c>
      <c r="Y323">
        <f>HYPERLINK("https://klasma.github.io/Logging_2039/tillsynsmail/A 59303-2025 tillsynsbegäran mail.docx", "A 59303-2025")</f>
        <v/>
      </c>
      <c r="Z323">
        <f>HYPERLINK("https://klasma.github.io/Logging_2039/fåglar/A 59303-2025 prioriterade fågelarter.docx", "A 59303-2025")</f>
        <v/>
      </c>
    </row>
    <row r="324" ht="15" customHeight="1">
      <c r="A324" t="inlineStr">
        <is>
          <t>A 61678-2025</t>
        </is>
      </c>
      <c r="B324" s="1" t="n">
        <v>46002.48862268519</v>
      </c>
      <c r="C324" s="1" t="n">
        <v>46114</v>
      </c>
      <c r="D324" t="inlineStr">
        <is>
          <t>DALARNAS LÄN</t>
        </is>
      </c>
      <c r="E324" t="inlineStr">
        <is>
          <t>RÄTTVIK</t>
        </is>
      </c>
      <c r="G324" t="n">
        <v>8.800000000000001</v>
      </c>
      <c r="H324" t="n">
        <v>3</v>
      </c>
      <c r="I324" t="n">
        <v>3</v>
      </c>
      <c r="J324" t="n">
        <v>2</v>
      </c>
      <c r="K324" t="n">
        <v>0</v>
      </c>
      <c r="L324" t="n">
        <v>0</v>
      </c>
      <c r="M324" t="n">
        <v>0</v>
      </c>
      <c r="N324" t="n">
        <v>0</v>
      </c>
      <c r="O324" t="n">
        <v>2</v>
      </c>
      <c r="P324" t="n">
        <v>0</v>
      </c>
      <c r="Q324" t="n">
        <v>6</v>
      </c>
      <c r="R324" s="2" t="inlineStr">
        <is>
          <t>Garnlav
Tretåig hackspett
Bronshjon
Plattlummer
Vågbandad barkbock
Revlummer</t>
        </is>
      </c>
      <c r="S324">
        <f>HYPERLINK("https://klasma.github.io/Logging_2031/artfynd/A 61678-2025 artfynd.xlsx", "A 61678-2025")</f>
        <v/>
      </c>
      <c r="T324">
        <f>HYPERLINK("https://klasma.github.io/Logging_2031/kartor/A 61678-2025 karta.png", "A 61678-2025")</f>
        <v/>
      </c>
      <c r="V324">
        <f>HYPERLINK("https://klasma.github.io/Logging_2031/klagomål/A 61678-2025 FSC-klagomål.docx", "A 61678-2025")</f>
        <v/>
      </c>
      <c r="W324">
        <f>HYPERLINK("https://klasma.github.io/Logging_2031/klagomålsmail/A 61678-2025 FSC-klagomål mail.docx", "A 61678-2025")</f>
        <v/>
      </c>
      <c r="X324">
        <f>HYPERLINK("https://klasma.github.io/Logging_2031/tillsyn/A 61678-2025 tillsynsbegäran.docx", "A 61678-2025")</f>
        <v/>
      </c>
      <c r="Y324">
        <f>HYPERLINK("https://klasma.github.io/Logging_2031/tillsynsmail/A 61678-2025 tillsynsbegäran mail.docx", "A 61678-2025")</f>
        <v/>
      </c>
      <c r="Z324">
        <f>HYPERLINK("https://klasma.github.io/Logging_2031/fåglar/A 61678-2025 prioriterade fågelarter.docx", "A 61678-2025")</f>
        <v/>
      </c>
    </row>
    <row r="325" ht="15" customHeight="1">
      <c r="A325" t="inlineStr">
        <is>
          <t>A 61660-2025</t>
        </is>
      </c>
      <c r="B325" s="1" t="n">
        <v>46002</v>
      </c>
      <c r="C325" s="1" t="n">
        <v>46114</v>
      </c>
      <c r="D325" t="inlineStr">
        <is>
          <t>DALARNAS LÄN</t>
        </is>
      </c>
      <c r="E325" t="inlineStr">
        <is>
          <t>RÄTTVIK</t>
        </is>
      </c>
      <c r="G325" t="n">
        <v>9.699999999999999</v>
      </c>
      <c r="H325" t="n">
        <v>5</v>
      </c>
      <c r="I325" t="n">
        <v>1</v>
      </c>
      <c r="J325" t="n">
        <v>2</v>
      </c>
      <c r="K325" t="n">
        <v>0</v>
      </c>
      <c r="L325" t="n">
        <v>0</v>
      </c>
      <c r="M325" t="n">
        <v>0</v>
      </c>
      <c r="N325" t="n">
        <v>0</v>
      </c>
      <c r="O325" t="n">
        <v>2</v>
      </c>
      <c r="P325" t="n">
        <v>0</v>
      </c>
      <c r="Q325" t="n">
        <v>6</v>
      </c>
      <c r="R325" s="2" t="inlineStr">
        <is>
          <t>Garnlav
Tretåig hackspett
Plattlummer
Tjäder
Mattlummer
Revlummer</t>
        </is>
      </c>
      <c r="S325">
        <f>HYPERLINK("https://klasma.github.io/Logging_2031/artfynd/A 61660-2025 artfynd.xlsx", "A 61660-2025")</f>
        <v/>
      </c>
      <c r="T325">
        <f>HYPERLINK("https://klasma.github.io/Logging_2031/kartor/A 61660-2025 karta.png", "A 61660-2025")</f>
        <v/>
      </c>
      <c r="V325">
        <f>HYPERLINK("https://klasma.github.io/Logging_2031/klagomål/A 61660-2025 FSC-klagomål.docx", "A 61660-2025")</f>
        <v/>
      </c>
      <c r="W325">
        <f>HYPERLINK("https://klasma.github.io/Logging_2031/klagomålsmail/A 61660-2025 FSC-klagomål mail.docx", "A 61660-2025")</f>
        <v/>
      </c>
      <c r="X325">
        <f>HYPERLINK("https://klasma.github.io/Logging_2031/tillsyn/A 61660-2025 tillsynsbegäran.docx", "A 61660-2025")</f>
        <v/>
      </c>
      <c r="Y325">
        <f>HYPERLINK("https://klasma.github.io/Logging_2031/tillsynsmail/A 61660-2025 tillsynsbegäran mail.docx", "A 61660-2025")</f>
        <v/>
      </c>
      <c r="Z325">
        <f>HYPERLINK("https://klasma.github.io/Logging_2031/fåglar/A 61660-2025 prioriterade fågelarter.docx", "A 61660-2025")</f>
        <v/>
      </c>
    </row>
    <row r="326" ht="15" customHeight="1">
      <c r="A326" t="inlineStr">
        <is>
          <t>A 20472-2025</t>
        </is>
      </c>
      <c r="B326" s="1" t="n">
        <v>45775</v>
      </c>
      <c r="C326" s="1" t="n">
        <v>46114</v>
      </c>
      <c r="D326" t="inlineStr">
        <is>
          <t>DALARNAS LÄN</t>
        </is>
      </c>
      <c r="E326" t="inlineStr">
        <is>
          <t>MALUNG-SÄLEN</t>
        </is>
      </c>
      <c r="G326" t="n">
        <v>1.2</v>
      </c>
      <c r="H326" t="n">
        <v>0</v>
      </c>
      <c r="I326" t="n">
        <v>1</v>
      </c>
      <c r="J326" t="n">
        <v>4</v>
      </c>
      <c r="K326" t="n">
        <v>1</v>
      </c>
      <c r="L326" t="n">
        <v>0</v>
      </c>
      <c r="M326" t="n">
        <v>0</v>
      </c>
      <c r="N326" t="n">
        <v>0</v>
      </c>
      <c r="O326" t="n">
        <v>5</v>
      </c>
      <c r="P326" t="n">
        <v>1</v>
      </c>
      <c r="Q326" t="n">
        <v>6</v>
      </c>
      <c r="R326" s="2" t="inlineStr">
        <is>
          <t>Rynkskinn
Granticka
Gränsticka
Rosenticka
Ullticka
Vedticka</t>
        </is>
      </c>
      <c r="S326">
        <f>HYPERLINK("https://klasma.github.io/Logging_2023/artfynd/A 20472-2025 artfynd.xlsx", "A 20472-2025")</f>
        <v/>
      </c>
      <c r="T326">
        <f>HYPERLINK("https://klasma.github.io/Logging_2023/kartor/A 20472-2025 karta.png", "A 20472-2025")</f>
        <v/>
      </c>
      <c r="V326">
        <f>HYPERLINK("https://klasma.github.io/Logging_2023/klagomål/A 20472-2025 FSC-klagomål.docx", "A 20472-2025")</f>
        <v/>
      </c>
      <c r="W326">
        <f>HYPERLINK("https://klasma.github.io/Logging_2023/klagomålsmail/A 20472-2025 FSC-klagomål mail.docx", "A 20472-2025")</f>
        <v/>
      </c>
      <c r="X326">
        <f>HYPERLINK("https://klasma.github.io/Logging_2023/tillsyn/A 20472-2025 tillsynsbegäran.docx", "A 20472-2025")</f>
        <v/>
      </c>
      <c r="Y326">
        <f>HYPERLINK("https://klasma.github.io/Logging_2023/tillsynsmail/A 20472-2025 tillsynsbegäran mail.docx", "A 20472-2025")</f>
        <v/>
      </c>
    </row>
    <row r="327" ht="15" customHeight="1">
      <c r="A327" t="inlineStr">
        <is>
          <t>A 19262-2025</t>
        </is>
      </c>
      <c r="B327" s="1" t="n">
        <v>45769.51054398148</v>
      </c>
      <c r="C327" s="1" t="n">
        <v>46114</v>
      </c>
      <c r="D327" t="inlineStr">
        <is>
          <t>DALARNAS LÄN</t>
        </is>
      </c>
      <c r="E327" t="inlineStr">
        <is>
          <t>ÄLVDALEN</t>
        </is>
      </c>
      <c r="F327" t="inlineStr">
        <is>
          <t>Allmännings- och besparingsskogar</t>
        </is>
      </c>
      <c r="G327" t="n">
        <v>8.800000000000001</v>
      </c>
      <c r="H327" t="n">
        <v>0</v>
      </c>
      <c r="I327" t="n">
        <v>1</v>
      </c>
      <c r="J327" t="n">
        <v>3</v>
      </c>
      <c r="K327" t="n">
        <v>1</v>
      </c>
      <c r="L327" t="n">
        <v>1</v>
      </c>
      <c r="M327" t="n">
        <v>0</v>
      </c>
      <c r="N327" t="n">
        <v>0</v>
      </c>
      <c r="O327" t="n">
        <v>5</v>
      </c>
      <c r="P327" t="n">
        <v>2</v>
      </c>
      <c r="Q327" t="n">
        <v>6</v>
      </c>
      <c r="R327" s="2" t="inlineStr">
        <is>
          <t>Broktagel
Gräddporing
Dvärgbägarlav
Garnlav
Nordtagging
Skuggblåslav</t>
        </is>
      </c>
      <c r="S327">
        <f>HYPERLINK("https://klasma.github.io/Logging_2039/artfynd/A 19262-2025 artfynd.xlsx", "A 19262-2025")</f>
        <v/>
      </c>
      <c r="T327">
        <f>HYPERLINK("https://klasma.github.io/Logging_2039/kartor/A 19262-2025 karta.png", "A 19262-2025")</f>
        <v/>
      </c>
      <c r="V327">
        <f>HYPERLINK("https://klasma.github.io/Logging_2039/klagomål/A 19262-2025 FSC-klagomål.docx", "A 19262-2025")</f>
        <v/>
      </c>
      <c r="W327">
        <f>HYPERLINK("https://klasma.github.io/Logging_2039/klagomålsmail/A 19262-2025 FSC-klagomål mail.docx", "A 19262-2025")</f>
        <v/>
      </c>
      <c r="X327">
        <f>HYPERLINK("https://klasma.github.io/Logging_2039/tillsyn/A 19262-2025 tillsynsbegäran.docx", "A 19262-2025")</f>
        <v/>
      </c>
      <c r="Y327">
        <f>HYPERLINK("https://klasma.github.io/Logging_2039/tillsynsmail/A 19262-2025 tillsynsbegäran mail.docx", "A 19262-2025")</f>
        <v/>
      </c>
    </row>
    <row r="328" ht="15" customHeight="1">
      <c r="A328" t="inlineStr">
        <is>
          <t>A 58169-2025</t>
        </is>
      </c>
      <c r="B328" s="1" t="n">
        <v>45982.72690972222</v>
      </c>
      <c r="C328" s="1" t="n">
        <v>46114</v>
      </c>
      <c r="D328" t="inlineStr">
        <is>
          <t>DALARNAS LÄN</t>
        </is>
      </c>
      <c r="E328" t="inlineStr">
        <is>
          <t>MORA</t>
        </is>
      </c>
      <c r="F328" t="inlineStr">
        <is>
          <t>Bergvik skog väst AB</t>
        </is>
      </c>
      <c r="G328" t="n">
        <v>7.7</v>
      </c>
      <c r="H328" t="n">
        <v>2</v>
      </c>
      <c r="I328" t="n">
        <v>1</v>
      </c>
      <c r="J328" t="n">
        <v>5</v>
      </c>
      <c r="K328" t="n">
        <v>0</v>
      </c>
      <c r="L328" t="n">
        <v>0</v>
      </c>
      <c r="M328" t="n">
        <v>0</v>
      </c>
      <c r="N328" t="n">
        <v>0</v>
      </c>
      <c r="O328" t="n">
        <v>5</v>
      </c>
      <c r="P328" t="n">
        <v>0</v>
      </c>
      <c r="Q328" t="n">
        <v>6</v>
      </c>
      <c r="R328" s="2" t="inlineStr">
        <is>
          <t>Garnlav
Spillkråka
Tretåig hackspett
Vedflamlav
Vedskivlav
Mindre märgborre</t>
        </is>
      </c>
      <c r="S328">
        <f>HYPERLINK("https://klasma.github.io/Logging_2062/artfynd/A 58169-2025 artfynd.xlsx", "A 58169-2025")</f>
        <v/>
      </c>
      <c r="T328">
        <f>HYPERLINK("https://klasma.github.io/Logging_2062/kartor/A 58169-2025 karta.png", "A 58169-2025")</f>
        <v/>
      </c>
      <c r="V328">
        <f>HYPERLINK("https://klasma.github.io/Logging_2062/klagomål/A 58169-2025 FSC-klagomål.docx", "A 58169-2025")</f>
        <v/>
      </c>
      <c r="W328">
        <f>HYPERLINK("https://klasma.github.io/Logging_2062/klagomålsmail/A 58169-2025 FSC-klagomål mail.docx", "A 58169-2025")</f>
        <v/>
      </c>
      <c r="X328">
        <f>HYPERLINK("https://klasma.github.io/Logging_2062/tillsyn/A 58169-2025 tillsynsbegäran.docx", "A 58169-2025")</f>
        <v/>
      </c>
      <c r="Y328">
        <f>HYPERLINK("https://klasma.github.io/Logging_2062/tillsynsmail/A 58169-2025 tillsynsbegäran mail.docx", "A 58169-2025")</f>
        <v/>
      </c>
      <c r="Z328">
        <f>HYPERLINK("https://klasma.github.io/Logging_2062/fåglar/A 58169-2025 prioriterade fågelarter.docx", "A 58169-2025")</f>
        <v/>
      </c>
    </row>
    <row r="329" ht="15" customHeight="1">
      <c r="A329" t="inlineStr">
        <is>
          <t>A 35411-2025</t>
        </is>
      </c>
      <c r="B329" s="1" t="n">
        <v>45855</v>
      </c>
      <c r="C329" s="1" t="n">
        <v>46114</v>
      </c>
      <c r="D329" t="inlineStr">
        <is>
          <t>DALARNAS LÄN</t>
        </is>
      </c>
      <c r="E329" t="inlineStr">
        <is>
          <t>SÄTER</t>
        </is>
      </c>
      <c r="G329" t="n">
        <v>8.4</v>
      </c>
      <c r="H329" t="n">
        <v>3</v>
      </c>
      <c r="I329" t="n">
        <v>0</v>
      </c>
      <c r="J329" t="n">
        <v>2</v>
      </c>
      <c r="K329" t="n">
        <v>3</v>
      </c>
      <c r="L329" t="n">
        <v>0</v>
      </c>
      <c r="M329" t="n">
        <v>0</v>
      </c>
      <c r="N329" t="n">
        <v>0</v>
      </c>
      <c r="O329" t="n">
        <v>5</v>
      </c>
      <c r="P329" t="n">
        <v>3</v>
      </c>
      <c r="Q329" t="n">
        <v>6</v>
      </c>
      <c r="R329" s="2" t="inlineStr">
        <is>
          <t>Knärot
Laxporing
Rynkskinn
Spillkråka
Ullticka
Vanlig padda</t>
        </is>
      </c>
      <c r="S329">
        <f>HYPERLINK("https://klasma.github.io/Logging_2082/artfynd/A 35411-2025 artfynd.xlsx", "A 35411-2025")</f>
        <v/>
      </c>
      <c r="T329">
        <f>HYPERLINK("https://klasma.github.io/Logging_2082/kartor/A 35411-2025 karta.png", "A 35411-2025")</f>
        <v/>
      </c>
      <c r="U329">
        <f>HYPERLINK("https://klasma.github.io/Logging_2082/knärot/A 35411-2025 karta knärot.png", "A 35411-2025")</f>
        <v/>
      </c>
      <c r="V329">
        <f>HYPERLINK("https://klasma.github.io/Logging_2082/klagomål/A 35411-2025 FSC-klagomål.docx", "A 35411-2025")</f>
        <v/>
      </c>
      <c r="W329">
        <f>HYPERLINK("https://klasma.github.io/Logging_2082/klagomålsmail/A 35411-2025 FSC-klagomål mail.docx", "A 35411-2025")</f>
        <v/>
      </c>
      <c r="X329">
        <f>HYPERLINK("https://klasma.github.io/Logging_2082/tillsyn/A 35411-2025 tillsynsbegäran.docx", "A 35411-2025")</f>
        <v/>
      </c>
      <c r="Y329">
        <f>HYPERLINK("https://klasma.github.io/Logging_2082/tillsynsmail/A 35411-2025 tillsynsbegäran mail.docx", "A 35411-2025")</f>
        <v/>
      </c>
      <c r="Z329">
        <f>HYPERLINK("https://klasma.github.io/Logging_2082/fåglar/A 35411-2025 prioriterade fågelarter.docx", "A 35411-2025")</f>
        <v/>
      </c>
    </row>
    <row r="330" ht="15" customHeight="1">
      <c r="A330" t="inlineStr">
        <is>
          <t>A 1019-2026</t>
        </is>
      </c>
      <c r="B330" s="1" t="n">
        <v>46030.60471064815</v>
      </c>
      <c r="C330" s="1" t="n">
        <v>46114</v>
      </c>
      <c r="D330" t="inlineStr">
        <is>
          <t>DALARNAS LÄN</t>
        </is>
      </c>
      <c r="E330" t="inlineStr">
        <is>
          <t>BORLÄNGE</t>
        </is>
      </c>
      <c r="G330" t="n">
        <v>4.8</v>
      </c>
      <c r="H330" t="n">
        <v>2</v>
      </c>
      <c r="I330" t="n">
        <v>1</v>
      </c>
      <c r="J330" t="n">
        <v>2</v>
      </c>
      <c r="K330" t="n">
        <v>2</v>
      </c>
      <c r="L330" t="n">
        <v>0</v>
      </c>
      <c r="M330" t="n">
        <v>0</v>
      </c>
      <c r="N330" t="n">
        <v>0</v>
      </c>
      <c r="O330" t="n">
        <v>4</v>
      </c>
      <c r="P330" t="n">
        <v>2</v>
      </c>
      <c r="Q330" t="n">
        <v>6</v>
      </c>
      <c r="R330" s="2" t="inlineStr">
        <is>
          <t>Knärot
Rynkskinn
Orange taggsvamp
Ullticka
Bronshjon
Revlummer</t>
        </is>
      </c>
      <c r="S330">
        <f>HYPERLINK("https://klasma.github.io/Logging_2081/artfynd/A 1019-2026 artfynd.xlsx", "A 1019-2026")</f>
        <v/>
      </c>
      <c r="T330">
        <f>HYPERLINK("https://klasma.github.io/Logging_2081/kartor/A 1019-2026 karta.png", "A 1019-2026")</f>
        <v/>
      </c>
      <c r="U330">
        <f>HYPERLINK("https://klasma.github.io/Logging_2081/knärot/A 1019-2026 karta knärot.png", "A 1019-2026")</f>
        <v/>
      </c>
      <c r="V330">
        <f>HYPERLINK("https://klasma.github.io/Logging_2081/klagomål/A 1019-2026 FSC-klagomål.docx", "A 1019-2026")</f>
        <v/>
      </c>
      <c r="W330">
        <f>HYPERLINK("https://klasma.github.io/Logging_2081/klagomålsmail/A 1019-2026 FSC-klagomål mail.docx", "A 1019-2026")</f>
        <v/>
      </c>
      <c r="X330">
        <f>HYPERLINK("https://klasma.github.io/Logging_2081/tillsyn/A 1019-2026 tillsynsbegäran.docx", "A 1019-2026")</f>
        <v/>
      </c>
      <c r="Y330">
        <f>HYPERLINK("https://klasma.github.io/Logging_2081/tillsynsmail/A 1019-2026 tillsynsbegäran mail.docx", "A 1019-2026")</f>
        <v/>
      </c>
    </row>
    <row r="331" ht="15" customHeight="1">
      <c r="A331" t="inlineStr">
        <is>
          <t>A 883-2026</t>
        </is>
      </c>
      <c r="B331" s="1" t="n">
        <v>46030.44587962963</v>
      </c>
      <c r="C331" s="1" t="n">
        <v>46114</v>
      </c>
      <c r="D331" t="inlineStr">
        <is>
          <t>DALARNAS LÄN</t>
        </is>
      </c>
      <c r="E331" t="inlineStr">
        <is>
          <t>ORSA</t>
        </is>
      </c>
      <c r="G331" t="n">
        <v>2.8</v>
      </c>
      <c r="H331" t="n">
        <v>0</v>
      </c>
      <c r="I331" t="n">
        <v>0</v>
      </c>
      <c r="J331" t="n">
        <v>5</v>
      </c>
      <c r="K331" t="n">
        <v>1</v>
      </c>
      <c r="L331" t="n">
        <v>0</v>
      </c>
      <c r="M331" t="n">
        <v>0</v>
      </c>
      <c r="N331" t="n">
        <v>0</v>
      </c>
      <c r="O331" t="n">
        <v>6</v>
      </c>
      <c r="P331" t="n">
        <v>1</v>
      </c>
      <c r="Q331" t="n">
        <v>6</v>
      </c>
      <c r="R331" s="2" t="inlineStr">
        <is>
          <t>Rynkskinn
Garnlav
Granticka
Rosenticka
Ullticka
Vedtrappmossa</t>
        </is>
      </c>
      <c r="S331">
        <f>HYPERLINK("https://klasma.github.io/Logging_2034/artfynd/A 883-2026 artfynd.xlsx", "A 883-2026")</f>
        <v/>
      </c>
      <c r="T331">
        <f>HYPERLINK("https://klasma.github.io/Logging_2034/kartor/A 883-2026 karta.png", "A 883-2026")</f>
        <v/>
      </c>
      <c r="V331">
        <f>HYPERLINK("https://klasma.github.io/Logging_2034/klagomål/A 883-2026 FSC-klagomål.docx", "A 883-2026")</f>
        <v/>
      </c>
      <c r="W331">
        <f>HYPERLINK("https://klasma.github.io/Logging_2034/klagomålsmail/A 883-2026 FSC-klagomål mail.docx", "A 883-2026")</f>
        <v/>
      </c>
      <c r="X331">
        <f>HYPERLINK("https://klasma.github.io/Logging_2034/tillsyn/A 883-2026 tillsynsbegäran.docx", "A 883-2026")</f>
        <v/>
      </c>
      <c r="Y331">
        <f>HYPERLINK("https://klasma.github.io/Logging_2034/tillsynsmail/A 883-2026 tillsynsbegäran mail.docx", "A 883-2026")</f>
        <v/>
      </c>
    </row>
    <row r="332" ht="15" customHeight="1">
      <c r="A332" t="inlineStr">
        <is>
          <t>A 8107-2024</t>
        </is>
      </c>
      <c r="B332" s="1" t="n">
        <v>45351</v>
      </c>
      <c r="C332" s="1" t="n">
        <v>46114</v>
      </c>
      <c r="D332" t="inlineStr">
        <is>
          <t>DALARNAS LÄN</t>
        </is>
      </c>
      <c r="E332" t="inlineStr">
        <is>
          <t>ORSA</t>
        </is>
      </c>
      <c r="G332" t="n">
        <v>13.6</v>
      </c>
      <c r="H332" t="n">
        <v>2</v>
      </c>
      <c r="I332" t="n">
        <v>0</v>
      </c>
      <c r="J332" t="n">
        <v>5</v>
      </c>
      <c r="K332" t="n">
        <v>0</v>
      </c>
      <c r="L332" t="n">
        <v>0</v>
      </c>
      <c r="M332" t="n">
        <v>0</v>
      </c>
      <c r="N332" t="n">
        <v>0</v>
      </c>
      <c r="O332" t="n">
        <v>5</v>
      </c>
      <c r="P332" t="n">
        <v>0</v>
      </c>
      <c r="Q332" t="n">
        <v>6</v>
      </c>
      <c r="R332" s="2" t="inlineStr">
        <is>
          <t>Garnlav
Grönhjon
Lunglav
Mörk kolflarnlav
Tretåig hackspett
Tjäder</t>
        </is>
      </c>
      <c r="S332">
        <f>HYPERLINK("https://klasma.github.io/Logging_2034/artfynd/A 8107-2024 artfynd.xlsx", "A 8107-2024")</f>
        <v/>
      </c>
      <c r="T332">
        <f>HYPERLINK("https://klasma.github.io/Logging_2034/kartor/A 8107-2024 karta.png", "A 8107-2024")</f>
        <v/>
      </c>
      <c r="V332">
        <f>HYPERLINK("https://klasma.github.io/Logging_2034/klagomål/A 8107-2024 FSC-klagomål.docx", "A 8107-2024")</f>
        <v/>
      </c>
      <c r="W332">
        <f>HYPERLINK("https://klasma.github.io/Logging_2034/klagomålsmail/A 8107-2024 FSC-klagomål mail.docx", "A 8107-2024")</f>
        <v/>
      </c>
      <c r="X332">
        <f>HYPERLINK("https://klasma.github.io/Logging_2034/tillsyn/A 8107-2024 tillsynsbegäran.docx", "A 8107-2024")</f>
        <v/>
      </c>
      <c r="Y332">
        <f>HYPERLINK("https://klasma.github.io/Logging_2034/tillsynsmail/A 8107-2024 tillsynsbegäran mail.docx", "A 8107-2024")</f>
        <v/>
      </c>
      <c r="Z332">
        <f>HYPERLINK("https://klasma.github.io/Logging_2034/fåglar/A 8107-2024 prioriterade fågelarter.docx", "A 8107-2024")</f>
        <v/>
      </c>
    </row>
    <row r="333" ht="15" customHeight="1">
      <c r="A333" t="inlineStr">
        <is>
          <t>A 10693-2026</t>
        </is>
      </c>
      <c r="B333" s="1" t="n">
        <v>46078.43366898148</v>
      </c>
      <c r="C333" s="1" t="n">
        <v>46114</v>
      </c>
      <c r="D333" t="inlineStr">
        <is>
          <t>DALARNAS LÄN</t>
        </is>
      </c>
      <c r="E333" t="inlineStr">
        <is>
          <t>MORA</t>
        </is>
      </c>
      <c r="G333" t="n">
        <v>1.2</v>
      </c>
      <c r="H333" t="n">
        <v>2</v>
      </c>
      <c r="I333" t="n">
        <v>3</v>
      </c>
      <c r="J333" t="n">
        <v>2</v>
      </c>
      <c r="K333" t="n">
        <v>1</v>
      </c>
      <c r="L333" t="n">
        <v>0</v>
      </c>
      <c r="M333" t="n">
        <v>0</v>
      </c>
      <c r="N333" t="n">
        <v>0</v>
      </c>
      <c r="O333" t="n">
        <v>3</v>
      </c>
      <c r="P333" t="n">
        <v>1</v>
      </c>
      <c r="Q333" t="n">
        <v>6</v>
      </c>
      <c r="R333" s="2" t="inlineStr">
        <is>
          <t>Knärot
Garnlav
Tretåig hackspett
Bronshjon
Mindre märgborre
Nästlav</t>
        </is>
      </c>
      <c r="S333">
        <f>HYPERLINK("https://klasma.github.io/Logging_2062/artfynd/A 10693-2026 artfynd.xlsx", "A 10693-2026")</f>
        <v/>
      </c>
      <c r="T333">
        <f>HYPERLINK("https://klasma.github.io/Logging_2062/kartor/A 10693-2026 karta.png", "A 10693-2026")</f>
        <v/>
      </c>
      <c r="U333">
        <f>HYPERLINK("https://klasma.github.io/Logging_2062/knärot/A 10693-2026 karta knärot.png", "A 10693-2026")</f>
        <v/>
      </c>
      <c r="V333">
        <f>HYPERLINK("https://klasma.github.io/Logging_2062/klagomål/A 10693-2026 FSC-klagomål.docx", "A 10693-2026")</f>
        <v/>
      </c>
      <c r="W333">
        <f>HYPERLINK("https://klasma.github.io/Logging_2062/klagomålsmail/A 10693-2026 FSC-klagomål mail.docx", "A 10693-2026")</f>
        <v/>
      </c>
      <c r="X333">
        <f>HYPERLINK("https://klasma.github.io/Logging_2062/tillsyn/A 10693-2026 tillsynsbegäran.docx", "A 10693-2026")</f>
        <v/>
      </c>
      <c r="Y333">
        <f>HYPERLINK("https://klasma.github.io/Logging_2062/tillsynsmail/A 10693-2026 tillsynsbegäran mail.docx", "A 10693-2026")</f>
        <v/>
      </c>
      <c r="Z333">
        <f>HYPERLINK("https://klasma.github.io/Logging_2062/fåglar/A 10693-2026 prioriterade fågelarter.docx", "A 10693-2026")</f>
        <v/>
      </c>
    </row>
    <row r="334" ht="15" customHeight="1">
      <c r="A334" t="inlineStr">
        <is>
          <t>A 4468-2026</t>
        </is>
      </c>
      <c r="B334" s="1" t="n">
        <v>46045</v>
      </c>
      <c r="C334" s="1" t="n">
        <v>46114</v>
      </c>
      <c r="D334" t="inlineStr">
        <is>
          <t>DALARNAS LÄN</t>
        </is>
      </c>
      <c r="E334" t="inlineStr">
        <is>
          <t>FALUN</t>
        </is>
      </c>
      <c r="G334" t="n">
        <v>4</v>
      </c>
      <c r="H334" t="n">
        <v>3</v>
      </c>
      <c r="I334" t="n">
        <v>3</v>
      </c>
      <c r="J334" t="n">
        <v>1</v>
      </c>
      <c r="K334" t="n">
        <v>1</v>
      </c>
      <c r="L334" t="n">
        <v>1</v>
      </c>
      <c r="M334" t="n">
        <v>0</v>
      </c>
      <c r="N334" t="n">
        <v>0</v>
      </c>
      <c r="O334" t="n">
        <v>3</v>
      </c>
      <c r="P334" t="n">
        <v>2</v>
      </c>
      <c r="Q334" t="n">
        <v>6</v>
      </c>
      <c r="R334" s="2" t="inlineStr">
        <is>
          <t>Grönfink
Knärot
Spillkråka
Bronshjon
Dropptaggsvamp
Mindre märgborre</t>
        </is>
      </c>
      <c r="S334">
        <f>HYPERLINK("https://klasma.github.io/Logging_2080/artfynd/A 4468-2026 artfynd.xlsx", "A 4468-2026")</f>
        <v/>
      </c>
      <c r="T334">
        <f>HYPERLINK("https://klasma.github.io/Logging_2080/kartor/A 4468-2026 karta.png", "A 4468-2026")</f>
        <v/>
      </c>
      <c r="U334">
        <f>HYPERLINK("https://klasma.github.io/Logging_2080/knärot/A 4468-2026 karta knärot.png", "A 4468-2026")</f>
        <v/>
      </c>
      <c r="V334">
        <f>HYPERLINK("https://klasma.github.io/Logging_2080/klagomål/A 4468-2026 FSC-klagomål.docx", "A 4468-2026")</f>
        <v/>
      </c>
      <c r="W334">
        <f>HYPERLINK("https://klasma.github.io/Logging_2080/klagomålsmail/A 4468-2026 FSC-klagomål mail.docx", "A 4468-2026")</f>
        <v/>
      </c>
      <c r="X334">
        <f>HYPERLINK("https://klasma.github.io/Logging_2080/tillsyn/A 4468-2026 tillsynsbegäran.docx", "A 4468-2026")</f>
        <v/>
      </c>
      <c r="Y334">
        <f>HYPERLINK("https://klasma.github.io/Logging_2080/tillsynsmail/A 4468-2026 tillsynsbegäran mail.docx", "A 4468-2026")</f>
        <v/>
      </c>
      <c r="Z334">
        <f>HYPERLINK("https://klasma.github.io/Logging_2080/fåglar/A 4468-2026 prioriterade fågelarter.docx", "A 4468-2026")</f>
        <v/>
      </c>
    </row>
    <row r="335" ht="15" customHeight="1">
      <c r="A335" t="inlineStr">
        <is>
          <t>A 39135-2022</t>
        </is>
      </c>
      <c r="B335" s="1" t="n">
        <v>44817</v>
      </c>
      <c r="C335" s="1" t="n">
        <v>46114</v>
      </c>
      <c r="D335" t="inlineStr">
        <is>
          <t>DALARNAS LÄN</t>
        </is>
      </c>
      <c r="E335" t="inlineStr">
        <is>
          <t>FALUN</t>
        </is>
      </c>
      <c r="G335" t="n">
        <v>3.4</v>
      </c>
      <c r="H335" t="n">
        <v>3</v>
      </c>
      <c r="I335" t="n">
        <v>4</v>
      </c>
      <c r="J335" t="n">
        <v>0</v>
      </c>
      <c r="K335" t="n">
        <v>0</v>
      </c>
      <c r="L335" t="n">
        <v>0</v>
      </c>
      <c r="M335" t="n">
        <v>0</v>
      </c>
      <c r="N335" t="n">
        <v>0</v>
      </c>
      <c r="O335" t="n">
        <v>0</v>
      </c>
      <c r="P335" t="n">
        <v>0</v>
      </c>
      <c r="Q335" t="n">
        <v>6</v>
      </c>
      <c r="R335" s="2" t="inlineStr">
        <is>
          <t>Bronshjon
Dropptaggsvamp
Plattlummer
Svart trolldruva
Lopplummer (aggregat)
Revlummer</t>
        </is>
      </c>
      <c r="S335">
        <f>HYPERLINK("https://klasma.github.io/Logging_2080/artfynd/A 39135-2022 artfynd.xlsx", "A 39135-2022")</f>
        <v/>
      </c>
      <c r="T335">
        <f>HYPERLINK("https://klasma.github.io/Logging_2080/kartor/A 39135-2022 karta.png", "A 39135-2022")</f>
        <v/>
      </c>
      <c r="V335">
        <f>HYPERLINK("https://klasma.github.io/Logging_2080/klagomål/A 39135-2022 FSC-klagomål.docx", "A 39135-2022")</f>
        <v/>
      </c>
      <c r="W335">
        <f>HYPERLINK("https://klasma.github.io/Logging_2080/klagomålsmail/A 39135-2022 FSC-klagomål mail.docx", "A 39135-2022")</f>
        <v/>
      </c>
      <c r="X335">
        <f>HYPERLINK("https://klasma.github.io/Logging_2080/tillsyn/A 39135-2022 tillsynsbegäran.docx", "A 39135-2022")</f>
        <v/>
      </c>
      <c r="Y335">
        <f>HYPERLINK("https://klasma.github.io/Logging_2080/tillsynsmail/A 39135-2022 tillsynsbegäran mail.docx", "A 39135-2022")</f>
        <v/>
      </c>
    </row>
    <row r="336" ht="15" customHeight="1">
      <c r="A336" t="inlineStr">
        <is>
          <t>A 31622-2023</t>
        </is>
      </c>
      <c r="B336" s="1" t="n">
        <v>45117</v>
      </c>
      <c r="C336" s="1" t="n">
        <v>46114</v>
      </c>
      <c r="D336" t="inlineStr">
        <is>
          <t>DALARNAS LÄN</t>
        </is>
      </c>
      <c r="E336" t="inlineStr">
        <is>
          <t>FALUN</t>
        </is>
      </c>
      <c r="F336" t="inlineStr">
        <is>
          <t>Bergvik skog väst AB</t>
        </is>
      </c>
      <c r="G336" t="n">
        <v>6.6</v>
      </c>
      <c r="H336" t="n">
        <v>4</v>
      </c>
      <c r="I336" t="n">
        <v>2</v>
      </c>
      <c r="J336" t="n">
        <v>2</v>
      </c>
      <c r="K336" t="n">
        <v>1</v>
      </c>
      <c r="L336" t="n">
        <v>0</v>
      </c>
      <c r="M336" t="n">
        <v>0</v>
      </c>
      <c r="N336" t="n">
        <v>0</v>
      </c>
      <c r="O336" t="n">
        <v>3</v>
      </c>
      <c r="P336" t="n">
        <v>1</v>
      </c>
      <c r="Q336" t="n">
        <v>6</v>
      </c>
      <c r="R336" s="2" t="inlineStr">
        <is>
          <t>Knärot
Gultoppig fingersvamp
Spillkråka
Grönpyrola
Plattlummer
Mattlummer</t>
        </is>
      </c>
      <c r="S336">
        <f>HYPERLINK("https://klasma.github.io/Logging_2080/artfynd/A 31622-2023 artfynd.xlsx", "A 31622-2023")</f>
        <v/>
      </c>
      <c r="T336">
        <f>HYPERLINK("https://klasma.github.io/Logging_2080/kartor/A 31622-2023 karta.png", "A 31622-2023")</f>
        <v/>
      </c>
      <c r="U336">
        <f>HYPERLINK("https://klasma.github.io/Logging_2080/knärot/A 31622-2023 karta knärot.png", "A 31622-2023")</f>
        <v/>
      </c>
      <c r="V336">
        <f>HYPERLINK("https://klasma.github.io/Logging_2080/klagomål/A 31622-2023 FSC-klagomål.docx", "A 31622-2023")</f>
        <v/>
      </c>
      <c r="W336">
        <f>HYPERLINK("https://klasma.github.io/Logging_2080/klagomålsmail/A 31622-2023 FSC-klagomål mail.docx", "A 31622-2023")</f>
        <v/>
      </c>
      <c r="X336">
        <f>HYPERLINK("https://klasma.github.io/Logging_2080/tillsyn/A 31622-2023 tillsynsbegäran.docx", "A 31622-2023")</f>
        <v/>
      </c>
      <c r="Y336">
        <f>HYPERLINK("https://klasma.github.io/Logging_2080/tillsynsmail/A 31622-2023 tillsynsbegäran mail.docx", "A 31622-2023")</f>
        <v/>
      </c>
      <c r="Z336">
        <f>HYPERLINK("https://klasma.github.io/Logging_2080/fåglar/A 31622-2023 prioriterade fågelarter.docx", "A 31622-2023")</f>
        <v/>
      </c>
    </row>
    <row r="337" ht="15" customHeight="1">
      <c r="A337" t="inlineStr">
        <is>
          <t>A 59946-2025</t>
        </is>
      </c>
      <c r="B337" s="1" t="n">
        <v>45993</v>
      </c>
      <c r="C337" s="1" t="n">
        <v>46114</v>
      </c>
      <c r="D337" t="inlineStr">
        <is>
          <t>DALARNAS LÄN</t>
        </is>
      </c>
      <c r="E337" t="inlineStr">
        <is>
          <t>LUDVIKA</t>
        </is>
      </c>
      <c r="G337" t="n">
        <v>2.3</v>
      </c>
      <c r="H337" t="n">
        <v>2</v>
      </c>
      <c r="I337" t="n">
        <v>1</v>
      </c>
      <c r="J337" t="n">
        <v>4</v>
      </c>
      <c r="K337" t="n">
        <v>1</v>
      </c>
      <c r="L337" t="n">
        <v>0</v>
      </c>
      <c r="M337" t="n">
        <v>0</v>
      </c>
      <c r="N337" t="n">
        <v>0</v>
      </c>
      <c r="O337" t="n">
        <v>5</v>
      </c>
      <c r="P337" t="n">
        <v>1</v>
      </c>
      <c r="Q337" t="n">
        <v>6</v>
      </c>
      <c r="R337" s="2" t="inlineStr">
        <is>
          <t>Knärot
Garnlav
Kolflarnlav
Mörk kolflarnlav
Tretåig hackspett
Mindre märgborre</t>
        </is>
      </c>
      <c r="S337">
        <f>HYPERLINK("https://klasma.github.io/Logging_2085/artfynd/A 59946-2025 artfynd.xlsx", "A 59946-2025")</f>
        <v/>
      </c>
      <c r="T337">
        <f>HYPERLINK("https://klasma.github.io/Logging_2085/kartor/A 59946-2025 karta.png", "A 59946-2025")</f>
        <v/>
      </c>
      <c r="U337">
        <f>HYPERLINK("https://klasma.github.io/Logging_2085/knärot/A 59946-2025 karta knärot.png", "A 59946-2025")</f>
        <v/>
      </c>
      <c r="V337">
        <f>HYPERLINK("https://klasma.github.io/Logging_2085/klagomål/A 59946-2025 FSC-klagomål.docx", "A 59946-2025")</f>
        <v/>
      </c>
      <c r="W337">
        <f>HYPERLINK("https://klasma.github.io/Logging_2085/klagomålsmail/A 59946-2025 FSC-klagomål mail.docx", "A 59946-2025")</f>
        <v/>
      </c>
      <c r="X337">
        <f>HYPERLINK("https://klasma.github.io/Logging_2085/tillsyn/A 59946-2025 tillsynsbegäran.docx", "A 59946-2025")</f>
        <v/>
      </c>
      <c r="Y337">
        <f>HYPERLINK("https://klasma.github.io/Logging_2085/tillsynsmail/A 59946-2025 tillsynsbegäran mail.docx", "A 59946-2025")</f>
        <v/>
      </c>
      <c r="Z337">
        <f>HYPERLINK("https://klasma.github.io/Logging_2085/fåglar/A 59946-2025 prioriterade fågelarter.docx", "A 59946-2025")</f>
        <v/>
      </c>
    </row>
    <row r="338" ht="15" customHeight="1">
      <c r="A338" t="inlineStr">
        <is>
          <t>A 9501-2025</t>
        </is>
      </c>
      <c r="B338" s="1" t="n">
        <v>45715</v>
      </c>
      <c r="C338" s="1" t="n">
        <v>46114</v>
      </c>
      <c r="D338" t="inlineStr">
        <is>
          <t>DALARNAS LÄN</t>
        </is>
      </c>
      <c r="E338" t="inlineStr">
        <is>
          <t>LEKSAND</t>
        </is>
      </c>
      <c r="G338" t="n">
        <v>1.4</v>
      </c>
      <c r="H338" t="n">
        <v>5</v>
      </c>
      <c r="I338" t="n">
        <v>1</v>
      </c>
      <c r="J338" t="n">
        <v>2</v>
      </c>
      <c r="K338" t="n">
        <v>1</v>
      </c>
      <c r="L338" t="n">
        <v>0</v>
      </c>
      <c r="M338" t="n">
        <v>0</v>
      </c>
      <c r="N338" t="n">
        <v>0</v>
      </c>
      <c r="O338" t="n">
        <v>3</v>
      </c>
      <c r="P338" t="n">
        <v>1</v>
      </c>
      <c r="Q338" t="n">
        <v>6</v>
      </c>
      <c r="R338" s="2" t="inlineStr">
        <is>
          <t>Knärot
Järpe
Spillkråka
Bronshjon
Tjäder
Revlummer</t>
        </is>
      </c>
      <c r="S338">
        <f>HYPERLINK("https://klasma.github.io/Logging_2029/artfynd/A 9501-2025 artfynd.xlsx", "A 9501-2025")</f>
        <v/>
      </c>
      <c r="T338">
        <f>HYPERLINK("https://klasma.github.io/Logging_2029/kartor/A 9501-2025 karta.png", "A 9501-2025")</f>
        <v/>
      </c>
      <c r="U338">
        <f>HYPERLINK("https://klasma.github.io/Logging_2029/knärot/A 9501-2025 karta knärot.png", "A 9501-2025")</f>
        <v/>
      </c>
      <c r="V338">
        <f>HYPERLINK("https://klasma.github.io/Logging_2029/klagomål/A 9501-2025 FSC-klagomål.docx", "A 9501-2025")</f>
        <v/>
      </c>
      <c r="W338">
        <f>HYPERLINK("https://klasma.github.io/Logging_2029/klagomålsmail/A 9501-2025 FSC-klagomål mail.docx", "A 9501-2025")</f>
        <v/>
      </c>
      <c r="X338">
        <f>HYPERLINK("https://klasma.github.io/Logging_2029/tillsyn/A 9501-2025 tillsynsbegäran.docx", "A 9501-2025")</f>
        <v/>
      </c>
      <c r="Y338">
        <f>HYPERLINK("https://klasma.github.io/Logging_2029/tillsynsmail/A 9501-2025 tillsynsbegäran mail.docx", "A 9501-2025")</f>
        <v/>
      </c>
      <c r="Z338">
        <f>HYPERLINK("https://klasma.github.io/Logging_2029/fåglar/A 9501-2025 prioriterade fågelarter.docx", "A 9501-2025")</f>
        <v/>
      </c>
    </row>
    <row r="339" ht="15" customHeight="1">
      <c r="A339" t="inlineStr">
        <is>
          <t>A 8714-2026</t>
        </is>
      </c>
      <c r="B339" s="1" t="n">
        <v>46066.48405092592</v>
      </c>
      <c r="C339" s="1" t="n">
        <v>46114</v>
      </c>
      <c r="D339" t="inlineStr">
        <is>
          <t>DALARNAS LÄN</t>
        </is>
      </c>
      <c r="E339" t="inlineStr">
        <is>
          <t>LEKSAND</t>
        </is>
      </c>
      <c r="G339" t="n">
        <v>2.5</v>
      </c>
      <c r="H339" t="n">
        <v>0</v>
      </c>
      <c r="I339" t="n">
        <v>1</v>
      </c>
      <c r="J339" t="n">
        <v>5</v>
      </c>
      <c r="K339" t="n">
        <v>0</v>
      </c>
      <c r="L339" t="n">
        <v>0</v>
      </c>
      <c r="M339" t="n">
        <v>0</v>
      </c>
      <c r="N339" t="n">
        <v>0</v>
      </c>
      <c r="O339" t="n">
        <v>5</v>
      </c>
      <c r="P339" t="n">
        <v>0</v>
      </c>
      <c r="Q339" t="n">
        <v>6</v>
      </c>
      <c r="R339" s="2" t="inlineStr">
        <is>
          <t>Garnlav
Kolflarnlav
Lunglav
Mörk kolflarnlav
Vedtrappmossa
Thomsons trägnagare</t>
        </is>
      </c>
      <c r="S339">
        <f>HYPERLINK("https://klasma.github.io/Logging_2029/artfynd/A 8714-2026 artfynd.xlsx", "A 8714-2026")</f>
        <v/>
      </c>
      <c r="T339">
        <f>HYPERLINK("https://klasma.github.io/Logging_2029/kartor/A 8714-2026 karta.png", "A 8714-2026")</f>
        <v/>
      </c>
      <c r="V339">
        <f>HYPERLINK("https://klasma.github.io/Logging_2029/klagomål/A 8714-2026 FSC-klagomål.docx", "A 8714-2026")</f>
        <v/>
      </c>
      <c r="W339">
        <f>HYPERLINK("https://klasma.github.io/Logging_2029/klagomålsmail/A 8714-2026 FSC-klagomål mail.docx", "A 8714-2026")</f>
        <v/>
      </c>
      <c r="X339">
        <f>HYPERLINK("https://klasma.github.io/Logging_2029/tillsyn/A 8714-2026 tillsynsbegäran.docx", "A 8714-2026")</f>
        <v/>
      </c>
      <c r="Y339">
        <f>HYPERLINK("https://klasma.github.io/Logging_2029/tillsynsmail/A 8714-2026 tillsynsbegäran mail.docx", "A 8714-2026")</f>
        <v/>
      </c>
    </row>
    <row r="340" ht="15" customHeight="1">
      <c r="A340" t="inlineStr">
        <is>
          <t>A 6823-2026</t>
        </is>
      </c>
      <c r="B340" s="1" t="n">
        <v>46057.39158564815</v>
      </c>
      <c r="C340" s="1" t="n">
        <v>46114</v>
      </c>
      <c r="D340" t="inlineStr">
        <is>
          <t>DALARNAS LÄN</t>
        </is>
      </c>
      <c r="E340" t="inlineStr">
        <is>
          <t>ÄLVDALEN</t>
        </is>
      </c>
      <c r="G340" t="n">
        <v>3.9</v>
      </c>
      <c r="H340" t="n">
        <v>4</v>
      </c>
      <c r="I340" t="n">
        <v>0</v>
      </c>
      <c r="J340" t="n">
        <v>5</v>
      </c>
      <c r="K340" t="n">
        <v>0</v>
      </c>
      <c r="L340" t="n">
        <v>0</v>
      </c>
      <c r="M340" t="n">
        <v>0</v>
      </c>
      <c r="N340" t="n">
        <v>0</v>
      </c>
      <c r="O340" t="n">
        <v>5</v>
      </c>
      <c r="P340" t="n">
        <v>0</v>
      </c>
      <c r="Q340" t="n">
        <v>6</v>
      </c>
      <c r="R340" s="2" t="inlineStr">
        <is>
          <t>Garnlav
Järpe
Spillkråka
Tallticka
Tretåig hackspett
Tjäder</t>
        </is>
      </c>
      <c r="S340">
        <f>HYPERLINK("https://klasma.github.io/Logging_2039/artfynd/A 6823-2026 artfynd.xlsx", "A 6823-2026")</f>
        <v/>
      </c>
      <c r="T340">
        <f>HYPERLINK("https://klasma.github.io/Logging_2039/kartor/A 6823-2026 karta.png", "A 6823-2026")</f>
        <v/>
      </c>
      <c r="V340">
        <f>HYPERLINK("https://klasma.github.io/Logging_2039/klagomål/A 6823-2026 FSC-klagomål.docx", "A 6823-2026")</f>
        <v/>
      </c>
      <c r="W340">
        <f>HYPERLINK("https://klasma.github.io/Logging_2039/klagomålsmail/A 6823-2026 FSC-klagomål mail.docx", "A 6823-2026")</f>
        <v/>
      </c>
      <c r="X340">
        <f>HYPERLINK("https://klasma.github.io/Logging_2039/tillsyn/A 6823-2026 tillsynsbegäran.docx", "A 6823-2026")</f>
        <v/>
      </c>
      <c r="Y340">
        <f>HYPERLINK("https://klasma.github.io/Logging_2039/tillsynsmail/A 6823-2026 tillsynsbegäran mail.docx", "A 6823-2026")</f>
        <v/>
      </c>
      <c r="Z340">
        <f>HYPERLINK("https://klasma.github.io/Logging_2039/fåglar/A 6823-2026 prioriterade fågelarter.docx", "A 6823-2026")</f>
        <v/>
      </c>
    </row>
    <row r="341" ht="15" customHeight="1">
      <c r="A341" t="inlineStr">
        <is>
          <t>A 11705-2024</t>
        </is>
      </c>
      <c r="B341" s="1" t="n">
        <v>45373.61137731482</v>
      </c>
      <c r="C341" s="1" t="n">
        <v>46114</v>
      </c>
      <c r="D341" t="inlineStr">
        <is>
          <t>DALARNAS LÄN</t>
        </is>
      </c>
      <c r="E341" t="inlineStr">
        <is>
          <t>LUDVIKA</t>
        </is>
      </c>
      <c r="G341" t="n">
        <v>35.4</v>
      </c>
      <c r="H341" t="n">
        <v>2</v>
      </c>
      <c r="I341" t="n">
        <v>0</v>
      </c>
      <c r="J341" t="n">
        <v>6</v>
      </c>
      <c r="K341" t="n">
        <v>0</v>
      </c>
      <c r="L341" t="n">
        <v>0</v>
      </c>
      <c r="M341" t="n">
        <v>0</v>
      </c>
      <c r="N341" t="n">
        <v>0</v>
      </c>
      <c r="O341" t="n">
        <v>6</v>
      </c>
      <c r="P341" t="n">
        <v>0</v>
      </c>
      <c r="Q341" t="n">
        <v>6</v>
      </c>
      <c r="R341" s="2" t="inlineStr">
        <is>
          <t>Brunpudrad nållav
Garnlav
Granticka
Kortskaftad ärgspik
Spillkråka
Tretåig hackspett</t>
        </is>
      </c>
      <c r="S341">
        <f>HYPERLINK("https://klasma.github.io/Logging_2085/artfynd/A 11705-2024 artfynd.xlsx", "A 11705-2024")</f>
        <v/>
      </c>
      <c r="T341">
        <f>HYPERLINK("https://klasma.github.io/Logging_2085/kartor/A 11705-2024 karta.png", "A 11705-2024")</f>
        <v/>
      </c>
      <c r="V341">
        <f>HYPERLINK("https://klasma.github.io/Logging_2085/klagomål/A 11705-2024 FSC-klagomål.docx", "A 11705-2024")</f>
        <v/>
      </c>
      <c r="W341">
        <f>HYPERLINK("https://klasma.github.io/Logging_2085/klagomålsmail/A 11705-2024 FSC-klagomål mail.docx", "A 11705-2024")</f>
        <v/>
      </c>
      <c r="X341">
        <f>HYPERLINK("https://klasma.github.io/Logging_2085/tillsyn/A 11705-2024 tillsynsbegäran.docx", "A 11705-2024")</f>
        <v/>
      </c>
      <c r="Y341">
        <f>HYPERLINK("https://klasma.github.io/Logging_2085/tillsynsmail/A 11705-2024 tillsynsbegäran mail.docx", "A 11705-2024")</f>
        <v/>
      </c>
      <c r="Z341">
        <f>HYPERLINK("https://klasma.github.io/Logging_2085/fåglar/A 11705-2024 prioriterade fågelarter.docx", "A 11705-2024")</f>
        <v/>
      </c>
    </row>
    <row r="342" ht="15" customHeight="1">
      <c r="A342" t="inlineStr">
        <is>
          <t>A 6671-2026</t>
        </is>
      </c>
      <c r="B342" s="1" t="n">
        <v>46052</v>
      </c>
      <c r="C342" s="1" t="n">
        <v>46114</v>
      </c>
      <c r="D342" t="inlineStr">
        <is>
          <t>DALARNAS LÄN</t>
        </is>
      </c>
      <c r="E342" t="inlineStr">
        <is>
          <t>VANSBRO</t>
        </is>
      </c>
      <c r="G342" t="n">
        <v>13.9</v>
      </c>
      <c r="H342" t="n">
        <v>1</v>
      </c>
      <c r="I342" t="n">
        <v>1</v>
      </c>
      <c r="J342" t="n">
        <v>3</v>
      </c>
      <c r="K342" t="n">
        <v>1</v>
      </c>
      <c r="L342" t="n">
        <v>0</v>
      </c>
      <c r="M342" t="n">
        <v>0</v>
      </c>
      <c r="N342" t="n">
        <v>0</v>
      </c>
      <c r="O342" t="n">
        <v>4</v>
      </c>
      <c r="P342" t="n">
        <v>1</v>
      </c>
      <c r="Q342" t="n">
        <v>6</v>
      </c>
      <c r="R342" s="2" t="inlineStr">
        <is>
          <t>Rynkskinn
Garnlav
Kolflarnlav
Mörk kolflarnlav
Mindre märgborre
Tjäder</t>
        </is>
      </c>
      <c r="S342">
        <f>HYPERLINK("https://klasma.github.io/Logging_2021/artfynd/A 6671-2026 artfynd.xlsx", "A 6671-2026")</f>
        <v/>
      </c>
      <c r="T342">
        <f>HYPERLINK("https://klasma.github.io/Logging_2021/kartor/A 6671-2026 karta.png", "A 6671-2026")</f>
        <v/>
      </c>
      <c r="V342">
        <f>HYPERLINK("https://klasma.github.io/Logging_2021/klagomål/A 6671-2026 FSC-klagomål.docx", "A 6671-2026")</f>
        <v/>
      </c>
      <c r="W342">
        <f>HYPERLINK("https://klasma.github.io/Logging_2021/klagomålsmail/A 6671-2026 FSC-klagomål mail.docx", "A 6671-2026")</f>
        <v/>
      </c>
      <c r="X342">
        <f>HYPERLINK("https://klasma.github.io/Logging_2021/tillsyn/A 6671-2026 tillsynsbegäran.docx", "A 6671-2026")</f>
        <v/>
      </c>
      <c r="Y342">
        <f>HYPERLINK("https://klasma.github.io/Logging_2021/tillsynsmail/A 6671-2026 tillsynsbegäran mail.docx", "A 6671-2026")</f>
        <v/>
      </c>
      <c r="Z342">
        <f>HYPERLINK("https://klasma.github.io/Logging_2021/fåglar/A 6671-2026 prioriterade fågelarter.docx", "A 6671-2026")</f>
        <v/>
      </c>
    </row>
    <row r="343" ht="15" customHeight="1">
      <c r="A343" t="inlineStr">
        <is>
          <t>A 43222-2024</t>
        </is>
      </c>
      <c r="B343" s="1" t="n">
        <v>45567.87177083334</v>
      </c>
      <c r="C343" s="1" t="n">
        <v>46114</v>
      </c>
      <c r="D343" t="inlineStr">
        <is>
          <t>DALARNAS LÄN</t>
        </is>
      </c>
      <c r="E343" t="inlineStr">
        <is>
          <t>LEKSAND</t>
        </is>
      </c>
      <c r="F343" t="inlineStr">
        <is>
          <t>Bergvik skog väst AB</t>
        </is>
      </c>
      <c r="G343" t="n">
        <v>8.6</v>
      </c>
      <c r="H343" t="n">
        <v>2</v>
      </c>
      <c r="I343" t="n">
        <v>2</v>
      </c>
      <c r="J343" t="n">
        <v>3</v>
      </c>
      <c r="K343" t="n">
        <v>0</v>
      </c>
      <c r="L343" t="n">
        <v>0</v>
      </c>
      <c r="M343" t="n">
        <v>0</v>
      </c>
      <c r="N343" t="n">
        <v>0</v>
      </c>
      <c r="O343" t="n">
        <v>3</v>
      </c>
      <c r="P343" t="n">
        <v>0</v>
      </c>
      <c r="Q343" t="n">
        <v>6</v>
      </c>
      <c r="R343" s="2" t="inlineStr">
        <is>
          <t>Garnlav
Spillkråka
Vintertagging
Bronshjon
Mindre märgborre
Tjäder</t>
        </is>
      </c>
      <c r="S343">
        <f>HYPERLINK("https://klasma.github.io/Logging_2029/artfynd/A 43222-2024 artfynd.xlsx", "A 43222-2024")</f>
        <v/>
      </c>
      <c r="T343">
        <f>HYPERLINK("https://klasma.github.io/Logging_2029/kartor/A 43222-2024 karta.png", "A 43222-2024")</f>
        <v/>
      </c>
      <c r="V343">
        <f>HYPERLINK("https://klasma.github.io/Logging_2029/klagomål/A 43222-2024 FSC-klagomål.docx", "A 43222-2024")</f>
        <v/>
      </c>
      <c r="W343">
        <f>HYPERLINK("https://klasma.github.io/Logging_2029/klagomålsmail/A 43222-2024 FSC-klagomål mail.docx", "A 43222-2024")</f>
        <v/>
      </c>
      <c r="X343">
        <f>HYPERLINK("https://klasma.github.io/Logging_2029/tillsyn/A 43222-2024 tillsynsbegäran.docx", "A 43222-2024")</f>
        <v/>
      </c>
      <c r="Y343">
        <f>HYPERLINK("https://klasma.github.io/Logging_2029/tillsynsmail/A 43222-2024 tillsynsbegäran mail.docx", "A 43222-2024")</f>
        <v/>
      </c>
      <c r="Z343">
        <f>HYPERLINK("https://klasma.github.io/Logging_2029/fåglar/A 43222-2024 prioriterade fågelarter.docx", "A 43222-2024")</f>
        <v/>
      </c>
    </row>
    <row r="344" ht="15" customHeight="1">
      <c r="A344" t="inlineStr">
        <is>
          <t>A 40765-2025</t>
        </is>
      </c>
      <c r="B344" s="1" t="n">
        <v>45897</v>
      </c>
      <c r="C344" s="1" t="n">
        <v>46114</v>
      </c>
      <c r="D344" t="inlineStr">
        <is>
          <t>DALARNAS LÄN</t>
        </is>
      </c>
      <c r="E344" t="inlineStr">
        <is>
          <t>HEDEMORA</t>
        </is>
      </c>
      <c r="G344" t="n">
        <v>3.4</v>
      </c>
      <c r="H344" t="n">
        <v>6</v>
      </c>
      <c r="I344" t="n">
        <v>0</v>
      </c>
      <c r="J344" t="n">
        <v>1</v>
      </c>
      <c r="K344" t="n">
        <v>1</v>
      </c>
      <c r="L344" t="n">
        <v>0</v>
      </c>
      <c r="M344" t="n">
        <v>0</v>
      </c>
      <c r="N344" t="n">
        <v>0</v>
      </c>
      <c r="O344" t="n">
        <v>2</v>
      </c>
      <c r="P344" t="n">
        <v>1</v>
      </c>
      <c r="Q344" t="n">
        <v>6</v>
      </c>
      <c r="R344" s="2" t="inlineStr">
        <is>
          <t>Knärot
Talltita
Grönsiska
Kungsfågel
Fläcknycklar
Revlummer</t>
        </is>
      </c>
      <c r="S344">
        <f>HYPERLINK("https://klasma.github.io/Logging_2083/artfynd/A 40765-2025 artfynd.xlsx", "A 40765-2025")</f>
        <v/>
      </c>
      <c r="T344">
        <f>HYPERLINK("https://klasma.github.io/Logging_2083/kartor/A 40765-2025 karta.png", "A 40765-2025")</f>
        <v/>
      </c>
      <c r="U344">
        <f>HYPERLINK("https://klasma.github.io/Logging_2083/knärot/A 40765-2025 karta knärot.png", "A 40765-2025")</f>
        <v/>
      </c>
      <c r="V344">
        <f>HYPERLINK("https://klasma.github.io/Logging_2083/klagomål/A 40765-2025 FSC-klagomål.docx", "A 40765-2025")</f>
        <v/>
      </c>
      <c r="W344">
        <f>HYPERLINK("https://klasma.github.io/Logging_2083/klagomålsmail/A 40765-2025 FSC-klagomål mail.docx", "A 40765-2025")</f>
        <v/>
      </c>
      <c r="X344">
        <f>HYPERLINK("https://klasma.github.io/Logging_2083/tillsyn/A 40765-2025 tillsynsbegäran.docx", "A 40765-2025")</f>
        <v/>
      </c>
      <c r="Y344">
        <f>HYPERLINK("https://klasma.github.io/Logging_2083/tillsynsmail/A 40765-2025 tillsynsbegäran mail.docx", "A 40765-2025")</f>
        <v/>
      </c>
      <c r="Z344">
        <f>HYPERLINK("https://klasma.github.io/Logging_2083/fåglar/A 40765-2025 prioriterade fågelarter.docx", "A 40765-2025")</f>
        <v/>
      </c>
    </row>
    <row r="345" ht="15" customHeight="1">
      <c r="A345" t="inlineStr">
        <is>
          <t>A 62748-2025</t>
        </is>
      </c>
      <c r="B345" s="1" t="n">
        <v>46008.57913194445</v>
      </c>
      <c r="C345" s="1" t="n">
        <v>46114</v>
      </c>
      <c r="D345" t="inlineStr">
        <is>
          <t>DALARNAS LÄN</t>
        </is>
      </c>
      <c r="E345" t="inlineStr">
        <is>
          <t>ORSA</t>
        </is>
      </c>
      <c r="G345" t="n">
        <v>10.8</v>
      </c>
      <c r="H345" t="n">
        <v>1</v>
      </c>
      <c r="I345" t="n">
        <v>2</v>
      </c>
      <c r="J345" t="n">
        <v>4</v>
      </c>
      <c r="K345" t="n">
        <v>0</v>
      </c>
      <c r="L345" t="n">
        <v>0</v>
      </c>
      <c r="M345" t="n">
        <v>0</v>
      </c>
      <c r="N345" t="n">
        <v>0</v>
      </c>
      <c r="O345" t="n">
        <v>4</v>
      </c>
      <c r="P345" t="n">
        <v>0</v>
      </c>
      <c r="Q345" t="n">
        <v>6</v>
      </c>
      <c r="R345" s="2" t="inlineStr">
        <is>
          <t>Garnlav
Mörk kolflarnlav
Tretåig hackspett
Violettgrå tagellav
Bronshjon
Mindre märgborre</t>
        </is>
      </c>
      <c r="S345">
        <f>HYPERLINK("https://klasma.github.io/Logging_2034/artfynd/A 62748-2025 artfynd.xlsx", "A 62748-2025")</f>
        <v/>
      </c>
      <c r="T345">
        <f>HYPERLINK("https://klasma.github.io/Logging_2034/kartor/A 62748-2025 karta.png", "A 62748-2025")</f>
        <v/>
      </c>
      <c r="V345">
        <f>HYPERLINK("https://klasma.github.io/Logging_2034/klagomål/A 62748-2025 FSC-klagomål.docx", "A 62748-2025")</f>
        <v/>
      </c>
      <c r="W345">
        <f>HYPERLINK("https://klasma.github.io/Logging_2034/klagomålsmail/A 62748-2025 FSC-klagomål mail.docx", "A 62748-2025")</f>
        <v/>
      </c>
      <c r="X345">
        <f>HYPERLINK("https://klasma.github.io/Logging_2034/tillsyn/A 62748-2025 tillsynsbegäran.docx", "A 62748-2025")</f>
        <v/>
      </c>
      <c r="Y345">
        <f>HYPERLINK("https://klasma.github.io/Logging_2034/tillsynsmail/A 62748-2025 tillsynsbegäran mail.docx", "A 62748-2025")</f>
        <v/>
      </c>
      <c r="Z345">
        <f>HYPERLINK("https://klasma.github.io/Logging_2034/fåglar/A 62748-2025 prioriterade fågelarter.docx", "A 62748-2025")</f>
        <v/>
      </c>
    </row>
    <row r="346" ht="15" customHeight="1">
      <c r="A346" t="inlineStr">
        <is>
          <t>A 62154-2025</t>
        </is>
      </c>
      <c r="B346" s="1" t="n">
        <v>46006.48664351852</v>
      </c>
      <c r="C346" s="1" t="n">
        <v>46114</v>
      </c>
      <c r="D346" t="inlineStr">
        <is>
          <t>DALARNAS LÄN</t>
        </is>
      </c>
      <c r="E346" t="inlineStr">
        <is>
          <t>MORA</t>
        </is>
      </c>
      <c r="G346" t="n">
        <v>7.2</v>
      </c>
      <c r="H346" t="n">
        <v>2</v>
      </c>
      <c r="I346" t="n">
        <v>3</v>
      </c>
      <c r="J346" t="n">
        <v>3</v>
      </c>
      <c r="K346" t="n">
        <v>0</v>
      </c>
      <c r="L346" t="n">
        <v>0</v>
      </c>
      <c r="M346" t="n">
        <v>0</v>
      </c>
      <c r="N346" t="n">
        <v>0</v>
      </c>
      <c r="O346" t="n">
        <v>3</v>
      </c>
      <c r="P346" t="n">
        <v>0</v>
      </c>
      <c r="Q346" t="n">
        <v>6</v>
      </c>
      <c r="R346" s="2" t="inlineStr">
        <is>
          <t>Garnlav
Spillkråka
Tretåig hackspett
Bronshjon
Mindre märgborre
Vågbandad barkbock</t>
        </is>
      </c>
      <c r="S346">
        <f>HYPERLINK("https://klasma.github.io/Logging_2062/artfynd/A 62154-2025 artfynd.xlsx", "A 62154-2025")</f>
        <v/>
      </c>
      <c r="T346">
        <f>HYPERLINK("https://klasma.github.io/Logging_2062/kartor/A 62154-2025 karta.png", "A 62154-2025")</f>
        <v/>
      </c>
      <c r="V346">
        <f>HYPERLINK("https://klasma.github.io/Logging_2062/klagomål/A 62154-2025 FSC-klagomål.docx", "A 62154-2025")</f>
        <v/>
      </c>
      <c r="W346">
        <f>HYPERLINK("https://klasma.github.io/Logging_2062/klagomålsmail/A 62154-2025 FSC-klagomål mail.docx", "A 62154-2025")</f>
        <v/>
      </c>
      <c r="X346">
        <f>HYPERLINK("https://klasma.github.io/Logging_2062/tillsyn/A 62154-2025 tillsynsbegäran.docx", "A 62154-2025")</f>
        <v/>
      </c>
      <c r="Y346">
        <f>HYPERLINK("https://klasma.github.io/Logging_2062/tillsynsmail/A 62154-2025 tillsynsbegäran mail.docx", "A 62154-2025")</f>
        <v/>
      </c>
      <c r="Z346">
        <f>HYPERLINK("https://klasma.github.io/Logging_2062/fåglar/A 62154-2025 prioriterade fågelarter.docx", "A 62154-2025")</f>
        <v/>
      </c>
    </row>
    <row r="347" ht="15" customHeight="1">
      <c r="A347" t="inlineStr">
        <is>
          <t>A 22195-2025</t>
        </is>
      </c>
      <c r="B347" s="1" t="n">
        <v>45785</v>
      </c>
      <c r="C347" s="1" t="n">
        <v>46114</v>
      </c>
      <c r="D347" t="inlineStr">
        <is>
          <t>DALARNAS LÄN</t>
        </is>
      </c>
      <c r="E347" t="inlineStr">
        <is>
          <t>LUDVIKA</t>
        </is>
      </c>
      <c r="G347" t="n">
        <v>7.4</v>
      </c>
      <c r="H347" t="n">
        <v>5</v>
      </c>
      <c r="I347" t="n">
        <v>0</v>
      </c>
      <c r="J347" t="n">
        <v>5</v>
      </c>
      <c r="K347" t="n">
        <v>0</v>
      </c>
      <c r="L347" t="n">
        <v>0</v>
      </c>
      <c r="M347" t="n">
        <v>0</v>
      </c>
      <c r="N347" t="n">
        <v>0</v>
      </c>
      <c r="O347" t="n">
        <v>5</v>
      </c>
      <c r="P347" t="n">
        <v>0</v>
      </c>
      <c r="Q347" t="n">
        <v>6</v>
      </c>
      <c r="R347" s="2" t="inlineStr">
        <is>
          <t>Entita
Garnlav
Spillkråka
Talltita
Tretåig hackspett
Tjäder</t>
        </is>
      </c>
      <c r="S347">
        <f>HYPERLINK("https://klasma.github.io/Logging_2085/artfynd/A 22195-2025 artfynd.xlsx", "A 22195-2025")</f>
        <v/>
      </c>
      <c r="T347">
        <f>HYPERLINK("https://klasma.github.io/Logging_2085/kartor/A 22195-2025 karta.png", "A 22195-2025")</f>
        <v/>
      </c>
      <c r="V347">
        <f>HYPERLINK("https://klasma.github.io/Logging_2085/klagomål/A 22195-2025 FSC-klagomål.docx", "A 22195-2025")</f>
        <v/>
      </c>
      <c r="W347">
        <f>HYPERLINK("https://klasma.github.io/Logging_2085/klagomålsmail/A 22195-2025 FSC-klagomål mail.docx", "A 22195-2025")</f>
        <v/>
      </c>
      <c r="X347">
        <f>HYPERLINK("https://klasma.github.io/Logging_2085/tillsyn/A 22195-2025 tillsynsbegäran.docx", "A 22195-2025")</f>
        <v/>
      </c>
      <c r="Y347">
        <f>HYPERLINK("https://klasma.github.io/Logging_2085/tillsynsmail/A 22195-2025 tillsynsbegäran mail.docx", "A 22195-2025")</f>
        <v/>
      </c>
      <c r="Z347">
        <f>HYPERLINK("https://klasma.github.io/Logging_2085/fåglar/A 22195-2025 prioriterade fågelarter.docx", "A 22195-2025")</f>
        <v/>
      </c>
    </row>
    <row r="348" ht="15" customHeight="1">
      <c r="A348" t="inlineStr">
        <is>
          <t>A 6189-2026</t>
        </is>
      </c>
      <c r="B348" s="1" t="n">
        <v>46055.38225694445</v>
      </c>
      <c r="C348" s="1" t="n">
        <v>46114</v>
      </c>
      <c r="D348" t="inlineStr">
        <is>
          <t>DALARNAS LÄN</t>
        </is>
      </c>
      <c r="E348" t="inlineStr">
        <is>
          <t>MALUNG-SÄLEN</t>
        </is>
      </c>
      <c r="G348" t="n">
        <v>13.4</v>
      </c>
      <c r="H348" t="n">
        <v>1</v>
      </c>
      <c r="I348" t="n">
        <v>1</v>
      </c>
      <c r="J348" t="n">
        <v>4</v>
      </c>
      <c r="K348" t="n">
        <v>1</v>
      </c>
      <c r="L348" t="n">
        <v>0</v>
      </c>
      <c r="M348" t="n">
        <v>0</v>
      </c>
      <c r="N348" t="n">
        <v>0</v>
      </c>
      <c r="O348" t="n">
        <v>5</v>
      </c>
      <c r="P348" t="n">
        <v>1</v>
      </c>
      <c r="Q348" t="n">
        <v>6</v>
      </c>
      <c r="R348" s="2" t="inlineStr">
        <is>
          <t>Smalfotad taggsvamp
Dvärgbägarlav
Talltita
Vedskivlav
Violettgrå tagellav
Dropptaggsvamp</t>
        </is>
      </c>
      <c r="S348">
        <f>HYPERLINK("https://klasma.github.io/Logging_2023/artfynd/A 6189-2026 artfynd.xlsx", "A 6189-2026")</f>
        <v/>
      </c>
      <c r="T348">
        <f>HYPERLINK("https://klasma.github.io/Logging_2023/kartor/A 6189-2026 karta.png", "A 6189-2026")</f>
        <v/>
      </c>
      <c r="V348">
        <f>HYPERLINK("https://klasma.github.io/Logging_2023/klagomål/A 6189-2026 FSC-klagomål.docx", "A 6189-2026")</f>
        <v/>
      </c>
      <c r="W348">
        <f>HYPERLINK("https://klasma.github.io/Logging_2023/klagomålsmail/A 6189-2026 FSC-klagomål mail.docx", "A 6189-2026")</f>
        <v/>
      </c>
      <c r="X348">
        <f>HYPERLINK("https://klasma.github.io/Logging_2023/tillsyn/A 6189-2026 tillsynsbegäran.docx", "A 6189-2026")</f>
        <v/>
      </c>
      <c r="Y348">
        <f>HYPERLINK("https://klasma.github.io/Logging_2023/tillsynsmail/A 6189-2026 tillsynsbegäran mail.docx", "A 6189-2026")</f>
        <v/>
      </c>
      <c r="Z348">
        <f>HYPERLINK("https://klasma.github.io/Logging_2023/fåglar/A 6189-2026 prioriterade fågelarter.docx", "A 6189-2026")</f>
        <v/>
      </c>
    </row>
    <row r="349" ht="15" customHeight="1">
      <c r="A349" t="inlineStr">
        <is>
          <t>A 22701-2024</t>
        </is>
      </c>
      <c r="B349" s="1" t="n">
        <v>45448</v>
      </c>
      <c r="C349" s="1" t="n">
        <v>46114</v>
      </c>
      <c r="D349" t="inlineStr">
        <is>
          <t>DALARNAS LÄN</t>
        </is>
      </c>
      <c r="E349" t="inlineStr">
        <is>
          <t>ÄLVDALEN</t>
        </is>
      </c>
      <c r="F349" t="inlineStr">
        <is>
          <t>Sveaskog</t>
        </is>
      </c>
      <c r="G349" t="n">
        <v>2.7</v>
      </c>
      <c r="H349" t="n">
        <v>0</v>
      </c>
      <c r="I349" t="n">
        <v>2</v>
      </c>
      <c r="J349" t="n">
        <v>1</v>
      </c>
      <c r="K349" t="n">
        <v>3</v>
      </c>
      <c r="L349" t="n">
        <v>0</v>
      </c>
      <c r="M349" t="n">
        <v>0</v>
      </c>
      <c r="N349" t="n">
        <v>0</v>
      </c>
      <c r="O349" t="n">
        <v>4</v>
      </c>
      <c r="P349" t="n">
        <v>3</v>
      </c>
      <c r="Q349" t="n">
        <v>6</v>
      </c>
      <c r="R349" s="2" t="inlineStr">
        <is>
          <t>Smalfotad taggsvamp
Tajgataggsvamp
Tallstocksticka
Dvärgbägarlav
Dropptaggsvamp
Skarp dropptaggsvamp</t>
        </is>
      </c>
      <c r="S349">
        <f>HYPERLINK("https://klasma.github.io/Logging_2039/artfynd/A 22701-2024 artfynd.xlsx", "A 22701-2024")</f>
        <v/>
      </c>
      <c r="T349">
        <f>HYPERLINK("https://klasma.github.io/Logging_2039/kartor/A 22701-2024 karta.png", "A 22701-2024")</f>
        <v/>
      </c>
      <c r="V349">
        <f>HYPERLINK("https://klasma.github.io/Logging_2039/klagomål/A 22701-2024 FSC-klagomål.docx", "A 22701-2024")</f>
        <v/>
      </c>
      <c r="W349">
        <f>HYPERLINK("https://klasma.github.io/Logging_2039/klagomålsmail/A 22701-2024 FSC-klagomål mail.docx", "A 22701-2024")</f>
        <v/>
      </c>
      <c r="X349">
        <f>HYPERLINK("https://klasma.github.io/Logging_2039/tillsyn/A 22701-2024 tillsynsbegäran.docx", "A 22701-2024")</f>
        <v/>
      </c>
      <c r="Y349">
        <f>HYPERLINK("https://klasma.github.io/Logging_2039/tillsynsmail/A 22701-2024 tillsynsbegäran mail.docx", "A 22701-2024")</f>
        <v/>
      </c>
    </row>
    <row r="350" ht="15" customHeight="1">
      <c r="A350" t="inlineStr">
        <is>
          <t>A 48476-2024</t>
        </is>
      </c>
      <c r="B350" s="1" t="n">
        <v>45591</v>
      </c>
      <c r="C350" s="1" t="n">
        <v>46114</v>
      </c>
      <c r="D350" t="inlineStr">
        <is>
          <t>DALARNAS LÄN</t>
        </is>
      </c>
      <c r="E350" t="inlineStr">
        <is>
          <t>FALUN</t>
        </is>
      </c>
      <c r="G350" t="n">
        <v>4.3</v>
      </c>
      <c r="H350" t="n">
        <v>2</v>
      </c>
      <c r="I350" t="n">
        <v>1</v>
      </c>
      <c r="J350" t="n">
        <v>2</v>
      </c>
      <c r="K350" t="n">
        <v>2</v>
      </c>
      <c r="L350" t="n">
        <v>0</v>
      </c>
      <c r="M350" t="n">
        <v>0</v>
      </c>
      <c r="N350" t="n">
        <v>0</v>
      </c>
      <c r="O350" t="n">
        <v>4</v>
      </c>
      <c r="P350" t="n">
        <v>2</v>
      </c>
      <c r="Q350" t="n">
        <v>6</v>
      </c>
      <c r="R350" s="2" t="inlineStr">
        <is>
          <t>Knärot
Rynkskinn
Garnlav
Ullticka
Grönpyrola
Revlummer</t>
        </is>
      </c>
      <c r="S350">
        <f>HYPERLINK("https://klasma.github.io/Logging_2080/artfynd/A 48476-2024 artfynd.xlsx", "A 48476-2024")</f>
        <v/>
      </c>
      <c r="T350">
        <f>HYPERLINK("https://klasma.github.io/Logging_2080/kartor/A 48476-2024 karta.png", "A 48476-2024")</f>
        <v/>
      </c>
      <c r="U350">
        <f>HYPERLINK("https://klasma.github.io/Logging_2080/knärot/A 48476-2024 karta knärot.png", "A 48476-2024")</f>
        <v/>
      </c>
      <c r="V350">
        <f>HYPERLINK("https://klasma.github.io/Logging_2080/klagomål/A 48476-2024 FSC-klagomål.docx", "A 48476-2024")</f>
        <v/>
      </c>
      <c r="W350">
        <f>HYPERLINK("https://klasma.github.io/Logging_2080/klagomålsmail/A 48476-2024 FSC-klagomål mail.docx", "A 48476-2024")</f>
        <v/>
      </c>
      <c r="X350">
        <f>HYPERLINK("https://klasma.github.io/Logging_2080/tillsyn/A 48476-2024 tillsynsbegäran.docx", "A 48476-2024")</f>
        <v/>
      </c>
      <c r="Y350">
        <f>HYPERLINK("https://klasma.github.io/Logging_2080/tillsynsmail/A 48476-2024 tillsynsbegäran mail.docx", "A 48476-2024")</f>
        <v/>
      </c>
    </row>
    <row r="351" ht="15" customHeight="1">
      <c r="A351" t="inlineStr">
        <is>
          <t>A 20728-2023</t>
        </is>
      </c>
      <c r="B351" s="1" t="n">
        <v>45055</v>
      </c>
      <c r="C351" s="1" t="n">
        <v>46114</v>
      </c>
      <c r="D351" t="inlineStr">
        <is>
          <t>DALARNAS LÄN</t>
        </is>
      </c>
      <c r="E351" t="inlineStr">
        <is>
          <t>GAGNEF</t>
        </is>
      </c>
      <c r="G351" t="n">
        <v>5.9</v>
      </c>
      <c r="H351" t="n">
        <v>3</v>
      </c>
      <c r="I351" t="n">
        <v>0</v>
      </c>
      <c r="J351" t="n">
        <v>5</v>
      </c>
      <c r="K351" t="n">
        <v>1</v>
      </c>
      <c r="L351" t="n">
        <v>0</v>
      </c>
      <c r="M351" t="n">
        <v>0</v>
      </c>
      <c r="N351" t="n">
        <v>0</v>
      </c>
      <c r="O351" t="n">
        <v>6</v>
      </c>
      <c r="P351" t="n">
        <v>1</v>
      </c>
      <c r="Q351" t="n">
        <v>6</v>
      </c>
      <c r="R351" s="2" t="inlineStr">
        <is>
          <t>Knärot
Garnlav
Rosenticka
Spillkråka
Tretåig hackspett
Ullticka</t>
        </is>
      </c>
      <c r="S351">
        <f>HYPERLINK("https://klasma.github.io/Logging_2026/artfynd/A 20728-2023 artfynd.xlsx", "A 20728-2023")</f>
        <v/>
      </c>
      <c r="T351">
        <f>HYPERLINK("https://klasma.github.io/Logging_2026/kartor/A 20728-2023 karta.png", "A 20728-2023")</f>
        <v/>
      </c>
      <c r="U351">
        <f>HYPERLINK("https://klasma.github.io/Logging_2026/knärot/A 20728-2023 karta knärot.png", "A 20728-2023")</f>
        <v/>
      </c>
      <c r="V351">
        <f>HYPERLINK("https://klasma.github.io/Logging_2026/klagomål/A 20728-2023 FSC-klagomål.docx", "A 20728-2023")</f>
        <v/>
      </c>
      <c r="W351">
        <f>HYPERLINK("https://klasma.github.io/Logging_2026/klagomålsmail/A 20728-2023 FSC-klagomål mail.docx", "A 20728-2023")</f>
        <v/>
      </c>
      <c r="X351">
        <f>HYPERLINK("https://klasma.github.io/Logging_2026/tillsyn/A 20728-2023 tillsynsbegäran.docx", "A 20728-2023")</f>
        <v/>
      </c>
      <c r="Y351">
        <f>HYPERLINK("https://klasma.github.io/Logging_2026/tillsynsmail/A 20728-2023 tillsynsbegäran mail.docx", "A 20728-2023")</f>
        <v/>
      </c>
      <c r="Z351">
        <f>HYPERLINK("https://klasma.github.io/Logging_2026/fåglar/A 20728-2023 prioriterade fågelarter.docx", "A 20728-2023")</f>
        <v/>
      </c>
    </row>
    <row r="352" ht="15" customHeight="1">
      <c r="A352" t="inlineStr">
        <is>
          <t>A 5462-2024</t>
        </is>
      </c>
      <c r="B352" s="1" t="n">
        <v>45332</v>
      </c>
      <c r="C352" s="1" t="n">
        <v>46114</v>
      </c>
      <c r="D352" t="inlineStr">
        <is>
          <t>DALARNAS LÄN</t>
        </is>
      </c>
      <c r="E352" t="inlineStr">
        <is>
          <t>FALUN</t>
        </is>
      </c>
      <c r="F352" t="inlineStr">
        <is>
          <t>Kyrkan</t>
        </is>
      </c>
      <c r="G352" t="n">
        <v>11.1</v>
      </c>
      <c r="H352" t="n">
        <v>0</v>
      </c>
      <c r="I352" t="n">
        <v>2</v>
      </c>
      <c r="J352" t="n">
        <v>4</v>
      </c>
      <c r="K352" t="n">
        <v>0</v>
      </c>
      <c r="L352" t="n">
        <v>0</v>
      </c>
      <c r="M352" t="n">
        <v>0</v>
      </c>
      <c r="N352" t="n">
        <v>0</v>
      </c>
      <c r="O352" t="n">
        <v>4</v>
      </c>
      <c r="P352" t="n">
        <v>0</v>
      </c>
      <c r="Q352" t="n">
        <v>6</v>
      </c>
      <c r="R352" s="2" t="inlineStr">
        <is>
          <t>Garnlav
Liten svartspik
Vitgrynig nållav
Vitplätt
Dropptaggsvamp
Mindre märgborre</t>
        </is>
      </c>
      <c r="S352">
        <f>HYPERLINK("https://klasma.github.io/Logging_2080/artfynd/A 5462-2024 artfynd.xlsx", "A 5462-2024")</f>
        <v/>
      </c>
      <c r="T352">
        <f>HYPERLINK("https://klasma.github.io/Logging_2080/kartor/A 5462-2024 karta.png", "A 5462-2024")</f>
        <v/>
      </c>
      <c r="V352">
        <f>HYPERLINK("https://klasma.github.io/Logging_2080/klagomål/A 5462-2024 FSC-klagomål.docx", "A 5462-2024")</f>
        <v/>
      </c>
      <c r="W352">
        <f>HYPERLINK("https://klasma.github.io/Logging_2080/klagomålsmail/A 5462-2024 FSC-klagomål mail.docx", "A 5462-2024")</f>
        <v/>
      </c>
      <c r="X352">
        <f>HYPERLINK("https://klasma.github.io/Logging_2080/tillsyn/A 5462-2024 tillsynsbegäran.docx", "A 5462-2024")</f>
        <v/>
      </c>
      <c r="Y352">
        <f>HYPERLINK("https://klasma.github.io/Logging_2080/tillsynsmail/A 5462-2024 tillsynsbegäran mail.docx", "A 5462-2024")</f>
        <v/>
      </c>
    </row>
    <row r="353" ht="15" customHeight="1">
      <c r="A353" t="inlineStr">
        <is>
          <t>A 34447-2024</t>
        </is>
      </c>
      <c r="B353" s="1" t="n">
        <v>45525</v>
      </c>
      <c r="C353" s="1" t="n">
        <v>46114</v>
      </c>
      <c r="D353" t="inlineStr">
        <is>
          <t>DALARNAS LÄN</t>
        </is>
      </c>
      <c r="E353" t="inlineStr">
        <is>
          <t>MORA</t>
        </is>
      </c>
      <c r="G353" t="n">
        <v>8.300000000000001</v>
      </c>
      <c r="H353" t="n">
        <v>0</v>
      </c>
      <c r="I353" t="n">
        <v>0</v>
      </c>
      <c r="J353" t="n">
        <v>6</v>
      </c>
      <c r="K353" t="n">
        <v>0</v>
      </c>
      <c r="L353" t="n">
        <v>0</v>
      </c>
      <c r="M353" t="n">
        <v>0</v>
      </c>
      <c r="N353" t="n">
        <v>0</v>
      </c>
      <c r="O353" t="n">
        <v>6</v>
      </c>
      <c r="P353" t="n">
        <v>0</v>
      </c>
      <c r="Q353" t="n">
        <v>6</v>
      </c>
      <c r="R353" s="2" t="inlineStr">
        <is>
          <t>Dvärgbägarlav
Garnlav
Kolflarnlav
Mörk kolflarnlav
Vedflamlav
Vedskivlav</t>
        </is>
      </c>
      <c r="S353">
        <f>HYPERLINK("https://klasma.github.io/Logging_2062/artfynd/A 34447-2024 artfynd.xlsx", "A 34447-2024")</f>
        <v/>
      </c>
      <c r="T353">
        <f>HYPERLINK("https://klasma.github.io/Logging_2062/kartor/A 34447-2024 karta.png", "A 34447-2024")</f>
        <v/>
      </c>
      <c r="V353">
        <f>HYPERLINK("https://klasma.github.io/Logging_2062/klagomål/A 34447-2024 FSC-klagomål.docx", "A 34447-2024")</f>
        <v/>
      </c>
      <c r="W353">
        <f>HYPERLINK("https://klasma.github.io/Logging_2062/klagomålsmail/A 34447-2024 FSC-klagomål mail.docx", "A 34447-2024")</f>
        <v/>
      </c>
      <c r="X353">
        <f>HYPERLINK("https://klasma.github.io/Logging_2062/tillsyn/A 34447-2024 tillsynsbegäran.docx", "A 34447-2024")</f>
        <v/>
      </c>
      <c r="Y353">
        <f>HYPERLINK("https://klasma.github.io/Logging_2062/tillsynsmail/A 34447-2024 tillsynsbegäran mail.docx", "A 34447-2024")</f>
        <v/>
      </c>
    </row>
    <row r="354" ht="15" customHeight="1">
      <c r="A354" t="inlineStr">
        <is>
          <t>A 25287-2025</t>
        </is>
      </c>
      <c r="B354" s="1" t="n">
        <v>45800</v>
      </c>
      <c r="C354" s="1" t="n">
        <v>46114</v>
      </c>
      <c r="D354" t="inlineStr">
        <is>
          <t>DALARNAS LÄN</t>
        </is>
      </c>
      <c r="E354" t="inlineStr">
        <is>
          <t>LUDVIKA</t>
        </is>
      </c>
      <c r="F354" t="inlineStr">
        <is>
          <t>Bergvik skog väst AB</t>
        </is>
      </c>
      <c r="G354" t="n">
        <v>8.6</v>
      </c>
      <c r="H354" t="n">
        <v>2</v>
      </c>
      <c r="I354" t="n">
        <v>1</v>
      </c>
      <c r="J354" t="n">
        <v>5</v>
      </c>
      <c r="K354" t="n">
        <v>0</v>
      </c>
      <c r="L354" t="n">
        <v>0</v>
      </c>
      <c r="M354" t="n">
        <v>0</v>
      </c>
      <c r="N354" t="n">
        <v>0</v>
      </c>
      <c r="O354" t="n">
        <v>5</v>
      </c>
      <c r="P354" t="n">
        <v>0</v>
      </c>
      <c r="Q354" t="n">
        <v>6</v>
      </c>
      <c r="R354" s="2" t="inlineStr">
        <is>
          <t>Garnlav
Kolflarnlav
Talltita
Tretåig hackspett
Vedskivlav
Nästlav</t>
        </is>
      </c>
      <c r="S354">
        <f>HYPERLINK("https://klasma.github.io/Logging_2085/artfynd/A 25287-2025 artfynd.xlsx", "A 25287-2025")</f>
        <v/>
      </c>
      <c r="T354">
        <f>HYPERLINK("https://klasma.github.io/Logging_2085/kartor/A 25287-2025 karta.png", "A 25287-2025")</f>
        <v/>
      </c>
      <c r="V354">
        <f>HYPERLINK("https://klasma.github.io/Logging_2085/klagomål/A 25287-2025 FSC-klagomål.docx", "A 25287-2025")</f>
        <v/>
      </c>
      <c r="W354">
        <f>HYPERLINK("https://klasma.github.io/Logging_2085/klagomålsmail/A 25287-2025 FSC-klagomål mail.docx", "A 25287-2025")</f>
        <v/>
      </c>
      <c r="X354">
        <f>HYPERLINK("https://klasma.github.io/Logging_2085/tillsyn/A 25287-2025 tillsynsbegäran.docx", "A 25287-2025")</f>
        <v/>
      </c>
      <c r="Y354">
        <f>HYPERLINK("https://klasma.github.io/Logging_2085/tillsynsmail/A 25287-2025 tillsynsbegäran mail.docx", "A 25287-2025")</f>
        <v/>
      </c>
      <c r="Z354">
        <f>HYPERLINK("https://klasma.github.io/Logging_2085/fåglar/A 25287-2025 prioriterade fågelarter.docx", "A 25287-2025")</f>
        <v/>
      </c>
    </row>
    <row r="355" ht="15" customHeight="1">
      <c r="A355" t="inlineStr">
        <is>
          <t>A 31631-2025</t>
        </is>
      </c>
      <c r="B355" s="1" t="n">
        <v>45834</v>
      </c>
      <c r="C355" s="1" t="n">
        <v>46114</v>
      </c>
      <c r="D355" t="inlineStr">
        <is>
          <t>DALARNAS LÄN</t>
        </is>
      </c>
      <c r="E355" t="inlineStr">
        <is>
          <t>ÄLVDALEN</t>
        </is>
      </c>
      <c r="F355" t="inlineStr">
        <is>
          <t>Sveaskog</t>
        </is>
      </c>
      <c r="G355" t="n">
        <v>9</v>
      </c>
      <c r="H355" t="n">
        <v>0</v>
      </c>
      <c r="I355" t="n">
        <v>1</v>
      </c>
      <c r="J355" t="n">
        <v>5</v>
      </c>
      <c r="K355" t="n">
        <v>0</v>
      </c>
      <c r="L355" t="n">
        <v>0</v>
      </c>
      <c r="M355" t="n">
        <v>0</v>
      </c>
      <c r="N355" t="n">
        <v>0</v>
      </c>
      <c r="O355" t="n">
        <v>5</v>
      </c>
      <c r="P355" t="n">
        <v>0</v>
      </c>
      <c r="Q355" t="n">
        <v>6</v>
      </c>
      <c r="R355" s="2" t="inlineStr">
        <is>
          <t>Dvärgbägarlav
Kolflarnlav
Lunglav
Mörk kolflarnlav
Vedflamlav
Dropptaggsvamp</t>
        </is>
      </c>
      <c r="S355">
        <f>HYPERLINK("https://klasma.github.io/Logging_2039/artfynd/A 31631-2025 artfynd.xlsx", "A 31631-2025")</f>
        <v/>
      </c>
      <c r="T355">
        <f>HYPERLINK("https://klasma.github.io/Logging_2039/kartor/A 31631-2025 karta.png", "A 31631-2025")</f>
        <v/>
      </c>
      <c r="V355">
        <f>HYPERLINK("https://klasma.github.io/Logging_2039/klagomål/A 31631-2025 FSC-klagomål.docx", "A 31631-2025")</f>
        <v/>
      </c>
      <c r="W355">
        <f>HYPERLINK("https://klasma.github.io/Logging_2039/klagomålsmail/A 31631-2025 FSC-klagomål mail.docx", "A 31631-2025")</f>
        <v/>
      </c>
      <c r="X355">
        <f>HYPERLINK("https://klasma.github.io/Logging_2039/tillsyn/A 31631-2025 tillsynsbegäran.docx", "A 31631-2025")</f>
        <v/>
      </c>
      <c r="Y355">
        <f>HYPERLINK("https://klasma.github.io/Logging_2039/tillsynsmail/A 31631-2025 tillsynsbegäran mail.docx", "A 31631-2025")</f>
        <v/>
      </c>
    </row>
    <row r="356" ht="15" customHeight="1">
      <c r="A356" t="inlineStr">
        <is>
          <t>A 31821-2025</t>
        </is>
      </c>
      <c r="B356" s="1" t="n">
        <v>45834.57958333333</v>
      </c>
      <c r="C356" s="1" t="n">
        <v>46114</v>
      </c>
      <c r="D356" t="inlineStr">
        <is>
          <t>DALARNAS LÄN</t>
        </is>
      </c>
      <c r="E356" t="inlineStr">
        <is>
          <t>ÄLVDALEN</t>
        </is>
      </c>
      <c r="F356" t="inlineStr">
        <is>
          <t>Allmännings- och besparingsskogar</t>
        </is>
      </c>
      <c r="G356" t="n">
        <v>1.2</v>
      </c>
      <c r="H356" t="n">
        <v>1</v>
      </c>
      <c r="I356" t="n">
        <v>1</v>
      </c>
      <c r="J356" t="n">
        <v>4</v>
      </c>
      <c r="K356" t="n">
        <v>1</v>
      </c>
      <c r="L356" t="n">
        <v>0</v>
      </c>
      <c r="M356" t="n">
        <v>0</v>
      </c>
      <c r="N356" t="n">
        <v>0</v>
      </c>
      <c r="O356" t="n">
        <v>5</v>
      </c>
      <c r="P356" t="n">
        <v>1</v>
      </c>
      <c r="Q356" t="n">
        <v>6</v>
      </c>
      <c r="R356" s="2" t="inlineStr">
        <is>
          <t>Fläckporing
Blanksvart spiklav
Varglav
Vedflamlav
Vedskivlav
Mindre märgborre</t>
        </is>
      </c>
      <c r="S356">
        <f>HYPERLINK("https://klasma.github.io/Logging_2039/artfynd/A 31821-2025 artfynd.xlsx", "A 31821-2025")</f>
        <v/>
      </c>
      <c r="T356">
        <f>HYPERLINK("https://klasma.github.io/Logging_2039/kartor/A 31821-2025 karta.png", "A 31821-2025")</f>
        <v/>
      </c>
      <c r="V356">
        <f>HYPERLINK("https://klasma.github.io/Logging_2039/klagomål/A 31821-2025 FSC-klagomål.docx", "A 31821-2025")</f>
        <v/>
      </c>
      <c r="W356">
        <f>HYPERLINK("https://klasma.github.io/Logging_2039/klagomålsmail/A 31821-2025 FSC-klagomål mail.docx", "A 31821-2025")</f>
        <v/>
      </c>
      <c r="X356">
        <f>HYPERLINK("https://klasma.github.io/Logging_2039/tillsyn/A 31821-2025 tillsynsbegäran.docx", "A 31821-2025")</f>
        <v/>
      </c>
      <c r="Y356">
        <f>HYPERLINK("https://klasma.github.io/Logging_2039/tillsynsmail/A 31821-2025 tillsynsbegäran mail.docx", "A 31821-2025")</f>
        <v/>
      </c>
    </row>
    <row r="357" ht="15" customHeight="1">
      <c r="A357" t="inlineStr">
        <is>
          <t>A 44535-2021</t>
        </is>
      </c>
      <c r="B357" s="1" t="n">
        <v>44435</v>
      </c>
      <c r="C357" s="1" t="n">
        <v>46114</v>
      </c>
      <c r="D357" t="inlineStr">
        <is>
          <t>DALARNAS LÄN</t>
        </is>
      </c>
      <c r="E357" t="inlineStr">
        <is>
          <t>LUDVIKA</t>
        </is>
      </c>
      <c r="G357" t="n">
        <v>3.6</v>
      </c>
      <c r="H357" t="n">
        <v>1</v>
      </c>
      <c r="I357" t="n">
        <v>2</v>
      </c>
      <c r="J357" t="n">
        <v>3</v>
      </c>
      <c r="K357" t="n">
        <v>0</v>
      </c>
      <c r="L357" t="n">
        <v>0</v>
      </c>
      <c r="M357" t="n">
        <v>0</v>
      </c>
      <c r="N357" t="n">
        <v>0</v>
      </c>
      <c r="O357" t="n">
        <v>3</v>
      </c>
      <c r="P357" t="n">
        <v>0</v>
      </c>
      <c r="Q357" t="n">
        <v>5</v>
      </c>
      <c r="R357" s="2" t="inlineStr">
        <is>
          <t>Spillkråka
Svart taggsvamp agg.
Vedskivlav
Dropptaggsvamp
Rävticka</t>
        </is>
      </c>
      <c r="S357">
        <f>HYPERLINK("https://klasma.github.io/Logging_2085/artfynd/A 44535-2021 artfynd.xlsx", "A 44535-2021")</f>
        <v/>
      </c>
      <c r="T357">
        <f>HYPERLINK("https://klasma.github.io/Logging_2085/kartor/A 44535-2021 karta.png", "A 44535-2021")</f>
        <v/>
      </c>
      <c r="V357">
        <f>HYPERLINK("https://klasma.github.io/Logging_2085/klagomål/A 44535-2021 FSC-klagomål.docx", "A 44535-2021")</f>
        <v/>
      </c>
      <c r="W357">
        <f>HYPERLINK("https://klasma.github.io/Logging_2085/klagomålsmail/A 44535-2021 FSC-klagomål mail.docx", "A 44535-2021")</f>
        <v/>
      </c>
      <c r="X357">
        <f>HYPERLINK("https://klasma.github.io/Logging_2085/tillsyn/A 44535-2021 tillsynsbegäran.docx", "A 44535-2021")</f>
        <v/>
      </c>
      <c r="Y357">
        <f>HYPERLINK("https://klasma.github.io/Logging_2085/tillsynsmail/A 44535-2021 tillsynsbegäran mail.docx", "A 44535-2021")</f>
        <v/>
      </c>
      <c r="Z357">
        <f>HYPERLINK("https://klasma.github.io/Logging_2085/fåglar/A 44535-2021 prioriterade fågelarter.docx", "A 44535-2021")</f>
        <v/>
      </c>
    </row>
    <row r="358" ht="15" customHeight="1">
      <c r="A358" t="inlineStr">
        <is>
          <t>A 33841-2023</t>
        </is>
      </c>
      <c r="B358" s="1" t="n">
        <v>45133.66758101852</v>
      </c>
      <c r="C358" s="1" t="n">
        <v>46114</v>
      </c>
      <c r="D358" t="inlineStr">
        <is>
          <t>DALARNAS LÄN</t>
        </is>
      </c>
      <c r="E358" t="inlineStr">
        <is>
          <t>ORSA</t>
        </is>
      </c>
      <c r="G358" t="n">
        <v>3.8</v>
      </c>
      <c r="H358" t="n">
        <v>1</v>
      </c>
      <c r="I358" t="n">
        <v>2</v>
      </c>
      <c r="J358" t="n">
        <v>3</v>
      </c>
      <c r="K358" t="n">
        <v>0</v>
      </c>
      <c r="L358" t="n">
        <v>0</v>
      </c>
      <c r="M358" t="n">
        <v>0</v>
      </c>
      <c r="N358" t="n">
        <v>0</v>
      </c>
      <c r="O358" t="n">
        <v>3</v>
      </c>
      <c r="P358" t="n">
        <v>0</v>
      </c>
      <c r="Q358" t="n">
        <v>5</v>
      </c>
      <c r="R358" s="2" t="inlineStr">
        <is>
          <t>Garnlav
Kolflarnlav
Spillkråka
Mindre märgborre
Nästlav</t>
        </is>
      </c>
      <c r="S358">
        <f>HYPERLINK("https://klasma.github.io/Logging_2034/artfynd/A 33841-2023 artfynd.xlsx", "A 33841-2023")</f>
        <v/>
      </c>
      <c r="T358">
        <f>HYPERLINK("https://klasma.github.io/Logging_2034/kartor/A 33841-2023 karta.png", "A 33841-2023")</f>
        <v/>
      </c>
      <c r="V358">
        <f>HYPERLINK("https://klasma.github.io/Logging_2034/klagomål/A 33841-2023 FSC-klagomål.docx", "A 33841-2023")</f>
        <v/>
      </c>
      <c r="W358">
        <f>HYPERLINK("https://klasma.github.io/Logging_2034/klagomålsmail/A 33841-2023 FSC-klagomål mail.docx", "A 33841-2023")</f>
        <v/>
      </c>
      <c r="X358">
        <f>HYPERLINK("https://klasma.github.io/Logging_2034/tillsyn/A 33841-2023 tillsynsbegäran.docx", "A 33841-2023")</f>
        <v/>
      </c>
      <c r="Y358">
        <f>HYPERLINK("https://klasma.github.io/Logging_2034/tillsynsmail/A 33841-2023 tillsynsbegäran mail.docx", "A 33841-2023")</f>
        <v/>
      </c>
      <c r="Z358">
        <f>HYPERLINK("https://klasma.github.io/Logging_2034/fåglar/A 33841-2023 prioriterade fågelarter.docx", "A 33841-2023")</f>
        <v/>
      </c>
    </row>
    <row r="359" ht="15" customHeight="1">
      <c r="A359" t="inlineStr">
        <is>
          <t>A 38585-2023</t>
        </is>
      </c>
      <c r="B359" s="1" t="n">
        <v>45162</v>
      </c>
      <c r="C359" s="1" t="n">
        <v>46114</v>
      </c>
      <c r="D359" t="inlineStr">
        <is>
          <t>DALARNAS LÄN</t>
        </is>
      </c>
      <c r="E359" t="inlineStr">
        <is>
          <t>ÄLVDALEN</t>
        </is>
      </c>
      <c r="F359" t="inlineStr">
        <is>
          <t>Sveaskog</t>
        </is>
      </c>
      <c r="G359" t="n">
        <v>7.8</v>
      </c>
      <c r="H359" t="n">
        <v>0</v>
      </c>
      <c r="I359" t="n">
        <v>1</v>
      </c>
      <c r="J359" t="n">
        <v>4</v>
      </c>
      <c r="K359" t="n">
        <v>0</v>
      </c>
      <c r="L359" t="n">
        <v>0</v>
      </c>
      <c r="M359" t="n">
        <v>0</v>
      </c>
      <c r="N359" t="n">
        <v>0</v>
      </c>
      <c r="O359" t="n">
        <v>4</v>
      </c>
      <c r="P359" t="n">
        <v>0</v>
      </c>
      <c r="Q359" t="n">
        <v>5</v>
      </c>
      <c r="R359" s="2" t="inlineStr">
        <is>
          <t>Blanksvart spiklav
Blå taggsvamp
Dvärgbägarlav
Kolflarnlav
Dropptaggsvamp</t>
        </is>
      </c>
      <c r="S359">
        <f>HYPERLINK("https://klasma.github.io/Logging_2039/artfynd/A 38585-2023 artfynd.xlsx", "A 38585-2023")</f>
        <v/>
      </c>
      <c r="T359">
        <f>HYPERLINK("https://klasma.github.io/Logging_2039/kartor/A 38585-2023 karta.png", "A 38585-2023")</f>
        <v/>
      </c>
      <c r="V359">
        <f>HYPERLINK("https://klasma.github.io/Logging_2039/klagomål/A 38585-2023 FSC-klagomål.docx", "A 38585-2023")</f>
        <v/>
      </c>
      <c r="W359">
        <f>HYPERLINK("https://klasma.github.io/Logging_2039/klagomålsmail/A 38585-2023 FSC-klagomål mail.docx", "A 38585-2023")</f>
        <v/>
      </c>
      <c r="X359">
        <f>HYPERLINK("https://klasma.github.io/Logging_2039/tillsyn/A 38585-2023 tillsynsbegäran.docx", "A 38585-2023")</f>
        <v/>
      </c>
      <c r="Y359">
        <f>HYPERLINK("https://klasma.github.io/Logging_2039/tillsynsmail/A 38585-2023 tillsynsbegäran mail.docx", "A 38585-2023")</f>
        <v/>
      </c>
    </row>
    <row r="360" ht="15" customHeight="1">
      <c r="A360" t="inlineStr">
        <is>
          <t>A 28070-2023</t>
        </is>
      </c>
      <c r="B360" s="1" t="n">
        <v>45099</v>
      </c>
      <c r="C360" s="1" t="n">
        <v>46114</v>
      </c>
      <c r="D360" t="inlineStr">
        <is>
          <t>DALARNAS LÄN</t>
        </is>
      </c>
      <c r="E360" t="inlineStr">
        <is>
          <t>MALUNG-SÄLEN</t>
        </is>
      </c>
      <c r="G360" t="n">
        <v>4.1</v>
      </c>
      <c r="H360" t="n">
        <v>0</v>
      </c>
      <c r="I360" t="n">
        <v>2</v>
      </c>
      <c r="J360" t="n">
        <v>3</v>
      </c>
      <c r="K360" t="n">
        <v>0</v>
      </c>
      <c r="L360" t="n">
        <v>0</v>
      </c>
      <c r="M360" t="n">
        <v>0</v>
      </c>
      <c r="N360" t="n">
        <v>0</v>
      </c>
      <c r="O360" t="n">
        <v>3</v>
      </c>
      <c r="P360" t="n">
        <v>0</v>
      </c>
      <c r="Q360" t="n">
        <v>5</v>
      </c>
      <c r="R360" s="2" t="inlineStr">
        <is>
          <t>Gammelgransskål
Garnlav
Violettgrå tagellav
Trådticka
Vedticka</t>
        </is>
      </c>
      <c r="S360">
        <f>HYPERLINK("https://klasma.github.io/Logging_2023/artfynd/A 28070-2023 artfynd.xlsx", "A 28070-2023")</f>
        <v/>
      </c>
      <c r="T360">
        <f>HYPERLINK("https://klasma.github.io/Logging_2023/kartor/A 28070-2023 karta.png", "A 28070-2023")</f>
        <v/>
      </c>
      <c r="V360">
        <f>HYPERLINK("https://klasma.github.io/Logging_2023/klagomål/A 28070-2023 FSC-klagomål.docx", "A 28070-2023")</f>
        <v/>
      </c>
      <c r="W360">
        <f>HYPERLINK("https://klasma.github.io/Logging_2023/klagomålsmail/A 28070-2023 FSC-klagomål mail.docx", "A 28070-2023")</f>
        <v/>
      </c>
      <c r="X360">
        <f>HYPERLINK("https://klasma.github.io/Logging_2023/tillsyn/A 28070-2023 tillsynsbegäran.docx", "A 28070-2023")</f>
        <v/>
      </c>
      <c r="Y360">
        <f>HYPERLINK("https://klasma.github.io/Logging_2023/tillsynsmail/A 28070-2023 tillsynsbegäran mail.docx", "A 28070-2023")</f>
        <v/>
      </c>
    </row>
    <row r="361" ht="15" customHeight="1">
      <c r="A361" t="inlineStr">
        <is>
          <t>A 8529-2023</t>
        </is>
      </c>
      <c r="B361" s="1" t="n">
        <v>44977</v>
      </c>
      <c r="C361" s="1" t="n">
        <v>46114</v>
      </c>
      <c r="D361" t="inlineStr">
        <is>
          <t>DALARNAS LÄN</t>
        </is>
      </c>
      <c r="E361" t="inlineStr">
        <is>
          <t>LEKSAND</t>
        </is>
      </c>
      <c r="G361" t="n">
        <v>2.7</v>
      </c>
      <c r="H361" t="n">
        <v>5</v>
      </c>
      <c r="I361" t="n">
        <v>0</v>
      </c>
      <c r="J361" t="n">
        <v>2</v>
      </c>
      <c r="K361" t="n">
        <v>1</v>
      </c>
      <c r="L361" t="n">
        <v>0</v>
      </c>
      <c r="M361" t="n">
        <v>0</v>
      </c>
      <c r="N361" t="n">
        <v>0</v>
      </c>
      <c r="O361" t="n">
        <v>3</v>
      </c>
      <c r="P361" t="n">
        <v>1</v>
      </c>
      <c r="Q361" t="n">
        <v>5</v>
      </c>
      <c r="R361" s="2" t="inlineStr">
        <is>
          <t>Knärot
Buskskvätta
Kråka
Kungsfågel
Fläcknycklar</t>
        </is>
      </c>
      <c r="S361">
        <f>HYPERLINK("https://klasma.github.io/Logging_2029/artfynd/A 8529-2023 artfynd.xlsx", "A 8529-2023")</f>
        <v/>
      </c>
      <c r="T361">
        <f>HYPERLINK("https://klasma.github.io/Logging_2029/kartor/A 8529-2023 karta.png", "A 8529-2023")</f>
        <v/>
      </c>
      <c r="U361">
        <f>HYPERLINK("https://klasma.github.io/Logging_2029/knärot/A 8529-2023 karta knärot.png", "A 8529-2023")</f>
        <v/>
      </c>
      <c r="V361">
        <f>HYPERLINK("https://klasma.github.io/Logging_2029/klagomål/A 8529-2023 FSC-klagomål.docx", "A 8529-2023")</f>
        <v/>
      </c>
      <c r="W361">
        <f>HYPERLINK("https://klasma.github.io/Logging_2029/klagomålsmail/A 8529-2023 FSC-klagomål mail.docx", "A 8529-2023")</f>
        <v/>
      </c>
      <c r="X361">
        <f>HYPERLINK("https://klasma.github.io/Logging_2029/tillsyn/A 8529-2023 tillsynsbegäran.docx", "A 8529-2023")</f>
        <v/>
      </c>
      <c r="Y361">
        <f>HYPERLINK("https://klasma.github.io/Logging_2029/tillsynsmail/A 8529-2023 tillsynsbegäran mail.docx", "A 8529-2023")</f>
        <v/>
      </c>
      <c r="Z361">
        <f>HYPERLINK("https://klasma.github.io/Logging_2029/fåglar/A 8529-2023 prioriterade fågelarter.docx", "A 8529-2023")</f>
        <v/>
      </c>
    </row>
    <row r="362" ht="15" customHeight="1">
      <c r="A362" t="inlineStr">
        <is>
          <t>A 34913-2025</t>
        </is>
      </c>
      <c r="B362" s="1" t="n">
        <v>45849.53956018519</v>
      </c>
      <c r="C362" s="1" t="n">
        <v>46114</v>
      </c>
      <c r="D362" t="inlineStr">
        <is>
          <t>DALARNAS LÄN</t>
        </is>
      </c>
      <c r="E362" t="inlineStr">
        <is>
          <t>LUDVIKA</t>
        </is>
      </c>
      <c r="G362" t="n">
        <v>6</v>
      </c>
      <c r="H362" t="n">
        <v>2</v>
      </c>
      <c r="I362" t="n">
        <v>1</v>
      </c>
      <c r="J362" t="n">
        <v>2</v>
      </c>
      <c r="K362" t="n">
        <v>0</v>
      </c>
      <c r="L362" t="n">
        <v>0</v>
      </c>
      <c r="M362" t="n">
        <v>0</v>
      </c>
      <c r="N362" t="n">
        <v>0</v>
      </c>
      <c r="O362" t="n">
        <v>2</v>
      </c>
      <c r="P362" t="n">
        <v>0</v>
      </c>
      <c r="Q362" t="n">
        <v>5</v>
      </c>
      <c r="R362" s="2" t="inlineStr">
        <is>
          <t>Barrpraktbagge
Lunglav
Barkticka
Huggorm
Blåsippa</t>
        </is>
      </c>
      <c r="S362">
        <f>HYPERLINK("https://klasma.github.io/Logging_2085/artfynd/A 34913-2025 artfynd.xlsx", "A 34913-2025")</f>
        <v/>
      </c>
      <c r="T362">
        <f>HYPERLINK("https://klasma.github.io/Logging_2085/kartor/A 34913-2025 karta.png", "A 34913-2025")</f>
        <v/>
      </c>
      <c r="V362">
        <f>HYPERLINK("https://klasma.github.io/Logging_2085/klagomål/A 34913-2025 FSC-klagomål.docx", "A 34913-2025")</f>
        <v/>
      </c>
      <c r="W362">
        <f>HYPERLINK("https://klasma.github.io/Logging_2085/klagomålsmail/A 34913-2025 FSC-klagomål mail.docx", "A 34913-2025")</f>
        <v/>
      </c>
      <c r="X362">
        <f>HYPERLINK("https://klasma.github.io/Logging_2085/tillsyn/A 34913-2025 tillsynsbegäran.docx", "A 34913-2025")</f>
        <v/>
      </c>
      <c r="Y362">
        <f>HYPERLINK("https://klasma.github.io/Logging_2085/tillsynsmail/A 34913-2025 tillsynsbegäran mail.docx", "A 34913-2025")</f>
        <v/>
      </c>
    </row>
    <row r="363" ht="15" customHeight="1">
      <c r="A363" t="inlineStr">
        <is>
          <t>A 40636-2025</t>
        </is>
      </c>
      <c r="B363" s="1" t="n">
        <v>45896.60490740741</v>
      </c>
      <c r="C363" s="1" t="n">
        <v>46114</v>
      </c>
      <c r="D363" t="inlineStr">
        <is>
          <t>DALARNAS LÄN</t>
        </is>
      </c>
      <c r="E363" t="inlineStr">
        <is>
          <t>LEKSAND</t>
        </is>
      </c>
      <c r="F363" t="inlineStr">
        <is>
          <t>Bergvik skog väst AB</t>
        </is>
      </c>
      <c r="G363" t="n">
        <v>3.2</v>
      </c>
      <c r="H363" t="n">
        <v>1</v>
      </c>
      <c r="I363" t="n">
        <v>0</v>
      </c>
      <c r="J363" t="n">
        <v>4</v>
      </c>
      <c r="K363" t="n">
        <v>1</v>
      </c>
      <c r="L363" t="n">
        <v>0</v>
      </c>
      <c r="M363" t="n">
        <v>0</v>
      </c>
      <c r="N363" t="n">
        <v>0</v>
      </c>
      <c r="O363" t="n">
        <v>5</v>
      </c>
      <c r="P363" t="n">
        <v>1</v>
      </c>
      <c r="Q363" t="n">
        <v>5</v>
      </c>
      <c r="R363" s="2" t="inlineStr">
        <is>
          <t>Rynkskinn
Dofttaggsvamp
Garnlav
Tretåig hackspett
Ullticka</t>
        </is>
      </c>
      <c r="S363">
        <f>HYPERLINK("https://klasma.github.io/Logging_2029/artfynd/A 40636-2025 artfynd.xlsx", "A 40636-2025")</f>
        <v/>
      </c>
      <c r="T363">
        <f>HYPERLINK("https://klasma.github.io/Logging_2029/kartor/A 40636-2025 karta.png", "A 40636-2025")</f>
        <v/>
      </c>
      <c r="U363">
        <f>HYPERLINK("https://klasma.github.io/Logging_2029/knärot/A 40636-2025 karta knärot.png", "A 40636-2025")</f>
        <v/>
      </c>
      <c r="V363">
        <f>HYPERLINK("https://klasma.github.io/Logging_2029/klagomål/A 40636-2025 FSC-klagomål.docx", "A 40636-2025")</f>
        <v/>
      </c>
      <c r="W363">
        <f>HYPERLINK("https://klasma.github.io/Logging_2029/klagomålsmail/A 40636-2025 FSC-klagomål mail.docx", "A 40636-2025")</f>
        <v/>
      </c>
      <c r="X363">
        <f>HYPERLINK("https://klasma.github.io/Logging_2029/tillsyn/A 40636-2025 tillsynsbegäran.docx", "A 40636-2025")</f>
        <v/>
      </c>
      <c r="Y363">
        <f>HYPERLINK("https://klasma.github.io/Logging_2029/tillsynsmail/A 40636-2025 tillsynsbegäran mail.docx", "A 40636-2025")</f>
        <v/>
      </c>
      <c r="Z363">
        <f>HYPERLINK("https://klasma.github.io/Logging_2029/fåglar/A 40636-2025 prioriterade fågelarter.docx", "A 40636-2025")</f>
        <v/>
      </c>
    </row>
    <row r="364" ht="15" customHeight="1">
      <c r="A364" t="inlineStr">
        <is>
          <t>A 41782-2025</t>
        </is>
      </c>
      <c r="B364" s="1" t="n">
        <v>45902.58693287037</v>
      </c>
      <c r="C364" s="1" t="n">
        <v>46114</v>
      </c>
      <c r="D364" t="inlineStr">
        <is>
          <t>DALARNAS LÄN</t>
        </is>
      </c>
      <c r="E364" t="inlineStr">
        <is>
          <t>ÄLVDALEN</t>
        </is>
      </c>
      <c r="F364" t="inlineStr">
        <is>
          <t>Sveaskog</t>
        </is>
      </c>
      <c r="G364" t="n">
        <v>22.8</v>
      </c>
      <c r="H364" t="n">
        <v>2</v>
      </c>
      <c r="I364" t="n">
        <v>3</v>
      </c>
      <c r="J364" t="n">
        <v>2</v>
      </c>
      <c r="K364" t="n">
        <v>0</v>
      </c>
      <c r="L364" t="n">
        <v>0</v>
      </c>
      <c r="M364" t="n">
        <v>0</v>
      </c>
      <c r="N364" t="n">
        <v>0</v>
      </c>
      <c r="O364" t="n">
        <v>2</v>
      </c>
      <c r="P364" t="n">
        <v>0</v>
      </c>
      <c r="Q364" t="n">
        <v>5</v>
      </c>
      <c r="R364" s="2" t="inlineStr">
        <is>
          <t>Blå taggsvamp
Talltita
Dropptaggsvamp
Plattlummer
Skarp dropptaggsvamp</t>
        </is>
      </c>
      <c r="S364">
        <f>HYPERLINK("https://klasma.github.io/Logging_2039/artfynd/A 41782-2025 artfynd.xlsx", "A 41782-2025")</f>
        <v/>
      </c>
      <c r="T364">
        <f>HYPERLINK("https://klasma.github.io/Logging_2039/kartor/A 41782-2025 karta.png", "A 41782-2025")</f>
        <v/>
      </c>
      <c r="V364">
        <f>HYPERLINK("https://klasma.github.io/Logging_2039/klagomål/A 41782-2025 FSC-klagomål.docx", "A 41782-2025")</f>
        <v/>
      </c>
      <c r="W364">
        <f>HYPERLINK("https://klasma.github.io/Logging_2039/klagomålsmail/A 41782-2025 FSC-klagomål mail.docx", "A 41782-2025")</f>
        <v/>
      </c>
      <c r="X364">
        <f>HYPERLINK("https://klasma.github.io/Logging_2039/tillsyn/A 41782-2025 tillsynsbegäran.docx", "A 41782-2025")</f>
        <v/>
      </c>
      <c r="Y364">
        <f>HYPERLINK("https://klasma.github.io/Logging_2039/tillsynsmail/A 41782-2025 tillsynsbegäran mail.docx", "A 41782-2025")</f>
        <v/>
      </c>
      <c r="Z364">
        <f>HYPERLINK("https://klasma.github.io/Logging_2039/fåglar/A 41782-2025 prioriterade fågelarter.docx", "A 41782-2025")</f>
        <v/>
      </c>
    </row>
    <row r="365" ht="15" customHeight="1">
      <c r="A365" t="inlineStr">
        <is>
          <t>A 36089-2024</t>
        </is>
      </c>
      <c r="B365" s="1" t="n">
        <v>45533</v>
      </c>
      <c r="C365" s="1" t="n">
        <v>46114</v>
      </c>
      <c r="D365" t="inlineStr">
        <is>
          <t>DALARNAS LÄN</t>
        </is>
      </c>
      <c r="E365" t="inlineStr">
        <is>
          <t>MALUNG-SÄLEN</t>
        </is>
      </c>
      <c r="G365" t="n">
        <v>5.2</v>
      </c>
      <c r="H365" t="n">
        <v>2</v>
      </c>
      <c r="I365" t="n">
        <v>3</v>
      </c>
      <c r="J365" t="n">
        <v>2</v>
      </c>
      <c r="K365" t="n">
        <v>0</v>
      </c>
      <c r="L365" t="n">
        <v>0</v>
      </c>
      <c r="M365" t="n">
        <v>0</v>
      </c>
      <c r="N365" t="n">
        <v>0</v>
      </c>
      <c r="O365" t="n">
        <v>2</v>
      </c>
      <c r="P365" t="n">
        <v>0</v>
      </c>
      <c r="Q365" t="n">
        <v>5</v>
      </c>
      <c r="R365" s="2" t="inlineStr">
        <is>
          <t>Doftskinn
Garnlav
Spindelblomster
Tvåblad
Ögonpyrola</t>
        </is>
      </c>
      <c r="S365">
        <f>HYPERLINK("https://klasma.github.io/Logging_2023/artfynd/A 36089-2024 artfynd.xlsx", "A 36089-2024")</f>
        <v/>
      </c>
      <c r="T365">
        <f>HYPERLINK("https://klasma.github.io/Logging_2023/kartor/A 36089-2024 karta.png", "A 36089-2024")</f>
        <v/>
      </c>
      <c r="V365">
        <f>HYPERLINK("https://klasma.github.io/Logging_2023/klagomål/A 36089-2024 FSC-klagomål.docx", "A 36089-2024")</f>
        <v/>
      </c>
      <c r="W365">
        <f>HYPERLINK("https://klasma.github.io/Logging_2023/klagomålsmail/A 36089-2024 FSC-klagomål mail.docx", "A 36089-2024")</f>
        <v/>
      </c>
      <c r="X365">
        <f>HYPERLINK("https://klasma.github.io/Logging_2023/tillsyn/A 36089-2024 tillsynsbegäran.docx", "A 36089-2024")</f>
        <v/>
      </c>
      <c r="Y365">
        <f>HYPERLINK("https://klasma.github.io/Logging_2023/tillsynsmail/A 36089-2024 tillsynsbegäran mail.docx", "A 36089-2024")</f>
        <v/>
      </c>
    </row>
    <row r="366" ht="15" customHeight="1">
      <c r="A366" t="inlineStr">
        <is>
          <t>A 8760-2025</t>
        </is>
      </c>
      <c r="B366" s="1" t="n">
        <v>45712.57467592593</v>
      </c>
      <c r="C366" s="1" t="n">
        <v>46114</v>
      </c>
      <c r="D366" t="inlineStr">
        <is>
          <t>DALARNAS LÄN</t>
        </is>
      </c>
      <c r="E366" t="inlineStr">
        <is>
          <t>MORA</t>
        </is>
      </c>
      <c r="F366" t="inlineStr">
        <is>
          <t>Allmännings- och besparingsskogar</t>
        </is>
      </c>
      <c r="G366" t="n">
        <v>36.6</v>
      </c>
      <c r="H366" t="n">
        <v>0</v>
      </c>
      <c r="I366" t="n">
        <v>0</v>
      </c>
      <c r="J366" t="n">
        <v>5</v>
      </c>
      <c r="K366" t="n">
        <v>0</v>
      </c>
      <c r="L366" t="n">
        <v>0</v>
      </c>
      <c r="M366" t="n">
        <v>0</v>
      </c>
      <c r="N366" t="n">
        <v>0</v>
      </c>
      <c r="O366" t="n">
        <v>5</v>
      </c>
      <c r="P366" t="n">
        <v>0</v>
      </c>
      <c r="Q366" t="n">
        <v>5</v>
      </c>
      <c r="R366" s="2" t="inlineStr">
        <is>
          <t>Garnlav
Mörk kolflarnlav
Skogshare
Vedflamlav
Vedskivlav</t>
        </is>
      </c>
      <c r="S366">
        <f>HYPERLINK("https://klasma.github.io/Logging_2062/artfynd/A 8760-2025 artfynd.xlsx", "A 8760-2025")</f>
        <v/>
      </c>
      <c r="T366">
        <f>HYPERLINK("https://klasma.github.io/Logging_2062/kartor/A 8760-2025 karta.png", "A 8760-2025")</f>
        <v/>
      </c>
      <c r="V366">
        <f>HYPERLINK("https://klasma.github.io/Logging_2062/klagomål/A 8760-2025 FSC-klagomål.docx", "A 8760-2025")</f>
        <v/>
      </c>
      <c r="W366">
        <f>HYPERLINK("https://klasma.github.io/Logging_2062/klagomålsmail/A 8760-2025 FSC-klagomål mail.docx", "A 8760-2025")</f>
        <v/>
      </c>
      <c r="X366">
        <f>HYPERLINK("https://klasma.github.io/Logging_2062/tillsyn/A 8760-2025 tillsynsbegäran.docx", "A 8760-2025")</f>
        <v/>
      </c>
      <c r="Y366">
        <f>HYPERLINK("https://klasma.github.io/Logging_2062/tillsynsmail/A 8760-2025 tillsynsbegäran mail.docx", "A 8760-2025")</f>
        <v/>
      </c>
    </row>
    <row r="367" ht="15" customHeight="1">
      <c r="A367" t="inlineStr">
        <is>
          <t>A 25699-2022</t>
        </is>
      </c>
      <c r="B367" s="1" t="n">
        <v>44732</v>
      </c>
      <c r="C367" s="1" t="n">
        <v>46114</v>
      </c>
      <c r="D367" t="inlineStr">
        <is>
          <t>DALARNAS LÄN</t>
        </is>
      </c>
      <c r="E367" t="inlineStr">
        <is>
          <t>SÄTER</t>
        </is>
      </c>
      <c r="F367" t="inlineStr">
        <is>
          <t>Bergvik skog väst AB</t>
        </is>
      </c>
      <c r="G367" t="n">
        <v>22</v>
      </c>
      <c r="H367" t="n">
        <v>3</v>
      </c>
      <c r="I367" t="n">
        <v>1</v>
      </c>
      <c r="J367" t="n">
        <v>2</v>
      </c>
      <c r="K367" t="n">
        <v>0</v>
      </c>
      <c r="L367" t="n">
        <v>1</v>
      </c>
      <c r="M367" t="n">
        <v>0</v>
      </c>
      <c r="N367" t="n">
        <v>0</v>
      </c>
      <c r="O367" t="n">
        <v>3</v>
      </c>
      <c r="P367" t="n">
        <v>1</v>
      </c>
      <c r="Q367" t="n">
        <v>5</v>
      </c>
      <c r="R367" s="2" t="inlineStr">
        <is>
          <t>Bredgentiana
Månlåsbräken
Slåtterfibbla
Tvåblad
Fläcknycklar</t>
        </is>
      </c>
      <c r="S367">
        <f>HYPERLINK("https://klasma.github.io/Logging_2082/artfynd/A 25699-2022 artfynd.xlsx", "A 25699-2022")</f>
        <v/>
      </c>
      <c r="T367">
        <f>HYPERLINK("https://klasma.github.io/Logging_2082/kartor/A 25699-2022 karta.png", "A 25699-2022")</f>
        <v/>
      </c>
      <c r="V367">
        <f>HYPERLINK("https://klasma.github.io/Logging_2082/klagomål/A 25699-2022 FSC-klagomål.docx", "A 25699-2022")</f>
        <v/>
      </c>
      <c r="W367">
        <f>HYPERLINK("https://klasma.github.io/Logging_2082/klagomålsmail/A 25699-2022 FSC-klagomål mail.docx", "A 25699-2022")</f>
        <v/>
      </c>
      <c r="X367">
        <f>HYPERLINK("https://klasma.github.io/Logging_2082/tillsyn/A 25699-2022 tillsynsbegäran.docx", "A 25699-2022")</f>
        <v/>
      </c>
      <c r="Y367">
        <f>HYPERLINK("https://klasma.github.io/Logging_2082/tillsynsmail/A 25699-2022 tillsynsbegäran mail.docx", "A 25699-2022")</f>
        <v/>
      </c>
    </row>
    <row r="368" ht="15" customHeight="1">
      <c r="A368" t="inlineStr">
        <is>
          <t>A 10755-2024</t>
        </is>
      </c>
      <c r="B368" s="1" t="n">
        <v>45369.55047453703</v>
      </c>
      <c r="C368" s="1" t="n">
        <v>46114</v>
      </c>
      <c r="D368" t="inlineStr">
        <is>
          <t>DALARNAS LÄN</t>
        </is>
      </c>
      <c r="E368" t="inlineStr">
        <is>
          <t>BORLÄNGE</t>
        </is>
      </c>
      <c r="G368" t="n">
        <v>2.9</v>
      </c>
      <c r="H368" t="n">
        <v>0</v>
      </c>
      <c r="I368" t="n">
        <v>2</v>
      </c>
      <c r="J368" t="n">
        <v>2</v>
      </c>
      <c r="K368" t="n">
        <v>1</v>
      </c>
      <c r="L368" t="n">
        <v>0</v>
      </c>
      <c r="M368" t="n">
        <v>0</v>
      </c>
      <c r="N368" t="n">
        <v>0</v>
      </c>
      <c r="O368" t="n">
        <v>3</v>
      </c>
      <c r="P368" t="n">
        <v>1</v>
      </c>
      <c r="Q368" t="n">
        <v>5</v>
      </c>
      <c r="R368" s="2" t="inlineStr">
        <is>
          <t>Rynkskinn
Rosenticka
Ullticka
Brandticka
Trådticka</t>
        </is>
      </c>
      <c r="S368">
        <f>HYPERLINK("https://klasma.github.io/Logging_2081/artfynd/A 10755-2024 artfynd.xlsx", "A 10755-2024")</f>
        <v/>
      </c>
      <c r="T368">
        <f>HYPERLINK("https://klasma.github.io/Logging_2081/kartor/A 10755-2024 karta.png", "A 10755-2024")</f>
        <v/>
      </c>
      <c r="V368">
        <f>HYPERLINK("https://klasma.github.io/Logging_2081/klagomål/A 10755-2024 FSC-klagomål.docx", "A 10755-2024")</f>
        <v/>
      </c>
      <c r="W368">
        <f>HYPERLINK("https://klasma.github.io/Logging_2081/klagomålsmail/A 10755-2024 FSC-klagomål mail.docx", "A 10755-2024")</f>
        <v/>
      </c>
      <c r="X368">
        <f>HYPERLINK("https://klasma.github.io/Logging_2081/tillsyn/A 10755-2024 tillsynsbegäran.docx", "A 10755-2024")</f>
        <v/>
      </c>
      <c r="Y368">
        <f>HYPERLINK("https://klasma.github.io/Logging_2081/tillsynsmail/A 10755-2024 tillsynsbegäran mail.docx", "A 10755-2024")</f>
        <v/>
      </c>
    </row>
    <row r="369" ht="15" customHeight="1">
      <c r="A369" t="inlineStr">
        <is>
          <t>A 37357-2025</t>
        </is>
      </c>
      <c r="B369" s="1" t="n">
        <v>45876</v>
      </c>
      <c r="C369" s="1" t="n">
        <v>46114</v>
      </c>
      <c r="D369" t="inlineStr">
        <is>
          <t>DALARNAS LÄN</t>
        </is>
      </c>
      <c r="E369" t="inlineStr">
        <is>
          <t>BORLÄNGE</t>
        </is>
      </c>
      <c r="G369" t="n">
        <v>6.3</v>
      </c>
      <c r="H369" t="n">
        <v>1</v>
      </c>
      <c r="I369" t="n">
        <v>2</v>
      </c>
      <c r="J369" t="n">
        <v>2</v>
      </c>
      <c r="K369" t="n">
        <v>0</v>
      </c>
      <c r="L369" t="n">
        <v>0</v>
      </c>
      <c r="M369" t="n">
        <v>0</v>
      </c>
      <c r="N369" t="n">
        <v>0</v>
      </c>
      <c r="O369" t="n">
        <v>2</v>
      </c>
      <c r="P369" t="n">
        <v>0</v>
      </c>
      <c r="Q369" t="n">
        <v>5</v>
      </c>
      <c r="R369" s="2" t="inlineStr">
        <is>
          <t>Garnlav
Ullticka
Dropptaggsvamp
Vedticka
Tjäder</t>
        </is>
      </c>
      <c r="S369">
        <f>HYPERLINK("https://klasma.github.io/Logging_2081/artfynd/A 37357-2025 artfynd.xlsx", "A 37357-2025")</f>
        <v/>
      </c>
      <c r="T369">
        <f>HYPERLINK("https://klasma.github.io/Logging_2081/kartor/A 37357-2025 karta.png", "A 37357-2025")</f>
        <v/>
      </c>
      <c r="V369">
        <f>HYPERLINK("https://klasma.github.io/Logging_2081/klagomål/A 37357-2025 FSC-klagomål.docx", "A 37357-2025")</f>
        <v/>
      </c>
      <c r="W369">
        <f>HYPERLINK("https://klasma.github.io/Logging_2081/klagomålsmail/A 37357-2025 FSC-klagomål mail.docx", "A 37357-2025")</f>
        <v/>
      </c>
      <c r="X369">
        <f>HYPERLINK("https://klasma.github.io/Logging_2081/tillsyn/A 37357-2025 tillsynsbegäran.docx", "A 37357-2025")</f>
        <v/>
      </c>
      <c r="Y369">
        <f>HYPERLINK("https://klasma.github.io/Logging_2081/tillsynsmail/A 37357-2025 tillsynsbegäran mail.docx", "A 37357-2025")</f>
        <v/>
      </c>
      <c r="Z369">
        <f>HYPERLINK("https://klasma.github.io/Logging_2081/fåglar/A 37357-2025 prioriterade fågelarter.docx", "A 37357-2025")</f>
        <v/>
      </c>
    </row>
    <row r="370" ht="15" customHeight="1">
      <c r="A370" t="inlineStr">
        <is>
          <t>A 47287-2025</t>
        </is>
      </c>
      <c r="B370" s="1" t="n">
        <v>45930.48451388889</v>
      </c>
      <c r="C370" s="1" t="n">
        <v>46114</v>
      </c>
      <c r="D370" t="inlineStr">
        <is>
          <t>DALARNAS LÄN</t>
        </is>
      </c>
      <c r="E370" t="inlineStr">
        <is>
          <t>LUDVIKA</t>
        </is>
      </c>
      <c r="F370" t="inlineStr">
        <is>
          <t>Bergvik skog väst AB</t>
        </is>
      </c>
      <c r="G370" t="n">
        <v>8.4</v>
      </c>
      <c r="H370" t="n">
        <v>3</v>
      </c>
      <c r="I370" t="n">
        <v>0</v>
      </c>
      <c r="J370" t="n">
        <v>5</v>
      </c>
      <c r="K370" t="n">
        <v>0</v>
      </c>
      <c r="L370" t="n">
        <v>0</v>
      </c>
      <c r="M370" t="n">
        <v>0</v>
      </c>
      <c r="N370" t="n">
        <v>0</v>
      </c>
      <c r="O370" t="n">
        <v>5</v>
      </c>
      <c r="P370" t="n">
        <v>0</v>
      </c>
      <c r="Q370" t="n">
        <v>5</v>
      </c>
      <c r="R370" s="2" t="inlineStr">
        <is>
          <t>Garnlav
Järpe
Lunglav
Talltita
Tretåig hackspett</t>
        </is>
      </c>
      <c r="S370">
        <f>HYPERLINK("https://klasma.github.io/Logging_2085/artfynd/A 47287-2025 artfynd.xlsx", "A 47287-2025")</f>
        <v/>
      </c>
      <c r="T370">
        <f>HYPERLINK("https://klasma.github.io/Logging_2085/kartor/A 47287-2025 karta.png", "A 47287-2025")</f>
        <v/>
      </c>
      <c r="V370">
        <f>HYPERLINK("https://klasma.github.io/Logging_2085/klagomål/A 47287-2025 FSC-klagomål.docx", "A 47287-2025")</f>
        <v/>
      </c>
      <c r="W370">
        <f>HYPERLINK("https://klasma.github.io/Logging_2085/klagomålsmail/A 47287-2025 FSC-klagomål mail.docx", "A 47287-2025")</f>
        <v/>
      </c>
      <c r="X370">
        <f>HYPERLINK("https://klasma.github.io/Logging_2085/tillsyn/A 47287-2025 tillsynsbegäran.docx", "A 47287-2025")</f>
        <v/>
      </c>
      <c r="Y370">
        <f>HYPERLINK("https://klasma.github.io/Logging_2085/tillsynsmail/A 47287-2025 tillsynsbegäran mail.docx", "A 47287-2025")</f>
        <v/>
      </c>
      <c r="Z370">
        <f>HYPERLINK("https://klasma.github.io/Logging_2085/fåglar/A 47287-2025 prioriterade fågelarter.docx", "A 47287-2025")</f>
        <v/>
      </c>
    </row>
    <row r="371" ht="15" customHeight="1">
      <c r="A371" t="inlineStr">
        <is>
          <t>A 49516-2025</t>
        </is>
      </c>
      <c r="B371" s="1" t="n">
        <v>45939.38631944444</v>
      </c>
      <c r="C371" s="1" t="n">
        <v>46114</v>
      </c>
      <c r="D371" t="inlineStr">
        <is>
          <t>DALARNAS LÄN</t>
        </is>
      </c>
      <c r="E371" t="inlineStr">
        <is>
          <t>ORSA</t>
        </is>
      </c>
      <c r="F371" t="inlineStr">
        <is>
          <t>Bergvik skog öst AB</t>
        </is>
      </c>
      <c r="G371" t="n">
        <v>3.9</v>
      </c>
      <c r="H371" t="n">
        <v>2</v>
      </c>
      <c r="I371" t="n">
        <v>1</v>
      </c>
      <c r="J371" t="n">
        <v>3</v>
      </c>
      <c r="K371" t="n">
        <v>1</v>
      </c>
      <c r="L371" t="n">
        <v>0</v>
      </c>
      <c r="M371" t="n">
        <v>0</v>
      </c>
      <c r="N371" t="n">
        <v>0</v>
      </c>
      <c r="O371" t="n">
        <v>4</v>
      </c>
      <c r="P371" t="n">
        <v>1</v>
      </c>
      <c r="Q371" t="n">
        <v>5</v>
      </c>
      <c r="R371" s="2" t="inlineStr">
        <is>
          <t>Tallbit
Garnlav
Granticka
Tretåig hackspett
Stuplav</t>
        </is>
      </c>
      <c r="S371">
        <f>HYPERLINK("https://klasma.github.io/Logging_2034/artfynd/A 49516-2025 artfynd.xlsx", "A 49516-2025")</f>
        <v/>
      </c>
      <c r="T371">
        <f>HYPERLINK("https://klasma.github.io/Logging_2034/kartor/A 49516-2025 karta.png", "A 49516-2025")</f>
        <v/>
      </c>
      <c r="V371">
        <f>HYPERLINK("https://klasma.github.io/Logging_2034/klagomål/A 49516-2025 FSC-klagomål.docx", "A 49516-2025")</f>
        <v/>
      </c>
      <c r="W371">
        <f>HYPERLINK("https://klasma.github.io/Logging_2034/klagomålsmail/A 49516-2025 FSC-klagomål mail.docx", "A 49516-2025")</f>
        <v/>
      </c>
      <c r="X371">
        <f>HYPERLINK("https://klasma.github.io/Logging_2034/tillsyn/A 49516-2025 tillsynsbegäran.docx", "A 49516-2025")</f>
        <v/>
      </c>
      <c r="Y371">
        <f>HYPERLINK("https://klasma.github.io/Logging_2034/tillsynsmail/A 49516-2025 tillsynsbegäran mail.docx", "A 49516-2025")</f>
        <v/>
      </c>
      <c r="Z371">
        <f>HYPERLINK("https://klasma.github.io/Logging_2034/fåglar/A 49516-2025 prioriterade fågelarter.docx", "A 49516-2025")</f>
        <v/>
      </c>
    </row>
    <row r="372" ht="15" customHeight="1">
      <c r="A372" t="inlineStr">
        <is>
          <t>A 6823-2024</t>
        </is>
      </c>
      <c r="B372" s="1" t="n">
        <v>45342</v>
      </c>
      <c r="C372" s="1" t="n">
        <v>46114</v>
      </c>
      <c r="D372" t="inlineStr">
        <is>
          <t>DALARNAS LÄN</t>
        </is>
      </c>
      <c r="E372" t="inlineStr">
        <is>
          <t>BORLÄNGE</t>
        </is>
      </c>
      <c r="G372" t="n">
        <v>10.3</v>
      </c>
      <c r="H372" t="n">
        <v>1</v>
      </c>
      <c r="I372" t="n">
        <v>2</v>
      </c>
      <c r="J372" t="n">
        <v>2</v>
      </c>
      <c r="K372" t="n">
        <v>0</v>
      </c>
      <c r="L372" t="n">
        <v>0</v>
      </c>
      <c r="M372" t="n">
        <v>0</v>
      </c>
      <c r="N372" t="n">
        <v>0</v>
      </c>
      <c r="O372" t="n">
        <v>2</v>
      </c>
      <c r="P372" t="n">
        <v>0</v>
      </c>
      <c r="Q372" t="n">
        <v>5</v>
      </c>
      <c r="R372" s="2" t="inlineStr">
        <is>
          <t>Garnlav
Ullticka
Dropptaggsvamp
Vedticka
Tjäder</t>
        </is>
      </c>
      <c r="S372">
        <f>HYPERLINK("https://klasma.github.io/Logging_2081/artfynd/A 6823-2024 artfynd.xlsx", "A 6823-2024")</f>
        <v/>
      </c>
      <c r="T372">
        <f>HYPERLINK("https://klasma.github.io/Logging_2081/kartor/A 6823-2024 karta.png", "A 6823-2024")</f>
        <v/>
      </c>
      <c r="V372">
        <f>HYPERLINK("https://klasma.github.io/Logging_2081/klagomål/A 6823-2024 FSC-klagomål.docx", "A 6823-2024")</f>
        <v/>
      </c>
      <c r="W372">
        <f>HYPERLINK("https://klasma.github.io/Logging_2081/klagomålsmail/A 6823-2024 FSC-klagomål mail.docx", "A 6823-2024")</f>
        <v/>
      </c>
      <c r="X372">
        <f>HYPERLINK("https://klasma.github.io/Logging_2081/tillsyn/A 6823-2024 tillsynsbegäran.docx", "A 6823-2024")</f>
        <v/>
      </c>
      <c r="Y372">
        <f>HYPERLINK("https://klasma.github.io/Logging_2081/tillsynsmail/A 6823-2024 tillsynsbegäran mail.docx", "A 6823-2024")</f>
        <v/>
      </c>
      <c r="Z372">
        <f>HYPERLINK("https://klasma.github.io/Logging_2081/fåglar/A 6823-2024 prioriterade fågelarter.docx", "A 6823-2024")</f>
        <v/>
      </c>
    </row>
    <row r="373" ht="15" customHeight="1">
      <c r="A373" t="inlineStr">
        <is>
          <t>A 53426-2025</t>
        </is>
      </c>
      <c r="B373" s="1" t="n">
        <v>45959.6131712963</v>
      </c>
      <c r="C373" s="1" t="n">
        <v>46114</v>
      </c>
      <c r="D373" t="inlineStr">
        <is>
          <t>DALARNAS LÄN</t>
        </is>
      </c>
      <c r="E373" t="inlineStr">
        <is>
          <t>MORA</t>
        </is>
      </c>
      <c r="G373" t="n">
        <v>4.2</v>
      </c>
      <c r="H373" t="n">
        <v>1</v>
      </c>
      <c r="I373" t="n">
        <v>1</v>
      </c>
      <c r="J373" t="n">
        <v>4</v>
      </c>
      <c r="K373" t="n">
        <v>0</v>
      </c>
      <c r="L373" t="n">
        <v>0</v>
      </c>
      <c r="M373" t="n">
        <v>0</v>
      </c>
      <c r="N373" t="n">
        <v>0</v>
      </c>
      <c r="O373" t="n">
        <v>4</v>
      </c>
      <c r="P373" t="n">
        <v>0</v>
      </c>
      <c r="Q373" t="n">
        <v>5</v>
      </c>
      <c r="R373" s="2" t="inlineStr">
        <is>
          <t>Garnlav
Rosenticka
Spillkråka
Tallticka
Mindre märgborre</t>
        </is>
      </c>
      <c r="S373">
        <f>HYPERLINK("https://klasma.github.io/Logging_2062/artfynd/A 53426-2025 artfynd.xlsx", "A 53426-2025")</f>
        <v/>
      </c>
      <c r="T373">
        <f>HYPERLINK("https://klasma.github.io/Logging_2062/kartor/A 53426-2025 karta.png", "A 53426-2025")</f>
        <v/>
      </c>
      <c r="V373">
        <f>HYPERLINK("https://klasma.github.io/Logging_2062/klagomål/A 53426-2025 FSC-klagomål.docx", "A 53426-2025")</f>
        <v/>
      </c>
      <c r="W373">
        <f>HYPERLINK("https://klasma.github.io/Logging_2062/klagomålsmail/A 53426-2025 FSC-klagomål mail.docx", "A 53426-2025")</f>
        <v/>
      </c>
      <c r="X373">
        <f>HYPERLINK("https://klasma.github.io/Logging_2062/tillsyn/A 53426-2025 tillsynsbegäran.docx", "A 53426-2025")</f>
        <v/>
      </c>
      <c r="Y373">
        <f>HYPERLINK("https://klasma.github.io/Logging_2062/tillsynsmail/A 53426-2025 tillsynsbegäran mail.docx", "A 53426-2025")</f>
        <v/>
      </c>
      <c r="Z373">
        <f>HYPERLINK("https://klasma.github.io/Logging_2062/fåglar/A 53426-2025 prioriterade fågelarter.docx", "A 53426-2025")</f>
        <v/>
      </c>
    </row>
    <row r="374" ht="15" customHeight="1">
      <c r="A374" t="inlineStr">
        <is>
          <t>A 22172-2025</t>
        </is>
      </c>
      <c r="B374" s="1" t="n">
        <v>45785</v>
      </c>
      <c r="C374" s="1" t="n">
        <v>46114</v>
      </c>
      <c r="D374" t="inlineStr">
        <is>
          <t>DALARNAS LÄN</t>
        </is>
      </c>
      <c r="E374" t="inlineStr">
        <is>
          <t>ORSA</t>
        </is>
      </c>
      <c r="F374" t="inlineStr">
        <is>
          <t>Bergvik skog öst AB</t>
        </is>
      </c>
      <c r="G374" t="n">
        <v>3.8</v>
      </c>
      <c r="H374" t="n">
        <v>3</v>
      </c>
      <c r="I374" t="n">
        <v>1</v>
      </c>
      <c r="J374" t="n">
        <v>2</v>
      </c>
      <c r="K374" t="n">
        <v>0</v>
      </c>
      <c r="L374" t="n">
        <v>0</v>
      </c>
      <c r="M374" t="n">
        <v>0</v>
      </c>
      <c r="N374" t="n">
        <v>0</v>
      </c>
      <c r="O374" t="n">
        <v>2</v>
      </c>
      <c r="P374" t="n">
        <v>0</v>
      </c>
      <c r="Q374" t="n">
        <v>5</v>
      </c>
      <c r="R374" s="2" t="inlineStr">
        <is>
          <t>Garnlav
Spillkråka
Tallfingersvamp
Lavskrika
Revlummer</t>
        </is>
      </c>
      <c r="S374">
        <f>HYPERLINK("https://klasma.github.io/Logging_2034/artfynd/A 22172-2025 artfynd.xlsx", "A 22172-2025")</f>
        <v/>
      </c>
      <c r="T374">
        <f>HYPERLINK("https://klasma.github.io/Logging_2034/kartor/A 22172-2025 karta.png", "A 22172-2025")</f>
        <v/>
      </c>
      <c r="V374">
        <f>HYPERLINK("https://klasma.github.io/Logging_2034/klagomål/A 22172-2025 FSC-klagomål.docx", "A 22172-2025")</f>
        <v/>
      </c>
      <c r="W374">
        <f>HYPERLINK("https://klasma.github.io/Logging_2034/klagomålsmail/A 22172-2025 FSC-klagomål mail.docx", "A 22172-2025")</f>
        <v/>
      </c>
      <c r="X374">
        <f>HYPERLINK("https://klasma.github.io/Logging_2034/tillsyn/A 22172-2025 tillsynsbegäran.docx", "A 22172-2025")</f>
        <v/>
      </c>
      <c r="Y374">
        <f>HYPERLINK("https://klasma.github.io/Logging_2034/tillsynsmail/A 22172-2025 tillsynsbegäran mail.docx", "A 22172-2025")</f>
        <v/>
      </c>
      <c r="Z374">
        <f>HYPERLINK("https://klasma.github.io/Logging_2034/fåglar/A 22172-2025 prioriterade fågelarter.docx", "A 22172-2025")</f>
        <v/>
      </c>
    </row>
    <row r="375" ht="15" customHeight="1">
      <c r="A375" t="inlineStr">
        <is>
          <t>A 55406-2025</t>
        </is>
      </c>
      <c r="B375" s="1" t="n">
        <v>45971</v>
      </c>
      <c r="C375" s="1" t="n">
        <v>46114</v>
      </c>
      <c r="D375" t="inlineStr">
        <is>
          <t>DALARNAS LÄN</t>
        </is>
      </c>
      <c r="E375" t="inlineStr">
        <is>
          <t>LUDVIKA</t>
        </is>
      </c>
      <c r="F375" t="inlineStr">
        <is>
          <t>Bergvik skog väst AB</t>
        </is>
      </c>
      <c r="G375" t="n">
        <v>25</v>
      </c>
      <c r="H375" t="n">
        <v>4</v>
      </c>
      <c r="I375" t="n">
        <v>2</v>
      </c>
      <c r="J375" t="n">
        <v>0</v>
      </c>
      <c r="K375" t="n">
        <v>0</v>
      </c>
      <c r="L375" t="n">
        <v>0</v>
      </c>
      <c r="M375" t="n">
        <v>0</v>
      </c>
      <c r="N375" t="n">
        <v>0</v>
      </c>
      <c r="O375" t="n">
        <v>0</v>
      </c>
      <c r="P375" t="n">
        <v>0</v>
      </c>
      <c r="Q375" t="n">
        <v>5</v>
      </c>
      <c r="R375" s="2" t="inlineStr">
        <is>
          <t>Gullgröppa
Plattlummer
Nattviol
Blåsippa
Revlummer</t>
        </is>
      </c>
      <c r="S375">
        <f>HYPERLINK("https://klasma.github.io/Logging_2085/artfynd/A 55406-2025 artfynd.xlsx", "A 55406-2025")</f>
        <v/>
      </c>
      <c r="T375">
        <f>HYPERLINK("https://klasma.github.io/Logging_2085/kartor/A 55406-2025 karta.png", "A 55406-2025")</f>
        <v/>
      </c>
      <c r="U375">
        <f>HYPERLINK("https://klasma.github.io/Logging_2085/knärot/A 55406-2025 karta knärot.png", "A 55406-2025")</f>
        <v/>
      </c>
      <c r="V375">
        <f>HYPERLINK("https://klasma.github.io/Logging_2085/klagomål/A 55406-2025 FSC-klagomål.docx", "A 55406-2025")</f>
        <v/>
      </c>
      <c r="W375">
        <f>HYPERLINK("https://klasma.github.io/Logging_2085/klagomålsmail/A 55406-2025 FSC-klagomål mail.docx", "A 55406-2025")</f>
        <v/>
      </c>
      <c r="X375">
        <f>HYPERLINK("https://klasma.github.io/Logging_2085/tillsyn/A 55406-2025 tillsynsbegäran.docx", "A 55406-2025")</f>
        <v/>
      </c>
      <c r="Y375">
        <f>HYPERLINK("https://klasma.github.io/Logging_2085/tillsynsmail/A 55406-2025 tillsynsbegäran mail.docx", "A 55406-2025")</f>
        <v/>
      </c>
    </row>
    <row r="376" ht="15" customHeight="1">
      <c r="A376" t="inlineStr">
        <is>
          <t>A 25750-2021</t>
        </is>
      </c>
      <c r="B376" s="1" t="n">
        <v>44343</v>
      </c>
      <c r="C376" s="1" t="n">
        <v>46114</v>
      </c>
      <c r="D376" t="inlineStr">
        <is>
          <t>DALARNAS LÄN</t>
        </is>
      </c>
      <c r="E376" t="inlineStr">
        <is>
          <t>MORA</t>
        </is>
      </c>
      <c r="G376" t="n">
        <v>3.4</v>
      </c>
      <c r="H376" t="n">
        <v>2</v>
      </c>
      <c r="I376" t="n">
        <v>0</v>
      </c>
      <c r="J376" t="n">
        <v>4</v>
      </c>
      <c r="K376" t="n">
        <v>1</v>
      </c>
      <c r="L376" t="n">
        <v>0</v>
      </c>
      <c r="M376" t="n">
        <v>0</v>
      </c>
      <c r="N376" t="n">
        <v>0</v>
      </c>
      <c r="O376" t="n">
        <v>5</v>
      </c>
      <c r="P376" t="n">
        <v>1</v>
      </c>
      <c r="Q376" t="n">
        <v>5</v>
      </c>
      <c r="R376" s="2" t="inlineStr">
        <is>
          <t>Knärot
Garnlav
Kolflarnlav
Mörk kolflarnlav
Spillkråka</t>
        </is>
      </c>
      <c r="S376">
        <f>HYPERLINK("https://klasma.github.io/Logging_2062/artfynd/A 25750-2021 artfynd.xlsx", "A 25750-2021")</f>
        <v/>
      </c>
      <c r="T376">
        <f>HYPERLINK("https://klasma.github.io/Logging_2062/kartor/A 25750-2021 karta.png", "A 25750-2021")</f>
        <v/>
      </c>
      <c r="U376">
        <f>HYPERLINK("https://klasma.github.io/Logging_2062/knärot/A 25750-2021 karta knärot.png", "A 25750-2021")</f>
        <v/>
      </c>
      <c r="V376">
        <f>HYPERLINK("https://klasma.github.io/Logging_2062/klagomål/A 25750-2021 FSC-klagomål.docx", "A 25750-2021")</f>
        <v/>
      </c>
      <c r="W376">
        <f>HYPERLINK("https://klasma.github.io/Logging_2062/klagomålsmail/A 25750-2021 FSC-klagomål mail.docx", "A 25750-2021")</f>
        <v/>
      </c>
      <c r="X376">
        <f>HYPERLINK("https://klasma.github.io/Logging_2062/tillsyn/A 25750-2021 tillsynsbegäran.docx", "A 25750-2021")</f>
        <v/>
      </c>
      <c r="Y376">
        <f>HYPERLINK("https://klasma.github.io/Logging_2062/tillsynsmail/A 25750-2021 tillsynsbegäran mail.docx", "A 25750-2021")</f>
        <v/>
      </c>
      <c r="Z376">
        <f>HYPERLINK("https://klasma.github.io/Logging_2062/fåglar/A 25750-2021 prioriterade fågelarter.docx", "A 25750-2021")</f>
        <v/>
      </c>
    </row>
    <row r="377" ht="15" customHeight="1">
      <c r="A377" t="inlineStr">
        <is>
          <t>A 7618-2025</t>
        </is>
      </c>
      <c r="B377" s="1" t="n">
        <v>45705</v>
      </c>
      <c r="C377" s="1" t="n">
        <v>46114</v>
      </c>
      <c r="D377" t="inlineStr">
        <is>
          <t>DALARNAS LÄN</t>
        </is>
      </c>
      <c r="E377" t="inlineStr">
        <is>
          <t>ORSA</t>
        </is>
      </c>
      <c r="G377" t="n">
        <v>0.9</v>
      </c>
      <c r="H377" t="n">
        <v>2</v>
      </c>
      <c r="I377" t="n">
        <v>0</v>
      </c>
      <c r="J377" t="n">
        <v>4</v>
      </c>
      <c r="K377" t="n">
        <v>1</v>
      </c>
      <c r="L377" t="n">
        <v>0</v>
      </c>
      <c r="M377" t="n">
        <v>0</v>
      </c>
      <c r="N377" t="n">
        <v>0</v>
      </c>
      <c r="O377" t="n">
        <v>5</v>
      </c>
      <c r="P377" t="n">
        <v>1</v>
      </c>
      <c r="Q377" t="n">
        <v>5</v>
      </c>
      <c r="R377" s="2" t="inlineStr">
        <is>
          <t>Knärot
Garnlav
Kolflarnlav
Talltita
Violettgrå tagellav</t>
        </is>
      </c>
      <c r="S377">
        <f>HYPERLINK("https://klasma.github.io/Logging_2034/artfynd/A 7618-2025 artfynd.xlsx", "A 7618-2025")</f>
        <v/>
      </c>
      <c r="T377">
        <f>HYPERLINK("https://klasma.github.io/Logging_2034/kartor/A 7618-2025 karta.png", "A 7618-2025")</f>
        <v/>
      </c>
      <c r="U377">
        <f>HYPERLINK("https://klasma.github.io/Logging_2034/knärot/A 7618-2025 karta knärot.png", "A 7618-2025")</f>
        <v/>
      </c>
      <c r="V377">
        <f>HYPERLINK("https://klasma.github.io/Logging_2034/klagomål/A 7618-2025 FSC-klagomål.docx", "A 7618-2025")</f>
        <v/>
      </c>
      <c r="W377">
        <f>HYPERLINK("https://klasma.github.io/Logging_2034/klagomålsmail/A 7618-2025 FSC-klagomål mail.docx", "A 7618-2025")</f>
        <v/>
      </c>
      <c r="X377">
        <f>HYPERLINK("https://klasma.github.io/Logging_2034/tillsyn/A 7618-2025 tillsynsbegäran.docx", "A 7618-2025")</f>
        <v/>
      </c>
      <c r="Y377">
        <f>HYPERLINK("https://klasma.github.io/Logging_2034/tillsynsmail/A 7618-2025 tillsynsbegäran mail.docx", "A 7618-2025")</f>
        <v/>
      </c>
      <c r="Z377">
        <f>HYPERLINK("https://klasma.github.io/Logging_2034/fåglar/A 7618-2025 prioriterade fågelarter.docx", "A 7618-2025")</f>
        <v/>
      </c>
    </row>
    <row r="378" ht="15" customHeight="1">
      <c r="A378" t="inlineStr">
        <is>
          <t>A 31957-2025</t>
        </is>
      </c>
      <c r="B378" s="1" t="n">
        <v>45835</v>
      </c>
      <c r="C378" s="1" t="n">
        <v>46114</v>
      </c>
      <c r="D378" t="inlineStr">
        <is>
          <t>DALARNAS LÄN</t>
        </is>
      </c>
      <c r="E378" t="inlineStr">
        <is>
          <t>LEKSAND</t>
        </is>
      </c>
      <c r="G378" t="n">
        <v>5.2</v>
      </c>
      <c r="H378" t="n">
        <v>2</v>
      </c>
      <c r="I378" t="n">
        <v>0</v>
      </c>
      <c r="J378" t="n">
        <v>3</v>
      </c>
      <c r="K378" t="n">
        <v>1</v>
      </c>
      <c r="L378" t="n">
        <v>0</v>
      </c>
      <c r="M378" t="n">
        <v>0</v>
      </c>
      <c r="N378" t="n">
        <v>0</v>
      </c>
      <c r="O378" t="n">
        <v>4</v>
      </c>
      <c r="P378" t="n">
        <v>1</v>
      </c>
      <c r="Q378" t="n">
        <v>5</v>
      </c>
      <c r="R378" s="2" t="inlineStr">
        <is>
          <t>Knärot
Dvärgbägarlav
Mörk kolflarnlav
Vedskivlav
Tjäder</t>
        </is>
      </c>
      <c r="S378">
        <f>HYPERLINK("https://klasma.github.io/Logging_2029/artfynd/A 31957-2025 artfynd.xlsx", "A 31957-2025")</f>
        <v/>
      </c>
      <c r="T378">
        <f>HYPERLINK("https://klasma.github.io/Logging_2029/kartor/A 31957-2025 karta.png", "A 31957-2025")</f>
        <v/>
      </c>
      <c r="U378">
        <f>HYPERLINK("https://klasma.github.io/Logging_2029/knärot/A 31957-2025 karta knärot.png", "A 31957-2025")</f>
        <v/>
      </c>
      <c r="V378">
        <f>HYPERLINK("https://klasma.github.io/Logging_2029/klagomål/A 31957-2025 FSC-klagomål.docx", "A 31957-2025")</f>
        <v/>
      </c>
      <c r="W378">
        <f>HYPERLINK("https://klasma.github.io/Logging_2029/klagomålsmail/A 31957-2025 FSC-klagomål mail.docx", "A 31957-2025")</f>
        <v/>
      </c>
      <c r="X378">
        <f>HYPERLINK("https://klasma.github.io/Logging_2029/tillsyn/A 31957-2025 tillsynsbegäran.docx", "A 31957-2025")</f>
        <v/>
      </c>
      <c r="Y378">
        <f>HYPERLINK("https://klasma.github.io/Logging_2029/tillsynsmail/A 31957-2025 tillsynsbegäran mail.docx", "A 31957-2025")</f>
        <v/>
      </c>
      <c r="Z378">
        <f>HYPERLINK("https://klasma.github.io/Logging_2029/fåglar/A 31957-2025 prioriterade fågelarter.docx", "A 31957-2025")</f>
        <v/>
      </c>
    </row>
    <row r="379" ht="15" customHeight="1">
      <c r="A379" t="inlineStr">
        <is>
          <t>A 53053-2024</t>
        </is>
      </c>
      <c r="B379" s="1" t="n">
        <v>45611.45895833334</v>
      </c>
      <c r="C379" s="1" t="n">
        <v>46114</v>
      </c>
      <c r="D379" t="inlineStr">
        <is>
          <t>DALARNAS LÄN</t>
        </is>
      </c>
      <c r="E379" t="inlineStr">
        <is>
          <t>LUDVIKA</t>
        </is>
      </c>
      <c r="F379" t="inlineStr">
        <is>
          <t>Bergvik skog väst AB</t>
        </is>
      </c>
      <c r="G379" t="n">
        <v>17.3</v>
      </c>
      <c r="H379" t="n">
        <v>1</v>
      </c>
      <c r="I379" t="n">
        <v>1</v>
      </c>
      <c r="J379" t="n">
        <v>3</v>
      </c>
      <c r="K379" t="n">
        <v>1</v>
      </c>
      <c r="L379" t="n">
        <v>0</v>
      </c>
      <c r="M379" t="n">
        <v>0</v>
      </c>
      <c r="N379" t="n">
        <v>0</v>
      </c>
      <c r="O379" t="n">
        <v>4</v>
      </c>
      <c r="P379" t="n">
        <v>1</v>
      </c>
      <c r="Q379" t="n">
        <v>5</v>
      </c>
      <c r="R379" s="2" t="inlineStr">
        <is>
          <t>Knärot
Garnlav
Ullticka
Vedtrappmossa
Dropptaggsvamp</t>
        </is>
      </c>
      <c r="S379">
        <f>HYPERLINK("https://klasma.github.io/Logging_2085/artfynd/A 53053-2024 artfynd.xlsx", "A 53053-2024")</f>
        <v/>
      </c>
      <c r="T379">
        <f>HYPERLINK("https://klasma.github.io/Logging_2085/kartor/A 53053-2024 karta.png", "A 53053-2024")</f>
        <v/>
      </c>
      <c r="U379">
        <f>HYPERLINK("https://klasma.github.io/Logging_2085/knärot/A 53053-2024 karta knärot.png", "A 53053-2024")</f>
        <v/>
      </c>
      <c r="V379">
        <f>HYPERLINK("https://klasma.github.io/Logging_2085/klagomål/A 53053-2024 FSC-klagomål.docx", "A 53053-2024")</f>
        <v/>
      </c>
      <c r="W379">
        <f>HYPERLINK("https://klasma.github.io/Logging_2085/klagomålsmail/A 53053-2024 FSC-klagomål mail.docx", "A 53053-2024")</f>
        <v/>
      </c>
      <c r="X379">
        <f>HYPERLINK("https://klasma.github.io/Logging_2085/tillsyn/A 53053-2024 tillsynsbegäran.docx", "A 53053-2024")</f>
        <v/>
      </c>
      <c r="Y379">
        <f>HYPERLINK("https://klasma.github.io/Logging_2085/tillsynsmail/A 53053-2024 tillsynsbegäran mail.docx", "A 53053-2024")</f>
        <v/>
      </c>
    </row>
    <row r="380" ht="15" customHeight="1">
      <c r="A380" t="inlineStr">
        <is>
          <t>A 61585-2025</t>
        </is>
      </c>
      <c r="B380" s="1" t="n">
        <v>46002.34267361111</v>
      </c>
      <c r="C380" s="1" t="n">
        <v>46114</v>
      </c>
      <c r="D380" t="inlineStr">
        <is>
          <t>DALARNAS LÄN</t>
        </is>
      </c>
      <c r="E380" t="inlineStr">
        <is>
          <t>ÄLVDALEN</t>
        </is>
      </c>
      <c r="F380" t="inlineStr">
        <is>
          <t>Sveaskog</t>
        </is>
      </c>
      <c r="G380" t="n">
        <v>11.2</v>
      </c>
      <c r="H380" t="n">
        <v>0</v>
      </c>
      <c r="I380" t="n">
        <v>0</v>
      </c>
      <c r="J380" t="n">
        <v>5</v>
      </c>
      <c r="K380" t="n">
        <v>0</v>
      </c>
      <c r="L380" t="n">
        <v>0</v>
      </c>
      <c r="M380" t="n">
        <v>0</v>
      </c>
      <c r="N380" t="n">
        <v>0</v>
      </c>
      <c r="O380" t="n">
        <v>5</v>
      </c>
      <c r="P380" t="n">
        <v>0</v>
      </c>
      <c r="Q380" t="n">
        <v>5</v>
      </c>
      <c r="R380" s="2" t="inlineStr">
        <is>
          <t>Dvärgbägarlav
Garnlav
Kolflarnlav
Skrovellav
Vedflamlav</t>
        </is>
      </c>
      <c r="S380">
        <f>HYPERLINK("https://klasma.github.io/Logging_2039/artfynd/A 61585-2025 artfynd.xlsx", "A 61585-2025")</f>
        <v/>
      </c>
      <c r="T380">
        <f>HYPERLINK("https://klasma.github.io/Logging_2039/kartor/A 61585-2025 karta.png", "A 61585-2025")</f>
        <v/>
      </c>
      <c r="V380">
        <f>HYPERLINK("https://klasma.github.io/Logging_2039/klagomål/A 61585-2025 FSC-klagomål.docx", "A 61585-2025")</f>
        <v/>
      </c>
      <c r="W380">
        <f>HYPERLINK("https://klasma.github.io/Logging_2039/klagomålsmail/A 61585-2025 FSC-klagomål mail.docx", "A 61585-2025")</f>
        <v/>
      </c>
      <c r="X380">
        <f>HYPERLINK("https://klasma.github.io/Logging_2039/tillsyn/A 61585-2025 tillsynsbegäran.docx", "A 61585-2025")</f>
        <v/>
      </c>
      <c r="Y380">
        <f>HYPERLINK("https://klasma.github.io/Logging_2039/tillsynsmail/A 61585-2025 tillsynsbegäran mail.docx", "A 61585-2025")</f>
        <v/>
      </c>
    </row>
    <row r="381" ht="15" customHeight="1">
      <c r="A381" t="inlineStr">
        <is>
          <t>A 61591-2025</t>
        </is>
      </c>
      <c r="B381" s="1" t="n">
        <v>46002.34777777778</v>
      </c>
      <c r="C381" s="1" t="n">
        <v>46114</v>
      </c>
      <c r="D381" t="inlineStr">
        <is>
          <t>DALARNAS LÄN</t>
        </is>
      </c>
      <c r="E381" t="inlineStr">
        <is>
          <t>ÄLVDALEN</t>
        </is>
      </c>
      <c r="F381" t="inlineStr">
        <is>
          <t>Sveaskog</t>
        </is>
      </c>
      <c r="G381" t="n">
        <v>8.1</v>
      </c>
      <c r="H381" t="n">
        <v>1</v>
      </c>
      <c r="I381" t="n">
        <v>2</v>
      </c>
      <c r="J381" t="n">
        <v>3</v>
      </c>
      <c r="K381" t="n">
        <v>0</v>
      </c>
      <c r="L381" t="n">
        <v>0</v>
      </c>
      <c r="M381" t="n">
        <v>0</v>
      </c>
      <c r="N381" t="n">
        <v>0</v>
      </c>
      <c r="O381" t="n">
        <v>3</v>
      </c>
      <c r="P381" t="n">
        <v>0</v>
      </c>
      <c r="Q381" t="n">
        <v>5</v>
      </c>
      <c r="R381" s="2" t="inlineStr">
        <is>
          <t>Dvärgbägarlav
Kolflarnlav
Mörk kolflarnlav
Dropptaggsvamp
Plattlummer</t>
        </is>
      </c>
      <c r="S381">
        <f>HYPERLINK("https://klasma.github.io/Logging_2039/artfynd/A 61591-2025 artfynd.xlsx", "A 61591-2025")</f>
        <v/>
      </c>
      <c r="T381">
        <f>HYPERLINK("https://klasma.github.io/Logging_2039/kartor/A 61591-2025 karta.png", "A 61591-2025")</f>
        <v/>
      </c>
      <c r="V381">
        <f>HYPERLINK("https://klasma.github.io/Logging_2039/klagomål/A 61591-2025 FSC-klagomål.docx", "A 61591-2025")</f>
        <v/>
      </c>
      <c r="W381">
        <f>HYPERLINK("https://klasma.github.io/Logging_2039/klagomålsmail/A 61591-2025 FSC-klagomål mail.docx", "A 61591-2025")</f>
        <v/>
      </c>
      <c r="X381">
        <f>HYPERLINK("https://klasma.github.io/Logging_2039/tillsyn/A 61591-2025 tillsynsbegäran.docx", "A 61591-2025")</f>
        <v/>
      </c>
      <c r="Y381">
        <f>HYPERLINK("https://klasma.github.io/Logging_2039/tillsynsmail/A 61591-2025 tillsynsbegäran mail.docx", "A 61591-2025")</f>
        <v/>
      </c>
    </row>
    <row r="382" ht="15" customHeight="1">
      <c r="A382" t="inlineStr">
        <is>
          <t>A 23464-2023</t>
        </is>
      </c>
      <c r="B382" s="1" t="n">
        <v>45076</v>
      </c>
      <c r="C382" s="1" t="n">
        <v>46114</v>
      </c>
      <c r="D382" t="inlineStr">
        <is>
          <t>DALARNAS LÄN</t>
        </is>
      </c>
      <c r="E382" t="inlineStr">
        <is>
          <t>SÄTER</t>
        </is>
      </c>
      <c r="G382" t="n">
        <v>4.6</v>
      </c>
      <c r="H382" t="n">
        <v>0</v>
      </c>
      <c r="I382" t="n">
        <v>3</v>
      </c>
      <c r="J382" t="n">
        <v>1</v>
      </c>
      <c r="K382" t="n">
        <v>1</v>
      </c>
      <c r="L382" t="n">
        <v>0</v>
      </c>
      <c r="M382" t="n">
        <v>0</v>
      </c>
      <c r="N382" t="n">
        <v>0</v>
      </c>
      <c r="O382" t="n">
        <v>2</v>
      </c>
      <c r="P382" t="n">
        <v>1</v>
      </c>
      <c r="Q382" t="n">
        <v>5</v>
      </c>
      <c r="R382" s="2" t="inlineStr">
        <is>
          <t>Lammticka
Svart taggsvamp agg.
Dropptaggsvamp
Skarp dropptaggsvamp
Smal svampklubba</t>
        </is>
      </c>
      <c r="S382">
        <f>HYPERLINK("https://klasma.github.io/Logging_2082/artfynd/A 23464-2023 artfynd.xlsx", "A 23464-2023")</f>
        <v/>
      </c>
      <c r="T382">
        <f>HYPERLINK("https://klasma.github.io/Logging_2082/kartor/A 23464-2023 karta.png", "A 23464-2023")</f>
        <v/>
      </c>
      <c r="V382">
        <f>HYPERLINK("https://klasma.github.io/Logging_2082/klagomål/A 23464-2023 FSC-klagomål.docx", "A 23464-2023")</f>
        <v/>
      </c>
      <c r="W382">
        <f>HYPERLINK("https://klasma.github.io/Logging_2082/klagomålsmail/A 23464-2023 FSC-klagomål mail.docx", "A 23464-2023")</f>
        <v/>
      </c>
      <c r="X382">
        <f>HYPERLINK("https://klasma.github.io/Logging_2082/tillsyn/A 23464-2023 tillsynsbegäran.docx", "A 23464-2023")</f>
        <v/>
      </c>
      <c r="Y382">
        <f>HYPERLINK("https://klasma.github.io/Logging_2082/tillsynsmail/A 23464-2023 tillsynsbegäran mail.docx", "A 23464-2023")</f>
        <v/>
      </c>
    </row>
    <row r="383" ht="15" customHeight="1">
      <c r="A383" t="inlineStr">
        <is>
          <t>A 992-2024</t>
        </is>
      </c>
      <c r="B383" s="1" t="n">
        <v>45301</v>
      </c>
      <c r="C383" s="1" t="n">
        <v>46114</v>
      </c>
      <c r="D383" t="inlineStr">
        <is>
          <t>DALARNAS LÄN</t>
        </is>
      </c>
      <c r="E383" t="inlineStr">
        <is>
          <t>HEDEMORA</t>
        </is>
      </c>
      <c r="G383" t="n">
        <v>4.2</v>
      </c>
      <c r="H383" t="n">
        <v>2</v>
      </c>
      <c r="I383" t="n">
        <v>1</v>
      </c>
      <c r="J383" t="n">
        <v>4</v>
      </c>
      <c r="K383" t="n">
        <v>0</v>
      </c>
      <c r="L383" t="n">
        <v>0</v>
      </c>
      <c r="M383" t="n">
        <v>0</v>
      </c>
      <c r="N383" t="n">
        <v>0</v>
      </c>
      <c r="O383" t="n">
        <v>4</v>
      </c>
      <c r="P383" t="n">
        <v>0</v>
      </c>
      <c r="Q383" t="n">
        <v>5</v>
      </c>
      <c r="R383" s="2" t="inlineStr">
        <is>
          <t>Aspskinn
Spillkråka
Tretåig hackspett
Ullticka
Vårärt</t>
        </is>
      </c>
      <c r="S383">
        <f>HYPERLINK("https://klasma.github.io/Logging_2083/artfynd/A 992-2024 artfynd.xlsx", "A 992-2024")</f>
        <v/>
      </c>
      <c r="T383">
        <f>HYPERLINK("https://klasma.github.io/Logging_2083/kartor/A 992-2024 karta.png", "A 992-2024")</f>
        <v/>
      </c>
      <c r="V383">
        <f>HYPERLINK("https://klasma.github.io/Logging_2083/klagomål/A 992-2024 FSC-klagomål.docx", "A 992-2024")</f>
        <v/>
      </c>
      <c r="W383">
        <f>HYPERLINK("https://klasma.github.io/Logging_2083/klagomålsmail/A 992-2024 FSC-klagomål mail.docx", "A 992-2024")</f>
        <v/>
      </c>
      <c r="X383">
        <f>HYPERLINK("https://klasma.github.io/Logging_2083/tillsyn/A 992-2024 tillsynsbegäran.docx", "A 992-2024")</f>
        <v/>
      </c>
      <c r="Y383">
        <f>HYPERLINK("https://klasma.github.io/Logging_2083/tillsynsmail/A 992-2024 tillsynsbegäran mail.docx", "A 992-2024")</f>
        <v/>
      </c>
      <c r="Z383">
        <f>HYPERLINK("https://klasma.github.io/Logging_2083/fåglar/A 992-2024 prioriterade fågelarter.docx", "A 992-2024")</f>
        <v/>
      </c>
    </row>
    <row r="384" ht="15" customHeight="1">
      <c r="A384" t="inlineStr">
        <is>
          <t>A 35487-2025</t>
        </is>
      </c>
      <c r="B384" s="1" t="n">
        <v>45855</v>
      </c>
      <c r="C384" s="1" t="n">
        <v>46114</v>
      </c>
      <c r="D384" t="inlineStr">
        <is>
          <t>DALARNAS LÄN</t>
        </is>
      </c>
      <c r="E384" t="inlineStr">
        <is>
          <t>MORA</t>
        </is>
      </c>
      <c r="F384" t="inlineStr">
        <is>
          <t>Allmännings- och besparingsskogar</t>
        </is>
      </c>
      <c r="G384" t="n">
        <v>0.7</v>
      </c>
      <c r="H384" t="n">
        <v>2</v>
      </c>
      <c r="I384" t="n">
        <v>0</v>
      </c>
      <c r="J384" t="n">
        <v>3</v>
      </c>
      <c r="K384" t="n">
        <v>0</v>
      </c>
      <c r="L384" t="n">
        <v>0</v>
      </c>
      <c r="M384" t="n">
        <v>0</v>
      </c>
      <c r="N384" t="n">
        <v>0</v>
      </c>
      <c r="O384" t="n">
        <v>3</v>
      </c>
      <c r="P384" t="n">
        <v>0</v>
      </c>
      <c r="Q384" t="n">
        <v>5</v>
      </c>
      <c r="R384" s="2" t="inlineStr">
        <is>
          <t>Dvärgbägarlav
Garnlav
Vedskivlav
Tjäder
Revlummer</t>
        </is>
      </c>
      <c r="S384">
        <f>HYPERLINK("https://klasma.github.io/Logging_2062/artfynd/A 35487-2025 artfynd.xlsx", "A 35487-2025")</f>
        <v/>
      </c>
      <c r="T384">
        <f>HYPERLINK("https://klasma.github.io/Logging_2062/kartor/A 35487-2025 karta.png", "A 35487-2025")</f>
        <v/>
      </c>
      <c r="V384">
        <f>HYPERLINK("https://klasma.github.io/Logging_2062/klagomål/A 35487-2025 FSC-klagomål.docx", "A 35487-2025")</f>
        <v/>
      </c>
      <c r="W384">
        <f>HYPERLINK("https://klasma.github.io/Logging_2062/klagomålsmail/A 35487-2025 FSC-klagomål mail.docx", "A 35487-2025")</f>
        <v/>
      </c>
      <c r="X384">
        <f>HYPERLINK("https://klasma.github.io/Logging_2062/tillsyn/A 35487-2025 tillsynsbegäran.docx", "A 35487-2025")</f>
        <v/>
      </c>
      <c r="Y384">
        <f>HYPERLINK("https://klasma.github.io/Logging_2062/tillsynsmail/A 35487-2025 tillsynsbegäran mail.docx", "A 35487-2025")</f>
        <v/>
      </c>
      <c r="Z384">
        <f>HYPERLINK("https://klasma.github.io/Logging_2062/fåglar/A 35487-2025 prioriterade fågelarter.docx", "A 35487-2025")</f>
        <v/>
      </c>
    </row>
    <row r="385" ht="15" customHeight="1">
      <c r="A385" t="inlineStr">
        <is>
          <t>A 62684-2025</t>
        </is>
      </c>
      <c r="B385" s="1" t="n">
        <v>46008.45831018518</v>
      </c>
      <c r="C385" s="1" t="n">
        <v>46114</v>
      </c>
      <c r="D385" t="inlineStr">
        <is>
          <t>DALARNAS LÄN</t>
        </is>
      </c>
      <c r="E385" t="inlineStr">
        <is>
          <t>ÄLVDALEN</t>
        </is>
      </c>
      <c r="G385" t="n">
        <v>20.3</v>
      </c>
      <c r="H385" t="n">
        <v>2</v>
      </c>
      <c r="I385" t="n">
        <v>2</v>
      </c>
      <c r="J385" t="n">
        <v>3</v>
      </c>
      <c r="K385" t="n">
        <v>0</v>
      </c>
      <c r="L385" t="n">
        <v>0</v>
      </c>
      <c r="M385" t="n">
        <v>0</v>
      </c>
      <c r="N385" t="n">
        <v>0</v>
      </c>
      <c r="O385" t="n">
        <v>3</v>
      </c>
      <c r="P385" t="n">
        <v>0</v>
      </c>
      <c r="Q385" t="n">
        <v>5</v>
      </c>
      <c r="R385" s="2" t="inlineStr">
        <is>
          <t>Garnlav
Spillkråka
Talltita
Grovticka
Mindre märgborre</t>
        </is>
      </c>
      <c r="S385">
        <f>HYPERLINK("https://klasma.github.io/Logging_2039/artfynd/A 62684-2025 artfynd.xlsx", "A 62684-2025")</f>
        <v/>
      </c>
      <c r="T385">
        <f>HYPERLINK("https://klasma.github.io/Logging_2039/kartor/A 62684-2025 karta.png", "A 62684-2025")</f>
        <v/>
      </c>
      <c r="V385">
        <f>HYPERLINK("https://klasma.github.io/Logging_2039/klagomål/A 62684-2025 FSC-klagomål.docx", "A 62684-2025")</f>
        <v/>
      </c>
      <c r="W385">
        <f>HYPERLINK("https://klasma.github.io/Logging_2039/klagomålsmail/A 62684-2025 FSC-klagomål mail.docx", "A 62684-2025")</f>
        <v/>
      </c>
      <c r="X385">
        <f>HYPERLINK("https://klasma.github.io/Logging_2039/tillsyn/A 62684-2025 tillsynsbegäran.docx", "A 62684-2025")</f>
        <v/>
      </c>
      <c r="Y385">
        <f>HYPERLINK("https://klasma.github.io/Logging_2039/tillsynsmail/A 62684-2025 tillsynsbegäran mail.docx", "A 62684-2025")</f>
        <v/>
      </c>
      <c r="Z385">
        <f>HYPERLINK("https://klasma.github.io/Logging_2039/fåglar/A 62684-2025 prioriterade fågelarter.docx", "A 62684-2025")</f>
        <v/>
      </c>
    </row>
    <row r="386" ht="15" customHeight="1">
      <c r="A386" t="inlineStr">
        <is>
          <t>A 10323-2026</t>
        </is>
      </c>
      <c r="B386" s="1" t="n">
        <v>46076.6580787037</v>
      </c>
      <c r="C386" s="1" t="n">
        <v>46114</v>
      </c>
      <c r="D386" t="inlineStr">
        <is>
          <t>DALARNAS LÄN</t>
        </is>
      </c>
      <c r="E386" t="inlineStr">
        <is>
          <t>GAGNEF</t>
        </is>
      </c>
      <c r="G386" t="n">
        <v>5.9</v>
      </c>
      <c r="H386" t="n">
        <v>2</v>
      </c>
      <c r="I386" t="n">
        <v>0</v>
      </c>
      <c r="J386" t="n">
        <v>3</v>
      </c>
      <c r="K386" t="n">
        <v>2</v>
      </c>
      <c r="L386" t="n">
        <v>0</v>
      </c>
      <c r="M386" t="n">
        <v>0</v>
      </c>
      <c r="N386" t="n">
        <v>0</v>
      </c>
      <c r="O386" t="n">
        <v>5</v>
      </c>
      <c r="P386" t="n">
        <v>2</v>
      </c>
      <c r="Q386" t="n">
        <v>5</v>
      </c>
      <c r="R386" s="2" t="inlineStr">
        <is>
          <t>Knärot
Rynkskinn
Rosenticka
Tretåig hackspett
Ullticka</t>
        </is>
      </c>
      <c r="S386">
        <f>HYPERLINK("https://klasma.github.io/Logging_2026/artfynd/A 10323-2026 artfynd.xlsx", "A 10323-2026")</f>
        <v/>
      </c>
      <c r="T386">
        <f>HYPERLINK("https://klasma.github.io/Logging_2026/kartor/A 10323-2026 karta.png", "A 10323-2026")</f>
        <v/>
      </c>
      <c r="U386">
        <f>HYPERLINK("https://klasma.github.io/Logging_2026/knärot/A 10323-2026 karta knärot.png", "A 10323-2026")</f>
        <v/>
      </c>
      <c r="V386">
        <f>HYPERLINK("https://klasma.github.io/Logging_2026/klagomål/A 10323-2026 FSC-klagomål.docx", "A 10323-2026")</f>
        <v/>
      </c>
      <c r="W386">
        <f>HYPERLINK("https://klasma.github.io/Logging_2026/klagomålsmail/A 10323-2026 FSC-klagomål mail.docx", "A 10323-2026")</f>
        <v/>
      </c>
      <c r="X386">
        <f>HYPERLINK("https://klasma.github.io/Logging_2026/tillsyn/A 10323-2026 tillsynsbegäran.docx", "A 10323-2026")</f>
        <v/>
      </c>
      <c r="Y386">
        <f>HYPERLINK("https://klasma.github.io/Logging_2026/tillsynsmail/A 10323-2026 tillsynsbegäran mail.docx", "A 10323-2026")</f>
        <v/>
      </c>
      <c r="Z386">
        <f>HYPERLINK("https://klasma.github.io/Logging_2026/fåglar/A 10323-2026 prioriterade fågelarter.docx", "A 10323-2026")</f>
        <v/>
      </c>
    </row>
    <row r="387" ht="15" customHeight="1">
      <c r="A387" t="inlineStr">
        <is>
          <t>A 2221-2026</t>
        </is>
      </c>
      <c r="B387" s="1" t="n">
        <v>46036.50204861111</v>
      </c>
      <c r="C387" s="1" t="n">
        <v>46114</v>
      </c>
      <c r="D387" t="inlineStr">
        <is>
          <t>DALARNAS LÄN</t>
        </is>
      </c>
      <c r="E387" t="inlineStr">
        <is>
          <t>ÄLVDALEN</t>
        </is>
      </c>
      <c r="F387" t="inlineStr">
        <is>
          <t>Allmännings- och besparingsskogar</t>
        </is>
      </c>
      <c r="G387" t="n">
        <v>3</v>
      </c>
      <c r="H387" t="n">
        <v>1</v>
      </c>
      <c r="I387" t="n">
        <v>0</v>
      </c>
      <c r="J387" t="n">
        <v>4</v>
      </c>
      <c r="K387" t="n">
        <v>0</v>
      </c>
      <c r="L387" t="n">
        <v>0</v>
      </c>
      <c r="M387" t="n">
        <v>0</v>
      </c>
      <c r="N387" t="n">
        <v>0</v>
      </c>
      <c r="O387" t="n">
        <v>4</v>
      </c>
      <c r="P387" t="n">
        <v>0</v>
      </c>
      <c r="Q387" t="n">
        <v>5</v>
      </c>
      <c r="R387" s="2" t="inlineStr">
        <is>
          <t>Garnlav
Kolflarnlav
Vedflamlav
Vedskivlav
Orre</t>
        </is>
      </c>
      <c r="S387">
        <f>HYPERLINK("https://klasma.github.io/Logging_2039/artfynd/A 2221-2026 artfynd.xlsx", "A 2221-2026")</f>
        <v/>
      </c>
      <c r="T387">
        <f>HYPERLINK("https://klasma.github.io/Logging_2039/kartor/A 2221-2026 karta.png", "A 2221-2026")</f>
        <v/>
      </c>
      <c r="V387">
        <f>HYPERLINK("https://klasma.github.io/Logging_2039/klagomål/A 2221-2026 FSC-klagomål.docx", "A 2221-2026")</f>
        <v/>
      </c>
      <c r="W387">
        <f>HYPERLINK("https://klasma.github.io/Logging_2039/klagomålsmail/A 2221-2026 FSC-klagomål mail.docx", "A 2221-2026")</f>
        <v/>
      </c>
      <c r="X387">
        <f>HYPERLINK("https://klasma.github.io/Logging_2039/tillsyn/A 2221-2026 tillsynsbegäran.docx", "A 2221-2026")</f>
        <v/>
      </c>
      <c r="Y387">
        <f>HYPERLINK("https://klasma.github.io/Logging_2039/tillsynsmail/A 2221-2026 tillsynsbegäran mail.docx", "A 2221-2026")</f>
        <v/>
      </c>
      <c r="Z387">
        <f>HYPERLINK("https://klasma.github.io/Logging_2039/fåglar/A 2221-2026 prioriterade fågelarter.docx", "A 2221-2026")</f>
        <v/>
      </c>
    </row>
    <row r="388" ht="15" customHeight="1">
      <c r="A388" t="inlineStr">
        <is>
          <t>A 32054-2021</t>
        </is>
      </c>
      <c r="B388" s="1" t="n">
        <v>44370</v>
      </c>
      <c r="C388" s="1" t="n">
        <v>46114</v>
      </c>
      <c r="D388" t="inlineStr">
        <is>
          <t>DALARNAS LÄN</t>
        </is>
      </c>
      <c r="E388" t="inlineStr">
        <is>
          <t>LUDVIKA</t>
        </is>
      </c>
      <c r="G388" t="n">
        <v>28.7</v>
      </c>
      <c r="H388" t="n">
        <v>2</v>
      </c>
      <c r="I388" t="n">
        <v>0</v>
      </c>
      <c r="J388" t="n">
        <v>5</v>
      </c>
      <c r="K388" t="n">
        <v>0</v>
      </c>
      <c r="L388" t="n">
        <v>0</v>
      </c>
      <c r="M388" t="n">
        <v>0</v>
      </c>
      <c r="N388" t="n">
        <v>0</v>
      </c>
      <c r="O388" t="n">
        <v>5</v>
      </c>
      <c r="P388" t="n">
        <v>0</v>
      </c>
      <c r="Q388" t="n">
        <v>5</v>
      </c>
      <c r="R388" s="2" t="inlineStr">
        <is>
          <t>Garnlav
Granticka
Kortskaftad ärgspik
Spillkråka
Tretåig hackspett</t>
        </is>
      </c>
      <c r="S388">
        <f>HYPERLINK("https://klasma.github.io/Logging_2085/artfynd/A 32054-2021 artfynd.xlsx", "A 32054-2021")</f>
        <v/>
      </c>
      <c r="T388">
        <f>HYPERLINK("https://klasma.github.io/Logging_2085/kartor/A 32054-2021 karta.png", "A 32054-2021")</f>
        <v/>
      </c>
      <c r="V388">
        <f>HYPERLINK("https://klasma.github.io/Logging_2085/klagomål/A 32054-2021 FSC-klagomål.docx", "A 32054-2021")</f>
        <v/>
      </c>
      <c r="W388">
        <f>HYPERLINK("https://klasma.github.io/Logging_2085/klagomålsmail/A 32054-2021 FSC-klagomål mail.docx", "A 32054-2021")</f>
        <v/>
      </c>
      <c r="X388">
        <f>HYPERLINK("https://klasma.github.io/Logging_2085/tillsyn/A 32054-2021 tillsynsbegäran.docx", "A 32054-2021")</f>
        <v/>
      </c>
      <c r="Y388">
        <f>HYPERLINK("https://klasma.github.io/Logging_2085/tillsynsmail/A 32054-2021 tillsynsbegäran mail.docx", "A 32054-2021")</f>
        <v/>
      </c>
      <c r="Z388">
        <f>HYPERLINK("https://klasma.github.io/Logging_2085/fåglar/A 32054-2021 prioriterade fågelarter.docx", "A 32054-2021")</f>
        <v/>
      </c>
    </row>
    <row r="389" ht="15" customHeight="1">
      <c r="A389" t="inlineStr">
        <is>
          <t>A 60557-2021</t>
        </is>
      </c>
      <c r="B389" s="1" t="n">
        <v>44495</v>
      </c>
      <c r="C389" s="1" t="n">
        <v>46114</v>
      </c>
      <c r="D389" t="inlineStr">
        <is>
          <t>DALARNAS LÄN</t>
        </is>
      </c>
      <c r="E389" t="inlineStr">
        <is>
          <t>HEDEMORA</t>
        </is>
      </c>
      <c r="G389" t="n">
        <v>3.5</v>
      </c>
      <c r="H389" t="n">
        <v>2</v>
      </c>
      <c r="I389" t="n">
        <v>0</v>
      </c>
      <c r="J389" t="n">
        <v>3</v>
      </c>
      <c r="K389" t="n">
        <v>2</v>
      </c>
      <c r="L389" t="n">
        <v>0</v>
      </c>
      <c r="M389" t="n">
        <v>0</v>
      </c>
      <c r="N389" t="n">
        <v>0</v>
      </c>
      <c r="O389" t="n">
        <v>5</v>
      </c>
      <c r="P389" t="n">
        <v>2</v>
      </c>
      <c r="Q389" t="n">
        <v>5</v>
      </c>
      <c r="R389" s="2" t="inlineStr">
        <is>
          <t>Knärot
Rynkskinn
Rosenticka
Talltita
Ullticka</t>
        </is>
      </c>
      <c r="S389">
        <f>HYPERLINK("https://klasma.github.io/Logging_2083/artfynd/A 60557-2021 artfynd.xlsx", "A 60557-2021")</f>
        <v/>
      </c>
      <c r="T389">
        <f>HYPERLINK("https://klasma.github.io/Logging_2083/kartor/A 60557-2021 karta.png", "A 60557-2021")</f>
        <v/>
      </c>
      <c r="U389">
        <f>HYPERLINK("https://klasma.github.io/Logging_2083/knärot/A 60557-2021 karta knärot.png", "A 60557-2021")</f>
        <v/>
      </c>
      <c r="V389">
        <f>HYPERLINK("https://klasma.github.io/Logging_2083/klagomål/A 60557-2021 FSC-klagomål.docx", "A 60557-2021")</f>
        <v/>
      </c>
      <c r="W389">
        <f>HYPERLINK("https://klasma.github.io/Logging_2083/klagomålsmail/A 60557-2021 FSC-klagomål mail.docx", "A 60557-2021")</f>
        <v/>
      </c>
      <c r="X389">
        <f>HYPERLINK("https://klasma.github.io/Logging_2083/tillsyn/A 60557-2021 tillsynsbegäran.docx", "A 60557-2021")</f>
        <v/>
      </c>
      <c r="Y389">
        <f>HYPERLINK("https://klasma.github.io/Logging_2083/tillsynsmail/A 60557-2021 tillsynsbegäran mail.docx", "A 60557-2021")</f>
        <v/>
      </c>
      <c r="Z389">
        <f>HYPERLINK("https://klasma.github.io/Logging_2083/fåglar/A 60557-2021 prioriterade fågelarter.docx", "A 60557-2021")</f>
        <v/>
      </c>
    </row>
    <row r="390" ht="15" customHeight="1">
      <c r="A390" t="inlineStr">
        <is>
          <t>A 5827-2026</t>
        </is>
      </c>
      <c r="B390" s="1" t="n">
        <v>46051</v>
      </c>
      <c r="C390" s="1" t="n">
        <v>46114</v>
      </c>
      <c r="D390" t="inlineStr">
        <is>
          <t>DALARNAS LÄN</t>
        </is>
      </c>
      <c r="E390" t="inlineStr">
        <is>
          <t>HEDEMORA</t>
        </is>
      </c>
      <c r="G390" t="n">
        <v>2.5</v>
      </c>
      <c r="H390" t="n">
        <v>1</v>
      </c>
      <c r="I390" t="n">
        <v>2</v>
      </c>
      <c r="J390" t="n">
        <v>2</v>
      </c>
      <c r="K390" t="n">
        <v>0</v>
      </c>
      <c r="L390" t="n">
        <v>0</v>
      </c>
      <c r="M390" t="n">
        <v>0</v>
      </c>
      <c r="N390" t="n">
        <v>0</v>
      </c>
      <c r="O390" t="n">
        <v>2</v>
      </c>
      <c r="P390" t="n">
        <v>0</v>
      </c>
      <c r="Q390" t="n">
        <v>5</v>
      </c>
      <c r="R390" s="2" t="inlineStr">
        <is>
          <t>Gul taggsvamp
Vedtrappmossa
Nästlav
Rödgul trumpetsvamp
Blåsippa</t>
        </is>
      </c>
      <c r="S390">
        <f>HYPERLINK("https://klasma.github.io/Logging_2083/artfynd/A 5827-2026 artfynd.xlsx", "A 5827-2026")</f>
        <v/>
      </c>
      <c r="T390">
        <f>HYPERLINK("https://klasma.github.io/Logging_2083/kartor/A 5827-2026 karta.png", "A 5827-2026")</f>
        <v/>
      </c>
      <c r="V390">
        <f>HYPERLINK("https://klasma.github.io/Logging_2083/klagomål/A 5827-2026 FSC-klagomål.docx", "A 5827-2026")</f>
        <v/>
      </c>
      <c r="W390">
        <f>HYPERLINK("https://klasma.github.io/Logging_2083/klagomålsmail/A 5827-2026 FSC-klagomål mail.docx", "A 5827-2026")</f>
        <v/>
      </c>
      <c r="X390">
        <f>HYPERLINK("https://klasma.github.io/Logging_2083/tillsyn/A 5827-2026 tillsynsbegäran.docx", "A 5827-2026")</f>
        <v/>
      </c>
      <c r="Y390">
        <f>HYPERLINK("https://klasma.github.io/Logging_2083/tillsynsmail/A 5827-2026 tillsynsbegäran mail.docx", "A 5827-2026")</f>
        <v/>
      </c>
    </row>
    <row r="391" ht="15" customHeight="1">
      <c r="A391" t="inlineStr">
        <is>
          <t>A 58478-2025</t>
        </is>
      </c>
      <c r="B391" s="1" t="n">
        <v>45985.64645833334</v>
      </c>
      <c r="C391" s="1" t="n">
        <v>46114</v>
      </c>
      <c r="D391" t="inlineStr">
        <is>
          <t>DALARNAS LÄN</t>
        </is>
      </c>
      <c r="E391" t="inlineStr">
        <is>
          <t>MORA</t>
        </is>
      </c>
      <c r="G391" t="n">
        <v>6</v>
      </c>
      <c r="H391" t="n">
        <v>2</v>
      </c>
      <c r="I391" t="n">
        <v>1</v>
      </c>
      <c r="J391" t="n">
        <v>4</v>
      </c>
      <c r="K391" t="n">
        <v>0</v>
      </c>
      <c r="L391" t="n">
        <v>0</v>
      </c>
      <c r="M391" t="n">
        <v>0</v>
      </c>
      <c r="N391" t="n">
        <v>0</v>
      </c>
      <c r="O391" t="n">
        <v>4</v>
      </c>
      <c r="P391" t="n">
        <v>0</v>
      </c>
      <c r="Q391" t="n">
        <v>5</v>
      </c>
      <c r="R391" s="2" t="inlineStr">
        <is>
          <t>Garnlav
Skogshare
Spillkråka
Tretåig hackspett
Mindre märgborre</t>
        </is>
      </c>
      <c r="S391">
        <f>HYPERLINK("https://klasma.github.io/Logging_2062/artfynd/A 58478-2025 artfynd.xlsx", "A 58478-2025")</f>
        <v/>
      </c>
      <c r="T391">
        <f>HYPERLINK("https://klasma.github.io/Logging_2062/kartor/A 58478-2025 karta.png", "A 58478-2025")</f>
        <v/>
      </c>
      <c r="V391">
        <f>HYPERLINK("https://klasma.github.io/Logging_2062/klagomål/A 58478-2025 FSC-klagomål.docx", "A 58478-2025")</f>
        <v/>
      </c>
      <c r="W391">
        <f>HYPERLINK("https://klasma.github.io/Logging_2062/klagomålsmail/A 58478-2025 FSC-klagomål mail.docx", "A 58478-2025")</f>
        <v/>
      </c>
      <c r="X391">
        <f>HYPERLINK("https://klasma.github.io/Logging_2062/tillsyn/A 58478-2025 tillsynsbegäran.docx", "A 58478-2025")</f>
        <v/>
      </c>
      <c r="Y391">
        <f>HYPERLINK("https://klasma.github.io/Logging_2062/tillsynsmail/A 58478-2025 tillsynsbegäran mail.docx", "A 58478-2025")</f>
        <v/>
      </c>
      <c r="Z391">
        <f>HYPERLINK("https://klasma.github.io/Logging_2062/fåglar/A 58478-2025 prioriterade fågelarter.docx", "A 58478-2025")</f>
        <v/>
      </c>
    </row>
    <row r="392" ht="15" customHeight="1">
      <c r="A392" t="inlineStr">
        <is>
          <t>A 12829-2026</t>
        </is>
      </c>
      <c r="B392" s="1" t="n">
        <v>46092.42181712963</v>
      </c>
      <c r="C392" s="1" t="n">
        <v>46114</v>
      </c>
      <c r="D392" t="inlineStr">
        <is>
          <t>DALARNAS LÄN</t>
        </is>
      </c>
      <c r="E392" t="inlineStr">
        <is>
          <t>ÄLVDALEN</t>
        </is>
      </c>
      <c r="G392" t="n">
        <v>6.6</v>
      </c>
      <c r="H392" t="n">
        <v>5</v>
      </c>
      <c r="I392" t="n">
        <v>0</v>
      </c>
      <c r="J392" t="n">
        <v>4</v>
      </c>
      <c r="K392" t="n">
        <v>0</v>
      </c>
      <c r="L392" t="n">
        <v>0</v>
      </c>
      <c r="M392" t="n">
        <v>0</v>
      </c>
      <c r="N392" t="n">
        <v>0</v>
      </c>
      <c r="O392" t="n">
        <v>4</v>
      </c>
      <c r="P392" t="n">
        <v>0</v>
      </c>
      <c r="Q392" t="n">
        <v>5</v>
      </c>
      <c r="R392" s="2" t="inlineStr">
        <is>
          <t>Järpe
Kråka
Kungsörn
Talltita
Sångsvan</t>
        </is>
      </c>
      <c r="S392">
        <f>HYPERLINK("https://klasma.github.io/Logging_2039/artfynd/A 12829-2026 artfynd.xlsx", "A 12829-2026")</f>
        <v/>
      </c>
      <c r="T392">
        <f>HYPERLINK("https://klasma.github.io/Logging_2039/kartor/A 12829-2026 karta.png", "A 12829-2026")</f>
        <v/>
      </c>
      <c r="V392">
        <f>HYPERLINK("https://klasma.github.io/Logging_2039/klagomål/A 12829-2026 FSC-klagomål.docx", "A 12829-2026")</f>
        <v/>
      </c>
      <c r="W392">
        <f>HYPERLINK("https://klasma.github.io/Logging_2039/klagomålsmail/A 12829-2026 FSC-klagomål mail.docx", "A 12829-2026")</f>
        <v/>
      </c>
      <c r="X392">
        <f>HYPERLINK("https://klasma.github.io/Logging_2039/tillsyn/A 12829-2026 tillsynsbegäran.docx", "A 12829-2026")</f>
        <v/>
      </c>
      <c r="Y392">
        <f>HYPERLINK("https://klasma.github.io/Logging_2039/tillsynsmail/A 12829-2026 tillsynsbegäran mail.docx", "A 12829-2026")</f>
        <v/>
      </c>
      <c r="Z392">
        <f>HYPERLINK("https://klasma.github.io/Logging_2039/fåglar/A 12829-2026 prioriterade fågelarter.docx", "A 12829-2026")</f>
        <v/>
      </c>
    </row>
    <row r="393" ht="15" customHeight="1">
      <c r="A393" t="inlineStr">
        <is>
          <t>A 6847-2026</t>
        </is>
      </c>
      <c r="B393" s="1" t="n">
        <v>46057.42493055556</v>
      </c>
      <c r="C393" s="1" t="n">
        <v>46114</v>
      </c>
      <c r="D393" t="inlineStr">
        <is>
          <t>DALARNAS LÄN</t>
        </is>
      </c>
      <c r="E393" t="inlineStr">
        <is>
          <t>ÄLVDALEN</t>
        </is>
      </c>
      <c r="G393" t="n">
        <v>3.6</v>
      </c>
      <c r="H393" t="n">
        <v>2</v>
      </c>
      <c r="I393" t="n">
        <v>1</v>
      </c>
      <c r="J393" t="n">
        <v>3</v>
      </c>
      <c r="K393" t="n">
        <v>0</v>
      </c>
      <c r="L393" t="n">
        <v>0</v>
      </c>
      <c r="M393" t="n">
        <v>0</v>
      </c>
      <c r="N393" t="n">
        <v>0</v>
      </c>
      <c r="O393" t="n">
        <v>3</v>
      </c>
      <c r="P393" t="n">
        <v>0</v>
      </c>
      <c r="Q393" t="n">
        <v>5</v>
      </c>
      <c r="R393" s="2" t="inlineStr">
        <is>
          <t>Garnlav
Spillkråka
Vedskivlav
Mindre märgborre
Tjäder</t>
        </is>
      </c>
      <c r="S393">
        <f>HYPERLINK("https://klasma.github.io/Logging_2039/artfynd/A 6847-2026 artfynd.xlsx", "A 6847-2026")</f>
        <v/>
      </c>
      <c r="T393">
        <f>HYPERLINK("https://klasma.github.io/Logging_2039/kartor/A 6847-2026 karta.png", "A 6847-2026")</f>
        <v/>
      </c>
      <c r="V393">
        <f>HYPERLINK("https://klasma.github.io/Logging_2039/klagomål/A 6847-2026 FSC-klagomål.docx", "A 6847-2026")</f>
        <v/>
      </c>
      <c r="W393">
        <f>HYPERLINK("https://klasma.github.io/Logging_2039/klagomålsmail/A 6847-2026 FSC-klagomål mail.docx", "A 6847-2026")</f>
        <v/>
      </c>
      <c r="X393">
        <f>HYPERLINK("https://klasma.github.io/Logging_2039/tillsyn/A 6847-2026 tillsynsbegäran.docx", "A 6847-2026")</f>
        <v/>
      </c>
      <c r="Y393">
        <f>HYPERLINK("https://klasma.github.io/Logging_2039/tillsynsmail/A 6847-2026 tillsynsbegäran mail.docx", "A 6847-2026")</f>
        <v/>
      </c>
      <c r="Z393">
        <f>HYPERLINK("https://klasma.github.io/Logging_2039/fåglar/A 6847-2026 prioriterade fågelarter.docx", "A 6847-2026")</f>
        <v/>
      </c>
    </row>
    <row r="394" ht="15" customHeight="1">
      <c r="A394" t="inlineStr">
        <is>
          <t>A 16894-2025</t>
        </is>
      </c>
      <c r="B394" s="1" t="n">
        <v>45755.33045138889</v>
      </c>
      <c r="C394" s="1" t="n">
        <v>46114</v>
      </c>
      <c r="D394" t="inlineStr">
        <is>
          <t>DALARNAS LÄN</t>
        </is>
      </c>
      <c r="E394" t="inlineStr">
        <is>
          <t>ÄLVDALEN</t>
        </is>
      </c>
      <c r="F394" t="inlineStr">
        <is>
          <t>Sveaskog</t>
        </is>
      </c>
      <c r="G394" t="n">
        <v>17.3</v>
      </c>
      <c r="H394" t="n">
        <v>0</v>
      </c>
      <c r="I394" t="n">
        <v>1</v>
      </c>
      <c r="J394" t="n">
        <v>4</v>
      </c>
      <c r="K394" t="n">
        <v>0</v>
      </c>
      <c r="L394" t="n">
        <v>0</v>
      </c>
      <c r="M394" t="n">
        <v>0</v>
      </c>
      <c r="N394" t="n">
        <v>0</v>
      </c>
      <c r="O394" t="n">
        <v>4</v>
      </c>
      <c r="P394" t="n">
        <v>0</v>
      </c>
      <c r="Q394" t="n">
        <v>5</v>
      </c>
      <c r="R394" s="2" t="inlineStr">
        <is>
          <t>Dvärgbägarlav
Kolflarnlav
Mörk kolflarnlav
Vedflamlav
Dropptaggsvamp</t>
        </is>
      </c>
      <c r="S394">
        <f>HYPERLINK("https://klasma.github.io/Logging_2039/artfynd/A 16894-2025 artfynd.xlsx", "A 16894-2025")</f>
        <v/>
      </c>
      <c r="T394">
        <f>HYPERLINK("https://klasma.github.io/Logging_2039/kartor/A 16894-2025 karta.png", "A 16894-2025")</f>
        <v/>
      </c>
      <c r="V394">
        <f>HYPERLINK("https://klasma.github.io/Logging_2039/klagomål/A 16894-2025 FSC-klagomål.docx", "A 16894-2025")</f>
        <v/>
      </c>
      <c r="W394">
        <f>HYPERLINK("https://klasma.github.io/Logging_2039/klagomålsmail/A 16894-2025 FSC-klagomål mail.docx", "A 16894-2025")</f>
        <v/>
      </c>
      <c r="X394">
        <f>HYPERLINK("https://klasma.github.io/Logging_2039/tillsyn/A 16894-2025 tillsynsbegäran.docx", "A 16894-2025")</f>
        <v/>
      </c>
      <c r="Y394">
        <f>HYPERLINK("https://klasma.github.io/Logging_2039/tillsynsmail/A 16894-2025 tillsynsbegäran mail.docx", "A 16894-2025")</f>
        <v/>
      </c>
    </row>
    <row r="395" ht="15" customHeight="1">
      <c r="A395" t="inlineStr">
        <is>
          <t>A 540-2026</t>
        </is>
      </c>
      <c r="B395" s="1" t="n">
        <v>46029.45614583333</v>
      </c>
      <c r="C395" s="1" t="n">
        <v>46114</v>
      </c>
      <c r="D395" t="inlineStr">
        <is>
          <t>DALARNAS LÄN</t>
        </is>
      </c>
      <c r="E395" t="inlineStr">
        <is>
          <t>MALUNG-SÄLEN</t>
        </is>
      </c>
      <c r="F395" t="inlineStr">
        <is>
          <t>Allmännings- och besparingsskogar</t>
        </is>
      </c>
      <c r="G395" t="n">
        <v>22.1</v>
      </c>
      <c r="H395" t="n">
        <v>0</v>
      </c>
      <c r="I395" t="n">
        <v>1</v>
      </c>
      <c r="J395" t="n">
        <v>4</v>
      </c>
      <c r="K395" t="n">
        <v>0</v>
      </c>
      <c r="L395" t="n">
        <v>0</v>
      </c>
      <c r="M395" t="n">
        <v>0</v>
      </c>
      <c r="N395" t="n">
        <v>0</v>
      </c>
      <c r="O395" t="n">
        <v>4</v>
      </c>
      <c r="P395" t="n">
        <v>0</v>
      </c>
      <c r="Q395" t="n">
        <v>5</v>
      </c>
      <c r="R395" s="2" t="inlineStr">
        <is>
          <t>Dvärgbägarlav
Garnlav
Nordtagging
Vedskivlav
Dropptaggsvamp</t>
        </is>
      </c>
      <c r="S395">
        <f>HYPERLINK("https://klasma.github.io/Logging_2023/artfynd/A 540-2026 artfynd.xlsx", "A 540-2026")</f>
        <v/>
      </c>
      <c r="T395">
        <f>HYPERLINK("https://klasma.github.io/Logging_2023/kartor/A 540-2026 karta.png", "A 540-2026")</f>
        <v/>
      </c>
      <c r="V395">
        <f>HYPERLINK("https://klasma.github.io/Logging_2023/klagomål/A 540-2026 FSC-klagomål.docx", "A 540-2026")</f>
        <v/>
      </c>
      <c r="W395">
        <f>HYPERLINK("https://klasma.github.io/Logging_2023/klagomålsmail/A 540-2026 FSC-klagomål mail.docx", "A 540-2026")</f>
        <v/>
      </c>
      <c r="X395">
        <f>HYPERLINK("https://klasma.github.io/Logging_2023/tillsyn/A 540-2026 tillsynsbegäran.docx", "A 540-2026")</f>
        <v/>
      </c>
      <c r="Y395">
        <f>HYPERLINK("https://klasma.github.io/Logging_2023/tillsynsmail/A 540-2026 tillsynsbegäran mail.docx", "A 540-2026")</f>
        <v/>
      </c>
    </row>
    <row r="396" ht="15" customHeight="1">
      <c r="A396" t="inlineStr">
        <is>
          <t>A 31534-2021</t>
        </is>
      </c>
      <c r="B396" s="1" t="n">
        <v>44369</v>
      </c>
      <c r="C396" s="1" t="n">
        <v>46114</v>
      </c>
      <c r="D396" t="inlineStr">
        <is>
          <t>DALARNAS LÄN</t>
        </is>
      </c>
      <c r="E396" t="inlineStr">
        <is>
          <t>HEDEMORA</t>
        </is>
      </c>
      <c r="F396" t="inlineStr">
        <is>
          <t>Sveaskog</t>
        </is>
      </c>
      <c r="G396" t="n">
        <v>1.9</v>
      </c>
      <c r="H396" t="n">
        <v>2</v>
      </c>
      <c r="I396" t="n">
        <v>3</v>
      </c>
      <c r="J396" t="n">
        <v>1</v>
      </c>
      <c r="K396" t="n">
        <v>0</v>
      </c>
      <c r="L396" t="n">
        <v>0</v>
      </c>
      <c r="M396" t="n">
        <v>0</v>
      </c>
      <c r="N396" t="n">
        <v>0</v>
      </c>
      <c r="O396" t="n">
        <v>1</v>
      </c>
      <c r="P396" t="n">
        <v>0</v>
      </c>
      <c r="Q396" t="n">
        <v>5</v>
      </c>
      <c r="R396" s="2" t="inlineStr">
        <is>
          <t>Spillkråka
Bollvitmossa
Bronshjon
Källpraktmossa
Vanlig groda</t>
        </is>
      </c>
      <c r="S396">
        <f>HYPERLINK("https://klasma.github.io/Logging_2083/artfynd/A 31534-2021 artfynd.xlsx", "A 31534-2021")</f>
        <v/>
      </c>
      <c r="T396">
        <f>HYPERLINK("https://klasma.github.io/Logging_2083/kartor/A 31534-2021 karta.png", "A 31534-2021")</f>
        <v/>
      </c>
      <c r="V396">
        <f>HYPERLINK("https://klasma.github.io/Logging_2083/klagomål/A 31534-2021 FSC-klagomål.docx", "A 31534-2021")</f>
        <v/>
      </c>
      <c r="W396">
        <f>HYPERLINK("https://klasma.github.io/Logging_2083/klagomålsmail/A 31534-2021 FSC-klagomål mail.docx", "A 31534-2021")</f>
        <v/>
      </c>
      <c r="X396">
        <f>HYPERLINK("https://klasma.github.io/Logging_2083/tillsyn/A 31534-2021 tillsynsbegäran.docx", "A 31534-2021")</f>
        <v/>
      </c>
      <c r="Y396">
        <f>HYPERLINK("https://klasma.github.io/Logging_2083/tillsynsmail/A 31534-2021 tillsynsbegäran mail.docx", "A 31534-2021")</f>
        <v/>
      </c>
      <c r="Z396">
        <f>HYPERLINK("https://klasma.github.io/Logging_2083/fåglar/A 31534-2021 prioriterade fågelarter.docx", "A 31534-2021")</f>
        <v/>
      </c>
    </row>
    <row r="397" ht="15" customHeight="1">
      <c r="A397" t="inlineStr">
        <is>
          <t>A 19616-2024</t>
        </is>
      </c>
      <c r="B397" s="1" t="n">
        <v>45432.31541666666</v>
      </c>
      <c r="C397" s="1" t="n">
        <v>46114</v>
      </c>
      <c r="D397" t="inlineStr">
        <is>
          <t>DALARNAS LÄN</t>
        </is>
      </c>
      <c r="E397" t="inlineStr">
        <is>
          <t>ÄLVDALEN</t>
        </is>
      </c>
      <c r="F397" t="inlineStr">
        <is>
          <t>Sveaskog</t>
        </is>
      </c>
      <c r="G397" t="n">
        <v>6.5</v>
      </c>
      <c r="H397" t="n">
        <v>1</v>
      </c>
      <c r="I397" t="n">
        <v>0</v>
      </c>
      <c r="J397" t="n">
        <v>5</v>
      </c>
      <c r="K397" t="n">
        <v>0</v>
      </c>
      <c r="L397" t="n">
        <v>0</v>
      </c>
      <c r="M397" t="n">
        <v>0</v>
      </c>
      <c r="N397" t="n">
        <v>0</v>
      </c>
      <c r="O397" t="n">
        <v>5</v>
      </c>
      <c r="P397" t="n">
        <v>0</v>
      </c>
      <c r="Q397" t="n">
        <v>5</v>
      </c>
      <c r="R397" s="2" t="inlineStr">
        <is>
          <t>Blanksvart spiklav
Kolflarnlav
Mörk kolflarnlav
Varglav
Vedflamlav</t>
        </is>
      </c>
      <c r="S397">
        <f>HYPERLINK("https://klasma.github.io/Logging_2039/artfynd/A 19616-2024 artfynd.xlsx", "A 19616-2024")</f>
        <v/>
      </c>
      <c r="T397">
        <f>HYPERLINK("https://klasma.github.io/Logging_2039/kartor/A 19616-2024 karta.png", "A 19616-2024")</f>
        <v/>
      </c>
      <c r="V397">
        <f>HYPERLINK("https://klasma.github.io/Logging_2039/klagomål/A 19616-2024 FSC-klagomål.docx", "A 19616-2024")</f>
        <v/>
      </c>
      <c r="W397">
        <f>HYPERLINK("https://klasma.github.io/Logging_2039/klagomålsmail/A 19616-2024 FSC-klagomål mail.docx", "A 19616-2024")</f>
        <v/>
      </c>
      <c r="X397">
        <f>HYPERLINK("https://klasma.github.io/Logging_2039/tillsyn/A 19616-2024 tillsynsbegäran.docx", "A 19616-2024")</f>
        <v/>
      </c>
      <c r="Y397">
        <f>HYPERLINK("https://klasma.github.io/Logging_2039/tillsynsmail/A 19616-2024 tillsynsbegäran mail.docx", "A 19616-2024")</f>
        <v/>
      </c>
    </row>
    <row r="398" ht="15" customHeight="1">
      <c r="A398" t="inlineStr">
        <is>
          <t>A 50728-2022</t>
        </is>
      </c>
      <c r="B398" s="1" t="n">
        <v>44867</v>
      </c>
      <c r="C398" s="1" t="n">
        <v>46114</v>
      </c>
      <c r="D398" t="inlineStr">
        <is>
          <t>DALARNAS LÄN</t>
        </is>
      </c>
      <c r="E398" t="inlineStr">
        <is>
          <t>ORSA</t>
        </is>
      </c>
      <c r="F398" t="inlineStr">
        <is>
          <t>Allmännings- och besparingsskogar</t>
        </is>
      </c>
      <c r="G398" t="n">
        <v>1.8</v>
      </c>
      <c r="H398" t="n">
        <v>0</v>
      </c>
      <c r="I398" t="n">
        <v>1</v>
      </c>
      <c r="J398" t="n">
        <v>4</v>
      </c>
      <c r="K398" t="n">
        <v>0</v>
      </c>
      <c r="L398" t="n">
        <v>0</v>
      </c>
      <c r="M398" t="n">
        <v>0</v>
      </c>
      <c r="N398" t="n">
        <v>0</v>
      </c>
      <c r="O398" t="n">
        <v>4</v>
      </c>
      <c r="P398" t="n">
        <v>0</v>
      </c>
      <c r="Q398" t="n">
        <v>5</v>
      </c>
      <c r="R398" s="2" t="inlineStr">
        <is>
          <t>Garnlav
Granticka
Lunglav
Skrovellav
Stuplav</t>
        </is>
      </c>
      <c r="S398">
        <f>HYPERLINK("https://klasma.github.io/Logging_2034/artfynd/A 50728-2022 artfynd.xlsx", "A 50728-2022")</f>
        <v/>
      </c>
      <c r="T398">
        <f>HYPERLINK("https://klasma.github.io/Logging_2034/kartor/A 50728-2022 karta.png", "A 50728-2022")</f>
        <v/>
      </c>
      <c r="V398">
        <f>HYPERLINK("https://klasma.github.io/Logging_2034/klagomål/A 50728-2022 FSC-klagomål.docx", "A 50728-2022")</f>
        <v/>
      </c>
      <c r="W398">
        <f>HYPERLINK("https://klasma.github.io/Logging_2034/klagomålsmail/A 50728-2022 FSC-klagomål mail.docx", "A 50728-2022")</f>
        <v/>
      </c>
      <c r="X398">
        <f>HYPERLINK("https://klasma.github.io/Logging_2034/tillsyn/A 50728-2022 tillsynsbegäran.docx", "A 50728-2022")</f>
        <v/>
      </c>
      <c r="Y398">
        <f>HYPERLINK("https://klasma.github.io/Logging_2034/tillsynsmail/A 50728-2022 tillsynsbegäran mail.docx", "A 50728-2022")</f>
        <v/>
      </c>
    </row>
    <row r="399" ht="15" customHeight="1">
      <c r="A399" t="inlineStr">
        <is>
          <t>A 15758-2026</t>
        </is>
      </c>
      <c r="B399" s="1" t="n">
        <v>46107.43391203704</v>
      </c>
      <c r="C399" s="1" t="n">
        <v>46114</v>
      </c>
      <c r="D399" t="inlineStr">
        <is>
          <t>DALARNAS LÄN</t>
        </is>
      </c>
      <c r="E399" t="inlineStr">
        <is>
          <t>MORA</t>
        </is>
      </c>
      <c r="G399" t="n">
        <v>5.8</v>
      </c>
      <c r="H399" t="n">
        <v>0</v>
      </c>
      <c r="I399" t="n">
        <v>3</v>
      </c>
      <c r="J399" t="n">
        <v>1</v>
      </c>
      <c r="K399" t="n">
        <v>1</v>
      </c>
      <c r="L399" t="n">
        <v>0</v>
      </c>
      <c r="M399" t="n">
        <v>0</v>
      </c>
      <c r="N399" t="n">
        <v>0</v>
      </c>
      <c r="O399" t="n">
        <v>2</v>
      </c>
      <c r="P399" t="n">
        <v>1</v>
      </c>
      <c r="Q399" t="n">
        <v>5</v>
      </c>
      <c r="R399" s="2" t="inlineStr">
        <is>
          <t>Rotfingersvamp
Skrovlig taggsvamp
Dropptaggsvamp
Mindre märgborre
Tallfingersvamp</t>
        </is>
      </c>
      <c r="S399">
        <f>HYPERLINK("https://klasma.github.io/Logging_2062/artfynd/A 15758-2026 artfynd.xlsx", "A 15758-2026")</f>
        <v/>
      </c>
      <c r="T399">
        <f>HYPERLINK("https://klasma.github.io/Logging_2062/kartor/A 15758-2026 karta.png", "A 15758-2026")</f>
        <v/>
      </c>
      <c r="V399">
        <f>HYPERLINK("https://klasma.github.io/Logging_2062/klagomål/A 15758-2026 FSC-klagomål.docx", "A 15758-2026")</f>
        <v/>
      </c>
      <c r="W399">
        <f>HYPERLINK("https://klasma.github.io/Logging_2062/klagomålsmail/A 15758-2026 FSC-klagomål mail.docx", "A 15758-2026")</f>
        <v/>
      </c>
      <c r="X399">
        <f>HYPERLINK("https://klasma.github.io/Logging_2062/tillsyn/A 15758-2026 tillsynsbegäran.docx", "A 15758-2026")</f>
        <v/>
      </c>
      <c r="Y399">
        <f>HYPERLINK("https://klasma.github.io/Logging_2062/tillsynsmail/A 15758-2026 tillsynsbegäran mail.docx", "A 15758-2026")</f>
        <v/>
      </c>
    </row>
    <row r="400" ht="15" customHeight="1">
      <c r="A400" t="inlineStr">
        <is>
          <t>A 10712-2025</t>
        </is>
      </c>
      <c r="B400" s="1" t="n">
        <v>45722</v>
      </c>
      <c r="C400" s="1" t="n">
        <v>46114</v>
      </c>
      <c r="D400" t="inlineStr">
        <is>
          <t>DALARNAS LÄN</t>
        </is>
      </c>
      <c r="E400" t="inlineStr">
        <is>
          <t>BORLÄNGE</t>
        </is>
      </c>
      <c r="G400" t="n">
        <v>5.3</v>
      </c>
      <c r="H400" t="n">
        <v>3</v>
      </c>
      <c r="I400" t="n">
        <v>0</v>
      </c>
      <c r="J400" t="n">
        <v>4</v>
      </c>
      <c r="K400" t="n">
        <v>0</v>
      </c>
      <c r="L400" t="n">
        <v>0</v>
      </c>
      <c r="M400" t="n">
        <v>0</v>
      </c>
      <c r="N400" t="n">
        <v>0</v>
      </c>
      <c r="O400" t="n">
        <v>4</v>
      </c>
      <c r="P400" t="n">
        <v>0</v>
      </c>
      <c r="Q400" t="n">
        <v>5</v>
      </c>
      <c r="R400" s="2" t="inlineStr">
        <is>
          <t>Granticka
Spillkråka
Tretåig hackspett
Ullticka
Tjäder</t>
        </is>
      </c>
      <c r="S400">
        <f>HYPERLINK("https://klasma.github.io/Logging_2081/artfynd/A 10712-2025 artfynd.xlsx", "A 10712-2025")</f>
        <v/>
      </c>
      <c r="T400">
        <f>HYPERLINK("https://klasma.github.io/Logging_2081/kartor/A 10712-2025 karta.png", "A 10712-2025")</f>
        <v/>
      </c>
      <c r="V400">
        <f>HYPERLINK("https://klasma.github.io/Logging_2081/klagomål/A 10712-2025 FSC-klagomål.docx", "A 10712-2025")</f>
        <v/>
      </c>
      <c r="W400">
        <f>HYPERLINK("https://klasma.github.io/Logging_2081/klagomålsmail/A 10712-2025 FSC-klagomål mail.docx", "A 10712-2025")</f>
        <v/>
      </c>
      <c r="X400">
        <f>HYPERLINK("https://klasma.github.io/Logging_2081/tillsyn/A 10712-2025 tillsynsbegäran.docx", "A 10712-2025")</f>
        <v/>
      </c>
      <c r="Y400">
        <f>HYPERLINK("https://klasma.github.io/Logging_2081/tillsynsmail/A 10712-2025 tillsynsbegäran mail.docx", "A 10712-2025")</f>
        <v/>
      </c>
      <c r="Z400">
        <f>HYPERLINK("https://klasma.github.io/Logging_2081/fåglar/A 10712-2025 prioriterade fågelarter.docx", "A 10712-2025")</f>
        <v/>
      </c>
    </row>
    <row r="401" ht="15" customHeight="1">
      <c r="A401" t="inlineStr">
        <is>
          <t>A 31539-2025</t>
        </is>
      </c>
      <c r="B401" s="1" t="n">
        <v>45833</v>
      </c>
      <c r="C401" s="1" t="n">
        <v>46114</v>
      </c>
      <c r="D401" t="inlineStr">
        <is>
          <t>DALARNAS LÄN</t>
        </is>
      </c>
      <c r="E401" t="inlineStr">
        <is>
          <t>MORA</t>
        </is>
      </c>
      <c r="G401" t="n">
        <v>5.3</v>
      </c>
      <c r="H401" t="n">
        <v>2</v>
      </c>
      <c r="I401" t="n">
        <v>2</v>
      </c>
      <c r="J401" t="n">
        <v>2</v>
      </c>
      <c r="K401" t="n">
        <v>1</v>
      </c>
      <c r="L401" t="n">
        <v>0</v>
      </c>
      <c r="M401" t="n">
        <v>0</v>
      </c>
      <c r="N401" t="n">
        <v>0</v>
      </c>
      <c r="O401" t="n">
        <v>3</v>
      </c>
      <c r="P401" t="n">
        <v>1</v>
      </c>
      <c r="Q401" t="n">
        <v>5</v>
      </c>
      <c r="R401" s="2" t="inlineStr">
        <is>
          <t>Knärot
Tallticka
Talltita
Bollvitmossa
Kattfotslav</t>
        </is>
      </c>
      <c r="S401">
        <f>HYPERLINK("https://klasma.github.io/Logging_2062/artfynd/A 31539-2025 artfynd.xlsx", "A 31539-2025")</f>
        <v/>
      </c>
      <c r="T401">
        <f>HYPERLINK("https://klasma.github.io/Logging_2062/kartor/A 31539-2025 karta.png", "A 31539-2025")</f>
        <v/>
      </c>
      <c r="U401">
        <f>HYPERLINK("https://klasma.github.io/Logging_2062/knärot/A 31539-2025 karta knärot.png", "A 31539-2025")</f>
        <v/>
      </c>
      <c r="V401">
        <f>HYPERLINK("https://klasma.github.io/Logging_2062/klagomål/A 31539-2025 FSC-klagomål.docx", "A 31539-2025")</f>
        <v/>
      </c>
      <c r="W401">
        <f>HYPERLINK("https://klasma.github.io/Logging_2062/klagomålsmail/A 31539-2025 FSC-klagomål mail.docx", "A 31539-2025")</f>
        <v/>
      </c>
      <c r="X401">
        <f>HYPERLINK("https://klasma.github.io/Logging_2062/tillsyn/A 31539-2025 tillsynsbegäran.docx", "A 31539-2025")</f>
        <v/>
      </c>
      <c r="Y401">
        <f>HYPERLINK("https://klasma.github.io/Logging_2062/tillsynsmail/A 31539-2025 tillsynsbegäran mail.docx", "A 31539-2025")</f>
        <v/>
      </c>
      <c r="Z401">
        <f>HYPERLINK("https://klasma.github.io/Logging_2062/fåglar/A 31539-2025 prioriterade fågelarter.docx", "A 31539-2025")</f>
        <v/>
      </c>
    </row>
    <row r="402" ht="15" customHeight="1">
      <c r="A402" t="inlineStr">
        <is>
          <t>A 16943-2026</t>
        </is>
      </c>
      <c r="B402" s="1" t="n">
        <v>46113.76920138889</v>
      </c>
      <c r="C402" s="1" t="n">
        <v>46114</v>
      </c>
      <c r="D402" t="inlineStr">
        <is>
          <t>DALARNAS LÄN</t>
        </is>
      </c>
      <c r="E402" t="inlineStr">
        <is>
          <t>BORLÄNGE</t>
        </is>
      </c>
      <c r="G402" t="n">
        <v>6.1</v>
      </c>
      <c r="H402" t="n">
        <v>2</v>
      </c>
      <c r="I402" t="n">
        <v>3</v>
      </c>
      <c r="J402" t="n">
        <v>0</v>
      </c>
      <c r="K402" t="n">
        <v>1</v>
      </c>
      <c r="L402" t="n">
        <v>0</v>
      </c>
      <c r="M402" t="n">
        <v>0</v>
      </c>
      <c r="N402" t="n">
        <v>0</v>
      </c>
      <c r="O402" t="n">
        <v>1</v>
      </c>
      <c r="P402" t="n">
        <v>1</v>
      </c>
      <c r="Q402" t="n">
        <v>5</v>
      </c>
      <c r="R402" s="2" t="inlineStr">
        <is>
          <t>Knärot
Dvärghäxört
Trådticka
Vågbandad barkbock
Blåsippa</t>
        </is>
      </c>
      <c r="S402">
        <f>HYPERLINK("https://klasma.github.io/Logging_2081/artfynd/A 16943-2026 artfynd.xlsx", "A 16943-2026")</f>
        <v/>
      </c>
      <c r="T402">
        <f>HYPERLINK("https://klasma.github.io/Logging_2081/kartor/A 16943-2026 karta.png", "A 16943-2026")</f>
        <v/>
      </c>
      <c r="U402">
        <f>HYPERLINK("https://klasma.github.io/Logging_2081/knärot/A 16943-2026 karta knärot.png", "A 16943-2026")</f>
        <v/>
      </c>
      <c r="V402">
        <f>HYPERLINK("https://klasma.github.io/Logging_2081/klagomål/A 16943-2026 FSC-klagomål.docx", "A 16943-2026")</f>
        <v/>
      </c>
      <c r="W402">
        <f>HYPERLINK("https://klasma.github.io/Logging_2081/klagomålsmail/A 16943-2026 FSC-klagomål mail.docx", "A 16943-2026")</f>
        <v/>
      </c>
      <c r="X402">
        <f>HYPERLINK("https://klasma.github.io/Logging_2081/tillsyn/A 16943-2026 tillsynsbegäran.docx", "A 16943-2026")</f>
        <v/>
      </c>
      <c r="Y402">
        <f>HYPERLINK("https://klasma.github.io/Logging_2081/tillsynsmail/A 16943-2026 tillsynsbegäran mail.docx", "A 16943-2026")</f>
        <v/>
      </c>
    </row>
    <row r="403" ht="15" customHeight="1">
      <c r="A403" t="inlineStr">
        <is>
          <t>A 5415-2024</t>
        </is>
      </c>
      <c r="B403" s="1" t="n">
        <v>45331</v>
      </c>
      <c r="C403" s="1" t="n">
        <v>46114</v>
      </c>
      <c r="D403" t="inlineStr">
        <is>
          <t>DALARNAS LÄN</t>
        </is>
      </c>
      <c r="E403" t="inlineStr">
        <is>
          <t>FALUN</t>
        </is>
      </c>
      <c r="G403" t="n">
        <v>4.7</v>
      </c>
      <c r="H403" t="n">
        <v>1</v>
      </c>
      <c r="I403" t="n">
        <v>3</v>
      </c>
      <c r="J403" t="n">
        <v>1</v>
      </c>
      <c r="K403" t="n">
        <v>0</v>
      </c>
      <c r="L403" t="n">
        <v>0</v>
      </c>
      <c r="M403" t="n">
        <v>0</v>
      </c>
      <c r="N403" t="n">
        <v>0</v>
      </c>
      <c r="O403" t="n">
        <v>1</v>
      </c>
      <c r="P403" t="n">
        <v>0</v>
      </c>
      <c r="Q403" t="n">
        <v>5</v>
      </c>
      <c r="R403" s="2" t="inlineStr">
        <is>
          <t>Tallticka
Bronshjon
Gullgröppa
Mindre märgborre
Revlummer</t>
        </is>
      </c>
      <c r="S403">
        <f>HYPERLINK("https://klasma.github.io/Logging_2080/artfynd/A 5415-2024 artfynd.xlsx", "A 5415-2024")</f>
        <v/>
      </c>
      <c r="T403">
        <f>HYPERLINK("https://klasma.github.io/Logging_2080/kartor/A 5415-2024 karta.png", "A 5415-2024")</f>
        <v/>
      </c>
      <c r="V403">
        <f>HYPERLINK("https://klasma.github.io/Logging_2080/klagomål/A 5415-2024 FSC-klagomål.docx", "A 5415-2024")</f>
        <v/>
      </c>
      <c r="W403">
        <f>HYPERLINK("https://klasma.github.io/Logging_2080/klagomålsmail/A 5415-2024 FSC-klagomål mail.docx", "A 5415-2024")</f>
        <v/>
      </c>
      <c r="X403">
        <f>HYPERLINK("https://klasma.github.io/Logging_2080/tillsyn/A 5415-2024 tillsynsbegäran.docx", "A 5415-2024")</f>
        <v/>
      </c>
      <c r="Y403">
        <f>HYPERLINK("https://klasma.github.io/Logging_2080/tillsynsmail/A 5415-2024 tillsynsbegäran mail.docx", "A 5415-2024")</f>
        <v/>
      </c>
    </row>
    <row r="404" ht="15" customHeight="1">
      <c r="A404" t="inlineStr">
        <is>
          <t>A 23498-2024</t>
        </is>
      </c>
      <c r="B404" s="1" t="n">
        <v>45453</v>
      </c>
      <c r="C404" s="1" t="n">
        <v>46114</v>
      </c>
      <c r="D404" t="inlineStr">
        <is>
          <t>DALARNAS LÄN</t>
        </is>
      </c>
      <c r="E404" t="inlineStr">
        <is>
          <t>SMEDJEBACKEN</t>
        </is>
      </c>
      <c r="F404" t="inlineStr">
        <is>
          <t>Bergvik skog väst AB</t>
        </is>
      </c>
      <c r="G404" t="n">
        <v>3</v>
      </c>
      <c r="H404" t="n">
        <v>1</v>
      </c>
      <c r="I404" t="n">
        <v>3</v>
      </c>
      <c r="J404" t="n">
        <v>1</v>
      </c>
      <c r="K404" t="n">
        <v>1</v>
      </c>
      <c r="L404" t="n">
        <v>0</v>
      </c>
      <c r="M404" t="n">
        <v>0</v>
      </c>
      <c r="N404" t="n">
        <v>0</v>
      </c>
      <c r="O404" t="n">
        <v>2</v>
      </c>
      <c r="P404" t="n">
        <v>1</v>
      </c>
      <c r="Q404" t="n">
        <v>5</v>
      </c>
      <c r="R404" s="2" t="inlineStr">
        <is>
          <t>Knärot
Vedskivlav
Barkticka
Vedticka
Vågbandad barkbock</t>
        </is>
      </c>
      <c r="S404">
        <f>HYPERLINK("https://klasma.github.io/Logging_2061/artfynd/A 23498-2024 artfynd.xlsx", "A 23498-2024")</f>
        <v/>
      </c>
      <c r="T404">
        <f>HYPERLINK("https://klasma.github.io/Logging_2061/kartor/A 23498-2024 karta.png", "A 23498-2024")</f>
        <v/>
      </c>
      <c r="U404">
        <f>HYPERLINK("https://klasma.github.io/Logging_2061/knärot/A 23498-2024 karta knärot.png", "A 23498-2024")</f>
        <v/>
      </c>
      <c r="V404">
        <f>HYPERLINK("https://klasma.github.io/Logging_2061/klagomål/A 23498-2024 FSC-klagomål.docx", "A 23498-2024")</f>
        <v/>
      </c>
      <c r="W404">
        <f>HYPERLINK("https://klasma.github.io/Logging_2061/klagomålsmail/A 23498-2024 FSC-klagomål mail.docx", "A 23498-2024")</f>
        <v/>
      </c>
      <c r="X404">
        <f>HYPERLINK("https://klasma.github.io/Logging_2061/tillsyn/A 23498-2024 tillsynsbegäran.docx", "A 23498-2024")</f>
        <v/>
      </c>
      <c r="Y404">
        <f>HYPERLINK("https://klasma.github.io/Logging_2061/tillsynsmail/A 23498-2024 tillsynsbegäran mail.docx", "A 23498-2024")</f>
        <v/>
      </c>
    </row>
    <row r="405" ht="15" customHeight="1">
      <c r="A405" t="inlineStr">
        <is>
          <t>A 25089-2024</t>
        </is>
      </c>
      <c r="B405" s="1" t="n">
        <v>45462.39879629629</v>
      </c>
      <c r="C405" s="1" t="n">
        <v>46114</v>
      </c>
      <c r="D405" t="inlineStr">
        <is>
          <t>DALARNAS LÄN</t>
        </is>
      </c>
      <c r="E405" t="inlineStr">
        <is>
          <t>ÄLVDALEN</t>
        </is>
      </c>
      <c r="F405" t="inlineStr">
        <is>
          <t>Sveaskog</t>
        </is>
      </c>
      <c r="G405" t="n">
        <v>3.9</v>
      </c>
      <c r="H405" t="n">
        <v>0</v>
      </c>
      <c r="I405" t="n">
        <v>1</v>
      </c>
      <c r="J405" t="n">
        <v>4</v>
      </c>
      <c r="K405" t="n">
        <v>0</v>
      </c>
      <c r="L405" t="n">
        <v>0</v>
      </c>
      <c r="M405" t="n">
        <v>0</v>
      </c>
      <c r="N405" t="n">
        <v>0</v>
      </c>
      <c r="O405" t="n">
        <v>4</v>
      </c>
      <c r="P405" t="n">
        <v>0</v>
      </c>
      <c r="Q405" t="n">
        <v>5</v>
      </c>
      <c r="R405" s="2" t="inlineStr">
        <is>
          <t>Blanksvart spiklav
Kolflarnlav
Mörk kolflarnlav
Vedflamlav
Skarp dropptaggsvamp</t>
        </is>
      </c>
      <c r="S405">
        <f>HYPERLINK("https://klasma.github.io/Logging_2039/artfynd/A 25089-2024 artfynd.xlsx", "A 25089-2024")</f>
        <v/>
      </c>
      <c r="T405">
        <f>HYPERLINK("https://klasma.github.io/Logging_2039/kartor/A 25089-2024 karta.png", "A 25089-2024")</f>
        <v/>
      </c>
      <c r="V405">
        <f>HYPERLINK("https://klasma.github.io/Logging_2039/klagomål/A 25089-2024 FSC-klagomål.docx", "A 25089-2024")</f>
        <v/>
      </c>
      <c r="W405">
        <f>HYPERLINK("https://klasma.github.io/Logging_2039/klagomålsmail/A 25089-2024 FSC-klagomål mail.docx", "A 25089-2024")</f>
        <v/>
      </c>
      <c r="X405">
        <f>HYPERLINK("https://klasma.github.io/Logging_2039/tillsyn/A 25089-2024 tillsynsbegäran.docx", "A 25089-2024")</f>
        <v/>
      </c>
      <c r="Y405">
        <f>HYPERLINK("https://klasma.github.io/Logging_2039/tillsynsmail/A 25089-2024 tillsynsbegäran mail.docx", "A 25089-2024")</f>
        <v/>
      </c>
    </row>
    <row r="406" ht="15" customHeight="1">
      <c r="A406" t="inlineStr">
        <is>
          <t>A 49053-2023</t>
        </is>
      </c>
      <c r="B406" s="1" t="n">
        <v>45210</v>
      </c>
      <c r="C406" s="1" t="n">
        <v>46114</v>
      </c>
      <c r="D406" t="inlineStr">
        <is>
          <t>DALARNAS LÄN</t>
        </is>
      </c>
      <c r="E406" t="inlineStr">
        <is>
          <t>ÄLVDALEN</t>
        </is>
      </c>
      <c r="F406" t="inlineStr">
        <is>
          <t>Sveaskog</t>
        </is>
      </c>
      <c r="G406" t="n">
        <v>3.6</v>
      </c>
      <c r="H406" t="n">
        <v>0</v>
      </c>
      <c r="I406" t="n">
        <v>2</v>
      </c>
      <c r="J406" t="n">
        <v>3</v>
      </c>
      <c r="K406" t="n">
        <v>0</v>
      </c>
      <c r="L406" t="n">
        <v>0</v>
      </c>
      <c r="M406" t="n">
        <v>0</v>
      </c>
      <c r="N406" t="n">
        <v>0</v>
      </c>
      <c r="O406" t="n">
        <v>3</v>
      </c>
      <c r="P406" t="n">
        <v>0</v>
      </c>
      <c r="Q406" t="n">
        <v>5</v>
      </c>
      <c r="R406" s="2" t="inlineStr">
        <is>
          <t>Kolflarnlav
Nordtagging
Vedflamlav
Dropptaggsvamp
Skarp dropptaggsvamp</t>
        </is>
      </c>
      <c r="S406">
        <f>HYPERLINK("https://klasma.github.io/Logging_2039/artfynd/A 49053-2023 artfynd.xlsx", "A 49053-2023")</f>
        <v/>
      </c>
      <c r="T406">
        <f>HYPERLINK("https://klasma.github.io/Logging_2039/kartor/A 49053-2023 karta.png", "A 49053-2023")</f>
        <v/>
      </c>
      <c r="V406">
        <f>HYPERLINK("https://klasma.github.io/Logging_2039/klagomål/A 49053-2023 FSC-klagomål.docx", "A 49053-2023")</f>
        <v/>
      </c>
      <c r="W406">
        <f>HYPERLINK("https://klasma.github.io/Logging_2039/klagomålsmail/A 49053-2023 FSC-klagomål mail.docx", "A 49053-2023")</f>
        <v/>
      </c>
      <c r="X406">
        <f>HYPERLINK("https://klasma.github.io/Logging_2039/tillsyn/A 49053-2023 tillsynsbegäran.docx", "A 49053-2023")</f>
        <v/>
      </c>
      <c r="Y406">
        <f>HYPERLINK("https://klasma.github.io/Logging_2039/tillsynsmail/A 49053-2023 tillsynsbegäran mail.docx", "A 49053-2023")</f>
        <v/>
      </c>
    </row>
    <row r="407" ht="15" customHeight="1">
      <c r="A407" t="inlineStr">
        <is>
          <t>A 10282-2024</t>
        </is>
      </c>
      <c r="B407" s="1" t="n">
        <v>45365</v>
      </c>
      <c r="C407" s="1" t="n">
        <v>46114</v>
      </c>
      <c r="D407" t="inlineStr">
        <is>
          <t>DALARNAS LÄN</t>
        </is>
      </c>
      <c r="E407" t="inlineStr">
        <is>
          <t>ÄLVDALEN</t>
        </is>
      </c>
      <c r="G407" t="n">
        <v>1.2</v>
      </c>
      <c r="H407" t="n">
        <v>1</v>
      </c>
      <c r="I407" t="n">
        <v>1</v>
      </c>
      <c r="J407" t="n">
        <v>3</v>
      </c>
      <c r="K407" t="n">
        <v>1</v>
      </c>
      <c r="L407" t="n">
        <v>0</v>
      </c>
      <c r="M407" t="n">
        <v>0</v>
      </c>
      <c r="N407" t="n">
        <v>0</v>
      </c>
      <c r="O407" t="n">
        <v>4</v>
      </c>
      <c r="P407" t="n">
        <v>1</v>
      </c>
      <c r="Q407" t="n">
        <v>5</v>
      </c>
      <c r="R407" s="2" t="inlineStr">
        <is>
          <t>Knärot
Garnlav
Ullticka
Violettgrå tagellav
Vedticka</t>
        </is>
      </c>
      <c r="S407">
        <f>HYPERLINK("https://klasma.github.io/Logging_2039/artfynd/A 10282-2024 artfynd.xlsx", "A 10282-2024")</f>
        <v/>
      </c>
      <c r="T407">
        <f>HYPERLINK("https://klasma.github.io/Logging_2039/kartor/A 10282-2024 karta.png", "A 10282-2024")</f>
        <v/>
      </c>
      <c r="U407">
        <f>HYPERLINK("https://klasma.github.io/Logging_2039/knärot/A 10282-2024 karta knärot.png", "A 10282-2024")</f>
        <v/>
      </c>
      <c r="V407">
        <f>HYPERLINK("https://klasma.github.io/Logging_2039/klagomål/A 10282-2024 FSC-klagomål.docx", "A 10282-2024")</f>
        <v/>
      </c>
      <c r="W407">
        <f>HYPERLINK("https://klasma.github.io/Logging_2039/klagomålsmail/A 10282-2024 FSC-klagomål mail.docx", "A 10282-2024")</f>
        <v/>
      </c>
      <c r="X407">
        <f>HYPERLINK("https://klasma.github.io/Logging_2039/tillsyn/A 10282-2024 tillsynsbegäran.docx", "A 10282-2024")</f>
        <v/>
      </c>
      <c r="Y407">
        <f>HYPERLINK("https://klasma.github.io/Logging_2039/tillsynsmail/A 10282-2024 tillsynsbegäran mail.docx", "A 10282-2024")</f>
        <v/>
      </c>
    </row>
    <row r="408" ht="15" customHeight="1">
      <c r="A408" t="inlineStr">
        <is>
          <t>A 36468-2021</t>
        </is>
      </c>
      <c r="B408" s="1" t="n">
        <v>44390</v>
      </c>
      <c r="C408" s="1" t="n">
        <v>46114</v>
      </c>
      <c r="D408" t="inlineStr">
        <is>
          <t>DALARNAS LÄN</t>
        </is>
      </c>
      <c r="E408" t="inlineStr">
        <is>
          <t>AVESTA</t>
        </is>
      </c>
      <c r="F408" t="inlineStr">
        <is>
          <t>Bergvik skog väst AB</t>
        </is>
      </c>
      <c r="G408" t="n">
        <v>3.9</v>
      </c>
      <c r="H408" t="n">
        <v>0</v>
      </c>
      <c r="I408" t="n">
        <v>3</v>
      </c>
      <c r="J408" t="n">
        <v>1</v>
      </c>
      <c r="K408" t="n">
        <v>0</v>
      </c>
      <c r="L408" t="n">
        <v>0</v>
      </c>
      <c r="M408" t="n">
        <v>0</v>
      </c>
      <c r="N408" t="n">
        <v>0</v>
      </c>
      <c r="O408" t="n">
        <v>1</v>
      </c>
      <c r="P408" t="n">
        <v>0</v>
      </c>
      <c r="Q408" t="n">
        <v>4</v>
      </c>
      <c r="R408" s="2" t="inlineStr">
        <is>
          <t>Vedtrappmossa
Bronshjon
Jättesvampmal
Vedticka</t>
        </is>
      </c>
      <c r="S408">
        <f>HYPERLINK("https://klasma.github.io/Logging_2084/artfynd/A 36468-2021 artfynd.xlsx", "A 36468-2021")</f>
        <v/>
      </c>
      <c r="T408">
        <f>HYPERLINK("https://klasma.github.io/Logging_2084/kartor/A 36468-2021 karta.png", "A 36468-2021")</f>
        <v/>
      </c>
      <c r="V408">
        <f>HYPERLINK("https://klasma.github.io/Logging_2084/klagomål/A 36468-2021 FSC-klagomål.docx", "A 36468-2021")</f>
        <v/>
      </c>
      <c r="W408">
        <f>HYPERLINK("https://klasma.github.io/Logging_2084/klagomålsmail/A 36468-2021 FSC-klagomål mail.docx", "A 36468-2021")</f>
        <v/>
      </c>
      <c r="X408">
        <f>HYPERLINK("https://klasma.github.io/Logging_2084/tillsyn/A 36468-2021 tillsynsbegäran.docx", "A 36468-2021")</f>
        <v/>
      </c>
      <c r="Y408">
        <f>HYPERLINK("https://klasma.github.io/Logging_2084/tillsynsmail/A 36468-2021 tillsynsbegäran mail.docx", "A 36468-2021")</f>
        <v/>
      </c>
    </row>
    <row r="409" ht="15" customHeight="1">
      <c r="A409" t="inlineStr">
        <is>
          <t>A 35788-2021</t>
        </is>
      </c>
      <c r="B409" s="1" t="n">
        <v>44386</v>
      </c>
      <c r="C409" s="1" t="n">
        <v>46114</v>
      </c>
      <c r="D409" t="inlineStr">
        <is>
          <t>DALARNAS LÄN</t>
        </is>
      </c>
      <c r="E409" t="inlineStr">
        <is>
          <t>RÄTTVIK</t>
        </is>
      </c>
      <c r="F409" t="inlineStr">
        <is>
          <t>Sveaskog</t>
        </is>
      </c>
      <c r="G409" t="n">
        <v>2</v>
      </c>
      <c r="H409" t="n">
        <v>2</v>
      </c>
      <c r="I409" t="n">
        <v>2</v>
      </c>
      <c r="J409" t="n">
        <v>0</v>
      </c>
      <c r="K409" t="n">
        <v>0</v>
      </c>
      <c r="L409" t="n">
        <v>0</v>
      </c>
      <c r="M409" t="n">
        <v>0</v>
      </c>
      <c r="N409" t="n">
        <v>0</v>
      </c>
      <c r="O409" t="n">
        <v>0</v>
      </c>
      <c r="P409" t="n">
        <v>0</v>
      </c>
      <c r="Q409" t="n">
        <v>4</v>
      </c>
      <c r="R409" s="2" t="inlineStr">
        <is>
          <t>Bronshjon
Vedticka
Fläcknycklar
Nattviol</t>
        </is>
      </c>
      <c r="S409">
        <f>HYPERLINK("https://klasma.github.io/Logging_2031/artfynd/A 35788-2021 artfynd.xlsx", "A 35788-2021")</f>
        <v/>
      </c>
      <c r="T409">
        <f>HYPERLINK("https://klasma.github.io/Logging_2031/kartor/A 35788-2021 karta.png", "A 35788-2021")</f>
        <v/>
      </c>
      <c r="V409">
        <f>HYPERLINK("https://klasma.github.io/Logging_2031/klagomål/A 35788-2021 FSC-klagomål.docx", "A 35788-2021")</f>
        <v/>
      </c>
      <c r="W409">
        <f>HYPERLINK("https://klasma.github.io/Logging_2031/klagomålsmail/A 35788-2021 FSC-klagomål mail.docx", "A 35788-2021")</f>
        <v/>
      </c>
      <c r="X409">
        <f>HYPERLINK("https://klasma.github.io/Logging_2031/tillsyn/A 35788-2021 tillsynsbegäran.docx", "A 35788-2021")</f>
        <v/>
      </c>
      <c r="Y409">
        <f>HYPERLINK("https://klasma.github.io/Logging_2031/tillsynsmail/A 35788-2021 tillsynsbegäran mail.docx", "A 35788-2021")</f>
        <v/>
      </c>
    </row>
    <row r="410" ht="15" customHeight="1">
      <c r="A410" t="inlineStr">
        <is>
          <t>A 30133-2021</t>
        </is>
      </c>
      <c r="B410" s="1" t="n">
        <v>44363</v>
      </c>
      <c r="C410" s="1" t="n">
        <v>46114</v>
      </c>
      <c r="D410" t="inlineStr">
        <is>
          <t>DALARNAS LÄN</t>
        </is>
      </c>
      <c r="E410" t="inlineStr">
        <is>
          <t>MALUNG-SÄLEN</t>
        </is>
      </c>
      <c r="G410" t="n">
        <v>3.6</v>
      </c>
      <c r="H410" t="n">
        <v>0</v>
      </c>
      <c r="I410" t="n">
        <v>1</v>
      </c>
      <c r="J410" t="n">
        <v>3</v>
      </c>
      <c r="K410" t="n">
        <v>0</v>
      </c>
      <c r="L410" t="n">
        <v>0</v>
      </c>
      <c r="M410" t="n">
        <v>0</v>
      </c>
      <c r="N410" t="n">
        <v>0</v>
      </c>
      <c r="O410" t="n">
        <v>3</v>
      </c>
      <c r="P410" t="n">
        <v>0</v>
      </c>
      <c r="Q410" t="n">
        <v>4</v>
      </c>
      <c r="R410" s="2" t="inlineStr">
        <is>
          <t>Dvärgbägarlav
Garnlav
Lunglav
Dropptaggsvamp</t>
        </is>
      </c>
      <c r="S410">
        <f>HYPERLINK("https://klasma.github.io/Logging_2023/artfynd/A 30133-2021 artfynd.xlsx", "A 30133-2021")</f>
        <v/>
      </c>
      <c r="T410">
        <f>HYPERLINK("https://klasma.github.io/Logging_2023/kartor/A 30133-2021 karta.png", "A 30133-2021")</f>
        <v/>
      </c>
      <c r="V410">
        <f>HYPERLINK("https://klasma.github.io/Logging_2023/klagomål/A 30133-2021 FSC-klagomål.docx", "A 30133-2021")</f>
        <v/>
      </c>
      <c r="W410">
        <f>HYPERLINK("https://klasma.github.io/Logging_2023/klagomålsmail/A 30133-2021 FSC-klagomål mail.docx", "A 30133-2021")</f>
        <v/>
      </c>
      <c r="X410">
        <f>HYPERLINK("https://klasma.github.io/Logging_2023/tillsyn/A 30133-2021 tillsynsbegäran.docx", "A 30133-2021")</f>
        <v/>
      </c>
      <c r="Y410">
        <f>HYPERLINK("https://klasma.github.io/Logging_2023/tillsynsmail/A 30133-2021 tillsynsbegäran mail.docx", "A 30133-2021")</f>
        <v/>
      </c>
    </row>
    <row r="411" ht="15" customHeight="1">
      <c r="A411" t="inlineStr">
        <is>
          <t>A 34671-2023</t>
        </is>
      </c>
      <c r="B411" s="1" t="n">
        <v>45140.8359375</v>
      </c>
      <c r="C411" s="1" t="n">
        <v>46114</v>
      </c>
      <c r="D411" t="inlineStr">
        <is>
          <t>DALARNAS LÄN</t>
        </is>
      </c>
      <c r="E411" t="inlineStr">
        <is>
          <t>SMEDJEBACKEN</t>
        </is>
      </c>
      <c r="G411" t="n">
        <v>5.5</v>
      </c>
      <c r="H411" t="n">
        <v>2</v>
      </c>
      <c r="I411" t="n">
        <v>1</v>
      </c>
      <c r="J411" t="n">
        <v>1</v>
      </c>
      <c r="K411" t="n">
        <v>0</v>
      </c>
      <c r="L411" t="n">
        <v>0</v>
      </c>
      <c r="M411" t="n">
        <v>0</v>
      </c>
      <c r="N411" t="n">
        <v>0</v>
      </c>
      <c r="O411" t="n">
        <v>1</v>
      </c>
      <c r="P411" t="n">
        <v>0</v>
      </c>
      <c r="Q411" t="n">
        <v>4</v>
      </c>
      <c r="R411" s="2" t="inlineStr">
        <is>
          <t>Motaggsvamp
Rödgul trumpetsvamp
Fläcknycklar
Revlummer</t>
        </is>
      </c>
      <c r="S411">
        <f>HYPERLINK("https://klasma.github.io/Logging_2061/artfynd/A 34671-2023 artfynd.xlsx", "A 34671-2023")</f>
        <v/>
      </c>
      <c r="T411">
        <f>HYPERLINK("https://klasma.github.io/Logging_2061/kartor/A 34671-2023 karta.png", "A 34671-2023")</f>
        <v/>
      </c>
      <c r="V411">
        <f>HYPERLINK("https://klasma.github.io/Logging_2061/klagomål/A 34671-2023 FSC-klagomål.docx", "A 34671-2023")</f>
        <v/>
      </c>
      <c r="W411">
        <f>HYPERLINK("https://klasma.github.io/Logging_2061/klagomålsmail/A 34671-2023 FSC-klagomål mail.docx", "A 34671-2023")</f>
        <v/>
      </c>
      <c r="X411">
        <f>HYPERLINK("https://klasma.github.io/Logging_2061/tillsyn/A 34671-2023 tillsynsbegäran.docx", "A 34671-2023")</f>
        <v/>
      </c>
      <c r="Y411">
        <f>HYPERLINK("https://klasma.github.io/Logging_2061/tillsynsmail/A 34671-2023 tillsynsbegäran mail.docx", "A 34671-2023")</f>
        <v/>
      </c>
    </row>
    <row r="412" ht="15" customHeight="1">
      <c r="A412" t="inlineStr">
        <is>
          <t>A 15377-2025</t>
        </is>
      </c>
      <c r="B412" s="1" t="n">
        <v>45747.40665509259</v>
      </c>
      <c r="C412" s="1" t="n">
        <v>46114</v>
      </c>
      <c r="D412" t="inlineStr">
        <is>
          <t>DALARNAS LÄN</t>
        </is>
      </c>
      <c r="E412" t="inlineStr">
        <is>
          <t>LEKSAND</t>
        </is>
      </c>
      <c r="G412" t="n">
        <v>2.5</v>
      </c>
      <c r="H412" t="n">
        <v>0</v>
      </c>
      <c r="I412" t="n">
        <v>1</v>
      </c>
      <c r="J412" t="n">
        <v>2</v>
      </c>
      <c r="K412" t="n">
        <v>1</v>
      </c>
      <c r="L412" t="n">
        <v>0</v>
      </c>
      <c r="M412" t="n">
        <v>0</v>
      </c>
      <c r="N412" t="n">
        <v>0</v>
      </c>
      <c r="O412" t="n">
        <v>3</v>
      </c>
      <c r="P412" t="n">
        <v>1</v>
      </c>
      <c r="Q412" t="n">
        <v>4</v>
      </c>
      <c r="R412" s="2" t="inlineStr">
        <is>
          <t>Ulltickeporing
Garnlav
Ullticka
Vedticka</t>
        </is>
      </c>
      <c r="S412">
        <f>HYPERLINK("https://klasma.github.io/Logging_2029/artfynd/A 15377-2025 artfynd.xlsx", "A 15377-2025")</f>
        <v/>
      </c>
      <c r="T412">
        <f>HYPERLINK("https://klasma.github.io/Logging_2029/kartor/A 15377-2025 karta.png", "A 15377-2025")</f>
        <v/>
      </c>
      <c r="V412">
        <f>HYPERLINK("https://klasma.github.io/Logging_2029/klagomål/A 15377-2025 FSC-klagomål.docx", "A 15377-2025")</f>
        <v/>
      </c>
      <c r="W412">
        <f>HYPERLINK("https://klasma.github.io/Logging_2029/klagomålsmail/A 15377-2025 FSC-klagomål mail.docx", "A 15377-2025")</f>
        <v/>
      </c>
      <c r="X412">
        <f>HYPERLINK("https://klasma.github.io/Logging_2029/tillsyn/A 15377-2025 tillsynsbegäran.docx", "A 15377-2025")</f>
        <v/>
      </c>
      <c r="Y412">
        <f>HYPERLINK("https://klasma.github.io/Logging_2029/tillsynsmail/A 15377-2025 tillsynsbegäran mail.docx", "A 15377-2025")</f>
        <v/>
      </c>
    </row>
    <row r="413" ht="15" customHeight="1">
      <c r="A413" t="inlineStr">
        <is>
          <t>A 61651-2024</t>
        </is>
      </c>
      <c r="B413" s="1" t="n">
        <v>45646.72123842593</v>
      </c>
      <c r="C413" s="1" t="n">
        <v>46114</v>
      </c>
      <c r="D413" t="inlineStr">
        <is>
          <t>DALARNAS LÄN</t>
        </is>
      </c>
      <c r="E413" t="inlineStr">
        <is>
          <t>RÄTTVIK</t>
        </is>
      </c>
      <c r="F413" t="inlineStr">
        <is>
          <t>Bergvik skog väst AB</t>
        </is>
      </c>
      <c r="G413" t="n">
        <v>36.6</v>
      </c>
      <c r="H413" t="n">
        <v>0</v>
      </c>
      <c r="I413" t="n">
        <v>2</v>
      </c>
      <c r="J413" t="n">
        <v>2</v>
      </c>
      <c r="K413" t="n">
        <v>0</v>
      </c>
      <c r="L413" t="n">
        <v>0</v>
      </c>
      <c r="M413" t="n">
        <v>0</v>
      </c>
      <c r="N413" t="n">
        <v>0</v>
      </c>
      <c r="O413" t="n">
        <v>2</v>
      </c>
      <c r="P413" t="n">
        <v>0</v>
      </c>
      <c r="Q413" t="n">
        <v>4</v>
      </c>
      <c r="R413" s="2" t="inlineStr">
        <is>
          <t>Garnlav
Lunglav
Stuplav
Vedticka</t>
        </is>
      </c>
      <c r="S413">
        <f>HYPERLINK("https://klasma.github.io/Logging_2031/artfynd/A 61651-2024 artfynd.xlsx", "A 61651-2024")</f>
        <v/>
      </c>
      <c r="T413">
        <f>HYPERLINK("https://klasma.github.io/Logging_2031/kartor/A 61651-2024 karta.png", "A 61651-2024")</f>
        <v/>
      </c>
      <c r="V413">
        <f>HYPERLINK("https://klasma.github.io/Logging_2031/klagomål/A 61651-2024 FSC-klagomål.docx", "A 61651-2024")</f>
        <v/>
      </c>
      <c r="W413">
        <f>HYPERLINK("https://klasma.github.io/Logging_2031/klagomålsmail/A 61651-2024 FSC-klagomål mail.docx", "A 61651-2024")</f>
        <v/>
      </c>
      <c r="X413">
        <f>HYPERLINK("https://klasma.github.io/Logging_2031/tillsyn/A 61651-2024 tillsynsbegäran.docx", "A 61651-2024")</f>
        <v/>
      </c>
      <c r="Y413">
        <f>HYPERLINK("https://klasma.github.io/Logging_2031/tillsynsmail/A 61651-2024 tillsynsbegäran mail.docx", "A 61651-2024")</f>
        <v/>
      </c>
    </row>
    <row r="414" ht="15" customHeight="1">
      <c r="A414" t="inlineStr">
        <is>
          <t>A 39478-2025</t>
        </is>
      </c>
      <c r="B414" s="1" t="n">
        <v>45890.3469212963</v>
      </c>
      <c r="C414" s="1" t="n">
        <v>46114</v>
      </c>
      <c r="D414" t="inlineStr">
        <is>
          <t>DALARNAS LÄN</t>
        </is>
      </c>
      <c r="E414" t="inlineStr">
        <is>
          <t>MORA</t>
        </is>
      </c>
      <c r="G414" t="n">
        <v>1.8</v>
      </c>
      <c r="H414" t="n">
        <v>0</v>
      </c>
      <c r="I414" t="n">
        <v>0</v>
      </c>
      <c r="J414" t="n">
        <v>4</v>
      </c>
      <c r="K414" t="n">
        <v>0</v>
      </c>
      <c r="L414" t="n">
        <v>0</v>
      </c>
      <c r="M414" t="n">
        <v>0</v>
      </c>
      <c r="N414" t="n">
        <v>0</v>
      </c>
      <c r="O414" t="n">
        <v>4</v>
      </c>
      <c r="P414" t="n">
        <v>0</v>
      </c>
      <c r="Q414" t="n">
        <v>4</v>
      </c>
      <c r="R414" s="2" t="inlineStr">
        <is>
          <t>Garnlav
Mörk kolflarnlav
Vedflamlav
Vedskivlav</t>
        </is>
      </c>
      <c r="S414">
        <f>HYPERLINK("https://klasma.github.io/Logging_2062/artfynd/A 39478-2025 artfynd.xlsx", "A 39478-2025")</f>
        <v/>
      </c>
      <c r="T414">
        <f>HYPERLINK("https://klasma.github.io/Logging_2062/kartor/A 39478-2025 karta.png", "A 39478-2025")</f>
        <v/>
      </c>
      <c r="V414">
        <f>HYPERLINK("https://klasma.github.io/Logging_2062/klagomål/A 39478-2025 FSC-klagomål.docx", "A 39478-2025")</f>
        <v/>
      </c>
      <c r="W414">
        <f>HYPERLINK("https://klasma.github.io/Logging_2062/klagomålsmail/A 39478-2025 FSC-klagomål mail.docx", "A 39478-2025")</f>
        <v/>
      </c>
      <c r="X414">
        <f>HYPERLINK("https://klasma.github.io/Logging_2062/tillsyn/A 39478-2025 tillsynsbegäran.docx", "A 39478-2025")</f>
        <v/>
      </c>
      <c r="Y414">
        <f>HYPERLINK("https://klasma.github.io/Logging_2062/tillsynsmail/A 39478-2025 tillsynsbegäran mail.docx", "A 39478-2025")</f>
        <v/>
      </c>
    </row>
    <row r="415" ht="15" customHeight="1">
      <c r="A415" t="inlineStr">
        <is>
          <t>A 39483-2025</t>
        </is>
      </c>
      <c r="B415" s="1" t="n">
        <v>45890.35881944445</v>
      </c>
      <c r="C415" s="1" t="n">
        <v>46114</v>
      </c>
      <c r="D415" t="inlineStr">
        <is>
          <t>DALARNAS LÄN</t>
        </is>
      </c>
      <c r="E415" t="inlineStr">
        <is>
          <t>MORA</t>
        </is>
      </c>
      <c r="G415" t="n">
        <v>0.4</v>
      </c>
      <c r="H415" t="n">
        <v>2</v>
      </c>
      <c r="I415" t="n">
        <v>0</v>
      </c>
      <c r="J415" t="n">
        <v>3</v>
      </c>
      <c r="K415" t="n">
        <v>0</v>
      </c>
      <c r="L415" t="n">
        <v>0</v>
      </c>
      <c r="M415" t="n">
        <v>0</v>
      </c>
      <c r="N415" t="n">
        <v>0</v>
      </c>
      <c r="O415" t="n">
        <v>3</v>
      </c>
      <c r="P415" t="n">
        <v>0</v>
      </c>
      <c r="Q415" t="n">
        <v>4</v>
      </c>
      <c r="R415" s="2" t="inlineStr">
        <is>
          <t>Garnlav
Spillkråka
Vitgrynig nållav
Revlummer</t>
        </is>
      </c>
      <c r="S415">
        <f>HYPERLINK("https://klasma.github.io/Logging_2062/artfynd/A 39483-2025 artfynd.xlsx", "A 39483-2025")</f>
        <v/>
      </c>
      <c r="T415">
        <f>HYPERLINK("https://klasma.github.io/Logging_2062/kartor/A 39483-2025 karta.png", "A 39483-2025")</f>
        <v/>
      </c>
      <c r="V415">
        <f>HYPERLINK("https://klasma.github.io/Logging_2062/klagomål/A 39483-2025 FSC-klagomål.docx", "A 39483-2025")</f>
        <v/>
      </c>
      <c r="W415">
        <f>HYPERLINK("https://klasma.github.io/Logging_2062/klagomålsmail/A 39483-2025 FSC-klagomål mail.docx", "A 39483-2025")</f>
        <v/>
      </c>
      <c r="X415">
        <f>HYPERLINK("https://klasma.github.io/Logging_2062/tillsyn/A 39483-2025 tillsynsbegäran.docx", "A 39483-2025")</f>
        <v/>
      </c>
      <c r="Y415">
        <f>HYPERLINK("https://klasma.github.io/Logging_2062/tillsynsmail/A 39483-2025 tillsynsbegäran mail.docx", "A 39483-2025")</f>
        <v/>
      </c>
      <c r="Z415">
        <f>HYPERLINK("https://klasma.github.io/Logging_2062/fåglar/A 39483-2025 prioriterade fågelarter.docx", "A 39483-2025")</f>
        <v/>
      </c>
    </row>
    <row r="416" ht="15" customHeight="1">
      <c r="A416" t="inlineStr">
        <is>
          <t>A 35889-2025</t>
        </is>
      </c>
      <c r="B416" s="1" t="n">
        <v>45862.44428240741</v>
      </c>
      <c r="C416" s="1" t="n">
        <v>46114</v>
      </c>
      <c r="D416" t="inlineStr">
        <is>
          <t>DALARNAS LÄN</t>
        </is>
      </c>
      <c r="E416" t="inlineStr">
        <is>
          <t>SMEDJEBACKEN</t>
        </is>
      </c>
      <c r="G416" t="n">
        <v>1</v>
      </c>
      <c r="H416" t="n">
        <v>0</v>
      </c>
      <c r="I416" t="n">
        <v>4</v>
      </c>
      <c r="J416" t="n">
        <v>0</v>
      </c>
      <c r="K416" t="n">
        <v>0</v>
      </c>
      <c r="L416" t="n">
        <v>0</v>
      </c>
      <c r="M416" t="n">
        <v>0</v>
      </c>
      <c r="N416" t="n">
        <v>0</v>
      </c>
      <c r="O416" t="n">
        <v>0</v>
      </c>
      <c r="P416" t="n">
        <v>0</v>
      </c>
      <c r="Q416" t="n">
        <v>4</v>
      </c>
      <c r="R416" s="2" t="inlineStr">
        <is>
          <t>Fjällig taggsvamp s.str.
Strimspindling
Svart trolldruva
Ögonpyrola</t>
        </is>
      </c>
      <c r="S416">
        <f>HYPERLINK("https://klasma.github.io/Logging_2061/artfynd/A 35889-2025 artfynd.xlsx", "A 35889-2025")</f>
        <v/>
      </c>
      <c r="T416">
        <f>HYPERLINK("https://klasma.github.io/Logging_2061/kartor/A 35889-2025 karta.png", "A 35889-2025")</f>
        <v/>
      </c>
      <c r="V416">
        <f>HYPERLINK("https://klasma.github.io/Logging_2061/klagomål/A 35889-2025 FSC-klagomål.docx", "A 35889-2025")</f>
        <v/>
      </c>
      <c r="W416">
        <f>HYPERLINK("https://klasma.github.io/Logging_2061/klagomålsmail/A 35889-2025 FSC-klagomål mail.docx", "A 35889-2025")</f>
        <v/>
      </c>
      <c r="X416">
        <f>HYPERLINK("https://klasma.github.io/Logging_2061/tillsyn/A 35889-2025 tillsynsbegäran.docx", "A 35889-2025")</f>
        <v/>
      </c>
      <c r="Y416">
        <f>HYPERLINK("https://klasma.github.io/Logging_2061/tillsynsmail/A 35889-2025 tillsynsbegäran mail.docx", "A 35889-2025")</f>
        <v/>
      </c>
    </row>
    <row r="417" ht="15" customHeight="1">
      <c r="A417" t="inlineStr">
        <is>
          <t>A 48706-2023</t>
        </is>
      </c>
      <c r="B417" s="1" t="n">
        <v>45208</v>
      </c>
      <c r="C417" s="1" t="n">
        <v>46114</v>
      </c>
      <c r="D417" t="inlineStr">
        <is>
          <t>DALARNAS LÄN</t>
        </is>
      </c>
      <c r="E417" t="inlineStr">
        <is>
          <t>BORLÄNGE</t>
        </is>
      </c>
      <c r="G417" t="n">
        <v>8.1</v>
      </c>
      <c r="H417" t="n">
        <v>1</v>
      </c>
      <c r="I417" t="n">
        <v>2</v>
      </c>
      <c r="J417" t="n">
        <v>1</v>
      </c>
      <c r="K417" t="n">
        <v>1</v>
      </c>
      <c r="L417" t="n">
        <v>0</v>
      </c>
      <c r="M417" t="n">
        <v>0</v>
      </c>
      <c r="N417" t="n">
        <v>0</v>
      </c>
      <c r="O417" t="n">
        <v>2</v>
      </c>
      <c r="P417" t="n">
        <v>1</v>
      </c>
      <c r="Q417" t="n">
        <v>4</v>
      </c>
      <c r="R417" s="2" t="inlineStr">
        <is>
          <t>Knärot
Dofttaggsvamp
Bronshjon
Dropptaggsvamp</t>
        </is>
      </c>
      <c r="S417">
        <f>HYPERLINK("https://klasma.github.io/Logging_2081/artfynd/A 48706-2023 artfynd.xlsx", "A 48706-2023")</f>
        <v/>
      </c>
      <c r="T417">
        <f>HYPERLINK("https://klasma.github.io/Logging_2081/kartor/A 48706-2023 karta.png", "A 48706-2023")</f>
        <v/>
      </c>
      <c r="U417">
        <f>HYPERLINK("https://klasma.github.io/Logging_2081/knärot/A 48706-2023 karta knärot.png", "A 48706-2023")</f>
        <v/>
      </c>
      <c r="V417">
        <f>HYPERLINK("https://klasma.github.io/Logging_2081/klagomål/A 48706-2023 FSC-klagomål.docx", "A 48706-2023")</f>
        <v/>
      </c>
      <c r="W417">
        <f>HYPERLINK("https://klasma.github.io/Logging_2081/klagomålsmail/A 48706-2023 FSC-klagomål mail.docx", "A 48706-2023")</f>
        <v/>
      </c>
      <c r="X417">
        <f>HYPERLINK("https://klasma.github.io/Logging_2081/tillsyn/A 48706-2023 tillsynsbegäran.docx", "A 48706-2023")</f>
        <v/>
      </c>
      <c r="Y417">
        <f>HYPERLINK("https://klasma.github.io/Logging_2081/tillsynsmail/A 48706-2023 tillsynsbegäran mail.docx", "A 48706-2023")</f>
        <v/>
      </c>
    </row>
    <row r="418" ht="15" customHeight="1">
      <c r="A418" t="inlineStr">
        <is>
          <t>A 41456-2025</t>
        </is>
      </c>
      <c r="B418" s="1" t="n">
        <v>45901.44197916667</v>
      </c>
      <c r="C418" s="1" t="n">
        <v>46114</v>
      </c>
      <c r="D418" t="inlineStr">
        <is>
          <t>DALARNAS LÄN</t>
        </is>
      </c>
      <c r="E418" t="inlineStr">
        <is>
          <t>LUDVIKA</t>
        </is>
      </c>
      <c r="G418" t="n">
        <v>1.9</v>
      </c>
      <c r="H418" t="n">
        <v>1</v>
      </c>
      <c r="I418" t="n">
        <v>0</v>
      </c>
      <c r="J418" t="n">
        <v>3</v>
      </c>
      <c r="K418" t="n">
        <v>1</v>
      </c>
      <c r="L418" t="n">
        <v>0</v>
      </c>
      <c r="M418" t="n">
        <v>0</v>
      </c>
      <c r="N418" t="n">
        <v>0</v>
      </c>
      <c r="O418" t="n">
        <v>4</v>
      </c>
      <c r="P418" t="n">
        <v>1</v>
      </c>
      <c r="Q418" t="n">
        <v>4</v>
      </c>
      <c r="R418" s="2" t="inlineStr">
        <is>
          <t>Aspgelélav
Granticka
Järpe
Lunglav</t>
        </is>
      </c>
      <c r="S418">
        <f>HYPERLINK("https://klasma.github.io/Logging_2085/artfynd/A 41456-2025 artfynd.xlsx", "A 41456-2025")</f>
        <v/>
      </c>
      <c r="T418">
        <f>HYPERLINK("https://klasma.github.io/Logging_2085/kartor/A 41456-2025 karta.png", "A 41456-2025")</f>
        <v/>
      </c>
      <c r="V418">
        <f>HYPERLINK("https://klasma.github.io/Logging_2085/klagomål/A 41456-2025 FSC-klagomål.docx", "A 41456-2025")</f>
        <v/>
      </c>
      <c r="W418">
        <f>HYPERLINK("https://klasma.github.io/Logging_2085/klagomålsmail/A 41456-2025 FSC-klagomål mail.docx", "A 41456-2025")</f>
        <v/>
      </c>
      <c r="X418">
        <f>HYPERLINK("https://klasma.github.io/Logging_2085/tillsyn/A 41456-2025 tillsynsbegäran.docx", "A 41456-2025")</f>
        <v/>
      </c>
      <c r="Y418">
        <f>HYPERLINK("https://klasma.github.io/Logging_2085/tillsynsmail/A 41456-2025 tillsynsbegäran mail.docx", "A 41456-2025")</f>
        <v/>
      </c>
      <c r="Z418">
        <f>HYPERLINK("https://klasma.github.io/Logging_2085/fåglar/A 41456-2025 prioriterade fågelarter.docx", "A 41456-2025")</f>
        <v/>
      </c>
    </row>
    <row r="419" ht="15" customHeight="1">
      <c r="A419" t="inlineStr">
        <is>
          <t>A 59462-2023</t>
        </is>
      </c>
      <c r="B419" s="1" t="n">
        <v>45254.39513888889</v>
      </c>
      <c r="C419" s="1" t="n">
        <v>46114</v>
      </c>
      <c r="D419" t="inlineStr">
        <is>
          <t>DALARNAS LÄN</t>
        </is>
      </c>
      <c r="E419" t="inlineStr">
        <is>
          <t>AVESTA</t>
        </is>
      </c>
      <c r="G419" t="n">
        <v>7.7</v>
      </c>
      <c r="H419" t="n">
        <v>3</v>
      </c>
      <c r="I419" t="n">
        <v>1</v>
      </c>
      <c r="J419" t="n">
        <v>1</v>
      </c>
      <c r="K419" t="n">
        <v>0</v>
      </c>
      <c r="L419" t="n">
        <v>0</v>
      </c>
      <c r="M419" t="n">
        <v>0</v>
      </c>
      <c r="N419" t="n">
        <v>0</v>
      </c>
      <c r="O419" t="n">
        <v>1</v>
      </c>
      <c r="P419" t="n">
        <v>0</v>
      </c>
      <c r="Q419" t="n">
        <v>4</v>
      </c>
      <c r="R419" s="2" t="inlineStr">
        <is>
          <t>Ullticka
Plattlummer
Fläcknycklar
Mattlummer</t>
        </is>
      </c>
      <c r="S419">
        <f>HYPERLINK("https://klasma.github.io/Logging_2084/artfynd/A 59462-2023 artfynd.xlsx", "A 59462-2023")</f>
        <v/>
      </c>
      <c r="T419">
        <f>HYPERLINK("https://klasma.github.io/Logging_2084/kartor/A 59462-2023 karta.png", "A 59462-2023")</f>
        <v/>
      </c>
      <c r="V419">
        <f>HYPERLINK("https://klasma.github.io/Logging_2084/klagomål/A 59462-2023 FSC-klagomål.docx", "A 59462-2023")</f>
        <v/>
      </c>
      <c r="W419">
        <f>HYPERLINK("https://klasma.github.io/Logging_2084/klagomålsmail/A 59462-2023 FSC-klagomål mail.docx", "A 59462-2023")</f>
        <v/>
      </c>
      <c r="X419">
        <f>HYPERLINK("https://klasma.github.io/Logging_2084/tillsyn/A 59462-2023 tillsynsbegäran.docx", "A 59462-2023")</f>
        <v/>
      </c>
      <c r="Y419">
        <f>HYPERLINK("https://klasma.github.io/Logging_2084/tillsynsmail/A 59462-2023 tillsynsbegäran mail.docx", "A 59462-2023")</f>
        <v/>
      </c>
    </row>
    <row r="420" ht="15" customHeight="1">
      <c r="A420" t="inlineStr">
        <is>
          <t>A 43344-2025</t>
        </is>
      </c>
      <c r="B420" s="1" t="n">
        <v>45910.76924768519</v>
      </c>
      <c r="C420" s="1" t="n">
        <v>46114</v>
      </c>
      <c r="D420" t="inlineStr">
        <is>
          <t>DALARNAS LÄN</t>
        </is>
      </c>
      <c r="E420" t="inlineStr">
        <is>
          <t>ÄLVDALEN</t>
        </is>
      </c>
      <c r="G420" t="n">
        <v>11.6</v>
      </c>
      <c r="H420" t="n">
        <v>1</v>
      </c>
      <c r="I420" t="n">
        <v>1</v>
      </c>
      <c r="J420" t="n">
        <v>3</v>
      </c>
      <c r="K420" t="n">
        <v>0</v>
      </c>
      <c r="L420" t="n">
        <v>0</v>
      </c>
      <c r="M420" t="n">
        <v>0</v>
      </c>
      <c r="N420" t="n">
        <v>0</v>
      </c>
      <c r="O420" t="n">
        <v>3</v>
      </c>
      <c r="P420" t="n">
        <v>0</v>
      </c>
      <c r="Q420" t="n">
        <v>4</v>
      </c>
      <c r="R420" s="2" t="inlineStr">
        <is>
          <t>Garnlav
Motaggsvamp
Talltita
Nästlav</t>
        </is>
      </c>
      <c r="S420">
        <f>HYPERLINK("https://klasma.github.io/Logging_2039/artfynd/A 43344-2025 artfynd.xlsx", "A 43344-2025")</f>
        <v/>
      </c>
      <c r="T420">
        <f>HYPERLINK("https://klasma.github.io/Logging_2039/kartor/A 43344-2025 karta.png", "A 43344-2025")</f>
        <v/>
      </c>
      <c r="V420">
        <f>HYPERLINK("https://klasma.github.io/Logging_2039/klagomål/A 43344-2025 FSC-klagomål.docx", "A 43344-2025")</f>
        <v/>
      </c>
      <c r="W420">
        <f>HYPERLINK("https://klasma.github.io/Logging_2039/klagomålsmail/A 43344-2025 FSC-klagomål mail.docx", "A 43344-2025")</f>
        <v/>
      </c>
      <c r="X420">
        <f>HYPERLINK("https://klasma.github.io/Logging_2039/tillsyn/A 43344-2025 tillsynsbegäran.docx", "A 43344-2025")</f>
        <v/>
      </c>
      <c r="Y420">
        <f>HYPERLINK("https://klasma.github.io/Logging_2039/tillsynsmail/A 43344-2025 tillsynsbegäran mail.docx", "A 43344-2025")</f>
        <v/>
      </c>
      <c r="Z420">
        <f>HYPERLINK("https://klasma.github.io/Logging_2039/fåglar/A 43344-2025 prioriterade fågelarter.docx", "A 43344-2025")</f>
        <v/>
      </c>
    </row>
    <row r="421" ht="15" customHeight="1">
      <c r="A421" t="inlineStr">
        <is>
          <t>A 29252-2023</t>
        </is>
      </c>
      <c r="B421" s="1" t="n">
        <v>45105</v>
      </c>
      <c r="C421" s="1" t="n">
        <v>46114</v>
      </c>
      <c r="D421" t="inlineStr">
        <is>
          <t>DALARNAS LÄN</t>
        </is>
      </c>
      <c r="E421" t="inlineStr">
        <is>
          <t>ÄLVDALEN</t>
        </is>
      </c>
      <c r="F421" t="inlineStr">
        <is>
          <t>Allmännings- och besparingsskogar</t>
        </is>
      </c>
      <c r="G421" t="n">
        <v>3.5</v>
      </c>
      <c r="H421" t="n">
        <v>1</v>
      </c>
      <c r="I421" t="n">
        <v>0</v>
      </c>
      <c r="J421" t="n">
        <v>4</v>
      </c>
      <c r="K421" t="n">
        <v>0</v>
      </c>
      <c r="L421" t="n">
        <v>0</v>
      </c>
      <c r="M421" t="n">
        <v>0</v>
      </c>
      <c r="N421" t="n">
        <v>0</v>
      </c>
      <c r="O421" t="n">
        <v>4</v>
      </c>
      <c r="P421" t="n">
        <v>0</v>
      </c>
      <c r="Q421" t="n">
        <v>4</v>
      </c>
      <c r="R421" s="2" t="inlineStr">
        <is>
          <t>Knottrig blåslav
Kolflarnlav
Varglav
Vedflamlav</t>
        </is>
      </c>
      <c r="S421">
        <f>HYPERLINK("https://klasma.github.io/Logging_2039/artfynd/A 29252-2023 artfynd.xlsx", "A 29252-2023")</f>
        <v/>
      </c>
      <c r="T421">
        <f>HYPERLINK("https://klasma.github.io/Logging_2039/kartor/A 29252-2023 karta.png", "A 29252-2023")</f>
        <v/>
      </c>
      <c r="V421">
        <f>HYPERLINK("https://klasma.github.io/Logging_2039/klagomål/A 29252-2023 FSC-klagomål.docx", "A 29252-2023")</f>
        <v/>
      </c>
      <c r="W421">
        <f>HYPERLINK("https://klasma.github.io/Logging_2039/klagomålsmail/A 29252-2023 FSC-klagomål mail.docx", "A 29252-2023")</f>
        <v/>
      </c>
      <c r="X421">
        <f>HYPERLINK("https://klasma.github.io/Logging_2039/tillsyn/A 29252-2023 tillsynsbegäran.docx", "A 29252-2023")</f>
        <v/>
      </c>
      <c r="Y421">
        <f>HYPERLINK("https://klasma.github.io/Logging_2039/tillsynsmail/A 29252-2023 tillsynsbegäran mail.docx", "A 29252-2023")</f>
        <v/>
      </c>
    </row>
    <row r="422" ht="15" customHeight="1">
      <c r="A422" t="inlineStr">
        <is>
          <t>A 3067-2025</t>
        </is>
      </c>
      <c r="B422" s="1" t="n">
        <v>45678.63605324074</v>
      </c>
      <c r="C422" s="1" t="n">
        <v>46114</v>
      </c>
      <c r="D422" t="inlineStr">
        <is>
          <t>DALARNAS LÄN</t>
        </is>
      </c>
      <c r="E422" t="inlineStr">
        <is>
          <t>BORLÄNGE</t>
        </is>
      </c>
      <c r="F422" t="inlineStr">
        <is>
          <t>Kommuner</t>
        </is>
      </c>
      <c r="G422" t="n">
        <v>8</v>
      </c>
      <c r="H422" t="n">
        <v>2</v>
      </c>
      <c r="I422" t="n">
        <v>1</v>
      </c>
      <c r="J422" t="n">
        <v>1</v>
      </c>
      <c r="K422" t="n">
        <v>1</v>
      </c>
      <c r="L422" t="n">
        <v>0</v>
      </c>
      <c r="M422" t="n">
        <v>0</v>
      </c>
      <c r="N422" t="n">
        <v>0</v>
      </c>
      <c r="O422" t="n">
        <v>2</v>
      </c>
      <c r="P422" t="n">
        <v>1</v>
      </c>
      <c r="Q422" t="n">
        <v>4</v>
      </c>
      <c r="R422" s="2" t="inlineStr">
        <is>
          <t>Knärot
Garnlav
Vedticka
Tjäder</t>
        </is>
      </c>
      <c r="S422">
        <f>HYPERLINK("https://klasma.github.io/Logging_2081/artfynd/A 3067-2025 artfynd.xlsx", "A 3067-2025")</f>
        <v/>
      </c>
      <c r="T422">
        <f>HYPERLINK("https://klasma.github.io/Logging_2081/kartor/A 3067-2025 karta.png", "A 3067-2025")</f>
        <v/>
      </c>
      <c r="U422">
        <f>HYPERLINK("https://klasma.github.io/Logging_2081/knärot/A 3067-2025 karta knärot.png", "A 3067-2025")</f>
        <v/>
      </c>
      <c r="V422">
        <f>HYPERLINK("https://klasma.github.io/Logging_2081/klagomål/A 3067-2025 FSC-klagomål.docx", "A 3067-2025")</f>
        <v/>
      </c>
      <c r="W422">
        <f>HYPERLINK("https://klasma.github.io/Logging_2081/klagomålsmail/A 3067-2025 FSC-klagomål mail.docx", "A 3067-2025")</f>
        <v/>
      </c>
      <c r="X422">
        <f>HYPERLINK("https://klasma.github.io/Logging_2081/tillsyn/A 3067-2025 tillsynsbegäran.docx", "A 3067-2025")</f>
        <v/>
      </c>
      <c r="Y422">
        <f>HYPERLINK("https://klasma.github.io/Logging_2081/tillsynsmail/A 3067-2025 tillsynsbegäran mail.docx", "A 3067-2025")</f>
        <v/>
      </c>
      <c r="Z422">
        <f>HYPERLINK("https://klasma.github.io/Logging_2081/fåglar/A 3067-2025 prioriterade fågelarter.docx", "A 3067-2025")</f>
        <v/>
      </c>
    </row>
    <row r="423" ht="15" customHeight="1">
      <c r="A423" t="inlineStr">
        <is>
          <t>A 31411-2025</t>
        </is>
      </c>
      <c r="B423" s="1" t="n">
        <v>45833</v>
      </c>
      <c r="C423" s="1" t="n">
        <v>46114</v>
      </c>
      <c r="D423" t="inlineStr">
        <is>
          <t>DALARNAS LÄN</t>
        </is>
      </c>
      <c r="E423" t="inlineStr">
        <is>
          <t>SMEDJEBACKEN</t>
        </is>
      </c>
      <c r="G423" t="n">
        <v>3.2</v>
      </c>
      <c r="H423" t="n">
        <v>1</v>
      </c>
      <c r="I423" t="n">
        <v>1</v>
      </c>
      <c r="J423" t="n">
        <v>2</v>
      </c>
      <c r="K423" t="n">
        <v>1</v>
      </c>
      <c r="L423" t="n">
        <v>0</v>
      </c>
      <c r="M423" t="n">
        <v>0</v>
      </c>
      <c r="N423" t="n">
        <v>0</v>
      </c>
      <c r="O423" t="n">
        <v>3</v>
      </c>
      <c r="P423" t="n">
        <v>1</v>
      </c>
      <c r="Q423" t="n">
        <v>4</v>
      </c>
      <c r="R423" s="2" t="inlineStr">
        <is>
          <t>Knärot
Garnlav
Granticka
Nästlav</t>
        </is>
      </c>
      <c r="S423">
        <f>HYPERLINK("https://klasma.github.io/Logging_2061/artfynd/A 31411-2025 artfynd.xlsx", "A 31411-2025")</f>
        <v/>
      </c>
      <c r="T423">
        <f>HYPERLINK("https://klasma.github.io/Logging_2061/kartor/A 31411-2025 karta.png", "A 31411-2025")</f>
        <v/>
      </c>
      <c r="U423">
        <f>HYPERLINK("https://klasma.github.io/Logging_2061/knärot/A 31411-2025 karta knärot.png", "A 31411-2025")</f>
        <v/>
      </c>
      <c r="V423">
        <f>HYPERLINK("https://klasma.github.io/Logging_2061/klagomål/A 31411-2025 FSC-klagomål.docx", "A 31411-2025")</f>
        <v/>
      </c>
      <c r="W423">
        <f>HYPERLINK("https://klasma.github.io/Logging_2061/klagomålsmail/A 31411-2025 FSC-klagomål mail.docx", "A 31411-2025")</f>
        <v/>
      </c>
      <c r="X423">
        <f>HYPERLINK("https://klasma.github.io/Logging_2061/tillsyn/A 31411-2025 tillsynsbegäran.docx", "A 31411-2025")</f>
        <v/>
      </c>
      <c r="Y423">
        <f>HYPERLINK("https://klasma.github.io/Logging_2061/tillsynsmail/A 31411-2025 tillsynsbegäran mail.docx", "A 31411-2025")</f>
        <v/>
      </c>
    </row>
    <row r="424" ht="15" customHeight="1">
      <c r="A424" t="inlineStr">
        <is>
          <t>A 36580-2024</t>
        </is>
      </c>
      <c r="B424" s="1" t="n">
        <v>45537.50400462963</v>
      </c>
      <c r="C424" s="1" t="n">
        <v>46114</v>
      </c>
      <c r="D424" t="inlineStr">
        <is>
          <t>DALARNAS LÄN</t>
        </is>
      </c>
      <c r="E424" t="inlineStr">
        <is>
          <t>ÄLVDALEN</t>
        </is>
      </c>
      <c r="F424" t="inlineStr">
        <is>
          <t>Sveaskog</t>
        </is>
      </c>
      <c r="G424" t="n">
        <v>4.2</v>
      </c>
      <c r="H424" t="n">
        <v>0</v>
      </c>
      <c r="I424" t="n">
        <v>0</v>
      </c>
      <c r="J424" t="n">
        <v>4</v>
      </c>
      <c r="K424" t="n">
        <v>0</v>
      </c>
      <c r="L424" t="n">
        <v>0</v>
      </c>
      <c r="M424" t="n">
        <v>0</v>
      </c>
      <c r="N424" t="n">
        <v>0</v>
      </c>
      <c r="O424" t="n">
        <v>4</v>
      </c>
      <c r="P424" t="n">
        <v>0</v>
      </c>
      <c r="Q424" t="n">
        <v>4</v>
      </c>
      <c r="R424" s="2" t="inlineStr">
        <is>
          <t>Garnlav
Kolflarnlav
Mörk kolflarnlav
Vedflamlav</t>
        </is>
      </c>
      <c r="S424">
        <f>HYPERLINK("https://klasma.github.io/Logging_2039/artfynd/A 36580-2024 artfynd.xlsx", "A 36580-2024")</f>
        <v/>
      </c>
      <c r="T424">
        <f>HYPERLINK("https://klasma.github.io/Logging_2039/kartor/A 36580-2024 karta.png", "A 36580-2024")</f>
        <v/>
      </c>
      <c r="V424">
        <f>HYPERLINK("https://klasma.github.io/Logging_2039/klagomål/A 36580-2024 FSC-klagomål.docx", "A 36580-2024")</f>
        <v/>
      </c>
      <c r="W424">
        <f>HYPERLINK("https://klasma.github.io/Logging_2039/klagomålsmail/A 36580-2024 FSC-klagomål mail.docx", "A 36580-2024")</f>
        <v/>
      </c>
      <c r="X424">
        <f>HYPERLINK("https://klasma.github.io/Logging_2039/tillsyn/A 36580-2024 tillsynsbegäran.docx", "A 36580-2024")</f>
        <v/>
      </c>
      <c r="Y424">
        <f>HYPERLINK("https://klasma.github.io/Logging_2039/tillsynsmail/A 36580-2024 tillsynsbegäran mail.docx", "A 36580-2024")</f>
        <v/>
      </c>
    </row>
    <row r="425" ht="15" customHeight="1">
      <c r="A425" t="inlineStr">
        <is>
          <t>A 46397-2025</t>
        </is>
      </c>
      <c r="B425" s="1" t="n">
        <v>45925.54976851852</v>
      </c>
      <c r="C425" s="1" t="n">
        <v>46114</v>
      </c>
      <c r="D425" t="inlineStr">
        <is>
          <t>DALARNAS LÄN</t>
        </is>
      </c>
      <c r="E425" t="inlineStr">
        <is>
          <t>FALUN</t>
        </is>
      </c>
      <c r="G425" t="n">
        <v>10.3</v>
      </c>
      <c r="H425" t="n">
        <v>0</v>
      </c>
      <c r="I425" t="n">
        <v>2</v>
      </c>
      <c r="J425" t="n">
        <v>2</v>
      </c>
      <c r="K425" t="n">
        <v>0</v>
      </c>
      <c r="L425" t="n">
        <v>0</v>
      </c>
      <c r="M425" t="n">
        <v>0</v>
      </c>
      <c r="N425" t="n">
        <v>0</v>
      </c>
      <c r="O425" t="n">
        <v>2</v>
      </c>
      <c r="P425" t="n">
        <v>0</v>
      </c>
      <c r="Q425" t="n">
        <v>4</v>
      </c>
      <c r="R425" s="2" t="inlineStr">
        <is>
          <t>Garnlav
Motaggsvamp
Dropptaggsvamp
Mindre märgborre</t>
        </is>
      </c>
      <c r="S425">
        <f>HYPERLINK("https://klasma.github.io/Logging_2080/artfynd/A 46397-2025 artfynd.xlsx", "A 46397-2025")</f>
        <v/>
      </c>
      <c r="T425">
        <f>HYPERLINK("https://klasma.github.io/Logging_2080/kartor/A 46397-2025 karta.png", "A 46397-2025")</f>
        <v/>
      </c>
      <c r="V425">
        <f>HYPERLINK("https://klasma.github.io/Logging_2080/klagomål/A 46397-2025 FSC-klagomål.docx", "A 46397-2025")</f>
        <v/>
      </c>
      <c r="W425">
        <f>HYPERLINK("https://klasma.github.io/Logging_2080/klagomålsmail/A 46397-2025 FSC-klagomål mail.docx", "A 46397-2025")</f>
        <v/>
      </c>
      <c r="X425">
        <f>HYPERLINK("https://klasma.github.io/Logging_2080/tillsyn/A 46397-2025 tillsynsbegäran.docx", "A 46397-2025")</f>
        <v/>
      </c>
      <c r="Y425">
        <f>HYPERLINK("https://klasma.github.io/Logging_2080/tillsynsmail/A 46397-2025 tillsynsbegäran mail.docx", "A 46397-2025")</f>
        <v/>
      </c>
    </row>
    <row r="426" ht="15" customHeight="1">
      <c r="A426" t="inlineStr">
        <is>
          <t>A 47044-2025</t>
        </is>
      </c>
      <c r="B426" s="1" t="n">
        <v>45929.60186342592</v>
      </c>
      <c r="C426" s="1" t="n">
        <v>46114</v>
      </c>
      <c r="D426" t="inlineStr">
        <is>
          <t>DALARNAS LÄN</t>
        </is>
      </c>
      <c r="E426" t="inlineStr">
        <is>
          <t>LUDVIKA</t>
        </is>
      </c>
      <c r="F426" t="inlineStr">
        <is>
          <t>Bergvik skog väst AB</t>
        </is>
      </c>
      <c r="G426" t="n">
        <v>2.7</v>
      </c>
      <c r="H426" t="n">
        <v>4</v>
      </c>
      <c r="I426" t="n">
        <v>0</v>
      </c>
      <c r="J426" t="n">
        <v>3</v>
      </c>
      <c r="K426" t="n">
        <v>0</v>
      </c>
      <c r="L426" t="n">
        <v>0</v>
      </c>
      <c r="M426" t="n">
        <v>0</v>
      </c>
      <c r="N426" t="n">
        <v>0</v>
      </c>
      <c r="O426" t="n">
        <v>3</v>
      </c>
      <c r="P426" t="n">
        <v>0</v>
      </c>
      <c r="Q426" t="n">
        <v>4</v>
      </c>
      <c r="R426" s="2" t="inlineStr">
        <is>
          <t>Duvhök
Järpe
Tretåig hackspett
Tjäder</t>
        </is>
      </c>
      <c r="S426">
        <f>HYPERLINK("https://klasma.github.io/Logging_2085/artfynd/A 47044-2025 artfynd.xlsx", "A 47044-2025")</f>
        <v/>
      </c>
      <c r="T426">
        <f>HYPERLINK("https://klasma.github.io/Logging_2085/kartor/A 47044-2025 karta.png", "A 47044-2025")</f>
        <v/>
      </c>
      <c r="V426">
        <f>HYPERLINK("https://klasma.github.io/Logging_2085/klagomål/A 47044-2025 FSC-klagomål.docx", "A 47044-2025")</f>
        <v/>
      </c>
      <c r="W426">
        <f>HYPERLINK("https://klasma.github.io/Logging_2085/klagomålsmail/A 47044-2025 FSC-klagomål mail.docx", "A 47044-2025")</f>
        <v/>
      </c>
      <c r="X426">
        <f>HYPERLINK("https://klasma.github.io/Logging_2085/tillsyn/A 47044-2025 tillsynsbegäran.docx", "A 47044-2025")</f>
        <v/>
      </c>
      <c r="Y426">
        <f>HYPERLINK("https://klasma.github.io/Logging_2085/tillsynsmail/A 47044-2025 tillsynsbegäran mail.docx", "A 47044-2025")</f>
        <v/>
      </c>
      <c r="Z426">
        <f>HYPERLINK("https://klasma.github.io/Logging_2085/fåglar/A 47044-2025 prioriterade fågelarter.docx", "A 47044-2025")</f>
        <v/>
      </c>
    </row>
    <row r="427" ht="15" customHeight="1">
      <c r="A427" t="inlineStr">
        <is>
          <t>A 31138-2023</t>
        </is>
      </c>
      <c r="B427" s="1" t="n">
        <v>45103</v>
      </c>
      <c r="C427" s="1" t="n">
        <v>46114</v>
      </c>
      <c r="D427" t="inlineStr">
        <is>
          <t>DALARNAS LÄN</t>
        </is>
      </c>
      <c r="E427" t="inlineStr">
        <is>
          <t>AVESTA</t>
        </is>
      </c>
      <c r="F427" t="inlineStr">
        <is>
          <t>Bergvik skog väst AB</t>
        </is>
      </c>
      <c r="G427" t="n">
        <v>4.3</v>
      </c>
      <c r="H427" t="n">
        <v>0</v>
      </c>
      <c r="I427" t="n">
        <v>2</v>
      </c>
      <c r="J427" t="n">
        <v>0</v>
      </c>
      <c r="K427" t="n">
        <v>2</v>
      </c>
      <c r="L427" t="n">
        <v>0</v>
      </c>
      <c r="M427" t="n">
        <v>0</v>
      </c>
      <c r="N427" t="n">
        <v>0</v>
      </c>
      <c r="O427" t="n">
        <v>2</v>
      </c>
      <c r="P427" t="n">
        <v>2</v>
      </c>
      <c r="Q427" t="n">
        <v>4</v>
      </c>
      <c r="R427" s="2" t="inlineStr">
        <is>
          <t>Klosterlav
Liten blekspik
Dvärgtufs
Rostfläck</t>
        </is>
      </c>
      <c r="S427">
        <f>HYPERLINK("https://klasma.github.io/Logging_2084/artfynd/A 31138-2023 artfynd.xlsx", "A 31138-2023")</f>
        <v/>
      </c>
      <c r="T427">
        <f>HYPERLINK("https://klasma.github.io/Logging_2084/kartor/A 31138-2023 karta.png", "A 31138-2023")</f>
        <v/>
      </c>
      <c r="V427">
        <f>HYPERLINK("https://klasma.github.io/Logging_2084/klagomål/A 31138-2023 FSC-klagomål.docx", "A 31138-2023")</f>
        <v/>
      </c>
      <c r="W427">
        <f>HYPERLINK("https://klasma.github.io/Logging_2084/klagomålsmail/A 31138-2023 FSC-klagomål mail.docx", "A 31138-2023")</f>
        <v/>
      </c>
      <c r="X427">
        <f>HYPERLINK("https://klasma.github.io/Logging_2084/tillsyn/A 31138-2023 tillsynsbegäran.docx", "A 31138-2023")</f>
        <v/>
      </c>
      <c r="Y427">
        <f>HYPERLINK("https://klasma.github.io/Logging_2084/tillsynsmail/A 31138-2023 tillsynsbegäran mail.docx", "A 31138-2023")</f>
        <v/>
      </c>
    </row>
    <row r="428" ht="15" customHeight="1">
      <c r="A428" t="inlineStr">
        <is>
          <t>A 47697-2025</t>
        </is>
      </c>
      <c r="B428" s="1" t="n">
        <v>45931.59987268518</v>
      </c>
      <c r="C428" s="1" t="n">
        <v>46114</v>
      </c>
      <c r="D428" t="inlineStr">
        <is>
          <t>DALARNAS LÄN</t>
        </is>
      </c>
      <c r="E428" t="inlineStr">
        <is>
          <t>BORLÄNGE</t>
        </is>
      </c>
      <c r="G428" t="n">
        <v>5.3</v>
      </c>
      <c r="H428" t="n">
        <v>1</v>
      </c>
      <c r="I428" t="n">
        <v>3</v>
      </c>
      <c r="J428" t="n">
        <v>0</v>
      </c>
      <c r="K428" t="n">
        <v>1</v>
      </c>
      <c r="L428" t="n">
        <v>0</v>
      </c>
      <c r="M428" t="n">
        <v>0</v>
      </c>
      <c r="N428" t="n">
        <v>0</v>
      </c>
      <c r="O428" t="n">
        <v>1</v>
      </c>
      <c r="P428" t="n">
        <v>1</v>
      </c>
      <c r="Q428" t="n">
        <v>4</v>
      </c>
      <c r="R428" s="2" t="inlineStr">
        <is>
          <t>Knärot
Bronshjon
Dropptaggsvamp
Vedticka</t>
        </is>
      </c>
      <c r="S428">
        <f>HYPERLINK("https://klasma.github.io/Logging_2081/artfynd/A 47697-2025 artfynd.xlsx", "A 47697-2025")</f>
        <v/>
      </c>
      <c r="T428">
        <f>HYPERLINK("https://klasma.github.io/Logging_2081/kartor/A 47697-2025 karta.png", "A 47697-2025")</f>
        <v/>
      </c>
      <c r="U428">
        <f>HYPERLINK("https://klasma.github.io/Logging_2081/knärot/A 47697-2025 karta knärot.png", "A 47697-2025")</f>
        <v/>
      </c>
      <c r="V428">
        <f>HYPERLINK("https://klasma.github.io/Logging_2081/klagomål/A 47697-2025 FSC-klagomål.docx", "A 47697-2025")</f>
        <v/>
      </c>
      <c r="W428">
        <f>HYPERLINK("https://klasma.github.io/Logging_2081/klagomålsmail/A 47697-2025 FSC-klagomål mail.docx", "A 47697-2025")</f>
        <v/>
      </c>
      <c r="X428">
        <f>HYPERLINK("https://klasma.github.io/Logging_2081/tillsyn/A 47697-2025 tillsynsbegäran.docx", "A 47697-2025")</f>
        <v/>
      </c>
      <c r="Y428">
        <f>HYPERLINK("https://klasma.github.io/Logging_2081/tillsynsmail/A 47697-2025 tillsynsbegäran mail.docx", "A 47697-2025")</f>
        <v/>
      </c>
    </row>
    <row r="429" ht="15" customHeight="1">
      <c r="A429" t="inlineStr">
        <is>
          <t>A 38819-2024</t>
        </is>
      </c>
      <c r="B429" s="1" t="n">
        <v>45547.5541087963</v>
      </c>
      <c r="C429" s="1" t="n">
        <v>46114</v>
      </c>
      <c r="D429" t="inlineStr">
        <is>
          <t>DALARNAS LÄN</t>
        </is>
      </c>
      <c r="E429" t="inlineStr">
        <is>
          <t>ÄLVDALEN</t>
        </is>
      </c>
      <c r="F429" t="inlineStr">
        <is>
          <t>Sveaskog</t>
        </is>
      </c>
      <c r="G429" t="n">
        <v>2.9</v>
      </c>
      <c r="H429" t="n">
        <v>0</v>
      </c>
      <c r="I429" t="n">
        <v>0</v>
      </c>
      <c r="J429" t="n">
        <v>4</v>
      </c>
      <c r="K429" t="n">
        <v>0</v>
      </c>
      <c r="L429" t="n">
        <v>0</v>
      </c>
      <c r="M429" t="n">
        <v>0</v>
      </c>
      <c r="N429" t="n">
        <v>0</v>
      </c>
      <c r="O429" t="n">
        <v>4</v>
      </c>
      <c r="P429" t="n">
        <v>0</v>
      </c>
      <c r="Q429" t="n">
        <v>4</v>
      </c>
      <c r="R429" s="2" t="inlineStr">
        <is>
          <t>Dvärgbägarlav
Kolflarnlav
Mörk kolflarnlav
Vedflamlav</t>
        </is>
      </c>
      <c r="S429">
        <f>HYPERLINK("https://klasma.github.io/Logging_2039/artfynd/A 38819-2024 artfynd.xlsx", "A 38819-2024")</f>
        <v/>
      </c>
      <c r="T429">
        <f>HYPERLINK("https://klasma.github.io/Logging_2039/kartor/A 38819-2024 karta.png", "A 38819-2024")</f>
        <v/>
      </c>
      <c r="V429">
        <f>HYPERLINK("https://klasma.github.io/Logging_2039/klagomål/A 38819-2024 FSC-klagomål.docx", "A 38819-2024")</f>
        <v/>
      </c>
      <c r="W429">
        <f>HYPERLINK("https://klasma.github.io/Logging_2039/klagomålsmail/A 38819-2024 FSC-klagomål mail.docx", "A 38819-2024")</f>
        <v/>
      </c>
      <c r="X429">
        <f>HYPERLINK("https://klasma.github.io/Logging_2039/tillsyn/A 38819-2024 tillsynsbegäran.docx", "A 38819-2024")</f>
        <v/>
      </c>
      <c r="Y429">
        <f>HYPERLINK("https://klasma.github.io/Logging_2039/tillsynsmail/A 38819-2024 tillsynsbegäran mail.docx", "A 38819-2024")</f>
        <v/>
      </c>
    </row>
    <row r="430" ht="15" customHeight="1">
      <c r="A430" t="inlineStr">
        <is>
          <t>A 1251-2022</t>
        </is>
      </c>
      <c r="B430" s="1" t="n">
        <v>44572</v>
      </c>
      <c r="C430" s="1" t="n">
        <v>46114</v>
      </c>
      <c r="D430" t="inlineStr">
        <is>
          <t>DALARNAS LÄN</t>
        </is>
      </c>
      <c r="E430" t="inlineStr">
        <is>
          <t>RÄTTVIK</t>
        </is>
      </c>
      <c r="G430" t="n">
        <v>2.4</v>
      </c>
      <c r="H430" t="n">
        <v>4</v>
      </c>
      <c r="I430" t="n">
        <v>0</v>
      </c>
      <c r="J430" t="n">
        <v>2</v>
      </c>
      <c r="K430" t="n">
        <v>0</v>
      </c>
      <c r="L430" t="n">
        <v>0</v>
      </c>
      <c r="M430" t="n">
        <v>0</v>
      </c>
      <c r="N430" t="n">
        <v>0</v>
      </c>
      <c r="O430" t="n">
        <v>2</v>
      </c>
      <c r="P430" t="n">
        <v>0</v>
      </c>
      <c r="Q430" t="n">
        <v>4</v>
      </c>
      <c r="R430" s="2" t="inlineStr">
        <is>
          <t>Björktrast
Järpe
Grönsiska
Sparvuggla</t>
        </is>
      </c>
      <c r="S430">
        <f>HYPERLINK("https://klasma.github.io/Logging_2031/artfynd/A 1251-2022 artfynd.xlsx", "A 1251-2022")</f>
        <v/>
      </c>
      <c r="T430">
        <f>HYPERLINK("https://klasma.github.io/Logging_2031/kartor/A 1251-2022 karta.png", "A 1251-2022")</f>
        <v/>
      </c>
      <c r="V430">
        <f>HYPERLINK("https://klasma.github.io/Logging_2031/klagomål/A 1251-2022 FSC-klagomål.docx", "A 1251-2022")</f>
        <v/>
      </c>
      <c r="W430">
        <f>HYPERLINK("https://klasma.github.io/Logging_2031/klagomålsmail/A 1251-2022 FSC-klagomål mail.docx", "A 1251-2022")</f>
        <v/>
      </c>
      <c r="X430">
        <f>HYPERLINK("https://klasma.github.io/Logging_2031/tillsyn/A 1251-2022 tillsynsbegäran.docx", "A 1251-2022")</f>
        <v/>
      </c>
      <c r="Y430">
        <f>HYPERLINK("https://klasma.github.io/Logging_2031/tillsynsmail/A 1251-2022 tillsynsbegäran mail.docx", "A 1251-2022")</f>
        <v/>
      </c>
      <c r="Z430">
        <f>HYPERLINK("https://klasma.github.io/Logging_2031/fåglar/A 1251-2022 prioriterade fågelarter.docx", "A 1251-2022")</f>
        <v/>
      </c>
    </row>
    <row r="431" ht="15" customHeight="1">
      <c r="A431" t="inlineStr">
        <is>
          <t>A 51228-2025</t>
        </is>
      </c>
      <c r="B431" s="1" t="n">
        <v>45947.6665625</v>
      </c>
      <c r="C431" s="1" t="n">
        <v>46114</v>
      </c>
      <c r="D431" t="inlineStr">
        <is>
          <t>DALARNAS LÄN</t>
        </is>
      </c>
      <c r="E431" t="inlineStr">
        <is>
          <t>RÄTTVIK</t>
        </is>
      </c>
      <c r="F431" t="inlineStr">
        <is>
          <t>Sveaskog</t>
        </is>
      </c>
      <c r="G431" t="n">
        <v>15</v>
      </c>
      <c r="H431" t="n">
        <v>0</v>
      </c>
      <c r="I431" t="n">
        <v>1</v>
      </c>
      <c r="J431" t="n">
        <v>3</v>
      </c>
      <c r="K431" t="n">
        <v>0</v>
      </c>
      <c r="L431" t="n">
        <v>0</v>
      </c>
      <c r="M431" t="n">
        <v>0</v>
      </c>
      <c r="N431" t="n">
        <v>0</v>
      </c>
      <c r="O431" t="n">
        <v>3</v>
      </c>
      <c r="P431" t="n">
        <v>0</v>
      </c>
      <c r="Q431" t="n">
        <v>4</v>
      </c>
      <c r="R431" s="2" t="inlineStr">
        <is>
          <t>Garnlav
Kolflarnlav
Vedskivlav
Mindre märgborre</t>
        </is>
      </c>
      <c r="S431">
        <f>HYPERLINK("https://klasma.github.io/Logging_2031/artfynd/A 51228-2025 artfynd.xlsx", "A 51228-2025")</f>
        <v/>
      </c>
      <c r="T431">
        <f>HYPERLINK("https://klasma.github.io/Logging_2031/kartor/A 51228-2025 karta.png", "A 51228-2025")</f>
        <v/>
      </c>
      <c r="V431">
        <f>HYPERLINK("https://klasma.github.io/Logging_2031/klagomål/A 51228-2025 FSC-klagomål.docx", "A 51228-2025")</f>
        <v/>
      </c>
      <c r="W431">
        <f>HYPERLINK("https://klasma.github.io/Logging_2031/klagomålsmail/A 51228-2025 FSC-klagomål mail.docx", "A 51228-2025")</f>
        <v/>
      </c>
      <c r="X431">
        <f>HYPERLINK("https://klasma.github.io/Logging_2031/tillsyn/A 51228-2025 tillsynsbegäran.docx", "A 51228-2025")</f>
        <v/>
      </c>
      <c r="Y431">
        <f>HYPERLINK("https://klasma.github.io/Logging_2031/tillsynsmail/A 51228-2025 tillsynsbegäran mail.docx", "A 51228-2025")</f>
        <v/>
      </c>
    </row>
    <row r="432" ht="15" customHeight="1">
      <c r="A432" t="inlineStr">
        <is>
          <t>A 47336-2024</t>
        </is>
      </c>
      <c r="B432" s="1" t="n">
        <v>45583</v>
      </c>
      <c r="C432" s="1" t="n">
        <v>46114</v>
      </c>
      <c r="D432" t="inlineStr">
        <is>
          <t>DALARNAS LÄN</t>
        </is>
      </c>
      <c r="E432" t="inlineStr">
        <is>
          <t>MALUNG-SÄLEN</t>
        </is>
      </c>
      <c r="G432" t="n">
        <v>0.8</v>
      </c>
      <c r="H432" t="n">
        <v>3</v>
      </c>
      <c r="I432" t="n">
        <v>1</v>
      </c>
      <c r="J432" t="n">
        <v>1</v>
      </c>
      <c r="K432" t="n">
        <v>0</v>
      </c>
      <c r="L432" t="n">
        <v>0</v>
      </c>
      <c r="M432" t="n">
        <v>0</v>
      </c>
      <c r="N432" t="n">
        <v>0</v>
      </c>
      <c r="O432" t="n">
        <v>1</v>
      </c>
      <c r="P432" t="n">
        <v>0</v>
      </c>
      <c r="Q432" t="n">
        <v>4</v>
      </c>
      <c r="R432" s="2" t="inlineStr">
        <is>
          <t>Garnlav
Tvåblad
Fläcknycklar
Revlummer</t>
        </is>
      </c>
      <c r="S432">
        <f>HYPERLINK("https://klasma.github.io/Logging_2023/artfynd/A 47336-2024 artfynd.xlsx", "A 47336-2024")</f>
        <v/>
      </c>
      <c r="T432">
        <f>HYPERLINK("https://klasma.github.io/Logging_2023/kartor/A 47336-2024 karta.png", "A 47336-2024")</f>
        <v/>
      </c>
      <c r="V432">
        <f>HYPERLINK("https://klasma.github.io/Logging_2023/klagomål/A 47336-2024 FSC-klagomål.docx", "A 47336-2024")</f>
        <v/>
      </c>
      <c r="W432">
        <f>HYPERLINK("https://klasma.github.io/Logging_2023/klagomålsmail/A 47336-2024 FSC-klagomål mail.docx", "A 47336-2024")</f>
        <v/>
      </c>
      <c r="X432">
        <f>HYPERLINK("https://klasma.github.io/Logging_2023/tillsyn/A 47336-2024 tillsynsbegäran.docx", "A 47336-2024")</f>
        <v/>
      </c>
      <c r="Y432">
        <f>HYPERLINK("https://klasma.github.io/Logging_2023/tillsynsmail/A 47336-2024 tillsynsbegäran mail.docx", "A 47336-2024")</f>
        <v/>
      </c>
    </row>
    <row r="433" ht="15" customHeight="1">
      <c r="A433" t="inlineStr">
        <is>
          <t>A 51896-2025</t>
        </is>
      </c>
      <c r="B433" s="1" t="n">
        <v>45952.43372685185</v>
      </c>
      <c r="C433" s="1" t="n">
        <v>46114</v>
      </c>
      <c r="D433" t="inlineStr">
        <is>
          <t>DALARNAS LÄN</t>
        </is>
      </c>
      <c r="E433" t="inlineStr">
        <is>
          <t>ÄLVDALEN</t>
        </is>
      </c>
      <c r="G433" t="n">
        <v>8</v>
      </c>
      <c r="H433" t="n">
        <v>2</v>
      </c>
      <c r="I433" t="n">
        <v>1</v>
      </c>
      <c r="J433" t="n">
        <v>2</v>
      </c>
      <c r="K433" t="n">
        <v>0</v>
      </c>
      <c r="L433" t="n">
        <v>0</v>
      </c>
      <c r="M433" t="n">
        <v>0</v>
      </c>
      <c r="N433" t="n">
        <v>0</v>
      </c>
      <c r="O433" t="n">
        <v>2</v>
      </c>
      <c r="P433" t="n">
        <v>0</v>
      </c>
      <c r="Q433" t="n">
        <v>4</v>
      </c>
      <c r="R433" s="2" t="inlineStr">
        <is>
          <t>Garnlav
Spillkråka
Mindre märgborre
Tjäder</t>
        </is>
      </c>
      <c r="S433">
        <f>HYPERLINK("https://klasma.github.io/Logging_2039/artfynd/A 51896-2025 artfynd.xlsx", "A 51896-2025")</f>
        <v/>
      </c>
      <c r="T433">
        <f>HYPERLINK("https://klasma.github.io/Logging_2039/kartor/A 51896-2025 karta.png", "A 51896-2025")</f>
        <v/>
      </c>
      <c r="V433">
        <f>HYPERLINK("https://klasma.github.io/Logging_2039/klagomål/A 51896-2025 FSC-klagomål.docx", "A 51896-2025")</f>
        <v/>
      </c>
      <c r="W433">
        <f>HYPERLINK("https://klasma.github.io/Logging_2039/klagomålsmail/A 51896-2025 FSC-klagomål mail.docx", "A 51896-2025")</f>
        <v/>
      </c>
      <c r="X433">
        <f>HYPERLINK("https://klasma.github.io/Logging_2039/tillsyn/A 51896-2025 tillsynsbegäran.docx", "A 51896-2025")</f>
        <v/>
      </c>
      <c r="Y433">
        <f>HYPERLINK("https://klasma.github.io/Logging_2039/tillsynsmail/A 51896-2025 tillsynsbegäran mail.docx", "A 51896-2025")</f>
        <v/>
      </c>
      <c r="Z433">
        <f>HYPERLINK("https://klasma.github.io/Logging_2039/fåglar/A 51896-2025 prioriterade fågelarter.docx", "A 51896-2025")</f>
        <v/>
      </c>
    </row>
    <row r="434" ht="15" customHeight="1">
      <c r="A434" t="inlineStr">
        <is>
          <t>A 20396-2022</t>
        </is>
      </c>
      <c r="B434" s="1" t="n">
        <v>44699</v>
      </c>
      <c r="C434" s="1" t="n">
        <v>46114</v>
      </c>
      <c r="D434" t="inlineStr">
        <is>
          <t>DALARNAS LÄN</t>
        </is>
      </c>
      <c r="E434" t="inlineStr">
        <is>
          <t>AVESTA</t>
        </is>
      </c>
      <c r="G434" t="n">
        <v>3.3</v>
      </c>
      <c r="H434" t="n">
        <v>3</v>
      </c>
      <c r="I434" t="n">
        <v>2</v>
      </c>
      <c r="J434" t="n">
        <v>1</v>
      </c>
      <c r="K434" t="n">
        <v>1</v>
      </c>
      <c r="L434" t="n">
        <v>0</v>
      </c>
      <c r="M434" t="n">
        <v>0</v>
      </c>
      <c r="N434" t="n">
        <v>0</v>
      </c>
      <c r="O434" t="n">
        <v>2</v>
      </c>
      <c r="P434" t="n">
        <v>1</v>
      </c>
      <c r="Q434" t="n">
        <v>4</v>
      </c>
      <c r="R434" s="2" t="inlineStr">
        <is>
          <t>Knärot
Spillkråka
Bollvitmossa
Korallrot</t>
        </is>
      </c>
      <c r="S434">
        <f>HYPERLINK("https://klasma.github.io/Logging_2084/artfynd/A 20396-2022 artfynd.xlsx", "A 20396-2022")</f>
        <v/>
      </c>
      <c r="T434">
        <f>HYPERLINK("https://klasma.github.io/Logging_2084/kartor/A 20396-2022 karta.png", "A 20396-2022")</f>
        <v/>
      </c>
      <c r="U434">
        <f>HYPERLINK("https://klasma.github.io/Logging_2084/knärot/A 20396-2022 karta knärot.png", "A 20396-2022")</f>
        <v/>
      </c>
      <c r="V434">
        <f>HYPERLINK("https://klasma.github.io/Logging_2084/klagomål/A 20396-2022 FSC-klagomål.docx", "A 20396-2022")</f>
        <v/>
      </c>
      <c r="W434">
        <f>HYPERLINK("https://klasma.github.io/Logging_2084/klagomålsmail/A 20396-2022 FSC-klagomål mail.docx", "A 20396-2022")</f>
        <v/>
      </c>
      <c r="X434">
        <f>HYPERLINK("https://klasma.github.io/Logging_2084/tillsyn/A 20396-2022 tillsynsbegäran.docx", "A 20396-2022")</f>
        <v/>
      </c>
      <c r="Y434">
        <f>HYPERLINK("https://klasma.github.io/Logging_2084/tillsynsmail/A 20396-2022 tillsynsbegäran mail.docx", "A 20396-2022")</f>
        <v/>
      </c>
      <c r="Z434">
        <f>HYPERLINK("https://klasma.github.io/Logging_2084/fåglar/A 20396-2022 prioriterade fågelarter.docx", "A 20396-2022")</f>
        <v/>
      </c>
    </row>
    <row r="435" ht="15" customHeight="1">
      <c r="A435" t="inlineStr">
        <is>
          <t>A 57505-2024</t>
        </is>
      </c>
      <c r="B435" s="1" t="n">
        <v>45630</v>
      </c>
      <c r="C435" s="1" t="n">
        <v>46114</v>
      </c>
      <c r="D435" t="inlineStr">
        <is>
          <t>DALARNAS LÄN</t>
        </is>
      </c>
      <c r="E435" t="inlineStr">
        <is>
          <t>ÄLVDALEN</t>
        </is>
      </c>
      <c r="F435" t="inlineStr">
        <is>
          <t>Allmännings- och besparingsskogar</t>
        </is>
      </c>
      <c r="G435" t="n">
        <v>2.3</v>
      </c>
      <c r="H435" t="n">
        <v>0</v>
      </c>
      <c r="I435" t="n">
        <v>2</v>
      </c>
      <c r="J435" t="n">
        <v>2</v>
      </c>
      <c r="K435" t="n">
        <v>0</v>
      </c>
      <c r="L435" t="n">
        <v>0</v>
      </c>
      <c r="M435" t="n">
        <v>0</v>
      </c>
      <c r="N435" t="n">
        <v>0</v>
      </c>
      <c r="O435" t="n">
        <v>2</v>
      </c>
      <c r="P435" t="n">
        <v>0</v>
      </c>
      <c r="Q435" t="n">
        <v>4</v>
      </c>
      <c r="R435" s="2" t="inlineStr">
        <is>
          <t>Skrovellav
Vedskivlav
Bronshjon
Vågbandad barkbock</t>
        </is>
      </c>
      <c r="S435">
        <f>HYPERLINK("https://klasma.github.io/Logging_2039/artfynd/A 57505-2024 artfynd.xlsx", "A 57505-2024")</f>
        <v/>
      </c>
      <c r="T435">
        <f>HYPERLINK("https://klasma.github.io/Logging_2039/kartor/A 57505-2024 karta.png", "A 57505-2024")</f>
        <v/>
      </c>
      <c r="V435">
        <f>HYPERLINK("https://klasma.github.io/Logging_2039/klagomål/A 57505-2024 FSC-klagomål.docx", "A 57505-2024")</f>
        <v/>
      </c>
      <c r="W435">
        <f>HYPERLINK("https://klasma.github.io/Logging_2039/klagomålsmail/A 57505-2024 FSC-klagomål mail.docx", "A 57505-2024")</f>
        <v/>
      </c>
      <c r="X435">
        <f>HYPERLINK("https://klasma.github.io/Logging_2039/tillsyn/A 57505-2024 tillsynsbegäran.docx", "A 57505-2024")</f>
        <v/>
      </c>
      <c r="Y435">
        <f>HYPERLINK("https://klasma.github.io/Logging_2039/tillsynsmail/A 57505-2024 tillsynsbegäran mail.docx", "A 57505-2024")</f>
        <v/>
      </c>
    </row>
    <row r="436" ht="15" customHeight="1">
      <c r="A436" t="inlineStr">
        <is>
          <t>A 53555-2025</t>
        </is>
      </c>
      <c r="B436" s="1" t="n">
        <v>45960.39149305555</v>
      </c>
      <c r="C436" s="1" t="n">
        <v>46114</v>
      </c>
      <c r="D436" t="inlineStr">
        <is>
          <t>DALARNAS LÄN</t>
        </is>
      </c>
      <c r="E436" t="inlineStr">
        <is>
          <t>SMEDJEBACKEN</t>
        </is>
      </c>
      <c r="G436" t="n">
        <v>23.7</v>
      </c>
      <c r="H436" t="n">
        <v>2</v>
      </c>
      <c r="I436" t="n">
        <v>3</v>
      </c>
      <c r="J436" t="n">
        <v>0</v>
      </c>
      <c r="K436" t="n">
        <v>1</v>
      </c>
      <c r="L436" t="n">
        <v>0</v>
      </c>
      <c r="M436" t="n">
        <v>0</v>
      </c>
      <c r="N436" t="n">
        <v>0</v>
      </c>
      <c r="O436" t="n">
        <v>1</v>
      </c>
      <c r="P436" t="n">
        <v>1</v>
      </c>
      <c r="Q436" t="n">
        <v>4</v>
      </c>
      <c r="R436" s="2" t="inlineStr">
        <is>
          <t>Knärot
Dropptaggsvamp
Plattlummer
Trådticka</t>
        </is>
      </c>
      <c r="S436">
        <f>HYPERLINK("https://klasma.github.io/Logging_2061/artfynd/A 53555-2025 artfynd.xlsx", "A 53555-2025")</f>
        <v/>
      </c>
      <c r="T436">
        <f>HYPERLINK("https://klasma.github.io/Logging_2061/kartor/A 53555-2025 karta.png", "A 53555-2025")</f>
        <v/>
      </c>
      <c r="U436">
        <f>HYPERLINK("https://klasma.github.io/Logging_2061/knärot/A 53555-2025 karta knärot.png", "A 53555-2025")</f>
        <v/>
      </c>
      <c r="V436">
        <f>HYPERLINK("https://klasma.github.io/Logging_2061/klagomål/A 53555-2025 FSC-klagomål.docx", "A 53555-2025")</f>
        <v/>
      </c>
      <c r="W436">
        <f>HYPERLINK("https://klasma.github.io/Logging_2061/klagomålsmail/A 53555-2025 FSC-klagomål mail.docx", "A 53555-2025")</f>
        <v/>
      </c>
      <c r="X436">
        <f>HYPERLINK("https://klasma.github.io/Logging_2061/tillsyn/A 53555-2025 tillsynsbegäran.docx", "A 53555-2025")</f>
        <v/>
      </c>
      <c r="Y436">
        <f>HYPERLINK("https://klasma.github.io/Logging_2061/tillsynsmail/A 53555-2025 tillsynsbegäran mail.docx", "A 53555-2025")</f>
        <v/>
      </c>
    </row>
    <row r="437" ht="15" customHeight="1">
      <c r="A437" t="inlineStr">
        <is>
          <t>A 45350-2024</t>
        </is>
      </c>
      <c r="B437" s="1" t="n">
        <v>45576</v>
      </c>
      <c r="C437" s="1" t="n">
        <v>46114</v>
      </c>
      <c r="D437" t="inlineStr">
        <is>
          <t>DALARNAS LÄN</t>
        </is>
      </c>
      <c r="E437" t="inlineStr">
        <is>
          <t>VANSBRO</t>
        </is>
      </c>
      <c r="G437" t="n">
        <v>13.4</v>
      </c>
      <c r="H437" t="n">
        <v>0</v>
      </c>
      <c r="I437" t="n">
        <v>2</v>
      </c>
      <c r="J437" t="n">
        <v>2</v>
      </c>
      <c r="K437" t="n">
        <v>0</v>
      </c>
      <c r="L437" t="n">
        <v>0</v>
      </c>
      <c r="M437" t="n">
        <v>0</v>
      </c>
      <c r="N437" t="n">
        <v>0</v>
      </c>
      <c r="O437" t="n">
        <v>2</v>
      </c>
      <c r="P437" t="n">
        <v>0</v>
      </c>
      <c r="Q437" t="n">
        <v>4</v>
      </c>
      <c r="R437" s="2" t="inlineStr">
        <is>
          <t>Garnlav
Kolflarnlav
Dropptaggsvamp
Mindre märgborre</t>
        </is>
      </c>
      <c r="S437">
        <f>HYPERLINK("https://klasma.github.io/Logging_2021/artfynd/A 45350-2024 artfynd.xlsx", "A 45350-2024")</f>
        <v/>
      </c>
      <c r="T437">
        <f>HYPERLINK("https://klasma.github.io/Logging_2021/kartor/A 45350-2024 karta.png", "A 45350-2024")</f>
        <v/>
      </c>
      <c r="V437">
        <f>HYPERLINK("https://klasma.github.io/Logging_2021/klagomål/A 45350-2024 FSC-klagomål.docx", "A 45350-2024")</f>
        <v/>
      </c>
      <c r="W437">
        <f>HYPERLINK("https://klasma.github.io/Logging_2021/klagomålsmail/A 45350-2024 FSC-klagomål mail.docx", "A 45350-2024")</f>
        <v/>
      </c>
      <c r="X437">
        <f>HYPERLINK("https://klasma.github.io/Logging_2021/tillsyn/A 45350-2024 tillsynsbegäran.docx", "A 45350-2024")</f>
        <v/>
      </c>
      <c r="Y437">
        <f>HYPERLINK("https://klasma.github.io/Logging_2021/tillsynsmail/A 45350-2024 tillsynsbegäran mail.docx", "A 45350-2024")</f>
        <v/>
      </c>
    </row>
    <row r="438" ht="15" customHeight="1">
      <c r="A438" t="inlineStr">
        <is>
          <t>A 14829-2025</t>
        </is>
      </c>
      <c r="B438" s="1" t="n">
        <v>45743.36951388889</v>
      </c>
      <c r="C438" s="1" t="n">
        <v>46114</v>
      </c>
      <c r="D438" t="inlineStr">
        <is>
          <t>DALARNAS LÄN</t>
        </is>
      </c>
      <c r="E438" t="inlineStr">
        <is>
          <t>MORA</t>
        </is>
      </c>
      <c r="G438" t="n">
        <v>6.4</v>
      </c>
      <c r="H438" t="n">
        <v>1</v>
      </c>
      <c r="I438" t="n">
        <v>1</v>
      </c>
      <c r="J438" t="n">
        <v>3</v>
      </c>
      <c r="K438" t="n">
        <v>0</v>
      </c>
      <c r="L438" t="n">
        <v>0</v>
      </c>
      <c r="M438" t="n">
        <v>0</v>
      </c>
      <c r="N438" t="n">
        <v>0</v>
      </c>
      <c r="O438" t="n">
        <v>3</v>
      </c>
      <c r="P438" t="n">
        <v>0</v>
      </c>
      <c r="Q438" t="n">
        <v>4</v>
      </c>
      <c r="R438" s="2" t="inlineStr">
        <is>
          <t>Garnlav
Motaggsvamp
Spillkråka
Dropptaggsvamp</t>
        </is>
      </c>
      <c r="S438">
        <f>HYPERLINK("https://klasma.github.io/Logging_2062/artfynd/A 14829-2025 artfynd.xlsx", "A 14829-2025")</f>
        <v/>
      </c>
      <c r="T438">
        <f>HYPERLINK("https://klasma.github.io/Logging_2062/kartor/A 14829-2025 karta.png", "A 14829-2025")</f>
        <v/>
      </c>
      <c r="V438">
        <f>HYPERLINK("https://klasma.github.io/Logging_2062/klagomål/A 14829-2025 FSC-klagomål.docx", "A 14829-2025")</f>
        <v/>
      </c>
      <c r="W438">
        <f>HYPERLINK("https://klasma.github.io/Logging_2062/klagomålsmail/A 14829-2025 FSC-klagomål mail.docx", "A 14829-2025")</f>
        <v/>
      </c>
      <c r="X438">
        <f>HYPERLINK("https://klasma.github.io/Logging_2062/tillsyn/A 14829-2025 tillsynsbegäran.docx", "A 14829-2025")</f>
        <v/>
      </c>
      <c r="Y438">
        <f>HYPERLINK("https://klasma.github.io/Logging_2062/tillsynsmail/A 14829-2025 tillsynsbegäran mail.docx", "A 14829-2025")</f>
        <v/>
      </c>
      <c r="Z438">
        <f>HYPERLINK("https://klasma.github.io/Logging_2062/fåglar/A 14829-2025 prioriterade fågelarter.docx", "A 14829-2025")</f>
        <v/>
      </c>
    </row>
    <row r="439" ht="15" customHeight="1">
      <c r="A439" t="inlineStr">
        <is>
          <t>A 33366-2023</t>
        </is>
      </c>
      <c r="B439" s="1" t="n">
        <v>45128</v>
      </c>
      <c r="C439" s="1" t="n">
        <v>46114</v>
      </c>
      <c r="D439" t="inlineStr">
        <is>
          <t>DALARNAS LÄN</t>
        </is>
      </c>
      <c r="E439" t="inlineStr">
        <is>
          <t>ORSA</t>
        </is>
      </c>
      <c r="F439" t="inlineStr">
        <is>
          <t>Bergvik skog väst AB</t>
        </is>
      </c>
      <c r="G439" t="n">
        <v>3.5</v>
      </c>
      <c r="H439" t="n">
        <v>1</v>
      </c>
      <c r="I439" t="n">
        <v>0</v>
      </c>
      <c r="J439" t="n">
        <v>4</v>
      </c>
      <c r="K439" t="n">
        <v>0</v>
      </c>
      <c r="L439" t="n">
        <v>0</v>
      </c>
      <c r="M439" t="n">
        <v>0</v>
      </c>
      <c r="N439" t="n">
        <v>0</v>
      </c>
      <c r="O439" t="n">
        <v>4</v>
      </c>
      <c r="P439" t="n">
        <v>0</v>
      </c>
      <c r="Q439" t="n">
        <v>4</v>
      </c>
      <c r="R439" s="2" t="inlineStr">
        <is>
          <t>Garnlav
Granticka
Tretåig hackspett
Violettgrå tagellav</t>
        </is>
      </c>
      <c r="S439">
        <f>HYPERLINK("https://klasma.github.io/Logging_2034/artfynd/A 33366-2023 artfynd.xlsx", "A 33366-2023")</f>
        <v/>
      </c>
      <c r="T439">
        <f>HYPERLINK("https://klasma.github.io/Logging_2034/kartor/A 33366-2023 karta.png", "A 33366-2023")</f>
        <v/>
      </c>
      <c r="V439">
        <f>HYPERLINK("https://klasma.github.io/Logging_2034/klagomål/A 33366-2023 FSC-klagomål.docx", "A 33366-2023")</f>
        <v/>
      </c>
      <c r="W439">
        <f>HYPERLINK("https://klasma.github.io/Logging_2034/klagomålsmail/A 33366-2023 FSC-klagomål mail.docx", "A 33366-2023")</f>
        <v/>
      </c>
      <c r="X439">
        <f>HYPERLINK("https://klasma.github.io/Logging_2034/tillsyn/A 33366-2023 tillsynsbegäran.docx", "A 33366-2023")</f>
        <v/>
      </c>
      <c r="Y439">
        <f>HYPERLINK("https://klasma.github.io/Logging_2034/tillsynsmail/A 33366-2023 tillsynsbegäran mail.docx", "A 33366-2023")</f>
        <v/>
      </c>
      <c r="Z439">
        <f>HYPERLINK("https://klasma.github.io/Logging_2034/fåglar/A 33366-2023 prioriterade fågelarter.docx", "A 33366-2023")</f>
        <v/>
      </c>
    </row>
    <row r="440" ht="15" customHeight="1">
      <c r="A440" t="inlineStr">
        <is>
          <t>A 55222-2025</t>
        </is>
      </c>
      <c r="B440" s="1" t="n">
        <v>45968.59255787037</v>
      </c>
      <c r="C440" s="1" t="n">
        <v>46114</v>
      </c>
      <c r="D440" t="inlineStr">
        <is>
          <t>DALARNAS LÄN</t>
        </is>
      </c>
      <c r="E440" t="inlineStr">
        <is>
          <t>ÄLVDALEN</t>
        </is>
      </c>
      <c r="F440" t="inlineStr">
        <is>
          <t>Sveaskog</t>
        </is>
      </c>
      <c r="G440" t="n">
        <v>2.8</v>
      </c>
      <c r="H440" t="n">
        <v>0</v>
      </c>
      <c r="I440" t="n">
        <v>0</v>
      </c>
      <c r="J440" t="n">
        <v>4</v>
      </c>
      <c r="K440" t="n">
        <v>0</v>
      </c>
      <c r="L440" t="n">
        <v>0</v>
      </c>
      <c r="M440" t="n">
        <v>0</v>
      </c>
      <c r="N440" t="n">
        <v>0</v>
      </c>
      <c r="O440" t="n">
        <v>4</v>
      </c>
      <c r="P440" t="n">
        <v>0</v>
      </c>
      <c r="Q440" t="n">
        <v>4</v>
      </c>
      <c r="R440" s="2" t="inlineStr">
        <is>
          <t>Dvärgbägarlav
Kolflarnlav
Mörk kolflarnlav
Vedflamlav</t>
        </is>
      </c>
      <c r="S440">
        <f>HYPERLINK("https://klasma.github.io/Logging_2039/artfynd/A 55222-2025 artfynd.xlsx", "A 55222-2025")</f>
        <v/>
      </c>
      <c r="T440">
        <f>HYPERLINK("https://klasma.github.io/Logging_2039/kartor/A 55222-2025 karta.png", "A 55222-2025")</f>
        <v/>
      </c>
      <c r="V440">
        <f>HYPERLINK("https://klasma.github.io/Logging_2039/klagomål/A 55222-2025 FSC-klagomål.docx", "A 55222-2025")</f>
        <v/>
      </c>
      <c r="W440">
        <f>HYPERLINK("https://klasma.github.io/Logging_2039/klagomålsmail/A 55222-2025 FSC-klagomål mail.docx", "A 55222-2025")</f>
        <v/>
      </c>
      <c r="X440">
        <f>HYPERLINK("https://klasma.github.io/Logging_2039/tillsyn/A 55222-2025 tillsynsbegäran.docx", "A 55222-2025")</f>
        <v/>
      </c>
      <c r="Y440">
        <f>HYPERLINK("https://klasma.github.io/Logging_2039/tillsynsmail/A 55222-2025 tillsynsbegäran mail.docx", "A 55222-2025")</f>
        <v/>
      </c>
    </row>
    <row r="441" ht="15" customHeight="1">
      <c r="A441" t="inlineStr">
        <is>
          <t>A 16482-2025</t>
        </is>
      </c>
      <c r="B441" s="1" t="n">
        <v>45751</v>
      </c>
      <c r="C441" s="1" t="n">
        <v>46114</v>
      </c>
      <c r="D441" t="inlineStr">
        <is>
          <t>DALARNAS LÄN</t>
        </is>
      </c>
      <c r="E441" t="inlineStr">
        <is>
          <t>FALUN</t>
        </is>
      </c>
      <c r="F441" t="inlineStr">
        <is>
          <t>Övriga statliga verk och myndigheter</t>
        </is>
      </c>
      <c r="G441" t="n">
        <v>2.7</v>
      </c>
      <c r="H441" t="n">
        <v>1</v>
      </c>
      <c r="I441" t="n">
        <v>0</v>
      </c>
      <c r="J441" t="n">
        <v>2</v>
      </c>
      <c r="K441" t="n">
        <v>2</v>
      </c>
      <c r="L441" t="n">
        <v>0</v>
      </c>
      <c r="M441" t="n">
        <v>0</v>
      </c>
      <c r="N441" t="n">
        <v>0</v>
      </c>
      <c r="O441" t="n">
        <v>4</v>
      </c>
      <c r="P441" t="n">
        <v>2</v>
      </c>
      <c r="Q441" t="n">
        <v>4</v>
      </c>
      <c r="R441" s="2" t="inlineStr">
        <is>
          <t>Knärot
Rynkskinn
Rosenticka
Ullticka</t>
        </is>
      </c>
      <c r="S441">
        <f>HYPERLINK("https://klasma.github.io/Logging_2080/artfynd/A 16482-2025 artfynd.xlsx", "A 16482-2025")</f>
        <v/>
      </c>
      <c r="T441">
        <f>HYPERLINK("https://klasma.github.io/Logging_2080/kartor/A 16482-2025 karta.png", "A 16482-2025")</f>
        <v/>
      </c>
      <c r="U441">
        <f>HYPERLINK("https://klasma.github.io/Logging_2080/knärot/A 16482-2025 karta knärot.png", "A 16482-2025")</f>
        <v/>
      </c>
      <c r="V441">
        <f>HYPERLINK("https://klasma.github.io/Logging_2080/klagomål/A 16482-2025 FSC-klagomål.docx", "A 16482-2025")</f>
        <v/>
      </c>
      <c r="W441">
        <f>HYPERLINK("https://klasma.github.io/Logging_2080/klagomålsmail/A 16482-2025 FSC-klagomål mail.docx", "A 16482-2025")</f>
        <v/>
      </c>
      <c r="X441">
        <f>HYPERLINK("https://klasma.github.io/Logging_2080/tillsyn/A 16482-2025 tillsynsbegäran.docx", "A 16482-2025")</f>
        <v/>
      </c>
      <c r="Y441">
        <f>HYPERLINK("https://klasma.github.io/Logging_2080/tillsynsmail/A 16482-2025 tillsynsbegäran mail.docx", "A 16482-2025")</f>
        <v/>
      </c>
    </row>
    <row r="442" ht="15" customHeight="1">
      <c r="A442" t="inlineStr">
        <is>
          <t>A 3087-2025</t>
        </is>
      </c>
      <c r="B442" s="1" t="n">
        <v>45678.65004629629</v>
      </c>
      <c r="C442" s="1" t="n">
        <v>46114</v>
      </c>
      <c r="D442" t="inlineStr">
        <is>
          <t>DALARNAS LÄN</t>
        </is>
      </c>
      <c r="E442" t="inlineStr">
        <is>
          <t>BORLÄNGE</t>
        </is>
      </c>
      <c r="F442" t="inlineStr">
        <is>
          <t>Kommuner</t>
        </is>
      </c>
      <c r="G442" t="n">
        <v>10.8</v>
      </c>
      <c r="H442" t="n">
        <v>1</v>
      </c>
      <c r="I442" t="n">
        <v>0</v>
      </c>
      <c r="J442" t="n">
        <v>2</v>
      </c>
      <c r="K442" t="n">
        <v>1</v>
      </c>
      <c r="L442" t="n">
        <v>0</v>
      </c>
      <c r="M442" t="n">
        <v>0</v>
      </c>
      <c r="N442" t="n">
        <v>0</v>
      </c>
      <c r="O442" t="n">
        <v>3</v>
      </c>
      <c r="P442" t="n">
        <v>1</v>
      </c>
      <c r="Q442" t="n">
        <v>4</v>
      </c>
      <c r="R442" s="2" t="inlineStr">
        <is>
          <t>Rynkskinn
Rosenticka
Ullticka
Blåsippa</t>
        </is>
      </c>
      <c r="S442">
        <f>HYPERLINK("https://klasma.github.io/Logging_2081/artfynd/A 3087-2025 artfynd.xlsx", "A 3087-2025")</f>
        <v/>
      </c>
      <c r="T442">
        <f>HYPERLINK("https://klasma.github.io/Logging_2081/kartor/A 3087-2025 karta.png", "A 3087-2025")</f>
        <v/>
      </c>
      <c r="V442">
        <f>HYPERLINK("https://klasma.github.io/Logging_2081/klagomål/A 3087-2025 FSC-klagomål.docx", "A 3087-2025")</f>
        <v/>
      </c>
      <c r="W442">
        <f>HYPERLINK("https://klasma.github.io/Logging_2081/klagomålsmail/A 3087-2025 FSC-klagomål mail.docx", "A 3087-2025")</f>
        <v/>
      </c>
      <c r="X442">
        <f>HYPERLINK("https://klasma.github.io/Logging_2081/tillsyn/A 3087-2025 tillsynsbegäran.docx", "A 3087-2025")</f>
        <v/>
      </c>
      <c r="Y442">
        <f>HYPERLINK("https://klasma.github.io/Logging_2081/tillsynsmail/A 3087-2025 tillsynsbegäran mail.docx", "A 3087-2025")</f>
        <v/>
      </c>
    </row>
    <row r="443" ht="15" customHeight="1">
      <c r="A443" t="inlineStr">
        <is>
          <t>A 34715-2025</t>
        </is>
      </c>
      <c r="B443" s="1" t="n">
        <v>45848</v>
      </c>
      <c r="C443" s="1" t="n">
        <v>46114</v>
      </c>
      <c r="D443" t="inlineStr">
        <is>
          <t>DALARNAS LÄN</t>
        </is>
      </c>
      <c r="E443" t="inlineStr">
        <is>
          <t>MORA</t>
        </is>
      </c>
      <c r="G443" t="n">
        <v>8.5</v>
      </c>
      <c r="H443" t="n">
        <v>2</v>
      </c>
      <c r="I443" t="n">
        <v>0</v>
      </c>
      <c r="J443" t="n">
        <v>3</v>
      </c>
      <c r="K443" t="n">
        <v>1</v>
      </c>
      <c r="L443" t="n">
        <v>0</v>
      </c>
      <c r="M443" t="n">
        <v>0</v>
      </c>
      <c r="N443" t="n">
        <v>0</v>
      </c>
      <c r="O443" t="n">
        <v>4</v>
      </c>
      <c r="P443" t="n">
        <v>1</v>
      </c>
      <c r="Q443" t="n">
        <v>4</v>
      </c>
      <c r="R443" s="2" t="inlineStr">
        <is>
          <t>Knärot
Garnlav
Tallticka
Tretåig hackspett</t>
        </is>
      </c>
      <c r="S443">
        <f>HYPERLINK("https://klasma.github.io/Logging_2062/artfynd/A 34715-2025 artfynd.xlsx", "A 34715-2025")</f>
        <v/>
      </c>
      <c r="T443">
        <f>HYPERLINK("https://klasma.github.io/Logging_2062/kartor/A 34715-2025 karta.png", "A 34715-2025")</f>
        <v/>
      </c>
      <c r="U443">
        <f>HYPERLINK("https://klasma.github.io/Logging_2062/knärot/A 34715-2025 karta knärot.png", "A 34715-2025")</f>
        <v/>
      </c>
      <c r="V443">
        <f>HYPERLINK("https://klasma.github.io/Logging_2062/klagomål/A 34715-2025 FSC-klagomål.docx", "A 34715-2025")</f>
        <v/>
      </c>
      <c r="W443">
        <f>HYPERLINK("https://klasma.github.io/Logging_2062/klagomålsmail/A 34715-2025 FSC-klagomål mail.docx", "A 34715-2025")</f>
        <v/>
      </c>
      <c r="X443">
        <f>HYPERLINK("https://klasma.github.io/Logging_2062/tillsyn/A 34715-2025 tillsynsbegäran.docx", "A 34715-2025")</f>
        <v/>
      </c>
      <c r="Y443">
        <f>HYPERLINK("https://klasma.github.io/Logging_2062/tillsynsmail/A 34715-2025 tillsynsbegäran mail.docx", "A 34715-2025")</f>
        <v/>
      </c>
      <c r="Z443">
        <f>HYPERLINK("https://klasma.github.io/Logging_2062/fåglar/A 34715-2025 prioriterade fågelarter.docx", "A 34715-2025")</f>
        <v/>
      </c>
    </row>
    <row r="444" ht="15" customHeight="1">
      <c r="A444" t="inlineStr">
        <is>
          <t>A 7619-2025</t>
        </is>
      </c>
      <c r="B444" s="1" t="n">
        <v>45705</v>
      </c>
      <c r="C444" s="1" t="n">
        <v>46114</v>
      </c>
      <c r="D444" t="inlineStr">
        <is>
          <t>DALARNAS LÄN</t>
        </is>
      </c>
      <c r="E444" t="inlineStr">
        <is>
          <t>ORSA</t>
        </is>
      </c>
      <c r="G444" t="n">
        <v>5.4</v>
      </c>
      <c r="H444" t="n">
        <v>2</v>
      </c>
      <c r="I444" t="n">
        <v>0</v>
      </c>
      <c r="J444" t="n">
        <v>4</v>
      </c>
      <c r="K444" t="n">
        <v>0</v>
      </c>
      <c r="L444" t="n">
        <v>0</v>
      </c>
      <c r="M444" t="n">
        <v>0</v>
      </c>
      <c r="N444" t="n">
        <v>0</v>
      </c>
      <c r="O444" t="n">
        <v>4</v>
      </c>
      <c r="P444" t="n">
        <v>0</v>
      </c>
      <c r="Q444" t="n">
        <v>4</v>
      </c>
      <c r="R444" s="2" t="inlineStr">
        <is>
          <t>Garnlav
Skogshare
Spillkråka
Tretåig hackspett</t>
        </is>
      </c>
      <c r="S444">
        <f>HYPERLINK("https://klasma.github.io/Logging_2034/artfynd/A 7619-2025 artfynd.xlsx", "A 7619-2025")</f>
        <v/>
      </c>
      <c r="T444">
        <f>HYPERLINK("https://klasma.github.io/Logging_2034/kartor/A 7619-2025 karta.png", "A 7619-2025")</f>
        <v/>
      </c>
      <c r="V444">
        <f>HYPERLINK("https://klasma.github.io/Logging_2034/klagomål/A 7619-2025 FSC-klagomål.docx", "A 7619-2025")</f>
        <v/>
      </c>
      <c r="W444">
        <f>HYPERLINK("https://klasma.github.io/Logging_2034/klagomålsmail/A 7619-2025 FSC-klagomål mail.docx", "A 7619-2025")</f>
        <v/>
      </c>
      <c r="X444">
        <f>HYPERLINK("https://klasma.github.io/Logging_2034/tillsyn/A 7619-2025 tillsynsbegäran.docx", "A 7619-2025")</f>
        <v/>
      </c>
      <c r="Y444">
        <f>HYPERLINK("https://klasma.github.io/Logging_2034/tillsynsmail/A 7619-2025 tillsynsbegäran mail.docx", "A 7619-2025")</f>
        <v/>
      </c>
      <c r="Z444">
        <f>HYPERLINK("https://klasma.github.io/Logging_2034/fåglar/A 7619-2025 prioriterade fågelarter.docx", "A 7619-2025")</f>
        <v/>
      </c>
    </row>
    <row r="445" ht="15" customHeight="1">
      <c r="A445" t="inlineStr">
        <is>
          <t>A 3060-2025</t>
        </is>
      </c>
      <c r="B445" s="1" t="n">
        <v>45678.62517361111</v>
      </c>
      <c r="C445" s="1" t="n">
        <v>46114</v>
      </c>
      <c r="D445" t="inlineStr">
        <is>
          <t>DALARNAS LÄN</t>
        </is>
      </c>
      <c r="E445" t="inlineStr">
        <is>
          <t>BORLÄNGE</t>
        </is>
      </c>
      <c r="F445" t="inlineStr">
        <is>
          <t>Kommuner</t>
        </is>
      </c>
      <c r="G445" t="n">
        <v>5</v>
      </c>
      <c r="H445" t="n">
        <v>2</v>
      </c>
      <c r="I445" t="n">
        <v>0</v>
      </c>
      <c r="J445" t="n">
        <v>1</v>
      </c>
      <c r="K445" t="n">
        <v>2</v>
      </c>
      <c r="L445" t="n">
        <v>0</v>
      </c>
      <c r="M445" t="n">
        <v>0</v>
      </c>
      <c r="N445" t="n">
        <v>0</v>
      </c>
      <c r="O445" t="n">
        <v>3</v>
      </c>
      <c r="P445" t="n">
        <v>2</v>
      </c>
      <c r="Q445" t="n">
        <v>4</v>
      </c>
      <c r="R445" s="2" t="inlineStr">
        <is>
          <t>Knärot
Rynkskinn
Ullticka
Tjäder</t>
        </is>
      </c>
      <c r="S445">
        <f>HYPERLINK("https://klasma.github.io/Logging_2081/artfynd/A 3060-2025 artfynd.xlsx", "A 3060-2025")</f>
        <v/>
      </c>
      <c r="T445">
        <f>HYPERLINK("https://klasma.github.io/Logging_2081/kartor/A 3060-2025 karta.png", "A 3060-2025")</f>
        <v/>
      </c>
      <c r="U445">
        <f>HYPERLINK("https://klasma.github.io/Logging_2081/knärot/A 3060-2025 karta knärot.png", "A 3060-2025")</f>
        <v/>
      </c>
      <c r="V445">
        <f>HYPERLINK("https://klasma.github.io/Logging_2081/klagomål/A 3060-2025 FSC-klagomål.docx", "A 3060-2025")</f>
        <v/>
      </c>
      <c r="W445">
        <f>HYPERLINK("https://klasma.github.io/Logging_2081/klagomålsmail/A 3060-2025 FSC-klagomål mail.docx", "A 3060-2025")</f>
        <v/>
      </c>
      <c r="X445">
        <f>HYPERLINK("https://klasma.github.io/Logging_2081/tillsyn/A 3060-2025 tillsynsbegäran.docx", "A 3060-2025")</f>
        <v/>
      </c>
      <c r="Y445">
        <f>HYPERLINK("https://klasma.github.io/Logging_2081/tillsynsmail/A 3060-2025 tillsynsbegäran mail.docx", "A 3060-2025")</f>
        <v/>
      </c>
      <c r="Z445">
        <f>HYPERLINK("https://klasma.github.io/Logging_2081/fåglar/A 3060-2025 prioriterade fågelarter.docx", "A 3060-2025")</f>
        <v/>
      </c>
    </row>
    <row r="446" ht="15" customHeight="1">
      <c r="A446" t="inlineStr">
        <is>
          <t>A 61583-2025</t>
        </is>
      </c>
      <c r="B446" s="1" t="n">
        <v>46002.34027777778</v>
      </c>
      <c r="C446" s="1" t="n">
        <v>46114</v>
      </c>
      <c r="D446" t="inlineStr">
        <is>
          <t>DALARNAS LÄN</t>
        </is>
      </c>
      <c r="E446" t="inlineStr">
        <is>
          <t>ÄLVDALEN</t>
        </is>
      </c>
      <c r="F446" t="inlineStr">
        <is>
          <t>Sveaskog</t>
        </is>
      </c>
      <c r="G446" t="n">
        <v>6.7</v>
      </c>
      <c r="H446" t="n">
        <v>2</v>
      </c>
      <c r="I446" t="n">
        <v>1</v>
      </c>
      <c r="J446" t="n">
        <v>3</v>
      </c>
      <c r="K446" t="n">
        <v>0</v>
      </c>
      <c r="L446" t="n">
        <v>0</v>
      </c>
      <c r="M446" t="n">
        <v>0</v>
      </c>
      <c r="N446" t="n">
        <v>0</v>
      </c>
      <c r="O446" t="n">
        <v>3</v>
      </c>
      <c r="P446" t="n">
        <v>0</v>
      </c>
      <c r="Q446" t="n">
        <v>4</v>
      </c>
      <c r="R446" s="2" t="inlineStr">
        <is>
          <t>Kolflarnlav
Mörk kolflarnlav
Varglav
Plattlummer</t>
        </is>
      </c>
      <c r="S446">
        <f>HYPERLINK("https://klasma.github.io/Logging_2039/artfynd/A 61583-2025 artfynd.xlsx", "A 61583-2025")</f>
        <v/>
      </c>
      <c r="T446">
        <f>HYPERLINK("https://klasma.github.io/Logging_2039/kartor/A 61583-2025 karta.png", "A 61583-2025")</f>
        <v/>
      </c>
      <c r="V446">
        <f>HYPERLINK("https://klasma.github.io/Logging_2039/klagomål/A 61583-2025 FSC-klagomål.docx", "A 61583-2025")</f>
        <v/>
      </c>
      <c r="W446">
        <f>HYPERLINK("https://klasma.github.io/Logging_2039/klagomålsmail/A 61583-2025 FSC-klagomål mail.docx", "A 61583-2025")</f>
        <v/>
      </c>
      <c r="X446">
        <f>HYPERLINK("https://klasma.github.io/Logging_2039/tillsyn/A 61583-2025 tillsynsbegäran.docx", "A 61583-2025")</f>
        <v/>
      </c>
      <c r="Y446">
        <f>HYPERLINK("https://klasma.github.io/Logging_2039/tillsynsmail/A 61583-2025 tillsynsbegäran mail.docx", "A 61583-2025")</f>
        <v/>
      </c>
    </row>
    <row r="447" ht="15" customHeight="1">
      <c r="A447" t="inlineStr">
        <is>
          <t>A 5713-2026</t>
        </is>
      </c>
      <c r="B447" s="1" t="n">
        <v>46051</v>
      </c>
      <c r="C447" s="1" t="n">
        <v>46114</v>
      </c>
      <c r="D447" t="inlineStr">
        <is>
          <t>DALARNAS LÄN</t>
        </is>
      </c>
      <c r="E447" t="inlineStr">
        <is>
          <t>HEDEMORA</t>
        </is>
      </c>
      <c r="G447" t="n">
        <v>1</v>
      </c>
      <c r="H447" t="n">
        <v>1</v>
      </c>
      <c r="I447" t="n">
        <v>1</v>
      </c>
      <c r="J447" t="n">
        <v>1</v>
      </c>
      <c r="K447" t="n">
        <v>2</v>
      </c>
      <c r="L447" t="n">
        <v>0</v>
      </c>
      <c r="M447" t="n">
        <v>0</v>
      </c>
      <c r="N447" t="n">
        <v>0</v>
      </c>
      <c r="O447" t="n">
        <v>3</v>
      </c>
      <c r="P447" t="n">
        <v>2</v>
      </c>
      <c r="Q447" t="n">
        <v>4</v>
      </c>
      <c r="R447" s="2" t="inlineStr">
        <is>
          <t>Knärot
Rynkskinn
Ullticka
Bronshjon</t>
        </is>
      </c>
      <c r="S447">
        <f>HYPERLINK("https://klasma.github.io/Logging_2083/artfynd/A 5713-2026 artfynd.xlsx", "A 5713-2026")</f>
        <v/>
      </c>
      <c r="T447">
        <f>HYPERLINK("https://klasma.github.io/Logging_2083/kartor/A 5713-2026 karta.png", "A 5713-2026")</f>
        <v/>
      </c>
      <c r="U447">
        <f>HYPERLINK("https://klasma.github.io/Logging_2083/knärot/A 5713-2026 karta knärot.png", "A 5713-2026")</f>
        <v/>
      </c>
      <c r="V447">
        <f>HYPERLINK("https://klasma.github.io/Logging_2083/klagomål/A 5713-2026 FSC-klagomål.docx", "A 5713-2026")</f>
        <v/>
      </c>
      <c r="W447">
        <f>HYPERLINK("https://klasma.github.io/Logging_2083/klagomålsmail/A 5713-2026 FSC-klagomål mail.docx", "A 5713-2026")</f>
        <v/>
      </c>
      <c r="X447">
        <f>HYPERLINK("https://klasma.github.io/Logging_2083/tillsyn/A 5713-2026 tillsynsbegäran.docx", "A 5713-2026")</f>
        <v/>
      </c>
      <c r="Y447">
        <f>HYPERLINK("https://klasma.github.io/Logging_2083/tillsynsmail/A 5713-2026 tillsynsbegäran mail.docx", "A 5713-2026")</f>
        <v/>
      </c>
    </row>
    <row r="448" ht="15" customHeight="1">
      <c r="A448" t="inlineStr">
        <is>
          <t>A 63327-2025</t>
        </is>
      </c>
      <c r="B448" s="1" t="n">
        <v>46010.63902777778</v>
      </c>
      <c r="C448" s="1" t="n">
        <v>46114</v>
      </c>
      <c r="D448" t="inlineStr">
        <is>
          <t>DALARNAS LÄN</t>
        </is>
      </c>
      <c r="E448" t="inlineStr">
        <is>
          <t>ÄLVDALEN</t>
        </is>
      </c>
      <c r="F448" t="inlineStr">
        <is>
          <t>Allmännings- och besparingsskogar</t>
        </is>
      </c>
      <c r="G448" t="n">
        <v>9.800000000000001</v>
      </c>
      <c r="H448" t="n">
        <v>2</v>
      </c>
      <c r="I448" t="n">
        <v>0</v>
      </c>
      <c r="J448" t="n">
        <v>3</v>
      </c>
      <c r="K448" t="n">
        <v>0</v>
      </c>
      <c r="L448" t="n">
        <v>0</v>
      </c>
      <c r="M448" t="n">
        <v>0</v>
      </c>
      <c r="N448" t="n">
        <v>0</v>
      </c>
      <c r="O448" t="n">
        <v>3</v>
      </c>
      <c r="P448" t="n">
        <v>0</v>
      </c>
      <c r="Q448" t="n">
        <v>4</v>
      </c>
      <c r="R448" s="2" t="inlineStr">
        <is>
          <t>Garnlav
Spillkråka
Tallticka
Tjäder</t>
        </is>
      </c>
      <c r="S448">
        <f>HYPERLINK("https://klasma.github.io/Logging_2039/artfynd/A 63327-2025 artfynd.xlsx", "A 63327-2025")</f>
        <v/>
      </c>
      <c r="T448">
        <f>HYPERLINK("https://klasma.github.io/Logging_2039/kartor/A 63327-2025 karta.png", "A 63327-2025")</f>
        <v/>
      </c>
      <c r="V448">
        <f>HYPERLINK("https://klasma.github.io/Logging_2039/klagomål/A 63327-2025 FSC-klagomål.docx", "A 63327-2025")</f>
        <v/>
      </c>
      <c r="W448">
        <f>HYPERLINK("https://klasma.github.io/Logging_2039/klagomålsmail/A 63327-2025 FSC-klagomål mail.docx", "A 63327-2025")</f>
        <v/>
      </c>
      <c r="X448">
        <f>HYPERLINK("https://klasma.github.io/Logging_2039/tillsyn/A 63327-2025 tillsynsbegäran.docx", "A 63327-2025")</f>
        <v/>
      </c>
      <c r="Y448">
        <f>HYPERLINK("https://klasma.github.io/Logging_2039/tillsynsmail/A 63327-2025 tillsynsbegäran mail.docx", "A 63327-2025")</f>
        <v/>
      </c>
      <c r="Z448">
        <f>HYPERLINK("https://klasma.github.io/Logging_2039/fåglar/A 63327-2025 prioriterade fågelarter.docx", "A 63327-2025")</f>
        <v/>
      </c>
    </row>
    <row r="449" ht="15" customHeight="1">
      <c r="A449" t="inlineStr">
        <is>
          <t>A 13339-2025</t>
        </is>
      </c>
      <c r="B449" s="1" t="n">
        <v>45735</v>
      </c>
      <c r="C449" s="1" t="n">
        <v>46114</v>
      </c>
      <c r="D449" t="inlineStr">
        <is>
          <t>DALARNAS LÄN</t>
        </is>
      </c>
      <c r="E449" t="inlineStr">
        <is>
          <t>VANSBRO</t>
        </is>
      </c>
      <c r="G449" t="n">
        <v>0.4</v>
      </c>
      <c r="H449" t="n">
        <v>1</v>
      </c>
      <c r="I449" t="n">
        <v>1</v>
      </c>
      <c r="J449" t="n">
        <v>2</v>
      </c>
      <c r="K449" t="n">
        <v>1</v>
      </c>
      <c r="L449" t="n">
        <v>0</v>
      </c>
      <c r="M449" t="n">
        <v>0</v>
      </c>
      <c r="N449" t="n">
        <v>0</v>
      </c>
      <c r="O449" t="n">
        <v>3</v>
      </c>
      <c r="P449" t="n">
        <v>1</v>
      </c>
      <c r="Q449" t="n">
        <v>4</v>
      </c>
      <c r="R449" s="2" t="inlineStr">
        <is>
          <t>Knärot
Garnlav
Mörk kolflarnlav
Dropptaggsvamp</t>
        </is>
      </c>
      <c r="S449">
        <f>HYPERLINK("https://klasma.github.io/Logging_2021/artfynd/A 13339-2025 artfynd.xlsx", "A 13339-2025")</f>
        <v/>
      </c>
      <c r="T449">
        <f>HYPERLINK("https://klasma.github.io/Logging_2021/kartor/A 13339-2025 karta.png", "A 13339-2025")</f>
        <v/>
      </c>
      <c r="U449">
        <f>HYPERLINK("https://klasma.github.io/Logging_2021/knärot/A 13339-2025 karta knärot.png", "A 13339-2025")</f>
        <v/>
      </c>
      <c r="V449">
        <f>HYPERLINK("https://klasma.github.io/Logging_2021/klagomål/A 13339-2025 FSC-klagomål.docx", "A 13339-2025")</f>
        <v/>
      </c>
      <c r="W449">
        <f>HYPERLINK("https://klasma.github.io/Logging_2021/klagomålsmail/A 13339-2025 FSC-klagomål mail.docx", "A 13339-2025")</f>
        <v/>
      </c>
      <c r="X449">
        <f>HYPERLINK("https://klasma.github.io/Logging_2021/tillsyn/A 13339-2025 tillsynsbegäran.docx", "A 13339-2025")</f>
        <v/>
      </c>
      <c r="Y449">
        <f>HYPERLINK("https://klasma.github.io/Logging_2021/tillsynsmail/A 13339-2025 tillsynsbegäran mail.docx", "A 13339-2025")</f>
        <v/>
      </c>
    </row>
    <row r="450" ht="15" customHeight="1">
      <c r="A450" t="inlineStr">
        <is>
          <t>A 13344-2025</t>
        </is>
      </c>
      <c r="B450" s="1" t="n">
        <v>45735</v>
      </c>
      <c r="C450" s="1" t="n">
        <v>46114</v>
      </c>
      <c r="D450" t="inlineStr">
        <is>
          <t>DALARNAS LÄN</t>
        </is>
      </c>
      <c r="E450" t="inlineStr">
        <is>
          <t>VANSBRO</t>
        </is>
      </c>
      <c r="G450" t="n">
        <v>0.5</v>
      </c>
      <c r="H450" t="n">
        <v>2</v>
      </c>
      <c r="I450" t="n">
        <v>0</v>
      </c>
      <c r="J450" t="n">
        <v>2</v>
      </c>
      <c r="K450" t="n">
        <v>1</v>
      </c>
      <c r="L450" t="n">
        <v>0</v>
      </c>
      <c r="M450" t="n">
        <v>0</v>
      </c>
      <c r="N450" t="n">
        <v>0</v>
      </c>
      <c r="O450" t="n">
        <v>3</v>
      </c>
      <c r="P450" t="n">
        <v>1</v>
      </c>
      <c r="Q450" t="n">
        <v>4</v>
      </c>
      <c r="R450" s="2" t="inlineStr">
        <is>
          <t>Knärot
Mörk kolflarnlav
Ullticka
Tjäder</t>
        </is>
      </c>
      <c r="S450">
        <f>HYPERLINK("https://klasma.github.io/Logging_2021/artfynd/A 13344-2025 artfynd.xlsx", "A 13344-2025")</f>
        <v/>
      </c>
      <c r="T450">
        <f>HYPERLINK("https://klasma.github.io/Logging_2021/kartor/A 13344-2025 karta.png", "A 13344-2025")</f>
        <v/>
      </c>
      <c r="U450">
        <f>HYPERLINK("https://klasma.github.io/Logging_2021/knärot/A 13344-2025 karta knärot.png", "A 13344-2025")</f>
        <v/>
      </c>
      <c r="V450">
        <f>HYPERLINK("https://klasma.github.io/Logging_2021/klagomål/A 13344-2025 FSC-klagomål.docx", "A 13344-2025")</f>
        <v/>
      </c>
      <c r="W450">
        <f>HYPERLINK("https://klasma.github.io/Logging_2021/klagomålsmail/A 13344-2025 FSC-klagomål mail.docx", "A 13344-2025")</f>
        <v/>
      </c>
      <c r="X450">
        <f>HYPERLINK("https://klasma.github.io/Logging_2021/tillsyn/A 13344-2025 tillsynsbegäran.docx", "A 13344-2025")</f>
        <v/>
      </c>
      <c r="Y450">
        <f>HYPERLINK("https://klasma.github.io/Logging_2021/tillsynsmail/A 13344-2025 tillsynsbegäran mail.docx", "A 13344-2025")</f>
        <v/>
      </c>
      <c r="Z450">
        <f>HYPERLINK("https://klasma.github.io/Logging_2021/fåglar/A 13344-2025 prioriterade fågelarter.docx", "A 13344-2025")</f>
        <v/>
      </c>
    </row>
    <row r="451" ht="15" customHeight="1">
      <c r="A451" t="inlineStr">
        <is>
          <t>A 32204-2024</t>
        </is>
      </c>
      <c r="B451" s="1" t="n">
        <v>45511.67277777778</v>
      </c>
      <c r="C451" s="1" t="n">
        <v>46114</v>
      </c>
      <c r="D451" t="inlineStr">
        <is>
          <t>DALARNAS LÄN</t>
        </is>
      </c>
      <c r="E451" t="inlineStr">
        <is>
          <t>ÄLVDALEN</t>
        </is>
      </c>
      <c r="F451" t="inlineStr">
        <is>
          <t>Sveaskog</t>
        </is>
      </c>
      <c r="G451" t="n">
        <v>2.9</v>
      </c>
      <c r="H451" t="n">
        <v>0</v>
      </c>
      <c r="I451" t="n">
        <v>0</v>
      </c>
      <c r="J451" t="n">
        <v>4</v>
      </c>
      <c r="K451" t="n">
        <v>0</v>
      </c>
      <c r="L451" t="n">
        <v>0</v>
      </c>
      <c r="M451" t="n">
        <v>0</v>
      </c>
      <c r="N451" t="n">
        <v>0</v>
      </c>
      <c r="O451" t="n">
        <v>4</v>
      </c>
      <c r="P451" t="n">
        <v>0</v>
      </c>
      <c r="Q451" t="n">
        <v>4</v>
      </c>
      <c r="R451" s="2" t="inlineStr">
        <is>
          <t>Blanksvart spiklav
Kolflarnlav
Mörk kolflarnlav
Vedflamlav</t>
        </is>
      </c>
      <c r="S451">
        <f>HYPERLINK("https://klasma.github.io/Logging_2039/artfynd/A 32204-2024 artfynd.xlsx", "A 32204-2024")</f>
        <v/>
      </c>
      <c r="T451">
        <f>HYPERLINK("https://klasma.github.io/Logging_2039/kartor/A 32204-2024 karta.png", "A 32204-2024")</f>
        <v/>
      </c>
      <c r="V451">
        <f>HYPERLINK("https://klasma.github.io/Logging_2039/klagomål/A 32204-2024 FSC-klagomål.docx", "A 32204-2024")</f>
        <v/>
      </c>
      <c r="W451">
        <f>HYPERLINK("https://klasma.github.io/Logging_2039/klagomålsmail/A 32204-2024 FSC-klagomål mail.docx", "A 32204-2024")</f>
        <v/>
      </c>
      <c r="X451">
        <f>HYPERLINK("https://klasma.github.io/Logging_2039/tillsyn/A 32204-2024 tillsynsbegäran.docx", "A 32204-2024")</f>
        <v/>
      </c>
      <c r="Y451">
        <f>HYPERLINK("https://klasma.github.io/Logging_2039/tillsynsmail/A 32204-2024 tillsynsbegäran mail.docx", "A 32204-2024")</f>
        <v/>
      </c>
    </row>
    <row r="452" ht="15" customHeight="1">
      <c r="A452" t="inlineStr">
        <is>
          <t>A 64124-2025</t>
        </is>
      </c>
      <c r="B452" s="1" t="n">
        <v>46021.95730324074</v>
      </c>
      <c r="C452" s="1" t="n">
        <v>46114</v>
      </c>
      <c r="D452" t="inlineStr">
        <is>
          <t>DALARNAS LÄN</t>
        </is>
      </c>
      <c r="E452" t="inlineStr">
        <is>
          <t>BORLÄNGE</t>
        </is>
      </c>
      <c r="G452" t="n">
        <v>1.4</v>
      </c>
      <c r="H452" t="n">
        <v>1</v>
      </c>
      <c r="I452" t="n">
        <v>0</v>
      </c>
      <c r="J452" t="n">
        <v>2</v>
      </c>
      <c r="K452" t="n">
        <v>2</v>
      </c>
      <c r="L452" t="n">
        <v>0</v>
      </c>
      <c r="M452" t="n">
        <v>0</v>
      </c>
      <c r="N452" t="n">
        <v>0</v>
      </c>
      <c r="O452" t="n">
        <v>4</v>
      </c>
      <c r="P452" t="n">
        <v>2</v>
      </c>
      <c r="Q452" t="n">
        <v>4</v>
      </c>
      <c r="R452" s="2" t="inlineStr">
        <is>
          <t>Knärot
Rynkskinn
Rosenticka
Ullticka</t>
        </is>
      </c>
      <c r="S452">
        <f>HYPERLINK("https://klasma.github.io/Logging_2081/artfynd/A 64124-2025 artfynd.xlsx", "A 64124-2025")</f>
        <v/>
      </c>
      <c r="T452">
        <f>HYPERLINK("https://klasma.github.io/Logging_2081/kartor/A 64124-2025 karta.png", "A 64124-2025")</f>
        <v/>
      </c>
      <c r="U452">
        <f>HYPERLINK("https://klasma.github.io/Logging_2081/knärot/A 64124-2025 karta knärot.png", "A 64124-2025")</f>
        <v/>
      </c>
      <c r="V452">
        <f>HYPERLINK("https://klasma.github.io/Logging_2081/klagomål/A 64124-2025 FSC-klagomål.docx", "A 64124-2025")</f>
        <v/>
      </c>
      <c r="W452">
        <f>HYPERLINK("https://klasma.github.io/Logging_2081/klagomålsmail/A 64124-2025 FSC-klagomål mail.docx", "A 64124-2025")</f>
        <v/>
      </c>
      <c r="X452">
        <f>HYPERLINK("https://klasma.github.io/Logging_2081/tillsyn/A 64124-2025 tillsynsbegäran.docx", "A 64124-2025")</f>
        <v/>
      </c>
      <c r="Y452">
        <f>HYPERLINK("https://klasma.github.io/Logging_2081/tillsynsmail/A 64124-2025 tillsynsbegäran mail.docx", "A 64124-2025")</f>
        <v/>
      </c>
    </row>
    <row r="453" ht="15" customHeight="1">
      <c r="A453" t="inlineStr">
        <is>
          <t>A 48499-2024</t>
        </is>
      </c>
      <c r="B453" s="1" t="n">
        <v>45592</v>
      </c>
      <c r="C453" s="1" t="n">
        <v>46114</v>
      </c>
      <c r="D453" t="inlineStr">
        <is>
          <t>DALARNAS LÄN</t>
        </is>
      </c>
      <c r="E453" t="inlineStr">
        <is>
          <t>ORSA</t>
        </is>
      </c>
      <c r="G453" t="n">
        <v>11.1</v>
      </c>
      <c r="H453" t="n">
        <v>2</v>
      </c>
      <c r="I453" t="n">
        <v>0</v>
      </c>
      <c r="J453" t="n">
        <v>4</v>
      </c>
      <c r="K453" t="n">
        <v>0</v>
      </c>
      <c r="L453" t="n">
        <v>0</v>
      </c>
      <c r="M453" t="n">
        <v>0</v>
      </c>
      <c r="N453" t="n">
        <v>0</v>
      </c>
      <c r="O453" t="n">
        <v>4</v>
      </c>
      <c r="P453" t="n">
        <v>0</v>
      </c>
      <c r="Q453" t="n">
        <v>4</v>
      </c>
      <c r="R453" s="2" t="inlineStr">
        <is>
          <t>Garnlav
Skogshare
Spillkråka
Tretåig hackspett</t>
        </is>
      </c>
      <c r="S453">
        <f>HYPERLINK("https://klasma.github.io/Logging_2034/artfynd/A 48499-2024 artfynd.xlsx", "A 48499-2024")</f>
        <v/>
      </c>
      <c r="T453">
        <f>HYPERLINK("https://klasma.github.io/Logging_2034/kartor/A 48499-2024 karta.png", "A 48499-2024")</f>
        <v/>
      </c>
      <c r="V453">
        <f>HYPERLINK("https://klasma.github.io/Logging_2034/klagomål/A 48499-2024 FSC-klagomål.docx", "A 48499-2024")</f>
        <v/>
      </c>
      <c r="W453">
        <f>HYPERLINK("https://klasma.github.io/Logging_2034/klagomålsmail/A 48499-2024 FSC-klagomål mail.docx", "A 48499-2024")</f>
        <v/>
      </c>
      <c r="X453">
        <f>HYPERLINK("https://klasma.github.io/Logging_2034/tillsyn/A 48499-2024 tillsynsbegäran.docx", "A 48499-2024")</f>
        <v/>
      </c>
      <c r="Y453">
        <f>HYPERLINK("https://klasma.github.io/Logging_2034/tillsynsmail/A 48499-2024 tillsynsbegäran mail.docx", "A 48499-2024")</f>
        <v/>
      </c>
      <c r="Z453">
        <f>HYPERLINK("https://klasma.github.io/Logging_2034/fåglar/A 48499-2024 prioriterade fågelarter.docx", "A 48499-2024")</f>
        <v/>
      </c>
    </row>
    <row r="454" ht="15" customHeight="1">
      <c r="A454" t="inlineStr">
        <is>
          <t>A 180-2026</t>
        </is>
      </c>
      <c r="B454" s="1" t="n">
        <v>46025</v>
      </c>
      <c r="C454" s="1" t="n">
        <v>46114</v>
      </c>
      <c r="D454" t="inlineStr">
        <is>
          <t>DALARNAS LÄN</t>
        </is>
      </c>
      <c r="E454" t="inlineStr">
        <is>
          <t>FALUN</t>
        </is>
      </c>
      <c r="G454" t="n">
        <v>6.9</v>
      </c>
      <c r="H454" t="n">
        <v>2</v>
      </c>
      <c r="I454" t="n">
        <v>2</v>
      </c>
      <c r="J454" t="n">
        <v>2</v>
      </c>
      <c r="K454" t="n">
        <v>0</v>
      </c>
      <c r="L454" t="n">
        <v>0</v>
      </c>
      <c r="M454" t="n">
        <v>0</v>
      </c>
      <c r="N454" t="n">
        <v>0</v>
      </c>
      <c r="O454" t="n">
        <v>2</v>
      </c>
      <c r="P454" t="n">
        <v>0</v>
      </c>
      <c r="Q454" t="n">
        <v>4</v>
      </c>
      <c r="R454" s="2" t="inlineStr">
        <is>
          <t>Spillkråka
Talltita
Dropptaggsvamp
Mindre märgborre</t>
        </is>
      </c>
      <c r="S454">
        <f>HYPERLINK("https://klasma.github.io/Logging_2080/artfynd/A 180-2026 artfynd.xlsx", "A 180-2026")</f>
        <v/>
      </c>
      <c r="T454">
        <f>HYPERLINK("https://klasma.github.io/Logging_2080/kartor/A 180-2026 karta.png", "A 180-2026")</f>
        <v/>
      </c>
      <c r="V454">
        <f>HYPERLINK("https://klasma.github.io/Logging_2080/klagomål/A 180-2026 FSC-klagomål.docx", "A 180-2026")</f>
        <v/>
      </c>
      <c r="W454">
        <f>HYPERLINK("https://klasma.github.io/Logging_2080/klagomålsmail/A 180-2026 FSC-klagomål mail.docx", "A 180-2026")</f>
        <v/>
      </c>
      <c r="X454">
        <f>HYPERLINK("https://klasma.github.io/Logging_2080/tillsyn/A 180-2026 tillsynsbegäran.docx", "A 180-2026")</f>
        <v/>
      </c>
      <c r="Y454">
        <f>HYPERLINK("https://klasma.github.io/Logging_2080/tillsynsmail/A 180-2026 tillsynsbegäran mail.docx", "A 180-2026")</f>
        <v/>
      </c>
      <c r="Z454">
        <f>HYPERLINK("https://klasma.github.io/Logging_2080/fåglar/A 180-2026 prioriterade fågelarter.docx", "A 180-2026")</f>
        <v/>
      </c>
    </row>
    <row r="455" ht="15" customHeight="1">
      <c r="A455" t="inlineStr">
        <is>
          <t>A 14878-2024</t>
        </is>
      </c>
      <c r="B455" s="1" t="n">
        <v>45398.53618055556</v>
      </c>
      <c r="C455" s="1" t="n">
        <v>46114</v>
      </c>
      <c r="D455" t="inlineStr">
        <is>
          <t>DALARNAS LÄN</t>
        </is>
      </c>
      <c r="E455" t="inlineStr">
        <is>
          <t>FALUN</t>
        </is>
      </c>
      <c r="G455" t="n">
        <v>1.2</v>
      </c>
      <c r="H455" t="n">
        <v>3</v>
      </c>
      <c r="I455" t="n">
        <v>0</v>
      </c>
      <c r="J455" t="n">
        <v>2</v>
      </c>
      <c r="K455" t="n">
        <v>1</v>
      </c>
      <c r="L455" t="n">
        <v>0</v>
      </c>
      <c r="M455" t="n">
        <v>0</v>
      </c>
      <c r="N455" t="n">
        <v>0</v>
      </c>
      <c r="O455" t="n">
        <v>3</v>
      </c>
      <c r="P455" t="n">
        <v>1</v>
      </c>
      <c r="Q455" t="n">
        <v>4</v>
      </c>
      <c r="R455" s="2" t="inlineStr">
        <is>
          <t>Knärot
Garnlav
Spillkråka
Tjäder</t>
        </is>
      </c>
      <c r="S455">
        <f>HYPERLINK("https://klasma.github.io/Logging_2080/artfynd/A 14878-2024 artfynd.xlsx", "A 14878-2024")</f>
        <v/>
      </c>
      <c r="T455">
        <f>HYPERLINK("https://klasma.github.io/Logging_2080/kartor/A 14878-2024 karta.png", "A 14878-2024")</f>
        <v/>
      </c>
      <c r="U455">
        <f>HYPERLINK("https://klasma.github.io/Logging_2080/knärot/A 14878-2024 karta knärot.png", "A 14878-2024")</f>
        <v/>
      </c>
      <c r="V455">
        <f>HYPERLINK("https://klasma.github.io/Logging_2080/klagomål/A 14878-2024 FSC-klagomål.docx", "A 14878-2024")</f>
        <v/>
      </c>
      <c r="W455">
        <f>HYPERLINK("https://klasma.github.io/Logging_2080/klagomålsmail/A 14878-2024 FSC-klagomål mail.docx", "A 14878-2024")</f>
        <v/>
      </c>
      <c r="X455">
        <f>HYPERLINK("https://klasma.github.io/Logging_2080/tillsyn/A 14878-2024 tillsynsbegäran.docx", "A 14878-2024")</f>
        <v/>
      </c>
      <c r="Y455">
        <f>HYPERLINK("https://klasma.github.io/Logging_2080/tillsynsmail/A 14878-2024 tillsynsbegäran mail.docx", "A 14878-2024")</f>
        <v/>
      </c>
      <c r="Z455">
        <f>HYPERLINK("https://klasma.github.io/Logging_2080/fåglar/A 14878-2024 prioriterade fågelarter.docx", "A 14878-2024")</f>
        <v/>
      </c>
    </row>
    <row r="456" ht="15" customHeight="1">
      <c r="A456" t="inlineStr">
        <is>
          <t>A 2493-2026</t>
        </is>
      </c>
      <c r="B456" s="1" t="n">
        <v>46037.39774305555</v>
      </c>
      <c r="C456" s="1" t="n">
        <v>46114</v>
      </c>
      <c r="D456" t="inlineStr">
        <is>
          <t>DALARNAS LÄN</t>
        </is>
      </c>
      <c r="E456" t="inlineStr">
        <is>
          <t>GAGNEF</t>
        </is>
      </c>
      <c r="G456" t="n">
        <v>9.4</v>
      </c>
      <c r="H456" t="n">
        <v>2</v>
      </c>
      <c r="I456" t="n">
        <v>1</v>
      </c>
      <c r="J456" t="n">
        <v>1</v>
      </c>
      <c r="K456" t="n">
        <v>0</v>
      </c>
      <c r="L456" t="n">
        <v>0</v>
      </c>
      <c r="M456" t="n">
        <v>0</v>
      </c>
      <c r="N456" t="n">
        <v>0</v>
      </c>
      <c r="O456" t="n">
        <v>1</v>
      </c>
      <c r="P456" t="n">
        <v>0</v>
      </c>
      <c r="Q456" t="n">
        <v>4</v>
      </c>
      <c r="R456" s="2" t="inlineStr">
        <is>
          <t>Ullticka
Rödgul trumpetsvamp
Fläcknycklar
Revlummer</t>
        </is>
      </c>
      <c r="S456">
        <f>HYPERLINK("https://klasma.github.io/Logging_2026/artfynd/A 2493-2026 artfynd.xlsx", "A 2493-2026")</f>
        <v/>
      </c>
      <c r="T456">
        <f>HYPERLINK("https://klasma.github.io/Logging_2026/kartor/A 2493-2026 karta.png", "A 2493-2026")</f>
        <v/>
      </c>
      <c r="V456">
        <f>HYPERLINK("https://klasma.github.io/Logging_2026/klagomål/A 2493-2026 FSC-klagomål.docx", "A 2493-2026")</f>
        <v/>
      </c>
      <c r="W456">
        <f>HYPERLINK("https://klasma.github.io/Logging_2026/klagomålsmail/A 2493-2026 FSC-klagomål mail.docx", "A 2493-2026")</f>
        <v/>
      </c>
      <c r="X456">
        <f>HYPERLINK("https://klasma.github.io/Logging_2026/tillsyn/A 2493-2026 tillsynsbegäran.docx", "A 2493-2026")</f>
        <v/>
      </c>
      <c r="Y456">
        <f>HYPERLINK("https://klasma.github.io/Logging_2026/tillsynsmail/A 2493-2026 tillsynsbegäran mail.docx", "A 2493-2026")</f>
        <v/>
      </c>
    </row>
    <row r="457" ht="15" customHeight="1">
      <c r="A457" t="inlineStr">
        <is>
          <t>A 2295-2026</t>
        </is>
      </c>
      <c r="B457" s="1" t="n">
        <v>46036</v>
      </c>
      <c r="C457" s="1" t="n">
        <v>46114</v>
      </c>
      <c r="D457" t="inlineStr">
        <is>
          <t>DALARNAS LÄN</t>
        </is>
      </c>
      <c r="E457" t="inlineStr">
        <is>
          <t>BORLÄNGE</t>
        </is>
      </c>
      <c r="G457" t="n">
        <v>12.7</v>
      </c>
      <c r="H457" t="n">
        <v>1</v>
      </c>
      <c r="I457" t="n">
        <v>1</v>
      </c>
      <c r="J457" t="n">
        <v>2</v>
      </c>
      <c r="K457" t="n">
        <v>0</v>
      </c>
      <c r="L457" t="n">
        <v>0</v>
      </c>
      <c r="M457" t="n">
        <v>0</v>
      </c>
      <c r="N457" t="n">
        <v>0</v>
      </c>
      <c r="O457" t="n">
        <v>2</v>
      </c>
      <c r="P457" t="n">
        <v>0</v>
      </c>
      <c r="Q457" t="n">
        <v>4</v>
      </c>
      <c r="R457" s="2" t="inlineStr">
        <is>
          <t>Granticka
Vedskivlav
Vedticka
Tjäder</t>
        </is>
      </c>
      <c r="S457">
        <f>HYPERLINK("https://klasma.github.io/Logging_2081/artfynd/A 2295-2026 artfynd.xlsx", "A 2295-2026")</f>
        <v/>
      </c>
      <c r="T457">
        <f>HYPERLINK("https://klasma.github.io/Logging_2081/kartor/A 2295-2026 karta.png", "A 2295-2026")</f>
        <v/>
      </c>
      <c r="V457">
        <f>HYPERLINK("https://klasma.github.io/Logging_2081/klagomål/A 2295-2026 FSC-klagomål.docx", "A 2295-2026")</f>
        <v/>
      </c>
      <c r="W457">
        <f>HYPERLINK("https://klasma.github.io/Logging_2081/klagomålsmail/A 2295-2026 FSC-klagomål mail.docx", "A 2295-2026")</f>
        <v/>
      </c>
      <c r="X457">
        <f>HYPERLINK("https://klasma.github.io/Logging_2081/tillsyn/A 2295-2026 tillsynsbegäran.docx", "A 2295-2026")</f>
        <v/>
      </c>
      <c r="Y457">
        <f>HYPERLINK("https://klasma.github.io/Logging_2081/tillsynsmail/A 2295-2026 tillsynsbegäran mail.docx", "A 2295-2026")</f>
        <v/>
      </c>
      <c r="Z457">
        <f>HYPERLINK("https://klasma.github.io/Logging_2081/fåglar/A 2295-2026 prioriterade fågelarter.docx", "A 2295-2026")</f>
        <v/>
      </c>
    </row>
    <row r="458" ht="15" customHeight="1">
      <c r="A458" t="inlineStr">
        <is>
          <t>A 58719-2021</t>
        </is>
      </c>
      <c r="B458" s="1" t="n">
        <v>44489</v>
      </c>
      <c r="C458" s="1" t="n">
        <v>46114</v>
      </c>
      <c r="D458" t="inlineStr">
        <is>
          <t>DALARNAS LÄN</t>
        </is>
      </c>
      <c r="E458" t="inlineStr">
        <is>
          <t>HEDEMORA</t>
        </is>
      </c>
      <c r="G458" t="n">
        <v>3</v>
      </c>
      <c r="H458" t="n">
        <v>1</v>
      </c>
      <c r="I458" t="n">
        <v>3</v>
      </c>
      <c r="J458" t="n">
        <v>0</v>
      </c>
      <c r="K458" t="n">
        <v>1</v>
      </c>
      <c r="L458" t="n">
        <v>0</v>
      </c>
      <c r="M458" t="n">
        <v>0</v>
      </c>
      <c r="N458" t="n">
        <v>0</v>
      </c>
      <c r="O458" t="n">
        <v>1</v>
      </c>
      <c r="P458" t="n">
        <v>1</v>
      </c>
      <c r="Q458" t="n">
        <v>4</v>
      </c>
      <c r="R458" s="2" t="inlineStr">
        <is>
          <t>Knärot
Blomkålssvamp
Bronshjon
Dropptaggsvamp</t>
        </is>
      </c>
      <c r="S458">
        <f>HYPERLINK("https://klasma.github.io/Logging_2083/artfynd/A 58719-2021 artfynd.xlsx", "A 58719-2021")</f>
        <v/>
      </c>
      <c r="T458">
        <f>HYPERLINK("https://klasma.github.io/Logging_2083/kartor/A 58719-2021 karta.png", "A 58719-2021")</f>
        <v/>
      </c>
      <c r="U458">
        <f>HYPERLINK("https://klasma.github.io/Logging_2083/knärot/A 58719-2021 karta knärot.png", "A 58719-2021")</f>
        <v/>
      </c>
      <c r="V458">
        <f>HYPERLINK("https://klasma.github.io/Logging_2083/klagomål/A 58719-2021 FSC-klagomål.docx", "A 58719-2021")</f>
        <v/>
      </c>
      <c r="W458">
        <f>HYPERLINK("https://klasma.github.io/Logging_2083/klagomålsmail/A 58719-2021 FSC-klagomål mail.docx", "A 58719-2021")</f>
        <v/>
      </c>
      <c r="X458">
        <f>HYPERLINK("https://klasma.github.io/Logging_2083/tillsyn/A 58719-2021 tillsynsbegäran.docx", "A 58719-2021")</f>
        <v/>
      </c>
      <c r="Y458">
        <f>HYPERLINK("https://klasma.github.io/Logging_2083/tillsynsmail/A 58719-2021 tillsynsbegäran mail.docx", "A 58719-2021")</f>
        <v/>
      </c>
    </row>
    <row r="459" ht="15" customHeight="1">
      <c r="A459" t="inlineStr">
        <is>
          <t>A 37475-2025</t>
        </is>
      </c>
      <c r="B459" s="1" t="n">
        <v>45877</v>
      </c>
      <c r="C459" s="1" t="n">
        <v>46114</v>
      </c>
      <c r="D459" t="inlineStr">
        <is>
          <t>DALARNAS LÄN</t>
        </is>
      </c>
      <c r="E459" t="inlineStr">
        <is>
          <t>BORLÄNGE</t>
        </is>
      </c>
      <c r="G459" t="n">
        <v>0.7</v>
      </c>
      <c r="H459" t="n">
        <v>2</v>
      </c>
      <c r="I459" t="n">
        <v>1</v>
      </c>
      <c r="J459" t="n">
        <v>2</v>
      </c>
      <c r="K459" t="n">
        <v>1</v>
      </c>
      <c r="L459" t="n">
        <v>0</v>
      </c>
      <c r="M459" t="n">
        <v>0</v>
      </c>
      <c r="N459" t="n">
        <v>0</v>
      </c>
      <c r="O459" t="n">
        <v>3</v>
      </c>
      <c r="P459" t="n">
        <v>1</v>
      </c>
      <c r="Q459" t="n">
        <v>4</v>
      </c>
      <c r="R459" s="2" t="inlineStr">
        <is>
          <t>Knärot
Tretåig hackspett
Violettgrå tagellav
Grönpyrola</t>
        </is>
      </c>
      <c r="S459">
        <f>HYPERLINK("https://klasma.github.io/Logging_2081/artfynd/A 37475-2025 artfynd.xlsx", "A 37475-2025")</f>
        <v/>
      </c>
      <c r="T459">
        <f>HYPERLINK("https://klasma.github.io/Logging_2081/kartor/A 37475-2025 karta.png", "A 37475-2025")</f>
        <v/>
      </c>
      <c r="U459">
        <f>HYPERLINK("https://klasma.github.io/Logging_2081/knärot/A 37475-2025 karta knärot.png", "A 37475-2025")</f>
        <v/>
      </c>
      <c r="V459">
        <f>HYPERLINK("https://klasma.github.io/Logging_2081/klagomål/A 37475-2025 FSC-klagomål.docx", "A 37475-2025")</f>
        <v/>
      </c>
      <c r="W459">
        <f>HYPERLINK("https://klasma.github.io/Logging_2081/klagomålsmail/A 37475-2025 FSC-klagomål mail.docx", "A 37475-2025")</f>
        <v/>
      </c>
      <c r="X459">
        <f>HYPERLINK("https://klasma.github.io/Logging_2081/tillsyn/A 37475-2025 tillsynsbegäran.docx", "A 37475-2025")</f>
        <v/>
      </c>
      <c r="Y459">
        <f>HYPERLINK("https://klasma.github.io/Logging_2081/tillsynsmail/A 37475-2025 tillsynsbegäran mail.docx", "A 37475-2025")</f>
        <v/>
      </c>
      <c r="Z459">
        <f>HYPERLINK("https://klasma.github.io/Logging_2081/fåglar/A 37475-2025 prioriterade fågelarter.docx", "A 37475-2025")</f>
        <v/>
      </c>
    </row>
    <row r="460" ht="15" customHeight="1">
      <c r="A460" t="inlineStr">
        <is>
          <t>A 51928-2024</t>
        </is>
      </c>
      <c r="B460" s="1" t="n">
        <v>45607.62311342593</v>
      </c>
      <c r="C460" s="1" t="n">
        <v>46114</v>
      </c>
      <c r="D460" t="inlineStr">
        <is>
          <t>DALARNAS LÄN</t>
        </is>
      </c>
      <c r="E460" t="inlineStr">
        <is>
          <t>LUDVIKA</t>
        </is>
      </c>
      <c r="F460" t="inlineStr">
        <is>
          <t>Bergvik skog väst AB</t>
        </is>
      </c>
      <c r="G460" t="n">
        <v>27.9</v>
      </c>
      <c r="H460" t="n">
        <v>0</v>
      </c>
      <c r="I460" t="n">
        <v>3</v>
      </c>
      <c r="J460" t="n">
        <v>1</v>
      </c>
      <c r="K460" t="n">
        <v>0</v>
      </c>
      <c r="L460" t="n">
        <v>0</v>
      </c>
      <c r="M460" t="n">
        <v>0</v>
      </c>
      <c r="N460" t="n">
        <v>0</v>
      </c>
      <c r="O460" t="n">
        <v>1</v>
      </c>
      <c r="P460" t="n">
        <v>0</v>
      </c>
      <c r="Q460" t="n">
        <v>4</v>
      </c>
      <c r="R460" s="2" t="inlineStr">
        <is>
          <t>Brunpudrad nållav
Gulnål
Kornig nållav
Vedticka</t>
        </is>
      </c>
      <c r="S460">
        <f>HYPERLINK("https://klasma.github.io/Logging_2085/artfynd/A 51928-2024 artfynd.xlsx", "A 51928-2024")</f>
        <v/>
      </c>
      <c r="T460">
        <f>HYPERLINK("https://klasma.github.io/Logging_2085/kartor/A 51928-2024 karta.png", "A 51928-2024")</f>
        <v/>
      </c>
      <c r="V460">
        <f>HYPERLINK("https://klasma.github.io/Logging_2085/klagomål/A 51928-2024 FSC-klagomål.docx", "A 51928-2024")</f>
        <v/>
      </c>
      <c r="W460">
        <f>HYPERLINK("https://klasma.github.io/Logging_2085/klagomålsmail/A 51928-2024 FSC-klagomål mail.docx", "A 51928-2024")</f>
        <v/>
      </c>
      <c r="X460">
        <f>HYPERLINK("https://klasma.github.io/Logging_2085/tillsyn/A 51928-2024 tillsynsbegäran.docx", "A 51928-2024")</f>
        <v/>
      </c>
      <c r="Y460">
        <f>HYPERLINK("https://klasma.github.io/Logging_2085/tillsynsmail/A 51928-2024 tillsynsbegäran mail.docx", "A 51928-2024")</f>
        <v/>
      </c>
    </row>
    <row r="461" ht="15" customHeight="1">
      <c r="A461" t="inlineStr">
        <is>
          <t>A 3419-2026</t>
        </is>
      </c>
      <c r="B461" s="1" t="n">
        <v>46042.42626157407</v>
      </c>
      <c r="C461" s="1" t="n">
        <v>46114</v>
      </c>
      <c r="D461" t="inlineStr">
        <is>
          <t>DALARNAS LÄN</t>
        </is>
      </c>
      <c r="E461" t="inlineStr">
        <is>
          <t>AVESTA</t>
        </is>
      </c>
      <c r="G461" t="n">
        <v>5.4</v>
      </c>
      <c r="H461" t="n">
        <v>2</v>
      </c>
      <c r="I461" t="n">
        <v>0</v>
      </c>
      <c r="J461" t="n">
        <v>1</v>
      </c>
      <c r="K461" t="n">
        <v>2</v>
      </c>
      <c r="L461" t="n">
        <v>0</v>
      </c>
      <c r="M461" t="n">
        <v>0</v>
      </c>
      <c r="N461" t="n">
        <v>0</v>
      </c>
      <c r="O461" t="n">
        <v>3</v>
      </c>
      <c r="P461" t="n">
        <v>2</v>
      </c>
      <c r="Q461" t="n">
        <v>4</v>
      </c>
      <c r="R461" s="2" t="inlineStr">
        <is>
          <t>Knärot
Rynkskinn
Ullticka
Revlummer</t>
        </is>
      </c>
      <c r="S461">
        <f>HYPERLINK("https://klasma.github.io/Logging_2084/artfynd/A 3419-2026 artfynd.xlsx", "A 3419-2026")</f>
        <v/>
      </c>
      <c r="T461">
        <f>HYPERLINK("https://klasma.github.io/Logging_2084/kartor/A 3419-2026 karta.png", "A 3419-2026")</f>
        <v/>
      </c>
      <c r="U461">
        <f>HYPERLINK("https://klasma.github.io/Logging_2084/knärot/A 3419-2026 karta knärot.png", "A 3419-2026")</f>
        <v/>
      </c>
      <c r="V461">
        <f>HYPERLINK("https://klasma.github.io/Logging_2084/klagomål/A 3419-2026 FSC-klagomål.docx", "A 3419-2026")</f>
        <v/>
      </c>
      <c r="W461">
        <f>HYPERLINK("https://klasma.github.io/Logging_2084/klagomålsmail/A 3419-2026 FSC-klagomål mail.docx", "A 3419-2026")</f>
        <v/>
      </c>
      <c r="X461">
        <f>HYPERLINK("https://klasma.github.io/Logging_2084/tillsyn/A 3419-2026 tillsynsbegäran.docx", "A 3419-2026")</f>
        <v/>
      </c>
      <c r="Y461">
        <f>HYPERLINK("https://klasma.github.io/Logging_2084/tillsynsmail/A 3419-2026 tillsynsbegäran mail.docx", "A 3419-2026")</f>
        <v/>
      </c>
    </row>
    <row r="462" ht="15" customHeight="1">
      <c r="A462" t="inlineStr">
        <is>
          <t>A 11973-2026</t>
        </is>
      </c>
      <c r="B462" s="1" t="n">
        <v>46085.62635416666</v>
      </c>
      <c r="C462" s="1" t="n">
        <v>46114</v>
      </c>
      <c r="D462" t="inlineStr">
        <is>
          <t>DALARNAS LÄN</t>
        </is>
      </c>
      <c r="E462" t="inlineStr">
        <is>
          <t>MORA</t>
        </is>
      </c>
      <c r="G462" t="n">
        <v>5.4</v>
      </c>
      <c r="H462" t="n">
        <v>1</v>
      </c>
      <c r="I462" t="n">
        <v>1</v>
      </c>
      <c r="J462" t="n">
        <v>3</v>
      </c>
      <c r="K462" t="n">
        <v>0</v>
      </c>
      <c r="L462" t="n">
        <v>0</v>
      </c>
      <c r="M462" t="n">
        <v>0</v>
      </c>
      <c r="N462" t="n">
        <v>0</v>
      </c>
      <c r="O462" t="n">
        <v>3</v>
      </c>
      <c r="P462" t="n">
        <v>0</v>
      </c>
      <c r="Q462" t="n">
        <v>4</v>
      </c>
      <c r="R462" s="2" t="inlineStr">
        <is>
          <t>Garnlav
Mörk kolflarnlav
Spillkråka
Mindre märgborre</t>
        </is>
      </c>
      <c r="S462">
        <f>HYPERLINK("https://klasma.github.io/Logging_2062/artfynd/A 11973-2026 artfynd.xlsx", "A 11973-2026")</f>
        <v/>
      </c>
      <c r="T462">
        <f>HYPERLINK("https://klasma.github.io/Logging_2062/kartor/A 11973-2026 karta.png", "A 11973-2026")</f>
        <v/>
      </c>
      <c r="V462">
        <f>HYPERLINK("https://klasma.github.io/Logging_2062/klagomål/A 11973-2026 FSC-klagomål.docx", "A 11973-2026")</f>
        <v/>
      </c>
      <c r="W462">
        <f>HYPERLINK("https://klasma.github.io/Logging_2062/klagomålsmail/A 11973-2026 FSC-klagomål mail.docx", "A 11973-2026")</f>
        <v/>
      </c>
      <c r="X462">
        <f>HYPERLINK("https://klasma.github.io/Logging_2062/tillsyn/A 11973-2026 tillsynsbegäran.docx", "A 11973-2026")</f>
        <v/>
      </c>
      <c r="Y462">
        <f>HYPERLINK("https://klasma.github.io/Logging_2062/tillsynsmail/A 11973-2026 tillsynsbegäran mail.docx", "A 11973-2026")</f>
        <v/>
      </c>
      <c r="Z462">
        <f>HYPERLINK("https://klasma.github.io/Logging_2062/fåglar/A 11973-2026 prioriterade fågelarter.docx", "A 11973-2026")</f>
        <v/>
      </c>
    </row>
    <row r="463" ht="15" customHeight="1">
      <c r="A463" t="inlineStr">
        <is>
          <t>A 3383-2026</t>
        </is>
      </c>
      <c r="B463" s="1" t="n">
        <v>46042.36033564815</v>
      </c>
      <c r="C463" s="1" t="n">
        <v>46114</v>
      </c>
      <c r="D463" t="inlineStr">
        <is>
          <t>DALARNAS LÄN</t>
        </is>
      </c>
      <c r="E463" t="inlineStr">
        <is>
          <t>FALUN</t>
        </is>
      </c>
      <c r="G463" t="n">
        <v>15.7</v>
      </c>
      <c r="H463" t="n">
        <v>2</v>
      </c>
      <c r="I463" t="n">
        <v>2</v>
      </c>
      <c r="J463" t="n">
        <v>1</v>
      </c>
      <c r="K463" t="n">
        <v>0</v>
      </c>
      <c r="L463" t="n">
        <v>0</v>
      </c>
      <c r="M463" t="n">
        <v>0</v>
      </c>
      <c r="N463" t="n">
        <v>0</v>
      </c>
      <c r="O463" t="n">
        <v>1</v>
      </c>
      <c r="P463" t="n">
        <v>0</v>
      </c>
      <c r="Q463" t="n">
        <v>4</v>
      </c>
      <c r="R463" s="2" t="inlineStr">
        <is>
          <t>Talltita
Dropptaggsvamp
Mindre märgborre
Kungsfågel</t>
        </is>
      </c>
      <c r="S463">
        <f>HYPERLINK("https://klasma.github.io/Logging_2080/artfynd/A 3383-2026 artfynd.xlsx", "A 3383-2026")</f>
        <v/>
      </c>
      <c r="T463">
        <f>HYPERLINK("https://klasma.github.io/Logging_2080/kartor/A 3383-2026 karta.png", "A 3383-2026")</f>
        <v/>
      </c>
      <c r="V463">
        <f>HYPERLINK("https://klasma.github.io/Logging_2080/klagomål/A 3383-2026 FSC-klagomål.docx", "A 3383-2026")</f>
        <v/>
      </c>
      <c r="W463">
        <f>HYPERLINK("https://klasma.github.io/Logging_2080/klagomålsmail/A 3383-2026 FSC-klagomål mail.docx", "A 3383-2026")</f>
        <v/>
      </c>
      <c r="X463">
        <f>HYPERLINK("https://klasma.github.io/Logging_2080/tillsyn/A 3383-2026 tillsynsbegäran.docx", "A 3383-2026")</f>
        <v/>
      </c>
      <c r="Y463">
        <f>HYPERLINK("https://klasma.github.io/Logging_2080/tillsynsmail/A 3383-2026 tillsynsbegäran mail.docx", "A 3383-2026")</f>
        <v/>
      </c>
      <c r="Z463">
        <f>HYPERLINK("https://klasma.github.io/Logging_2080/fåglar/A 3383-2026 prioriterade fågelarter.docx", "A 3383-2026")</f>
        <v/>
      </c>
    </row>
    <row r="464" ht="15" customHeight="1">
      <c r="A464" t="inlineStr">
        <is>
          <t>A 643-2026</t>
        </is>
      </c>
      <c r="B464" s="1" t="n">
        <v>46029</v>
      </c>
      <c r="C464" s="1" t="n">
        <v>46114</v>
      </c>
      <c r="D464" t="inlineStr">
        <is>
          <t>DALARNAS LÄN</t>
        </is>
      </c>
      <c r="E464" t="inlineStr">
        <is>
          <t>FALUN</t>
        </is>
      </c>
      <c r="G464" t="n">
        <v>41.8</v>
      </c>
      <c r="H464" t="n">
        <v>3</v>
      </c>
      <c r="I464" t="n">
        <v>1</v>
      </c>
      <c r="J464" t="n">
        <v>0</v>
      </c>
      <c r="K464" t="n">
        <v>0</v>
      </c>
      <c r="L464" t="n">
        <v>0</v>
      </c>
      <c r="M464" t="n">
        <v>0</v>
      </c>
      <c r="N464" t="n">
        <v>0</v>
      </c>
      <c r="O464" t="n">
        <v>0</v>
      </c>
      <c r="P464" t="n">
        <v>0</v>
      </c>
      <c r="Q464" t="n">
        <v>4</v>
      </c>
      <c r="R464" s="2" t="inlineStr">
        <is>
          <t>Dropptaggsvamp
Större vattensalamander
Tjäder
Skogsödla</t>
        </is>
      </c>
      <c r="S464">
        <f>HYPERLINK("https://klasma.github.io/Logging_2080/artfynd/A 643-2026 artfynd.xlsx", "A 643-2026")</f>
        <v/>
      </c>
      <c r="T464">
        <f>HYPERLINK("https://klasma.github.io/Logging_2080/kartor/A 643-2026 karta.png", "A 643-2026")</f>
        <v/>
      </c>
      <c r="V464">
        <f>HYPERLINK("https://klasma.github.io/Logging_2080/klagomål/A 643-2026 FSC-klagomål.docx", "A 643-2026")</f>
        <v/>
      </c>
      <c r="W464">
        <f>HYPERLINK("https://klasma.github.io/Logging_2080/klagomålsmail/A 643-2026 FSC-klagomål mail.docx", "A 643-2026")</f>
        <v/>
      </c>
      <c r="X464">
        <f>HYPERLINK("https://klasma.github.io/Logging_2080/tillsyn/A 643-2026 tillsynsbegäran.docx", "A 643-2026")</f>
        <v/>
      </c>
      <c r="Y464">
        <f>HYPERLINK("https://klasma.github.io/Logging_2080/tillsynsmail/A 643-2026 tillsynsbegäran mail.docx", "A 643-2026")</f>
        <v/>
      </c>
      <c r="Z464">
        <f>HYPERLINK("https://klasma.github.io/Logging_2080/fåglar/A 643-2026 prioriterade fågelarter.docx", "A 643-2026")</f>
        <v/>
      </c>
    </row>
    <row r="465" ht="15" customHeight="1">
      <c r="A465" t="inlineStr">
        <is>
          <t>A 61770-2025</t>
        </is>
      </c>
      <c r="B465" s="1" t="n">
        <v>46002.64605324074</v>
      </c>
      <c r="C465" s="1" t="n">
        <v>46114</v>
      </c>
      <c r="D465" t="inlineStr">
        <is>
          <t>DALARNAS LÄN</t>
        </is>
      </c>
      <c r="E465" t="inlineStr">
        <is>
          <t>MORA</t>
        </is>
      </c>
      <c r="G465" t="n">
        <v>10.2</v>
      </c>
      <c r="H465" t="n">
        <v>2</v>
      </c>
      <c r="I465" t="n">
        <v>1</v>
      </c>
      <c r="J465" t="n">
        <v>3</v>
      </c>
      <c r="K465" t="n">
        <v>0</v>
      </c>
      <c r="L465" t="n">
        <v>0</v>
      </c>
      <c r="M465" t="n">
        <v>0</v>
      </c>
      <c r="N465" t="n">
        <v>0</v>
      </c>
      <c r="O465" t="n">
        <v>3</v>
      </c>
      <c r="P465" t="n">
        <v>0</v>
      </c>
      <c r="Q465" t="n">
        <v>4</v>
      </c>
      <c r="R465" s="2" t="inlineStr">
        <is>
          <t>Garnlav
Spillkråka
Tretåig hackspett
Mindre märgborre</t>
        </is>
      </c>
      <c r="S465">
        <f>HYPERLINK("https://klasma.github.io/Logging_2062/artfynd/A 61770-2025 artfynd.xlsx", "A 61770-2025")</f>
        <v/>
      </c>
      <c r="T465">
        <f>HYPERLINK("https://klasma.github.io/Logging_2062/kartor/A 61770-2025 karta.png", "A 61770-2025")</f>
        <v/>
      </c>
      <c r="V465">
        <f>HYPERLINK("https://klasma.github.io/Logging_2062/klagomål/A 61770-2025 FSC-klagomål.docx", "A 61770-2025")</f>
        <v/>
      </c>
      <c r="W465">
        <f>HYPERLINK("https://klasma.github.io/Logging_2062/klagomålsmail/A 61770-2025 FSC-klagomål mail.docx", "A 61770-2025")</f>
        <v/>
      </c>
      <c r="X465">
        <f>HYPERLINK("https://klasma.github.io/Logging_2062/tillsyn/A 61770-2025 tillsynsbegäran.docx", "A 61770-2025")</f>
        <v/>
      </c>
      <c r="Y465">
        <f>HYPERLINK("https://klasma.github.io/Logging_2062/tillsynsmail/A 61770-2025 tillsynsbegäran mail.docx", "A 61770-2025")</f>
        <v/>
      </c>
      <c r="Z465">
        <f>HYPERLINK("https://klasma.github.io/Logging_2062/fåglar/A 61770-2025 prioriterade fågelarter.docx", "A 61770-2025")</f>
        <v/>
      </c>
    </row>
    <row r="466" ht="15" customHeight="1">
      <c r="A466" t="inlineStr">
        <is>
          <t>A 32207-2024</t>
        </is>
      </c>
      <c r="B466" s="1" t="n">
        <v>45511.67440972223</v>
      </c>
      <c r="C466" s="1" t="n">
        <v>46114</v>
      </c>
      <c r="D466" t="inlineStr">
        <is>
          <t>DALARNAS LÄN</t>
        </is>
      </c>
      <c r="E466" t="inlineStr">
        <is>
          <t>ÄLVDALEN</t>
        </is>
      </c>
      <c r="F466" t="inlineStr">
        <is>
          <t>Sveaskog</t>
        </is>
      </c>
      <c r="G466" t="n">
        <v>2.5</v>
      </c>
      <c r="H466" t="n">
        <v>0</v>
      </c>
      <c r="I466" t="n">
        <v>0</v>
      </c>
      <c r="J466" t="n">
        <v>4</v>
      </c>
      <c r="K466" t="n">
        <v>0</v>
      </c>
      <c r="L466" t="n">
        <v>0</v>
      </c>
      <c r="M466" t="n">
        <v>0</v>
      </c>
      <c r="N466" t="n">
        <v>0</v>
      </c>
      <c r="O466" t="n">
        <v>4</v>
      </c>
      <c r="P466" t="n">
        <v>0</v>
      </c>
      <c r="Q466" t="n">
        <v>4</v>
      </c>
      <c r="R466" s="2" t="inlineStr">
        <is>
          <t>Dvärgbägarlav
Kolflarnlav
Mörk kolflarnlav
Vedflamlav</t>
        </is>
      </c>
      <c r="S466">
        <f>HYPERLINK("https://klasma.github.io/Logging_2039/artfynd/A 32207-2024 artfynd.xlsx", "A 32207-2024")</f>
        <v/>
      </c>
      <c r="T466">
        <f>HYPERLINK("https://klasma.github.io/Logging_2039/kartor/A 32207-2024 karta.png", "A 32207-2024")</f>
        <v/>
      </c>
      <c r="V466">
        <f>HYPERLINK("https://klasma.github.io/Logging_2039/klagomål/A 32207-2024 FSC-klagomål.docx", "A 32207-2024")</f>
        <v/>
      </c>
      <c r="W466">
        <f>HYPERLINK("https://klasma.github.io/Logging_2039/klagomålsmail/A 32207-2024 FSC-klagomål mail.docx", "A 32207-2024")</f>
        <v/>
      </c>
      <c r="X466">
        <f>HYPERLINK("https://klasma.github.io/Logging_2039/tillsyn/A 32207-2024 tillsynsbegäran.docx", "A 32207-2024")</f>
        <v/>
      </c>
      <c r="Y466">
        <f>HYPERLINK("https://klasma.github.io/Logging_2039/tillsynsmail/A 32207-2024 tillsynsbegäran mail.docx", "A 32207-2024")</f>
        <v/>
      </c>
    </row>
    <row r="467" ht="15" customHeight="1">
      <c r="A467" t="inlineStr">
        <is>
          <t>A 6154-2026</t>
        </is>
      </c>
      <c r="B467" s="1" t="n">
        <v>46055.30436342592</v>
      </c>
      <c r="C467" s="1" t="n">
        <v>46114</v>
      </c>
      <c r="D467" t="inlineStr">
        <is>
          <t>DALARNAS LÄN</t>
        </is>
      </c>
      <c r="E467" t="inlineStr">
        <is>
          <t>MALUNG-SÄLEN</t>
        </is>
      </c>
      <c r="F467" t="inlineStr">
        <is>
          <t>Kommuner</t>
        </is>
      </c>
      <c r="G467" t="n">
        <v>2.3</v>
      </c>
      <c r="H467" t="n">
        <v>1</v>
      </c>
      <c r="I467" t="n">
        <v>0</v>
      </c>
      <c r="J467" t="n">
        <v>3</v>
      </c>
      <c r="K467" t="n">
        <v>0</v>
      </c>
      <c r="L467" t="n">
        <v>0</v>
      </c>
      <c r="M467" t="n">
        <v>0</v>
      </c>
      <c r="N467" t="n">
        <v>0</v>
      </c>
      <c r="O467" t="n">
        <v>3</v>
      </c>
      <c r="P467" t="n">
        <v>0</v>
      </c>
      <c r="Q467" t="n">
        <v>4</v>
      </c>
      <c r="R467" s="2" t="inlineStr">
        <is>
          <t>Dvärgbägarlav
Garnlav
Vedskivlav
Tjäder</t>
        </is>
      </c>
      <c r="S467">
        <f>HYPERLINK("https://klasma.github.io/Logging_2023/artfynd/A 6154-2026 artfynd.xlsx", "A 6154-2026")</f>
        <v/>
      </c>
      <c r="T467">
        <f>HYPERLINK("https://klasma.github.io/Logging_2023/kartor/A 6154-2026 karta.png", "A 6154-2026")</f>
        <v/>
      </c>
      <c r="V467">
        <f>HYPERLINK("https://klasma.github.io/Logging_2023/klagomål/A 6154-2026 FSC-klagomål.docx", "A 6154-2026")</f>
        <v/>
      </c>
      <c r="W467">
        <f>HYPERLINK("https://klasma.github.io/Logging_2023/klagomålsmail/A 6154-2026 FSC-klagomål mail.docx", "A 6154-2026")</f>
        <v/>
      </c>
      <c r="X467">
        <f>HYPERLINK("https://klasma.github.io/Logging_2023/tillsyn/A 6154-2026 tillsynsbegäran.docx", "A 6154-2026")</f>
        <v/>
      </c>
      <c r="Y467">
        <f>HYPERLINK("https://klasma.github.io/Logging_2023/tillsynsmail/A 6154-2026 tillsynsbegäran mail.docx", "A 6154-2026")</f>
        <v/>
      </c>
      <c r="Z467">
        <f>HYPERLINK("https://klasma.github.io/Logging_2023/fåglar/A 6154-2026 prioriterade fågelarter.docx", "A 6154-2026")</f>
        <v/>
      </c>
    </row>
    <row r="468" ht="15" customHeight="1">
      <c r="A468" t="inlineStr">
        <is>
          <t>A 6158-2026</t>
        </is>
      </c>
      <c r="B468" s="1" t="n">
        <v>46055.30993055556</v>
      </c>
      <c r="C468" s="1" t="n">
        <v>46114</v>
      </c>
      <c r="D468" t="inlineStr">
        <is>
          <t>DALARNAS LÄN</t>
        </is>
      </c>
      <c r="E468" t="inlineStr">
        <is>
          <t>MALUNG-SÄLEN</t>
        </is>
      </c>
      <c r="F468" t="inlineStr">
        <is>
          <t>Kommuner</t>
        </is>
      </c>
      <c r="G468" t="n">
        <v>4.9</v>
      </c>
      <c r="H468" t="n">
        <v>1</v>
      </c>
      <c r="I468" t="n">
        <v>1</v>
      </c>
      <c r="J468" t="n">
        <v>2</v>
      </c>
      <c r="K468" t="n">
        <v>0</v>
      </c>
      <c r="L468" t="n">
        <v>0</v>
      </c>
      <c r="M468" t="n">
        <v>0</v>
      </c>
      <c r="N468" t="n">
        <v>0</v>
      </c>
      <c r="O468" t="n">
        <v>2</v>
      </c>
      <c r="P468" t="n">
        <v>0</v>
      </c>
      <c r="Q468" t="n">
        <v>4</v>
      </c>
      <c r="R468" s="2" t="inlineStr">
        <is>
          <t>Dvärgbägarlav
Garnlav
Nästlav
Tjäder</t>
        </is>
      </c>
      <c r="S468">
        <f>HYPERLINK("https://klasma.github.io/Logging_2023/artfynd/A 6158-2026 artfynd.xlsx", "A 6158-2026")</f>
        <v/>
      </c>
      <c r="T468">
        <f>HYPERLINK("https://klasma.github.io/Logging_2023/kartor/A 6158-2026 karta.png", "A 6158-2026")</f>
        <v/>
      </c>
      <c r="V468">
        <f>HYPERLINK("https://klasma.github.io/Logging_2023/klagomål/A 6158-2026 FSC-klagomål.docx", "A 6158-2026")</f>
        <v/>
      </c>
      <c r="W468">
        <f>HYPERLINK("https://klasma.github.io/Logging_2023/klagomålsmail/A 6158-2026 FSC-klagomål mail.docx", "A 6158-2026")</f>
        <v/>
      </c>
      <c r="X468">
        <f>HYPERLINK("https://klasma.github.io/Logging_2023/tillsyn/A 6158-2026 tillsynsbegäran.docx", "A 6158-2026")</f>
        <v/>
      </c>
      <c r="Y468">
        <f>HYPERLINK("https://klasma.github.io/Logging_2023/tillsynsmail/A 6158-2026 tillsynsbegäran mail.docx", "A 6158-2026")</f>
        <v/>
      </c>
      <c r="Z468">
        <f>HYPERLINK("https://klasma.github.io/Logging_2023/fåglar/A 6158-2026 prioriterade fågelarter.docx", "A 6158-2026")</f>
        <v/>
      </c>
    </row>
    <row r="469" ht="15" customHeight="1">
      <c r="A469" t="inlineStr">
        <is>
          <t>A 6165-2026</t>
        </is>
      </c>
      <c r="B469" s="1" t="n">
        <v>46055.32846064815</v>
      </c>
      <c r="C469" s="1" t="n">
        <v>46114</v>
      </c>
      <c r="D469" t="inlineStr">
        <is>
          <t>DALARNAS LÄN</t>
        </is>
      </c>
      <c r="E469" t="inlineStr">
        <is>
          <t>MALUNG-SÄLEN</t>
        </is>
      </c>
      <c r="F469" t="inlineStr">
        <is>
          <t>Kommuner</t>
        </is>
      </c>
      <c r="G469" t="n">
        <v>1.9</v>
      </c>
      <c r="H469" t="n">
        <v>1</v>
      </c>
      <c r="I469" t="n">
        <v>0</v>
      </c>
      <c r="J469" t="n">
        <v>3</v>
      </c>
      <c r="K469" t="n">
        <v>0</v>
      </c>
      <c r="L469" t="n">
        <v>0</v>
      </c>
      <c r="M469" t="n">
        <v>0</v>
      </c>
      <c r="N469" t="n">
        <v>0</v>
      </c>
      <c r="O469" t="n">
        <v>3</v>
      </c>
      <c r="P469" t="n">
        <v>0</v>
      </c>
      <c r="Q469" t="n">
        <v>4</v>
      </c>
      <c r="R469" s="2" t="inlineStr">
        <is>
          <t>Dvärgbägarlav
Garnlav
Vedskivlav
Tjäder</t>
        </is>
      </c>
      <c r="S469">
        <f>HYPERLINK("https://klasma.github.io/Logging_2023/artfynd/A 6165-2026 artfynd.xlsx", "A 6165-2026")</f>
        <v/>
      </c>
      <c r="T469">
        <f>HYPERLINK("https://klasma.github.io/Logging_2023/kartor/A 6165-2026 karta.png", "A 6165-2026")</f>
        <v/>
      </c>
      <c r="V469">
        <f>HYPERLINK("https://klasma.github.io/Logging_2023/klagomål/A 6165-2026 FSC-klagomål.docx", "A 6165-2026")</f>
        <v/>
      </c>
      <c r="W469">
        <f>HYPERLINK("https://klasma.github.io/Logging_2023/klagomålsmail/A 6165-2026 FSC-klagomål mail.docx", "A 6165-2026")</f>
        <v/>
      </c>
      <c r="X469">
        <f>HYPERLINK("https://klasma.github.io/Logging_2023/tillsyn/A 6165-2026 tillsynsbegäran.docx", "A 6165-2026")</f>
        <v/>
      </c>
      <c r="Y469">
        <f>HYPERLINK("https://klasma.github.io/Logging_2023/tillsynsmail/A 6165-2026 tillsynsbegäran mail.docx", "A 6165-2026")</f>
        <v/>
      </c>
      <c r="Z469">
        <f>HYPERLINK("https://klasma.github.io/Logging_2023/fåglar/A 6165-2026 prioriterade fågelarter.docx", "A 6165-2026")</f>
        <v/>
      </c>
    </row>
    <row r="470" ht="15" customHeight="1">
      <c r="A470" t="inlineStr">
        <is>
          <t>A 62837-2025</t>
        </is>
      </c>
      <c r="B470" s="1" t="n">
        <v>46008.68391203704</v>
      </c>
      <c r="C470" s="1" t="n">
        <v>46114</v>
      </c>
      <c r="D470" t="inlineStr">
        <is>
          <t>DALARNAS LÄN</t>
        </is>
      </c>
      <c r="E470" t="inlineStr">
        <is>
          <t>ORSA</t>
        </is>
      </c>
      <c r="G470" t="n">
        <v>6.8</v>
      </c>
      <c r="H470" t="n">
        <v>3</v>
      </c>
      <c r="I470" t="n">
        <v>0</v>
      </c>
      <c r="J470" t="n">
        <v>4</v>
      </c>
      <c r="K470" t="n">
        <v>0</v>
      </c>
      <c r="L470" t="n">
        <v>0</v>
      </c>
      <c r="M470" t="n">
        <v>0</v>
      </c>
      <c r="N470" t="n">
        <v>0</v>
      </c>
      <c r="O470" t="n">
        <v>4</v>
      </c>
      <c r="P470" t="n">
        <v>0</v>
      </c>
      <c r="Q470" t="n">
        <v>4</v>
      </c>
      <c r="R470" s="2" t="inlineStr">
        <is>
          <t>Garnlav
Järpe
Spillkråka
Tretåig hackspett</t>
        </is>
      </c>
      <c r="S470">
        <f>HYPERLINK("https://klasma.github.io/Logging_2034/artfynd/A 62837-2025 artfynd.xlsx", "A 62837-2025")</f>
        <v/>
      </c>
      <c r="T470">
        <f>HYPERLINK("https://klasma.github.io/Logging_2034/kartor/A 62837-2025 karta.png", "A 62837-2025")</f>
        <v/>
      </c>
      <c r="V470">
        <f>HYPERLINK("https://klasma.github.io/Logging_2034/klagomål/A 62837-2025 FSC-klagomål.docx", "A 62837-2025")</f>
        <v/>
      </c>
      <c r="W470">
        <f>HYPERLINK("https://klasma.github.io/Logging_2034/klagomålsmail/A 62837-2025 FSC-klagomål mail.docx", "A 62837-2025")</f>
        <v/>
      </c>
      <c r="X470">
        <f>HYPERLINK("https://klasma.github.io/Logging_2034/tillsyn/A 62837-2025 tillsynsbegäran.docx", "A 62837-2025")</f>
        <v/>
      </c>
      <c r="Y470">
        <f>HYPERLINK("https://klasma.github.io/Logging_2034/tillsynsmail/A 62837-2025 tillsynsbegäran mail.docx", "A 62837-2025")</f>
        <v/>
      </c>
      <c r="Z470">
        <f>HYPERLINK("https://klasma.github.io/Logging_2034/fåglar/A 62837-2025 prioriterade fågelarter.docx", "A 62837-2025")</f>
        <v/>
      </c>
    </row>
    <row r="471" ht="15" customHeight="1">
      <c r="A471" t="inlineStr">
        <is>
          <t>A 14597-2025</t>
        </is>
      </c>
      <c r="B471" s="1" t="n">
        <v>45742</v>
      </c>
      <c r="C471" s="1" t="n">
        <v>46114</v>
      </c>
      <c r="D471" t="inlineStr">
        <is>
          <t>DALARNAS LÄN</t>
        </is>
      </c>
      <c r="E471" t="inlineStr">
        <is>
          <t>GAGNEF</t>
        </is>
      </c>
      <c r="G471" t="n">
        <v>6.9</v>
      </c>
      <c r="H471" t="n">
        <v>2</v>
      </c>
      <c r="I471" t="n">
        <v>1</v>
      </c>
      <c r="J471" t="n">
        <v>1</v>
      </c>
      <c r="K471" t="n">
        <v>1</v>
      </c>
      <c r="L471" t="n">
        <v>0</v>
      </c>
      <c r="M471" t="n">
        <v>0</v>
      </c>
      <c r="N471" t="n">
        <v>0</v>
      </c>
      <c r="O471" t="n">
        <v>2</v>
      </c>
      <c r="P471" t="n">
        <v>1</v>
      </c>
      <c r="Q471" t="n">
        <v>4</v>
      </c>
      <c r="R471" s="2" t="inlineStr">
        <is>
          <t>Knärot
Garnlav
Mindre märgborre
Tjäder</t>
        </is>
      </c>
      <c r="S471">
        <f>HYPERLINK("https://klasma.github.io/Logging_2026/artfynd/A 14597-2025 artfynd.xlsx", "A 14597-2025")</f>
        <v/>
      </c>
      <c r="T471">
        <f>HYPERLINK("https://klasma.github.io/Logging_2026/kartor/A 14597-2025 karta.png", "A 14597-2025")</f>
        <v/>
      </c>
      <c r="U471">
        <f>HYPERLINK("https://klasma.github.io/Logging_2026/knärot/A 14597-2025 karta knärot.png", "A 14597-2025")</f>
        <v/>
      </c>
      <c r="V471">
        <f>HYPERLINK("https://klasma.github.io/Logging_2026/klagomål/A 14597-2025 FSC-klagomål.docx", "A 14597-2025")</f>
        <v/>
      </c>
      <c r="W471">
        <f>HYPERLINK("https://klasma.github.io/Logging_2026/klagomålsmail/A 14597-2025 FSC-klagomål mail.docx", "A 14597-2025")</f>
        <v/>
      </c>
      <c r="X471">
        <f>HYPERLINK("https://klasma.github.io/Logging_2026/tillsyn/A 14597-2025 tillsynsbegäran.docx", "A 14597-2025")</f>
        <v/>
      </c>
      <c r="Y471">
        <f>HYPERLINK("https://klasma.github.io/Logging_2026/tillsynsmail/A 14597-2025 tillsynsbegäran mail.docx", "A 14597-2025")</f>
        <v/>
      </c>
      <c r="Z471">
        <f>HYPERLINK("https://klasma.github.io/Logging_2026/fåglar/A 14597-2025 prioriterade fågelarter.docx", "A 14597-2025")</f>
        <v/>
      </c>
    </row>
    <row r="472" ht="15" customHeight="1">
      <c r="A472" t="inlineStr">
        <is>
          <t>A 51268-2025</t>
        </is>
      </c>
      <c r="B472" s="1" t="n">
        <v>45949.78539351852</v>
      </c>
      <c r="C472" s="1" t="n">
        <v>46114</v>
      </c>
      <c r="D472" t="inlineStr">
        <is>
          <t>DALARNAS LÄN</t>
        </is>
      </c>
      <c r="E472" t="inlineStr">
        <is>
          <t>GAGNEF</t>
        </is>
      </c>
      <c r="G472" t="n">
        <v>1.4</v>
      </c>
      <c r="H472" t="n">
        <v>2</v>
      </c>
      <c r="I472" t="n">
        <v>0</v>
      </c>
      <c r="J472" t="n">
        <v>3</v>
      </c>
      <c r="K472" t="n">
        <v>1</v>
      </c>
      <c r="L472" t="n">
        <v>0</v>
      </c>
      <c r="M472" t="n">
        <v>0</v>
      </c>
      <c r="N472" t="n">
        <v>0</v>
      </c>
      <c r="O472" t="n">
        <v>4</v>
      </c>
      <c r="P472" t="n">
        <v>1</v>
      </c>
      <c r="Q472" t="n">
        <v>4</v>
      </c>
      <c r="R472" s="2" t="inlineStr">
        <is>
          <t>Knärot
Garnlav
Tretåig hackspett
Ullticka</t>
        </is>
      </c>
      <c r="S472">
        <f>HYPERLINK("https://klasma.github.io/Logging_2026/artfynd/A 51268-2025 artfynd.xlsx", "A 51268-2025")</f>
        <v/>
      </c>
      <c r="T472">
        <f>HYPERLINK("https://klasma.github.io/Logging_2026/kartor/A 51268-2025 karta.png", "A 51268-2025")</f>
        <v/>
      </c>
      <c r="U472">
        <f>HYPERLINK("https://klasma.github.io/Logging_2026/knärot/A 51268-2025 karta knärot.png", "A 51268-2025")</f>
        <v/>
      </c>
      <c r="V472">
        <f>HYPERLINK("https://klasma.github.io/Logging_2026/klagomål/A 51268-2025 FSC-klagomål.docx", "A 51268-2025")</f>
        <v/>
      </c>
      <c r="W472">
        <f>HYPERLINK("https://klasma.github.io/Logging_2026/klagomålsmail/A 51268-2025 FSC-klagomål mail.docx", "A 51268-2025")</f>
        <v/>
      </c>
      <c r="X472">
        <f>HYPERLINK("https://klasma.github.io/Logging_2026/tillsyn/A 51268-2025 tillsynsbegäran.docx", "A 51268-2025")</f>
        <v/>
      </c>
      <c r="Y472">
        <f>HYPERLINK("https://klasma.github.io/Logging_2026/tillsynsmail/A 51268-2025 tillsynsbegäran mail.docx", "A 51268-2025")</f>
        <v/>
      </c>
      <c r="Z472">
        <f>HYPERLINK("https://klasma.github.io/Logging_2026/fåglar/A 51268-2025 prioriterade fågelarter.docx", "A 51268-2025")</f>
        <v/>
      </c>
    </row>
    <row r="473" ht="15" customHeight="1">
      <c r="A473" t="inlineStr">
        <is>
          <t>A 14313-2026</t>
        </is>
      </c>
      <c r="B473" s="1" t="n">
        <v>46099</v>
      </c>
      <c r="C473" s="1" t="n">
        <v>46114</v>
      </c>
      <c r="D473" t="inlineStr">
        <is>
          <t>DALARNAS LÄN</t>
        </is>
      </c>
      <c r="E473" t="inlineStr">
        <is>
          <t>FALUN</t>
        </is>
      </c>
      <c r="F473" t="inlineStr">
        <is>
          <t>Bergvik skog väst AB</t>
        </is>
      </c>
      <c r="G473" t="n">
        <v>39.7</v>
      </c>
      <c r="H473" t="n">
        <v>2</v>
      </c>
      <c r="I473" t="n">
        <v>0</v>
      </c>
      <c r="J473" t="n">
        <v>2</v>
      </c>
      <c r="K473" t="n">
        <v>0</v>
      </c>
      <c r="L473" t="n">
        <v>0</v>
      </c>
      <c r="M473" t="n">
        <v>0</v>
      </c>
      <c r="N473" t="n">
        <v>0</v>
      </c>
      <c r="O473" t="n">
        <v>2</v>
      </c>
      <c r="P473" t="n">
        <v>0</v>
      </c>
      <c r="Q473" t="n">
        <v>4</v>
      </c>
      <c r="R473" s="2" t="inlineStr">
        <is>
          <t>Kolflarnlav
Motaggsvamp
Fläcknycklar
Revlummer</t>
        </is>
      </c>
      <c r="S473">
        <f>HYPERLINK("https://klasma.github.io/Logging_2080/artfynd/A 14313-2026 artfynd.xlsx", "A 14313-2026")</f>
        <v/>
      </c>
      <c r="T473">
        <f>HYPERLINK("https://klasma.github.io/Logging_2080/kartor/A 14313-2026 karta.png", "A 14313-2026")</f>
        <v/>
      </c>
      <c r="V473">
        <f>HYPERLINK("https://klasma.github.io/Logging_2080/klagomål/A 14313-2026 FSC-klagomål.docx", "A 14313-2026")</f>
        <v/>
      </c>
      <c r="W473">
        <f>HYPERLINK("https://klasma.github.io/Logging_2080/klagomålsmail/A 14313-2026 FSC-klagomål mail.docx", "A 14313-2026")</f>
        <v/>
      </c>
      <c r="X473">
        <f>HYPERLINK("https://klasma.github.io/Logging_2080/tillsyn/A 14313-2026 tillsynsbegäran.docx", "A 14313-2026")</f>
        <v/>
      </c>
      <c r="Y473">
        <f>HYPERLINK("https://klasma.github.io/Logging_2080/tillsynsmail/A 14313-2026 tillsynsbegäran mail.docx", "A 14313-2026")</f>
        <v/>
      </c>
    </row>
    <row r="474" ht="15" customHeight="1">
      <c r="A474" t="inlineStr">
        <is>
          <t>A 35570-2024</t>
        </is>
      </c>
      <c r="B474" s="1" t="n">
        <v>45531</v>
      </c>
      <c r="C474" s="1" t="n">
        <v>46114</v>
      </c>
      <c r="D474" t="inlineStr">
        <is>
          <t>DALARNAS LÄN</t>
        </is>
      </c>
      <c r="E474" t="inlineStr">
        <is>
          <t>ORSA</t>
        </is>
      </c>
      <c r="G474" t="n">
        <v>3.3</v>
      </c>
      <c r="H474" t="n">
        <v>1</v>
      </c>
      <c r="I474" t="n">
        <v>1</v>
      </c>
      <c r="J474" t="n">
        <v>3</v>
      </c>
      <c r="K474" t="n">
        <v>0</v>
      </c>
      <c r="L474" t="n">
        <v>0</v>
      </c>
      <c r="M474" t="n">
        <v>0</v>
      </c>
      <c r="N474" t="n">
        <v>0</v>
      </c>
      <c r="O474" t="n">
        <v>3</v>
      </c>
      <c r="P474" t="n">
        <v>0</v>
      </c>
      <c r="Q474" t="n">
        <v>4</v>
      </c>
      <c r="R474" s="2" t="inlineStr">
        <is>
          <t>Garnlav
Tretåig hackspett
Violettgrå tagellav
Dropptaggsvamp</t>
        </is>
      </c>
      <c r="S474">
        <f>HYPERLINK("https://klasma.github.io/Logging_2034/artfynd/A 35570-2024 artfynd.xlsx", "A 35570-2024")</f>
        <v/>
      </c>
      <c r="T474">
        <f>HYPERLINK("https://klasma.github.io/Logging_2034/kartor/A 35570-2024 karta.png", "A 35570-2024")</f>
        <v/>
      </c>
      <c r="V474">
        <f>HYPERLINK("https://klasma.github.io/Logging_2034/klagomål/A 35570-2024 FSC-klagomål.docx", "A 35570-2024")</f>
        <v/>
      </c>
      <c r="W474">
        <f>HYPERLINK("https://klasma.github.io/Logging_2034/klagomålsmail/A 35570-2024 FSC-klagomål mail.docx", "A 35570-2024")</f>
        <v/>
      </c>
      <c r="X474">
        <f>HYPERLINK("https://klasma.github.io/Logging_2034/tillsyn/A 35570-2024 tillsynsbegäran.docx", "A 35570-2024")</f>
        <v/>
      </c>
      <c r="Y474">
        <f>HYPERLINK("https://klasma.github.io/Logging_2034/tillsynsmail/A 35570-2024 tillsynsbegäran mail.docx", "A 35570-2024")</f>
        <v/>
      </c>
      <c r="Z474">
        <f>HYPERLINK("https://klasma.github.io/Logging_2034/fåglar/A 35570-2024 prioriterade fågelarter.docx", "A 35570-2024")</f>
        <v/>
      </c>
    </row>
    <row r="475" ht="15" customHeight="1">
      <c r="A475" t="inlineStr">
        <is>
          <t>A 14293-2024</t>
        </is>
      </c>
      <c r="B475" s="1" t="n">
        <v>45393.63902777778</v>
      </c>
      <c r="C475" s="1" t="n">
        <v>46114</v>
      </c>
      <c r="D475" t="inlineStr">
        <is>
          <t>DALARNAS LÄN</t>
        </is>
      </c>
      <c r="E475" t="inlineStr">
        <is>
          <t>MORA</t>
        </is>
      </c>
      <c r="G475" t="n">
        <v>7.4</v>
      </c>
      <c r="H475" t="n">
        <v>2</v>
      </c>
      <c r="I475" t="n">
        <v>1</v>
      </c>
      <c r="J475" t="n">
        <v>2</v>
      </c>
      <c r="K475" t="n">
        <v>0</v>
      </c>
      <c r="L475" t="n">
        <v>0</v>
      </c>
      <c r="M475" t="n">
        <v>0</v>
      </c>
      <c r="N475" t="n">
        <v>0</v>
      </c>
      <c r="O475" t="n">
        <v>2</v>
      </c>
      <c r="P475" t="n">
        <v>0</v>
      </c>
      <c r="Q475" t="n">
        <v>4</v>
      </c>
      <c r="R475" s="2" t="inlineStr">
        <is>
          <t>Garnlav
Talltita
Dropptaggsvamp
Tjäder</t>
        </is>
      </c>
      <c r="S475">
        <f>HYPERLINK("https://klasma.github.io/Logging_2062/artfynd/A 14293-2024 artfynd.xlsx", "A 14293-2024")</f>
        <v/>
      </c>
      <c r="T475">
        <f>HYPERLINK("https://klasma.github.io/Logging_2062/kartor/A 14293-2024 karta.png", "A 14293-2024")</f>
        <v/>
      </c>
      <c r="V475">
        <f>HYPERLINK("https://klasma.github.io/Logging_2062/klagomål/A 14293-2024 FSC-klagomål.docx", "A 14293-2024")</f>
        <v/>
      </c>
      <c r="W475">
        <f>HYPERLINK("https://klasma.github.io/Logging_2062/klagomålsmail/A 14293-2024 FSC-klagomål mail.docx", "A 14293-2024")</f>
        <v/>
      </c>
      <c r="X475">
        <f>HYPERLINK("https://klasma.github.io/Logging_2062/tillsyn/A 14293-2024 tillsynsbegäran.docx", "A 14293-2024")</f>
        <v/>
      </c>
      <c r="Y475">
        <f>HYPERLINK("https://klasma.github.io/Logging_2062/tillsynsmail/A 14293-2024 tillsynsbegäran mail.docx", "A 14293-2024")</f>
        <v/>
      </c>
      <c r="Z475">
        <f>HYPERLINK("https://klasma.github.io/Logging_2062/fåglar/A 14293-2024 prioriterade fågelarter.docx", "A 14293-2024")</f>
        <v/>
      </c>
    </row>
    <row r="476" ht="15" customHeight="1">
      <c r="A476" t="inlineStr">
        <is>
          <t>A 49872-2021</t>
        </is>
      </c>
      <c r="B476" s="1" t="n">
        <v>44455</v>
      </c>
      <c r="C476" s="1" t="n">
        <v>46114</v>
      </c>
      <c r="D476" t="inlineStr">
        <is>
          <t>DALARNAS LÄN</t>
        </is>
      </c>
      <c r="E476" t="inlineStr">
        <is>
          <t>HEDEMORA</t>
        </is>
      </c>
      <c r="G476" t="n">
        <v>3.4</v>
      </c>
      <c r="H476" t="n">
        <v>3</v>
      </c>
      <c r="I476" t="n">
        <v>1</v>
      </c>
      <c r="J476" t="n">
        <v>0</v>
      </c>
      <c r="K476" t="n">
        <v>1</v>
      </c>
      <c r="L476" t="n">
        <v>0</v>
      </c>
      <c r="M476" t="n">
        <v>0</v>
      </c>
      <c r="N476" t="n">
        <v>0</v>
      </c>
      <c r="O476" t="n">
        <v>1</v>
      </c>
      <c r="P476" t="n">
        <v>1</v>
      </c>
      <c r="Q476" t="n">
        <v>4</v>
      </c>
      <c r="R476" s="2" t="inlineStr">
        <is>
          <t>Knärot
Fjällig taggsvamp s.str.
Blåsippa
Revlummer</t>
        </is>
      </c>
      <c r="S476">
        <f>HYPERLINK("https://klasma.github.io/Logging_2083/artfynd/A 49872-2021 artfynd.xlsx", "A 49872-2021")</f>
        <v/>
      </c>
      <c r="T476">
        <f>HYPERLINK("https://klasma.github.io/Logging_2083/kartor/A 49872-2021 karta.png", "A 49872-2021")</f>
        <v/>
      </c>
      <c r="U476">
        <f>HYPERLINK("https://klasma.github.io/Logging_2083/knärot/A 49872-2021 karta knärot.png", "A 49872-2021")</f>
        <v/>
      </c>
      <c r="V476">
        <f>HYPERLINK("https://klasma.github.io/Logging_2083/klagomål/A 49872-2021 FSC-klagomål.docx", "A 49872-2021")</f>
        <v/>
      </c>
      <c r="W476">
        <f>HYPERLINK("https://klasma.github.io/Logging_2083/klagomålsmail/A 49872-2021 FSC-klagomål mail.docx", "A 49872-2021")</f>
        <v/>
      </c>
      <c r="X476">
        <f>HYPERLINK("https://klasma.github.io/Logging_2083/tillsyn/A 49872-2021 tillsynsbegäran.docx", "A 49872-2021")</f>
        <v/>
      </c>
      <c r="Y476">
        <f>HYPERLINK("https://klasma.github.io/Logging_2083/tillsynsmail/A 49872-2021 tillsynsbegäran mail.docx", "A 49872-2021")</f>
        <v/>
      </c>
    </row>
    <row r="477" ht="15" customHeight="1">
      <c r="A477" t="inlineStr">
        <is>
          <t>A 17648-2024</t>
        </is>
      </c>
      <c r="B477" s="1" t="n">
        <v>45418.39261574074</v>
      </c>
      <c r="C477" s="1" t="n">
        <v>46114</v>
      </c>
      <c r="D477" t="inlineStr">
        <is>
          <t>DALARNAS LÄN</t>
        </is>
      </c>
      <c r="E477" t="inlineStr">
        <is>
          <t>MORA</t>
        </is>
      </c>
      <c r="G477" t="n">
        <v>1.7</v>
      </c>
      <c r="H477" t="n">
        <v>4</v>
      </c>
      <c r="I477" t="n">
        <v>0</v>
      </c>
      <c r="J477" t="n">
        <v>2</v>
      </c>
      <c r="K477" t="n">
        <v>0</v>
      </c>
      <c r="L477" t="n">
        <v>0</v>
      </c>
      <c r="M477" t="n">
        <v>0</v>
      </c>
      <c r="N477" t="n">
        <v>0</v>
      </c>
      <c r="O477" t="n">
        <v>2</v>
      </c>
      <c r="P477" t="n">
        <v>0</v>
      </c>
      <c r="Q477" t="n">
        <v>4</v>
      </c>
      <c r="R477" s="2" t="inlineStr">
        <is>
          <t>Brunlångöra
Nordfladdermus
Dvärgpipistrell
Vattenfladdermus</t>
        </is>
      </c>
      <c r="S477">
        <f>HYPERLINK("https://klasma.github.io/Logging_2062/artfynd/A 17648-2024 artfynd.xlsx", "A 17648-2024")</f>
        <v/>
      </c>
      <c r="T477">
        <f>HYPERLINK("https://klasma.github.io/Logging_2062/kartor/A 17648-2024 karta.png", "A 17648-2024")</f>
        <v/>
      </c>
      <c r="V477">
        <f>HYPERLINK("https://klasma.github.io/Logging_2062/klagomål/A 17648-2024 FSC-klagomål.docx", "A 17648-2024")</f>
        <v/>
      </c>
      <c r="W477">
        <f>HYPERLINK("https://klasma.github.io/Logging_2062/klagomålsmail/A 17648-2024 FSC-klagomål mail.docx", "A 17648-2024")</f>
        <v/>
      </c>
      <c r="X477">
        <f>HYPERLINK("https://klasma.github.io/Logging_2062/tillsyn/A 17648-2024 tillsynsbegäran.docx", "A 17648-2024")</f>
        <v/>
      </c>
      <c r="Y477">
        <f>HYPERLINK("https://klasma.github.io/Logging_2062/tillsynsmail/A 17648-2024 tillsynsbegäran mail.docx", "A 17648-2024")</f>
        <v/>
      </c>
    </row>
    <row r="478" ht="15" customHeight="1">
      <c r="A478" t="inlineStr">
        <is>
          <t>A 22291-2025</t>
        </is>
      </c>
      <c r="B478" s="1" t="n">
        <v>45786.34568287037</v>
      </c>
      <c r="C478" s="1" t="n">
        <v>46114</v>
      </c>
      <c r="D478" t="inlineStr">
        <is>
          <t>DALARNAS LÄN</t>
        </is>
      </c>
      <c r="E478" t="inlineStr">
        <is>
          <t>ÄLVDALEN</t>
        </is>
      </c>
      <c r="F478" t="inlineStr">
        <is>
          <t>Sveaskog</t>
        </is>
      </c>
      <c r="G478" t="n">
        <v>3.7</v>
      </c>
      <c r="H478" t="n">
        <v>0</v>
      </c>
      <c r="I478" t="n">
        <v>1</v>
      </c>
      <c r="J478" t="n">
        <v>3</v>
      </c>
      <c r="K478" t="n">
        <v>0</v>
      </c>
      <c r="L478" t="n">
        <v>0</v>
      </c>
      <c r="M478" t="n">
        <v>0</v>
      </c>
      <c r="N478" t="n">
        <v>0</v>
      </c>
      <c r="O478" t="n">
        <v>3</v>
      </c>
      <c r="P478" t="n">
        <v>0</v>
      </c>
      <c r="Q478" t="n">
        <v>4</v>
      </c>
      <c r="R478" s="2" t="inlineStr">
        <is>
          <t>Kolflarnlav
Mörk kolflarnlav
Vedflamlav
Dropptaggsvamp</t>
        </is>
      </c>
      <c r="S478">
        <f>HYPERLINK("https://klasma.github.io/Logging_2039/artfynd/A 22291-2025 artfynd.xlsx", "A 22291-2025")</f>
        <v/>
      </c>
      <c r="T478">
        <f>HYPERLINK("https://klasma.github.io/Logging_2039/kartor/A 22291-2025 karta.png", "A 22291-2025")</f>
        <v/>
      </c>
      <c r="V478">
        <f>HYPERLINK("https://klasma.github.io/Logging_2039/klagomål/A 22291-2025 FSC-klagomål.docx", "A 22291-2025")</f>
        <v/>
      </c>
      <c r="W478">
        <f>HYPERLINK("https://klasma.github.io/Logging_2039/klagomålsmail/A 22291-2025 FSC-klagomål mail.docx", "A 22291-2025")</f>
        <v/>
      </c>
      <c r="X478">
        <f>HYPERLINK("https://klasma.github.io/Logging_2039/tillsyn/A 22291-2025 tillsynsbegäran.docx", "A 22291-2025")</f>
        <v/>
      </c>
      <c r="Y478">
        <f>HYPERLINK("https://klasma.github.io/Logging_2039/tillsynsmail/A 22291-2025 tillsynsbegäran mail.docx", "A 22291-2025")</f>
        <v/>
      </c>
    </row>
    <row r="479" ht="15" customHeight="1">
      <c r="A479" t="inlineStr">
        <is>
          <t>A 23094-2025</t>
        </is>
      </c>
      <c r="B479" s="1" t="n">
        <v>45791.34482638889</v>
      </c>
      <c r="C479" s="1" t="n">
        <v>46114</v>
      </c>
      <c r="D479" t="inlineStr">
        <is>
          <t>DALARNAS LÄN</t>
        </is>
      </c>
      <c r="E479" t="inlineStr">
        <is>
          <t>LUDVIKA</t>
        </is>
      </c>
      <c r="F479" t="inlineStr">
        <is>
          <t>Bergvik skog väst AB</t>
        </is>
      </c>
      <c r="G479" t="n">
        <v>2.9</v>
      </c>
      <c r="H479" t="n">
        <v>2</v>
      </c>
      <c r="I479" t="n">
        <v>2</v>
      </c>
      <c r="J479" t="n">
        <v>0</v>
      </c>
      <c r="K479" t="n">
        <v>0</v>
      </c>
      <c r="L479" t="n">
        <v>0</v>
      </c>
      <c r="M479" t="n">
        <v>0</v>
      </c>
      <c r="N479" t="n">
        <v>0</v>
      </c>
      <c r="O479" t="n">
        <v>0</v>
      </c>
      <c r="P479" t="n">
        <v>0</v>
      </c>
      <c r="Q479" t="n">
        <v>4</v>
      </c>
      <c r="R479" s="2" t="inlineStr">
        <is>
          <t>Fällmossa
Trädporella
Vanlig padda
Blåsippa</t>
        </is>
      </c>
      <c r="S479">
        <f>HYPERLINK("https://klasma.github.io/Logging_2085/artfynd/A 23094-2025 artfynd.xlsx", "A 23094-2025")</f>
        <v/>
      </c>
      <c r="T479">
        <f>HYPERLINK("https://klasma.github.io/Logging_2085/kartor/A 23094-2025 karta.png", "A 23094-2025")</f>
        <v/>
      </c>
      <c r="V479">
        <f>HYPERLINK("https://klasma.github.io/Logging_2085/klagomål/A 23094-2025 FSC-klagomål.docx", "A 23094-2025")</f>
        <v/>
      </c>
      <c r="W479">
        <f>HYPERLINK("https://klasma.github.io/Logging_2085/klagomålsmail/A 23094-2025 FSC-klagomål mail.docx", "A 23094-2025")</f>
        <v/>
      </c>
      <c r="X479">
        <f>HYPERLINK("https://klasma.github.io/Logging_2085/tillsyn/A 23094-2025 tillsynsbegäran.docx", "A 23094-2025")</f>
        <v/>
      </c>
      <c r="Y479">
        <f>HYPERLINK("https://klasma.github.io/Logging_2085/tillsynsmail/A 23094-2025 tillsynsbegäran mail.docx", "A 23094-2025")</f>
        <v/>
      </c>
    </row>
    <row r="480" ht="15" customHeight="1">
      <c r="A480" t="inlineStr">
        <is>
          <t>A 23099-2025</t>
        </is>
      </c>
      <c r="B480" s="1" t="n">
        <v>45791.35133101852</v>
      </c>
      <c r="C480" s="1" t="n">
        <v>46114</v>
      </c>
      <c r="D480" t="inlineStr">
        <is>
          <t>DALARNAS LÄN</t>
        </is>
      </c>
      <c r="E480" t="inlineStr">
        <is>
          <t>LUDVIKA</t>
        </is>
      </c>
      <c r="F480" t="inlineStr">
        <is>
          <t>Bergvik skog väst AB</t>
        </is>
      </c>
      <c r="G480" t="n">
        <v>1.5</v>
      </c>
      <c r="H480" t="n">
        <v>0</v>
      </c>
      <c r="I480" t="n">
        <v>3</v>
      </c>
      <c r="J480" t="n">
        <v>1</v>
      </c>
      <c r="K480" t="n">
        <v>0</v>
      </c>
      <c r="L480" t="n">
        <v>0</v>
      </c>
      <c r="M480" t="n">
        <v>0</v>
      </c>
      <c r="N480" t="n">
        <v>0</v>
      </c>
      <c r="O480" t="n">
        <v>1</v>
      </c>
      <c r="P480" t="n">
        <v>0</v>
      </c>
      <c r="Q480" t="n">
        <v>4</v>
      </c>
      <c r="R480" s="2" t="inlineStr">
        <is>
          <t>Vedtrappmossa
Blek stjärnmossa
Guldlockmossa
Platt fjädermossa</t>
        </is>
      </c>
      <c r="S480">
        <f>HYPERLINK("https://klasma.github.io/Logging_2085/artfynd/A 23099-2025 artfynd.xlsx", "A 23099-2025")</f>
        <v/>
      </c>
      <c r="T480">
        <f>HYPERLINK("https://klasma.github.io/Logging_2085/kartor/A 23099-2025 karta.png", "A 23099-2025")</f>
        <v/>
      </c>
      <c r="V480">
        <f>HYPERLINK("https://klasma.github.io/Logging_2085/klagomål/A 23099-2025 FSC-klagomål.docx", "A 23099-2025")</f>
        <v/>
      </c>
      <c r="W480">
        <f>HYPERLINK("https://klasma.github.io/Logging_2085/klagomålsmail/A 23099-2025 FSC-klagomål mail.docx", "A 23099-2025")</f>
        <v/>
      </c>
      <c r="X480">
        <f>HYPERLINK("https://klasma.github.io/Logging_2085/tillsyn/A 23099-2025 tillsynsbegäran.docx", "A 23099-2025")</f>
        <v/>
      </c>
      <c r="Y480">
        <f>HYPERLINK("https://klasma.github.io/Logging_2085/tillsynsmail/A 23099-2025 tillsynsbegäran mail.docx", "A 23099-2025")</f>
        <v/>
      </c>
    </row>
    <row r="481" ht="15" customHeight="1">
      <c r="A481" t="inlineStr">
        <is>
          <t>A 57643-2022</t>
        </is>
      </c>
      <c r="B481" s="1" t="n">
        <v>44897</v>
      </c>
      <c r="C481" s="1" t="n">
        <v>46114</v>
      </c>
      <c r="D481" t="inlineStr">
        <is>
          <t>DALARNAS LÄN</t>
        </is>
      </c>
      <c r="E481" t="inlineStr">
        <is>
          <t>HEDEMORA</t>
        </is>
      </c>
      <c r="G481" t="n">
        <v>8</v>
      </c>
      <c r="H481" t="n">
        <v>3</v>
      </c>
      <c r="I481" t="n">
        <v>1</v>
      </c>
      <c r="J481" t="n">
        <v>1</v>
      </c>
      <c r="K481" t="n">
        <v>1</v>
      </c>
      <c r="L481" t="n">
        <v>0</v>
      </c>
      <c r="M481" t="n">
        <v>0</v>
      </c>
      <c r="N481" t="n">
        <v>0</v>
      </c>
      <c r="O481" t="n">
        <v>2</v>
      </c>
      <c r="P481" t="n">
        <v>1</v>
      </c>
      <c r="Q481" t="n">
        <v>4</v>
      </c>
      <c r="R481" s="2" t="inlineStr">
        <is>
          <t>Knärot
Spillkråka
Bronshjon
Fläcknycklar</t>
        </is>
      </c>
      <c r="S481">
        <f>HYPERLINK("https://klasma.github.io/Logging_2083/artfynd/A 57643-2022 artfynd.xlsx", "A 57643-2022")</f>
        <v/>
      </c>
      <c r="T481">
        <f>HYPERLINK("https://klasma.github.io/Logging_2083/kartor/A 57643-2022 karta.png", "A 57643-2022")</f>
        <v/>
      </c>
      <c r="U481">
        <f>HYPERLINK("https://klasma.github.io/Logging_2083/knärot/A 57643-2022 karta knärot.png", "A 57643-2022")</f>
        <v/>
      </c>
      <c r="V481">
        <f>HYPERLINK("https://klasma.github.io/Logging_2083/klagomål/A 57643-2022 FSC-klagomål.docx", "A 57643-2022")</f>
        <v/>
      </c>
      <c r="W481">
        <f>HYPERLINK("https://klasma.github.io/Logging_2083/klagomålsmail/A 57643-2022 FSC-klagomål mail.docx", "A 57643-2022")</f>
        <v/>
      </c>
      <c r="X481">
        <f>HYPERLINK("https://klasma.github.io/Logging_2083/tillsyn/A 57643-2022 tillsynsbegäran.docx", "A 57643-2022")</f>
        <v/>
      </c>
      <c r="Y481">
        <f>HYPERLINK("https://klasma.github.io/Logging_2083/tillsynsmail/A 57643-2022 tillsynsbegäran mail.docx", "A 57643-2022")</f>
        <v/>
      </c>
      <c r="Z481">
        <f>HYPERLINK("https://klasma.github.io/Logging_2083/fåglar/A 57643-2022 prioriterade fågelarter.docx", "A 57643-2022")</f>
        <v/>
      </c>
    </row>
    <row r="482" ht="15" customHeight="1">
      <c r="A482" t="inlineStr">
        <is>
          <t>A 25090-2025</t>
        </is>
      </c>
      <c r="B482" s="1" t="n">
        <v>45800.31733796297</v>
      </c>
      <c r="C482" s="1" t="n">
        <v>46114</v>
      </c>
      <c r="D482" t="inlineStr">
        <is>
          <t>DALARNAS LÄN</t>
        </is>
      </c>
      <c r="E482" t="inlineStr">
        <is>
          <t>ÄLVDALEN</t>
        </is>
      </c>
      <c r="F482" t="inlineStr">
        <is>
          <t>Sveaskog</t>
        </is>
      </c>
      <c r="G482" t="n">
        <v>12.5</v>
      </c>
      <c r="H482" t="n">
        <v>0</v>
      </c>
      <c r="I482" t="n">
        <v>0</v>
      </c>
      <c r="J482" t="n">
        <v>4</v>
      </c>
      <c r="K482" t="n">
        <v>0</v>
      </c>
      <c r="L482" t="n">
        <v>0</v>
      </c>
      <c r="M482" t="n">
        <v>0</v>
      </c>
      <c r="N482" t="n">
        <v>0</v>
      </c>
      <c r="O482" t="n">
        <v>4</v>
      </c>
      <c r="P482" t="n">
        <v>0</v>
      </c>
      <c r="Q482" t="n">
        <v>4</v>
      </c>
      <c r="R482" s="2" t="inlineStr">
        <is>
          <t>Dvärgbägarlav
Kolflarnlav
Mörk kolflarnlav
Vedflamlav</t>
        </is>
      </c>
      <c r="S482">
        <f>HYPERLINK("https://klasma.github.io/Logging_2039/artfynd/A 25090-2025 artfynd.xlsx", "A 25090-2025")</f>
        <v/>
      </c>
      <c r="T482">
        <f>HYPERLINK("https://klasma.github.io/Logging_2039/kartor/A 25090-2025 karta.png", "A 25090-2025")</f>
        <v/>
      </c>
      <c r="V482">
        <f>HYPERLINK("https://klasma.github.io/Logging_2039/klagomål/A 25090-2025 FSC-klagomål.docx", "A 25090-2025")</f>
        <v/>
      </c>
      <c r="W482">
        <f>HYPERLINK("https://klasma.github.io/Logging_2039/klagomålsmail/A 25090-2025 FSC-klagomål mail.docx", "A 25090-2025")</f>
        <v/>
      </c>
      <c r="X482">
        <f>HYPERLINK("https://klasma.github.io/Logging_2039/tillsyn/A 25090-2025 tillsynsbegäran.docx", "A 25090-2025")</f>
        <v/>
      </c>
      <c r="Y482">
        <f>HYPERLINK("https://klasma.github.io/Logging_2039/tillsynsmail/A 25090-2025 tillsynsbegäran mail.docx", "A 25090-2025")</f>
        <v/>
      </c>
    </row>
    <row r="483" ht="15" customHeight="1">
      <c r="A483" t="inlineStr">
        <is>
          <t>A 16859-2025</t>
        </is>
      </c>
      <c r="B483" s="1" t="n">
        <v>45751</v>
      </c>
      <c r="C483" s="1" t="n">
        <v>46114</v>
      </c>
      <c r="D483" t="inlineStr">
        <is>
          <t>DALARNAS LÄN</t>
        </is>
      </c>
      <c r="E483" t="inlineStr">
        <is>
          <t>BORLÄNGE</t>
        </is>
      </c>
      <c r="G483" t="n">
        <v>12.8</v>
      </c>
      <c r="H483" t="n">
        <v>1</v>
      </c>
      <c r="I483" t="n">
        <v>2</v>
      </c>
      <c r="J483" t="n">
        <v>1</v>
      </c>
      <c r="K483" t="n">
        <v>1</v>
      </c>
      <c r="L483" t="n">
        <v>0</v>
      </c>
      <c r="M483" t="n">
        <v>0</v>
      </c>
      <c r="N483" t="n">
        <v>0</v>
      </c>
      <c r="O483" t="n">
        <v>2</v>
      </c>
      <c r="P483" t="n">
        <v>1</v>
      </c>
      <c r="Q483" t="n">
        <v>4</v>
      </c>
      <c r="R483" s="2" t="inlineStr">
        <is>
          <t>Knärot
Garnlav
Korallblylav
Stuplav</t>
        </is>
      </c>
      <c r="S483">
        <f>HYPERLINK("https://klasma.github.io/Logging_2081/artfynd/A 16859-2025 artfynd.xlsx", "A 16859-2025")</f>
        <v/>
      </c>
      <c r="T483">
        <f>HYPERLINK("https://klasma.github.io/Logging_2081/kartor/A 16859-2025 karta.png", "A 16859-2025")</f>
        <v/>
      </c>
      <c r="U483">
        <f>HYPERLINK("https://klasma.github.io/Logging_2081/knärot/A 16859-2025 karta knärot.png", "A 16859-2025")</f>
        <v/>
      </c>
      <c r="V483">
        <f>HYPERLINK("https://klasma.github.io/Logging_2081/klagomål/A 16859-2025 FSC-klagomål.docx", "A 16859-2025")</f>
        <v/>
      </c>
      <c r="W483">
        <f>HYPERLINK("https://klasma.github.io/Logging_2081/klagomålsmail/A 16859-2025 FSC-klagomål mail.docx", "A 16859-2025")</f>
        <v/>
      </c>
      <c r="X483">
        <f>HYPERLINK("https://klasma.github.io/Logging_2081/tillsyn/A 16859-2025 tillsynsbegäran.docx", "A 16859-2025")</f>
        <v/>
      </c>
      <c r="Y483">
        <f>HYPERLINK("https://klasma.github.io/Logging_2081/tillsynsmail/A 16859-2025 tillsynsbegäran mail.docx", "A 16859-2025")</f>
        <v/>
      </c>
    </row>
    <row r="484" ht="15" customHeight="1">
      <c r="A484" t="inlineStr">
        <is>
          <t>A 32222-2025</t>
        </is>
      </c>
      <c r="B484" s="1" t="n">
        <v>45835.59140046296</v>
      </c>
      <c r="C484" s="1" t="n">
        <v>46114</v>
      </c>
      <c r="D484" t="inlineStr">
        <is>
          <t>DALARNAS LÄN</t>
        </is>
      </c>
      <c r="E484" t="inlineStr">
        <is>
          <t>MORA</t>
        </is>
      </c>
      <c r="G484" t="n">
        <v>11.5</v>
      </c>
      <c r="H484" t="n">
        <v>1</v>
      </c>
      <c r="I484" t="n">
        <v>0</v>
      </c>
      <c r="J484" t="n">
        <v>4</v>
      </c>
      <c r="K484" t="n">
        <v>0</v>
      </c>
      <c r="L484" t="n">
        <v>0</v>
      </c>
      <c r="M484" t="n">
        <v>0</v>
      </c>
      <c r="N484" t="n">
        <v>0</v>
      </c>
      <c r="O484" t="n">
        <v>4</v>
      </c>
      <c r="P484" t="n">
        <v>0</v>
      </c>
      <c r="Q484" t="n">
        <v>4</v>
      </c>
      <c r="R484" s="2" t="inlineStr">
        <is>
          <t>Garnlav
Reliktbock
Tallticka
Tretåig hackspett</t>
        </is>
      </c>
      <c r="S484">
        <f>HYPERLINK("https://klasma.github.io/Logging_2062/artfynd/A 32222-2025 artfynd.xlsx", "A 32222-2025")</f>
        <v/>
      </c>
      <c r="T484">
        <f>HYPERLINK("https://klasma.github.io/Logging_2062/kartor/A 32222-2025 karta.png", "A 32222-2025")</f>
        <v/>
      </c>
      <c r="V484">
        <f>HYPERLINK("https://klasma.github.io/Logging_2062/klagomål/A 32222-2025 FSC-klagomål.docx", "A 32222-2025")</f>
        <v/>
      </c>
      <c r="W484">
        <f>HYPERLINK("https://klasma.github.io/Logging_2062/klagomålsmail/A 32222-2025 FSC-klagomål mail.docx", "A 32222-2025")</f>
        <v/>
      </c>
      <c r="X484">
        <f>HYPERLINK("https://klasma.github.io/Logging_2062/tillsyn/A 32222-2025 tillsynsbegäran.docx", "A 32222-2025")</f>
        <v/>
      </c>
      <c r="Y484">
        <f>HYPERLINK("https://klasma.github.io/Logging_2062/tillsynsmail/A 32222-2025 tillsynsbegäran mail.docx", "A 32222-2025")</f>
        <v/>
      </c>
      <c r="Z484">
        <f>HYPERLINK("https://klasma.github.io/Logging_2062/fåglar/A 32222-2025 prioriterade fågelarter.docx", "A 32222-2025")</f>
        <v/>
      </c>
    </row>
    <row r="485" ht="15" customHeight="1">
      <c r="A485" t="inlineStr">
        <is>
          <t>A 45268-2022</t>
        </is>
      </c>
      <c r="B485" s="1" t="n">
        <v>44844.50239583333</v>
      </c>
      <c r="C485" s="1" t="n">
        <v>46114</v>
      </c>
      <c r="D485" t="inlineStr">
        <is>
          <t>DALARNAS LÄN</t>
        </is>
      </c>
      <c r="E485" t="inlineStr">
        <is>
          <t>LUDVIKA</t>
        </is>
      </c>
      <c r="F485" t="inlineStr">
        <is>
          <t>Naturvårdsverket</t>
        </is>
      </c>
      <c r="G485" t="n">
        <v>2.3</v>
      </c>
      <c r="H485" t="n">
        <v>0</v>
      </c>
      <c r="I485" t="n">
        <v>1</v>
      </c>
      <c r="J485" t="n">
        <v>2</v>
      </c>
      <c r="K485" t="n">
        <v>0</v>
      </c>
      <c r="L485" t="n">
        <v>0</v>
      </c>
      <c r="M485" t="n">
        <v>0</v>
      </c>
      <c r="N485" t="n">
        <v>0</v>
      </c>
      <c r="O485" t="n">
        <v>2</v>
      </c>
      <c r="P485" t="n">
        <v>0</v>
      </c>
      <c r="Q485" t="n">
        <v>3</v>
      </c>
      <c r="R485" s="2" t="inlineStr">
        <is>
          <t>Orange taggsvamp
Vedtrappmossa
Vedticka</t>
        </is>
      </c>
      <c r="S485">
        <f>HYPERLINK("https://klasma.github.io/Logging_2085/artfynd/A 45268-2022 artfynd.xlsx", "A 45268-2022")</f>
        <v/>
      </c>
      <c r="T485">
        <f>HYPERLINK("https://klasma.github.io/Logging_2085/kartor/A 45268-2022 karta.png", "A 45268-2022")</f>
        <v/>
      </c>
      <c r="U485">
        <f>HYPERLINK("https://klasma.github.io/Logging_2085/knärot/A 45268-2022 karta knärot.png", "A 45268-2022")</f>
        <v/>
      </c>
      <c r="V485">
        <f>HYPERLINK("https://klasma.github.io/Logging_2085/klagomål/A 45268-2022 FSC-klagomål.docx", "A 45268-2022")</f>
        <v/>
      </c>
      <c r="W485">
        <f>HYPERLINK("https://klasma.github.io/Logging_2085/klagomålsmail/A 45268-2022 FSC-klagomål mail.docx", "A 45268-2022")</f>
        <v/>
      </c>
      <c r="X485">
        <f>HYPERLINK("https://klasma.github.io/Logging_2085/tillsyn/A 45268-2022 tillsynsbegäran.docx", "A 45268-2022")</f>
        <v/>
      </c>
      <c r="Y485">
        <f>HYPERLINK("https://klasma.github.io/Logging_2085/tillsynsmail/A 45268-2022 tillsynsbegäran mail.docx", "A 45268-2022")</f>
        <v/>
      </c>
    </row>
    <row r="486" ht="15" customHeight="1">
      <c r="A486" t="inlineStr">
        <is>
          <t>A 27462-2022</t>
        </is>
      </c>
      <c r="B486" s="1" t="n">
        <v>44742</v>
      </c>
      <c r="C486" s="1" t="n">
        <v>46114</v>
      </c>
      <c r="D486" t="inlineStr">
        <is>
          <t>DALARNAS LÄN</t>
        </is>
      </c>
      <c r="E486" t="inlineStr">
        <is>
          <t>MALUNG-SÄLEN</t>
        </is>
      </c>
      <c r="F486" t="inlineStr">
        <is>
          <t>Bergvik skog väst AB</t>
        </is>
      </c>
      <c r="G486" t="n">
        <v>4.9</v>
      </c>
      <c r="H486" t="n">
        <v>0</v>
      </c>
      <c r="I486" t="n">
        <v>0</v>
      </c>
      <c r="J486" t="n">
        <v>3</v>
      </c>
      <c r="K486" t="n">
        <v>0</v>
      </c>
      <c r="L486" t="n">
        <v>0</v>
      </c>
      <c r="M486" t="n">
        <v>0</v>
      </c>
      <c r="N486" t="n">
        <v>0</v>
      </c>
      <c r="O486" t="n">
        <v>3</v>
      </c>
      <c r="P486" t="n">
        <v>0</v>
      </c>
      <c r="Q486" t="n">
        <v>3</v>
      </c>
      <c r="R486" s="2" t="inlineStr">
        <is>
          <t>Garnlav
Lunglav
Skrovellav</t>
        </is>
      </c>
      <c r="S486">
        <f>HYPERLINK("https://klasma.github.io/Logging_2023/artfynd/A 27462-2022 artfynd.xlsx", "A 27462-2022")</f>
        <v/>
      </c>
      <c r="T486">
        <f>HYPERLINK("https://klasma.github.io/Logging_2023/kartor/A 27462-2022 karta.png", "A 27462-2022")</f>
        <v/>
      </c>
      <c r="V486">
        <f>HYPERLINK("https://klasma.github.io/Logging_2023/klagomål/A 27462-2022 FSC-klagomål.docx", "A 27462-2022")</f>
        <v/>
      </c>
      <c r="W486">
        <f>HYPERLINK("https://klasma.github.io/Logging_2023/klagomålsmail/A 27462-2022 FSC-klagomål mail.docx", "A 27462-2022")</f>
        <v/>
      </c>
      <c r="X486">
        <f>HYPERLINK("https://klasma.github.io/Logging_2023/tillsyn/A 27462-2022 tillsynsbegäran.docx", "A 27462-2022")</f>
        <v/>
      </c>
      <c r="Y486">
        <f>HYPERLINK("https://klasma.github.io/Logging_2023/tillsynsmail/A 27462-2022 tillsynsbegäran mail.docx", "A 27462-2022")</f>
        <v/>
      </c>
    </row>
    <row r="487" ht="15" customHeight="1">
      <c r="A487" t="inlineStr">
        <is>
          <t>A 44438-2021</t>
        </is>
      </c>
      <c r="B487" s="1" t="n">
        <v>44435</v>
      </c>
      <c r="C487" s="1" t="n">
        <v>46114</v>
      </c>
      <c r="D487" t="inlineStr">
        <is>
          <t>DALARNAS LÄN</t>
        </is>
      </c>
      <c r="E487" t="inlineStr">
        <is>
          <t>RÄTTVIK</t>
        </is>
      </c>
      <c r="G487" t="n">
        <v>1.9</v>
      </c>
      <c r="H487" t="n">
        <v>1</v>
      </c>
      <c r="I487" t="n">
        <v>1</v>
      </c>
      <c r="J487" t="n">
        <v>1</v>
      </c>
      <c r="K487" t="n">
        <v>0</v>
      </c>
      <c r="L487" t="n">
        <v>0</v>
      </c>
      <c r="M487" t="n">
        <v>0</v>
      </c>
      <c r="N487" t="n">
        <v>0</v>
      </c>
      <c r="O487" t="n">
        <v>1</v>
      </c>
      <c r="P487" t="n">
        <v>0</v>
      </c>
      <c r="Q487" t="n">
        <v>3</v>
      </c>
      <c r="R487" s="2" t="inlineStr">
        <is>
          <t>Garnlav
Gulnål
Fläcknycklar</t>
        </is>
      </c>
      <c r="S487">
        <f>HYPERLINK("https://klasma.github.io/Logging_2031/artfynd/A 44438-2021 artfynd.xlsx", "A 44438-2021")</f>
        <v/>
      </c>
      <c r="T487">
        <f>HYPERLINK("https://klasma.github.io/Logging_2031/kartor/A 44438-2021 karta.png", "A 44438-2021")</f>
        <v/>
      </c>
      <c r="V487">
        <f>HYPERLINK("https://klasma.github.io/Logging_2031/klagomål/A 44438-2021 FSC-klagomål.docx", "A 44438-2021")</f>
        <v/>
      </c>
      <c r="W487">
        <f>HYPERLINK("https://klasma.github.io/Logging_2031/klagomålsmail/A 44438-2021 FSC-klagomål mail.docx", "A 44438-2021")</f>
        <v/>
      </c>
      <c r="X487">
        <f>HYPERLINK("https://klasma.github.io/Logging_2031/tillsyn/A 44438-2021 tillsynsbegäran.docx", "A 44438-2021")</f>
        <v/>
      </c>
      <c r="Y487">
        <f>HYPERLINK("https://klasma.github.io/Logging_2031/tillsynsmail/A 44438-2021 tillsynsbegäran mail.docx", "A 44438-2021")</f>
        <v/>
      </c>
    </row>
    <row r="488" ht="15" customHeight="1">
      <c r="A488" t="inlineStr">
        <is>
          <t>A 51505-2022</t>
        </is>
      </c>
      <c r="B488" s="1" t="n">
        <v>44869</v>
      </c>
      <c r="C488" s="1" t="n">
        <v>46114</v>
      </c>
      <c r="D488" t="inlineStr">
        <is>
          <t>DALARNAS LÄN</t>
        </is>
      </c>
      <c r="E488" t="inlineStr">
        <is>
          <t>LEKSAND</t>
        </is>
      </c>
      <c r="F488" t="inlineStr">
        <is>
          <t>Bergvik skog väst AB</t>
        </is>
      </c>
      <c r="G488" t="n">
        <v>1.3</v>
      </c>
      <c r="H488" t="n">
        <v>0</v>
      </c>
      <c r="I488" t="n">
        <v>1</v>
      </c>
      <c r="J488" t="n">
        <v>2</v>
      </c>
      <c r="K488" t="n">
        <v>0</v>
      </c>
      <c r="L488" t="n">
        <v>0</v>
      </c>
      <c r="M488" t="n">
        <v>0</v>
      </c>
      <c r="N488" t="n">
        <v>0</v>
      </c>
      <c r="O488" t="n">
        <v>2</v>
      </c>
      <c r="P488" t="n">
        <v>0</v>
      </c>
      <c r="Q488" t="n">
        <v>3</v>
      </c>
      <c r="R488" s="2" t="inlineStr">
        <is>
          <t>Garnlav
Motaggsvamp
Bronshjon</t>
        </is>
      </c>
      <c r="S488">
        <f>HYPERLINK("https://klasma.github.io/Logging_2029/artfynd/A 51505-2022 artfynd.xlsx", "A 51505-2022")</f>
        <v/>
      </c>
      <c r="T488">
        <f>HYPERLINK("https://klasma.github.io/Logging_2029/kartor/A 51505-2022 karta.png", "A 51505-2022")</f>
        <v/>
      </c>
      <c r="V488">
        <f>HYPERLINK("https://klasma.github.io/Logging_2029/klagomål/A 51505-2022 FSC-klagomål.docx", "A 51505-2022")</f>
        <v/>
      </c>
      <c r="W488">
        <f>HYPERLINK("https://klasma.github.io/Logging_2029/klagomålsmail/A 51505-2022 FSC-klagomål mail.docx", "A 51505-2022")</f>
        <v/>
      </c>
      <c r="X488">
        <f>HYPERLINK("https://klasma.github.io/Logging_2029/tillsyn/A 51505-2022 tillsynsbegäran.docx", "A 51505-2022")</f>
        <v/>
      </c>
      <c r="Y488">
        <f>HYPERLINK("https://klasma.github.io/Logging_2029/tillsynsmail/A 51505-2022 tillsynsbegäran mail.docx", "A 51505-2022")</f>
        <v/>
      </c>
    </row>
    <row r="489" ht="15" customHeight="1">
      <c r="A489" t="inlineStr">
        <is>
          <t>A 36966-2022</t>
        </is>
      </c>
      <c r="B489" s="1" t="n">
        <v>44806</v>
      </c>
      <c r="C489" s="1" t="n">
        <v>46114</v>
      </c>
      <c r="D489" t="inlineStr">
        <is>
          <t>DALARNAS LÄN</t>
        </is>
      </c>
      <c r="E489" t="inlineStr">
        <is>
          <t>FALUN</t>
        </is>
      </c>
      <c r="G489" t="n">
        <v>4.2</v>
      </c>
      <c r="H489" t="n">
        <v>1</v>
      </c>
      <c r="I489" t="n">
        <v>0</v>
      </c>
      <c r="J489" t="n">
        <v>1</v>
      </c>
      <c r="K489" t="n">
        <v>2</v>
      </c>
      <c r="L489" t="n">
        <v>0</v>
      </c>
      <c r="M489" t="n">
        <v>0</v>
      </c>
      <c r="N489" t="n">
        <v>0</v>
      </c>
      <c r="O489" t="n">
        <v>3</v>
      </c>
      <c r="P489" t="n">
        <v>2</v>
      </c>
      <c r="Q489" t="n">
        <v>3</v>
      </c>
      <c r="R489" s="2" t="inlineStr">
        <is>
          <t>Knärot
Rynkskinn
Granticka</t>
        </is>
      </c>
      <c r="S489">
        <f>HYPERLINK("https://klasma.github.io/Logging_2080/artfynd/A 36966-2022 artfynd.xlsx", "A 36966-2022")</f>
        <v/>
      </c>
      <c r="T489">
        <f>HYPERLINK("https://klasma.github.io/Logging_2080/kartor/A 36966-2022 karta.png", "A 36966-2022")</f>
        <v/>
      </c>
      <c r="U489">
        <f>HYPERLINK("https://klasma.github.io/Logging_2080/knärot/A 36966-2022 karta knärot.png", "A 36966-2022")</f>
        <v/>
      </c>
      <c r="V489">
        <f>HYPERLINK("https://klasma.github.io/Logging_2080/klagomål/A 36966-2022 FSC-klagomål.docx", "A 36966-2022")</f>
        <v/>
      </c>
      <c r="W489">
        <f>HYPERLINK("https://klasma.github.io/Logging_2080/klagomålsmail/A 36966-2022 FSC-klagomål mail.docx", "A 36966-2022")</f>
        <v/>
      </c>
      <c r="X489">
        <f>HYPERLINK("https://klasma.github.io/Logging_2080/tillsyn/A 36966-2022 tillsynsbegäran.docx", "A 36966-2022")</f>
        <v/>
      </c>
      <c r="Y489">
        <f>HYPERLINK("https://klasma.github.io/Logging_2080/tillsynsmail/A 36966-2022 tillsynsbegäran mail.docx", "A 36966-2022")</f>
        <v/>
      </c>
    </row>
    <row r="490" ht="15" customHeight="1">
      <c r="A490" t="inlineStr">
        <is>
          <t>A 53145-2023</t>
        </is>
      </c>
      <c r="B490" s="1" t="n">
        <v>45229</v>
      </c>
      <c r="C490" s="1" t="n">
        <v>46114</v>
      </c>
      <c r="D490" t="inlineStr">
        <is>
          <t>DALARNAS LÄN</t>
        </is>
      </c>
      <c r="E490" t="inlineStr">
        <is>
          <t>BORLÄNGE</t>
        </is>
      </c>
      <c r="F490" t="inlineStr">
        <is>
          <t>Kommuner</t>
        </is>
      </c>
      <c r="G490" t="n">
        <v>3.5</v>
      </c>
      <c r="H490" t="n">
        <v>3</v>
      </c>
      <c r="I490" t="n">
        <v>0</v>
      </c>
      <c r="J490" t="n">
        <v>2</v>
      </c>
      <c r="K490" t="n">
        <v>0</v>
      </c>
      <c r="L490" t="n">
        <v>0</v>
      </c>
      <c r="M490" t="n">
        <v>0</v>
      </c>
      <c r="N490" t="n">
        <v>0</v>
      </c>
      <c r="O490" t="n">
        <v>2</v>
      </c>
      <c r="P490" t="n">
        <v>0</v>
      </c>
      <c r="Q490" t="n">
        <v>3</v>
      </c>
      <c r="R490" s="2" t="inlineStr">
        <is>
          <t>Spillkråka
Talltita
Kungsfågel</t>
        </is>
      </c>
      <c r="S490">
        <f>HYPERLINK("https://klasma.github.io/Logging_2081/artfynd/A 53145-2023 artfynd.xlsx", "A 53145-2023")</f>
        <v/>
      </c>
      <c r="T490">
        <f>HYPERLINK("https://klasma.github.io/Logging_2081/kartor/A 53145-2023 karta.png", "A 53145-2023")</f>
        <v/>
      </c>
      <c r="V490">
        <f>HYPERLINK("https://klasma.github.io/Logging_2081/klagomål/A 53145-2023 FSC-klagomål.docx", "A 53145-2023")</f>
        <v/>
      </c>
      <c r="W490">
        <f>HYPERLINK("https://klasma.github.io/Logging_2081/klagomålsmail/A 53145-2023 FSC-klagomål mail.docx", "A 53145-2023")</f>
        <v/>
      </c>
      <c r="X490">
        <f>HYPERLINK("https://klasma.github.io/Logging_2081/tillsyn/A 53145-2023 tillsynsbegäran.docx", "A 53145-2023")</f>
        <v/>
      </c>
      <c r="Y490">
        <f>HYPERLINK("https://klasma.github.io/Logging_2081/tillsynsmail/A 53145-2023 tillsynsbegäran mail.docx", "A 53145-2023")</f>
        <v/>
      </c>
      <c r="Z490">
        <f>HYPERLINK("https://klasma.github.io/Logging_2081/fåglar/A 53145-2023 prioriterade fågelarter.docx", "A 53145-2023")</f>
        <v/>
      </c>
    </row>
    <row r="491" ht="15" customHeight="1">
      <c r="A491" t="inlineStr">
        <is>
          <t>A 16725-2024</t>
        </is>
      </c>
      <c r="B491" s="1" t="n">
        <v>45409.75594907408</v>
      </c>
      <c r="C491" s="1" t="n">
        <v>46114</v>
      </c>
      <c r="D491" t="inlineStr">
        <is>
          <t>DALARNAS LÄN</t>
        </is>
      </c>
      <c r="E491" t="inlineStr">
        <is>
          <t>VANSBRO</t>
        </is>
      </c>
      <c r="G491" t="n">
        <v>3.1</v>
      </c>
      <c r="H491" t="n">
        <v>0</v>
      </c>
      <c r="I491" t="n">
        <v>2</v>
      </c>
      <c r="J491" t="n">
        <v>1</v>
      </c>
      <c r="K491" t="n">
        <v>0</v>
      </c>
      <c r="L491" t="n">
        <v>0</v>
      </c>
      <c r="M491" t="n">
        <v>0</v>
      </c>
      <c r="N491" t="n">
        <v>0</v>
      </c>
      <c r="O491" t="n">
        <v>1</v>
      </c>
      <c r="P491" t="n">
        <v>0</v>
      </c>
      <c r="Q491" t="n">
        <v>3</v>
      </c>
      <c r="R491" s="2" t="inlineStr">
        <is>
          <t>Svart taggsvamp agg.
Bollvitmossa
Skuggblåslav</t>
        </is>
      </c>
      <c r="S491">
        <f>HYPERLINK("https://klasma.github.io/Logging_2021/artfynd/A 16725-2024 artfynd.xlsx", "A 16725-2024")</f>
        <v/>
      </c>
      <c r="T491">
        <f>HYPERLINK("https://klasma.github.io/Logging_2021/kartor/A 16725-2024 karta.png", "A 16725-2024")</f>
        <v/>
      </c>
      <c r="V491">
        <f>HYPERLINK("https://klasma.github.io/Logging_2021/klagomål/A 16725-2024 FSC-klagomål.docx", "A 16725-2024")</f>
        <v/>
      </c>
      <c r="W491">
        <f>HYPERLINK("https://klasma.github.io/Logging_2021/klagomålsmail/A 16725-2024 FSC-klagomål mail.docx", "A 16725-2024")</f>
        <v/>
      </c>
      <c r="X491">
        <f>HYPERLINK("https://klasma.github.io/Logging_2021/tillsyn/A 16725-2024 tillsynsbegäran.docx", "A 16725-2024")</f>
        <v/>
      </c>
      <c r="Y491">
        <f>HYPERLINK("https://klasma.github.io/Logging_2021/tillsynsmail/A 16725-2024 tillsynsbegäran mail.docx", "A 16725-2024")</f>
        <v/>
      </c>
    </row>
    <row r="492" ht="15" customHeight="1">
      <c r="A492" t="inlineStr">
        <is>
          <t>A 16774-2025</t>
        </is>
      </c>
      <c r="B492" s="1" t="n">
        <v>45754.58225694444</v>
      </c>
      <c r="C492" s="1" t="n">
        <v>46114</v>
      </c>
      <c r="D492" t="inlineStr">
        <is>
          <t>DALARNAS LÄN</t>
        </is>
      </c>
      <c r="E492" t="inlineStr">
        <is>
          <t>MALUNG-SÄLEN</t>
        </is>
      </c>
      <c r="G492" t="n">
        <v>2.7</v>
      </c>
      <c r="H492" t="n">
        <v>0</v>
      </c>
      <c r="I492" t="n">
        <v>1</v>
      </c>
      <c r="J492" t="n">
        <v>2</v>
      </c>
      <c r="K492" t="n">
        <v>0</v>
      </c>
      <c r="L492" t="n">
        <v>0</v>
      </c>
      <c r="M492" t="n">
        <v>0</v>
      </c>
      <c r="N492" t="n">
        <v>0</v>
      </c>
      <c r="O492" t="n">
        <v>2</v>
      </c>
      <c r="P492" t="n">
        <v>0</v>
      </c>
      <c r="Q492" t="n">
        <v>3</v>
      </c>
      <c r="R492" s="2" t="inlineStr">
        <is>
          <t>Gammelgransskål
Garnlav
Kattfotslav</t>
        </is>
      </c>
      <c r="S492">
        <f>HYPERLINK("https://klasma.github.io/Logging_2023/artfynd/A 16774-2025 artfynd.xlsx", "A 16774-2025")</f>
        <v/>
      </c>
      <c r="T492">
        <f>HYPERLINK("https://klasma.github.io/Logging_2023/kartor/A 16774-2025 karta.png", "A 16774-2025")</f>
        <v/>
      </c>
      <c r="V492">
        <f>HYPERLINK("https://klasma.github.io/Logging_2023/klagomål/A 16774-2025 FSC-klagomål.docx", "A 16774-2025")</f>
        <v/>
      </c>
      <c r="W492">
        <f>HYPERLINK("https://klasma.github.io/Logging_2023/klagomålsmail/A 16774-2025 FSC-klagomål mail.docx", "A 16774-2025")</f>
        <v/>
      </c>
      <c r="X492">
        <f>HYPERLINK("https://klasma.github.io/Logging_2023/tillsyn/A 16774-2025 tillsynsbegäran.docx", "A 16774-2025")</f>
        <v/>
      </c>
      <c r="Y492">
        <f>HYPERLINK("https://klasma.github.io/Logging_2023/tillsynsmail/A 16774-2025 tillsynsbegäran mail.docx", "A 16774-2025")</f>
        <v/>
      </c>
    </row>
    <row r="493" ht="15" customHeight="1">
      <c r="A493" t="inlineStr">
        <is>
          <t>A 35141-2023</t>
        </is>
      </c>
      <c r="B493" s="1" t="n">
        <v>45145</v>
      </c>
      <c r="C493" s="1" t="n">
        <v>46114</v>
      </c>
      <c r="D493" t="inlineStr">
        <is>
          <t>DALARNAS LÄN</t>
        </is>
      </c>
      <c r="E493" t="inlineStr">
        <is>
          <t>ÄLVDALEN</t>
        </is>
      </c>
      <c r="F493" t="inlineStr">
        <is>
          <t>Sveaskog</t>
        </is>
      </c>
      <c r="G493" t="n">
        <v>1.8</v>
      </c>
      <c r="H493" t="n">
        <v>1</v>
      </c>
      <c r="I493" t="n">
        <v>0</v>
      </c>
      <c r="J493" t="n">
        <v>3</v>
      </c>
      <c r="K493" t="n">
        <v>0</v>
      </c>
      <c r="L493" t="n">
        <v>0</v>
      </c>
      <c r="M493" t="n">
        <v>0</v>
      </c>
      <c r="N493" t="n">
        <v>0</v>
      </c>
      <c r="O493" t="n">
        <v>3</v>
      </c>
      <c r="P493" t="n">
        <v>0</v>
      </c>
      <c r="Q493" t="n">
        <v>3</v>
      </c>
      <c r="R493" s="2" t="inlineStr">
        <is>
          <t>Garnlav
Kolflarnlav
Varglav</t>
        </is>
      </c>
      <c r="S493">
        <f>HYPERLINK("https://klasma.github.io/Logging_2039/artfynd/A 35141-2023 artfynd.xlsx", "A 35141-2023")</f>
        <v/>
      </c>
      <c r="T493">
        <f>HYPERLINK("https://klasma.github.io/Logging_2039/kartor/A 35141-2023 karta.png", "A 35141-2023")</f>
        <v/>
      </c>
      <c r="V493">
        <f>HYPERLINK("https://klasma.github.io/Logging_2039/klagomål/A 35141-2023 FSC-klagomål.docx", "A 35141-2023")</f>
        <v/>
      </c>
      <c r="W493">
        <f>HYPERLINK("https://klasma.github.io/Logging_2039/klagomålsmail/A 35141-2023 FSC-klagomål mail.docx", "A 35141-2023")</f>
        <v/>
      </c>
      <c r="X493">
        <f>HYPERLINK("https://klasma.github.io/Logging_2039/tillsyn/A 35141-2023 tillsynsbegäran.docx", "A 35141-2023")</f>
        <v/>
      </c>
      <c r="Y493">
        <f>HYPERLINK("https://klasma.github.io/Logging_2039/tillsynsmail/A 35141-2023 tillsynsbegäran mail.docx", "A 35141-2023")</f>
        <v/>
      </c>
    </row>
    <row r="494" ht="15" customHeight="1">
      <c r="A494" t="inlineStr">
        <is>
          <t>A 10713-2025</t>
        </is>
      </c>
      <c r="B494" s="1" t="n">
        <v>45722.35415509259</v>
      </c>
      <c r="C494" s="1" t="n">
        <v>46114</v>
      </c>
      <c r="D494" t="inlineStr">
        <is>
          <t>DALARNAS LÄN</t>
        </is>
      </c>
      <c r="E494" t="inlineStr">
        <is>
          <t>SMEDJEBACKEN</t>
        </is>
      </c>
      <c r="F494" t="inlineStr">
        <is>
          <t>Övriga Aktiebolag</t>
        </is>
      </c>
      <c r="G494" t="n">
        <v>0.7</v>
      </c>
      <c r="H494" t="n">
        <v>1</v>
      </c>
      <c r="I494" t="n">
        <v>1</v>
      </c>
      <c r="J494" t="n">
        <v>1</v>
      </c>
      <c r="K494" t="n">
        <v>1</v>
      </c>
      <c r="L494" t="n">
        <v>0</v>
      </c>
      <c r="M494" t="n">
        <v>0</v>
      </c>
      <c r="N494" t="n">
        <v>0</v>
      </c>
      <c r="O494" t="n">
        <v>2</v>
      </c>
      <c r="P494" t="n">
        <v>1</v>
      </c>
      <c r="Q494" t="n">
        <v>3</v>
      </c>
      <c r="R494" s="2" t="inlineStr">
        <is>
          <t>Rynkskinn
Talltita
Bronshjon</t>
        </is>
      </c>
      <c r="S494">
        <f>HYPERLINK("https://klasma.github.io/Logging_2061/artfynd/A 10713-2025 artfynd.xlsx", "A 10713-2025")</f>
        <v/>
      </c>
      <c r="T494">
        <f>HYPERLINK("https://klasma.github.io/Logging_2061/kartor/A 10713-2025 karta.png", "A 10713-2025")</f>
        <v/>
      </c>
      <c r="V494">
        <f>HYPERLINK("https://klasma.github.io/Logging_2061/klagomål/A 10713-2025 FSC-klagomål.docx", "A 10713-2025")</f>
        <v/>
      </c>
      <c r="W494">
        <f>HYPERLINK("https://klasma.github.io/Logging_2061/klagomålsmail/A 10713-2025 FSC-klagomål mail.docx", "A 10713-2025")</f>
        <v/>
      </c>
      <c r="X494">
        <f>HYPERLINK("https://klasma.github.io/Logging_2061/tillsyn/A 10713-2025 tillsynsbegäran.docx", "A 10713-2025")</f>
        <v/>
      </c>
      <c r="Y494">
        <f>HYPERLINK("https://klasma.github.io/Logging_2061/tillsynsmail/A 10713-2025 tillsynsbegäran mail.docx", "A 10713-2025")</f>
        <v/>
      </c>
      <c r="Z494">
        <f>HYPERLINK("https://klasma.github.io/Logging_2061/fåglar/A 10713-2025 prioriterade fågelarter.docx", "A 10713-2025")</f>
        <v/>
      </c>
    </row>
    <row r="495" ht="15" customHeight="1">
      <c r="A495" t="inlineStr">
        <is>
          <t>A 46316-2021</t>
        </is>
      </c>
      <c r="B495" s="1" t="n">
        <v>44442</v>
      </c>
      <c r="C495" s="1" t="n">
        <v>46114</v>
      </c>
      <c r="D495" t="inlineStr">
        <is>
          <t>DALARNAS LÄN</t>
        </is>
      </c>
      <c r="E495" t="inlineStr">
        <is>
          <t>VANSBRO</t>
        </is>
      </c>
      <c r="G495" t="n">
        <v>1.4</v>
      </c>
      <c r="H495" t="n">
        <v>0</v>
      </c>
      <c r="I495" t="n">
        <v>1</v>
      </c>
      <c r="J495" t="n">
        <v>2</v>
      </c>
      <c r="K495" t="n">
        <v>0</v>
      </c>
      <c r="L495" t="n">
        <v>0</v>
      </c>
      <c r="M495" t="n">
        <v>0</v>
      </c>
      <c r="N495" t="n">
        <v>0</v>
      </c>
      <c r="O495" t="n">
        <v>2</v>
      </c>
      <c r="P495" t="n">
        <v>0</v>
      </c>
      <c r="Q495" t="n">
        <v>3</v>
      </c>
      <c r="R495" s="2" t="inlineStr">
        <is>
          <t>Garnlav
Mjölig dropplav
Kattfotslav</t>
        </is>
      </c>
      <c r="S495">
        <f>HYPERLINK("https://klasma.github.io/Logging_2021/artfynd/A 46316-2021 artfynd.xlsx", "A 46316-2021")</f>
        <v/>
      </c>
      <c r="T495">
        <f>HYPERLINK("https://klasma.github.io/Logging_2021/kartor/A 46316-2021 karta.png", "A 46316-2021")</f>
        <v/>
      </c>
      <c r="V495">
        <f>HYPERLINK("https://klasma.github.io/Logging_2021/klagomål/A 46316-2021 FSC-klagomål.docx", "A 46316-2021")</f>
        <v/>
      </c>
      <c r="W495">
        <f>HYPERLINK("https://klasma.github.io/Logging_2021/klagomålsmail/A 46316-2021 FSC-klagomål mail.docx", "A 46316-2021")</f>
        <v/>
      </c>
      <c r="X495">
        <f>HYPERLINK("https://klasma.github.io/Logging_2021/tillsyn/A 46316-2021 tillsynsbegäran.docx", "A 46316-2021")</f>
        <v/>
      </c>
      <c r="Y495">
        <f>HYPERLINK("https://klasma.github.io/Logging_2021/tillsynsmail/A 46316-2021 tillsynsbegäran mail.docx", "A 46316-2021")</f>
        <v/>
      </c>
    </row>
    <row r="496" ht="15" customHeight="1">
      <c r="A496" t="inlineStr">
        <is>
          <t>A 18839-2024</t>
        </is>
      </c>
      <c r="B496" s="1" t="n">
        <v>45426</v>
      </c>
      <c r="C496" s="1" t="n">
        <v>46114</v>
      </c>
      <c r="D496" t="inlineStr">
        <is>
          <t>DALARNAS LÄN</t>
        </is>
      </c>
      <c r="E496" t="inlineStr">
        <is>
          <t>ÄLVDALEN</t>
        </is>
      </c>
      <c r="F496" t="inlineStr">
        <is>
          <t>Sveaskog</t>
        </is>
      </c>
      <c r="G496" t="n">
        <v>1.3</v>
      </c>
      <c r="H496" t="n">
        <v>0</v>
      </c>
      <c r="I496" t="n">
        <v>1</v>
      </c>
      <c r="J496" t="n">
        <v>2</v>
      </c>
      <c r="K496" t="n">
        <v>0</v>
      </c>
      <c r="L496" t="n">
        <v>0</v>
      </c>
      <c r="M496" t="n">
        <v>0</v>
      </c>
      <c r="N496" t="n">
        <v>0</v>
      </c>
      <c r="O496" t="n">
        <v>2</v>
      </c>
      <c r="P496" t="n">
        <v>0</v>
      </c>
      <c r="Q496" t="n">
        <v>3</v>
      </c>
      <c r="R496" s="2" t="inlineStr">
        <is>
          <t>Kolflarnlav
Vedflamlav
Dropptaggsvamp</t>
        </is>
      </c>
      <c r="S496">
        <f>HYPERLINK("https://klasma.github.io/Logging_2039/artfynd/A 18839-2024 artfynd.xlsx", "A 18839-2024")</f>
        <v/>
      </c>
      <c r="T496">
        <f>HYPERLINK("https://klasma.github.io/Logging_2039/kartor/A 18839-2024 karta.png", "A 18839-2024")</f>
        <v/>
      </c>
      <c r="V496">
        <f>HYPERLINK("https://klasma.github.io/Logging_2039/klagomål/A 18839-2024 FSC-klagomål.docx", "A 18839-2024")</f>
        <v/>
      </c>
      <c r="W496">
        <f>HYPERLINK("https://klasma.github.io/Logging_2039/klagomålsmail/A 18839-2024 FSC-klagomål mail.docx", "A 18839-2024")</f>
        <v/>
      </c>
      <c r="X496">
        <f>HYPERLINK("https://klasma.github.io/Logging_2039/tillsyn/A 18839-2024 tillsynsbegäran.docx", "A 18839-2024")</f>
        <v/>
      </c>
      <c r="Y496">
        <f>HYPERLINK("https://klasma.github.io/Logging_2039/tillsynsmail/A 18839-2024 tillsynsbegäran mail.docx", "A 18839-2024")</f>
        <v/>
      </c>
    </row>
    <row r="497" ht="15" customHeight="1">
      <c r="A497" t="inlineStr">
        <is>
          <t>A 33005-2025</t>
        </is>
      </c>
      <c r="B497" s="1" t="n">
        <v>45840</v>
      </c>
      <c r="C497" s="1" t="n">
        <v>46114</v>
      </c>
      <c r="D497" t="inlineStr">
        <is>
          <t>DALARNAS LÄN</t>
        </is>
      </c>
      <c r="E497" t="inlineStr">
        <is>
          <t>VANSBRO</t>
        </is>
      </c>
      <c r="G497" t="n">
        <v>5.5</v>
      </c>
      <c r="H497" t="n">
        <v>2</v>
      </c>
      <c r="I497" t="n">
        <v>0</v>
      </c>
      <c r="J497" t="n">
        <v>2</v>
      </c>
      <c r="K497" t="n">
        <v>1</v>
      </c>
      <c r="L497" t="n">
        <v>0</v>
      </c>
      <c r="M497" t="n">
        <v>0</v>
      </c>
      <c r="N497" t="n">
        <v>0</v>
      </c>
      <c r="O497" t="n">
        <v>3</v>
      </c>
      <c r="P497" t="n">
        <v>1</v>
      </c>
      <c r="Q497" t="n">
        <v>3</v>
      </c>
      <c r="R497" s="2" t="inlineStr">
        <is>
          <t>Knärot
Kolflarnlav
Tretåig hackspett</t>
        </is>
      </c>
      <c r="S497">
        <f>HYPERLINK("https://klasma.github.io/Logging_2021/artfynd/A 33005-2025 artfynd.xlsx", "A 33005-2025")</f>
        <v/>
      </c>
      <c r="T497">
        <f>HYPERLINK("https://klasma.github.io/Logging_2021/kartor/A 33005-2025 karta.png", "A 33005-2025")</f>
        <v/>
      </c>
      <c r="U497">
        <f>HYPERLINK("https://klasma.github.io/Logging_2021/knärot/A 33005-2025 karta knärot.png", "A 33005-2025")</f>
        <v/>
      </c>
      <c r="V497">
        <f>HYPERLINK("https://klasma.github.io/Logging_2021/klagomål/A 33005-2025 FSC-klagomål.docx", "A 33005-2025")</f>
        <v/>
      </c>
      <c r="W497">
        <f>HYPERLINK("https://klasma.github.io/Logging_2021/klagomålsmail/A 33005-2025 FSC-klagomål mail.docx", "A 33005-2025")</f>
        <v/>
      </c>
      <c r="X497">
        <f>HYPERLINK("https://klasma.github.io/Logging_2021/tillsyn/A 33005-2025 tillsynsbegäran.docx", "A 33005-2025")</f>
        <v/>
      </c>
      <c r="Y497">
        <f>HYPERLINK("https://klasma.github.io/Logging_2021/tillsynsmail/A 33005-2025 tillsynsbegäran mail.docx", "A 33005-2025")</f>
        <v/>
      </c>
      <c r="Z497">
        <f>HYPERLINK("https://klasma.github.io/Logging_2021/fåglar/A 33005-2025 prioriterade fågelarter.docx", "A 33005-2025")</f>
        <v/>
      </c>
    </row>
    <row r="498" ht="15" customHeight="1">
      <c r="A498" t="inlineStr">
        <is>
          <t>A 33645-2025</t>
        </is>
      </c>
      <c r="B498" s="1" t="n">
        <v>45841.65282407407</v>
      </c>
      <c r="C498" s="1" t="n">
        <v>46114</v>
      </c>
      <c r="D498" t="inlineStr">
        <is>
          <t>DALARNAS LÄN</t>
        </is>
      </c>
      <c r="E498" t="inlineStr">
        <is>
          <t>ÄLVDALEN</t>
        </is>
      </c>
      <c r="F498" t="inlineStr">
        <is>
          <t>Sveaskog</t>
        </is>
      </c>
      <c r="G498" t="n">
        <v>1.6</v>
      </c>
      <c r="H498" t="n">
        <v>0</v>
      </c>
      <c r="I498" t="n">
        <v>0</v>
      </c>
      <c r="J498" t="n">
        <v>3</v>
      </c>
      <c r="K498" t="n">
        <v>0</v>
      </c>
      <c r="L498" t="n">
        <v>0</v>
      </c>
      <c r="M498" t="n">
        <v>0</v>
      </c>
      <c r="N498" t="n">
        <v>0</v>
      </c>
      <c r="O498" t="n">
        <v>3</v>
      </c>
      <c r="P498" t="n">
        <v>0</v>
      </c>
      <c r="Q498" t="n">
        <v>3</v>
      </c>
      <c r="R498" s="2" t="inlineStr">
        <is>
          <t>Dvärgbägarlav
Kolflarnlav
Vedflamlav</t>
        </is>
      </c>
      <c r="S498">
        <f>HYPERLINK("https://klasma.github.io/Logging_2039/artfynd/A 33645-2025 artfynd.xlsx", "A 33645-2025")</f>
        <v/>
      </c>
      <c r="T498">
        <f>HYPERLINK("https://klasma.github.io/Logging_2039/kartor/A 33645-2025 karta.png", "A 33645-2025")</f>
        <v/>
      </c>
      <c r="V498">
        <f>HYPERLINK("https://klasma.github.io/Logging_2039/klagomål/A 33645-2025 FSC-klagomål.docx", "A 33645-2025")</f>
        <v/>
      </c>
      <c r="W498">
        <f>HYPERLINK("https://klasma.github.io/Logging_2039/klagomålsmail/A 33645-2025 FSC-klagomål mail.docx", "A 33645-2025")</f>
        <v/>
      </c>
      <c r="X498">
        <f>HYPERLINK("https://klasma.github.io/Logging_2039/tillsyn/A 33645-2025 tillsynsbegäran.docx", "A 33645-2025")</f>
        <v/>
      </c>
      <c r="Y498">
        <f>HYPERLINK("https://klasma.github.io/Logging_2039/tillsynsmail/A 33645-2025 tillsynsbegäran mail.docx", "A 33645-2025")</f>
        <v/>
      </c>
    </row>
    <row r="499" ht="15" customHeight="1">
      <c r="A499" t="inlineStr">
        <is>
          <t>A 56419-2023</t>
        </is>
      </c>
      <c r="B499" s="1" t="n">
        <v>45236</v>
      </c>
      <c r="C499" s="1" t="n">
        <v>46114</v>
      </c>
      <c r="D499" t="inlineStr">
        <is>
          <t>DALARNAS LÄN</t>
        </is>
      </c>
      <c r="E499" t="inlineStr">
        <is>
          <t>MALUNG-SÄLEN</t>
        </is>
      </c>
      <c r="G499" t="n">
        <v>2.1</v>
      </c>
      <c r="H499" t="n">
        <v>1</v>
      </c>
      <c r="I499" t="n">
        <v>0</v>
      </c>
      <c r="J499" t="n">
        <v>2</v>
      </c>
      <c r="K499" t="n">
        <v>1</v>
      </c>
      <c r="L499" t="n">
        <v>0</v>
      </c>
      <c r="M499" t="n">
        <v>0</v>
      </c>
      <c r="N499" t="n">
        <v>0</v>
      </c>
      <c r="O499" t="n">
        <v>3</v>
      </c>
      <c r="P499" t="n">
        <v>1</v>
      </c>
      <c r="Q499" t="n">
        <v>3</v>
      </c>
      <c r="R499" s="2" t="inlineStr">
        <is>
          <t>Knärot
Garnlav
Rosenticka</t>
        </is>
      </c>
      <c r="S499">
        <f>HYPERLINK("https://klasma.github.io/Logging_2023/artfynd/A 56419-2023 artfynd.xlsx", "A 56419-2023")</f>
        <v/>
      </c>
      <c r="T499">
        <f>HYPERLINK("https://klasma.github.io/Logging_2023/kartor/A 56419-2023 karta.png", "A 56419-2023")</f>
        <v/>
      </c>
      <c r="U499">
        <f>HYPERLINK("https://klasma.github.io/Logging_2023/knärot/A 56419-2023 karta knärot.png", "A 56419-2023")</f>
        <v/>
      </c>
      <c r="V499">
        <f>HYPERLINK("https://klasma.github.io/Logging_2023/klagomål/A 56419-2023 FSC-klagomål.docx", "A 56419-2023")</f>
        <v/>
      </c>
      <c r="W499">
        <f>HYPERLINK("https://klasma.github.io/Logging_2023/klagomålsmail/A 56419-2023 FSC-klagomål mail.docx", "A 56419-2023")</f>
        <v/>
      </c>
      <c r="X499">
        <f>HYPERLINK("https://klasma.github.io/Logging_2023/tillsyn/A 56419-2023 tillsynsbegäran.docx", "A 56419-2023")</f>
        <v/>
      </c>
      <c r="Y499">
        <f>HYPERLINK("https://klasma.github.io/Logging_2023/tillsynsmail/A 56419-2023 tillsynsbegäran mail.docx", "A 56419-2023")</f>
        <v/>
      </c>
    </row>
    <row r="500" ht="15" customHeight="1">
      <c r="A500" t="inlineStr">
        <is>
          <t>A 41909-2022</t>
        </is>
      </c>
      <c r="B500" s="1" t="n">
        <v>44830</v>
      </c>
      <c r="C500" s="1" t="n">
        <v>46114</v>
      </c>
      <c r="D500" t="inlineStr">
        <is>
          <t>DALARNAS LÄN</t>
        </is>
      </c>
      <c r="E500" t="inlineStr">
        <is>
          <t>ÄLVDALEN</t>
        </is>
      </c>
      <c r="F500" t="inlineStr">
        <is>
          <t>Sveaskog</t>
        </is>
      </c>
      <c r="G500" t="n">
        <v>3.5</v>
      </c>
      <c r="H500" t="n">
        <v>1</v>
      </c>
      <c r="I500" t="n">
        <v>0</v>
      </c>
      <c r="J500" t="n">
        <v>2</v>
      </c>
      <c r="K500" t="n">
        <v>1</v>
      </c>
      <c r="L500" t="n">
        <v>0</v>
      </c>
      <c r="M500" t="n">
        <v>0</v>
      </c>
      <c r="N500" t="n">
        <v>0</v>
      </c>
      <c r="O500" t="n">
        <v>3</v>
      </c>
      <c r="P500" t="n">
        <v>1</v>
      </c>
      <c r="Q500" t="n">
        <v>3</v>
      </c>
      <c r="R500" s="2" t="inlineStr">
        <is>
          <t>Tajgataggsvamp
Blanksvart spiklav
Talltita</t>
        </is>
      </c>
      <c r="S500">
        <f>HYPERLINK("https://klasma.github.io/Logging_2039/artfynd/A 41909-2022 artfynd.xlsx", "A 41909-2022")</f>
        <v/>
      </c>
      <c r="T500">
        <f>HYPERLINK("https://klasma.github.io/Logging_2039/kartor/A 41909-2022 karta.png", "A 41909-2022")</f>
        <v/>
      </c>
      <c r="V500">
        <f>HYPERLINK("https://klasma.github.io/Logging_2039/klagomål/A 41909-2022 FSC-klagomål.docx", "A 41909-2022")</f>
        <v/>
      </c>
      <c r="W500">
        <f>HYPERLINK("https://klasma.github.io/Logging_2039/klagomålsmail/A 41909-2022 FSC-klagomål mail.docx", "A 41909-2022")</f>
        <v/>
      </c>
      <c r="X500">
        <f>HYPERLINK("https://klasma.github.io/Logging_2039/tillsyn/A 41909-2022 tillsynsbegäran.docx", "A 41909-2022")</f>
        <v/>
      </c>
      <c r="Y500">
        <f>HYPERLINK("https://klasma.github.io/Logging_2039/tillsynsmail/A 41909-2022 tillsynsbegäran mail.docx", "A 41909-2022")</f>
        <v/>
      </c>
      <c r="Z500">
        <f>HYPERLINK("https://klasma.github.io/Logging_2039/fåglar/A 41909-2022 prioriterade fågelarter.docx", "A 41909-2022")</f>
        <v/>
      </c>
    </row>
    <row r="501" ht="15" customHeight="1">
      <c r="A501" t="inlineStr">
        <is>
          <t>A 39481-2025</t>
        </is>
      </c>
      <c r="B501" s="1" t="n">
        <v>45890.35545138889</v>
      </c>
      <c r="C501" s="1" t="n">
        <v>46114</v>
      </c>
      <c r="D501" t="inlineStr">
        <is>
          <t>DALARNAS LÄN</t>
        </is>
      </c>
      <c r="E501" t="inlineStr">
        <is>
          <t>MORA</t>
        </is>
      </c>
      <c r="G501" t="n">
        <v>0.6</v>
      </c>
      <c r="H501" t="n">
        <v>1</v>
      </c>
      <c r="I501" t="n">
        <v>0</v>
      </c>
      <c r="J501" t="n">
        <v>3</v>
      </c>
      <c r="K501" t="n">
        <v>0</v>
      </c>
      <c r="L501" t="n">
        <v>0</v>
      </c>
      <c r="M501" t="n">
        <v>0</v>
      </c>
      <c r="N501" t="n">
        <v>0</v>
      </c>
      <c r="O501" t="n">
        <v>3</v>
      </c>
      <c r="P501" t="n">
        <v>0</v>
      </c>
      <c r="Q501" t="n">
        <v>3</v>
      </c>
      <c r="R501" s="2" t="inlineStr">
        <is>
          <t>Garnlav
Tretåig hackspett
Vedskivlav</t>
        </is>
      </c>
      <c r="S501">
        <f>HYPERLINK("https://klasma.github.io/Logging_2062/artfynd/A 39481-2025 artfynd.xlsx", "A 39481-2025")</f>
        <v/>
      </c>
      <c r="T501">
        <f>HYPERLINK("https://klasma.github.io/Logging_2062/kartor/A 39481-2025 karta.png", "A 39481-2025")</f>
        <v/>
      </c>
      <c r="V501">
        <f>HYPERLINK("https://klasma.github.io/Logging_2062/klagomål/A 39481-2025 FSC-klagomål.docx", "A 39481-2025")</f>
        <v/>
      </c>
      <c r="W501">
        <f>HYPERLINK("https://klasma.github.io/Logging_2062/klagomålsmail/A 39481-2025 FSC-klagomål mail.docx", "A 39481-2025")</f>
        <v/>
      </c>
      <c r="X501">
        <f>HYPERLINK("https://klasma.github.io/Logging_2062/tillsyn/A 39481-2025 tillsynsbegäran.docx", "A 39481-2025")</f>
        <v/>
      </c>
      <c r="Y501">
        <f>HYPERLINK("https://klasma.github.io/Logging_2062/tillsynsmail/A 39481-2025 tillsynsbegäran mail.docx", "A 39481-2025")</f>
        <v/>
      </c>
      <c r="Z501">
        <f>HYPERLINK("https://klasma.github.io/Logging_2062/fåglar/A 39481-2025 prioriterade fågelarter.docx", "A 39481-2025")</f>
        <v/>
      </c>
    </row>
    <row r="502" ht="15" customHeight="1">
      <c r="A502" t="inlineStr">
        <is>
          <t>A 35787-2025</t>
        </is>
      </c>
      <c r="B502" s="1" t="n">
        <v>45861.33072916666</v>
      </c>
      <c r="C502" s="1" t="n">
        <v>46114</v>
      </c>
      <c r="D502" t="inlineStr">
        <is>
          <t>DALARNAS LÄN</t>
        </is>
      </c>
      <c r="E502" t="inlineStr">
        <is>
          <t>BORLÄNGE</t>
        </is>
      </c>
      <c r="F502" t="inlineStr">
        <is>
          <t>Bergvik skog väst AB</t>
        </is>
      </c>
      <c r="G502" t="n">
        <v>6.7</v>
      </c>
      <c r="H502" t="n">
        <v>1</v>
      </c>
      <c r="I502" t="n">
        <v>1</v>
      </c>
      <c r="J502" t="n">
        <v>2</v>
      </c>
      <c r="K502" t="n">
        <v>0</v>
      </c>
      <c r="L502" t="n">
        <v>0</v>
      </c>
      <c r="M502" t="n">
        <v>0</v>
      </c>
      <c r="N502" t="n">
        <v>0</v>
      </c>
      <c r="O502" t="n">
        <v>2</v>
      </c>
      <c r="P502" t="n">
        <v>0</v>
      </c>
      <c r="Q502" t="n">
        <v>3</v>
      </c>
      <c r="R502" s="2" t="inlineStr">
        <is>
          <t>Garnlav
Spillkråka
Bronshjon</t>
        </is>
      </c>
      <c r="S502">
        <f>HYPERLINK("https://klasma.github.io/Logging_2081/artfynd/A 35787-2025 artfynd.xlsx", "A 35787-2025")</f>
        <v/>
      </c>
      <c r="T502">
        <f>HYPERLINK("https://klasma.github.io/Logging_2081/kartor/A 35787-2025 karta.png", "A 35787-2025")</f>
        <v/>
      </c>
      <c r="V502">
        <f>HYPERLINK("https://klasma.github.io/Logging_2081/klagomål/A 35787-2025 FSC-klagomål.docx", "A 35787-2025")</f>
        <v/>
      </c>
      <c r="W502">
        <f>HYPERLINK("https://klasma.github.io/Logging_2081/klagomålsmail/A 35787-2025 FSC-klagomål mail.docx", "A 35787-2025")</f>
        <v/>
      </c>
      <c r="X502">
        <f>HYPERLINK("https://klasma.github.io/Logging_2081/tillsyn/A 35787-2025 tillsynsbegäran.docx", "A 35787-2025")</f>
        <v/>
      </c>
      <c r="Y502">
        <f>HYPERLINK("https://klasma.github.io/Logging_2081/tillsynsmail/A 35787-2025 tillsynsbegäran mail.docx", "A 35787-2025")</f>
        <v/>
      </c>
      <c r="Z502">
        <f>HYPERLINK("https://klasma.github.io/Logging_2081/fåglar/A 35787-2025 prioriterade fågelarter.docx", "A 35787-2025")</f>
        <v/>
      </c>
    </row>
    <row r="503" ht="15" customHeight="1">
      <c r="A503" t="inlineStr">
        <is>
          <t>A 41528-2025</t>
        </is>
      </c>
      <c r="B503" s="1" t="n">
        <v>45901.55515046296</v>
      </c>
      <c r="C503" s="1" t="n">
        <v>46114</v>
      </c>
      <c r="D503" t="inlineStr">
        <is>
          <t>DALARNAS LÄN</t>
        </is>
      </c>
      <c r="E503" t="inlineStr">
        <is>
          <t>LEKSAND</t>
        </is>
      </c>
      <c r="F503" t="inlineStr">
        <is>
          <t>Bergvik skog väst AB</t>
        </is>
      </c>
      <c r="G503" t="n">
        <v>2.7</v>
      </c>
      <c r="H503" t="n">
        <v>1</v>
      </c>
      <c r="I503" t="n">
        <v>1</v>
      </c>
      <c r="J503" t="n">
        <v>2</v>
      </c>
      <c r="K503" t="n">
        <v>0</v>
      </c>
      <c r="L503" t="n">
        <v>0</v>
      </c>
      <c r="M503" t="n">
        <v>0</v>
      </c>
      <c r="N503" t="n">
        <v>0</v>
      </c>
      <c r="O503" t="n">
        <v>2</v>
      </c>
      <c r="P503" t="n">
        <v>0</v>
      </c>
      <c r="Q503" t="n">
        <v>3</v>
      </c>
      <c r="R503" s="2" t="inlineStr">
        <is>
          <t>Garnlav
Tretåig hackspett
Mindre märgborre</t>
        </is>
      </c>
      <c r="S503">
        <f>HYPERLINK("https://klasma.github.io/Logging_2029/artfynd/A 41528-2025 artfynd.xlsx", "A 41528-2025")</f>
        <v/>
      </c>
      <c r="T503">
        <f>HYPERLINK("https://klasma.github.io/Logging_2029/kartor/A 41528-2025 karta.png", "A 41528-2025")</f>
        <v/>
      </c>
      <c r="V503">
        <f>HYPERLINK("https://klasma.github.io/Logging_2029/klagomål/A 41528-2025 FSC-klagomål.docx", "A 41528-2025")</f>
        <v/>
      </c>
      <c r="W503">
        <f>HYPERLINK("https://klasma.github.io/Logging_2029/klagomålsmail/A 41528-2025 FSC-klagomål mail.docx", "A 41528-2025")</f>
        <v/>
      </c>
      <c r="X503">
        <f>HYPERLINK("https://klasma.github.io/Logging_2029/tillsyn/A 41528-2025 tillsynsbegäran.docx", "A 41528-2025")</f>
        <v/>
      </c>
      <c r="Y503">
        <f>HYPERLINK("https://klasma.github.io/Logging_2029/tillsynsmail/A 41528-2025 tillsynsbegäran mail.docx", "A 41528-2025")</f>
        <v/>
      </c>
      <c r="Z503">
        <f>HYPERLINK("https://klasma.github.io/Logging_2029/fåglar/A 41528-2025 prioriterade fågelarter.docx", "A 41528-2025")</f>
        <v/>
      </c>
    </row>
    <row r="504" ht="15" customHeight="1">
      <c r="A504" t="inlineStr">
        <is>
          <t>A 42099-2025</t>
        </is>
      </c>
      <c r="B504" s="1" t="n">
        <v>45903.76780092593</v>
      </c>
      <c r="C504" s="1" t="n">
        <v>46114</v>
      </c>
      <c r="D504" t="inlineStr">
        <is>
          <t>DALARNAS LÄN</t>
        </is>
      </c>
      <c r="E504" t="inlineStr">
        <is>
          <t>MALUNG-SÄLEN</t>
        </is>
      </c>
      <c r="G504" t="n">
        <v>3.7</v>
      </c>
      <c r="H504" t="n">
        <v>0</v>
      </c>
      <c r="I504" t="n">
        <v>0</v>
      </c>
      <c r="J504" t="n">
        <v>3</v>
      </c>
      <c r="K504" t="n">
        <v>0</v>
      </c>
      <c r="L504" t="n">
        <v>0</v>
      </c>
      <c r="M504" t="n">
        <v>0</v>
      </c>
      <c r="N504" t="n">
        <v>0</v>
      </c>
      <c r="O504" t="n">
        <v>3</v>
      </c>
      <c r="P504" t="n">
        <v>0</v>
      </c>
      <c r="Q504" t="n">
        <v>3</v>
      </c>
      <c r="R504" s="2" t="inlineStr">
        <is>
          <t>Garnlav
Kolflarnlav
Mörk kolflarnlav</t>
        </is>
      </c>
      <c r="S504">
        <f>HYPERLINK("https://klasma.github.io/Logging_2023/artfynd/A 42099-2025 artfynd.xlsx", "A 42099-2025")</f>
        <v/>
      </c>
      <c r="T504">
        <f>HYPERLINK("https://klasma.github.io/Logging_2023/kartor/A 42099-2025 karta.png", "A 42099-2025")</f>
        <v/>
      </c>
      <c r="V504">
        <f>HYPERLINK("https://klasma.github.io/Logging_2023/klagomål/A 42099-2025 FSC-klagomål.docx", "A 42099-2025")</f>
        <v/>
      </c>
      <c r="W504">
        <f>HYPERLINK("https://klasma.github.io/Logging_2023/klagomålsmail/A 42099-2025 FSC-klagomål mail.docx", "A 42099-2025")</f>
        <v/>
      </c>
      <c r="X504">
        <f>HYPERLINK("https://klasma.github.io/Logging_2023/tillsyn/A 42099-2025 tillsynsbegäran.docx", "A 42099-2025")</f>
        <v/>
      </c>
      <c r="Y504">
        <f>HYPERLINK("https://klasma.github.io/Logging_2023/tillsynsmail/A 42099-2025 tillsynsbegäran mail.docx", "A 42099-2025")</f>
        <v/>
      </c>
    </row>
    <row r="505" ht="15" customHeight="1">
      <c r="A505" t="inlineStr">
        <is>
          <t>A 32843-2024</t>
        </is>
      </c>
      <c r="B505" s="1" t="n">
        <v>45516</v>
      </c>
      <c r="C505" s="1" t="n">
        <v>46114</v>
      </c>
      <c r="D505" t="inlineStr">
        <is>
          <t>DALARNAS LÄN</t>
        </is>
      </c>
      <c r="E505" t="inlineStr">
        <is>
          <t>VANSBRO</t>
        </is>
      </c>
      <c r="G505" t="n">
        <v>0.6</v>
      </c>
      <c r="H505" t="n">
        <v>1</v>
      </c>
      <c r="I505" t="n">
        <v>1</v>
      </c>
      <c r="J505" t="n">
        <v>1</v>
      </c>
      <c r="K505" t="n">
        <v>1</v>
      </c>
      <c r="L505" t="n">
        <v>0</v>
      </c>
      <c r="M505" t="n">
        <v>0</v>
      </c>
      <c r="N505" t="n">
        <v>0</v>
      </c>
      <c r="O505" t="n">
        <v>2</v>
      </c>
      <c r="P505" t="n">
        <v>1</v>
      </c>
      <c r="Q505" t="n">
        <v>3</v>
      </c>
      <c r="R505" s="2" t="inlineStr">
        <is>
          <t>Knärot
Vedtrappmossa
Mindre märgborre</t>
        </is>
      </c>
      <c r="S505">
        <f>HYPERLINK("https://klasma.github.io/Logging_2021/artfynd/A 32843-2024 artfynd.xlsx", "A 32843-2024")</f>
        <v/>
      </c>
      <c r="T505">
        <f>HYPERLINK("https://klasma.github.io/Logging_2021/kartor/A 32843-2024 karta.png", "A 32843-2024")</f>
        <v/>
      </c>
      <c r="U505">
        <f>HYPERLINK("https://klasma.github.io/Logging_2021/knärot/A 32843-2024 karta knärot.png", "A 32843-2024")</f>
        <v/>
      </c>
      <c r="V505">
        <f>HYPERLINK("https://klasma.github.io/Logging_2021/klagomål/A 32843-2024 FSC-klagomål.docx", "A 32843-2024")</f>
        <v/>
      </c>
      <c r="W505">
        <f>HYPERLINK("https://klasma.github.io/Logging_2021/klagomålsmail/A 32843-2024 FSC-klagomål mail.docx", "A 32843-2024")</f>
        <v/>
      </c>
      <c r="X505">
        <f>HYPERLINK("https://klasma.github.io/Logging_2021/tillsyn/A 32843-2024 tillsynsbegäran.docx", "A 32843-2024")</f>
        <v/>
      </c>
      <c r="Y505">
        <f>HYPERLINK("https://klasma.github.io/Logging_2021/tillsynsmail/A 32843-2024 tillsynsbegäran mail.docx", "A 32843-2024")</f>
        <v/>
      </c>
    </row>
    <row r="506" ht="15" customHeight="1">
      <c r="A506" t="inlineStr">
        <is>
          <t>A 26804-2024</t>
        </is>
      </c>
      <c r="B506" s="1" t="n">
        <v>45470</v>
      </c>
      <c r="C506" s="1" t="n">
        <v>46114</v>
      </c>
      <c r="D506" t="inlineStr">
        <is>
          <t>DALARNAS LÄN</t>
        </is>
      </c>
      <c r="E506" t="inlineStr">
        <is>
          <t>AVESTA</t>
        </is>
      </c>
      <c r="F506" t="inlineStr">
        <is>
          <t>Bergvik skog väst AB</t>
        </is>
      </c>
      <c r="G506" t="n">
        <v>11.7</v>
      </c>
      <c r="H506" t="n">
        <v>3</v>
      </c>
      <c r="I506" t="n">
        <v>0</v>
      </c>
      <c r="J506" t="n">
        <v>2</v>
      </c>
      <c r="K506" t="n">
        <v>0</v>
      </c>
      <c r="L506" t="n">
        <v>0</v>
      </c>
      <c r="M506" t="n">
        <v>0</v>
      </c>
      <c r="N506" t="n">
        <v>0</v>
      </c>
      <c r="O506" t="n">
        <v>2</v>
      </c>
      <c r="P506" t="n">
        <v>0</v>
      </c>
      <c r="Q506" t="n">
        <v>3</v>
      </c>
      <c r="R506" s="2" t="inlineStr">
        <is>
          <t>Brunlångöra
Nordfladdermus
Vattenfladdermus</t>
        </is>
      </c>
      <c r="S506">
        <f>HYPERLINK("https://klasma.github.io/Logging_2084/artfynd/A 26804-2024 artfynd.xlsx", "A 26804-2024")</f>
        <v/>
      </c>
      <c r="T506">
        <f>HYPERLINK("https://klasma.github.io/Logging_2084/kartor/A 26804-2024 karta.png", "A 26804-2024")</f>
        <v/>
      </c>
      <c r="U506">
        <f>HYPERLINK("https://klasma.github.io/Logging_2084/knärot/A 26804-2024 karta knärot.png", "A 26804-2024")</f>
        <v/>
      </c>
      <c r="V506">
        <f>HYPERLINK("https://klasma.github.io/Logging_2084/klagomål/A 26804-2024 FSC-klagomål.docx", "A 26804-2024")</f>
        <v/>
      </c>
      <c r="W506">
        <f>HYPERLINK("https://klasma.github.io/Logging_2084/klagomålsmail/A 26804-2024 FSC-klagomål mail.docx", "A 26804-2024")</f>
        <v/>
      </c>
      <c r="X506">
        <f>HYPERLINK("https://klasma.github.io/Logging_2084/tillsyn/A 26804-2024 tillsynsbegäran.docx", "A 26804-2024")</f>
        <v/>
      </c>
      <c r="Y506">
        <f>HYPERLINK("https://klasma.github.io/Logging_2084/tillsynsmail/A 26804-2024 tillsynsbegäran mail.docx", "A 26804-2024")</f>
        <v/>
      </c>
    </row>
    <row r="507" ht="15" customHeight="1">
      <c r="A507" t="inlineStr">
        <is>
          <t>A 37399-2023</t>
        </is>
      </c>
      <c r="B507" s="1" t="n">
        <v>45156</v>
      </c>
      <c r="C507" s="1" t="n">
        <v>46114</v>
      </c>
      <c r="D507" t="inlineStr">
        <is>
          <t>DALARNAS LÄN</t>
        </is>
      </c>
      <c r="E507" t="inlineStr">
        <is>
          <t>LEKSAND</t>
        </is>
      </c>
      <c r="G507" t="n">
        <v>10.7</v>
      </c>
      <c r="H507" t="n">
        <v>0</v>
      </c>
      <c r="I507" t="n">
        <v>1</v>
      </c>
      <c r="J507" t="n">
        <v>2</v>
      </c>
      <c r="K507" t="n">
        <v>0</v>
      </c>
      <c r="L507" t="n">
        <v>0</v>
      </c>
      <c r="M507" t="n">
        <v>0</v>
      </c>
      <c r="N507" t="n">
        <v>0</v>
      </c>
      <c r="O507" t="n">
        <v>2</v>
      </c>
      <c r="P507" t="n">
        <v>0</v>
      </c>
      <c r="Q507" t="n">
        <v>3</v>
      </c>
      <c r="R507" s="2" t="inlineStr">
        <is>
          <t>Doftskinn
Garnlav
Vedticka</t>
        </is>
      </c>
      <c r="S507">
        <f>HYPERLINK("https://klasma.github.io/Logging_2029/artfynd/A 37399-2023 artfynd.xlsx", "A 37399-2023")</f>
        <v/>
      </c>
      <c r="T507">
        <f>HYPERLINK("https://klasma.github.io/Logging_2029/kartor/A 37399-2023 karta.png", "A 37399-2023")</f>
        <v/>
      </c>
      <c r="V507">
        <f>HYPERLINK("https://klasma.github.io/Logging_2029/klagomål/A 37399-2023 FSC-klagomål.docx", "A 37399-2023")</f>
        <v/>
      </c>
      <c r="W507">
        <f>HYPERLINK("https://klasma.github.io/Logging_2029/klagomålsmail/A 37399-2023 FSC-klagomål mail.docx", "A 37399-2023")</f>
        <v/>
      </c>
      <c r="X507">
        <f>HYPERLINK("https://klasma.github.io/Logging_2029/tillsyn/A 37399-2023 tillsynsbegäran.docx", "A 37399-2023")</f>
        <v/>
      </c>
      <c r="Y507">
        <f>HYPERLINK("https://klasma.github.io/Logging_2029/tillsynsmail/A 37399-2023 tillsynsbegäran mail.docx", "A 37399-2023")</f>
        <v/>
      </c>
    </row>
    <row r="508" ht="15" customHeight="1">
      <c r="A508" t="inlineStr">
        <is>
          <t>A 44128-2023</t>
        </is>
      </c>
      <c r="B508" s="1" t="n">
        <v>45188.45712962963</v>
      </c>
      <c r="C508" s="1" t="n">
        <v>46114</v>
      </c>
      <c r="D508" t="inlineStr">
        <is>
          <t>DALARNAS LÄN</t>
        </is>
      </c>
      <c r="E508" t="inlineStr">
        <is>
          <t>ÄLVDALEN</t>
        </is>
      </c>
      <c r="F508" t="inlineStr">
        <is>
          <t>Sveaskog</t>
        </is>
      </c>
      <c r="G508" t="n">
        <v>1.8</v>
      </c>
      <c r="H508" t="n">
        <v>0</v>
      </c>
      <c r="I508" t="n">
        <v>1</v>
      </c>
      <c r="J508" t="n">
        <v>2</v>
      </c>
      <c r="K508" t="n">
        <v>0</v>
      </c>
      <c r="L508" t="n">
        <v>0</v>
      </c>
      <c r="M508" t="n">
        <v>0</v>
      </c>
      <c r="N508" t="n">
        <v>0</v>
      </c>
      <c r="O508" t="n">
        <v>2</v>
      </c>
      <c r="P508" t="n">
        <v>0</v>
      </c>
      <c r="Q508" t="n">
        <v>3</v>
      </c>
      <c r="R508" s="2" t="inlineStr">
        <is>
          <t>Blanksvart spiklav
Talltaggsvamp
Skarp dropptaggsvamp</t>
        </is>
      </c>
      <c r="S508">
        <f>HYPERLINK("https://klasma.github.io/Logging_2039/artfynd/A 44128-2023 artfynd.xlsx", "A 44128-2023")</f>
        <v/>
      </c>
      <c r="T508">
        <f>HYPERLINK("https://klasma.github.io/Logging_2039/kartor/A 44128-2023 karta.png", "A 44128-2023")</f>
        <v/>
      </c>
      <c r="V508">
        <f>HYPERLINK("https://klasma.github.io/Logging_2039/klagomål/A 44128-2023 FSC-klagomål.docx", "A 44128-2023")</f>
        <v/>
      </c>
      <c r="W508">
        <f>HYPERLINK("https://klasma.github.io/Logging_2039/klagomålsmail/A 44128-2023 FSC-klagomål mail.docx", "A 44128-2023")</f>
        <v/>
      </c>
      <c r="X508">
        <f>HYPERLINK("https://klasma.github.io/Logging_2039/tillsyn/A 44128-2023 tillsynsbegäran.docx", "A 44128-2023")</f>
        <v/>
      </c>
      <c r="Y508">
        <f>HYPERLINK("https://klasma.github.io/Logging_2039/tillsynsmail/A 44128-2023 tillsynsbegäran mail.docx", "A 44128-2023")</f>
        <v/>
      </c>
    </row>
    <row r="509" ht="15" customHeight="1">
      <c r="A509" t="inlineStr">
        <is>
          <t>A 37356-2025</t>
        </is>
      </c>
      <c r="B509" s="1" t="n">
        <v>45876</v>
      </c>
      <c r="C509" s="1" t="n">
        <v>46114</v>
      </c>
      <c r="D509" t="inlineStr">
        <is>
          <t>DALARNAS LÄN</t>
        </is>
      </c>
      <c r="E509" t="inlineStr">
        <is>
          <t>BORLÄNGE</t>
        </is>
      </c>
      <c r="G509" t="n">
        <v>10.9</v>
      </c>
      <c r="H509" t="n">
        <v>0</v>
      </c>
      <c r="I509" t="n">
        <v>3</v>
      </c>
      <c r="J509" t="n">
        <v>0</v>
      </c>
      <c r="K509" t="n">
        <v>0</v>
      </c>
      <c r="L509" t="n">
        <v>0</v>
      </c>
      <c r="M509" t="n">
        <v>0</v>
      </c>
      <c r="N509" t="n">
        <v>0</v>
      </c>
      <c r="O509" t="n">
        <v>0</v>
      </c>
      <c r="P509" t="n">
        <v>0</v>
      </c>
      <c r="Q509" t="n">
        <v>3</v>
      </c>
      <c r="R509" s="2" t="inlineStr">
        <is>
          <t>Bronshjon
Thomsons trägnagare
Vågbandad barkbock</t>
        </is>
      </c>
      <c r="S509">
        <f>HYPERLINK("https://klasma.github.io/Logging_2081/artfynd/A 37356-2025 artfynd.xlsx", "A 37356-2025")</f>
        <v/>
      </c>
      <c r="T509">
        <f>HYPERLINK("https://klasma.github.io/Logging_2081/kartor/A 37356-2025 karta.png", "A 37356-2025")</f>
        <v/>
      </c>
      <c r="V509">
        <f>HYPERLINK("https://klasma.github.io/Logging_2081/klagomål/A 37356-2025 FSC-klagomål.docx", "A 37356-2025")</f>
        <v/>
      </c>
      <c r="W509">
        <f>HYPERLINK("https://klasma.github.io/Logging_2081/klagomålsmail/A 37356-2025 FSC-klagomål mail.docx", "A 37356-2025")</f>
        <v/>
      </c>
      <c r="X509">
        <f>HYPERLINK("https://klasma.github.io/Logging_2081/tillsyn/A 37356-2025 tillsynsbegäran.docx", "A 37356-2025")</f>
        <v/>
      </c>
      <c r="Y509">
        <f>HYPERLINK("https://klasma.github.io/Logging_2081/tillsynsmail/A 37356-2025 tillsynsbegäran mail.docx", "A 37356-2025")</f>
        <v/>
      </c>
    </row>
    <row r="510" ht="15" customHeight="1">
      <c r="A510" t="inlineStr">
        <is>
          <t>A 46721-2025</t>
        </is>
      </c>
      <c r="B510" s="1" t="n">
        <v>45926.58377314815</v>
      </c>
      <c r="C510" s="1" t="n">
        <v>46114</v>
      </c>
      <c r="D510" t="inlineStr">
        <is>
          <t>DALARNAS LÄN</t>
        </is>
      </c>
      <c r="E510" t="inlineStr">
        <is>
          <t>LUDVIKA</t>
        </is>
      </c>
      <c r="F510" t="inlineStr">
        <is>
          <t>Bergvik skog väst AB</t>
        </is>
      </c>
      <c r="G510" t="n">
        <v>8.800000000000001</v>
      </c>
      <c r="H510" t="n">
        <v>3</v>
      </c>
      <c r="I510" t="n">
        <v>0</v>
      </c>
      <c r="J510" t="n">
        <v>3</v>
      </c>
      <c r="K510" t="n">
        <v>0</v>
      </c>
      <c r="L510" t="n">
        <v>0</v>
      </c>
      <c r="M510" t="n">
        <v>0</v>
      </c>
      <c r="N510" t="n">
        <v>0</v>
      </c>
      <c r="O510" t="n">
        <v>3</v>
      </c>
      <c r="P510" t="n">
        <v>0</v>
      </c>
      <c r="Q510" t="n">
        <v>3</v>
      </c>
      <c r="R510" s="2" t="inlineStr">
        <is>
          <t>Järpe
Talltita
Tretåig hackspett</t>
        </is>
      </c>
      <c r="S510">
        <f>HYPERLINK("https://klasma.github.io/Logging_2085/artfynd/A 46721-2025 artfynd.xlsx", "A 46721-2025")</f>
        <v/>
      </c>
      <c r="T510">
        <f>HYPERLINK("https://klasma.github.io/Logging_2085/kartor/A 46721-2025 karta.png", "A 46721-2025")</f>
        <v/>
      </c>
      <c r="V510">
        <f>HYPERLINK("https://klasma.github.io/Logging_2085/klagomål/A 46721-2025 FSC-klagomål.docx", "A 46721-2025")</f>
        <v/>
      </c>
      <c r="W510">
        <f>HYPERLINK("https://klasma.github.io/Logging_2085/klagomålsmail/A 46721-2025 FSC-klagomål mail.docx", "A 46721-2025")</f>
        <v/>
      </c>
      <c r="X510">
        <f>HYPERLINK("https://klasma.github.io/Logging_2085/tillsyn/A 46721-2025 tillsynsbegäran.docx", "A 46721-2025")</f>
        <v/>
      </c>
      <c r="Y510">
        <f>HYPERLINK("https://klasma.github.io/Logging_2085/tillsynsmail/A 46721-2025 tillsynsbegäran mail.docx", "A 46721-2025")</f>
        <v/>
      </c>
      <c r="Z510">
        <f>HYPERLINK("https://klasma.github.io/Logging_2085/fåglar/A 46721-2025 prioriterade fågelarter.docx", "A 46721-2025")</f>
        <v/>
      </c>
    </row>
    <row r="511" ht="15" customHeight="1">
      <c r="A511" t="inlineStr">
        <is>
          <t>A 31057-2024</t>
        </is>
      </c>
      <c r="B511" s="1" t="n">
        <v>45502.37813657407</v>
      </c>
      <c r="C511" s="1" t="n">
        <v>46114</v>
      </c>
      <c r="D511" t="inlineStr">
        <is>
          <t>DALARNAS LÄN</t>
        </is>
      </c>
      <c r="E511" t="inlineStr">
        <is>
          <t>ÄLVDALEN</t>
        </is>
      </c>
      <c r="F511" t="inlineStr">
        <is>
          <t>Sveaskog</t>
        </is>
      </c>
      <c r="G511" t="n">
        <v>2.4</v>
      </c>
      <c r="H511" t="n">
        <v>0</v>
      </c>
      <c r="I511" t="n">
        <v>1</v>
      </c>
      <c r="J511" t="n">
        <v>2</v>
      </c>
      <c r="K511" t="n">
        <v>0</v>
      </c>
      <c r="L511" t="n">
        <v>0</v>
      </c>
      <c r="M511" t="n">
        <v>0</v>
      </c>
      <c r="N511" t="n">
        <v>0</v>
      </c>
      <c r="O511" t="n">
        <v>2</v>
      </c>
      <c r="P511" t="n">
        <v>0</v>
      </c>
      <c r="Q511" t="n">
        <v>3</v>
      </c>
      <c r="R511" s="2" t="inlineStr">
        <is>
          <t>Blå taggsvamp
Kolflarnlav
Skarp dropptaggsvamp</t>
        </is>
      </c>
      <c r="S511">
        <f>HYPERLINK("https://klasma.github.io/Logging_2039/artfynd/A 31057-2024 artfynd.xlsx", "A 31057-2024")</f>
        <v/>
      </c>
      <c r="T511">
        <f>HYPERLINK("https://klasma.github.io/Logging_2039/kartor/A 31057-2024 karta.png", "A 31057-2024")</f>
        <v/>
      </c>
      <c r="V511">
        <f>HYPERLINK("https://klasma.github.io/Logging_2039/klagomål/A 31057-2024 FSC-klagomål.docx", "A 31057-2024")</f>
        <v/>
      </c>
      <c r="W511">
        <f>HYPERLINK("https://klasma.github.io/Logging_2039/klagomålsmail/A 31057-2024 FSC-klagomål mail.docx", "A 31057-2024")</f>
        <v/>
      </c>
      <c r="X511">
        <f>HYPERLINK("https://klasma.github.io/Logging_2039/tillsyn/A 31057-2024 tillsynsbegäran.docx", "A 31057-2024")</f>
        <v/>
      </c>
      <c r="Y511">
        <f>HYPERLINK("https://klasma.github.io/Logging_2039/tillsynsmail/A 31057-2024 tillsynsbegäran mail.docx", "A 31057-2024")</f>
        <v/>
      </c>
    </row>
    <row r="512" ht="15" customHeight="1">
      <c r="A512" t="inlineStr">
        <is>
          <t>A 49125-2025</t>
        </is>
      </c>
      <c r="B512" s="1" t="n">
        <v>45937.86962962963</v>
      </c>
      <c r="C512" s="1" t="n">
        <v>46114</v>
      </c>
      <c r="D512" t="inlineStr">
        <is>
          <t>DALARNAS LÄN</t>
        </is>
      </c>
      <c r="E512" t="inlineStr">
        <is>
          <t>ÄLVDALEN</t>
        </is>
      </c>
      <c r="F512" t="inlineStr">
        <is>
          <t>Sveaskog</t>
        </is>
      </c>
      <c r="G512" t="n">
        <v>1.8</v>
      </c>
      <c r="H512" t="n">
        <v>0</v>
      </c>
      <c r="I512" t="n">
        <v>0</v>
      </c>
      <c r="J512" t="n">
        <v>3</v>
      </c>
      <c r="K512" t="n">
        <v>0</v>
      </c>
      <c r="L512" t="n">
        <v>0</v>
      </c>
      <c r="M512" t="n">
        <v>0</v>
      </c>
      <c r="N512" t="n">
        <v>0</v>
      </c>
      <c r="O512" t="n">
        <v>3</v>
      </c>
      <c r="P512" t="n">
        <v>0</v>
      </c>
      <c r="Q512" t="n">
        <v>3</v>
      </c>
      <c r="R512" s="2" t="inlineStr">
        <is>
          <t>Blanksvart spiklav
Kolflarnlav
Mörk kolflarnlav</t>
        </is>
      </c>
      <c r="S512">
        <f>HYPERLINK("https://klasma.github.io/Logging_2039/artfynd/A 49125-2025 artfynd.xlsx", "A 49125-2025")</f>
        <v/>
      </c>
      <c r="T512">
        <f>HYPERLINK("https://klasma.github.io/Logging_2039/kartor/A 49125-2025 karta.png", "A 49125-2025")</f>
        <v/>
      </c>
      <c r="V512">
        <f>HYPERLINK("https://klasma.github.io/Logging_2039/klagomål/A 49125-2025 FSC-klagomål.docx", "A 49125-2025")</f>
        <v/>
      </c>
      <c r="W512">
        <f>HYPERLINK("https://klasma.github.io/Logging_2039/klagomålsmail/A 49125-2025 FSC-klagomål mail.docx", "A 49125-2025")</f>
        <v/>
      </c>
      <c r="X512">
        <f>HYPERLINK("https://klasma.github.io/Logging_2039/tillsyn/A 49125-2025 tillsynsbegäran.docx", "A 49125-2025")</f>
        <v/>
      </c>
      <c r="Y512">
        <f>HYPERLINK("https://klasma.github.io/Logging_2039/tillsynsmail/A 49125-2025 tillsynsbegäran mail.docx", "A 49125-2025")</f>
        <v/>
      </c>
    </row>
    <row r="513" ht="15" customHeight="1">
      <c r="A513" t="inlineStr">
        <is>
          <t>A 6832-2024</t>
        </is>
      </c>
      <c r="B513" s="1" t="n">
        <v>45342</v>
      </c>
      <c r="C513" s="1" t="n">
        <v>46114</v>
      </c>
      <c r="D513" t="inlineStr">
        <is>
          <t>DALARNAS LÄN</t>
        </is>
      </c>
      <c r="E513" t="inlineStr">
        <is>
          <t>BORLÄNGE</t>
        </is>
      </c>
      <c r="G513" t="n">
        <v>14.2</v>
      </c>
      <c r="H513" t="n">
        <v>0</v>
      </c>
      <c r="I513" t="n">
        <v>3</v>
      </c>
      <c r="J513" t="n">
        <v>0</v>
      </c>
      <c r="K513" t="n">
        <v>0</v>
      </c>
      <c r="L513" t="n">
        <v>0</v>
      </c>
      <c r="M513" t="n">
        <v>0</v>
      </c>
      <c r="N513" t="n">
        <v>0</v>
      </c>
      <c r="O513" t="n">
        <v>0</v>
      </c>
      <c r="P513" t="n">
        <v>0</v>
      </c>
      <c r="Q513" t="n">
        <v>3</v>
      </c>
      <c r="R513" s="2" t="inlineStr">
        <is>
          <t>Bronshjon
Thomsons trägnagare
Vågbandad barkbock</t>
        </is>
      </c>
      <c r="S513">
        <f>HYPERLINK("https://klasma.github.io/Logging_2081/artfynd/A 6832-2024 artfynd.xlsx", "A 6832-2024")</f>
        <v/>
      </c>
      <c r="T513">
        <f>HYPERLINK("https://klasma.github.io/Logging_2081/kartor/A 6832-2024 karta.png", "A 6832-2024")</f>
        <v/>
      </c>
      <c r="V513">
        <f>HYPERLINK("https://klasma.github.io/Logging_2081/klagomål/A 6832-2024 FSC-klagomål.docx", "A 6832-2024")</f>
        <v/>
      </c>
      <c r="W513">
        <f>HYPERLINK("https://klasma.github.io/Logging_2081/klagomålsmail/A 6832-2024 FSC-klagomål mail.docx", "A 6832-2024")</f>
        <v/>
      </c>
      <c r="X513">
        <f>HYPERLINK("https://klasma.github.io/Logging_2081/tillsyn/A 6832-2024 tillsynsbegäran.docx", "A 6832-2024")</f>
        <v/>
      </c>
      <c r="Y513">
        <f>HYPERLINK("https://klasma.github.io/Logging_2081/tillsynsmail/A 6832-2024 tillsynsbegäran mail.docx", "A 6832-2024")</f>
        <v/>
      </c>
    </row>
    <row r="514" ht="15" customHeight="1">
      <c r="A514" t="inlineStr">
        <is>
          <t>A 49695-2025</t>
        </is>
      </c>
      <c r="B514" s="1" t="n">
        <v>45939.67418981482</v>
      </c>
      <c r="C514" s="1" t="n">
        <v>46114</v>
      </c>
      <c r="D514" t="inlineStr">
        <is>
          <t>DALARNAS LÄN</t>
        </is>
      </c>
      <c r="E514" t="inlineStr">
        <is>
          <t>MORA</t>
        </is>
      </c>
      <c r="G514" t="n">
        <v>0.6</v>
      </c>
      <c r="H514" t="n">
        <v>1</v>
      </c>
      <c r="I514" t="n">
        <v>0</v>
      </c>
      <c r="J514" t="n">
        <v>3</v>
      </c>
      <c r="K514" t="n">
        <v>0</v>
      </c>
      <c r="L514" t="n">
        <v>0</v>
      </c>
      <c r="M514" t="n">
        <v>0</v>
      </c>
      <c r="N514" t="n">
        <v>0</v>
      </c>
      <c r="O514" t="n">
        <v>3</v>
      </c>
      <c r="P514" t="n">
        <v>0</v>
      </c>
      <c r="Q514" t="n">
        <v>3</v>
      </c>
      <c r="R514" s="2" t="inlineStr">
        <is>
          <t>Garnlav
Tretåig hackspett
Vedskivlav</t>
        </is>
      </c>
      <c r="S514">
        <f>HYPERLINK("https://klasma.github.io/Logging_2062/artfynd/A 49695-2025 artfynd.xlsx", "A 49695-2025")</f>
        <v/>
      </c>
      <c r="T514">
        <f>HYPERLINK("https://klasma.github.io/Logging_2062/kartor/A 49695-2025 karta.png", "A 49695-2025")</f>
        <v/>
      </c>
      <c r="V514">
        <f>HYPERLINK("https://klasma.github.io/Logging_2062/klagomål/A 49695-2025 FSC-klagomål.docx", "A 49695-2025")</f>
        <v/>
      </c>
      <c r="W514">
        <f>HYPERLINK("https://klasma.github.io/Logging_2062/klagomålsmail/A 49695-2025 FSC-klagomål mail.docx", "A 49695-2025")</f>
        <v/>
      </c>
      <c r="X514">
        <f>HYPERLINK("https://klasma.github.io/Logging_2062/tillsyn/A 49695-2025 tillsynsbegäran.docx", "A 49695-2025")</f>
        <v/>
      </c>
      <c r="Y514">
        <f>HYPERLINK("https://klasma.github.io/Logging_2062/tillsynsmail/A 49695-2025 tillsynsbegäran mail.docx", "A 49695-2025")</f>
        <v/>
      </c>
      <c r="Z514">
        <f>HYPERLINK("https://klasma.github.io/Logging_2062/fåglar/A 49695-2025 prioriterade fågelarter.docx", "A 49695-2025")</f>
        <v/>
      </c>
    </row>
    <row r="515" ht="15" customHeight="1">
      <c r="A515" t="inlineStr">
        <is>
          <t>A 48985-2025</t>
        </is>
      </c>
      <c r="B515" s="1" t="n">
        <v>45937.57505787037</v>
      </c>
      <c r="C515" s="1" t="n">
        <v>46114</v>
      </c>
      <c r="D515" t="inlineStr">
        <is>
          <t>DALARNAS LÄN</t>
        </is>
      </c>
      <c r="E515" t="inlineStr">
        <is>
          <t>ORSA</t>
        </is>
      </c>
      <c r="F515" t="inlineStr">
        <is>
          <t>Bergvik skog öst AB</t>
        </is>
      </c>
      <c r="G515" t="n">
        <v>7.1</v>
      </c>
      <c r="H515" t="n">
        <v>1</v>
      </c>
      <c r="I515" t="n">
        <v>1</v>
      </c>
      <c r="J515" t="n">
        <v>2</v>
      </c>
      <c r="K515" t="n">
        <v>0</v>
      </c>
      <c r="L515" t="n">
        <v>0</v>
      </c>
      <c r="M515" t="n">
        <v>0</v>
      </c>
      <c r="N515" t="n">
        <v>0</v>
      </c>
      <c r="O515" t="n">
        <v>2</v>
      </c>
      <c r="P515" t="n">
        <v>0</v>
      </c>
      <c r="Q515" t="n">
        <v>3</v>
      </c>
      <c r="R515" s="2" t="inlineStr">
        <is>
          <t>Skrovellav
Talltita
Norrlandslav</t>
        </is>
      </c>
      <c r="S515">
        <f>HYPERLINK("https://klasma.github.io/Logging_2034/artfynd/A 48985-2025 artfynd.xlsx", "A 48985-2025")</f>
        <v/>
      </c>
      <c r="T515">
        <f>HYPERLINK("https://klasma.github.io/Logging_2034/kartor/A 48985-2025 karta.png", "A 48985-2025")</f>
        <v/>
      </c>
      <c r="V515">
        <f>HYPERLINK("https://klasma.github.io/Logging_2034/klagomål/A 48985-2025 FSC-klagomål.docx", "A 48985-2025")</f>
        <v/>
      </c>
      <c r="W515">
        <f>HYPERLINK("https://klasma.github.io/Logging_2034/klagomålsmail/A 48985-2025 FSC-klagomål mail.docx", "A 48985-2025")</f>
        <v/>
      </c>
      <c r="X515">
        <f>HYPERLINK("https://klasma.github.io/Logging_2034/tillsyn/A 48985-2025 tillsynsbegäran.docx", "A 48985-2025")</f>
        <v/>
      </c>
      <c r="Y515">
        <f>HYPERLINK("https://klasma.github.io/Logging_2034/tillsynsmail/A 48985-2025 tillsynsbegäran mail.docx", "A 48985-2025")</f>
        <v/>
      </c>
      <c r="Z515">
        <f>HYPERLINK("https://klasma.github.io/Logging_2034/fåglar/A 48985-2025 prioriterade fågelarter.docx", "A 48985-2025")</f>
        <v/>
      </c>
    </row>
    <row r="516" ht="15" customHeight="1">
      <c r="A516" t="inlineStr">
        <is>
          <t>A 49835-2025</t>
        </is>
      </c>
      <c r="B516" s="1" t="n">
        <v>45940.46645833334</v>
      </c>
      <c r="C516" s="1" t="n">
        <v>46114</v>
      </c>
      <c r="D516" t="inlineStr">
        <is>
          <t>DALARNAS LÄN</t>
        </is>
      </c>
      <c r="E516" t="inlineStr">
        <is>
          <t>BORLÄNGE</t>
        </is>
      </c>
      <c r="F516" t="inlineStr">
        <is>
          <t>Bergvik skog väst AB</t>
        </is>
      </c>
      <c r="G516" t="n">
        <v>5.6</v>
      </c>
      <c r="H516" t="n">
        <v>1</v>
      </c>
      <c r="I516" t="n">
        <v>2</v>
      </c>
      <c r="J516" t="n">
        <v>0</v>
      </c>
      <c r="K516" t="n">
        <v>1</v>
      </c>
      <c r="L516" t="n">
        <v>0</v>
      </c>
      <c r="M516" t="n">
        <v>0</v>
      </c>
      <c r="N516" t="n">
        <v>0</v>
      </c>
      <c r="O516" t="n">
        <v>1</v>
      </c>
      <c r="P516" t="n">
        <v>1</v>
      </c>
      <c r="Q516" t="n">
        <v>3</v>
      </c>
      <c r="R516" s="2" t="inlineStr">
        <is>
          <t>Knärot
Dropptaggsvamp
Fjällig taggsvamp s.str.</t>
        </is>
      </c>
      <c r="S516">
        <f>HYPERLINK("https://klasma.github.io/Logging_2081/artfynd/A 49835-2025 artfynd.xlsx", "A 49835-2025")</f>
        <v/>
      </c>
      <c r="T516">
        <f>HYPERLINK("https://klasma.github.io/Logging_2081/kartor/A 49835-2025 karta.png", "A 49835-2025")</f>
        <v/>
      </c>
      <c r="U516">
        <f>HYPERLINK("https://klasma.github.io/Logging_2081/knärot/A 49835-2025 karta knärot.png", "A 49835-2025")</f>
        <v/>
      </c>
      <c r="V516">
        <f>HYPERLINK("https://klasma.github.io/Logging_2081/klagomål/A 49835-2025 FSC-klagomål.docx", "A 49835-2025")</f>
        <v/>
      </c>
      <c r="W516">
        <f>HYPERLINK("https://klasma.github.io/Logging_2081/klagomålsmail/A 49835-2025 FSC-klagomål mail.docx", "A 49835-2025")</f>
        <v/>
      </c>
      <c r="X516">
        <f>HYPERLINK("https://klasma.github.io/Logging_2081/tillsyn/A 49835-2025 tillsynsbegäran.docx", "A 49835-2025")</f>
        <v/>
      </c>
      <c r="Y516">
        <f>HYPERLINK("https://klasma.github.io/Logging_2081/tillsynsmail/A 49835-2025 tillsynsbegäran mail.docx", "A 49835-2025")</f>
        <v/>
      </c>
    </row>
    <row r="517" ht="15" customHeight="1">
      <c r="A517" t="inlineStr">
        <is>
          <t>A 51227-2025</t>
        </is>
      </c>
      <c r="B517" s="1" t="n">
        <v>45947.66400462963</v>
      </c>
      <c r="C517" s="1" t="n">
        <v>46114</v>
      </c>
      <c r="D517" t="inlineStr">
        <is>
          <t>DALARNAS LÄN</t>
        </is>
      </c>
      <c r="E517" t="inlineStr">
        <is>
          <t>RÄTTVIK</t>
        </is>
      </c>
      <c r="F517" t="inlineStr">
        <is>
          <t>Sveaskog</t>
        </is>
      </c>
      <c r="G517" t="n">
        <v>6.8</v>
      </c>
      <c r="H517" t="n">
        <v>0</v>
      </c>
      <c r="I517" t="n">
        <v>0</v>
      </c>
      <c r="J517" t="n">
        <v>3</v>
      </c>
      <c r="K517" t="n">
        <v>0</v>
      </c>
      <c r="L517" t="n">
        <v>0</v>
      </c>
      <c r="M517" t="n">
        <v>0</v>
      </c>
      <c r="N517" t="n">
        <v>0</v>
      </c>
      <c r="O517" t="n">
        <v>3</v>
      </c>
      <c r="P517" t="n">
        <v>0</v>
      </c>
      <c r="Q517" t="n">
        <v>3</v>
      </c>
      <c r="R517" s="2" t="inlineStr">
        <is>
          <t>Kolflarnlav
Mörk kolflarnlav
Vedskivlav</t>
        </is>
      </c>
      <c r="S517">
        <f>HYPERLINK("https://klasma.github.io/Logging_2031/artfynd/A 51227-2025 artfynd.xlsx", "A 51227-2025")</f>
        <v/>
      </c>
      <c r="T517">
        <f>HYPERLINK("https://klasma.github.io/Logging_2031/kartor/A 51227-2025 karta.png", "A 51227-2025")</f>
        <v/>
      </c>
      <c r="V517">
        <f>HYPERLINK("https://klasma.github.io/Logging_2031/klagomål/A 51227-2025 FSC-klagomål.docx", "A 51227-2025")</f>
        <v/>
      </c>
      <c r="W517">
        <f>HYPERLINK("https://klasma.github.io/Logging_2031/klagomålsmail/A 51227-2025 FSC-klagomål mail.docx", "A 51227-2025")</f>
        <v/>
      </c>
      <c r="X517">
        <f>HYPERLINK("https://klasma.github.io/Logging_2031/tillsyn/A 51227-2025 tillsynsbegäran.docx", "A 51227-2025")</f>
        <v/>
      </c>
      <c r="Y517">
        <f>HYPERLINK("https://klasma.github.io/Logging_2031/tillsynsmail/A 51227-2025 tillsynsbegäran mail.docx", "A 51227-2025")</f>
        <v/>
      </c>
    </row>
    <row r="518" ht="15" customHeight="1">
      <c r="A518" t="inlineStr">
        <is>
          <t>A 51825-2025</t>
        </is>
      </c>
      <c r="B518" s="1" t="n">
        <v>45951</v>
      </c>
      <c r="C518" s="1" t="n">
        <v>46114</v>
      </c>
      <c r="D518" t="inlineStr">
        <is>
          <t>DALARNAS LÄN</t>
        </is>
      </c>
      <c r="E518" t="inlineStr">
        <is>
          <t>SÄTER</t>
        </is>
      </c>
      <c r="F518" t="inlineStr">
        <is>
          <t>Bergvik skog väst AB</t>
        </is>
      </c>
      <c r="G518" t="n">
        <v>12.8</v>
      </c>
      <c r="H518" t="n">
        <v>0</v>
      </c>
      <c r="I518" t="n">
        <v>1</v>
      </c>
      <c r="J518" t="n">
        <v>2</v>
      </c>
      <c r="K518" t="n">
        <v>0</v>
      </c>
      <c r="L518" t="n">
        <v>0</v>
      </c>
      <c r="M518" t="n">
        <v>0</v>
      </c>
      <c r="N518" t="n">
        <v>0</v>
      </c>
      <c r="O518" t="n">
        <v>2</v>
      </c>
      <c r="P518" t="n">
        <v>0</v>
      </c>
      <c r="Q518" t="n">
        <v>3</v>
      </c>
      <c r="R518" s="2" t="inlineStr">
        <is>
          <t>Dofttaggsvamp
Gultoppig fingersvamp
Mörk husmossa</t>
        </is>
      </c>
      <c r="S518">
        <f>HYPERLINK("https://klasma.github.io/Logging_2082/artfynd/A 51825-2025 artfynd.xlsx", "A 51825-2025")</f>
        <v/>
      </c>
      <c r="T518">
        <f>HYPERLINK("https://klasma.github.io/Logging_2082/kartor/A 51825-2025 karta.png", "A 51825-2025")</f>
        <v/>
      </c>
      <c r="V518">
        <f>HYPERLINK("https://klasma.github.io/Logging_2082/klagomål/A 51825-2025 FSC-klagomål.docx", "A 51825-2025")</f>
        <v/>
      </c>
      <c r="W518">
        <f>HYPERLINK("https://klasma.github.io/Logging_2082/klagomålsmail/A 51825-2025 FSC-klagomål mail.docx", "A 51825-2025")</f>
        <v/>
      </c>
      <c r="X518">
        <f>HYPERLINK("https://klasma.github.io/Logging_2082/tillsyn/A 51825-2025 tillsynsbegäran.docx", "A 51825-2025")</f>
        <v/>
      </c>
      <c r="Y518">
        <f>HYPERLINK("https://klasma.github.io/Logging_2082/tillsynsmail/A 51825-2025 tillsynsbegäran mail.docx", "A 51825-2025")</f>
        <v/>
      </c>
    </row>
    <row r="519" ht="15" customHeight="1">
      <c r="A519" t="inlineStr">
        <is>
          <t>A 21382-2025</t>
        </is>
      </c>
      <c r="B519" s="1" t="n">
        <v>45781</v>
      </c>
      <c r="C519" s="1" t="n">
        <v>46114</v>
      </c>
      <c r="D519" t="inlineStr">
        <is>
          <t>DALARNAS LÄN</t>
        </is>
      </c>
      <c r="E519" t="inlineStr">
        <is>
          <t>SÄTER</t>
        </is>
      </c>
      <c r="F519" t="inlineStr">
        <is>
          <t>Bergvik skog väst AB</t>
        </is>
      </c>
      <c r="G519" t="n">
        <v>37</v>
      </c>
      <c r="H519" t="n">
        <v>3</v>
      </c>
      <c r="I519" t="n">
        <v>0</v>
      </c>
      <c r="J519" t="n">
        <v>0</v>
      </c>
      <c r="K519" t="n">
        <v>0</v>
      </c>
      <c r="L519" t="n">
        <v>0</v>
      </c>
      <c r="M519" t="n">
        <v>0</v>
      </c>
      <c r="N519" t="n">
        <v>0</v>
      </c>
      <c r="O519" t="n">
        <v>0</v>
      </c>
      <c r="P519" t="n">
        <v>0</v>
      </c>
      <c r="Q519" t="n">
        <v>3</v>
      </c>
      <c r="R519" s="2" t="inlineStr">
        <is>
          <t>Brudsporre
Revlummer
Äkta lopplummer</t>
        </is>
      </c>
      <c r="S519">
        <f>HYPERLINK("https://klasma.github.io/Logging_2082/artfynd/A 21382-2025 artfynd.xlsx", "A 21382-2025")</f>
        <v/>
      </c>
      <c r="T519">
        <f>HYPERLINK("https://klasma.github.io/Logging_2082/kartor/A 21382-2025 karta.png", "A 21382-2025")</f>
        <v/>
      </c>
      <c r="V519">
        <f>HYPERLINK("https://klasma.github.io/Logging_2082/klagomål/A 21382-2025 FSC-klagomål.docx", "A 21382-2025")</f>
        <v/>
      </c>
      <c r="W519">
        <f>HYPERLINK("https://klasma.github.io/Logging_2082/klagomålsmail/A 21382-2025 FSC-klagomål mail.docx", "A 21382-2025")</f>
        <v/>
      </c>
      <c r="X519">
        <f>HYPERLINK("https://klasma.github.io/Logging_2082/tillsyn/A 21382-2025 tillsynsbegäran.docx", "A 21382-2025")</f>
        <v/>
      </c>
      <c r="Y519">
        <f>HYPERLINK("https://klasma.github.io/Logging_2082/tillsynsmail/A 21382-2025 tillsynsbegäran mail.docx", "A 21382-2025")</f>
        <v/>
      </c>
    </row>
    <row r="520" ht="15" customHeight="1">
      <c r="A520" t="inlineStr">
        <is>
          <t>A 55057-2025</t>
        </is>
      </c>
      <c r="B520" s="1" t="n">
        <v>45967.6815162037</v>
      </c>
      <c r="C520" s="1" t="n">
        <v>46114</v>
      </c>
      <c r="D520" t="inlineStr">
        <is>
          <t>DALARNAS LÄN</t>
        </is>
      </c>
      <c r="E520" t="inlineStr">
        <is>
          <t>BORLÄNGE</t>
        </is>
      </c>
      <c r="G520" t="n">
        <v>1.1</v>
      </c>
      <c r="H520" t="n">
        <v>0</v>
      </c>
      <c r="I520" t="n">
        <v>0</v>
      </c>
      <c r="J520" t="n">
        <v>2</v>
      </c>
      <c r="K520" t="n">
        <v>1</v>
      </c>
      <c r="L520" t="n">
        <v>0</v>
      </c>
      <c r="M520" t="n">
        <v>0</v>
      </c>
      <c r="N520" t="n">
        <v>0</v>
      </c>
      <c r="O520" t="n">
        <v>3</v>
      </c>
      <c r="P520" t="n">
        <v>1</v>
      </c>
      <c r="Q520" t="n">
        <v>3</v>
      </c>
      <c r="R520" s="2" t="inlineStr">
        <is>
          <t>Rynkskinn
Rosenticka
Ullticka</t>
        </is>
      </c>
      <c r="S520">
        <f>HYPERLINK("https://klasma.github.io/Logging_2081/artfynd/A 55057-2025 artfynd.xlsx", "A 55057-2025")</f>
        <v/>
      </c>
      <c r="T520">
        <f>HYPERLINK("https://klasma.github.io/Logging_2081/kartor/A 55057-2025 karta.png", "A 55057-2025")</f>
        <v/>
      </c>
      <c r="U520">
        <f>HYPERLINK("https://klasma.github.io/Logging_2081/knärot/A 55057-2025 karta knärot.png", "A 55057-2025")</f>
        <v/>
      </c>
      <c r="V520">
        <f>HYPERLINK("https://klasma.github.io/Logging_2081/klagomål/A 55057-2025 FSC-klagomål.docx", "A 55057-2025")</f>
        <v/>
      </c>
      <c r="W520">
        <f>HYPERLINK("https://klasma.github.io/Logging_2081/klagomålsmail/A 55057-2025 FSC-klagomål mail.docx", "A 55057-2025")</f>
        <v/>
      </c>
      <c r="X520">
        <f>HYPERLINK("https://klasma.github.io/Logging_2081/tillsyn/A 55057-2025 tillsynsbegäran.docx", "A 55057-2025")</f>
        <v/>
      </c>
      <c r="Y520">
        <f>HYPERLINK("https://klasma.github.io/Logging_2081/tillsynsmail/A 55057-2025 tillsynsbegäran mail.docx", "A 55057-2025")</f>
        <v/>
      </c>
    </row>
    <row r="521" ht="15" customHeight="1">
      <c r="A521" t="inlineStr">
        <is>
          <t>A 55218-2025</t>
        </is>
      </c>
      <c r="B521" s="1" t="n">
        <v>45968.58936342593</v>
      </c>
      <c r="C521" s="1" t="n">
        <v>46114</v>
      </c>
      <c r="D521" t="inlineStr">
        <is>
          <t>DALARNAS LÄN</t>
        </is>
      </c>
      <c r="E521" t="inlineStr">
        <is>
          <t>ÄLVDALEN</t>
        </is>
      </c>
      <c r="F521" t="inlineStr">
        <is>
          <t>Sveaskog</t>
        </is>
      </c>
      <c r="G521" t="n">
        <v>3.5</v>
      </c>
      <c r="H521" t="n">
        <v>1</v>
      </c>
      <c r="I521" t="n">
        <v>1</v>
      </c>
      <c r="J521" t="n">
        <v>1</v>
      </c>
      <c r="K521" t="n">
        <v>1</v>
      </c>
      <c r="L521" t="n">
        <v>0</v>
      </c>
      <c r="M521" t="n">
        <v>0</v>
      </c>
      <c r="N521" t="n">
        <v>0</v>
      </c>
      <c r="O521" t="n">
        <v>2</v>
      </c>
      <c r="P521" t="n">
        <v>1</v>
      </c>
      <c r="Q521" t="n">
        <v>3</v>
      </c>
      <c r="R521" s="2" t="inlineStr">
        <is>
          <t>Gräddporing
Varglav
Dropptaggsvamp</t>
        </is>
      </c>
      <c r="S521">
        <f>HYPERLINK("https://klasma.github.io/Logging_2039/artfynd/A 55218-2025 artfynd.xlsx", "A 55218-2025")</f>
        <v/>
      </c>
      <c r="T521">
        <f>HYPERLINK("https://klasma.github.io/Logging_2039/kartor/A 55218-2025 karta.png", "A 55218-2025")</f>
        <v/>
      </c>
      <c r="V521">
        <f>HYPERLINK("https://klasma.github.io/Logging_2039/klagomål/A 55218-2025 FSC-klagomål.docx", "A 55218-2025")</f>
        <v/>
      </c>
      <c r="W521">
        <f>HYPERLINK("https://klasma.github.io/Logging_2039/klagomålsmail/A 55218-2025 FSC-klagomål mail.docx", "A 55218-2025")</f>
        <v/>
      </c>
      <c r="X521">
        <f>HYPERLINK("https://klasma.github.io/Logging_2039/tillsyn/A 55218-2025 tillsynsbegäran.docx", "A 55218-2025")</f>
        <v/>
      </c>
      <c r="Y521">
        <f>HYPERLINK("https://klasma.github.io/Logging_2039/tillsynsmail/A 55218-2025 tillsynsbegäran mail.docx", "A 55218-2025")</f>
        <v/>
      </c>
    </row>
    <row r="522" ht="15" customHeight="1">
      <c r="A522" t="inlineStr">
        <is>
          <t>A 57469-2025</t>
        </is>
      </c>
      <c r="B522" s="1" t="n">
        <v>45980.55704861111</v>
      </c>
      <c r="C522" s="1" t="n">
        <v>46114</v>
      </c>
      <c r="D522" t="inlineStr">
        <is>
          <t>DALARNAS LÄN</t>
        </is>
      </c>
      <c r="E522" t="inlineStr">
        <is>
          <t>AVESTA</t>
        </is>
      </c>
      <c r="G522" t="n">
        <v>3</v>
      </c>
      <c r="H522" t="n">
        <v>2</v>
      </c>
      <c r="I522" t="n">
        <v>1</v>
      </c>
      <c r="J522" t="n">
        <v>1</v>
      </c>
      <c r="K522" t="n">
        <v>0</v>
      </c>
      <c r="L522" t="n">
        <v>0</v>
      </c>
      <c r="M522" t="n">
        <v>0</v>
      </c>
      <c r="N522" t="n">
        <v>0</v>
      </c>
      <c r="O522" t="n">
        <v>1</v>
      </c>
      <c r="P522" t="n">
        <v>0</v>
      </c>
      <c r="Q522" t="n">
        <v>3</v>
      </c>
      <c r="R522" s="2" t="inlineStr">
        <is>
          <t>Talltita
Vågbandad barkbock
Järnsparv</t>
        </is>
      </c>
      <c r="S522">
        <f>HYPERLINK("https://klasma.github.io/Logging_2084/artfynd/A 57469-2025 artfynd.xlsx", "A 57469-2025")</f>
        <v/>
      </c>
      <c r="T522">
        <f>HYPERLINK("https://klasma.github.io/Logging_2084/kartor/A 57469-2025 karta.png", "A 57469-2025")</f>
        <v/>
      </c>
      <c r="V522">
        <f>HYPERLINK("https://klasma.github.io/Logging_2084/klagomål/A 57469-2025 FSC-klagomål.docx", "A 57469-2025")</f>
        <v/>
      </c>
      <c r="W522">
        <f>HYPERLINK("https://klasma.github.io/Logging_2084/klagomålsmail/A 57469-2025 FSC-klagomål mail.docx", "A 57469-2025")</f>
        <v/>
      </c>
      <c r="X522">
        <f>HYPERLINK("https://klasma.github.io/Logging_2084/tillsyn/A 57469-2025 tillsynsbegäran.docx", "A 57469-2025")</f>
        <v/>
      </c>
      <c r="Y522">
        <f>HYPERLINK("https://klasma.github.io/Logging_2084/tillsynsmail/A 57469-2025 tillsynsbegäran mail.docx", "A 57469-2025")</f>
        <v/>
      </c>
      <c r="Z522">
        <f>HYPERLINK("https://klasma.github.io/Logging_2084/fåglar/A 57469-2025 prioriterade fågelarter.docx", "A 57469-2025")</f>
        <v/>
      </c>
    </row>
    <row r="523" ht="15" customHeight="1">
      <c r="A523" t="inlineStr">
        <is>
          <t>A 4682-2025</t>
        </is>
      </c>
      <c r="B523" s="1" t="n">
        <v>45687.86734953704</v>
      </c>
      <c r="C523" s="1" t="n">
        <v>46114</v>
      </c>
      <c r="D523" t="inlineStr">
        <is>
          <t>DALARNAS LÄN</t>
        </is>
      </c>
      <c r="E523" t="inlineStr">
        <is>
          <t>BORLÄNGE</t>
        </is>
      </c>
      <c r="G523" t="n">
        <v>0.6</v>
      </c>
      <c r="H523" t="n">
        <v>1</v>
      </c>
      <c r="I523" t="n">
        <v>1</v>
      </c>
      <c r="J523" t="n">
        <v>1</v>
      </c>
      <c r="K523" t="n">
        <v>0</v>
      </c>
      <c r="L523" t="n">
        <v>0</v>
      </c>
      <c r="M523" t="n">
        <v>0</v>
      </c>
      <c r="N523" t="n">
        <v>0</v>
      </c>
      <c r="O523" t="n">
        <v>1</v>
      </c>
      <c r="P523" t="n">
        <v>0</v>
      </c>
      <c r="Q523" t="n">
        <v>3</v>
      </c>
      <c r="R523" s="2" t="inlineStr">
        <is>
          <t>Granticka
Vedticka
Tjäder</t>
        </is>
      </c>
      <c r="S523">
        <f>HYPERLINK("https://klasma.github.io/Logging_2081/artfynd/A 4682-2025 artfynd.xlsx", "A 4682-2025")</f>
        <v/>
      </c>
      <c r="T523">
        <f>HYPERLINK("https://klasma.github.io/Logging_2081/kartor/A 4682-2025 karta.png", "A 4682-2025")</f>
        <v/>
      </c>
      <c r="V523">
        <f>HYPERLINK("https://klasma.github.io/Logging_2081/klagomål/A 4682-2025 FSC-klagomål.docx", "A 4682-2025")</f>
        <v/>
      </c>
      <c r="W523">
        <f>HYPERLINK("https://klasma.github.io/Logging_2081/klagomålsmail/A 4682-2025 FSC-klagomål mail.docx", "A 4682-2025")</f>
        <v/>
      </c>
      <c r="X523">
        <f>HYPERLINK("https://klasma.github.io/Logging_2081/tillsyn/A 4682-2025 tillsynsbegäran.docx", "A 4682-2025")</f>
        <v/>
      </c>
      <c r="Y523">
        <f>HYPERLINK("https://klasma.github.io/Logging_2081/tillsynsmail/A 4682-2025 tillsynsbegäran mail.docx", "A 4682-2025")</f>
        <v/>
      </c>
      <c r="Z523">
        <f>HYPERLINK("https://klasma.github.io/Logging_2081/fåglar/A 4682-2025 prioriterade fågelarter.docx", "A 4682-2025")</f>
        <v/>
      </c>
    </row>
    <row r="524" ht="15" customHeight="1">
      <c r="A524" t="inlineStr">
        <is>
          <t>A 30405-2025</t>
        </is>
      </c>
      <c r="B524" s="1" t="n">
        <v>45827</v>
      </c>
      <c r="C524" s="1" t="n">
        <v>46114</v>
      </c>
      <c r="D524" t="inlineStr">
        <is>
          <t>DALARNAS LÄN</t>
        </is>
      </c>
      <c r="E524" t="inlineStr">
        <is>
          <t>FALUN</t>
        </is>
      </c>
      <c r="G524" t="n">
        <v>2.2</v>
      </c>
      <c r="H524" t="n">
        <v>1</v>
      </c>
      <c r="I524" t="n">
        <v>0</v>
      </c>
      <c r="J524" t="n">
        <v>2</v>
      </c>
      <c r="K524" t="n">
        <v>1</v>
      </c>
      <c r="L524" t="n">
        <v>0</v>
      </c>
      <c r="M524" t="n">
        <v>0</v>
      </c>
      <c r="N524" t="n">
        <v>0</v>
      </c>
      <c r="O524" t="n">
        <v>3</v>
      </c>
      <c r="P524" t="n">
        <v>1</v>
      </c>
      <c r="Q524" t="n">
        <v>3</v>
      </c>
      <c r="R524" s="2" t="inlineStr">
        <is>
          <t>Knärot
Kötticka
Vitgrynig nållav</t>
        </is>
      </c>
      <c r="S524">
        <f>HYPERLINK("https://klasma.github.io/Logging_2080/artfynd/A 30405-2025 artfynd.xlsx", "A 30405-2025")</f>
        <v/>
      </c>
      <c r="T524">
        <f>HYPERLINK("https://klasma.github.io/Logging_2080/kartor/A 30405-2025 karta.png", "A 30405-2025")</f>
        <v/>
      </c>
      <c r="U524">
        <f>HYPERLINK("https://klasma.github.io/Logging_2080/knärot/A 30405-2025 karta knärot.png", "A 30405-2025")</f>
        <v/>
      </c>
      <c r="V524">
        <f>HYPERLINK("https://klasma.github.io/Logging_2080/klagomål/A 30405-2025 FSC-klagomål.docx", "A 30405-2025")</f>
        <v/>
      </c>
      <c r="W524">
        <f>HYPERLINK("https://klasma.github.io/Logging_2080/klagomålsmail/A 30405-2025 FSC-klagomål mail.docx", "A 30405-2025")</f>
        <v/>
      </c>
      <c r="X524">
        <f>HYPERLINK("https://klasma.github.io/Logging_2080/tillsyn/A 30405-2025 tillsynsbegäran.docx", "A 30405-2025")</f>
        <v/>
      </c>
      <c r="Y524">
        <f>HYPERLINK("https://klasma.github.io/Logging_2080/tillsynsmail/A 30405-2025 tillsynsbegäran mail.docx", "A 30405-2025")</f>
        <v/>
      </c>
    </row>
    <row r="525" ht="15" customHeight="1">
      <c r="A525" t="inlineStr">
        <is>
          <t>A 59587-2025</t>
        </is>
      </c>
      <c r="B525" s="1" t="n">
        <v>45992.33722222222</v>
      </c>
      <c r="C525" s="1" t="n">
        <v>46114</v>
      </c>
      <c r="D525" t="inlineStr">
        <is>
          <t>DALARNAS LÄN</t>
        </is>
      </c>
      <c r="E525" t="inlineStr">
        <is>
          <t>ÄLVDALEN</t>
        </is>
      </c>
      <c r="F525" t="inlineStr">
        <is>
          <t>Sveaskog</t>
        </is>
      </c>
      <c r="G525" t="n">
        <v>10.7</v>
      </c>
      <c r="H525" t="n">
        <v>0</v>
      </c>
      <c r="I525" t="n">
        <v>1</v>
      </c>
      <c r="J525" t="n">
        <v>2</v>
      </c>
      <c r="K525" t="n">
        <v>0</v>
      </c>
      <c r="L525" t="n">
        <v>0</v>
      </c>
      <c r="M525" t="n">
        <v>0</v>
      </c>
      <c r="N525" t="n">
        <v>0</v>
      </c>
      <c r="O525" t="n">
        <v>2</v>
      </c>
      <c r="P525" t="n">
        <v>0</v>
      </c>
      <c r="Q525" t="n">
        <v>3</v>
      </c>
      <c r="R525" s="2" t="inlineStr">
        <is>
          <t>Kolflarnlav
Vedflamlav
Dropptaggsvamp</t>
        </is>
      </c>
      <c r="S525">
        <f>HYPERLINK("https://klasma.github.io/Logging_2039/artfynd/A 59587-2025 artfynd.xlsx", "A 59587-2025")</f>
        <v/>
      </c>
      <c r="T525">
        <f>HYPERLINK("https://klasma.github.io/Logging_2039/kartor/A 59587-2025 karta.png", "A 59587-2025")</f>
        <v/>
      </c>
      <c r="V525">
        <f>HYPERLINK("https://klasma.github.io/Logging_2039/klagomål/A 59587-2025 FSC-klagomål.docx", "A 59587-2025")</f>
        <v/>
      </c>
      <c r="W525">
        <f>HYPERLINK("https://klasma.github.io/Logging_2039/klagomålsmail/A 59587-2025 FSC-klagomål mail.docx", "A 59587-2025")</f>
        <v/>
      </c>
      <c r="X525">
        <f>HYPERLINK("https://klasma.github.io/Logging_2039/tillsyn/A 59587-2025 tillsynsbegäran.docx", "A 59587-2025")</f>
        <v/>
      </c>
      <c r="Y525">
        <f>HYPERLINK("https://klasma.github.io/Logging_2039/tillsynsmail/A 59587-2025 tillsynsbegäran mail.docx", "A 59587-2025")</f>
        <v/>
      </c>
    </row>
    <row r="526" ht="15" customHeight="1">
      <c r="A526" t="inlineStr">
        <is>
          <t>A 43740-2024</t>
        </is>
      </c>
      <c r="B526" s="1" t="n">
        <v>45569.65748842592</v>
      </c>
      <c r="C526" s="1" t="n">
        <v>46114</v>
      </c>
      <c r="D526" t="inlineStr">
        <is>
          <t>DALARNAS LÄN</t>
        </is>
      </c>
      <c r="E526" t="inlineStr">
        <is>
          <t>ÄLVDALEN</t>
        </is>
      </c>
      <c r="F526" t="inlineStr">
        <is>
          <t>Sveaskog</t>
        </is>
      </c>
      <c r="G526" t="n">
        <v>2.3</v>
      </c>
      <c r="H526" t="n">
        <v>0</v>
      </c>
      <c r="I526" t="n">
        <v>0</v>
      </c>
      <c r="J526" t="n">
        <v>3</v>
      </c>
      <c r="K526" t="n">
        <v>0</v>
      </c>
      <c r="L526" t="n">
        <v>0</v>
      </c>
      <c r="M526" t="n">
        <v>0</v>
      </c>
      <c r="N526" t="n">
        <v>0</v>
      </c>
      <c r="O526" t="n">
        <v>3</v>
      </c>
      <c r="P526" t="n">
        <v>0</v>
      </c>
      <c r="Q526" t="n">
        <v>3</v>
      </c>
      <c r="R526" s="2" t="inlineStr">
        <is>
          <t>Kolflarnlav
Mörk kolflarnlav
Vedflamlav</t>
        </is>
      </c>
      <c r="S526">
        <f>HYPERLINK("https://klasma.github.io/Logging_2039/artfynd/A 43740-2024 artfynd.xlsx", "A 43740-2024")</f>
        <v/>
      </c>
      <c r="T526">
        <f>HYPERLINK("https://klasma.github.io/Logging_2039/kartor/A 43740-2024 karta.png", "A 43740-2024")</f>
        <v/>
      </c>
      <c r="V526">
        <f>HYPERLINK("https://klasma.github.io/Logging_2039/klagomål/A 43740-2024 FSC-klagomål.docx", "A 43740-2024")</f>
        <v/>
      </c>
      <c r="W526">
        <f>HYPERLINK("https://klasma.github.io/Logging_2039/klagomålsmail/A 43740-2024 FSC-klagomål mail.docx", "A 43740-2024")</f>
        <v/>
      </c>
      <c r="X526">
        <f>HYPERLINK("https://klasma.github.io/Logging_2039/tillsyn/A 43740-2024 tillsynsbegäran.docx", "A 43740-2024")</f>
        <v/>
      </c>
      <c r="Y526">
        <f>HYPERLINK("https://klasma.github.io/Logging_2039/tillsynsmail/A 43740-2024 tillsynsbegäran mail.docx", "A 43740-2024")</f>
        <v/>
      </c>
    </row>
    <row r="527" ht="15" customHeight="1">
      <c r="A527" t="inlineStr">
        <is>
          <t>A 60940-2025</t>
        </is>
      </c>
      <c r="B527" s="1" t="n">
        <v>45999.64314814815</v>
      </c>
      <c r="C527" s="1" t="n">
        <v>46114</v>
      </c>
      <c r="D527" t="inlineStr">
        <is>
          <t>DALARNAS LÄN</t>
        </is>
      </c>
      <c r="E527" t="inlineStr">
        <is>
          <t>FALUN</t>
        </is>
      </c>
      <c r="F527" t="inlineStr">
        <is>
          <t>Bergvik skog väst AB</t>
        </is>
      </c>
      <c r="G527" t="n">
        <v>13.7</v>
      </c>
      <c r="H527" t="n">
        <v>1</v>
      </c>
      <c r="I527" t="n">
        <v>0</v>
      </c>
      <c r="J527" t="n">
        <v>2</v>
      </c>
      <c r="K527" t="n">
        <v>0</v>
      </c>
      <c r="L527" t="n">
        <v>0</v>
      </c>
      <c r="M527" t="n">
        <v>0</v>
      </c>
      <c r="N527" t="n">
        <v>0</v>
      </c>
      <c r="O527" t="n">
        <v>2</v>
      </c>
      <c r="P527" t="n">
        <v>0</v>
      </c>
      <c r="Q527" t="n">
        <v>3</v>
      </c>
      <c r="R527" s="2" t="inlineStr">
        <is>
          <t>Kortskaftad ärgspik
Tallticka
Tjäder</t>
        </is>
      </c>
      <c r="S527">
        <f>HYPERLINK("https://klasma.github.io/Logging_2080/artfynd/A 60940-2025 artfynd.xlsx", "A 60940-2025")</f>
        <v/>
      </c>
      <c r="T527">
        <f>HYPERLINK("https://klasma.github.io/Logging_2080/kartor/A 60940-2025 karta.png", "A 60940-2025")</f>
        <v/>
      </c>
      <c r="V527">
        <f>HYPERLINK("https://klasma.github.io/Logging_2080/klagomål/A 60940-2025 FSC-klagomål.docx", "A 60940-2025")</f>
        <v/>
      </c>
      <c r="W527">
        <f>HYPERLINK("https://klasma.github.io/Logging_2080/klagomålsmail/A 60940-2025 FSC-klagomål mail.docx", "A 60940-2025")</f>
        <v/>
      </c>
      <c r="X527">
        <f>HYPERLINK("https://klasma.github.io/Logging_2080/tillsyn/A 60940-2025 tillsynsbegäran.docx", "A 60940-2025")</f>
        <v/>
      </c>
      <c r="Y527">
        <f>HYPERLINK("https://klasma.github.io/Logging_2080/tillsynsmail/A 60940-2025 tillsynsbegäran mail.docx", "A 60940-2025")</f>
        <v/>
      </c>
      <c r="Z527">
        <f>HYPERLINK("https://klasma.github.io/Logging_2080/fåglar/A 60940-2025 prioriterade fågelarter.docx", "A 60940-2025")</f>
        <v/>
      </c>
    </row>
    <row r="528" ht="15" customHeight="1">
      <c r="A528" t="inlineStr">
        <is>
          <t>A 43226-2025</t>
        </is>
      </c>
      <c r="B528" s="1" t="n">
        <v>45910</v>
      </c>
      <c r="C528" s="1" t="n">
        <v>46114</v>
      </c>
      <c r="D528" t="inlineStr">
        <is>
          <t>DALARNAS LÄN</t>
        </is>
      </c>
      <c r="E528" t="inlineStr">
        <is>
          <t>LUDVIKA</t>
        </is>
      </c>
      <c r="G528" t="n">
        <v>1.1</v>
      </c>
      <c r="H528" t="n">
        <v>1</v>
      </c>
      <c r="I528" t="n">
        <v>2</v>
      </c>
      <c r="J528" t="n">
        <v>1</v>
      </c>
      <c r="K528" t="n">
        <v>0</v>
      </c>
      <c r="L528" t="n">
        <v>0</v>
      </c>
      <c r="M528" t="n">
        <v>0</v>
      </c>
      <c r="N528" t="n">
        <v>0</v>
      </c>
      <c r="O528" t="n">
        <v>1</v>
      </c>
      <c r="P528" t="n">
        <v>0</v>
      </c>
      <c r="Q528" t="n">
        <v>3</v>
      </c>
      <c r="R528" s="2" t="inlineStr">
        <is>
          <t>Tretåig hackspett
Rävticka
Rödgul trumpetsvamp</t>
        </is>
      </c>
      <c r="S528">
        <f>HYPERLINK("https://klasma.github.io/Logging_2085/artfynd/A 43226-2025 artfynd.xlsx", "A 43226-2025")</f>
        <v/>
      </c>
      <c r="T528">
        <f>HYPERLINK("https://klasma.github.io/Logging_2085/kartor/A 43226-2025 karta.png", "A 43226-2025")</f>
        <v/>
      </c>
      <c r="V528">
        <f>HYPERLINK("https://klasma.github.io/Logging_2085/klagomål/A 43226-2025 FSC-klagomål.docx", "A 43226-2025")</f>
        <v/>
      </c>
      <c r="W528">
        <f>HYPERLINK("https://klasma.github.io/Logging_2085/klagomålsmail/A 43226-2025 FSC-klagomål mail.docx", "A 43226-2025")</f>
        <v/>
      </c>
      <c r="X528">
        <f>HYPERLINK("https://klasma.github.io/Logging_2085/tillsyn/A 43226-2025 tillsynsbegäran.docx", "A 43226-2025")</f>
        <v/>
      </c>
      <c r="Y528">
        <f>HYPERLINK("https://klasma.github.io/Logging_2085/tillsynsmail/A 43226-2025 tillsynsbegäran mail.docx", "A 43226-2025")</f>
        <v/>
      </c>
      <c r="Z528">
        <f>HYPERLINK("https://klasma.github.io/Logging_2085/fåglar/A 43226-2025 prioriterade fågelarter.docx", "A 43226-2025")</f>
        <v/>
      </c>
    </row>
    <row r="529" ht="15" customHeight="1">
      <c r="A529" t="inlineStr">
        <is>
          <t>A 51070-2025</t>
        </is>
      </c>
      <c r="B529" s="1" t="n">
        <v>45947.45513888889</v>
      </c>
      <c r="C529" s="1" t="n">
        <v>46114</v>
      </c>
      <c r="D529" t="inlineStr">
        <is>
          <t>DALARNAS LÄN</t>
        </is>
      </c>
      <c r="E529" t="inlineStr">
        <is>
          <t>ORSA</t>
        </is>
      </c>
      <c r="G529" t="n">
        <v>2.8</v>
      </c>
      <c r="H529" t="n">
        <v>1</v>
      </c>
      <c r="I529" t="n">
        <v>0</v>
      </c>
      <c r="J529" t="n">
        <v>2</v>
      </c>
      <c r="K529" t="n">
        <v>0</v>
      </c>
      <c r="L529" t="n">
        <v>0</v>
      </c>
      <c r="M529" t="n">
        <v>0</v>
      </c>
      <c r="N529" t="n">
        <v>0</v>
      </c>
      <c r="O529" t="n">
        <v>2</v>
      </c>
      <c r="P529" t="n">
        <v>0</v>
      </c>
      <c r="Q529" t="n">
        <v>3</v>
      </c>
      <c r="R529" s="2" t="inlineStr">
        <is>
          <t>Garnlav
Lunglav
Tjäder</t>
        </is>
      </c>
      <c r="S529">
        <f>HYPERLINK("https://klasma.github.io/Logging_2034/artfynd/A 51070-2025 artfynd.xlsx", "A 51070-2025")</f>
        <v/>
      </c>
      <c r="T529">
        <f>HYPERLINK("https://klasma.github.io/Logging_2034/kartor/A 51070-2025 karta.png", "A 51070-2025")</f>
        <v/>
      </c>
      <c r="V529">
        <f>HYPERLINK("https://klasma.github.io/Logging_2034/klagomål/A 51070-2025 FSC-klagomål.docx", "A 51070-2025")</f>
        <v/>
      </c>
      <c r="W529">
        <f>HYPERLINK("https://klasma.github.io/Logging_2034/klagomålsmail/A 51070-2025 FSC-klagomål mail.docx", "A 51070-2025")</f>
        <v/>
      </c>
      <c r="X529">
        <f>HYPERLINK("https://klasma.github.io/Logging_2034/tillsyn/A 51070-2025 tillsynsbegäran.docx", "A 51070-2025")</f>
        <v/>
      </c>
      <c r="Y529">
        <f>HYPERLINK("https://klasma.github.io/Logging_2034/tillsynsmail/A 51070-2025 tillsynsbegäran mail.docx", "A 51070-2025")</f>
        <v/>
      </c>
      <c r="Z529">
        <f>HYPERLINK("https://klasma.github.io/Logging_2034/fåglar/A 51070-2025 prioriterade fågelarter.docx", "A 51070-2025")</f>
        <v/>
      </c>
    </row>
    <row r="530" ht="15" customHeight="1">
      <c r="A530" t="inlineStr">
        <is>
          <t>A 61163-2025</t>
        </is>
      </c>
      <c r="B530" s="1" t="n">
        <v>46000.55846064815</v>
      </c>
      <c r="C530" s="1" t="n">
        <v>46114</v>
      </c>
      <c r="D530" t="inlineStr">
        <is>
          <t>DALARNAS LÄN</t>
        </is>
      </c>
      <c r="E530" t="inlineStr">
        <is>
          <t>ORSA</t>
        </is>
      </c>
      <c r="G530" t="n">
        <v>6.4</v>
      </c>
      <c r="H530" t="n">
        <v>1</v>
      </c>
      <c r="I530" t="n">
        <v>1</v>
      </c>
      <c r="J530" t="n">
        <v>1</v>
      </c>
      <c r="K530" t="n">
        <v>0</v>
      </c>
      <c r="L530" t="n">
        <v>0</v>
      </c>
      <c r="M530" t="n">
        <v>0</v>
      </c>
      <c r="N530" t="n">
        <v>0</v>
      </c>
      <c r="O530" t="n">
        <v>1</v>
      </c>
      <c r="P530" t="n">
        <v>0</v>
      </c>
      <c r="Q530" t="n">
        <v>3</v>
      </c>
      <c r="R530" s="2" t="inlineStr">
        <is>
          <t>Garnlav
Mindre märgborre
Mattlummer</t>
        </is>
      </c>
      <c r="S530">
        <f>HYPERLINK("https://klasma.github.io/Logging_2034/artfynd/A 61163-2025 artfynd.xlsx", "A 61163-2025")</f>
        <v/>
      </c>
      <c r="T530">
        <f>HYPERLINK("https://klasma.github.io/Logging_2034/kartor/A 61163-2025 karta.png", "A 61163-2025")</f>
        <v/>
      </c>
      <c r="V530">
        <f>HYPERLINK("https://klasma.github.io/Logging_2034/klagomål/A 61163-2025 FSC-klagomål.docx", "A 61163-2025")</f>
        <v/>
      </c>
      <c r="W530">
        <f>HYPERLINK("https://klasma.github.io/Logging_2034/klagomålsmail/A 61163-2025 FSC-klagomål mail.docx", "A 61163-2025")</f>
        <v/>
      </c>
      <c r="X530">
        <f>HYPERLINK("https://klasma.github.io/Logging_2034/tillsyn/A 61163-2025 tillsynsbegäran.docx", "A 61163-2025")</f>
        <v/>
      </c>
      <c r="Y530">
        <f>HYPERLINK("https://klasma.github.io/Logging_2034/tillsynsmail/A 61163-2025 tillsynsbegäran mail.docx", "A 61163-2025")</f>
        <v/>
      </c>
    </row>
    <row r="531" ht="15" customHeight="1">
      <c r="A531" t="inlineStr">
        <is>
          <t>A 2409-2022</t>
        </is>
      </c>
      <c r="B531" s="1" t="n">
        <v>44579</v>
      </c>
      <c r="C531" s="1" t="n">
        <v>46114</v>
      </c>
      <c r="D531" t="inlineStr">
        <is>
          <t>DALARNAS LÄN</t>
        </is>
      </c>
      <c r="E531" t="inlineStr">
        <is>
          <t>HEDEMORA</t>
        </is>
      </c>
      <c r="G531" t="n">
        <v>3.1</v>
      </c>
      <c r="H531" t="n">
        <v>1</v>
      </c>
      <c r="I531" t="n">
        <v>1</v>
      </c>
      <c r="J531" t="n">
        <v>1</v>
      </c>
      <c r="K531" t="n">
        <v>1</v>
      </c>
      <c r="L531" t="n">
        <v>0</v>
      </c>
      <c r="M531" t="n">
        <v>0</v>
      </c>
      <c r="N531" t="n">
        <v>0</v>
      </c>
      <c r="O531" t="n">
        <v>2</v>
      </c>
      <c r="P531" t="n">
        <v>1</v>
      </c>
      <c r="Q531" t="n">
        <v>3</v>
      </c>
      <c r="R531" s="2" t="inlineStr">
        <is>
          <t>Knärot
Ullticka
Vedticka</t>
        </is>
      </c>
      <c r="S531">
        <f>HYPERLINK("https://klasma.github.io/Logging_2083/artfynd/A 2409-2022 artfynd.xlsx", "A 2409-2022")</f>
        <v/>
      </c>
      <c r="T531">
        <f>HYPERLINK("https://klasma.github.io/Logging_2083/kartor/A 2409-2022 karta.png", "A 2409-2022")</f>
        <v/>
      </c>
      <c r="U531">
        <f>HYPERLINK("https://klasma.github.io/Logging_2083/knärot/A 2409-2022 karta knärot.png", "A 2409-2022")</f>
        <v/>
      </c>
      <c r="V531">
        <f>HYPERLINK("https://klasma.github.io/Logging_2083/klagomål/A 2409-2022 FSC-klagomål.docx", "A 2409-2022")</f>
        <v/>
      </c>
      <c r="W531">
        <f>HYPERLINK("https://klasma.github.io/Logging_2083/klagomålsmail/A 2409-2022 FSC-klagomål mail.docx", "A 2409-2022")</f>
        <v/>
      </c>
      <c r="X531">
        <f>HYPERLINK("https://klasma.github.io/Logging_2083/tillsyn/A 2409-2022 tillsynsbegäran.docx", "A 2409-2022")</f>
        <v/>
      </c>
      <c r="Y531">
        <f>HYPERLINK("https://klasma.github.io/Logging_2083/tillsynsmail/A 2409-2022 tillsynsbegäran mail.docx", "A 2409-2022")</f>
        <v/>
      </c>
    </row>
    <row r="532" ht="15" customHeight="1">
      <c r="A532" t="inlineStr">
        <is>
          <t>A 62620-2025</t>
        </is>
      </c>
      <c r="B532" s="1" t="n">
        <v>46008.34148148148</v>
      </c>
      <c r="C532" s="1" t="n">
        <v>46114</v>
      </c>
      <c r="D532" t="inlineStr">
        <is>
          <t>DALARNAS LÄN</t>
        </is>
      </c>
      <c r="E532" t="inlineStr">
        <is>
          <t>MORA</t>
        </is>
      </c>
      <c r="G532" t="n">
        <v>3.3</v>
      </c>
      <c r="H532" t="n">
        <v>1</v>
      </c>
      <c r="I532" t="n">
        <v>1</v>
      </c>
      <c r="J532" t="n">
        <v>2</v>
      </c>
      <c r="K532" t="n">
        <v>0</v>
      </c>
      <c r="L532" t="n">
        <v>0</v>
      </c>
      <c r="M532" t="n">
        <v>0</v>
      </c>
      <c r="N532" t="n">
        <v>0</v>
      </c>
      <c r="O532" t="n">
        <v>2</v>
      </c>
      <c r="P532" t="n">
        <v>0</v>
      </c>
      <c r="Q532" t="n">
        <v>3</v>
      </c>
      <c r="R532" s="2" t="inlineStr">
        <is>
          <t>Garnlav
Tretåig hackspett
Mindre märgborre</t>
        </is>
      </c>
      <c r="S532">
        <f>HYPERLINK("https://klasma.github.io/Logging_2062/artfynd/A 62620-2025 artfynd.xlsx", "A 62620-2025")</f>
        <v/>
      </c>
      <c r="T532">
        <f>HYPERLINK("https://klasma.github.io/Logging_2062/kartor/A 62620-2025 karta.png", "A 62620-2025")</f>
        <v/>
      </c>
      <c r="V532">
        <f>HYPERLINK("https://klasma.github.io/Logging_2062/klagomål/A 62620-2025 FSC-klagomål.docx", "A 62620-2025")</f>
        <v/>
      </c>
      <c r="W532">
        <f>HYPERLINK("https://klasma.github.io/Logging_2062/klagomålsmail/A 62620-2025 FSC-klagomål mail.docx", "A 62620-2025")</f>
        <v/>
      </c>
      <c r="X532">
        <f>HYPERLINK("https://klasma.github.io/Logging_2062/tillsyn/A 62620-2025 tillsynsbegäran.docx", "A 62620-2025")</f>
        <v/>
      </c>
      <c r="Y532">
        <f>HYPERLINK("https://klasma.github.io/Logging_2062/tillsynsmail/A 62620-2025 tillsynsbegäran mail.docx", "A 62620-2025")</f>
        <v/>
      </c>
      <c r="Z532">
        <f>HYPERLINK("https://klasma.github.io/Logging_2062/fåglar/A 62620-2025 prioriterade fågelarter.docx", "A 62620-2025")</f>
        <v/>
      </c>
    </row>
    <row r="533" ht="15" customHeight="1">
      <c r="A533" t="inlineStr">
        <is>
          <t>A 63164-2025</t>
        </is>
      </c>
      <c r="B533" s="1" t="n">
        <v>46010</v>
      </c>
      <c r="C533" s="1" t="n">
        <v>46114</v>
      </c>
      <c r="D533" t="inlineStr">
        <is>
          <t>DALARNAS LÄN</t>
        </is>
      </c>
      <c r="E533" t="inlineStr">
        <is>
          <t>LUDVIKA</t>
        </is>
      </c>
      <c r="F533" t="inlineStr">
        <is>
          <t>Bergvik skog väst AB</t>
        </is>
      </c>
      <c r="G533" t="n">
        <v>3.6</v>
      </c>
      <c r="H533" t="n">
        <v>0</v>
      </c>
      <c r="I533" t="n">
        <v>0</v>
      </c>
      <c r="J533" t="n">
        <v>3</v>
      </c>
      <c r="K533" t="n">
        <v>0</v>
      </c>
      <c r="L533" t="n">
        <v>0</v>
      </c>
      <c r="M533" t="n">
        <v>0</v>
      </c>
      <c r="N533" t="n">
        <v>0</v>
      </c>
      <c r="O533" t="n">
        <v>3</v>
      </c>
      <c r="P533" t="n">
        <v>0</v>
      </c>
      <c r="Q533" t="n">
        <v>3</v>
      </c>
      <c r="R533" s="2" t="inlineStr">
        <is>
          <t>Doftskinn
Garnlav
Vedskivlav</t>
        </is>
      </c>
      <c r="S533">
        <f>HYPERLINK("https://klasma.github.io/Logging_2085/artfynd/A 63164-2025 artfynd.xlsx", "A 63164-2025")</f>
        <v/>
      </c>
      <c r="T533">
        <f>HYPERLINK("https://klasma.github.io/Logging_2085/kartor/A 63164-2025 karta.png", "A 63164-2025")</f>
        <v/>
      </c>
      <c r="V533">
        <f>HYPERLINK("https://klasma.github.io/Logging_2085/klagomål/A 63164-2025 FSC-klagomål.docx", "A 63164-2025")</f>
        <v/>
      </c>
      <c r="W533">
        <f>HYPERLINK("https://klasma.github.io/Logging_2085/klagomålsmail/A 63164-2025 FSC-klagomål mail.docx", "A 63164-2025")</f>
        <v/>
      </c>
      <c r="X533">
        <f>HYPERLINK("https://klasma.github.io/Logging_2085/tillsyn/A 63164-2025 tillsynsbegäran.docx", "A 63164-2025")</f>
        <v/>
      </c>
      <c r="Y533">
        <f>HYPERLINK("https://klasma.github.io/Logging_2085/tillsynsmail/A 63164-2025 tillsynsbegäran mail.docx", "A 63164-2025")</f>
        <v/>
      </c>
    </row>
    <row r="534" ht="15" customHeight="1">
      <c r="A534" t="inlineStr">
        <is>
          <t>A 32403-2023</t>
        </is>
      </c>
      <c r="B534" s="1" t="n">
        <v>45120</v>
      </c>
      <c r="C534" s="1" t="n">
        <v>46114</v>
      </c>
      <c r="D534" t="inlineStr">
        <is>
          <t>DALARNAS LÄN</t>
        </is>
      </c>
      <c r="E534" t="inlineStr">
        <is>
          <t>ÄLVDALEN</t>
        </is>
      </c>
      <c r="F534" t="inlineStr">
        <is>
          <t>Sveaskog</t>
        </is>
      </c>
      <c r="G534" t="n">
        <v>3</v>
      </c>
      <c r="H534" t="n">
        <v>0</v>
      </c>
      <c r="I534" t="n">
        <v>0</v>
      </c>
      <c r="J534" t="n">
        <v>3</v>
      </c>
      <c r="K534" t="n">
        <v>0</v>
      </c>
      <c r="L534" t="n">
        <v>0</v>
      </c>
      <c r="M534" t="n">
        <v>0</v>
      </c>
      <c r="N534" t="n">
        <v>0</v>
      </c>
      <c r="O534" t="n">
        <v>3</v>
      </c>
      <c r="P534" t="n">
        <v>0</v>
      </c>
      <c r="Q534" t="n">
        <v>3</v>
      </c>
      <c r="R534" s="2" t="inlineStr">
        <is>
          <t>Kolflarnlav
Vedflamlav
Vedskivlav</t>
        </is>
      </c>
      <c r="S534">
        <f>HYPERLINK("https://klasma.github.io/Logging_2039/artfynd/A 32403-2023 artfynd.xlsx", "A 32403-2023")</f>
        <v/>
      </c>
      <c r="T534">
        <f>HYPERLINK("https://klasma.github.io/Logging_2039/kartor/A 32403-2023 karta.png", "A 32403-2023")</f>
        <v/>
      </c>
      <c r="V534">
        <f>HYPERLINK("https://klasma.github.io/Logging_2039/klagomål/A 32403-2023 FSC-klagomål.docx", "A 32403-2023")</f>
        <v/>
      </c>
      <c r="W534">
        <f>HYPERLINK("https://klasma.github.io/Logging_2039/klagomålsmail/A 32403-2023 FSC-klagomål mail.docx", "A 32403-2023")</f>
        <v/>
      </c>
      <c r="X534">
        <f>HYPERLINK("https://klasma.github.io/Logging_2039/tillsyn/A 32403-2023 tillsynsbegäran.docx", "A 32403-2023")</f>
        <v/>
      </c>
      <c r="Y534">
        <f>HYPERLINK("https://klasma.github.io/Logging_2039/tillsynsmail/A 32403-2023 tillsynsbegäran mail.docx", "A 32403-2023")</f>
        <v/>
      </c>
    </row>
    <row r="535" ht="15" customHeight="1">
      <c r="A535" t="inlineStr">
        <is>
          <t>A 33962-2025</t>
        </is>
      </c>
      <c r="B535" s="1" t="n">
        <v>45842</v>
      </c>
      <c r="C535" s="1" t="n">
        <v>46114</v>
      </c>
      <c r="D535" t="inlineStr">
        <is>
          <t>DALARNAS LÄN</t>
        </is>
      </c>
      <c r="E535" t="inlineStr">
        <is>
          <t>VANSBRO</t>
        </is>
      </c>
      <c r="G535" t="n">
        <v>7</v>
      </c>
      <c r="H535" t="n">
        <v>1</v>
      </c>
      <c r="I535" t="n">
        <v>1</v>
      </c>
      <c r="J535" t="n">
        <v>1</v>
      </c>
      <c r="K535" t="n">
        <v>1</v>
      </c>
      <c r="L535" t="n">
        <v>0</v>
      </c>
      <c r="M535" t="n">
        <v>0</v>
      </c>
      <c r="N535" t="n">
        <v>0</v>
      </c>
      <c r="O535" t="n">
        <v>2</v>
      </c>
      <c r="P535" t="n">
        <v>1</v>
      </c>
      <c r="Q535" t="n">
        <v>3</v>
      </c>
      <c r="R535" s="2" t="inlineStr">
        <is>
          <t>Knärot
Garnlav
Vedticka</t>
        </is>
      </c>
      <c r="S535">
        <f>HYPERLINK("https://klasma.github.io/Logging_2021/artfynd/A 33962-2025 artfynd.xlsx", "A 33962-2025")</f>
        <v/>
      </c>
      <c r="T535">
        <f>HYPERLINK("https://klasma.github.io/Logging_2021/kartor/A 33962-2025 karta.png", "A 33962-2025")</f>
        <v/>
      </c>
      <c r="U535">
        <f>HYPERLINK("https://klasma.github.io/Logging_2021/knärot/A 33962-2025 karta knärot.png", "A 33962-2025")</f>
        <v/>
      </c>
      <c r="V535">
        <f>HYPERLINK("https://klasma.github.io/Logging_2021/klagomål/A 33962-2025 FSC-klagomål.docx", "A 33962-2025")</f>
        <v/>
      </c>
      <c r="W535">
        <f>HYPERLINK("https://klasma.github.io/Logging_2021/klagomålsmail/A 33962-2025 FSC-klagomål mail.docx", "A 33962-2025")</f>
        <v/>
      </c>
      <c r="X535">
        <f>HYPERLINK("https://klasma.github.io/Logging_2021/tillsyn/A 33962-2025 tillsynsbegäran.docx", "A 33962-2025")</f>
        <v/>
      </c>
      <c r="Y535">
        <f>HYPERLINK("https://klasma.github.io/Logging_2021/tillsynsmail/A 33962-2025 tillsynsbegäran mail.docx", "A 33962-2025")</f>
        <v/>
      </c>
    </row>
    <row r="536" ht="15" customHeight="1">
      <c r="A536" t="inlineStr">
        <is>
          <t>A 41921-2022</t>
        </is>
      </c>
      <c r="B536" s="1" t="n">
        <v>44830</v>
      </c>
      <c r="C536" s="1" t="n">
        <v>46114</v>
      </c>
      <c r="D536" t="inlineStr">
        <is>
          <t>DALARNAS LÄN</t>
        </is>
      </c>
      <c r="E536" t="inlineStr">
        <is>
          <t>ÄLVDALEN</t>
        </is>
      </c>
      <c r="F536" t="inlineStr">
        <is>
          <t>Sveaskog</t>
        </is>
      </c>
      <c r="G536" t="n">
        <v>5.4</v>
      </c>
      <c r="H536" t="n">
        <v>1</v>
      </c>
      <c r="I536" t="n">
        <v>0</v>
      </c>
      <c r="J536" t="n">
        <v>3</v>
      </c>
      <c r="K536" t="n">
        <v>0</v>
      </c>
      <c r="L536" t="n">
        <v>0</v>
      </c>
      <c r="M536" t="n">
        <v>0</v>
      </c>
      <c r="N536" t="n">
        <v>0</v>
      </c>
      <c r="O536" t="n">
        <v>3</v>
      </c>
      <c r="P536" t="n">
        <v>0</v>
      </c>
      <c r="Q536" t="n">
        <v>3</v>
      </c>
      <c r="R536" s="2" t="inlineStr">
        <is>
          <t>Blågrå svartspik
Tretåig hackspett
Vedskivlav</t>
        </is>
      </c>
      <c r="S536">
        <f>HYPERLINK("https://klasma.github.io/Logging_2039/artfynd/A 41921-2022 artfynd.xlsx", "A 41921-2022")</f>
        <v/>
      </c>
      <c r="T536">
        <f>HYPERLINK("https://klasma.github.io/Logging_2039/kartor/A 41921-2022 karta.png", "A 41921-2022")</f>
        <v/>
      </c>
      <c r="V536">
        <f>HYPERLINK("https://klasma.github.io/Logging_2039/klagomål/A 41921-2022 FSC-klagomål.docx", "A 41921-2022")</f>
        <v/>
      </c>
      <c r="W536">
        <f>HYPERLINK("https://klasma.github.io/Logging_2039/klagomålsmail/A 41921-2022 FSC-klagomål mail.docx", "A 41921-2022")</f>
        <v/>
      </c>
      <c r="X536">
        <f>HYPERLINK("https://klasma.github.io/Logging_2039/tillsyn/A 41921-2022 tillsynsbegäran.docx", "A 41921-2022")</f>
        <v/>
      </c>
      <c r="Y536">
        <f>HYPERLINK("https://klasma.github.io/Logging_2039/tillsynsmail/A 41921-2022 tillsynsbegäran mail.docx", "A 41921-2022")</f>
        <v/>
      </c>
      <c r="Z536">
        <f>HYPERLINK("https://klasma.github.io/Logging_2039/fåglar/A 41921-2022 prioriterade fågelarter.docx", "A 41921-2022")</f>
        <v/>
      </c>
    </row>
    <row r="537" ht="15" customHeight="1">
      <c r="A537" t="inlineStr">
        <is>
          <t>A 11433-2025</t>
        </is>
      </c>
      <c r="B537" s="1" t="n">
        <v>45726</v>
      </c>
      <c r="C537" s="1" t="n">
        <v>46114</v>
      </c>
      <c r="D537" t="inlineStr">
        <is>
          <t>DALARNAS LÄN</t>
        </is>
      </c>
      <c r="E537" t="inlineStr">
        <is>
          <t>VANSBRO</t>
        </is>
      </c>
      <c r="G537" t="n">
        <v>7.5</v>
      </c>
      <c r="H537" t="n">
        <v>1</v>
      </c>
      <c r="I537" t="n">
        <v>1</v>
      </c>
      <c r="J537" t="n">
        <v>1</v>
      </c>
      <c r="K537" t="n">
        <v>1</v>
      </c>
      <c r="L537" t="n">
        <v>0</v>
      </c>
      <c r="M537" t="n">
        <v>0</v>
      </c>
      <c r="N537" t="n">
        <v>0</v>
      </c>
      <c r="O537" t="n">
        <v>2</v>
      </c>
      <c r="P537" t="n">
        <v>1</v>
      </c>
      <c r="Q537" t="n">
        <v>3</v>
      </c>
      <c r="R537" s="2" t="inlineStr">
        <is>
          <t>Knärot
Garnlav
Bollvitmossa</t>
        </is>
      </c>
      <c r="S537">
        <f>HYPERLINK("https://klasma.github.io/Logging_2021/artfynd/A 11433-2025 artfynd.xlsx", "A 11433-2025")</f>
        <v/>
      </c>
      <c r="T537">
        <f>HYPERLINK("https://klasma.github.io/Logging_2021/kartor/A 11433-2025 karta.png", "A 11433-2025")</f>
        <v/>
      </c>
      <c r="U537">
        <f>HYPERLINK("https://klasma.github.io/Logging_2021/knärot/A 11433-2025 karta knärot.png", "A 11433-2025")</f>
        <v/>
      </c>
      <c r="V537">
        <f>HYPERLINK("https://klasma.github.io/Logging_2021/klagomål/A 11433-2025 FSC-klagomål.docx", "A 11433-2025")</f>
        <v/>
      </c>
      <c r="W537">
        <f>HYPERLINK("https://klasma.github.io/Logging_2021/klagomålsmail/A 11433-2025 FSC-klagomål mail.docx", "A 11433-2025")</f>
        <v/>
      </c>
      <c r="X537">
        <f>HYPERLINK("https://klasma.github.io/Logging_2021/tillsyn/A 11433-2025 tillsynsbegäran.docx", "A 11433-2025")</f>
        <v/>
      </c>
      <c r="Y537">
        <f>HYPERLINK("https://klasma.github.io/Logging_2021/tillsynsmail/A 11433-2025 tillsynsbegäran mail.docx", "A 11433-2025")</f>
        <v/>
      </c>
    </row>
    <row r="538" ht="15" customHeight="1">
      <c r="A538" t="inlineStr">
        <is>
          <t>A 31161-2025</t>
        </is>
      </c>
      <c r="B538" s="1" t="n">
        <v>45832</v>
      </c>
      <c r="C538" s="1" t="n">
        <v>46114</v>
      </c>
      <c r="D538" t="inlineStr">
        <is>
          <t>DALARNAS LÄN</t>
        </is>
      </c>
      <c r="E538" t="inlineStr">
        <is>
          <t>ORSA</t>
        </is>
      </c>
      <c r="G538" t="n">
        <v>1.7</v>
      </c>
      <c r="H538" t="n">
        <v>1</v>
      </c>
      <c r="I538" t="n">
        <v>1</v>
      </c>
      <c r="J538" t="n">
        <v>2</v>
      </c>
      <c r="K538" t="n">
        <v>0</v>
      </c>
      <c r="L538" t="n">
        <v>0</v>
      </c>
      <c r="M538" t="n">
        <v>0</v>
      </c>
      <c r="N538" t="n">
        <v>0</v>
      </c>
      <c r="O538" t="n">
        <v>2</v>
      </c>
      <c r="P538" t="n">
        <v>0</v>
      </c>
      <c r="Q538" t="n">
        <v>3</v>
      </c>
      <c r="R538" s="2" t="inlineStr">
        <is>
          <t>Garnlav
Tretåig hackspett
Bronshjon</t>
        </is>
      </c>
      <c r="S538">
        <f>HYPERLINK("https://klasma.github.io/Logging_2034/artfynd/A 31161-2025 artfynd.xlsx", "A 31161-2025")</f>
        <v/>
      </c>
      <c r="T538">
        <f>HYPERLINK("https://klasma.github.io/Logging_2034/kartor/A 31161-2025 karta.png", "A 31161-2025")</f>
        <v/>
      </c>
      <c r="V538">
        <f>HYPERLINK("https://klasma.github.io/Logging_2034/klagomål/A 31161-2025 FSC-klagomål.docx", "A 31161-2025")</f>
        <v/>
      </c>
      <c r="W538">
        <f>HYPERLINK("https://klasma.github.io/Logging_2034/klagomålsmail/A 31161-2025 FSC-klagomål mail.docx", "A 31161-2025")</f>
        <v/>
      </c>
      <c r="X538">
        <f>HYPERLINK("https://klasma.github.io/Logging_2034/tillsyn/A 31161-2025 tillsynsbegäran.docx", "A 31161-2025")</f>
        <v/>
      </c>
      <c r="Y538">
        <f>HYPERLINK("https://klasma.github.io/Logging_2034/tillsynsmail/A 31161-2025 tillsynsbegäran mail.docx", "A 31161-2025")</f>
        <v/>
      </c>
      <c r="Z538">
        <f>HYPERLINK("https://klasma.github.io/Logging_2034/fåglar/A 31161-2025 prioriterade fågelarter.docx", "A 31161-2025")</f>
        <v/>
      </c>
    </row>
    <row r="539" ht="15" customHeight="1">
      <c r="A539" t="inlineStr">
        <is>
          <t>A 725-2026</t>
        </is>
      </c>
      <c r="B539" s="1" t="n">
        <v>46029.64107638889</v>
      </c>
      <c r="C539" s="1" t="n">
        <v>46114</v>
      </c>
      <c r="D539" t="inlineStr">
        <is>
          <t>DALARNAS LÄN</t>
        </is>
      </c>
      <c r="E539" t="inlineStr">
        <is>
          <t>LUDVIKA</t>
        </is>
      </c>
      <c r="F539" t="inlineStr">
        <is>
          <t>Övriga Aktiebolag</t>
        </is>
      </c>
      <c r="G539" t="n">
        <v>13.9</v>
      </c>
      <c r="H539" t="n">
        <v>2</v>
      </c>
      <c r="I539" t="n">
        <v>0</v>
      </c>
      <c r="J539" t="n">
        <v>1</v>
      </c>
      <c r="K539" t="n">
        <v>0</v>
      </c>
      <c r="L539" t="n">
        <v>1</v>
      </c>
      <c r="M539" t="n">
        <v>0</v>
      </c>
      <c r="N539" t="n">
        <v>0</v>
      </c>
      <c r="O539" t="n">
        <v>2</v>
      </c>
      <c r="P539" t="n">
        <v>1</v>
      </c>
      <c r="Q539" t="n">
        <v>3</v>
      </c>
      <c r="R539" s="2" t="inlineStr">
        <is>
          <t>Mosippa
Vedtrappmossa
Revlummer</t>
        </is>
      </c>
      <c r="S539">
        <f>HYPERLINK("https://klasma.github.io/Logging_2085/artfynd/A 725-2026 artfynd.xlsx", "A 725-2026")</f>
        <v/>
      </c>
      <c r="T539">
        <f>HYPERLINK("https://klasma.github.io/Logging_2085/kartor/A 725-2026 karta.png", "A 725-2026")</f>
        <v/>
      </c>
      <c r="V539">
        <f>HYPERLINK("https://klasma.github.io/Logging_2085/klagomål/A 725-2026 FSC-klagomål.docx", "A 725-2026")</f>
        <v/>
      </c>
      <c r="W539">
        <f>HYPERLINK("https://klasma.github.io/Logging_2085/klagomålsmail/A 725-2026 FSC-klagomål mail.docx", "A 725-2026")</f>
        <v/>
      </c>
      <c r="X539">
        <f>HYPERLINK("https://klasma.github.io/Logging_2085/tillsyn/A 725-2026 tillsynsbegäran.docx", "A 725-2026")</f>
        <v/>
      </c>
      <c r="Y539">
        <f>HYPERLINK("https://klasma.github.io/Logging_2085/tillsynsmail/A 725-2026 tillsynsbegäran mail.docx", "A 725-2026")</f>
        <v/>
      </c>
    </row>
    <row r="540" ht="15" customHeight="1">
      <c r="A540" t="inlineStr">
        <is>
          <t>A 55132-2024</t>
        </is>
      </c>
      <c r="B540" s="1" t="n">
        <v>45621.4734375</v>
      </c>
      <c r="C540" s="1" t="n">
        <v>46114</v>
      </c>
      <c r="D540" t="inlineStr">
        <is>
          <t>DALARNAS LÄN</t>
        </is>
      </c>
      <c r="E540" t="inlineStr">
        <is>
          <t>FALUN</t>
        </is>
      </c>
      <c r="F540" t="inlineStr">
        <is>
          <t>Bergvik skog väst AB</t>
        </is>
      </c>
      <c r="G540" t="n">
        <v>16.9</v>
      </c>
      <c r="H540" t="n">
        <v>0</v>
      </c>
      <c r="I540" t="n">
        <v>2</v>
      </c>
      <c r="J540" t="n">
        <v>1</v>
      </c>
      <c r="K540" t="n">
        <v>0</v>
      </c>
      <c r="L540" t="n">
        <v>0</v>
      </c>
      <c r="M540" t="n">
        <v>0</v>
      </c>
      <c r="N540" t="n">
        <v>0</v>
      </c>
      <c r="O540" t="n">
        <v>1</v>
      </c>
      <c r="P540" t="n">
        <v>0</v>
      </c>
      <c r="Q540" t="n">
        <v>3</v>
      </c>
      <c r="R540" s="2" t="inlineStr">
        <is>
          <t>Gultoppig fingersvamp
Papegojvaxing
Tibast</t>
        </is>
      </c>
      <c r="S540">
        <f>HYPERLINK("https://klasma.github.io/Logging_2080/artfynd/A 55132-2024 artfynd.xlsx", "A 55132-2024")</f>
        <v/>
      </c>
      <c r="T540">
        <f>HYPERLINK("https://klasma.github.io/Logging_2080/kartor/A 55132-2024 karta.png", "A 55132-2024")</f>
        <v/>
      </c>
      <c r="V540">
        <f>HYPERLINK("https://klasma.github.io/Logging_2080/klagomål/A 55132-2024 FSC-klagomål.docx", "A 55132-2024")</f>
        <v/>
      </c>
      <c r="W540">
        <f>HYPERLINK("https://klasma.github.io/Logging_2080/klagomålsmail/A 55132-2024 FSC-klagomål mail.docx", "A 55132-2024")</f>
        <v/>
      </c>
      <c r="X540">
        <f>HYPERLINK("https://klasma.github.io/Logging_2080/tillsyn/A 55132-2024 tillsynsbegäran.docx", "A 55132-2024")</f>
        <v/>
      </c>
      <c r="Y540">
        <f>HYPERLINK("https://klasma.github.io/Logging_2080/tillsynsmail/A 55132-2024 tillsynsbegäran mail.docx", "A 55132-2024")</f>
        <v/>
      </c>
    </row>
    <row r="541" ht="15" customHeight="1">
      <c r="A541" t="inlineStr">
        <is>
          <t>A 34878-2022</t>
        </is>
      </c>
      <c r="B541" s="1" t="n">
        <v>44796</v>
      </c>
      <c r="C541" s="1" t="n">
        <v>46114</v>
      </c>
      <c r="D541" t="inlineStr">
        <is>
          <t>DALARNAS LÄN</t>
        </is>
      </c>
      <c r="E541" t="inlineStr">
        <is>
          <t>MALUNG-SÄLEN</t>
        </is>
      </c>
      <c r="G541" t="n">
        <v>0.7</v>
      </c>
      <c r="H541" t="n">
        <v>0</v>
      </c>
      <c r="I541" t="n">
        <v>0</v>
      </c>
      <c r="J541" t="n">
        <v>3</v>
      </c>
      <c r="K541" t="n">
        <v>0</v>
      </c>
      <c r="L541" t="n">
        <v>0</v>
      </c>
      <c r="M541" t="n">
        <v>0</v>
      </c>
      <c r="N541" t="n">
        <v>0</v>
      </c>
      <c r="O541" t="n">
        <v>3</v>
      </c>
      <c r="P541" t="n">
        <v>0</v>
      </c>
      <c r="Q541" t="n">
        <v>3</v>
      </c>
      <c r="R541" s="2" t="inlineStr">
        <is>
          <t>Gammelgransskål
Garnlav
Violettgrå tagellav</t>
        </is>
      </c>
      <c r="S541">
        <f>HYPERLINK("https://klasma.github.io/Logging_2023/artfynd/A 34878-2022 artfynd.xlsx", "A 34878-2022")</f>
        <v/>
      </c>
      <c r="T541">
        <f>HYPERLINK("https://klasma.github.io/Logging_2023/kartor/A 34878-2022 karta.png", "A 34878-2022")</f>
        <v/>
      </c>
      <c r="V541">
        <f>HYPERLINK("https://klasma.github.io/Logging_2023/klagomål/A 34878-2022 FSC-klagomål.docx", "A 34878-2022")</f>
        <v/>
      </c>
      <c r="W541">
        <f>HYPERLINK("https://klasma.github.io/Logging_2023/klagomålsmail/A 34878-2022 FSC-klagomål mail.docx", "A 34878-2022")</f>
        <v/>
      </c>
      <c r="X541">
        <f>HYPERLINK("https://klasma.github.io/Logging_2023/tillsyn/A 34878-2022 tillsynsbegäran.docx", "A 34878-2022")</f>
        <v/>
      </c>
      <c r="Y541">
        <f>HYPERLINK("https://klasma.github.io/Logging_2023/tillsynsmail/A 34878-2022 tillsynsbegäran mail.docx", "A 34878-2022")</f>
        <v/>
      </c>
    </row>
    <row r="542" ht="15" customHeight="1">
      <c r="A542" t="inlineStr">
        <is>
          <t>A 54940-2025</t>
        </is>
      </c>
      <c r="B542" s="1" t="n">
        <v>45967</v>
      </c>
      <c r="C542" s="1" t="n">
        <v>46114</v>
      </c>
      <c r="D542" t="inlineStr">
        <is>
          <t>DALARNAS LÄN</t>
        </is>
      </c>
      <c r="E542" t="inlineStr">
        <is>
          <t>SMEDJEBACKEN</t>
        </is>
      </c>
      <c r="G542" t="n">
        <v>3.2</v>
      </c>
      <c r="H542" t="n">
        <v>2</v>
      </c>
      <c r="I542" t="n">
        <v>0</v>
      </c>
      <c r="J542" t="n">
        <v>1</v>
      </c>
      <c r="K542" t="n">
        <v>1</v>
      </c>
      <c r="L542" t="n">
        <v>0</v>
      </c>
      <c r="M542" t="n">
        <v>0</v>
      </c>
      <c r="N542" t="n">
        <v>0</v>
      </c>
      <c r="O542" t="n">
        <v>2</v>
      </c>
      <c r="P542" t="n">
        <v>1</v>
      </c>
      <c r="Q542" t="n">
        <v>3</v>
      </c>
      <c r="R542" s="2" t="inlineStr">
        <is>
          <t>Knärot
Ullticka
Blåsippa</t>
        </is>
      </c>
      <c r="S542">
        <f>HYPERLINK("https://klasma.github.io/Logging_2061/artfynd/A 54940-2025 artfynd.xlsx", "A 54940-2025")</f>
        <v/>
      </c>
      <c r="T542">
        <f>HYPERLINK("https://klasma.github.io/Logging_2061/kartor/A 54940-2025 karta.png", "A 54940-2025")</f>
        <v/>
      </c>
      <c r="U542">
        <f>HYPERLINK("https://klasma.github.io/Logging_2061/knärot/A 54940-2025 karta knärot.png", "A 54940-2025")</f>
        <v/>
      </c>
      <c r="V542">
        <f>HYPERLINK("https://klasma.github.io/Logging_2061/klagomål/A 54940-2025 FSC-klagomål.docx", "A 54940-2025")</f>
        <v/>
      </c>
      <c r="W542">
        <f>HYPERLINK("https://klasma.github.io/Logging_2061/klagomålsmail/A 54940-2025 FSC-klagomål mail.docx", "A 54940-2025")</f>
        <v/>
      </c>
      <c r="X542">
        <f>HYPERLINK("https://klasma.github.io/Logging_2061/tillsyn/A 54940-2025 tillsynsbegäran.docx", "A 54940-2025")</f>
        <v/>
      </c>
      <c r="Y542">
        <f>HYPERLINK("https://klasma.github.io/Logging_2061/tillsynsmail/A 54940-2025 tillsynsbegäran mail.docx", "A 54940-2025")</f>
        <v/>
      </c>
    </row>
    <row r="543" ht="15" customHeight="1">
      <c r="A543" t="inlineStr">
        <is>
          <t>A 19410-2023</t>
        </is>
      </c>
      <c r="B543" s="1" t="n">
        <v>45049.84429398148</v>
      </c>
      <c r="C543" s="1" t="n">
        <v>46114</v>
      </c>
      <c r="D543" t="inlineStr">
        <is>
          <t>DALARNAS LÄN</t>
        </is>
      </c>
      <c r="E543" t="inlineStr">
        <is>
          <t>SMEDJEBACKEN</t>
        </is>
      </c>
      <c r="F543" t="inlineStr">
        <is>
          <t>Övriga Aktiebolag</t>
        </is>
      </c>
      <c r="G543" t="n">
        <v>12.2</v>
      </c>
      <c r="H543" t="n">
        <v>2</v>
      </c>
      <c r="I543" t="n">
        <v>1</v>
      </c>
      <c r="J543" t="n">
        <v>0</v>
      </c>
      <c r="K543" t="n">
        <v>1</v>
      </c>
      <c r="L543" t="n">
        <v>0</v>
      </c>
      <c r="M543" t="n">
        <v>0</v>
      </c>
      <c r="N543" t="n">
        <v>0</v>
      </c>
      <c r="O543" t="n">
        <v>1</v>
      </c>
      <c r="P543" t="n">
        <v>1</v>
      </c>
      <c r="Q543" t="n">
        <v>3</v>
      </c>
      <c r="R543" s="2" t="inlineStr">
        <is>
          <t>Knärot
Bollvitmossa
Revlummer</t>
        </is>
      </c>
      <c r="S543">
        <f>HYPERLINK("https://klasma.github.io/Logging_2061/artfynd/A 19410-2023 artfynd.xlsx", "A 19410-2023")</f>
        <v/>
      </c>
      <c r="T543">
        <f>HYPERLINK("https://klasma.github.io/Logging_2061/kartor/A 19410-2023 karta.png", "A 19410-2023")</f>
        <v/>
      </c>
      <c r="U543">
        <f>HYPERLINK("https://klasma.github.io/Logging_2061/knärot/A 19410-2023 karta knärot.png", "A 19410-2023")</f>
        <v/>
      </c>
      <c r="V543">
        <f>HYPERLINK("https://klasma.github.io/Logging_2061/klagomål/A 19410-2023 FSC-klagomål.docx", "A 19410-2023")</f>
        <v/>
      </c>
      <c r="W543">
        <f>HYPERLINK("https://klasma.github.io/Logging_2061/klagomålsmail/A 19410-2023 FSC-klagomål mail.docx", "A 19410-2023")</f>
        <v/>
      </c>
      <c r="X543">
        <f>HYPERLINK("https://klasma.github.io/Logging_2061/tillsyn/A 19410-2023 tillsynsbegäran.docx", "A 19410-2023")</f>
        <v/>
      </c>
      <c r="Y543">
        <f>HYPERLINK("https://klasma.github.io/Logging_2061/tillsynsmail/A 19410-2023 tillsynsbegäran mail.docx", "A 19410-2023")</f>
        <v/>
      </c>
    </row>
    <row r="544" ht="15" customHeight="1">
      <c r="A544" t="inlineStr">
        <is>
          <t>A 10434-2026</t>
        </is>
      </c>
      <c r="B544" s="1" t="n">
        <v>46077.39568287037</v>
      </c>
      <c r="C544" s="1" t="n">
        <v>46114</v>
      </c>
      <c r="D544" t="inlineStr">
        <is>
          <t>DALARNAS LÄN</t>
        </is>
      </c>
      <c r="E544" t="inlineStr">
        <is>
          <t>GAGNEF</t>
        </is>
      </c>
      <c r="G544" t="n">
        <v>0.9</v>
      </c>
      <c r="H544" t="n">
        <v>1</v>
      </c>
      <c r="I544" t="n">
        <v>0</v>
      </c>
      <c r="J544" t="n">
        <v>2</v>
      </c>
      <c r="K544" t="n">
        <v>1</v>
      </c>
      <c r="L544" t="n">
        <v>0</v>
      </c>
      <c r="M544" t="n">
        <v>0</v>
      </c>
      <c r="N544" t="n">
        <v>0</v>
      </c>
      <c r="O544" t="n">
        <v>3</v>
      </c>
      <c r="P544" t="n">
        <v>1</v>
      </c>
      <c r="Q544" t="n">
        <v>3</v>
      </c>
      <c r="R544" s="2" t="inlineStr">
        <is>
          <t>Knärot
Rosenticka
Ullticka</t>
        </is>
      </c>
      <c r="S544">
        <f>HYPERLINK("https://klasma.github.io/Logging_2026/artfynd/A 10434-2026 artfynd.xlsx", "A 10434-2026")</f>
        <v/>
      </c>
      <c r="T544">
        <f>HYPERLINK("https://klasma.github.io/Logging_2026/kartor/A 10434-2026 karta.png", "A 10434-2026")</f>
        <v/>
      </c>
      <c r="U544">
        <f>HYPERLINK("https://klasma.github.io/Logging_2026/knärot/A 10434-2026 karta knärot.png", "A 10434-2026")</f>
        <v/>
      </c>
      <c r="V544">
        <f>HYPERLINK("https://klasma.github.io/Logging_2026/klagomål/A 10434-2026 FSC-klagomål.docx", "A 10434-2026")</f>
        <v/>
      </c>
      <c r="W544">
        <f>HYPERLINK("https://klasma.github.io/Logging_2026/klagomålsmail/A 10434-2026 FSC-klagomål mail.docx", "A 10434-2026")</f>
        <v/>
      </c>
      <c r="X544">
        <f>HYPERLINK("https://klasma.github.io/Logging_2026/tillsyn/A 10434-2026 tillsynsbegäran.docx", "A 10434-2026")</f>
        <v/>
      </c>
      <c r="Y544">
        <f>HYPERLINK("https://klasma.github.io/Logging_2026/tillsynsmail/A 10434-2026 tillsynsbegäran mail.docx", "A 10434-2026")</f>
        <v/>
      </c>
    </row>
    <row r="545" ht="15" customHeight="1">
      <c r="A545" t="inlineStr">
        <is>
          <t>A 2289-2026</t>
        </is>
      </c>
      <c r="B545" s="1" t="n">
        <v>46036.58131944444</v>
      </c>
      <c r="C545" s="1" t="n">
        <v>46114</v>
      </c>
      <c r="D545" t="inlineStr">
        <is>
          <t>DALARNAS LÄN</t>
        </is>
      </c>
      <c r="E545" t="inlineStr">
        <is>
          <t>BORLÄNGE</t>
        </is>
      </c>
      <c r="G545" t="n">
        <v>0.9</v>
      </c>
      <c r="H545" t="n">
        <v>2</v>
      </c>
      <c r="I545" t="n">
        <v>0</v>
      </c>
      <c r="J545" t="n">
        <v>2</v>
      </c>
      <c r="K545" t="n">
        <v>1</v>
      </c>
      <c r="L545" t="n">
        <v>0</v>
      </c>
      <c r="M545" t="n">
        <v>0</v>
      </c>
      <c r="N545" t="n">
        <v>0</v>
      </c>
      <c r="O545" t="n">
        <v>3</v>
      </c>
      <c r="P545" t="n">
        <v>1</v>
      </c>
      <c r="Q545" t="n">
        <v>3</v>
      </c>
      <c r="R545" s="2" t="inlineStr">
        <is>
          <t>Knärot
Tretåig hackspett
Ullticka</t>
        </is>
      </c>
      <c r="S545">
        <f>HYPERLINK("https://klasma.github.io/Logging_2081/artfynd/A 2289-2026 artfynd.xlsx", "A 2289-2026")</f>
        <v/>
      </c>
      <c r="T545">
        <f>HYPERLINK("https://klasma.github.io/Logging_2081/kartor/A 2289-2026 karta.png", "A 2289-2026")</f>
        <v/>
      </c>
      <c r="U545">
        <f>HYPERLINK("https://klasma.github.io/Logging_2081/knärot/A 2289-2026 karta knärot.png", "A 2289-2026")</f>
        <v/>
      </c>
      <c r="V545">
        <f>HYPERLINK("https://klasma.github.io/Logging_2081/klagomål/A 2289-2026 FSC-klagomål.docx", "A 2289-2026")</f>
        <v/>
      </c>
      <c r="W545">
        <f>HYPERLINK("https://klasma.github.io/Logging_2081/klagomålsmail/A 2289-2026 FSC-klagomål mail.docx", "A 2289-2026")</f>
        <v/>
      </c>
      <c r="X545">
        <f>HYPERLINK("https://klasma.github.io/Logging_2081/tillsyn/A 2289-2026 tillsynsbegäran.docx", "A 2289-2026")</f>
        <v/>
      </c>
      <c r="Y545">
        <f>HYPERLINK("https://klasma.github.io/Logging_2081/tillsynsmail/A 2289-2026 tillsynsbegäran mail.docx", "A 2289-2026")</f>
        <v/>
      </c>
      <c r="Z545">
        <f>HYPERLINK("https://klasma.github.io/Logging_2081/fåglar/A 2289-2026 prioriterade fågelarter.docx", "A 2289-2026")</f>
        <v/>
      </c>
    </row>
    <row r="546" ht="15" customHeight="1">
      <c r="A546" t="inlineStr">
        <is>
          <t>A 62054-2021</t>
        </is>
      </c>
      <c r="B546" s="1" t="n">
        <v>44502</v>
      </c>
      <c r="C546" s="1" t="n">
        <v>46114</v>
      </c>
      <c r="D546" t="inlineStr">
        <is>
          <t>DALARNAS LÄN</t>
        </is>
      </c>
      <c r="E546" t="inlineStr">
        <is>
          <t>HEDEMORA</t>
        </is>
      </c>
      <c r="G546" t="n">
        <v>1.5</v>
      </c>
      <c r="H546" t="n">
        <v>1</v>
      </c>
      <c r="I546" t="n">
        <v>0</v>
      </c>
      <c r="J546" t="n">
        <v>2</v>
      </c>
      <c r="K546" t="n">
        <v>1</v>
      </c>
      <c r="L546" t="n">
        <v>0</v>
      </c>
      <c r="M546" t="n">
        <v>0</v>
      </c>
      <c r="N546" t="n">
        <v>0</v>
      </c>
      <c r="O546" t="n">
        <v>3</v>
      </c>
      <c r="P546" t="n">
        <v>1</v>
      </c>
      <c r="Q546" t="n">
        <v>3</v>
      </c>
      <c r="R546" s="2" t="inlineStr">
        <is>
          <t>Knärot
Motaggsvamp
Ullticka</t>
        </is>
      </c>
      <c r="S546">
        <f>HYPERLINK("https://klasma.github.io/Logging_2083/artfynd/A 62054-2021 artfynd.xlsx", "A 62054-2021")</f>
        <v/>
      </c>
      <c r="T546">
        <f>HYPERLINK("https://klasma.github.io/Logging_2083/kartor/A 62054-2021 karta.png", "A 62054-2021")</f>
        <v/>
      </c>
      <c r="U546">
        <f>HYPERLINK("https://klasma.github.io/Logging_2083/knärot/A 62054-2021 karta knärot.png", "A 62054-2021")</f>
        <v/>
      </c>
      <c r="V546">
        <f>HYPERLINK("https://klasma.github.io/Logging_2083/klagomål/A 62054-2021 FSC-klagomål.docx", "A 62054-2021")</f>
        <v/>
      </c>
      <c r="W546">
        <f>HYPERLINK("https://klasma.github.io/Logging_2083/klagomålsmail/A 62054-2021 FSC-klagomål mail.docx", "A 62054-2021")</f>
        <v/>
      </c>
      <c r="X546">
        <f>HYPERLINK("https://klasma.github.io/Logging_2083/tillsyn/A 62054-2021 tillsynsbegäran.docx", "A 62054-2021")</f>
        <v/>
      </c>
      <c r="Y546">
        <f>HYPERLINK("https://klasma.github.io/Logging_2083/tillsynsmail/A 62054-2021 tillsynsbegäran mail.docx", "A 62054-2021")</f>
        <v/>
      </c>
    </row>
    <row r="547" ht="15" customHeight="1">
      <c r="A547" t="inlineStr">
        <is>
          <t>A 61535-2022</t>
        </is>
      </c>
      <c r="B547" s="1" t="n">
        <v>44916</v>
      </c>
      <c r="C547" s="1" t="n">
        <v>46114</v>
      </c>
      <c r="D547" t="inlineStr">
        <is>
          <t>DALARNAS LÄN</t>
        </is>
      </c>
      <c r="E547" t="inlineStr">
        <is>
          <t>FALUN</t>
        </is>
      </c>
      <c r="G547" t="n">
        <v>13.1</v>
      </c>
      <c r="H547" t="n">
        <v>2</v>
      </c>
      <c r="I547" t="n">
        <v>0</v>
      </c>
      <c r="J547" t="n">
        <v>2</v>
      </c>
      <c r="K547" t="n">
        <v>0</v>
      </c>
      <c r="L547" t="n">
        <v>0</v>
      </c>
      <c r="M547" t="n">
        <v>0</v>
      </c>
      <c r="N547" t="n">
        <v>0</v>
      </c>
      <c r="O547" t="n">
        <v>2</v>
      </c>
      <c r="P547" t="n">
        <v>0</v>
      </c>
      <c r="Q547" t="n">
        <v>3</v>
      </c>
      <c r="R547" s="2" t="inlineStr">
        <is>
          <t>Rosenticka
Spillkråka
Sparvuggla</t>
        </is>
      </c>
      <c r="S547">
        <f>HYPERLINK("https://klasma.github.io/Logging_2080/artfynd/A 61535-2022 artfynd.xlsx", "A 61535-2022")</f>
        <v/>
      </c>
      <c r="T547">
        <f>HYPERLINK("https://klasma.github.io/Logging_2080/kartor/A 61535-2022 karta.png", "A 61535-2022")</f>
        <v/>
      </c>
      <c r="U547">
        <f>HYPERLINK("https://klasma.github.io/Logging_2080/knärot/A 61535-2022 karta knärot.png", "A 61535-2022")</f>
        <v/>
      </c>
      <c r="V547">
        <f>HYPERLINK("https://klasma.github.io/Logging_2080/klagomål/A 61535-2022 FSC-klagomål.docx", "A 61535-2022")</f>
        <v/>
      </c>
      <c r="W547">
        <f>HYPERLINK("https://klasma.github.io/Logging_2080/klagomålsmail/A 61535-2022 FSC-klagomål mail.docx", "A 61535-2022")</f>
        <v/>
      </c>
      <c r="X547">
        <f>HYPERLINK("https://klasma.github.io/Logging_2080/tillsyn/A 61535-2022 tillsynsbegäran.docx", "A 61535-2022")</f>
        <v/>
      </c>
      <c r="Y547">
        <f>HYPERLINK("https://klasma.github.io/Logging_2080/tillsynsmail/A 61535-2022 tillsynsbegäran mail.docx", "A 61535-2022")</f>
        <v/>
      </c>
      <c r="Z547">
        <f>HYPERLINK("https://klasma.github.io/Logging_2080/fåglar/A 61535-2022 prioriterade fågelarter.docx", "A 61535-2022")</f>
        <v/>
      </c>
    </row>
    <row r="548" ht="15" customHeight="1">
      <c r="A548" t="inlineStr">
        <is>
          <t>A 1454-2026</t>
        </is>
      </c>
      <c r="B548" s="1" t="n">
        <v>46033</v>
      </c>
      <c r="C548" s="1" t="n">
        <v>46114</v>
      </c>
      <c r="D548" t="inlineStr">
        <is>
          <t>DALARNAS LÄN</t>
        </is>
      </c>
      <c r="E548" t="inlineStr">
        <is>
          <t>HEDEMORA</t>
        </is>
      </c>
      <c r="G548" t="n">
        <v>2</v>
      </c>
      <c r="H548" t="n">
        <v>1</v>
      </c>
      <c r="I548" t="n">
        <v>0</v>
      </c>
      <c r="J548" t="n">
        <v>2</v>
      </c>
      <c r="K548" t="n">
        <v>1</v>
      </c>
      <c r="L548" t="n">
        <v>0</v>
      </c>
      <c r="M548" t="n">
        <v>0</v>
      </c>
      <c r="N548" t="n">
        <v>0</v>
      </c>
      <c r="O548" t="n">
        <v>3</v>
      </c>
      <c r="P548" t="n">
        <v>1</v>
      </c>
      <c r="Q548" t="n">
        <v>3</v>
      </c>
      <c r="R548" s="2" t="inlineStr">
        <is>
          <t>Knärot
Motaggsvamp
Ullticka</t>
        </is>
      </c>
      <c r="S548">
        <f>HYPERLINK("https://klasma.github.io/Logging_2083/artfynd/A 1454-2026 artfynd.xlsx", "A 1454-2026")</f>
        <v/>
      </c>
      <c r="T548">
        <f>HYPERLINK("https://klasma.github.io/Logging_2083/kartor/A 1454-2026 karta.png", "A 1454-2026")</f>
        <v/>
      </c>
      <c r="U548">
        <f>HYPERLINK("https://klasma.github.io/Logging_2083/knärot/A 1454-2026 karta knärot.png", "A 1454-2026")</f>
        <v/>
      </c>
      <c r="V548">
        <f>HYPERLINK("https://klasma.github.io/Logging_2083/klagomål/A 1454-2026 FSC-klagomål.docx", "A 1454-2026")</f>
        <v/>
      </c>
      <c r="W548">
        <f>HYPERLINK("https://klasma.github.io/Logging_2083/klagomålsmail/A 1454-2026 FSC-klagomål mail.docx", "A 1454-2026")</f>
        <v/>
      </c>
      <c r="X548">
        <f>HYPERLINK("https://klasma.github.io/Logging_2083/tillsyn/A 1454-2026 tillsynsbegäran.docx", "A 1454-2026")</f>
        <v/>
      </c>
      <c r="Y548">
        <f>HYPERLINK("https://klasma.github.io/Logging_2083/tillsynsmail/A 1454-2026 tillsynsbegäran mail.docx", "A 1454-2026")</f>
        <v/>
      </c>
    </row>
    <row r="549" ht="15" customHeight="1">
      <c r="A549" t="inlineStr">
        <is>
          <t>A 59665-2022</t>
        </is>
      </c>
      <c r="B549" s="1" t="n">
        <v>44908</v>
      </c>
      <c r="C549" s="1" t="n">
        <v>46114</v>
      </c>
      <c r="D549" t="inlineStr">
        <is>
          <t>DALARNAS LÄN</t>
        </is>
      </c>
      <c r="E549" t="inlineStr">
        <is>
          <t>BORLÄNGE</t>
        </is>
      </c>
      <c r="G549" t="n">
        <v>16.1</v>
      </c>
      <c r="H549" t="n">
        <v>3</v>
      </c>
      <c r="I549" t="n">
        <v>0</v>
      </c>
      <c r="J549" t="n">
        <v>0</v>
      </c>
      <c r="K549" t="n">
        <v>1</v>
      </c>
      <c r="L549" t="n">
        <v>0</v>
      </c>
      <c r="M549" t="n">
        <v>0</v>
      </c>
      <c r="N549" t="n">
        <v>0</v>
      </c>
      <c r="O549" t="n">
        <v>1</v>
      </c>
      <c r="P549" t="n">
        <v>1</v>
      </c>
      <c r="Q549" t="n">
        <v>3</v>
      </c>
      <c r="R549" s="2" t="inlineStr">
        <is>
          <t>Knärot
Tjäder
Fläcknycklar</t>
        </is>
      </c>
      <c r="S549">
        <f>HYPERLINK("https://klasma.github.io/Logging_2081/artfynd/A 59665-2022 artfynd.xlsx", "A 59665-2022")</f>
        <v/>
      </c>
      <c r="T549">
        <f>HYPERLINK("https://klasma.github.io/Logging_2081/kartor/A 59665-2022 karta.png", "A 59665-2022")</f>
        <v/>
      </c>
      <c r="U549">
        <f>HYPERLINK("https://klasma.github.io/Logging_2081/knärot/A 59665-2022 karta knärot.png", "A 59665-2022")</f>
        <v/>
      </c>
      <c r="V549">
        <f>HYPERLINK("https://klasma.github.io/Logging_2081/klagomål/A 59665-2022 FSC-klagomål.docx", "A 59665-2022")</f>
        <v/>
      </c>
      <c r="W549">
        <f>HYPERLINK("https://klasma.github.io/Logging_2081/klagomålsmail/A 59665-2022 FSC-klagomål mail.docx", "A 59665-2022")</f>
        <v/>
      </c>
      <c r="X549">
        <f>HYPERLINK("https://klasma.github.io/Logging_2081/tillsyn/A 59665-2022 tillsynsbegäran.docx", "A 59665-2022")</f>
        <v/>
      </c>
      <c r="Y549">
        <f>HYPERLINK("https://klasma.github.io/Logging_2081/tillsynsmail/A 59665-2022 tillsynsbegäran mail.docx", "A 59665-2022")</f>
        <v/>
      </c>
      <c r="Z549">
        <f>HYPERLINK("https://klasma.github.io/Logging_2081/fåglar/A 59665-2022 prioriterade fågelarter.docx", "A 59665-2022")</f>
        <v/>
      </c>
    </row>
    <row r="550" ht="15" customHeight="1">
      <c r="A550" t="inlineStr">
        <is>
          <t>A 11640-2026</t>
        </is>
      </c>
      <c r="B550" s="1" t="n">
        <v>46084</v>
      </c>
      <c r="C550" s="1" t="n">
        <v>46114</v>
      </c>
      <c r="D550" t="inlineStr">
        <is>
          <t>DALARNAS LÄN</t>
        </is>
      </c>
      <c r="E550" t="inlineStr">
        <is>
          <t>LEKSAND</t>
        </is>
      </c>
      <c r="F550" t="inlineStr">
        <is>
          <t>Bergvik skog väst AB</t>
        </is>
      </c>
      <c r="G550" t="n">
        <v>6.2</v>
      </c>
      <c r="H550" t="n">
        <v>0</v>
      </c>
      <c r="I550" t="n">
        <v>1</v>
      </c>
      <c r="J550" t="n">
        <v>2</v>
      </c>
      <c r="K550" t="n">
        <v>0</v>
      </c>
      <c r="L550" t="n">
        <v>0</v>
      </c>
      <c r="M550" t="n">
        <v>0</v>
      </c>
      <c r="N550" t="n">
        <v>0</v>
      </c>
      <c r="O550" t="n">
        <v>2</v>
      </c>
      <c r="P550" t="n">
        <v>0</v>
      </c>
      <c r="Q550" t="n">
        <v>3</v>
      </c>
      <c r="R550" s="2" t="inlineStr">
        <is>
          <t>Motaggsvamp
Talltaggsvamp
Skarp dropptaggsvamp</t>
        </is>
      </c>
      <c r="S550">
        <f>HYPERLINK("https://klasma.github.io/Logging_2029/artfynd/A 11640-2026 artfynd.xlsx", "A 11640-2026")</f>
        <v/>
      </c>
      <c r="T550">
        <f>HYPERLINK("https://klasma.github.io/Logging_2029/kartor/A 11640-2026 karta.png", "A 11640-2026")</f>
        <v/>
      </c>
      <c r="V550">
        <f>HYPERLINK("https://klasma.github.io/Logging_2029/klagomål/A 11640-2026 FSC-klagomål.docx", "A 11640-2026")</f>
        <v/>
      </c>
      <c r="W550">
        <f>HYPERLINK("https://klasma.github.io/Logging_2029/klagomålsmail/A 11640-2026 FSC-klagomål mail.docx", "A 11640-2026")</f>
        <v/>
      </c>
      <c r="X550">
        <f>HYPERLINK("https://klasma.github.io/Logging_2029/tillsyn/A 11640-2026 tillsynsbegäran.docx", "A 11640-2026")</f>
        <v/>
      </c>
      <c r="Y550">
        <f>HYPERLINK("https://klasma.github.io/Logging_2029/tillsynsmail/A 11640-2026 tillsynsbegäran mail.docx", "A 11640-2026")</f>
        <v/>
      </c>
    </row>
    <row r="551" ht="15" customHeight="1">
      <c r="A551" t="inlineStr">
        <is>
          <t>A 58427-2025</t>
        </is>
      </c>
      <c r="B551" s="1" t="n">
        <v>45985.60052083333</v>
      </c>
      <c r="C551" s="1" t="n">
        <v>46114</v>
      </c>
      <c r="D551" t="inlineStr">
        <is>
          <t>DALARNAS LÄN</t>
        </is>
      </c>
      <c r="E551" t="inlineStr">
        <is>
          <t>GAGNEF</t>
        </is>
      </c>
      <c r="G551" t="n">
        <v>1.6</v>
      </c>
      <c r="H551" t="n">
        <v>3</v>
      </c>
      <c r="I551" t="n">
        <v>0</v>
      </c>
      <c r="J551" t="n">
        <v>1</v>
      </c>
      <c r="K551" t="n">
        <v>1</v>
      </c>
      <c r="L551" t="n">
        <v>0</v>
      </c>
      <c r="M551" t="n">
        <v>0</v>
      </c>
      <c r="N551" t="n">
        <v>0</v>
      </c>
      <c r="O551" t="n">
        <v>2</v>
      </c>
      <c r="P551" t="n">
        <v>1</v>
      </c>
      <c r="Q551" t="n">
        <v>3</v>
      </c>
      <c r="R551" s="2" t="inlineStr">
        <is>
          <t>Knärot
Tretåig hackspett
Tjäder</t>
        </is>
      </c>
      <c r="S551">
        <f>HYPERLINK("https://klasma.github.io/Logging_2026/artfynd/A 58427-2025 artfynd.xlsx", "A 58427-2025")</f>
        <v/>
      </c>
      <c r="T551">
        <f>HYPERLINK("https://klasma.github.io/Logging_2026/kartor/A 58427-2025 karta.png", "A 58427-2025")</f>
        <v/>
      </c>
      <c r="U551">
        <f>HYPERLINK("https://klasma.github.io/Logging_2026/knärot/A 58427-2025 karta knärot.png", "A 58427-2025")</f>
        <v/>
      </c>
      <c r="V551">
        <f>HYPERLINK("https://klasma.github.io/Logging_2026/klagomål/A 58427-2025 FSC-klagomål.docx", "A 58427-2025")</f>
        <v/>
      </c>
      <c r="W551">
        <f>HYPERLINK("https://klasma.github.io/Logging_2026/klagomålsmail/A 58427-2025 FSC-klagomål mail.docx", "A 58427-2025")</f>
        <v/>
      </c>
      <c r="X551">
        <f>HYPERLINK("https://klasma.github.io/Logging_2026/tillsyn/A 58427-2025 tillsynsbegäran.docx", "A 58427-2025")</f>
        <v/>
      </c>
      <c r="Y551">
        <f>HYPERLINK("https://klasma.github.io/Logging_2026/tillsynsmail/A 58427-2025 tillsynsbegäran mail.docx", "A 58427-2025")</f>
        <v/>
      </c>
      <c r="Z551">
        <f>HYPERLINK("https://klasma.github.io/Logging_2026/fåglar/A 58427-2025 prioriterade fågelarter.docx", "A 58427-2025")</f>
        <v/>
      </c>
    </row>
    <row r="552" ht="15" customHeight="1">
      <c r="A552" t="inlineStr">
        <is>
          <t>A 12812-2026</t>
        </is>
      </c>
      <c r="B552" s="1" t="n">
        <v>46091</v>
      </c>
      <c r="C552" s="1" t="n">
        <v>46114</v>
      </c>
      <c r="D552" t="inlineStr">
        <is>
          <t>DALARNAS LÄN</t>
        </is>
      </c>
      <c r="E552" t="inlineStr">
        <is>
          <t>SÄTER</t>
        </is>
      </c>
      <c r="F552" t="inlineStr">
        <is>
          <t>Bergvik skog väst AB</t>
        </is>
      </c>
      <c r="G552" t="n">
        <v>10.7</v>
      </c>
      <c r="H552" t="n">
        <v>1</v>
      </c>
      <c r="I552" t="n">
        <v>2</v>
      </c>
      <c r="J552" t="n">
        <v>0</v>
      </c>
      <c r="K552" t="n">
        <v>0</v>
      </c>
      <c r="L552" t="n">
        <v>0</v>
      </c>
      <c r="M552" t="n">
        <v>0</v>
      </c>
      <c r="N552" t="n">
        <v>0</v>
      </c>
      <c r="O552" t="n">
        <v>0</v>
      </c>
      <c r="P552" t="n">
        <v>0</v>
      </c>
      <c r="Q552" t="n">
        <v>3</v>
      </c>
      <c r="R552" s="2" t="inlineStr">
        <is>
          <t>Fjällig taggsvamp s.str.
Tibast
Blåsippa</t>
        </is>
      </c>
      <c r="S552">
        <f>HYPERLINK("https://klasma.github.io/Logging_2082/artfynd/A 12812-2026 artfynd.xlsx", "A 12812-2026")</f>
        <v/>
      </c>
      <c r="T552">
        <f>HYPERLINK("https://klasma.github.io/Logging_2082/kartor/A 12812-2026 karta.png", "A 12812-2026")</f>
        <v/>
      </c>
      <c r="V552">
        <f>HYPERLINK("https://klasma.github.io/Logging_2082/klagomål/A 12812-2026 FSC-klagomål.docx", "A 12812-2026")</f>
        <v/>
      </c>
      <c r="W552">
        <f>HYPERLINK("https://klasma.github.io/Logging_2082/klagomålsmail/A 12812-2026 FSC-klagomål mail.docx", "A 12812-2026")</f>
        <v/>
      </c>
      <c r="X552">
        <f>HYPERLINK("https://klasma.github.io/Logging_2082/tillsyn/A 12812-2026 tillsynsbegäran.docx", "A 12812-2026")</f>
        <v/>
      </c>
      <c r="Y552">
        <f>HYPERLINK("https://klasma.github.io/Logging_2082/tillsynsmail/A 12812-2026 tillsynsbegäran mail.docx", "A 12812-2026")</f>
        <v/>
      </c>
    </row>
    <row r="553" ht="15" customHeight="1">
      <c r="A553" t="inlineStr">
        <is>
          <t>A 13105-2026</t>
        </is>
      </c>
      <c r="B553" s="1" t="n">
        <v>46093.42225694445</v>
      </c>
      <c r="C553" s="1" t="n">
        <v>46114</v>
      </c>
      <c r="D553" t="inlineStr">
        <is>
          <t>DALARNAS LÄN</t>
        </is>
      </c>
      <c r="E553" t="inlineStr">
        <is>
          <t>MALUNG-SÄLEN</t>
        </is>
      </c>
      <c r="G553" t="n">
        <v>5.6</v>
      </c>
      <c r="H553" t="n">
        <v>1</v>
      </c>
      <c r="I553" t="n">
        <v>0</v>
      </c>
      <c r="J553" t="n">
        <v>2</v>
      </c>
      <c r="K553" t="n">
        <v>0</v>
      </c>
      <c r="L553" t="n">
        <v>0</v>
      </c>
      <c r="M553" t="n">
        <v>0</v>
      </c>
      <c r="N553" t="n">
        <v>0</v>
      </c>
      <c r="O553" t="n">
        <v>2</v>
      </c>
      <c r="P553" t="n">
        <v>0</v>
      </c>
      <c r="Q553" t="n">
        <v>3</v>
      </c>
      <c r="R553" s="2" t="inlineStr">
        <is>
          <t>Garnlav
Kolflarnlav
Orre</t>
        </is>
      </c>
      <c r="S553">
        <f>HYPERLINK("https://klasma.github.io/Logging_2023/artfynd/A 13105-2026 artfynd.xlsx", "A 13105-2026")</f>
        <v/>
      </c>
      <c r="T553">
        <f>HYPERLINK("https://klasma.github.io/Logging_2023/kartor/A 13105-2026 karta.png", "A 13105-2026")</f>
        <v/>
      </c>
      <c r="V553">
        <f>HYPERLINK("https://klasma.github.io/Logging_2023/klagomål/A 13105-2026 FSC-klagomål.docx", "A 13105-2026")</f>
        <v/>
      </c>
      <c r="W553">
        <f>HYPERLINK("https://klasma.github.io/Logging_2023/klagomålsmail/A 13105-2026 FSC-klagomål mail.docx", "A 13105-2026")</f>
        <v/>
      </c>
      <c r="X553">
        <f>HYPERLINK("https://klasma.github.io/Logging_2023/tillsyn/A 13105-2026 tillsynsbegäran.docx", "A 13105-2026")</f>
        <v/>
      </c>
      <c r="Y553">
        <f>HYPERLINK("https://klasma.github.io/Logging_2023/tillsynsmail/A 13105-2026 tillsynsbegäran mail.docx", "A 13105-2026")</f>
        <v/>
      </c>
      <c r="Z553">
        <f>HYPERLINK("https://klasma.github.io/Logging_2023/fåglar/A 13105-2026 prioriterade fågelarter.docx", "A 13105-2026")</f>
        <v/>
      </c>
    </row>
    <row r="554" ht="15" customHeight="1">
      <c r="A554" t="inlineStr">
        <is>
          <t>A 12901-2026</t>
        </is>
      </c>
      <c r="B554" s="1" t="n">
        <v>46092.56961805555</v>
      </c>
      <c r="C554" s="1" t="n">
        <v>46114</v>
      </c>
      <c r="D554" t="inlineStr">
        <is>
          <t>DALARNAS LÄN</t>
        </is>
      </c>
      <c r="E554" t="inlineStr">
        <is>
          <t>MALUNG-SÄLEN</t>
        </is>
      </c>
      <c r="G554" t="n">
        <v>3.8</v>
      </c>
      <c r="H554" t="n">
        <v>1</v>
      </c>
      <c r="I554" t="n">
        <v>0</v>
      </c>
      <c r="J554" t="n">
        <v>3</v>
      </c>
      <c r="K554" t="n">
        <v>0</v>
      </c>
      <c r="L554" t="n">
        <v>0</v>
      </c>
      <c r="M554" t="n">
        <v>0</v>
      </c>
      <c r="N554" t="n">
        <v>0</v>
      </c>
      <c r="O554" t="n">
        <v>3</v>
      </c>
      <c r="P554" t="n">
        <v>0</v>
      </c>
      <c r="Q554" t="n">
        <v>3</v>
      </c>
      <c r="R554" s="2" t="inlineStr">
        <is>
          <t>Garnlav
Kolflarnlav
Talltita</t>
        </is>
      </c>
      <c r="S554">
        <f>HYPERLINK("https://klasma.github.io/Logging_2023/artfynd/A 12901-2026 artfynd.xlsx", "A 12901-2026")</f>
        <v/>
      </c>
      <c r="T554">
        <f>HYPERLINK("https://klasma.github.io/Logging_2023/kartor/A 12901-2026 karta.png", "A 12901-2026")</f>
        <v/>
      </c>
      <c r="V554">
        <f>HYPERLINK("https://klasma.github.io/Logging_2023/klagomål/A 12901-2026 FSC-klagomål.docx", "A 12901-2026")</f>
        <v/>
      </c>
      <c r="W554">
        <f>HYPERLINK("https://klasma.github.io/Logging_2023/klagomålsmail/A 12901-2026 FSC-klagomål mail.docx", "A 12901-2026")</f>
        <v/>
      </c>
      <c r="X554">
        <f>HYPERLINK("https://klasma.github.io/Logging_2023/tillsyn/A 12901-2026 tillsynsbegäran.docx", "A 12901-2026")</f>
        <v/>
      </c>
      <c r="Y554">
        <f>HYPERLINK("https://klasma.github.io/Logging_2023/tillsynsmail/A 12901-2026 tillsynsbegäran mail.docx", "A 12901-2026")</f>
        <v/>
      </c>
      <c r="Z554">
        <f>HYPERLINK("https://klasma.github.io/Logging_2023/fåglar/A 12901-2026 prioriterade fågelarter.docx", "A 12901-2026")</f>
        <v/>
      </c>
    </row>
    <row r="555" ht="15" customHeight="1">
      <c r="A555" t="inlineStr">
        <is>
          <t>A 6816-2026</t>
        </is>
      </c>
      <c r="B555" s="1" t="n">
        <v>46056</v>
      </c>
      <c r="C555" s="1" t="n">
        <v>46114</v>
      </c>
      <c r="D555" t="inlineStr">
        <is>
          <t>DALARNAS LÄN</t>
        </is>
      </c>
      <c r="E555" t="inlineStr">
        <is>
          <t>FALUN</t>
        </is>
      </c>
      <c r="F555" t="inlineStr">
        <is>
          <t>Allmännings- och besparingsskogar</t>
        </is>
      </c>
      <c r="G555" t="n">
        <v>9.5</v>
      </c>
      <c r="H555" t="n">
        <v>1</v>
      </c>
      <c r="I555" t="n">
        <v>1</v>
      </c>
      <c r="J555" t="n">
        <v>2</v>
      </c>
      <c r="K555" t="n">
        <v>0</v>
      </c>
      <c r="L555" t="n">
        <v>0</v>
      </c>
      <c r="M555" t="n">
        <v>0</v>
      </c>
      <c r="N555" t="n">
        <v>0</v>
      </c>
      <c r="O555" t="n">
        <v>2</v>
      </c>
      <c r="P555" t="n">
        <v>0</v>
      </c>
      <c r="Q555" t="n">
        <v>3</v>
      </c>
      <c r="R555" s="2" t="inlineStr">
        <is>
          <t>Doftskinn
Gammelgransskål
Plattlummer</t>
        </is>
      </c>
      <c r="S555">
        <f>HYPERLINK("https://klasma.github.io/Logging_2080/artfynd/A 6816-2026 artfynd.xlsx", "A 6816-2026")</f>
        <v/>
      </c>
      <c r="T555">
        <f>HYPERLINK("https://klasma.github.io/Logging_2080/kartor/A 6816-2026 karta.png", "A 6816-2026")</f>
        <v/>
      </c>
      <c r="V555">
        <f>HYPERLINK("https://klasma.github.io/Logging_2080/klagomål/A 6816-2026 FSC-klagomål.docx", "A 6816-2026")</f>
        <v/>
      </c>
      <c r="W555">
        <f>HYPERLINK("https://klasma.github.io/Logging_2080/klagomålsmail/A 6816-2026 FSC-klagomål mail.docx", "A 6816-2026")</f>
        <v/>
      </c>
      <c r="X555">
        <f>HYPERLINK("https://klasma.github.io/Logging_2080/tillsyn/A 6816-2026 tillsynsbegäran.docx", "A 6816-2026")</f>
        <v/>
      </c>
      <c r="Y555">
        <f>HYPERLINK("https://klasma.github.io/Logging_2080/tillsynsmail/A 6816-2026 tillsynsbegäran mail.docx", "A 6816-2026")</f>
        <v/>
      </c>
    </row>
    <row r="556" ht="15" customHeight="1">
      <c r="A556" t="inlineStr">
        <is>
          <t>A 4532-2024</t>
        </is>
      </c>
      <c r="B556" s="1" t="n">
        <v>45327</v>
      </c>
      <c r="C556" s="1" t="n">
        <v>46114</v>
      </c>
      <c r="D556" t="inlineStr">
        <is>
          <t>DALARNAS LÄN</t>
        </is>
      </c>
      <c r="E556" t="inlineStr">
        <is>
          <t>FALUN</t>
        </is>
      </c>
      <c r="G556" t="n">
        <v>4.6</v>
      </c>
      <c r="H556" t="n">
        <v>1</v>
      </c>
      <c r="I556" t="n">
        <v>1</v>
      </c>
      <c r="J556" t="n">
        <v>1</v>
      </c>
      <c r="K556" t="n">
        <v>0</v>
      </c>
      <c r="L556" t="n">
        <v>0</v>
      </c>
      <c r="M556" t="n">
        <v>0</v>
      </c>
      <c r="N556" t="n">
        <v>0</v>
      </c>
      <c r="O556" t="n">
        <v>1</v>
      </c>
      <c r="P556" t="n">
        <v>0</v>
      </c>
      <c r="Q556" t="n">
        <v>3</v>
      </c>
      <c r="R556" s="2" t="inlineStr">
        <is>
          <t>Vedtrappmossa
Vedticka
Tjäder</t>
        </is>
      </c>
      <c r="S556">
        <f>HYPERLINK("https://klasma.github.io/Logging_2080/artfynd/A 4532-2024 artfynd.xlsx", "A 4532-2024")</f>
        <v/>
      </c>
      <c r="T556">
        <f>HYPERLINK("https://klasma.github.io/Logging_2080/kartor/A 4532-2024 karta.png", "A 4532-2024")</f>
        <v/>
      </c>
      <c r="V556">
        <f>HYPERLINK("https://klasma.github.io/Logging_2080/klagomål/A 4532-2024 FSC-klagomål.docx", "A 4532-2024")</f>
        <v/>
      </c>
      <c r="W556">
        <f>HYPERLINK("https://klasma.github.io/Logging_2080/klagomålsmail/A 4532-2024 FSC-klagomål mail.docx", "A 4532-2024")</f>
        <v/>
      </c>
      <c r="X556">
        <f>HYPERLINK("https://klasma.github.io/Logging_2080/tillsyn/A 4532-2024 tillsynsbegäran.docx", "A 4532-2024")</f>
        <v/>
      </c>
      <c r="Y556">
        <f>HYPERLINK("https://klasma.github.io/Logging_2080/tillsynsmail/A 4532-2024 tillsynsbegäran mail.docx", "A 4532-2024")</f>
        <v/>
      </c>
      <c r="Z556">
        <f>HYPERLINK("https://klasma.github.io/Logging_2080/fåglar/A 4532-2024 prioriterade fågelarter.docx", "A 4532-2024")</f>
        <v/>
      </c>
    </row>
    <row r="557" ht="15" customHeight="1">
      <c r="A557" t="inlineStr">
        <is>
          <t>A 2224-2026</t>
        </is>
      </c>
      <c r="B557" s="1" t="n">
        <v>46036</v>
      </c>
      <c r="C557" s="1" t="n">
        <v>46114</v>
      </c>
      <c r="D557" t="inlineStr">
        <is>
          <t>DALARNAS LÄN</t>
        </is>
      </c>
      <c r="E557" t="inlineStr">
        <is>
          <t>BORLÄNGE</t>
        </is>
      </c>
      <c r="G557" t="n">
        <v>27.2</v>
      </c>
      <c r="H557" t="n">
        <v>1</v>
      </c>
      <c r="I557" t="n">
        <v>1</v>
      </c>
      <c r="J557" t="n">
        <v>1</v>
      </c>
      <c r="K557" t="n">
        <v>1</v>
      </c>
      <c r="L557" t="n">
        <v>0</v>
      </c>
      <c r="M557" t="n">
        <v>0</v>
      </c>
      <c r="N557" t="n">
        <v>0</v>
      </c>
      <c r="O557" t="n">
        <v>2</v>
      </c>
      <c r="P557" t="n">
        <v>1</v>
      </c>
      <c r="Q557" t="n">
        <v>3</v>
      </c>
      <c r="R557" s="2" t="inlineStr">
        <is>
          <t>Knärot
Orange taggsvamp
Dropptaggsvamp</t>
        </is>
      </c>
      <c r="S557">
        <f>HYPERLINK("https://klasma.github.io/Logging_2081/artfynd/A 2224-2026 artfynd.xlsx", "A 2224-2026")</f>
        <v/>
      </c>
      <c r="T557">
        <f>HYPERLINK("https://klasma.github.io/Logging_2081/kartor/A 2224-2026 karta.png", "A 2224-2026")</f>
        <v/>
      </c>
      <c r="U557">
        <f>HYPERLINK("https://klasma.github.io/Logging_2081/knärot/A 2224-2026 karta knärot.png", "A 2224-2026")</f>
        <v/>
      </c>
      <c r="V557">
        <f>HYPERLINK("https://klasma.github.io/Logging_2081/klagomål/A 2224-2026 FSC-klagomål.docx", "A 2224-2026")</f>
        <v/>
      </c>
      <c r="W557">
        <f>HYPERLINK("https://klasma.github.io/Logging_2081/klagomålsmail/A 2224-2026 FSC-klagomål mail.docx", "A 2224-2026")</f>
        <v/>
      </c>
      <c r="X557">
        <f>HYPERLINK("https://klasma.github.io/Logging_2081/tillsyn/A 2224-2026 tillsynsbegäran.docx", "A 2224-2026")</f>
        <v/>
      </c>
      <c r="Y557">
        <f>HYPERLINK("https://klasma.github.io/Logging_2081/tillsynsmail/A 2224-2026 tillsynsbegäran mail.docx", "A 2224-2026")</f>
        <v/>
      </c>
    </row>
    <row r="558" ht="15" customHeight="1">
      <c r="A558" t="inlineStr">
        <is>
          <t>A 51732-2021</t>
        </is>
      </c>
      <c r="B558" s="1" t="n">
        <v>44461</v>
      </c>
      <c r="C558" s="1" t="n">
        <v>46114</v>
      </c>
      <c r="D558" t="inlineStr">
        <is>
          <t>DALARNAS LÄN</t>
        </is>
      </c>
      <c r="E558" t="inlineStr">
        <is>
          <t>ÄLVDALEN</t>
        </is>
      </c>
      <c r="F558" t="inlineStr">
        <is>
          <t>Övriga statliga verk och myndigheter</t>
        </is>
      </c>
      <c r="G558" t="n">
        <v>5</v>
      </c>
      <c r="H558" t="n">
        <v>0</v>
      </c>
      <c r="I558" t="n">
        <v>2</v>
      </c>
      <c r="J558" t="n">
        <v>1</v>
      </c>
      <c r="K558" t="n">
        <v>0</v>
      </c>
      <c r="L558" t="n">
        <v>0</v>
      </c>
      <c r="M558" t="n">
        <v>0</v>
      </c>
      <c r="N558" t="n">
        <v>0</v>
      </c>
      <c r="O558" t="n">
        <v>1</v>
      </c>
      <c r="P558" t="n">
        <v>0</v>
      </c>
      <c r="Q558" t="n">
        <v>3</v>
      </c>
      <c r="R558" s="2" t="inlineStr">
        <is>
          <t>Garnlav
Svavelriska
Vedticka</t>
        </is>
      </c>
      <c r="S558">
        <f>HYPERLINK("https://klasma.github.io/Logging_2039/artfynd/A 51732-2021 artfynd.xlsx", "A 51732-2021")</f>
        <v/>
      </c>
      <c r="T558">
        <f>HYPERLINK("https://klasma.github.io/Logging_2039/kartor/A 51732-2021 karta.png", "A 51732-2021")</f>
        <v/>
      </c>
      <c r="V558">
        <f>HYPERLINK("https://klasma.github.io/Logging_2039/klagomål/A 51732-2021 FSC-klagomål.docx", "A 51732-2021")</f>
        <v/>
      </c>
      <c r="W558">
        <f>HYPERLINK("https://klasma.github.io/Logging_2039/klagomålsmail/A 51732-2021 FSC-klagomål mail.docx", "A 51732-2021")</f>
        <v/>
      </c>
      <c r="X558">
        <f>HYPERLINK("https://klasma.github.io/Logging_2039/tillsyn/A 51732-2021 tillsynsbegäran.docx", "A 51732-2021")</f>
        <v/>
      </c>
      <c r="Y558">
        <f>HYPERLINK("https://klasma.github.io/Logging_2039/tillsynsmail/A 51732-2021 tillsynsbegäran mail.docx", "A 51732-2021")</f>
        <v/>
      </c>
    </row>
    <row r="559" ht="15" customHeight="1">
      <c r="A559" t="inlineStr">
        <is>
          <t>A 19650-2024</t>
        </is>
      </c>
      <c r="B559" s="1" t="n">
        <v>45432.43915509259</v>
      </c>
      <c r="C559" s="1" t="n">
        <v>46114</v>
      </c>
      <c r="D559" t="inlineStr">
        <is>
          <t>DALARNAS LÄN</t>
        </is>
      </c>
      <c r="E559" t="inlineStr">
        <is>
          <t>BORLÄNGE</t>
        </is>
      </c>
      <c r="F559" t="inlineStr">
        <is>
          <t>Bergvik skog väst AB</t>
        </is>
      </c>
      <c r="G559" t="n">
        <v>2.5</v>
      </c>
      <c r="H559" t="n">
        <v>2</v>
      </c>
      <c r="I559" t="n">
        <v>0</v>
      </c>
      <c r="J559" t="n">
        <v>2</v>
      </c>
      <c r="K559" t="n">
        <v>1</v>
      </c>
      <c r="L559" t="n">
        <v>0</v>
      </c>
      <c r="M559" t="n">
        <v>0</v>
      </c>
      <c r="N559" t="n">
        <v>0</v>
      </c>
      <c r="O559" t="n">
        <v>3</v>
      </c>
      <c r="P559" t="n">
        <v>1</v>
      </c>
      <c r="Q559" t="n">
        <v>3</v>
      </c>
      <c r="R559" s="2" t="inlineStr">
        <is>
          <t>Knärot
Gul taggsvamp
Tretåig hackspett</t>
        </is>
      </c>
      <c r="S559">
        <f>HYPERLINK("https://klasma.github.io/Logging_2081/artfynd/A 19650-2024 artfynd.xlsx", "A 19650-2024")</f>
        <v/>
      </c>
      <c r="T559">
        <f>HYPERLINK("https://klasma.github.io/Logging_2081/kartor/A 19650-2024 karta.png", "A 19650-2024")</f>
        <v/>
      </c>
      <c r="U559">
        <f>HYPERLINK("https://klasma.github.io/Logging_2081/knärot/A 19650-2024 karta knärot.png", "A 19650-2024")</f>
        <v/>
      </c>
      <c r="V559">
        <f>HYPERLINK("https://klasma.github.io/Logging_2081/klagomål/A 19650-2024 FSC-klagomål.docx", "A 19650-2024")</f>
        <v/>
      </c>
      <c r="W559">
        <f>HYPERLINK("https://klasma.github.io/Logging_2081/klagomålsmail/A 19650-2024 FSC-klagomål mail.docx", "A 19650-2024")</f>
        <v/>
      </c>
      <c r="X559">
        <f>HYPERLINK("https://klasma.github.io/Logging_2081/tillsyn/A 19650-2024 tillsynsbegäran.docx", "A 19650-2024")</f>
        <v/>
      </c>
      <c r="Y559">
        <f>HYPERLINK("https://klasma.github.io/Logging_2081/tillsynsmail/A 19650-2024 tillsynsbegäran mail.docx", "A 19650-2024")</f>
        <v/>
      </c>
      <c r="Z559">
        <f>HYPERLINK("https://klasma.github.io/Logging_2081/fåglar/A 19650-2024 prioriterade fågelarter.docx", "A 19650-2024")</f>
        <v/>
      </c>
    </row>
    <row r="560" ht="15" customHeight="1">
      <c r="A560" t="inlineStr">
        <is>
          <t>A 8533-2026</t>
        </is>
      </c>
      <c r="B560" s="1" t="n">
        <v>46065.60184027778</v>
      </c>
      <c r="C560" s="1" t="n">
        <v>46114</v>
      </c>
      <c r="D560" t="inlineStr">
        <is>
          <t>DALARNAS LÄN</t>
        </is>
      </c>
      <c r="E560" t="inlineStr">
        <is>
          <t>SÄTER</t>
        </is>
      </c>
      <c r="G560" t="n">
        <v>9.9</v>
      </c>
      <c r="H560" t="n">
        <v>1</v>
      </c>
      <c r="I560" t="n">
        <v>1</v>
      </c>
      <c r="J560" t="n">
        <v>2</v>
      </c>
      <c r="K560" t="n">
        <v>0</v>
      </c>
      <c r="L560" t="n">
        <v>0</v>
      </c>
      <c r="M560" t="n">
        <v>0</v>
      </c>
      <c r="N560" t="n">
        <v>0</v>
      </c>
      <c r="O560" t="n">
        <v>2</v>
      </c>
      <c r="P560" t="n">
        <v>0</v>
      </c>
      <c r="Q560" t="n">
        <v>3</v>
      </c>
      <c r="R560" s="2" t="inlineStr">
        <is>
          <t>Spillkråka
Vedskivlav
Dropptaggsvamp</t>
        </is>
      </c>
      <c r="S560">
        <f>HYPERLINK("https://klasma.github.io/Logging_2082/artfynd/A 8533-2026 artfynd.xlsx", "A 8533-2026")</f>
        <v/>
      </c>
      <c r="T560">
        <f>HYPERLINK("https://klasma.github.io/Logging_2082/kartor/A 8533-2026 karta.png", "A 8533-2026")</f>
        <v/>
      </c>
      <c r="V560">
        <f>HYPERLINK("https://klasma.github.io/Logging_2082/klagomål/A 8533-2026 FSC-klagomål.docx", "A 8533-2026")</f>
        <v/>
      </c>
      <c r="W560">
        <f>HYPERLINK("https://klasma.github.io/Logging_2082/klagomålsmail/A 8533-2026 FSC-klagomål mail.docx", "A 8533-2026")</f>
        <v/>
      </c>
      <c r="X560">
        <f>HYPERLINK("https://klasma.github.io/Logging_2082/tillsyn/A 8533-2026 tillsynsbegäran.docx", "A 8533-2026")</f>
        <v/>
      </c>
      <c r="Y560">
        <f>HYPERLINK("https://klasma.github.io/Logging_2082/tillsynsmail/A 8533-2026 tillsynsbegäran mail.docx", "A 8533-2026")</f>
        <v/>
      </c>
      <c r="Z560">
        <f>HYPERLINK("https://klasma.github.io/Logging_2082/fåglar/A 8533-2026 prioriterade fågelarter.docx", "A 8533-2026")</f>
        <v/>
      </c>
    </row>
    <row r="561" ht="15" customHeight="1">
      <c r="A561" t="inlineStr">
        <is>
          <t>A 9959-2026</t>
        </is>
      </c>
      <c r="B561" s="1" t="n">
        <v>46073</v>
      </c>
      <c r="C561" s="1" t="n">
        <v>46114</v>
      </c>
      <c r="D561" t="inlineStr">
        <is>
          <t>DALARNAS LÄN</t>
        </is>
      </c>
      <c r="E561" t="inlineStr">
        <is>
          <t>BORLÄNGE</t>
        </is>
      </c>
      <c r="G561" t="n">
        <v>3.5</v>
      </c>
      <c r="H561" t="n">
        <v>2</v>
      </c>
      <c r="I561" t="n">
        <v>1</v>
      </c>
      <c r="J561" t="n">
        <v>1</v>
      </c>
      <c r="K561" t="n">
        <v>0</v>
      </c>
      <c r="L561" t="n">
        <v>0</v>
      </c>
      <c r="M561" t="n">
        <v>0</v>
      </c>
      <c r="N561" t="n">
        <v>0</v>
      </c>
      <c r="O561" t="n">
        <v>1</v>
      </c>
      <c r="P561" t="n">
        <v>0</v>
      </c>
      <c r="Q561" t="n">
        <v>3</v>
      </c>
      <c r="R561" s="2" t="inlineStr">
        <is>
          <t>Tretåig hackspett
Gullgröppa
Tjäder</t>
        </is>
      </c>
      <c r="S561">
        <f>HYPERLINK("https://klasma.github.io/Logging_2081/artfynd/A 9959-2026 artfynd.xlsx", "A 9959-2026")</f>
        <v/>
      </c>
      <c r="T561">
        <f>HYPERLINK("https://klasma.github.io/Logging_2081/kartor/A 9959-2026 karta.png", "A 9959-2026")</f>
        <v/>
      </c>
      <c r="V561">
        <f>HYPERLINK("https://klasma.github.io/Logging_2081/klagomål/A 9959-2026 FSC-klagomål.docx", "A 9959-2026")</f>
        <v/>
      </c>
      <c r="W561">
        <f>HYPERLINK("https://klasma.github.io/Logging_2081/klagomålsmail/A 9959-2026 FSC-klagomål mail.docx", "A 9959-2026")</f>
        <v/>
      </c>
      <c r="X561">
        <f>HYPERLINK("https://klasma.github.io/Logging_2081/tillsyn/A 9959-2026 tillsynsbegäran.docx", "A 9959-2026")</f>
        <v/>
      </c>
      <c r="Y561">
        <f>HYPERLINK("https://klasma.github.io/Logging_2081/tillsynsmail/A 9959-2026 tillsynsbegäran mail.docx", "A 9959-2026")</f>
        <v/>
      </c>
      <c r="Z561">
        <f>HYPERLINK("https://klasma.github.io/Logging_2081/fåglar/A 9959-2026 prioriterade fågelarter.docx", "A 9959-2026")</f>
        <v/>
      </c>
    </row>
    <row r="562" ht="15" customHeight="1">
      <c r="A562" t="inlineStr">
        <is>
          <t>A 69304-2021</t>
        </is>
      </c>
      <c r="B562" s="1" t="n">
        <v>44531</v>
      </c>
      <c r="C562" s="1" t="n">
        <v>46114</v>
      </c>
      <c r="D562" t="inlineStr">
        <is>
          <t>DALARNAS LÄN</t>
        </is>
      </c>
      <c r="E562" t="inlineStr">
        <is>
          <t>AVESTA</t>
        </is>
      </c>
      <c r="G562" t="n">
        <v>8</v>
      </c>
      <c r="H562" t="n">
        <v>1</v>
      </c>
      <c r="I562" t="n">
        <v>2</v>
      </c>
      <c r="J562" t="n">
        <v>0</v>
      </c>
      <c r="K562" t="n">
        <v>1</v>
      </c>
      <c r="L562" t="n">
        <v>0</v>
      </c>
      <c r="M562" t="n">
        <v>0</v>
      </c>
      <c r="N562" t="n">
        <v>0</v>
      </c>
      <c r="O562" t="n">
        <v>1</v>
      </c>
      <c r="P562" t="n">
        <v>1</v>
      </c>
      <c r="Q562" t="n">
        <v>3</v>
      </c>
      <c r="R562" s="2" t="inlineStr">
        <is>
          <t>Knärot
Bronshjon
Vedticka</t>
        </is>
      </c>
      <c r="S562">
        <f>HYPERLINK("https://klasma.github.io/Logging_2084/artfynd/A 69304-2021 artfynd.xlsx", "A 69304-2021")</f>
        <v/>
      </c>
      <c r="T562">
        <f>HYPERLINK("https://klasma.github.io/Logging_2084/kartor/A 69304-2021 karta.png", "A 69304-2021")</f>
        <v/>
      </c>
      <c r="U562">
        <f>HYPERLINK("https://klasma.github.io/Logging_2084/knärot/A 69304-2021 karta knärot.png", "A 69304-2021")</f>
        <v/>
      </c>
      <c r="V562">
        <f>HYPERLINK("https://klasma.github.io/Logging_2084/klagomål/A 69304-2021 FSC-klagomål.docx", "A 69304-2021")</f>
        <v/>
      </c>
      <c r="W562">
        <f>HYPERLINK("https://klasma.github.io/Logging_2084/klagomålsmail/A 69304-2021 FSC-klagomål mail.docx", "A 69304-2021")</f>
        <v/>
      </c>
      <c r="X562">
        <f>HYPERLINK("https://klasma.github.io/Logging_2084/tillsyn/A 69304-2021 tillsynsbegäran.docx", "A 69304-2021")</f>
        <v/>
      </c>
      <c r="Y562">
        <f>HYPERLINK("https://klasma.github.io/Logging_2084/tillsynsmail/A 69304-2021 tillsynsbegäran mail.docx", "A 69304-2021")</f>
        <v/>
      </c>
    </row>
    <row r="563" ht="15" customHeight="1">
      <c r="A563" t="inlineStr">
        <is>
          <t>A 49676-2024</t>
        </is>
      </c>
      <c r="B563" s="1" t="n">
        <v>45596.66278935185</v>
      </c>
      <c r="C563" s="1" t="n">
        <v>46114</v>
      </c>
      <c r="D563" t="inlineStr">
        <is>
          <t>DALARNAS LÄN</t>
        </is>
      </c>
      <c r="E563" t="inlineStr">
        <is>
          <t>LUDVIKA</t>
        </is>
      </c>
      <c r="F563" t="inlineStr">
        <is>
          <t>Bergvik skog väst AB</t>
        </is>
      </c>
      <c r="G563" t="n">
        <v>3.5</v>
      </c>
      <c r="H563" t="n">
        <v>2</v>
      </c>
      <c r="I563" t="n">
        <v>0</v>
      </c>
      <c r="J563" t="n">
        <v>3</v>
      </c>
      <c r="K563" t="n">
        <v>0</v>
      </c>
      <c r="L563" t="n">
        <v>0</v>
      </c>
      <c r="M563" t="n">
        <v>0</v>
      </c>
      <c r="N563" t="n">
        <v>0</v>
      </c>
      <c r="O563" t="n">
        <v>3</v>
      </c>
      <c r="P563" t="n">
        <v>0</v>
      </c>
      <c r="Q563" t="n">
        <v>3</v>
      </c>
      <c r="R563" s="2" t="inlineStr">
        <is>
          <t>Garnlav
Järpe
Spillkråka</t>
        </is>
      </c>
      <c r="S563">
        <f>HYPERLINK("https://klasma.github.io/Logging_2085/artfynd/A 49676-2024 artfynd.xlsx", "A 49676-2024")</f>
        <v/>
      </c>
      <c r="T563">
        <f>HYPERLINK("https://klasma.github.io/Logging_2085/kartor/A 49676-2024 karta.png", "A 49676-2024")</f>
        <v/>
      </c>
      <c r="V563">
        <f>HYPERLINK("https://klasma.github.io/Logging_2085/klagomål/A 49676-2024 FSC-klagomål.docx", "A 49676-2024")</f>
        <v/>
      </c>
      <c r="W563">
        <f>HYPERLINK("https://klasma.github.io/Logging_2085/klagomålsmail/A 49676-2024 FSC-klagomål mail.docx", "A 49676-2024")</f>
        <v/>
      </c>
      <c r="X563">
        <f>HYPERLINK("https://klasma.github.io/Logging_2085/tillsyn/A 49676-2024 tillsynsbegäran.docx", "A 49676-2024")</f>
        <v/>
      </c>
      <c r="Y563">
        <f>HYPERLINK("https://klasma.github.io/Logging_2085/tillsynsmail/A 49676-2024 tillsynsbegäran mail.docx", "A 49676-2024")</f>
        <v/>
      </c>
      <c r="Z563">
        <f>HYPERLINK("https://klasma.github.io/Logging_2085/fåglar/A 49676-2024 prioriterade fågelarter.docx", "A 49676-2024")</f>
        <v/>
      </c>
    </row>
    <row r="564" ht="15" customHeight="1">
      <c r="A564" t="inlineStr">
        <is>
          <t>A 8878-2026</t>
        </is>
      </c>
      <c r="B564" s="1" t="n">
        <v>46067.50817129629</v>
      </c>
      <c r="C564" s="1" t="n">
        <v>46114</v>
      </c>
      <c r="D564" t="inlineStr">
        <is>
          <t>DALARNAS LÄN</t>
        </is>
      </c>
      <c r="E564" t="inlineStr">
        <is>
          <t>MORA</t>
        </is>
      </c>
      <c r="G564" t="n">
        <v>2.3</v>
      </c>
      <c r="H564" t="n">
        <v>3</v>
      </c>
      <c r="I564" t="n">
        <v>0</v>
      </c>
      <c r="J564" t="n">
        <v>1</v>
      </c>
      <c r="K564" t="n">
        <v>0</v>
      </c>
      <c r="L564" t="n">
        <v>0</v>
      </c>
      <c r="M564" t="n">
        <v>0</v>
      </c>
      <c r="N564" t="n">
        <v>0</v>
      </c>
      <c r="O564" t="n">
        <v>1</v>
      </c>
      <c r="P564" t="n">
        <v>0</v>
      </c>
      <c r="Q564" t="n">
        <v>3</v>
      </c>
      <c r="R564" s="2" t="inlineStr">
        <is>
          <t>Järpe
Tjäder
Revlummer</t>
        </is>
      </c>
      <c r="S564">
        <f>HYPERLINK("https://klasma.github.io/Logging_2062/artfynd/A 8878-2026 artfynd.xlsx", "A 8878-2026")</f>
        <v/>
      </c>
      <c r="T564">
        <f>HYPERLINK("https://klasma.github.io/Logging_2062/kartor/A 8878-2026 karta.png", "A 8878-2026")</f>
        <v/>
      </c>
      <c r="V564">
        <f>HYPERLINK("https://klasma.github.io/Logging_2062/klagomål/A 8878-2026 FSC-klagomål.docx", "A 8878-2026")</f>
        <v/>
      </c>
      <c r="W564">
        <f>HYPERLINK("https://klasma.github.io/Logging_2062/klagomålsmail/A 8878-2026 FSC-klagomål mail.docx", "A 8878-2026")</f>
        <v/>
      </c>
      <c r="X564">
        <f>HYPERLINK("https://klasma.github.io/Logging_2062/tillsyn/A 8878-2026 tillsynsbegäran.docx", "A 8878-2026")</f>
        <v/>
      </c>
      <c r="Y564">
        <f>HYPERLINK("https://klasma.github.io/Logging_2062/tillsynsmail/A 8878-2026 tillsynsbegäran mail.docx", "A 8878-2026")</f>
        <v/>
      </c>
      <c r="Z564">
        <f>HYPERLINK("https://klasma.github.io/Logging_2062/fåglar/A 8878-2026 prioriterade fågelarter.docx", "A 8878-2026")</f>
        <v/>
      </c>
    </row>
    <row r="565" ht="15" customHeight="1">
      <c r="A565" t="inlineStr">
        <is>
          <t>A 9315-2026</t>
        </is>
      </c>
      <c r="B565" s="1" t="n">
        <v>46070.61984953703</v>
      </c>
      <c r="C565" s="1" t="n">
        <v>46114</v>
      </c>
      <c r="D565" t="inlineStr">
        <is>
          <t>DALARNAS LÄN</t>
        </is>
      </c>
      <c r="E565" t="inlineStr">
        <is>
          <t>BORLÄNGE</t>
        </is>
      </c>
      <c r="G565" t="n">
        <v>3.5</v>
      </c>
      <c r="H565" t="n">
        <v>2</v>
      </c>
      <c r="I565" t="n">
        <v>1</v>
      </c>
      <c r="J565" t="n">
        <v>1</v>
      </c>
      <c r="K565" t="n">
        <v>0</v>
      </c>
      <c r="L565" t="n">
        <v>0</v>
      </c>
      <c r="M565" t="n">
        <v>0</v>
      </c>
      <c r="N565" t="n">
        <v>0</v>
      </c>
      <c r="O565" t="n">
        <v>1</v>
      </c>
      <c r="P565" t="n">
        <v>0</v>
      </c>
      <c r="Q565" t="n">
        <v>3</v>
      </c>
      <c r="R565" s="2" t="inlineStr">
        <is>
          <t>Tretåig hackspett
Gullgröppa
Tjäder</t>
        </is>
      </c>
      <c r="S565">
        <f>HYPERLINK("https://klasma.github.io/Logging_2081/artfynd/A 9315-2026 artfynd.xlsx", "A 9315-2026")</f>
        <v/>
      </c>
      <c r="T565">
        <f>HYPERLINK("https://klasma.github.io/Logging_2081/kartor/A 9315-2026 karta.png", "A 9315-2026")</f>
        <v/>
      </c>
      <c r="V565">
        <f>HYPERLINK("https://klasma.github.io/Logging_2081/klagomål/A 9315-2026 FSC-klagomål.docx", "A 9315-2026")</f>
        <v/>
      </c>
      <c r="W565">
        <f>HYPERLINK("https://klasma.github.io/Logging_2081/klagomålsmail/A 9315-2026 FSC-klagomål mail.docx", "A 9315-2026")</f>
        <v/>
      </c>
      <c r="X565">
        <f>HYPERLINK("https://klasma.github.io/Logging_2081/tillsyn/A 9315-2026 tillsynsbegäran.docx", "A 9315-2026")</f>
        <v/>
      </c>
      <c r="Y565">
        <f>HYPERLINK("https://klasma.github.io/Logging_2081/tillsynsmail/A 9315-2026 tillsynsbegäran mail.docx", "A 9315-2026")</f>
        <v/>
      </c>
      <c r="Z565">
        <f>HYPERLINK("https://klasma.github.io/Logging_2081/fåglar/A 9315-2026 prioriterade fågelarter.docx", "A 9315-2026")</f>
        <v/>
      </c>
    </row>
    <row r="566" ht="15" customHeight="1">
      <c r="A566" t="inlineStr">
        <is>
          <t>A 3204-2024</t>
        </is>
      </c>
      <c r="B566" s="1" t="n">
        <v>45316</v>
      </c>
      <c r="C566" s="1" t="n">
        <v>46114</v>
      </c>
      <c r="D566" t="inlineStr">
        <is>
          <t>DALARNAS LÄN</t>
        </is>
      </c>
      <c r="E566" t="inlineStr">
        <is>
          <t>FALUN</t>
        </is>
      </c>
      <c r="G566" t="n">
        <v>6.1</v>
      </c>
      <c r="H566" t="n">
        <v>0</v>
      </c>
      <c r="I566" t="n">
        <v>2</v>
      </c>
      <c r="J566" t="n">
        <v>1</v>
      </c>
      <c r="K566" t="n">
        <v>0</v>
      </c>
      <c r="L566" t="n">
        <v>0</v>
      </c>
      <c r="M566" t="n">
        <v>0</v>
      </c>
      <c r="N566" t="n">
        <v>0</v>
      </c>
      <c r="O566" t="n">
        <v>1</v>
      </c>
      <c r="P566" t="n">
        <v>0</v>
      </c>
      <c r="Q566" t="n">
        <v>3</v>
      </c>
      <c r="R566" s="2" t="inlineStr">
        <is>
          <t>Garnlav
Kattfotslav
Skinnlav</t>
        </is>
      </c>
      <c r="S566">
        <f>HYPERLINK("https://klasma.github.io/Logging_2080/artfynd/A 3204-2024 artfynd.xlsx", "A 3204-2024")</f>
        <v/>
      </c>
      <c r="T566">
        <f>HYPERLINK("https://klasma.github.io/Logging_2080/kartor/A 3204-2024 karta.png", "A 3204-2024")</f>
        <v/>
      </c>
      <c r="V566">
        <f>HYPERLINK("https://klasma.github.io/Logging_2080/klagomål/A 3204-2024 FSC-klagomål.docx", "A 3204-2024")</f>
        <v/>
      </c>
      <c r="W566">
        <f>HYPERLINK("https://klasma.github.io/Logging_2080/klagomålsmail/A 3204-2024 FSC-klagomål mail.docx", "A 3204-2024")</f>
        <v/>
      </c>
      <c r="X566">
        <f>HYPERLINK("https://klasma.github.io/Logging_2080/tillsyn/A 3204-2024 tillsynsbegäran.docx", "A 3204-2024")</f>
        <v/>
      </c>
      <c r="Y566">
        <f>HYPERLINK("https://klasma.github.io/Logging_2080/tillsynsmail/A 3204-2024 tillsynsbegäran mail.docx", "A 3204-2024")</f>
        <v/>
      </c>
    </row>
    <row r="567" ht="15" customHeight="1">
      <c r="A567" t="inlineStr">
        <is>
          <t>A 9064-2025</t>
        </is>
      </c>
      <c r="B567" s="1" t="n">
        <v>45713</v>
      </c>
      <c r="C567" s="1" t="n">
        <v>46114</v>
      </c>
      <c r="D567" t="inlineStr">
        <is>
          <t>DALARNAS LÄN</t>
        </is>
      </c>
      <c r="E567" t="inlineStr">
        <is>
          <t>MALUNG-SÄLEN</t>
        </is>
      </c>
      <c r="G567" t="n">
        <v>10.2</v>
      </c>
      <c r="H567" t="n">
        <v>0</v>
      </c>
      <c r="I567" t="n">
        <v>0</v>
      </c>
      <c r="J567" t="n">
        <v>3</v>
      </c>
      <c r="K567" t="n">
        <v>0</v>
      </c>
      <c r="L567" t="n">
        <v>0</v>
      </c>
      <c r="M567" t="n">
        <v>0</v>
      </c>
      <c r="N567" t="n">
        <v>0</v>
      </c>
      <c r="O567" t="n">
        <v>3</v>
      </c>
      <c r="P567" t="n">
        <v>0</v>
      </c>
      <c r="Q567" t="n">
        <v>3</v>
      </c>
      <c r="R567" s="2" t="inlineStr">
        <is>
          <t>Garnlav
Kolflarnlav
Vedskivlav</t>
        </is>
      </c>
      <c r="S567">
        <f>HYPERLINK("https://klasma.github.io/Logging_2023/artfynd/A 9064-2025 artfynd.xlsx", "A 9064-2025")</f>
        <v/>
      </c>
      <c r="T567">
        <f>HYPERLINK("https://klasma.github.io/Logging_2023/kartor/A 9064-2025 karta.png", "A 9064-2025")</f>
        <v/>
      </c>
      <c r="V567">
        <f>HYPERLINK("https://klasma.github.io/Logging_2023/klagomål/A 9064-2025 FSC-klagomål.docx", "A 9064-2025")</f>
        <v/>
      </c>
      <c r="W567">
        <f>HYPERLINK("https://klasma.github.io/Logging_2023/klagomålsmail/A 9064-2025 FSC-klagomål mail.docx", "A 9064-2025")</f>
        <v/>
      </c>
      <c r="X567">
        <f>HYPERLINK("https://klasma.github.io/Logging_2023/tillsyn/A 9064-2025 tillsynsbegäran.docx", "A 9064-2025")</f>
        <v/>
      </c>
      <c r="Y567">
        <f>HYPERLINK("https://klasma.github.io/Logging_2023/tillsynsmail/A 9064-2025 tillsynsbegäran mail.docx", "A 9064-2025")</f>
        <v/>
      </c>
    </row>
    <row r="568" ht="15" customHeight="1">
      <c r="A568" t="inlineStr">
        <is>
          <t>A 35916-2022</t>
        </is>
      </c>
      <c r="B568" s="1" t="n">
        <v>44802</v>
      </c>
      <c r="C568" s="1" t="n">
        <v>46114</v>
      </c>
      <c r="D568" t="inlineStr">
        <is>
          <t>DALARNAS LÄN</t>
        </is>
      </c>
      <c r="E568" t="inlineStr">
        <is>
          <t>SÄTER</t>
        </is>
      </c>
      <c r="F568" t="inlineStr">
        <is>
          <t>Bergvik skog väst AB</t>
        </is>
      </c>
      <c r="G568" t="n">
        <v>2.6</v>
      </c>
      <c r="H568" t="n">
        <v>1</v>
      </c>
      <c r="I568" t="n">
        <v>0</v>
      </c>
      <c r="J568" t="n">
        <v>1</v>
      </c>
      <c r="K568" t="n">
        <v>1</v>
      </c>
      <c r="L568" t="n">
        <v>0</v>
      </c>
      <c r="M568" t="n">
        <v>0</v>
      </c>
      <c r="N568" t="n">
        <v>0</v>
      </c>
      <c r="O568" t="n">
        <v>2</v>
      </c>
      <c r="P568" t="n">
        <v>1</v>
      </c>
      <c r="Q568" t="n">
        <v>3</v>
      </c>
      <c r="R568" s="2" t="inlineStr">
        <is>
          <t>Slåttergubbe
Slåtterfibbla
Huggorm</t>
        </is>
      </c>
      <c r="S568">
        <f>HYPERLINK("https://klasma.github.io/Logging_2082/artfynd/A 35916-2022 artfynd.xlsx", "A 35916-2022")</f>
        <v/>
      </c>
      <c r="T568">
        <f>HYPERLINK("https://klasma.github.io/Logging_2082/kartor/A 35916-2022 karta.png", "A 35916-2022")</f>
        <v/>
      </c>
      <c r="V568">
        <f>HYPERLINK("https://klasma.github.io/Logging_2082/klagomål/A 35916-2022 FSC-klagomål.docx", "A 35916-2022")</f>
        <v/>
      </c>
      <c r="W568">
        <f>HYPERLINK("https://klasma.github.io/Logging_2082/klagomålsmail/A 35916-2022 FSC-klagomål mail.docx", "A 35916-2022")</f>
        <v/>
      </c>
      <c r="X568">
        <f>HYPERLINK("https://klasma.github.io/Logging_2082/tillsyn/A 35916-2022 tillsynsbegäran.docx", "A 35916-2022")</f>
        <v/>
      </c>
      <c r="Y568">
        <f>HYPERLINK("https://klasma.github.io/Logging_2082/tillsynsmail/A 35916-2022 tillsynsbegäran mail.docx", "A 35916-2022")</f>
        <v/>
      </c>
    </row>
    <row r="569" ht="15" customHeight="1">
      <c r="A569" t="inlineStr">
        <is>
          <t>A 21747-2025</t>
        </is>
      </c>
      <c r="B569" s="1" t="n">
        <v>45783.60923611111</v>
      </c>
      <c r="C569" s="1" t="n">
        <v>46114</v>
      </c>
      <c r="D569" t="inlineStr">
        <is>
          <t>DALARNAS LÄN</t>
        </is>
      </c>
      <c r="E569" t="inlineStr">
        <is>
          <t>ORSA</t>
        </is>
      </c>
      <c r="G569" t="n">
        <v>1.2</v>
      </c>
      <c r="H569" t="n">
        <v>0</v>
      </c>
      <c r="I569" t="n">
        <v>1</v>
      </c>
      <c r="J569" t="n">
        <v>2</v>
      </c>
      <c r="K569" t="n">
        <v>0</v>
      </c>
      <c r="L569" t="n">
        <v>0</v>
      </c>
      <c r="M569" t="n">
        <v>0</v>
      </c>
      <c r="N569" t="n">
        <v>0</v>
      </c>
      <c r="O569" t="n">
        <v>2</v>
      </c>
      <c r="P569" t="n">
        <v>0</v>
      </c>
      <c r="Q569" t="n">
        <v>3</v>
      </c>
      <c r="R569" s="2" t="inlineStr">
        <is>
          <t>Garnlav
Violettgrå tagellav
Mindre märgborre</t>
        </is>
      </c>
      <c r="S569">
        <f>HYPERLINK("https://klasma.github.io/Logging_2034/artfynd/A 21747-2025 artfynd.xlsx", "A 21747-2025")</f>
        <v/>
      </c>
      <c r="T569">
        <f>HYPERLINK("https://klasma.github.io/Logging_2034/kartor/A 21747-2025 karta.png", "A 21747-2025")</f>
        <v/>
      </c>
      <c r="V569">
        <f>HYPERLINK("https://klasma.github.io/Logging_2034/klagomål/A 21747-2025 FSC-klagomål.docx", "A 21747-2025")</f>
        <v/>
      </c>
      <c r="W569">
        <f>HYPERLINK("https://klasma.github.io/Logging_2034/klagomålsmail/A 21747-2025 FSC-klagomål mail.docx", "A 21747-2025")</f>
        <v/>
      </c>
      <c r="X569">
        <f>HYPERLINK("https://klasma.github.io/Logging_2034/tillsyn/A 21747-2025 tillsynsbegäran.docx", "A 21747-2025")</f>
        <v/>
      </c>
      <c r="Y569">
        <f>HYPERLINK("https://klasma.github.io/Logging_2034/tillsynsmail/A 21747-2025 tillsynsbegäran mail.docx", "A 21747-2025")</f>
        <v/>
      </c>
    </row>
    <row r="570" ht="15" customHeight="1">
      <c r="A570" t="inlineStr">
        <is>
          <t>A 23163-2025</t>
        </is>
      </c>
      <c r="B570" s="1" t="n">
        <v>45791.41832175926</v>
      </c>
      <c r="C570" s="1" t="n">
        <v>46114</v>
      </c>
      <c r="D570" t="inlineStr">
        <is>
          <t>DALARNAS LÄN</t>
        </is>
      </c>
      <c r="E570" t="inlineStr">
        <is>
          <t>MORA</t>
        </is>
      </c>
      <c r="G570" t="n">
        <v>4.2</v>
      </c>
      <c r="H570" t="n">
        <v>2</v>
      </c>
      <c r="I570" t="n">
        <v>0</v>
      </c>
      <c r="J570" t="n">
        <v>3</v>
      </c>
      <c r="K570" t="n">
        <v>0</v>
      </c>
      <c r="L570" t="n">
        <v>0</v>
      </c>
      <c r="M570" t="n">
        <v>0</v>
      </c>
      <c r="N570" t="n">
        <v>0</v>
      </c>
      <c r="O570" t="n">
        <v>3</v>
      </c>
      <c r="P570" t="n">
        <v>0</v>
      </c>
      <c r="Q570" t="n">
        <v>3</v>
      </c>
      <c r="R570" s="2" t="inlineStr">
        <is>
          <t>Garnlav
Spillkråka
Talltita</t>
        </is>
      </c>
      <c r="S570">
        <f>HYPERLINK("https://klasma.github.io/Logging_2062/artfynd/A 23163-2025 artfynd.xlsx", "A 23163-2025")</f>
        <v/>
      </c>
      <c r="T570">
        <f>HYPERLINK("https://klasma.github.io/Logging_2062/kartor/A 23163-2025 karta.png", "A 23163-2025")</f>
        <v/>
      </c>
      <c r="U570">
        <f>HYPERLINK("https://klasma.github.io/Logging_2062/knärot/A 23163-2025 karta knärot.png", "A 23163-2025")</f>
        <v/>
      </c>
      <c r="V570">
        <f>HYPERLINK("https://klasma.github.io/Logging_2062/klagomål/A 23163-2025 FSC-klagomål.docx", "A 23163-2025")</f>
        <v/>
      </c>
      <c r="W570">
        <f>HYPERLINK("https://klasma.github.io/Logging_2062/klagomålsmail/A 23163-2025 FSC-klagomål mail.docx", "A 23163-2025")</f>
        <v/>
      </c>
      <c r="X570">
        <f>HYPERLINK("https://klasma.github.io/Logging_2062/tillsyn/A 23163-2025 tillsynsbegäran.docx", "A 23163-2025")</f>
        <v/>
      </c>
      <c r="Y570">
        <f>HYPERLINK("https://klasma.github.io/Logging_2062/tillsynsmail/A 23163-2025 tillsynsbegäran mail.docx", "A 23163-2025")</f>
        <v/>
      </c>
      <c r="Z570">
        <f>HYPERLINK("https://klasma.github.io/Logging_2062/fåglar/A 23163-2025 prioriterade fågelarter.docx", "A 23163-2025")</f>
        <v/>
      </c>
    </row>
    <row r="571" ht="15" customHeight="1">
      <c r="A571" t="inlineStr">
        <is>
          <t>A 24183-2025</t>
        </is>
      </c>
      <c r="B571" s="1" t="n">
        <v>45796</v>
      </c>
      <c r="C571" s="1" t="n">
        <v>46114</v>
      </c>
      <c r="D571" t="inlineStr">
        <is>
          <t>DALARNAS LÄN</t>
        </is>
      </c>
      <c r="E571" t="inlineStr">
        <is>
          <t>BORLÄNGE</t>
        </is>
      </c>
      <c r="G571" t="n">
        <v>2.2</v>
      </c>
      <c r="H571" t="n">
        <v>1</v>
      </c>
      <c r="I571" t="n">
        <v>1</v>
      </c>
      <c r="J571" t="n">
        <v>2</v>
      </c>
      <c r="K571" t="n">
        <v>0</v>
      </c>
      <c r="L571" t="n">
        <v>0</v>
      </c>
      <c r="M571" t="n">
        <v>0</v>
      </c>
      <c r="N571" t="n">
        <v>0</v>
      </c>
      <c r="O571" t="n">
        <v>2</v>
      </c>
      <c r="P571" t="n">
        <v>0</v>
      </c>
      <c r="Q571" t="n">
        <v>3</v>
      </c>
      <c r="R571" s="2" t="inlineStr">
        <is>
          <t>Spillkråka
Tallticka
Mindre märgborre</t>
        </is>
      </c>
      <c r="S571">
        <f>HYPERLINK("https://klasma.github.io/Logging_2081/artfynd/A 24183-2025 artfynd.xlsx", "A 24183-2025")</f>
        <v/>
      </c>
      <c r="T571">
        <f>HYPERLINK("https://klasma.github.io/Logging_2081/kartor/A 24183-2025 karta.png", "A 24183-2025")</f>
        <v/>
      </c>
      <c r="V571">
        <f>HYPERLINK("https://klasma.github.io/Logging_2081/klagomål/A 24183-2025 FSC-klagomål.docx", "A 24183-2025")</f>
        <v/>
      </c>
      <c r="W571">
        <f>HYPERLINK("https://klasma.github.io/Logging_2081/klagomålsmail/A 24183-2025 FSC-klagomål mail.docx", "A 24183-2025")</f>
        <v/>
      </c>
      <c r="X571">
        <f>HYPERLINK("https://klasma.github.io/Logging_2081/tillsyn/A 24183-2025 tillsynsbegäran.docx", "A 24183-2025")</f>
        <v/>
      </c>
      <c r="Y571">
        <f>HYPERLINK("https://klasma.github.io/Logging_2081/tillsynsmail/A 24183-2025 tillsynsbegäran mail.docx", "A 24183-2025")</f>
        <v/>
      </c>
      <c r="Z571">
        <f>HYPERLINK("https://klasma.github.io/Logging_2081/fåglar/A 24183-2025 prioriterade fågelarter.docx", "A 24183-2025")</f>
        <v/>
      </c>
    </row>
    <row r="572" ht="15" customHeight="1">
      <c r="A572" t="inlineStr">
        <is>
          <t>A 60367-2024</t>
        </is>
      </c>
      <c r="B572" s="1" t="n">
        <v>45643.45725694444</v>
      </c>
      <c r="C572" s="1" t="n">
        <v>46114</v>
      </c>
      <c r="D572" t="inlineStr">
        <is>
          <t>DALARNAS LÄN</t>
        </is>
      </c>
      <c r="E572" t="inlineStr">
        <is>
          <t>AVESTA</t>
        </is>
      </c>
      <c r="G572" t="n">
        <v>10.1</v>
      </c>
      <c r="H572" t="n">
        <v>2</v>
      </c>
      <c r="I572" t="n">
        <v>2</v>
      </c>
      <c r="J572" t="n">
        <v>0</v>
      </c>
      <c r="K572" t="n">
        <v>1</v>
      </c>
      <c r="L572" t="n">
        <v>0</v>
      </c>
      <c r="M572" t="n">
        <v>0</v>
      </c>
      <c r="N572" t="n">
        <v>0</v>
      </c>
      <c r="O572" t="n">
        <v>1</v>
      </c>
      <c r="P572" t="n">
        <v>1</v>
      </c>
      <c r="Q572" t="n">
        <v>3</v>
      </c>
      <c r="R572" s="2" t="inlineStr">
        <is>
          <t>Knärot
Grönpyrola
Plattlummer</t>
        </is>
      </c>
      <c r="S572">
        <f>HYPERLINK("https://klasma.github.io/Logging_2084/artfynd/A 60367-2024 artfynd.xlsx", "A 60367-2024")</f>
        <v/>
      </c>
      <c r="T572">
        <f>HYPERLINK("https://klasma.github.io/Logging_2084/kartor/A 60367-2024 karta.png", "A 60367-2024")</f>
        <v/>
      </c>
      <c r="U572">
        <f>HYPERLINK("https://klasma.github.io/Logging_2084/knärot/A 60367-2024 karta knärot.png", "A 60367-2024")</f>
        <v/>
      </c>
      <c r="V572">
        <f>HYPERLINK("https://klasma.github.io/Logging_2084/klagomål/A 60367-2024 FSC-klagomål.docx", "A 60367-2024")</f>
        <v/>
      </c>
      <c r="W572">
        <f>HYPERLINK("https://klasma.github.io/Logging_2084/klagomålsmail/A 60367-2024 FSC-klagomål mail.docx", "A 60367-2024")</f>
        <v/>
      </c>
      <c r="X572">
        <f>HYPERLINK("https://klasma.github.io/Logging_2084/tillsyn/A 60367-2024 tillsynsbegäran.docx", "A 60367-2024")</f>
        <v/>
      </c>
      <c r="Y572">
        <f>HYPERLINK("https://klasma.github.io/Logging_2084/tillsynsmail/A 60367-2024 tillsynsbegäran mail.docx", "A 60367-2024")</f>
        <v/>
      </c>
    </row>
    <row r="573" ht="15" customHeight="1">
      <c r="A573" t="inlineStr">
        <is>
          <t>A 24594-2025</t>
        </is>
      </c>
      <c r="B573" s="1" t="n">
        <v>45798</v>
      </c>
      <c r="C573" s="1" t="n">
        <v>46114</v>
      </c>
      <c r="D573" t="inlineStr">
        <is>
          <t>DALARNAS LÄN</t>
        </is>
      </c>
      <c r="E573" t="inlineStr">
        <is>
          <t>BORLÄNGE</t>
        </is>
      </c>
      <c r="G573" t="n">
        <v>1.6</v>
      </c>
      <c r="H573" t="n">
        <v>0</v>
      </c>
      <c r="I573" t="n">
        <v>1</v>
      </c>
      <c r="J573" t="n">
        <v>2</v>
      </c>
      <c r="K573" t="n">
        <v>0</v>
      </c>
      <c r="L573" t="n">
        <v>0</v>
      </c>
      <c r="M573" t="n">
        <v>0</v>
      </c>
      <c r="N573" t="n">
        <v>0</v>
      </c>
      <c r="O573" t="n">
        <v>2</v>
      </c>
      <c r="P573" t="n">
        <v>0</v>
      </c>
      <c r="Q573" t="n">
        <v>3</v>
      </c>
      <c r="R573" s="2" t="inlineStr">
        <is>
          <t>Granticka
Ullticka
Rödgul trumpetsvamp</t>
        </is>
      </c>
      <c r="S573">
        <f>HYPERLINK("https://klasma.github.io/Logging_2081/artfynd/A 24594-2025 artfynd.xlsx", "A 24594-2025")</f>
        <v/>
      </c>
      <c r="T573">
        <f>HYPERLINK("https://klasma.github.io/Logging_2081/kartor/A 24594-2025 karta.png", "A 24594-2025")</f>
        <v/>
      </c>
      <c r="V573">
        <f>HYPERLINK("https://klasma.github.io/Logging_2081/klagomål/A 24594-2025 FSC-klagomål.docx", "A 24594-2025")</f>
        <v/>
      </c>
      <c r="W573">
        <f>HYPERLINK("https://klasma.github.io/Logging_2081/klagomålsmail/A 24594-2025 FSC-klagomål mail.docx", "A 24594-2025")</f>
        <v/>
      </c>
      <c r="X573">
        <f>HYPERLINK("https://klasma.github.io/Logging_2081/tillsyn/A 24594-2025 tillsynsbegäran.docx", "A 24594-2025")</f>
        <v/>
      </c>
      <c r="Y573">
        <f>HYPERLINK("https://klasma.github.io/Logging_2081/tillsynsmail/A 24594-2025 tillsynsbegäran mail.docx", "A 24594-2025")</f>
        <v/>
      </c>
    </row>
    <row r="574" ht="15" customHeight="1">
      <c r="A574" t="inlineStr">
        <is>
          <t>A 7024-2024</t>
        </is>
      </c>
      <c r="B574" s="1" t="n">
        <v>45343.57924768519</v>
      </c>
      <c r="C574" s="1" t="n">
        <v>46114</v>
      </c>
      <c r="D574" t="inlineStr">
        <is>
          <t>DALARNAS LÄN</t>
        </is>
      </c>
      <c r="E574" t="inlineStr">
        <is>
          <t>ÄLVDALEN</t>
        </is>
      </c>
      <c r="F574" t="inlineStr">
        <is>
          <t>Sveaskog</t>
        </is>
      </c>
      <c r="G574" t="n">
        <v>30.1</v>
      </c>
      <c r="H574" t="n">
        <v>0</v>
      </c>
      <c r="I574" t="n">
        <v>0</v>
      </c>
      <c r="J574" t="n">
        <v>2</v>
      </c>
      <c r="K574" t="n">
        <v>1</v>
      </c>
      <c r="L574" t="n">
        <v>0</v>
      </c>
      <c r="M574" t="n">
        <v>0</v>
      </c>
      <c r="N574" t="n">
        <v>0</v>
      </c>
      <c r="O574" t="n">
        <v>3</v>
      </c>
      <c r="P574" t="n">
        <v>1</v>
      </c>
      <c r="Q574" t="n">
        <v>3</v>
      </c>
      <c r="R574" s="2" t="inlineStr">
        <is>
          <t>Gräddporing
Nordtagging
Vaddporing</t>
        </is>
      </c>
      <c r="S574">
        <f>HYPERLINK("https://klasma.github.io/Logging_2039/artfynd/A 7024-2024 artfynd.xlsx", "A 7024-2024")</f>
        <v/>
      </c>
      <c r="T574">
        <f>HYPERLINK("https://klasma.github.io/Logging_2039/kartor/A 7024-2024 karta.png", "A 7024-2024")</f>
        <v/>
      </c>
      <c r="V574">
        <f>HYPERLINK("https://klasma.github.io/Logging_2039/klagomål/A 7024-2024 FSC-klagomål.docx", "A 7024-2024")</f>
        <v/>
      </c>
      <c r="W574">
        <f>HYPERLINK("https://klasma.github.io/Logging_2039/klagomålsmail/A 7024-2024 FSC-klagomål mail.docx", "A 7024-2024")</f>
        <v/>
      </c>
      <c r="X574">
        <f>HYPERLINK("https://klasma.github.io/Logging_2039/tillsyn/A 7024-2024 tillsynsbegäran.docx", "A 7024-2024")</f>
        <v/>
      </c>
      <c r="Y574">
        <f>HYPERLINK("https://klasma.github.io/Logging_2039/tillsynsmail/A 7024-2024 tillsynsbegäran mail.docx", "A 7024-2024")</f>
        <v/>
      </c>
    </row>
    <row r="575" ht="15" customHeight="1">
      <c r="A575" t="inlineStr">
        <is>
          <t>A 25758-2025</t>
        </is>
      </c>
      <c r="B575" s="1" t="n">
        <v>45804.33314814815</v>
      </c>
      <c r="C575" s="1" t="n">
        <v>46114</v>
      </c>
      <c r="D575" t="inlineStr">
        <is>
          <t>DALARNAS LÄN</t>
        </is>
      </c>
      <c r="E575" t="inlineStr">
        <is>
          <t>ÄLVDALEN</t>
        </is>
      </c>
      <c r="F575" t="inlineStr">
        <is>
          <t>Kommuner</t>
        </is>
      </c>
      <c r="G575" t="n">
        <v>2.2</v>
      </c>
      <c r="H575" t="n">
        <v>1</v>
      </c>
      <c r="I575" t="n">
        <v>1</v>
      </c>
      <c r="J575" t="n">
        <v>2</v>
      </c>
      <c r="K575" t="n">
        <v>0</v>
      </c>
      <c r="L575" t="n">
        <v>0</v>
      </c>
      <c r="M575" t="n">
        <v>0</v>
      </c>
      <c r="N575" t="n">
        <v>0</v>
      </c>
      <c r="O575" t="n">
        <v>2</v>
      </c>
      <c r="P575" t="n">
        <v>0</v>
      </c>
      <c r="Q575" t="n">
        <v>3</v>
      </c>
      <c r="R575" s="2" t="inlineStr">
        <is>
          <t>Garnlav
Spillkråka
Dropptaggsvamp</t>
        </is>
      </c>
      <c r="S575">
        <f>HYPERLINK("https://klasma.github.io/Logging_2039/artfynd/A 25758-2025 artfynd.xlsx", "A 25758-2025")</f>
        <v/>
      </c>
      <c r="T575">
        <f>HYPERLINK("https://klasma.github.io/Logging_2039/kartor/A 25758-2025 karta.png", "A 25758-2025")</f>
        <v/>
      </c>
      <c r="V575">
        <f>HYPERLINK("https://klasma.github.io/Logging_2039/klagomål/A 25758-2025 FSC-klagomål.docx", "A 25758-2025")</f>
        <v/>
      </c>
      <c r="W575">
        <f>HYPERLINK("https://klasma.github.io/Logging_2039/klagomålsmail/A 25758-2025 FSC-klagomål mail.docx", "A 25758-2025")</f>
        <v/>
      </c>
      <c r="X575">
        <f>HYPERLINK("https://klasma.github.io/Logging_2039/tillsyn/A 25758-2025 tillsynsbegäran.docx", "A 25758-2025")</f>
        <v/>
      </c>
      <c r="Y575">
        <f>HYPERLINK("https://klasma.github.io/Logging_2039/tillsynsmail/A 25758-2025 tillsynsbegäran mail.docx", "A 25758-2025")</f>
        <v/>
      </c>
      <c r="Z575">
        <f>HYPERLINK("https://klasma.github.io/Logging_2039/fåglar/A 25758-2025 prioriterade fågelarter.docx", "A 25758-2025")</f>
        <v/>
      </c>
    </row>
    <row r="576" ht="15" customHeight="1">
      <c r="A576" t="inlineStr">
        <is>
          <t>A 26751-2025</t>
        </is>
      </c>
      <c r="B576" s="1" t="n">
        <v>45810.55134259259</v>
      </c>
      <c r="C576" s="1" t="n">
        <v>46114</v>
      </c>
      <c r="D576" t="inlineStr">
        <is>
          <t>DALARNAS LÄN</t>
        </is>
      </c>
      <c r="E576" t="inlineStr">
        <is>
          <t>ÄLVDALEN</t>
        </is>
      </c>
      <c r="F576" t="inlineStr">
        <is>
          <t>Allmännings- och besparingsskogar</t>
        </is>
      </c>
      <c r="G576" t="n">
        <v>3.6</v>
      </c>
      <c r="H576" t="n">
        <v>1</v>
      </c>
      <c r="I576" t="n">
        <v>1</v>
      </c>
      <c r="J576" t="n">
        <v>2</v>
      </c>
      <c r="K576" t="n">
        <v>0</v>
      </c>
      <c r="L576" t="n">
        <v>0</v>
      </c>
      <c r="M576" t="n">
        <v>0</v>
      </c>
      <c r="N576" t="n">
        <v>0</v>
      </c>
      <c r="O576" t="n">
        <v>2</v>
      </c>
      <c r="P576" t="n">
        <v>0</v>
      </c>
      <c r="Q576" t="n">
        <v>3</v>
      </c>
      <c r="R576" s="2" t="inlineStr">
        <is>
          <t>Garnlav
Skrovellav
Spindelblomster</t>
        </is>
      </c>
      <c r="S576">
        <f>HYPERLINK("https://klasma.github.io/Logging_2039/artfynd/A 26751-2025 artfynd.xlsx", "A 26751-2025")</f>
        <v/>
      </c>
      <c r="T576">
        <f>HYPERLINK("https://klasma.github.io/Logging_2039/kartor/A 26751-2025 karta.png", "A 26751-2025")</f>
        <v/>
      </c>
      <c r="V576">
        <f>HYPERLINK("https://klasma.github.io/Logging_2039/klagomål/A 26751-2025 FSC-klagomål.docx", "A 26751-2025")</f>
        <v/>
      </c>
      <c r="W576">
        <f>HYPERLINK("https://klasma.github.io/Logging_2039/klagomålsmail/A 26751-2025 FSC-klagomål mail.docx", "A 26751-2025")</f>
        <v/>
      </c>
      <c r="X576">
        <f>HYPERLINK("https://klasma.github.io/Logging_2039/tillsyn/A 26751-2025 tillsynsbegäran.docx", "A 26751-2025")</f>
        <v/>
      </c>
      <c r="Y576">
        <f>HYPERLINK("https://klasma.github.io/Logging_2039/tillsynsmail/A 26751-2025 tillsynsbegäran mail.docx", "A 26751-2025")</f>
        <v/>
      </c>
    </row>
    <row r="577" ht="15" customHeight="1">
      <c r="A577" t="inlineStr">
        <is>
          <t>A 27933-2025</t>
        </is>
      </c>
      <c r="B577" s="1" t="n">
        <v>45817.49630787037</v>
      </c>
      <c r="C577" s="1" t="n">
        <v>46114</v>
      </c>
      <c r="D577" t="inlineStr">
        <is>
          <t>DALARNAS LÄN</t>
        </is>
      </c>
      <c r="E577" t="inlineStr">
        <is>
          <t>ÄLVDALEN</t>
        </is>
      </c>
      <c r="F577" t="inlineStr">
        <is>
          <t>Sveaskog</t>
        </is>
      </c>
      <c r="G577" t="n">
        <v>2.5</v>
      </c>
      <c r="H577" t="n">
        <v>0</v>
      </c>
      <c r="I577" t="n">
        <v>0</v>
      </c>
      <c r="J577" t="n">
        <v>3</v>
      </c>
      <c r="K577" t="n">
        <v>0</v>
      </c>
      <c r="L577" t="n">
        <v>0</v>
      </c>
      <c r="M577" t="n">
        <v>0</v>
      </c>
      <c r="N577" t="n">
        <v>0</v>
      </c>
      <c r="O577" t="n">
        <v>3</v>
      </c>
      <c r="P577" t="n">
        <v>0</v>
      </c>
      <c r="Q577" t="n">
        <v>3</v>
      </c>
      <c r="R577" s="2" t="inlineStr">
        <is>
          <t>Kolflarnlav
Mörk kolflarnlav
Vedflamlav</t>
        </is>
      </c>
      <c r="S577">
        <f>HYPERLINK("https://klasma.github.io/Logging_2039/artfynd/A 27933-2025 artfynd.xlsx", "A 27933-2025")</f>
        <v/>
      </c>
      <c r="T577">
        <f>HYPERLINK("https://klasma.github.io/Logging_2039/kartor/A 27933-2025 karta.png", "A 27933-2025")</f>
        <v/>
      </c>
      <c r="V577">
        <f>HYPERLINK("https://klasma.github.io/Logging_2039/klagomål/A 27933-2025 FSC-klagomål.docx", "A 27933-2025")</f>
        <v/>
      </c>
      <c r="W577">
        <f>HYPERLINK("https://klasma.github.io/Logging_2039/klagomålsmail/A 27933-2025 FSC-klagomål mail.docx", "A 27933-2025")</f>
        <v/>
      </c>
      <c r="X577">
        <f>HYPERLINK("https://klasma.github.io/Logging_2039/tillsyn/A 27933-2025 tillsynsbegäran.docx", "A 27933-2025")</f>
        <v/>
      </c>
      <c r="Y577">
        <f>HYPERLINK("https://klasma.github.io/Logging_2039/tillsynsmail/A 27933-2025 tillsynsbegäran mail.docx", "A 27933-2025")</f>
        <v/>
      </c>
    </row>
    <row r="578" ht="15" customHeight="1">
      <c r="A578" t="inlineStr">
        <is>
          <t>A 29392-2025</t>
        </is>
      </c>
      <c r="B578" s="1" t="n">
        <v>45824.60537037037</v>
      </c>
      <c r="C578" s="1" t="n">
        <v>46114</v>
      </c>
      <c r="D578" t="inlineStr">
        <is>
          <t>DALARNAS LÄN</t>
        </is>
      </c>
      <c r="E578" t="inlineStr">
        <is>
          <t>MORA</t>
        </is>
      </c>
      <c r="G578" t="n">
        <v>1</v>
      </c>
      <c r="H578" t="n">
        <v>1</v>
      </c>
      <c r="I578" t="n">
        <v>2</v>
      </c>
      <c r="J578" t="n">
        <v>1</v>
      </c>
      <c r="K578" t="n">
        <v>0</v>
      </c>
      <c r="L578" t="n">
        <v>0</v>
      </c>
      <c r="M578" t="n">
        <v>0</v>
      </c>
      <c r="N578" t="n">
        <v>0</v>
      </c>
      <c r="O578" t="n">
        <v>1</v>
      </c>
      <c r="P578" t="n">
        <v>0</v>
      </c>
      <c r="Q578" t="n">
        <v>3</v>
      </c>
      <c r="R578" s="2" t="inlineStr">
        <is>
          <t>Garnlav
Mindre märgborre
Plattlummer</t>
        </is>
      </c>
      <c r="S578">
        <f>HYPERLINK("https://klasma.github.io/Logging_2062/artfynd/A 29392-2025 artfynd.xlsx", "A 29392-2025")</f>
        <v/>
      </c>
      <c r="T578">
        <f>HYPERLINK("https://klasma.github.io/Logging_2062/kartor/A 29392-2025 karta.png", "A 29392-2025")</f>
        <v/>
      </c>
      <c r="V578">
        <f>HYPERLINK("https://klasma.github.io/Logging_2062/klagomål/A 29392-2025 FSC-klagomål.docx", "A 29392-2025")</f>
        <v/>
      </c>
      <c r="W578">
        <f>HYPERLINK("https://klasma.github.io/Logging_2062/klagomålsmail/A 29392-2025 FSC-klagomål mail.docx", "A 29392-2025")</f>
        <v/>
      </c>
      <c r="X578">
        <f>HYPERLINK("https://klasma.github.io/Logging_2062/tillsyn/A 29392-2025 tillsynsbegäran.docx", "A 29392-2025")</f>
        <v/>
      </c>
      <c r="Y578">
        <f>HYPERLINK("https://klasma.github.io/Logging_2062/tillsynsmail/A 29392-2025 tillsynsbegäran mail.docx", "A 29392-2025")</f>
        <v/>
      </c>
    </row>
    <row r="579" ht="15" customHeight="1">
      <c r="A579" t="inlineStr">
        <is>
          <t>A 30111-2025</t>
        </is>
      </c>
      <c r="B579" s="1" t="n">
        <v>45826.70199074074</v>
      </c>
      <c r="C579" s="1" t="n">
        <v>46114</v>
      </c>
      <c r="D579" t="inlineStr">
        <is>
          <t>DALARNAS LÄN</t>
        </is>
      </c>
      <c r="E579" t="inlineStr">
        <is>
          <t>MALUNG-SÄLEN</t>
        </is>
      </c>
      <c r="F579" t="inlineStr">
        <is>
          <t>Allmännings- och besparingsskogar</t>
        </is>
      </c>
      <c r="G579" t="n">
        <v>30.5</v>
      </c>
      <c r="H579" t="n">
        <v>0</v>
      </c>
      <c r="I579" t="n">
        <v>0</v>
      </c>
      <c r="J579" t="n">
        <v>2</v>
      </c>
      <c r="K579" t="n">
        <v>1</v>
      </c>
      <c r="L579" t="n">
        <v>0</v>
      </c>
      <c r="M579" t="n">
        <v>0</v>
      </c>
      <c r="N579" t="n">
        <v>0</v>
      </c>
      <c r="O579" t="n">
        <v>3</v>
      </c>
      <c r="P579" t="n">
        <v>1</v>
      </c>
      <c r="Q579" t="n">
        <v>3</v>
      </c>
      <c r="R579" s="2" t="inlineStr">
        <is>
          <t>Gräddporing
Dvärgbägarlav
Garnlav</t>
        </is>
      </c>
      <c r="S579">
        <f>HYPERLINK("https://klasma.github.io/Logging_2023/artfynd/A 30111-2025 artfynd.xlsx", "A 30111-2025")</f>
        <v/>
      </c>
      <c r="T579">
        <f>HYPERLINK("https://klasma.github.io/Logging_2023/kartor/A 30111-2025 karta.png", "A 30111-2025")</f>
        <v/>
      </c>
      <c r="V579">
        <f>HYPERLINK("https://klasma.github.io/Logging_2023/klagomål/A 30111-2025 FSC-klagomål.docx", "A 30111-2025")</f>
        <v/>
      </c>
      <c r="W579">
        <f>HYPERLINK("https://klasma.github.io/Logging_2023/klagomålsmail/A 30111-2025 FSC-klagomål mail.docx", "A 30111-2025")</f>
        <v/>
      </c>
      <c r="X579">
        <f>HYPERLINK("https://klasma.github.io/Logging_2023/tillsyn/A 30111-2025 tillsynsbegäran.docx", "A 30111-2025")</f>
        <v/>
      </c>
      <c r="Y579">
        <f>HYPERLINK("https://klasma.github.io/Logging_2023/tillsynsmail/A 30111-2025 tillsynsbegäran mail.docx", "A 30111-2025")</f>
        <v/>
      </c>
    </row>
    <row r="580" ht="15" customHeight="1">
      <c r="A580" t="inlineStr">
        <is>
          <t>A 30216-2025</t>
        </is>
      </c>
      <c r="B580" s="1" t="n">
        <v>45827.37033564815</v>
      </c>
      <c r="C580" s="1" t="n">
        <v>46114</v>
      </c>
      <c r="D580" t="inlineStr">
        <is>
          <t>DALARNAS LÄN</t>
        </is>
      </c>
      <c r="E580" t="inlineStr">
        <is>
          <t>BORLÄNGE</t>
        </is>
      </c>
      <c r="G580" t="n">
        <v>0.7</v>
      </c>
      <c r="H580" t="n">
        <v>0</v>
      </c>
      <c r="I580" t="n">
        <v>0</v>
      </c>
      <c r="J580" t="n">
        <v>2</v>
      </c>
      <c r="K580" t="n">
        <v>1</v>
      </c>
      <c r="L580" t="n">
        <v>0</v>
      </c>
      <c r="M580" t="n">
        <v>0</v>
      </c>
      <c r="N580" t="n">
        <v>0</v>
      </c>
      <c r="O580" t="n">
        <v>3</v>
      </c>
      <c r="P580" t="n">
        <v>1</v>
      </c>
      <c r="Q580" t="n">
        <v>3</v>
      </c>
      <c r="R580" s="2" t="inlineStr">
        <is>
          <t>Rynkskinn
Rosenticka
Ullticka</t>
        </is>
      </c>
      <c r="S580">
        <f>HYPERLINK("https://klasma.github.io/Logging_2081/artfynd/A 30216-2025 artfynd.xlsx", "A 30216-2025")</f>
        <v/>
      </c>
      <c r="T580">
        <f>HYPERLINK("https://klasma.github.io/Logging_2081/kartor/A 30216-2025 karta.png", "A 30216-2025")</f>
        <v/>
      </c>
      <c r="V580">
        <f>HYPERLINK("https://klasma.github.io/Logging_2081/klagomål/A 30216-2025 FSC-klagomål.docx", "A 30216-2025")</f>
        <v/>
      </c>
      <c r="W580">
        <f>HYPERLINK("https://klasma.github.io/Logging_2081/klagomålsmail/A 30216-2025 FSC-klagomål mail.docx", "A 30216-2025")</f>
        <v/>
      </c>
      <c r="X580">
        <f>HYPERLINK("https://klasma.github.io/Logging_2081/tillsyn/A 30216-2025 tillsynsbegäran.docx", "A 30216-2025")</f>
        <v/>
      </c>
      <c r="Y580">
        <f>HYPERLINK("https://klasma.github.io/Logging_2081/tillsynsmail/A 30216-2025 tillsynsbegäran mail.docx", "A 30216-2025")</f>
        <v/>
      </c>
    </row>
    <row r="581" ht="15" customHeight="1">
      <c r="A581" t="inlineStr">
        <is>
          <t>A 29844-2025</t>
        </is>
      </c>
      <c r="B581" s="1" t="n">
        <v>45826</v>
      </c>
      <c r="C581" s="1" t="n">
        <v>46114</v>
      </c>
      <c r="D581" t="inlineStr">
        <is>
          <t>DALARNAS LÄN</t>
        </is>
      </c>
      <c r="E581" t="inlineStr">
        <is>
          <t>ORSA</t>
        </is>
      </c>
      <c r="F581" t="inlineStr">
        <is>
          <t>Allmännings- och besparingsskogar</t>
        </is>
      </c>
      <c r="G581" t="n">
        <v>53.9</v>
      </c>
      <c r="H581" t="n">
        <v>1</v>
      </c>
      <c r="I581" t="n">
        <v>1</v>
      </c>
      <c r="J581" t="n">
        <v>2</v>
      </c>
      <c r="K581" t="n">
        <v>0</v>
      </c>
      <c r="L581" t="n">
        <v>0</v>
      </c>
      <c r="M581" t="n">
        <v>0</v>
      </c>
      <c r="N581" t="n">
        <v>0</v>
      </c>
      <c r="O581" t="n">
        <v>2</v>
      </c>
      <c r="P581" t="n">
        <v>0</v>
      </c>
      <c r="Q581" t="n">
        <v>3</v>
      </c>
      <c r="R581" s="2" t="inlineStr">
        <is>
          <t>Garnlav
Spillkråka
Bronshjon</t>
        </is>
      </c>
      <c r="S581">
        <f>HYPERLINK("https://klasma.github.io/Logging_2034/artfynd/A 29844-2025 artfynd.xlsx", "A 29844-2025")</f>
        <v/>
      </c>
      <c r="T581">
        <f>HYPERLINK("https://klasma.github.io/Logging_2034/kartor/A 29844-2025 karta.png", "A 29844-2025")</f>
        <v/>
      </c>
      <c r="V581">
        <f>HYPERLINK("https://klasma.github.io/Logging_2034/klagomål/A 29844-2025 FSC-klagomål.docx", "A 29844-2025")</f>
        <v/>
      </c>
      <c r="W581">
        <f>HYPERLINK("https://klasma.github.io/Logging_2034/klagomålsmail/A 29844-2025 FSC-klagomål mail.docx", "A 29844-2025")</f>
        <v/>
      </c>
      <c r="X581">
        <f>HYPERLINK("https://klasma.github.io/Logging_2034/tillsyn/A 29844-2025 tillsynsbegäran.docx", "A 29844-2025")</f>
        <v/>
      </c>
      <c r="Y581">
        <f>HYPERLINK("https://klasma.github.io/Logging_2034/tillsynsmail/A 29844-2025 tillsynsbegäran mail.docx", "A 29844-2025")</f>
        <v/>
      </c>
      <c r="Z581">
        <f>HYPERLINK("https://klasma.github.io/Logging_2034/fåglar/A 29844-2025 prioriterade fågelarter.docx", "A 29844-2025")</f>
        <v/>
      </c>
    </row>
    <row r="582" ht="15" customHeight="1">
      <c r="A582" t="inlineStr">
        <is>
          <t>A 31336-2025</t>
        </is>
      </c>
      <c r="B582" s="1" t="n">
        <v>45833</v>
      </c>
      <c r="C582" s="1" t="n">
        <v>46114</v>
      </c>
      <c r="D582" t="inlineStr">
        <is>
          <t>DALARNAS LÄN</t>
        </is>
      </c>
      <c r="E582" t="inlineStr">
        <is>
          <t>ORSA</t>
        </is>
      </c>
      <c r="G582" t="n">
        <v>12.8</v>
      </c>
      <c r="H582" t="n">
        <v>1</v>
      </c>
      <c r="I582" t="n">
        <v>0</v>
      </c>
      <c r="J582" t="n">
        <v>3</v>
      </c>
      <c r="K582" t="n">
        <v>0</v>
      </c>
      <c r="L582" t="n">
        <v>0</v>
      </c>
      <c r="M582" t="n">
        <v>0</v>
      </c>
      <c r="N582" t="n">
        <v>0</v>
      </c>
      <c r="O582" t="n">
        <v>3</v>
      </c>
      <c r="P582" t="n">
        <v>0</v>
      </c>
      <c r="Q582" t="n">
        <v>3</v>
      </c>
      <c r="R582" s="2" t="inlineStr">
        <is>
          <t>Garnlav
Granticka
Spillkråka</t>
        </is>
      </c>
      <c r="S582">
        <f>HYPERLINK("https://klasma.github.io/Logging_2034/artfynd/A 31336-2025 artfynd.xlsx", "A 31336-2025")</f>
        <v/>
      </c>
      <c r="T582">
        <f>HYPERLINK("https://klasma.github.io/Logging_2034/kartor/A 31336-2025 karta.png", "A 31336-2025")</f>
        <v/>
      </c>
      <c r="V582">
        <f>HYPERLINK("https://klasma.github.io/Logging_2034/klagomål/A 31336-2025 FSC-klagomål.docx", "A 31336-2025")</f>
        <v/>
      </c>
      <c r="W582">
        <f>HYPERLINK("https://klasma.github.io/Logging_2034/klagomålsmail/A 31336-2025 FSC-klagomål mail.docx", "A 31336-2025")</f>
        <v/>
      </c>
      <c r="X582">
        <f>HYPERLINK("https://klasma.github.io/Logging_2034/tillsyn/A 31336-2025 tillsynsbegäran.docx", "A 31336-2025")</f>
        <v/>
      </c>
      <c r="Y582">
        <f>HYPERLINK("https://klasma.github.io/Logging_2034/tillsynsmail/A 31336-2025 tillsynsbegäran mail.docx", "A 31336-2025")</f>
        <v/>
      </c>
      <c r="Z582">
        <f>HYPERLINK("https://klasma.github.io/Logging_2034/fåglar/A 31336-2025 prioriterade fågelarter.docx", "A 31336-2025")</f>
        <v/>
      </c>
    </row>
    <row r="583" ht="15" customHeight="1">
      <c r="A583" t="inlineStr">
        <is>
          <t>A 34322-2021</t>
        </is>
      </c>
      <c r="B583" s="1" t="n">
        <v>44379</v>
      </c>
      <c r="C583" s="1" t="n">
        <v>46114</v>
      </c>
      <c r="D583" t="inlineStr">
        <is>
          <t>DALARNAS LÄN</t>
        </is>
      </c>
      <c r="E583" t="inlineStr">
        <is>
          <t>GAGNEF</t>
        </is>
      </c>
      <c r="G583" t="n">
        <v>9.4</v>
      </c>
      <c r="H583" t="n">
        <v>0</v>
      </c>
      <c r="I583" t="n">
        <v>0</v>
      </c>
      <c r="J583" t="n">
        <v>2</v>
      </c>
      <c r="K583" t="n">
        <v>0</v>
      </c>
      <c r="L583" t="n">
        <v>0</v>
      </c>
      <c r="M583" t="n">
        <v>0</v>
      </c>
      <c r="N583" t="n">
        <v>0</v>
      </c>
      <c r="O583" t="n">
        <v>2</v>
      </c>
      <c r="P583" t="n">
        <v>0</v>
      </c>
      <c r="Q583" t="n">
        <v>2</v>
      </c>
      <c r="R583" s="2" t="inlineStr">
        <is>
          <t>Garnlav
Granticka</t>
        </is>
      </c>
      <c r="S583">
        <f>HYPERLINK("https://klasma.github.io/Logging_2026/artfynd/A 34322-2021 artfynd.xlsx", "A 34322-2021")</f>
        <v/>
      </c>
      <c r="T583">
        <f>HYPERLINK("https://klasma.github.io/Logging_2026/kartor/A 34322-2021 karta.png", "A 34322-2021")</f>
        <v/>
      </c>
      <c r="V583">
        <f>HYPERLINK("https://klasma.github.io/Logging_2026/klagomål/A 34322-2021 FSC-klagomål.docx", "A 34322-2021")</f>
        <v/>
      </c>
      <c r="W583">
        <f>HYPERLINK("https://klasma.github.io/Logging_2026/klagomålsmail/A 34322-2021 FSC-klagomål mail.docx", "A 34322-2021")</f>
        <v/>
      </c>
      <c r="X583">
        <f>HYPERLINK("https://klasma.github.io/Logging_2026/tillsyn/A 34322-2021 tillsynsbegäran.docx", "A 34322-2021")</f>
        <v/>
      </c>
      <c r="Y583">
        <f>HYPERLINK("https://klasma.github.io/Logging_2026/tillsynsmail/A 34322-2021 tillsynsbegäran mail.docx", "A 34322-2021")</f>
        <v/>
      </c>
    </row>
    <row r="584" ht="15" customHeight="1">
      <c r="A584" t="inlineStr">
        <is>
          <t>A 49834-2021</t>
        </is>
      </c>
      <c r="B584" s="1" t="n">
        <v>44455.63979166667</v>
      </c>
      <c r="C584" s="1" t="n">
        <v>46114</v>
      </c>
      <c r="D584" t="inlineStr">
        <is>
          <t>DALARNAS LÄN</t>
        </is>
      </c>
      <c r="E584" t="inlineStr">
        <is>
          <t>SMEDJEBACKEN</t>
        </is>
      </c>
      <c r="F584" t="inlineStr">
        <is>
          <t>Sveaskog</t>
        </is>
      </c>
      <c r="G584" t="n">
        <v>7.1</v>
      </c>
      <c r="H584" t="n">
        <v>1</v>
      </c>
      <c r="I584" t="n">
        <v>1</v>
      </c>
      <c r="J584" t="n">
        <v>0</v>
      </c>
      <c r="K584" t="n">
        <v>0</v>
      </c>
      <c r="L584" t="n">
        <v>0</v>
      </c>
      <c r="M584" t="n">
        <v>0</v>
      </c>
      <c r="N584" t="n">
        <v>0</v>
      </c>
      <c r="O584" t="n">
        <v>0</v>
      </c>
      <c r="P584" t="n">
        <v>0</v>
      </c>
      <c r="Q584" t="n">
        <v>2</v>
      </c>
      <c r="R584" s="2" t="inlineStr">
        <is>
          <t>Bårdlav
Blåsippa</t>
        </is>
      </c>
      <c r="S584">
        <f>HYPERLINK("https://klasma.github.io/Logging_2061/artfynd/A 49834-2021 artfynd.xlsx", "A 49834-2021")</f>
        <v/>
      </c>
      <c r="T584">
        <f>HYPERLINK("https://klasma.github.io/Logging_2061/kartor/A 49834-2021 karta.png", "A 49834-2021")</f>
        <v/>
      </c>
      <c r="V584">
        <f>HYPERLINK("https://klasma.github.io/Logging_2061/klagomål/A 49834-2021 FSC-klagomål.docx", "A 49834-2021")</f>
        <v/>
      </c>
      <c r="W584">
        <f>HYPERLINK("https://klasma.github.io/Logging_2061/klagomålsmail/A 49834-2021 FSC-klagomål mail.docx", "A 49834-2021")</f>
        <v/>
      </c>
      <c r="X584">
        <f>HYPERLINK("https://klasma.github.io/Logging_2061/tillsyn/A 49834-2021 tillsynsbegäran.docx", "A 49834-2021")</f>
        <v/>
      </c>
      <c r="Y584">
        <f>HYPERLINK("https://klasma.github.io/Logging_2061/tillsynsmail/A 49834-2021 tillsynsbegäran mail.docx", "A 49834-2021")</f>
        <v/>
      </c>
    </row>
    <row r="585" ht="15" customHeight="1">
      <c r="A585" t="inlineStr">
        <is>
          <t>A 67709-2021</t>
        </is>
      </c>
      <c r="B585" s="1" t="n">
        <v>44525</v>
      </c>
      <c r="C585" s="1" t="n">
        <v>46114</v>
      </c>
      <c r="D585" t="inlineStr">
        <is>
          <t>DALARNAS LÄN</t>
        </is>
      </c>
      <c r="E585" t="inlineStr">
        <is>
          <t>ÄLVDALEN</t>
        </is>
      </c>
      <c r="F585" t="inlineStr">
        <is>
          <t>Sveaskog</t>
        </is>
      </c>
      <c r="G585" t="n">
        <v>4.4</v>
      </c>
      <c r="H585" t="n">
        <v>0</v>
      </c>
      <c r="I585" t="n">
        <v>2</v>
      </c>
      <c r="J585" t="n">
        <v>0</v>
      </c>
      <c r="K585" t="n">
        <v>0</v>
      </c>
      <c r="L585" t="n">
        <v>0</v>
      </c>
      <c r="M585" t="n">
        <v>0</v>
      </c>
      <c r="N585" t="n">
        <v>0</v>
      </c>
      <c r="O585" t="n">
        <v>0</v>
      </c>
      <c r="P585" t="n">
        <v>0</v>
      </c>
      <c r="Q585" t="n">
        <v>2</v>
      </c>
      <c r="R585" s="2" t="inlineStr">
        <is>
          <t>Dropptaggsvamp
Skarp dropptaggsvamp</t>
        </is>
      </c>
      <c r="S585">
        <f>HYPERLINK("https://klasma.github.io/Logging_2039/artfynd/A 67709-2021 artfynd.xlsx", "A 67709-2021")</f>
        <v/>
      </c>
      <c r="T585">
        <f>HYPERLINK("https://klasma.github.io/Logging_2039/kartor/A 67709-2021 karta.png", "A 67709-2021")</f>
        <v/>
      </c>
      <c r="V585">
        <f>HYPERLINK("https://klasma.github.io/Logging_2039/klagomål/A 67709-2021 FSC-klagomål.docx", "A 67709-2021")</f>
        <v/>
      </c>
      <c r="W585">
        <f>HYPERLINK("https://klasma.github.io/Logging_2039/klagomålsmail/A 67709-2021 FSC-klagomål mail.docx", "A 67709-2021")</f>
        <v/>
      </c>
      <c r="X585">
        <f>HYPERLINK("https://klasma.github.io/Logging_2039/tillsyn/A 67709-2021 tillsynsbegäran.docx", "A 67709-2021")</f>
        <v/>
      </c>
      <c r="Y585">
        <f>HYPERLINK("https://klasma.github.io/Logging_2039/tillsynsmail/A 67709-2021 tillsynsbegäran mail.docx", "A 67709-2021")</f>
        <v/>
      </c>
    </row>
    <row r="586" ht="15" customHeight="1">
      <c r="A586" t="inlineStr">
        <is>
          <t>A 4031-2022</t>
        </is>
      </c>
      <c r="B586" s="1" t="n">
        <v>44588</v>
      </c>
      <c r="C586" s="1" t="n">
        <v>46114</v>
      </c>
      <c r="D586" t="inlineStr">
        <is>
          <t>DALARNAS LÄN</t>
        </is>
      </c>
      <c r="E586" t="inlineStr">
        <is>
          <t>HEDEMORA</t>
        </is>
      </c>
      <c r="F586" t="inlineStr">
        <is>
          <t>Kyrkan</t>
        </is>
      </c>
      <c r="G586" t="n">
        <v>4.3</v>
      </c>
      <c r="H586" t="n">
        <v>1</v>
      </c>
      <c r="I586" t="n">
        <v>1</v>
      </c>
      <c r="J586" t="n">
        <v>0</v>
      </c>
      <c r="K586" t="n">
        <v>0</v>
      </c>
      <c r="L586" t="n">
        <v>0</v>
      </c>
      <c r="M586" t="n">
        <v>0</v>
      </c>
      <c r="N586" t="n">
        <v>0</v>
      </c>
      <c r="O586" t="n">
        <v>0</v>
      </c>
      <c r="P586" t="n">
        <v>0</v>
      </c>
      <c r="Q586" t="n">
        <v>2</v>
      </c>
      <c r="R586" s="2" t="inlineStr">
        <is>
          <t>Stubbspretmossa
Blåsippa</t>
        </is>
      </c>
      <c r="S586">
        <f>HYPERLINK("https://klasma.github.io/Logging_2083/artfynd/A 4031-2022 artfynd.xlsx", "A 4031-2022")</f>
        <v/>
      </c>
      <c r="T586">
        <f>HYPERLINK("https://klasma.github.io/Logging_2083/kartor/A 4031-2022 karta.png", "A 4031-2022")</f>
        <v/>
      </c>
      <c r="V586">
        <f>HYPERLINK("https://klasma.github.io/Logging_2083/klagomål/A 4031-2022 FSC-klagomål.docx", "A 4031-2022")</f>
        <v/>
      </c>
      <c r="W586">
        <f>HYPERLINK("https://klasma.github.io/Logging_2083/klagomålsmail/A 4031-2022 FSC-klagomål mail.docx", "A 4031-2022")</f>
        <v/>
      </c>
      <c r="X586">
        <f>HYPERLINK("https://klasma.github.io/Logging_2083/tillsyn/A 4031-2022 tillsynsbegäran.docx", "A 4031-2022")</f>
        <v/>
      </c>
      <c r="Y586">
        <f>HYPERLINK("https://klasma.github.io/Logging_2083/tillsynsmail/A 4031-2022 tillsynsbegäran mail.docx", "A 4031-2022")</f>
        <v/>
      </c>
    </row>
    <row r="587" ht="15" customHeight="1">
      <c r="A587" t="inlineStr">
        <is>
          <t>A 44407-2021</t>
        </is>
      </c>
      <c r="B587" s="1" t="n">
        <v>44435</v>
      </c>
      <c r="C587" s="1" t="n">
        <v>46114</v>
      </c>
      <c r="D587" t="inlineStr">
        <is>
          <t>DALARNAS LÄN</t>
        </is>
      </c>
      <c r="E587" t="inlineStr">
        <is>
          <t>ÄLVDALEN</t>
        </is>
      </c>
      <c r="F587" t="inlineStr">
        <is>
          <t>Sveaskog</t>
        </is>
      </c>
      <c r="G587" t="n">
        <v>4.4</v>
      </c>
      <c r="H587" t="n">
        <v>0</v>
      </c>
      <c r="I587" t="n">
        <v>1</v>
      </c>
      <c r="J587" t="n">
        <v>1</v>
      </c>
      <c r="K587" t="n">
        <v>0</v>
      </c>
      <c r="L587" t="n">
        <v>0</v>
      </c>
      <c r="M587" t="n">
        <v>0</v>
      </c>
      <c r="N587" t="n">
        <v>0</v>
      </c>
      <c r="O587" t="n">
        <v>1</v>
      </c>
      <c r="P587" t="n">
        <v>0</v>
      </c>
      <c r="Q587" t="n">
        <v>2</v>
      </c>
      <c r="R587" s="2" t="inlineStr">
        <is>
          <t>Garnlav
Dropptaggsvamp</t>
        </is>
      </c>
      <c r="S587">
        <f>HYPERLINK("https://klasma.github.io/Logging_2039/artfynd/A 44407-2021 artfynd.xlsx", "A 44407-2021")</f>
        <v/>
      </c>
      <c r="T587">
        <f>HYPERLINK("https://klasma.github.io/Logging_2039/kartor/A 44407-2021 karta.png", "A 44407-2021")</f>
        <v/>
      </c>
      <c r="V587">
        <f>HYPERLINK("https://klasma.github.io/Logging_2039/klagomål/A 44407-2021 FSC-klagomål.docx", "A 44407-2021")</f>
        <v/>
      </c>
      <c r="W587">
        <f>HYPERLINK("https://klasma.github.io/Logging_2039/klagomålsmail/A 44407-2021 FSC-klagomål mail.docx", "A 44407-2021")</f>
        <v/>
      </c>
      <c r="X587">
        <f>HYPERLINK("https://klasma.github.io/Logging_2039/tillsyn/A 44407-2021 tillsynsbegäran.docx", "A 44407-2021")</f>
        <v/>
      </c>
      <c r="Y587">
        <f>HYPERLINK("https://klasma.github.io/Logging_2039/tillsynsmail/A 44407-2021 tillsynsbegäran mail.docx", "A 44407-2021")</f>
        <v/>
      </c>
    </row>
    <row r="588" ht="15" customHeight="1">
      <c r="A588" t="inlineStr">
        <is>
          <t>A 48937-2021</t>
        </is>
      </c>
      <c r="B588" s="1" t="n">
        <v>44453</v>
      </c>
      <c r="C588" s="1" t="n">
        <v>46114</v>
      </c>
      <c r="D588" t="inlineStr">
        <is>
          <t>DALARNAS LÄN</t>
        </is>
      </c>
      <c r="E588" t="inlineStr">
        <is>
          <t>BORLÄNGE</t>
        </is>
      </c>
      <c r="G588" t="n">
        <v>19.7</v>
      </c>
      <c r="H588" t="n">
        <v>1</v>
      </c>
      <c r="I588" t="n">
        <v>0</v>
      </c>
      <c r="J588" t="n">
        <v>1</v>
      </c>
      <c r="K588" t="n">
        <v>1</v>
      </c>
      <c r="L588" t="n">
        <v>0</v>
      </c>
      <c r="M588" t="n">
        <v>0</v>
      </c>
      <c r="N588" t="n">
        <v>0</v>
      </c>
      <c r="O588" t="n">
        <v>2</v>
      </c>
      <c r="P588" t="n">
        <v>1</v>
      </c>
      <c r="Q588" t="n">
        <v>2</v>
      </c>
      <c r="R588" s="2" t="inlineStr">
        <is>
          <t>Knärot
Motaggsvamp</t>
        </is>
      </c>
      <c r="S588">
        <f>HYPERLINK("https://klasma.github.io/Logging_2081/artfynd/A 48937-2021 artfynd.xlsx", "A 48937-2021")</f>
        <v/>
      </c>
      <c r="T588">
        <f>HYPERLINK("https://klasma.github.io/Logging_2081/kartor/A 48937-2021 karta.png", "A 48937-2021")</f>
        <v/>
      </c>
      <c r="U588">
        <f>HYPERLINK("https://klasma.github.io/Logging_2081/knärot/A 48937-2021 karta knärot.png", "A 48937-2021")</f>
        <v/>
      </c>
      <c r="V588">
        <f>HYPERLINK("https://klasma.github.io/Logging_2081/klagomål/A 48937-2021 FSC-klagomål.docx", "A 48937-2021")</f>
        <v/>
      </c>
      <c r="W588">
        <f>HYPERLINK("https://klasma.github.io/Logging_2081/klagomålsmail/A 48937-2021 FSC-klagomål mail.docx", "A 48937-2021")</f>
        <v/>
      </c>
      <c r="X588">
        <f>HYPERLINK("https://klasma.github.io/Logging_2081/tillsyn/A 48937-2021 tillsynsbegäran.docx", "A 48937-2021")</f>
        <v/>
      </c>
      <c r="Y588">
        <f>HYPERLINK("https://klasma.github.io/Logging_2081/tillsynsmail/A 48937-2021 tillsynsbegäran mail.docx", "A 48937-2021")</f>
        <v/>
      </c>
    </row>
    <row r="589" ht="15" customHeight="1">
      <c r="A589" t="inlineStr">
        <is>
          <t>A 33898-2022</t>
        </is>
      </c>
      <c r="B589" s="1" t="n">
        <v>44790</v>
      </c>
      <c r="C589" s="1" t="n">
        <v>46114</v>
      </c>
      <c r="D589" t="inlineStr">
        <is>
          <t>DALARNAS LÄN</t>
        </is>
      </c>
      <c r="E589" t="inlineStr">
        <is>
          <t>VANSBRO</t>
        </is>
      </c>
      <c r="G589" t="n">
        <v>2.8</v>
      </c>
      <c r="H589" t="n">
        <v>2</v>
      </c>
      <c r="I589" t="n">
        <v>0</v>
      </c>
      <c r="J589" t="n">
        <v>0</v>
      </c>
      <c r="K589" t="n">
        <v>1</v>
      </c>
      <c r="L589" t="n">
        <v>0</v>
      </c>
      <c r="M589" t="n">
        <v>0</v>
      </c>
      <c r="N589" t="n">
        <v>0</v>
      </c>
      <c r="O589" t="n">
        <v>1</v>
      </c>
      <c r="P589" t="n">
        <v>1</v>
      </c>
      <c r="Q589" t="n">
        <v>2</v>
      </c>
      <c r="R589" s="2" t="inlineStr">
        <is>
          <t>Knärot
Kungsfågel</t>
        </is>
      </c>
      <c r="S589">
        <f>HYPERLINK("https://klasma.github.io/Logging_2021/artfynd/A 33898-2022 artfynd.xlsx", "A 33898-2022")</f>
        <v/>
      </c>
      <c r="T589">
        <f>HYPERLINK("https://klasma.github.io/Logging_2021/kartor/A 33898-2022 karta.png", "A 33898-2022")</f>
        <v/>
      </c>
      <c r="U589">
        <f>HYPERLINK("https://klasma.github.io/Logging_2021/knärot/A 33898-2022 karta knärot.png", "A 33898-2022")</f>
        <v/>
      </c>
      <c r="V589">
        <f>HYPERLINK("https://klasma.github.io/Logging_2021/klagomål/A 33898-2022 FSC-klagomål.docx", "A 33898-2022")</f>
        <v/>
      </c>
      <c r="W589">
        <f>HYPERLINK("https://klasma.github.io/Logging_2021/klagomålsmail/A 33898-2022 FSC-klagomål mail.docx", "A 33898-2022")</f>
        <v/>
      </c>
      <c r="X589">
        <f>HYPERLINK("https://klasma.github.io/Logging_2021/tillsyn/A 33898-2022 tillsynsbegäran.docx", "A 33898-2022")</f>
        <v/>
      </c>
      <c r="Y589">
        <f>HYPERLINK("https://klasma.github.io/Logging_2021/tillsynsmail/A 33898-2022 tillsynsbegäran mail.docx", "A 33898-2022")</f>
        <v/>
      </c>
      <c r="Z589">
        <f>HYPERLINK("https://klasma.github.io/Logging_2021/fåglar/A 33898-2022 prioriterade fågelarter.docx", "A 33898-2022")</f>
        <v/>
      </c>
    </row>
    <row r="590" ht="15" customHeight="1">
      <c r="A590" t="inlineStr">
        <is>
          <t>A 69726-2021</t>
        </is>
      </c>
      <c r="B590" s="1" t="n">
        <v>44532</v>
      </c>
      <c r="C590" s="1" t="n">
        <v>46114</v>
      </c>
      <c r="D590" t="inlineStr">
        <is>
          <t>DALARNAS LÄN</t>
        </is>
      </c>
      <c r="E590" t="inlineStr">
        <is>
          <t>ÄLVDALEN</t>
        </is>
      </c>
      <c r="F590" t="inlineStr">
        <is>
          <t>Sveaskog</t>
        </is>
      </c>
      <c r="G590" t="n">
        <v>7.2</v>
      </c>
      <c r="H590" t="n">
        <v>0</v>
      </c>
      <c r="I590" t="n">
        <v>1</v>
      </c>
      <c r="J590" t="n">
        <v>1</v>
      </c>
      <c r="K590" t="n">
        <v>0</v>
      </c>
      <c r="L590" t="n">
        <v>0</v>
      </c>
      <c r="M590" t="n">
        <v>0</v>
      </c>
      <c r="N590" t="n">
        <v>0</v>
      </c>
      <c r="O590" t="n">
        <v>1</v>
      </c>
      <c r="P590" t="n">
        <v>0</v>
      </c>
      <c r="Q590" t="n">
        <v>2</v>
      </c>
      <c r="R590" s="2" t="inlineStr">
        <is>
          <t>Garnlav
Dropptaggsvamp</t>
        </is>
      </c>
      <c r="S590">
        <f>HYPERLINK("https://klasma.github.io/Logging_2039/artfynd/A 69726-2021 artfynd.xlsx", "A 69726-2021")</f>
        <v/>
      </c>
      <c r="T590">
        <f>HYPERLINK("https://klasma.github.io/Logging_2039/kartor/A 69726-2021 karta.png", "A 69726-2021")</f>
        <v/>
      </c>
      <c r="V590">
        <f>HYPERLINK("https://klasma.github.io/Logging_2039/klagomål/A 69726-2021 FSC-klagomål.docx", "A 69726-2021")</f>
        <v/>
      </c>
      <c r="W590">
        <f>HYPERLINK("https://klasma.github.io/Logging_2039/klagomålsmail/A 69726-2021 FSC-klagomål mail.docx", "A 69726-2021")</f>
        <v/>
      </c>
      <c r="X590">
        <f>HYPERLINK("https://klasma.github.io/Logging_2039/tillsyn/A 69726-2021 tillsynsbegäran.docx", "A 69726-2021")</f>
        <v/>
      </c>
      <c r="Y590">
        <f>HYPERLINK("https://klasma.github.io/Logging_2039/tillsynsmail/A 69726-2021 tillsynsbegäran mail.docx", "A 69726-2021")</f>
        <v/>
      </c>
    </row>
    <row r="591" ht="15" customHeight="1">
      <c r="A591" t="inlineStr">
        <is>
          <t>A 53127-2022</t>
        </is>
      </c>
      <c r="B591" s="1" t="n">
        <v>44876</v>
      </c>
      <c r="C591" s="1" t="n">
        <v>46114</v>
      </c>
      <c r="D591" t="inlineStr">
        <is>
          <t>DALARNAS LÄN</t>
        </is>
      </c>
      <c r="E591" t="inlineStr">
        <is>
          <t>SÄTER</t>
        </is>
      </c>
      <c r="F591" t="inlineStr">
        <is>
          <t>Kyrkan</t>
        </is>
      </c>
      <c r="G591" t="n">
        <v>8.5</v>
      </c>
      <c r="H591" t="n">
        <v>1</v>
      </c>
      <c r="I591" t="n">
        <v>0</v>
      </c>
      <c r="J591" t="n">
        <v>2</v>
      </c>
      <c r="K591" t="n">
        <v>0</v>
      </c>
      <c r="L591" t="n">
        <v>0</v>
      </c>
      <c r="M591" t="n">
        <v>0</v>
      </c>
      <c r="N591" t="n">
        <v>0</v>
      </c>
      <c r="O591" t="n">
        <v>2</v>
      </c>
      <c r="P591" t="n">
        <v>0</v>
      </c>
      <c r="Q591" t="n">
        <v>2</v>
      </c>
      <c r="R591" s="2" t="inlineStr">
        <is>
          <t>Motaggsvamp
Talltita</t>
        </is>
      </c>
      <c r="S591">
        <f>HYPERLINK("https://klasma.github.io/Logging_2082/artfynd/A 53127-2022 artfynd.xlsx", "A 53127-2022")</f>
        <v/>
      </c>
      <c r="T591">
        <f>HYPERLINK("https://klasma.github.io/Logging_2082/kartor/A 53127-2022 karta.png", "A 53127-2022")</f>
        <v/>
      </c>
      <c r="V591">
        <f>HYPERLINK("https://klasma.github.io/Logging_2082/klagomål/A 53127-2022 FSC-klagomål.docx", "A 53127-2022")</f>
        <v/>
      </c>
      <c r="W591">
        <f>HYPERLINK("https://klasma.github.io/Logging_2082/klagomålsmail/A 53127-2022 FSC-klagomål mail.docx", "A 53127-2022")</f>
        <v/>
      </c>
      <c r="X591">
        <f>HYPERLINK("https://klasma.github.io/Logging_2082/tillsyn/A 53127-2022 tillsynsbegäran.docx", "A 53127-2022")</f>
        <v/>
      </c>
      <c r="Y591">
        <f>HYPERLINK("https://klasma.github.io/Logging_2082/tillsynsmail/A 53127-2022 tillsynsbegäran mail.docx", "A 53127-2022")</f>
        <v/>
      </c>
      <c r="Z591">
        <f>HYPERLINK("https://klasma.github.io/Logging_2082/fåglar/A 53127-2022 prioriterade fågelarter.docx", "A 53127-2022")</f>
        <v/>
      </c>
    </row>
    <row r="592" ht="15" customHeight="1">
      <c r="A592" t="inlineStr">
        <is>
          <t>A 30615-2021</t>
        </is>
      </c>
      <c r="B592" s="1" t="n">
        <v>44365</v>
      </c>
      <c r="C592" s="1" t="n">
        <v>46114</v>
      </c>
      <c r="D592" t="inlineStr">
        <is>
          <t>DALARNAS LÄN</t>
        </is>
      </c>
      <c r="E592" t="inlineStr">
        <is>
          <t>ÄLVDALEN</t>
        </is>
      </c>
      <c r="F592" t="inlineStr">
        <is>
          <t>Sveaskog</t>
        </is>
      </c>
      <c r="G592" t="n">
        <v>22.8</v>
      </c>
      <c r="H592" t="n">
        <v>0</v>
      </c>
      <c r="I592" t="n">
        <v>1</v>
      </c>
      <c r="J592" t="n">
        <v>0</v>
      </c>
      <c r="K592" t="n">
        <v>1</v>
      </c>
      <c r="L592" t="n">
        <v>0</v>
      </c>
      <c r="M592" t="n">
        <v>0</v>
      </c>
      <c r="N592" t="n">
        <v>0</v>
      </c>
      <c r="O592" t="n">
        <v>1</v>
      </c>
      <c r="P592" t="n">
        <v>1</v>
      </c>
      <c r="Q592" t="n">
        <v>2</v>
      </c>
      <c r="R592" s="2" t="inlineStr">
        <is>
          <t>Smalfotad taggsvamp
Dropptaggsvamp</t>
        </is>
      </c>
      <c r="S592">
        <f>HYPERLINK("https://klasma.github.io/Logging_2039/artfynd/A 30615-2021 artfynd.xlsx", "A 30615-2021")</f>
        <v/>
      </c>
      <c r="T592">
        <f>HYPERLINK("https://klasma.github.io/Logging_2039/kartor/A 30615-2021 karta.png", "A 30615-2021")</f>
        <v/>
      </c>
      <c r="V592">
        <f>HYPERLINK("https://klasma.github.io/Logging_2039/klagomål/A 30615-2021 FSC-klagomål.docx", "A 30615-2021")</f>
        <v/>
      </c>
      <c r="W592">
        <f>HYPERLINK("https://klasma.github.io/Logging_2039/klagomålsmail/A 30615-2021 FSC-klagomål mail.docx", "A 30615-2021")</f>
        <v/>
      </c>
      <c r="X592">
        <f>HYPERLINK("https://klasma.github.io/Logging_2039/tillsyn/A 30615-2021 tillsynsbegäran.docx", "A 30615-2021")</f>
        <v/>
      </c>
      <c r="Y592">
        <f>HYPERLINK("https://klasma.github.io/Logging_2039/tillsynsmail/A 30615-2021 tillsynsbegäran mail.docx", "A 30615-2021")</f>
        <v/>
      </c>
    </row>
    <row r="593" ht="15" customHeight="1">
      <c r="A593" t="inlineStr">
        <is>
          <t>A 14205-2024</t>
        </is>
      </c>
      <c r="B593" s="1" t="n">
        <v>45393</v>
      </c>
      <c r="C593" s="1" t="n">
        <v>46114</v>
      </c>
      <c r="D593" t="inlineStr">
        <is>
          <t>DALARNAS LÄN</t>
        </is>
      </c>
      <c r="E593" t="inlineStr">
        <is>
          <t>RÄTTVIK</t>
        </is>
      </c>
      <c r="G593" t="n">
        <v>0.7</v>
      </c>
      <c r="H593" t="n">
        <v>0</v>
      </c>
      <c r="I593" t="n">
        <v>1</v>
      </c>
      <c r="J593" t="n">
        <v>1</v>
      </c>
      <c r="K593" t="n">
        <v>0</v>
      </c>
      <c r="L593" t="n">
        <v>0</v>
      </c>
      <c r="M593" t="n">
        <v>0</v>
      </c>
      <c r="N593" t="n">
        <v>0</v>
      </c>
      <c r="O593" t="n">
        <v>1</v>
      </c>
      <c r="P593" t="n">
        <v>0</v>
      </c>
      <c r="Q593" t="n">
        <v>2</v>
      </c>
      <c r="R593" s="2" t="inlineStr">
        <is>
          <t>Rosenticka
Svavelriska</t>
        </is>
      </c>
      <c r="S593">
        <f>HYPERLINK("https://klasma.github.io/Logging_2031/artfynd/A 14205-2024 artfynd.xlsx", "A 14205-2024")</f>
        <v/>
      </c>
      <c r="T593">
        <f>HYPERLINK("https://klasma.github.io/Logging_2031/kartor/A 14205-2024 karta.png", "A 14205-2024")</f>
        <v/>
      </c>
      <c r="V593">
        <f>HYPERLINK("https://klasma.github.io/Logging_2031/klagomål/A 14205-2024 FSC-klagomål.docx", "A 14205-2024")</f>
        <v/>
      </c>
      <c r="W593">
        <f>HYPERLINK("https://klasma.github.io/Logging_2031/klagomålsmail/A 14205-2024 FSC-klagomål mail.docx", "A 14205-2024")</f>
        <v/>
      </c>
      <c r="X593">
        <f>HYPERLINK("https://klasma.github.io/Logging_2031/tillsyn/A 14205-2024 tillsynsbegäran.docx", "A 14205-2024")</f>
        <v/>
      </c>
      <c r="Y593">
        <f>HYPERLINK("https://klasma.github.io/Logging_2031/tillsynsmail/A 14205-2024 tillsynsbegäran mail.docx", "A 14205-2024")</f>
        <v/>
      </c>
    </row>
    <row r="594" ht="15" customHeight="1">
      <c r="A594" t="inlineStr">
        <is>
          <t>A 12314-2023</t>
        </is>
      </c>
      <c r="B594" s="1" t="n">
        <v>44996</v>
      </c>
      <c r="C594" s="1" t="n">
        <v>46114</v>
      </c>
      <c r="D594" t="inlineStr">
        <is>
          <t>DALARNAS LÄN</t>
        </is>
      </c>
      <c r="E594" t="inlineStr">
        <is>
          <t>BORLÄNGE</t>
        </is>
      </c>
      <c r="G594" t="n">
        <v>22.7</v>
      </c>
      <c r="H594" t="n">
        <v>0</v>
      </c>
      <c r="I594" t="n">
        <v>1</v>
      </c>
      <c r="J594" t="n">
        <v>1</v>
      </c>
      <c r="K594" t="n">
        <v>0</v>
      </c>
      <c r="L594" t="n">
        <v>0</v>
      </c>
      <c r="M594" t="n">
        <v>0</v>
      </c>
      <c r="N594" t="n">
        <v>0</v>
      </c>
      <c r="O594" t="n">
        <v>1</v>
      </c>
      <c r="P594" t="n">
        <v>0</v>
      </c>
      <c r="Q594" t="n">
        <v>2</v>
      </c>
      <c r="R594" s="2" t="inlineStr">
        <is>
          <t>Skrovlig taggsvamp
Dropptaggsvamp</t>
        </is>
      </c>
      <c r="S594">
        <f>HYPERLINK("https://klasma.github.io/Logging_2081/artfynd/A 12314-2023 artfynd.xlsx", "A 12314-2023")</f>
        <v/>
      </c>
      <c r="T594">
        <f>HYPERLINK("https://klasma.github.io/Logging_2081/kartor/A 12314-2023 karta.png", "A 12314-2023")</f>
        <v/>
      </c>
      <c r="U594">
        <f>HYPERLINK("https://klasma.github.io/Logging_2081/knärot/A 12314-2023 karta knärot.png", "A 12314-2023")</f>
        <v/>
      </c>
      <c r="V594">
        <f>HYPERLINK("https://klasma.github.io/Logging_2081/klagomål/A 12314-2023 FSC-klagomål.docx", "A 12314-2023")</f>
        <v/>
      </c>
      <c r="W594">
        <f>HYPERLINK("https://klasma.github.io/Logging_2081/klagomålsmail/A 12314-2023 FSC-klagomål mail.docx", "A 12314-2023")</f>
        <v/>
      </c>
      <c r="X594">
        <f>HYPERLINK("https://klasma.github.io/Logging_2081/tillsyn/A 12314-2023 tillsynsbegäran.docx", "A 12314-2023")</f>
        <v/>
      </c>
      <c r="Y594">
        <f>HYPERLINK("https://klasma.github.io/Logging_2081/tillsynsmail/A 12314-2023 tillsynsbegäran mail.docx", "A 12314-2023")</f>
        <v/>
      </c>
    </row>
    <row r="595" ht="15" customHeight="1">
      <c r="A595" t="inlineStr">
        <is>
          <t>A 1688-2022</t>
        </is>
      </c>
      <c r="B595" s="1" t="n">
        <v>44574</v>
      </c>
      <c r="C595" s="1" t="n">
        <v>46114</v>
      </c>
      <c r="D595" t="inlineStr">
        <is>
          <t>DALARNAS LÄN</t>
        </is>
      </c>
      <c r="E595" t="inlineStr">
        <is>
          <t>AVESTA</t>
        </is>
      </c>
      <c r="G595" t="n">
        <v>10</v>
      </c>
      <c r="H595" t="n">
        <v>2</v>
      </c>
      <c r="I595" t="n">
        <v>0</v>
      </c>
      <c r="J595" t="n">
        <v>1</v>
      </c>
      <c r="K595" t="n">
        <v>1</v>
      </c>
      <c r="L595" t="n">
        <v>0</v>
      </c>
      <c r="M595" t="n">
        <v>0</v>
      </c>
      <c r="N595" t="n">
        <v>0</v>
      </c>
      <c r="O595" t="n">
        <v>2</v>
      </c>
      <c r="P595" t="n">
        <v>1</v>
      </c>
      <c r="Q595" t="n">
        <v>2</v>
      </c>
      <c r="R595" s="2" t="inlineStr">
        <is>
          <t>Knärot
Spillkråka</t>
        </is>
      </c>
      <c r="S595">
        <f>HYPERLINK("https://klasma.github.io/Logging_2084/artfynd/A 1688-2022 artfynd.xlsx", "A 1688-2022")</f>
        <v/>
      </c>
      <c r="T595">
        <f>HYPERLINK("https://klasma.github.io/Logging_2084/kartor/A 1688-2022 karta.png", "A 1688-2022")</f>
        <v/>
      </c>
      <c r="U595">
        <f>HYPERLINK("https://klasma.github.io/Logging_2084/knärot/A 1688-2022 karta knärot.png", "A 1688-2022")</f>
        <v/>
      </c>
      <c r="V595">
        <f>HYPERLINK("https://klasma.github.io/Logging_2084/klagomål/A 1688-2022 FSC-klagomål.docx", "A 1688-2022")</f>
        <v/>
      </c>
      <c r="W595">
        <f>HYPERLINK("https://klasma.github.io/Logging_2084/klagomålsmail/A 1688-2022 FSC-klagomål mail.docx", "A 1688-2022")</f>
        <v/>
      </c>
      <c r="X595">
        <f>HYPERLINK("https://klasma.github.io/Logging_2084/tillsyn/A 1688-2022 tillsynsbegäran.docx", "A 1688-2022")</f>
        <v/>
      </c>
      <c r="Y595">
        <f>HYPERLINK("https://klasma.github.io/Logging_2084/tillsynsmail/A 1688-2022 tillsynsbegäran mail.docx", "A 1688-2022")</f>
        <v/>
      </c>
      <c r="Z595">
        <f>HYPERLINK("https://klasma.github.io/Logging_2084/fåglar/A 1688-2022 prioriterade fågelarter.docx", "A 1688-2022")</f>
        <v/>
      </c>
    </row>
    <row r="596" ht="15" customHeight="1">
      <c r="A596" t="inlineStr">
        <is>
          <t>A 63654-2023</t>
        </is>
      </c>
      <c r="B596" s="1" t="n">
        <v>45275</v>
      </c>
      <c r="C596" s="1" t="n">
        <v>46114</v>
      </c>
      <c r="D596" t="inlineStr">
        <is>
          <t>DALARNAS LÄN</t>
        </is>
      </c>
      <c r="E596" t="inlineStr">
        <is>
          <t>GAGNEF</t>
        </is>
      </c>
      <c r="G596" t="n">
        <v>5</v>
      </c>
      <c r="H596" t="n">
        <v>0</v>
      </c>
      <c r="I596" t="n">
        <v>1</v>
      </c>
      <c r="J596" t="n">
        <v>1</v>
      </c>
      <c r="K596" t="n">
        <v>0</v>
      </c>
      <c r="L596" t="n">
        <v>0</v>
      </c>
      <c r="M596" t="n">
        <v>0</v>
      </c>
      <c r="N596" t="n">
        <v>0</v>
      </c>
      <c r="O596" t="n">
        <v>1</v>
      </c>
      <c r="P596" t="n">
        <v>0</v>
      </c>
      <c r="Q596" t="n">
        <v>2</v>
      </c>
      <c r="R596" s="2" t="inlineStr">
        <is>
          <t>Garnlav
Trådticka</t>
        </is>
      </c>
      <c r="S596">
        <f>HYPERLINK("https://klasma.github.io/Logging_2026/artfynd/A 63654-2023 artfynd.xlsx", "A 63654-2023")</f>
        <v/>
      </c>
      <c r="T596">
        <f>HYPERLINK("https://klasma.github.io/Logging_2026/kartor/A 63654-2023 karta.png", "A 63654-2023")</f>
        <v/>
      </c>
      <c r="V596">
        <f>HYPERLINK("https://klasma.github.io/Logging_2026/klagomål/A 63654-2023 FSC-klagomål.docx", "A 63654-2023")</f>
        <v/>
      </c>
      <c r="W596">
        <f>HYPERLINK("https://klasma.github.io/Logging_2026/klagomålsmail/A 63654-2023 FSC-klagomål mail.docx", "A 63654-2023")</f>
        <v/>
      </c>
      <c r="X596">
        <f>HYPERLINK("https://klasma.github.io/Logging_2026/tillsyn/A 63654-2023 tillsynsbegäran.docx", "A 63654-2023")</f>
        <v/>
      </c>
      <c r="Y596">
        <f>HYPERLINK("https://klasma.github.io/Logging_2026/tillsynsmail/A 63654-2023 tillsynsbegäran mail.docx", "A 63654-2023")</f>
        <v/>
      </c>
    </row>
    <row r="597" ht="15" customHeight="1">
      <c r="A597" t="inlineStr">
        <is>
          <t>A 21629-2022</t>
        </is>
      </c>
      <c r="B597" s="1" t="n">
        <v>44706</v>
      </c>
      <c r="C597" s="1" t="n">
        <v>46114</v>
      </c>
      <c r="D597" t="inlineStr">
        <is>
          <t>DALARNAS LÄN</t>
        </is>
      </c>
      <c r="E597" t="inlineStr">
        <is>
          <t>ÄLVDALEN</t>
        </is>
      </c>
      <c r="F597" t="inlineStr">
        <is>
          <t>Övriga statliga verk och myndigheter</t>
        </is>
      </c>
      <c r="G597" t="n">
        <v>19.2</v>
      </c>
      <c r="H597" t="n">
        <v>0</v>
      </c>
      <c r="I597" t="n">
        <v>1</v>
      </c>
      <c r="J597" t="n">
        <v>1</v>
      </c>
      <c r="K597" t="n">
        <v>0</v>
      </c>
      <c r="L597" t="n">
        <v>0</v>
      </c>
      <c r="M597" t="n">
        <v>0</v>
      </c>
      <c r="N597" t="n">
        <v>0</v>
      </c>
      <c r="O597" t="n">
        <v>1</v>
      </c>
      <c r="P597" t="n">
        <v>0</v>
      </c>
      <c r="Q597" t="n">
        <v>2</v>
      </c>
      <c r="R597" s="2" t="inlineStr">
        <is>
          <t>Vitgrynig nållav
Kransrams</t>
        </is>
      </c>
      <c r="S597">
        <f>HYPERLINK("https://klasma.github.io/Logging_2039/artfynd/A 21629-2022 artfynd.xlsx", "A 21629-2022")</f>
        <v/>
      </c>
      <c r="T597">
        <f>HYPERLINK("https://klasma.github.io/Logging_2039/kartor/A 21629-2022 karta.png", "A 21629-2022")</f>
        <v/>
      </c>
      <c r="V597">
        <f>HYPERLINK("https://klasma.github.io/Logging_2039/klagomål/A 21629-2022 FSC-klagomål.docx", "A 21629-2022")</f>
        <v/>
      </c>
      <c r="W597">
        <f>HYPERLINK("https://klasma.github.io/Logging_2039/klagomålsmail/A 21629-2022 FSC-klagomål mail.docx", "A 21629-2022")</f>
        <v/>
      </c>
      <c r="X597">
        <f>HYPERLINK("https://klasma.github.io/Logging_2039/tillsyn/A 21629-2022 tillsynsbegäran.docx", "A 21629-2022")</f>
        <v/>
      </c>
      <c r="Y597">
        <f>HYPERLINK("https://klasma.github.io/Logging_2039/tillsynsmail/A 21629-2022 tillsynsbegäran mail.docx", "A 21629-2022")</f>
        <v/>
      </c>
    </row>
    <row r="598" ht="15" customHeight="1">
      <c r="A598" t="inlineStr">
        <is>
          <t>A 54154-2023</t>
        </is>
      </c>
      <c r="B598" s="1" t="n">
        <v>45232.45802083334</v>
      </c>
      <c r="C598" s="1" t="n">
        <v>46114</v>
      </c>
      <c r="D598" t="inlineStr">
        <is>
          <t>DALARNAS LÄN</t>
        </is>
      </c>
      <c r="E598" t="inlineStr">
        <is>
          <t>BORLÄNGE</t>
        </is>
      </c>
      <c r="F598" t="inlineStr">
        <is>
          <t>Bergvik skog väst AB</t>
        </is>
      </c>
      <c r="G598" t="n">
        <v>1.5</v>
      </c>
      <c r="H598" t="n">
        <v>0</v>
      </c>
      <c r="I598" t="n">
        <v>1</v>
      </c>
      <c r="J598" t="n">
        <v>1</v>
      </c>
      <c r="K598" t="n">
        <v>0</v>
      </c>
      <c r="L598" t="n">
        <v>0</v>
      </c>
      <c r="M598" t="n">
        <v>0</v>
      </c>
      <c r="N598" t="n">
        <v>0</v>
      </c>
      <c r="O598" t="n">
        <v>1</v>
      </c>
      <c r="P598" t="n">
        <v>0</v>
      </c>
      <c r="Q598" t="n">
        <v>2</v>
      </c>
      <c r="R598" s="2" t="inlineStr">
        <is>
          <t>Garnlav
Bronshjon</t>
        </is>
      </c>
      <c r="S598">
        <f>HYPERLINK("https://klasma.github.io/Logging_2081/artfynd/A 54154-2023 artfynd.xlsx", "A 54154-2023")</f>
        <v/>
      </c>
      <c r="T598">
        <f>HYPERLINK("https://klasma.github.io/Logging_2081/kartor/A 54154-2023 karta.png", "A 54154-2023")</f>
        <v/>
      </c>
      <c r="V598">
        <f>HYPERLINK("https://klasma.github.io/Logging_2081/klagomål/A 54154-2023 FSC-klagomål.docx", "A 54154-2023")</f>
        <v/>
      </c>
      <c r="W598">
        <f>HYPERLINK("https://klasma.github.io/Logging_2081/klagomålsmail/A 54154-2023 FSC-klagomål mail.docx", "A 54154-2023")</f>
        <v/>
      </c>
      <c r="X598">
        <f>HYPERLINK("https://klasma.github.io/Logging_2081/tillsyn/A 54154-2023 tillsynsbegäran.docx", "A 54154-2023")</f>
        <v/>
      </c>
      <c r="Y598">
        <f>HYPERLINK("https://klasma.github.io/Logging_2081/tillsynsmail/A 54154-2023 tillsynsbegäran mail.docx", "A 54154-2023")</f>
        <v/>
      </c>
    </row>
    <row r="599" ht="15" customHeight="1">
      <c r="A599" t="inlineStr">
        <is>
          <t>A 40231-2021</t>
        </is>
      </c>
      <c r="B599" s="1" t="n">
        <v>44419.31553240741</v>
      </c>
      <c r="C599" s="1" t="n">
        <v>46114</v>
      </c>
      <c r="D599" t="inlineStr">
        <is>
          <t>DALARNAS LÄN</t>
        </is>
      </c>
      <c r="E599" t="inlineStr">
        <is>
          <t>ÄLVDALEN</t>
        </is>
      </c>
      <c r="F599" t="inlineStr">
        <is>
          <t>Sveaskog</t>
        </is>
      </c>
      <c r="G599" t="n">
        <v>4.1</v>
      </c>
      <c r="H599" t="n">
        <v>0</v>
      </c>
      <c r="I599" t="n">
        <v>1</v>
      </c>
      <c r="J599" t="n">
        <v>1</v>
      </c>
      <c r="K599" t="n">
        <v>0</v>
      </c>
      <c r="L599" t="n">
        <v>0</v>
      </c>
      <c r="M599" t="n">
        <v>0</v>
      </c>
      <c r="N599" t="n">
        <v>0</v>
      </c>
      <c r="O599" t="n">
        <v>1</v>
      </c>
      <c r="P599" t="n">
        <v>0</v>
      </c>
      <c r="Q599" t="n">
        <v>2</v>
      </c>
      <c r="R599" s="2" t="inlineStr">
        <is>
          <t>Garnlav
Dropptaggsvamp</t>
        </is>
      </c>
      <c r="S599">
        <f>HYPERLINK("https://klasma.github.io/Logging_2039/artfynd/A 40231-2021 artfynd.xlsx", "A 40231-2021")</f>
        <v/>
      </c>
      <c r="T599">
        <f>HYPERLINK("https://klasma.github.io/Logging_2039/kartor/A 40231-2021 karta.png", "A 40231-2021")</f>
        <v/>
      </c>
      <c r="V599">
        <f>HYPERLINK("https://klasma.github.io/Logging_2039/klagomål/A 40231-2021 FSC-klagomål.docx", "A 40231-2021")</f>
        <v/>
      </c>
      <c r="W599">
        <f>HYPERLINK("https://klasma.github.io/Logging_2039/klagomålsmail/A 40231-2021 FSC-klagomål mail.docx", "A 40231-2021")</f>
        <v/>
      </c>
      <c r="X599">
        <f>HYPERLINK("https://klasma.github.io/Logging_2039/tillsyn/A 40231-2021 tillsynsbegäran.docx", "A 40231-2021")</f>
        <v/>
      </c>
      <c r="Y599">
        <f>HYPERLINK("https://klasma.github.io/Logging_2039/tillsynsmail/A 40231-2021 tillsynsbegäran mail.docx", "A 40231-2021")</f>
        <v/>
      </c>
    </row>
    <row r="600" ht="15" customHeight="1">
      <c r="A600" t="inlineStr">
        <is>
          <t>A 2556-2023</t>
        </is>
      </c>
      <c r="B600" s="1" t="n">
        <v>44943</v>
      </c>
      <c r="C600" s="1" t="n">
        <v>46114</v>
      </c>
      <c r="D600" t="inlineStr">
        <is>
          <t>DALARNAS LÄN</t>
        </is>
      </c>
      <c r="E600" t="inlineStr">
        <is>
          <t>FALUN</t>
        </is>
      </c>
      <c r="G600" t="n">
        <v>0.9</v>
      </c>
      <c r="H600" t="n">
        <v>0</v>
      </c>
      <c r="I600" t="n">
        <v>1</v>
      </c>
      <c r="J600" t="n">
        <v>0</v>
      </c>
      <c r="K600" t="n">
        <v>0</v>
      </c>
      <c r="L600" t="n">
        <v>1</v>
      </c>
      <c r="M600" t="n">
        <v>0</v>
      </c>
      <c r="N600" t="n">
        <v>0</v>
      </c>
      <c r="O600" t="n">
        <v>1</v>
      </c>
      <c r="P600" t="n">
        <v>1</v>
      </c>
      <c r="Q600" t="n">
        <v>2</v>
      </c>
      <c r="R600" s="2" t="inlineStr">
        <is>
          <t>Trolldruvemätare
Svart trolldruva</t>
        </is>
      </c>
      <c r="S600">
        <f>HYPERLINK("https://klasma.github.io/Logging_2080/artfynd/A 2556-2023 artfynd.xlsx", "A 2556-2023")</f>
        <v/>
      </c>
      <c r="T600">
        <f>HYPERLINK("https://klasma.github.io/Logging_2080/kartor/A 2556-2023 karta.png", "A 2556-2023")</f>
        <v/>
      </c>
      <c r="V600">
        <f>HYPERLINK("https://klasma.github.io/Logging_2080/klagomål/A 2556-2023 FSC-klagomål.docx", "A 2556-2023")</f>
        <v/>
      </c>
      <c r="W600">
        <f>HYPERLINK("https://klasma.github.io/Logging_2080/klagomålsmail/A 2556-2023 FSC-klagomål mail.docx", "A 2556-2023")</f>
        <v/>
      </c>
      <c r="X600">
        <f>HYPERLINK("https://klasma.github.io/Logging_2080/tillsyn/A 2556-2023 tillsynsbegäran.docx", "A 2556-2023")</f>
        <v/>
      </c>
      <c r="Y600">
        <f>HYPERLINK("https://klasma.github.io/Logging_2080/tillsynsmail/A 2556-2023 tillsynsbegäran mail.docx", "A 2556-2023")</f>
        <v/>
      </c>
    </row>
    <row r="601" ht="15" customHeight="1">
      <c r="A601" t="inlineStr">
        <is>
          <t>A 821-2025</t>
        </is>
      </c>
      <c r="B601" s="1" t="n">
        <v>45665.5678587963</v>
      </c>
      <c r="C601" s="1" t="n">
        <v>46114</v>
      </c>
      <c r="D601" t="inlineStr">
        <is>
          <t>DALARNAS LÄN</t>
        </is>
      </c>
      <c r="E601" t="inlineStr">
        <is>
          <t>RÄTTVIK</t>
        </is>
      </c>
      <c r="G601" t="n">
        <v>6.4</v>
      </c>
      <c r="H601" t="n">
        <v>2</v>
      </c>
      <c r="I601" t="n">
        <v>1</v>
      </c>
      <c r="J601" t="n">
        <v>0</v>
      </c>
      <c r="K601" t="n">
        <v>0</v>
      </c>
      <c r="L601" t="n">
        <v>0</v>
      </c>
      <c r="M601" t="n">
        <v>0</v>
      </c>
      <c r="N601" t="n">
        <v>0</v>
      </c>
      <c r="O601" t="n">
        <v>0</v>
      </c>
      <c r="P601" t="n">
        <v>0</v>
      </c>
      <c r="Q601" t="n">
        <v>2</v>
      </c>
      <c r="R601" s="2" t="inlineStr">
        <is>
          <t>Tvåblad
Huggorm</t>
        </is>
      </c>
      <c r="S601">
        <f>HYPERLINK("https://klasma.github.io/Logging_2031/artfynd/A 821-2025 artfynd.xlsx", "A 821-2025")</f>
        <v/>
      </c>
      <c r="T601">
        <f>HYPERLINK("https://klasma.github.io/Logging_2031/kartor/A 821-2025 karta.png", "A 821-2025")</f>
        <v/>
      </c>
      <c r="V601">
        <f>HYPERLINK("https://klasma.github.io/Logging_2031/klagomål/A 821-2025 FSC-klagomål.docx", "A 821-2025")</f>
        <v/>
      </c>
      <c r="W601">
        <f>HYPERLINK("https://klasma.github.io/Logging_2031/klagomålsmail/A 821-2025 FSC-klagomål mail.docx", "A 821-2025")</f>
        <v/>
      </c>
      <c r="X601">
        <f>HYPERLINK("https://klasma.github.io/Logging_2031/tillsyn/A 821-2025 tillsynsbegäran.docx", "A 821-2025")</f>
        <v/>
      </c>
      <c r="Y601">
        <f>HYPERLINK("https://klasma.github.io/Logging_2031/tillsynsmail/A 821-2025 tillsynsbegäran mail.docx", "A 821-2025")</f>
        <v/>
      </c>
    </row>
    <row r="602" ht="15" customHeight="1">
      <c r="A602" t="inlineStr">
        <is>
          <t>A 51519-2023</t>
        </is>
      </c>
      <c r="B602" s="1" t="n">
        <v>45222</v>
      </c>
      <c r="C602" s="1" t="n">
        <v>46114</v>
      </c>
      <c r="D602" t="inlineStr">
        <is>
          <t>DALARNAS LÄN</t>
        </is>
      </c>
      <c r="E602" t="inlineStr">
        <is>
          <t>RÄTTVIK</t>
        </is>
      </c>
      <c r="F602" t="inlineStr">
        <is>
          <t>Bergvik skog väst AB</t>
        </is>
      </c>
      <c r="G602" t="n">
        <v>2.4</v>
      </c>
      <c r="H602" t="n">
        <v>0</v>
      </c>
      <c r="I602" t="n">
        <v>1</v>
      </c>
      <c r="J602" t="n">
        <v>1</v>
      </c>
      <c r="K602" t="n">
        <v>0</v>
      </c>
      <c r="L602" t="n">
        <v>0</v>
      </c>
      <c r="M602" t="n">
        <v>0</v>
      </c>
      <c r="N602" t="n">
        <v>0</v>
      </c>
      <c r="O602" t="n">
        <v>1</v>
      </c>
      <c r="P602" t="n">
        <v>0</v>
      </c>
      <c r="Q602" t="n">
        <v>2</v>
      </c>
      <c r="R602" s="2" t="inlineStr">
        <is>
          <t>Garnlav
Bronshjon</t>
        </is>
      </c>
      <c r="S602">
        <f>HYPERLINK("https://klasma.github.io/Logging_2031/artfynd/A 51519-2023 artfynd.xlsx", "A 51519-2023")</f>
        <v/>
      </c>
      <c r="T602">
        <f>HYPERLINK("https://klasma.github.io/Logging_2031/kartor/A 51519-2023 karta.png", "A 51519-2023")</f>
        <v/>
      </c>
      <c r="V602">
        <f>HYPERLINK("https://klasma.github.io/Logging_2031/klagomål/A 51519-2023 FSC-klagomål.docx", "A 51519-2023")</f>
        <v/>
      </c>
      <c r="W602">
        <f>HYPERLINK("https://klasma.github.io/Logging_2031/klagomålsmail/A 51519-2023 FSC-klagomål mail.docx", "A 51519-2023")</f>
        <v/>
      </c>
      <c r="X602">
        <f>HYPERLINK("https://klasma.github.io/Logging_2031/tillsyn/A 51519-2023 tillsynsbegäran.docx", "A 51519-2023")</f>
        <v/>
      </c>
      <c r="Y602">
        <f>HYPERLINK("https://klasma.github.io/Logging_2031/tillsynsmail/A 51519-2023 tillsynsbegäran mail.docx", "A 51519-2023")</f>
        <v/>
      </c>
    </row>
    <row r="603" ht="15" customHeight="1">
      <c r="A603" t="inlineStr">
        <is>
          <t>A 36315-2024</t>
        </is>
      </c>
      <c r="B603" s="1" t="n">
        <v>45534.63258101852</v>
      </c>
      <c r="C603" s="1" t="n">
        <v>46114</v>
      </c>
      <c r="D603" t="inlineStr">
        <is>
          <t>DALARNAS LÄN</t>
        </is>
      </c>
      <c r="E603" t="inlineStr">
        <is>
          <t>RÄTTVIK</t>
        </is>
      </c>
      <c r="G603" t="n">
        <v>4.7</v>
      </c>
      <c r="H603" t="n">
        <v>0</v>
      </c>
      <c r="I603" t="n">
        <v>0</v>
      </c>
      <c r="J603" t="n">
        <v>1</v>
      </c>
      <c r="K603" t="n">
        <v>1</v>
      </c>
      <c r="L603" t="n">
        <v>0</v>
      </c>
      <c r="M603" t="n">
        <v>0</v>
      </c>
      <c r="N603" t="n">
        <v>0</v>
      </c>
      <c r="O603" t="n">
        <v>2</v>
      </c>
      <c r="P603" t="n">
        <v>1</v>
      </c>
      <c r="Q603" t="n">
        <v>2</v>
      </c>
      <c r="R603" s="2" t="inlineStr">
        <is>
          <t>Rynkskinn
Ullticka</t>
        </is>
      </c>
      <c r="S603">
        <f>HYPERLINK("https://klasma.github.io/Logging_2031/artfynd/A 36315-2024 artfynd.xlsx", "A 36315-2024")</f>
        <v/>
      </c>
      <c r="T603">
        <f>HYPERLINK("https://klasma.github.io/Logging_2031/kartor/A 36315-2024 karta.png", "A 36315-2024")</f>
        <v/>
      </c>
      <c r="V603">
        <f>HYPERLINK("https://klasma.github.io/Logging_2031/klagomål/A 36315-2024 FSC-klagomål.docx", "A 36315-2024")</f>
        <v/>
      </c>
      <c r="W603">
        <f>HYPERLINK("https://klasma.github.io/Logging_2031/klagomålsmail/A 36315-2024 FSC-klagomål mail.docx", "A 36315-2024")</f>
        <v/>
      </c>
      <c r="X603">
        <f>HYPERLINK("https://klasma.github.io/Logging_2031/tillsyn/A 36315-2024 tillsynsbegäran.docx", "A 36315-2024")</f>
        <v/>
      </c>
      <c r="Y603">
        <f>HYPERLINK("https://klasma.github.io/Logging_2031/tillsynsmail/A 36315-2024 tillsynsbegäran mail.docx", "A 36315-2024")</f>
        <v/>
      </c>
    </row>
    <row r="604" ht="15" customHeight="1">
      <c r="A604" t="inlineStr">
        <is>
          <t>A 6029-2024</t>
        </is>
      </c>
      <c r="B604" s="1" t="n">
        <v>45336</v>
      </c>
      <c r="C604" s="1" t="n">
        <v>46114</v>
      </c>
      <c r="D604" t="inlineStr">
        <is>
          <t>DALARNAS LÄN</t>
        </is>
      </c>
      <c r="E604" t="inlineStr">
        <is>
          <t>ORSA</t>
        </is>
      </c>
      <c r="F604" t="inlineStr">
        <is>
          <t>Kommuner</t>
        </is>
      </c>
      <c r="G604" t="n">
        <v>0.8</v>
      </c>
      <c r="H604" t="n">
        <v>0</v>
      </c>
      <c r="I604" t="n">
        <v>2</v>
      </c>
      <c r="J604" t="n">
        <v>0</v>
      </c>
      <c r="K604" t="n">
        <v>0</v>
      </c>
      <c r="L604" t="n">
        <v>0</v>
      </c>
      <c r="M604" t="n">
        <v>0</v>
      </c>
      <c r="N604" t="n">
        <v>0</v>
      </c>
      <c r="O604" t="n">
        <v>0</v>
      </c>
      <c r="P604" t="n">
        <v>0</v>
      </c>
      <c r="Q604" t="n">
        <v>2</v>
      </c>
      <c r="R604" s="2" t="inlineStr">
        <is>
          <t>Svart trolldruva
Svavelriska</t>
        </is>
      </c>
      <c r="S604">
        <f>HYPERLINK("https://klasma.github.io/Logging_2034/artfynd/A 6029-2024 artfynd.xlsx", "A 6029-2024")</f>
        <v/>
      </c>
      <c r="T604">
        <f>HYPERLINK("https://klasma.github.io/Logging_2034/kartor/A 6029-2024 karta.png", "A 6029-2024")</f>
        <v/>
      </c>
      <c r="V604">
        <f>HYPERLINK("https://klasma.github.io/Logging_2034/klagomål/A 6029-2024 FSC-klagomål.docx", "A 6029-2024")</f>
        <v/>
      </c>
      <c r="W604">
        <f>HYPERLINK("https://klasma.github.io/Logging_2034/klagomålsmail/A 6029-2024 FSC-klagomål mail.docx", "A 6029-2024")</f>
        <v/>
      </c>
      <c r="X604">
        <f>HYPERLINK("https://klasma.github.io/Logging_2034/tillsyn/A 6029-2024 tillsynsbegäran.docx", "A 6029-2024")</f>
        <v/>
      </c>
      <c r="Y604">
        <f>HYPERLINK("https://klasma.github.io/Logging_2034/tillsynsmail/A 6029-2024 tillsynsbegäran mail.docx", "A 6029-2024")</f>
        <v/>
      </c>
    </row>
    <row r="605" ht="15" customHeight="1">
      <c r="A605" t="inlineStr">
        <is>
          <t>A 19512-2022</t>
        </is>
      </c>
      <c r="B605" s="1" t="n">
        <v>44693</v>
      </c>
      <c r="C605" s="1" t="n">
        <v>46114</v>
      </c>
      <c r="D605" t="inlineStr">
        <is>
          <t>DALARNAS LÄN</t>
        </is>
      </c>
      <c r="E605" t="inlineStr">
        <is>
          <t>LUDVIKA</t>
        </is>
      </c>
      <c r="F605" t="inlineStr">
        <is>
          <t>Bergvik skog väst AB</t>
        </is>
      </c>
      <c r="G605" t="n">
        <v>2.8</v>
      </c>
      <c r="H605" t="n">
        <v>1</v>
      </c>
      <c r="I605" t="n">
        <v>1</v>
      </c>
      <c r="J605" t="n">
        <v>1</v>
      </c>
      <c r="K605" t="n">
        <v>0</v>
      </c>
      <c r="L605" t="n">
        <v>0</v>
      </c>
      <c r="M605" t="n">
        <v>0</v>
      </c>
      <c r="N605" t="n">
        <v>0</v>
      </c>
      <c r="O605" t="n">
        <v>1</v>
      </c>
      <c r="P605" t="n">
        <v>0</v>
      </c>
      <c r="Q605" t="n">
        <v>2</v>
      </c>
      <c r="R605" s="2" t="inlineStr">
        <is>
          <t>Tretåig hackspett
Nästlav</t>
        </is>
      </c>
      <c r="S605">
        <f>HYPERLINK("https://klasma.github.io/Logging_2085/artfynd/A 19512-2022 artfynd.xlsx", "A 19512-2022")</f>
        <v/>
      </c>
      <c r="T605">
        <f>HYPERLINK("https://klasma.github.io/Logging_2085/kartor/A 19512-2022 karta.png", "A 19512-2022")</f>
        <v/>
      </c>
      <c r="V605">
        <f>HYPERLINK("https://klasma.github.io/Logging_2085/klagomål/A 19512-2022 FSC-klagomål.docx", "A 19512-2022")</f>
        <v/>
      </c>
      <c r="W605">
        <f>HYPERLINK("https://klasma.github.io/Logging_2085/klagomålsmail/A 19512-2022 FSC-klagomål mail.docx", "A 19512-2022")</f>
        <v/>
      </c>
      <c r="X605">
        <f>HYPERLINK("https://klasma.github.io/Logging_2085/tillsyn/A 19512-2022 tillsynsbegäran.docx", "A 19512-2022")</f>
        <v/>
      </c>
      <c r="Y605">
        <f>HYPERLINK("https://klasma.github.io/Logging_2085/tillsynsmail/A 19512-2022 tillsynsbegäran mail.docx", "A 19512-2022")</f>
        <v/>
      </c>
      <c r="Z605">
        <f>HYPERLINK("https://klasma.github.io/Logging_2085/fåglar/A 19512-2022 prioriterade fågelarter.docx", "A 19512-2022")</f>
        <v/>
      </c>
    </row>
    <row r="606" ht="15" customHeight="1">
      <c r="A606" t="inlineStr">
        <is>
          <t>A 32206-2024</t>
        </is>
      </c>
      <c r="B606" s="1" t="n">
        <v>45511.67366898148</v>
      </c>
      <c r="C606" s="1" t="n">
        <v>46114</v>
      </c>
      <c r="D606" t="inlineStr">
        <is>
          <t>DALARNAS LÄN</t>
        </is>
      </c>
      <c r="E606" t="inlineStr">
        <is>
          <t>ÄLVDALEN</t>
        </is>
      </c>
      <c r="F606" t="inlineStr">
        <is>
          <t>Sveaskog</t>
        </is>
      </c>
      <c r="G606" t="n">
        <v>8.1</v>
      </c>
      <c r="H606" t="n">
        <v>0</v>
      </c>
      <c r="I606" t="n">
        <v>0</v>
      </c>
      <c r="J606" t="n">
        <v>2</v>
      </c>
      <c r="K606" t="n">
        <v>0</v>
      </c>
      <c r="L606" t="n">
        <v>0</v>
      </c>
      <c r="M606" t="n">
        <v>0</v>
      </c>
      <c r="N606" t="n">
        <v>0</v>
      </c>
      <c r="O606" t="n">
        <v>2</v>
      </c>
      <c r="P606" t="n">
        <v>0</v>
      </c>
      <c r="Q606" t="n">
        <v>2</v>
      </c>
      <c r="R606" s="2" t="inlineStr">
        <is>
          <t>Blanksvart spiklav
Dvärgbägarlav</t>
        </is>
      </c>
      <c r="S606">
        <f>HYPERLINK("https://klasma.github.io/Logging_2039/artfynd/A 32206-2024 artfynd.xlsx", "A 32206-2024")</f>
        <v/>
      </c>
      <c r="T606">
        <f>HYPERLINK("https://klasma.github.io/Logging_2039/kartor/A 32206-2024 karta.png", "A 32206-2024")</f>
        <v/>
      </c>
      <c r="V606">
        <f>HYPERLINK("https://klasma.github.io/Logging_2039/klagomål/A 32206-2024 FSC-klagomål.docx", "A 32206-2024")</f>
        <v/>
      </c>
      <c r="W606">
        <f>HYPERLINK("https://klasma.github.io/Logging_2039/klagomålsmail/A 32206-2024 FSC-klagomål mail.docx", "A 32206-2024")</f>
        <v/>
      </c>
      <c r="X606">
        <f>HYPERLINK("https://klasma.github.io/Logging_2039/tillsyn/A 32206-2024 tillsynsbegäran.docx", "A 32206-2024")</f>
        <v/>
      </c>
      <c r="Y606">
        <f>HYPERLINK("https://klasma.github.io/Logging_2039/tillsynsmail/A 32206-2024 tillsynsbegäran mail.docx", "A 32206-2024")</f>
        <v/>
      </c>
    </row>
    <row r="607" ht="15" customHeight="1">
      <c r="A607" t="inlineStr">
        <is>
          <t>A 42028-2023</t>
        </is>
      </c>
      <c r="B607" s="1" t="n">
        <v>45177.49715277777</v>
      </c>
      <c r="C607" s="1" t="n">
        <v>46114</v>
      </c>
      <c r="D607" t="inlineStr">
        <is>
          <t>DALARNAS LÄN</t>
        </is>
      </c>
      <c r="E607" t="inlineStr">
        <is>
          <t>MORA</t>
        </is>
      </c>
      <c r="F607" t="inlineStr">
        <is>
          <t>Allmännings- och besparingsskogar</t>
        </is>
      </c>
      <c r="G607" t="n">
        <v>6.5</v>
      </c>
      <c r="H607" t="n">
        <v>0</v>
      </c>
      <c r="I607" t="n">
        <v>0</v>
      </c>
      <c r="J607" t="n">
        <v>2</v>
      </c>
      <c r="K607" t="n">
        <v>0</v>
      </c>
      <c r="L607" t="n">
        <v>0</v>
      </c>
      <c r="M607" t="n">
        <v>0</v>
      </c>
      <c r="N607" t="n">
        <v>0</v>
      </c>
      <c r="O607" t="n">
        <v>2</v>
      </c>
      <c r="P607" t="n">
        <v>0</v>
      </c>
      <c r="Q607" t="n">
        <v>2</v>
      </c>
      <c r="R607" s="2" t="inlineStr">
        <is>
          <t>Dvärgbägarlav
Vedskivlav</t>
        </is>
      </c>
      <c r="S607">
        <f>HYPERLINK("https://klasma.github.io/Logging_2062/artfynd/A 42028-2023 artfynd.xlsx", "A 42028-2023")</f>
        <v/>
      </c>
      <c r="T607">
        <f>HYPERLINK("https://klasma.github.io/Logging_2062/kartor/A 42028-2023 karta.png", "A 42028-2023")</f>
        <v/>
      </c>
      <c r="V607">
        <f>HYPERLINK("https://klasma.github.io/Logging_2062/klagomål/A 42028-2023 FSC-klagomål.docx", "A 42028-2023")</f>
        <v/>
      </c>
      <c r="W607">
        <f>HYPERLINK("https://klasma.github.io/Logging_2062/klagomålsmail/A 42028-2023 FSC-klagomål mail.docx", "A 42028-2023")</f>
        <v/>
      </c>
      <c r="X607">
        <f>HYPERLINK("https://klasma.github.io/Logging_2062/tillsyn/A 42028-2023 tillsynsbegäran.docx", "A 42028-2023")</f>
        <v/>
      </c>
      <c r="Y607">
        <f>HYPERLINK("https://klasma.github.io/Logging_2062/tillsynsmail/A 42028-2023 tillsynsbegäran mail.docx", "A 42028-2023")</f>
        <v/>
      </c>
    </row>
    <row r="608" ht="15" customHeight="1">
      <c r="A608" t="inlineStr">
        <is>
          <t>A 27212-2022</t>
        </is>
      </c>
      <c r="B608" s="1" t="n">
        <v>44741</v>
      </c>
      <c r="C608" s="1" t="n">
        <v>46114</v>
      </c>
      <c r="D608" t="inlineStr">
        <is>
          <t>DALARNAS LÄN</t>
        </is>
      </c>
      <c r="E608" t="inlineStr">
        <is>
          <t>MALUNG-SÄLEN</t>
        </is>
      </c>
      <c r="F608" t="inlineStr">
        <is>
          <t>Bergvik skog öst AB</t>
        </is>
      </c>
      <c r="G608" t="n">
        <v>1.5</v>
      </c>
      <c r="H608" t="n">
        <v>0</v>
      </c>
      <c r="I608" t="n">
        <v>1</v>
      </c>
      <c r="J608" t="n">
        <v>0</v>
      </c>
      <c r="K608" t="n">
        <v>1</v>
      </c>
      <c r="L608" t="n">
        <v>0</v>
      </c>
      <c r="M608" t="n">
        <v>0</v>
      </c>
      <c r="N608" t="n">
        <v>0</v>
      </c>
      <c r="O608" t="n">
        <v>1</v>
      </c>
      <c r="P608" t="n">
        <v>1</v>
      </c>
      <c r="Q608" t="n">
        <v>2</v>
      </c>
      <c r="R608" s="2" t="inlineStr">
        <is>
          <t>Norsk näverlav
Skuggblåslav</t>
        </is>
      </c>
      <c r="S608">
        <f>HYPERLINK("https://klasma.github.io/Logging_2023/artfynd/A 27212-2022 artfynd.xlsx", "A 27212-2022")</f>
        <v/>
      </c>
      <c r="T608">
        <f>HYPERLINK("https://klasma.github.io/Logging_2023/kartor/A 27212-2022 karta.png", "A 27212-2022")</f>
        <v/>
      </c>
      <c r="V608">
        <f>HYPERLINK("https://klasma.github.io/Logging_2023/klagomål/A 27212-2022 FSC-klagomål.docx", "A 27212-2022")</f>
        <v/>
      </c>
      <c r="W608">
        <f>HYPERLINK("https://klasma.github.io/Logging_2023/klagomålsmail/A 27212-2022 FSC-klagomål mail.docx", "A 27212-2022")</f>
        <v/>
      </c>
      <c r="X608">
        <f>HYPERLINK("https://klasma.github.io/Logging_2023/tillsyn/A 27212-2022 tillsynsbegäran.docx", "A 27212-2022")</f>
        <v/>
      </c>
      <c r="Y608">
        <f>HYPERLINK("https://klasma.github.io/Logging_2023/tillsynsmail/A 27212-2022 tillsynsbegäran mail.docx", "A 27212-2022")</f>
        <v/>
      </c>
    </row>
    <row r="609" ht="15" customHeight="1">
      <c r="A609" t="inlineStr">
        <is>
          <t>A 16832-2023</t>
        </is>
      </c>
      <c r="B609" s="1" t="n">
        <v>45033</v>
      </c>
      <c r="C609" s="1" t="n">
        <v>46114</v>
      </c>
      <c r="D609" t="inlineStr">
        <is>
          <t>DALARNAS LÄN</t>
        </is>
      </c>
      <c r="E609" t="inlineStr">
        <is>
          <t>RÄTTVIK</t>
        </is>
      </c>
      <c r="G609" t="n">
        <v>1.7</v>
      </c>
      <c r="H609" t="n">
        <v>0</v>
      </c>
      <c r="I609" t="n">
        <v>0</v>
      </c>
      <c r="J609" t="n">
        <v>2</v>
      </c>
      <c r="K609" t="n">
        <v>0</v>
      </c>
      <c r="L609" t="n">
        <v>0</v>
      </c>
      <c r="M609" t="n">
        <v>0</v>
      </c>
      <c r="N609" t="n">
        <v>0</v>
      </c>
      <c r="O609" t="n">
        <v>2</v>
      </c>
      <c r="P609" t="n">
        <v>0</v>
      </c>
      <c r="Q609" t="n">
        <v>2</v>
      </c>
      <c r="R609" s="2" t="inlineStr">
        <is>
          <t>Garnlav
Ullticka</t>
        </is>
      </c>
      <c r="S609">
        <f>HYPERLINK("https://klasma.github.io/Logging_2031/artfynd/A 16832-2023 artfynd.xlsx", "A 16832-2023")</f>
        <v/>
      </c>
      <c r="T609">
        <f>HYPERLINK("https://klasma.github.io/Logging_2031/kartor/A 16832-2023 karta.png", "A 16832-2023")</f>
        <v/>
      </c>
      <c r="V609">
        <f>HYPERLINK("https://klasma.github.io/Logging_2031/klagomål/A 16832-2023 FSC-klagomål.docx", "A 16832-2023")</f>
        <v/>
      </c>
      <c r="W609">
        <f>HYPERLINK("https://klasma.github.io/Logging_2031/klagomålsmail/A 16832-2023 FSC-klagomål mail.docx", "A 16832-2023")</f>
        <v/>
      </c>
      <c r="X609">
        <f>HYPERLINK("https://klasma.github.io/Logging_2031/tillsyn/A 16832-2023 tillsynsbegäran.docx", "A 16832-2023")</f>
        <v/>
      </c>
      <c r="Y609">
        <f>HYPERLINK("https://klasma.github.io/Logging_2031/tillsynsmail/A 16832-2023 tillsynsbegäran mail.docx", "A 16832-2023")</f>
        <v/>
      </c>
    </row>
    <row r="610" ht="15" customHeight="1">
      <c r="A610" t="inlineStr">
        <is>
          <t>A 54849-2022</t>
        </is>
      </c>
      <c r="B610" s="1" t="n">
        <v>44883</v>
      </c>
      <c r="C610" s="1" t="n">
        <v>46114</v>
      </c>
      <c r="D610" t="inlineStr">
        <is>
          <t>DALARNAS LÄN</t>
        </is>
      </c>
      <c r="E610" t="inlineStr">
        <is>
          <t>HEDEMORA</t>
        </is>
      </c>
      <c r="F610" t="inlineStr">
        <is>
          <t>Sveaskog</t>
        </is>
      </c>
      <c r="G610" t="n">
        <v>8.5</v>
      </c>
      <c r="H610" t="n">
        <v>1</v>
      </c>
      <c r="I610" t="n">
        <v>0</v>
      </c>
      <c r="J610" t="n">
        <v>2</v>
      </c>
      <c r="K610" t="n">
        <v>0</v>
      </c>
      <c r="L610" t="n">
        <v>0</v>
      </c>
      <c r="M610" t="n">
        <v>0</v>
      </c>
      <c r="N610" t="n">
        <v>0</v>
      </c>
      <c r="O610" t="n">
        <v>2</v>
      </c>
      <c r="P610" t="n">
        <v>0</v>
      </c>
      <c r="Q610" t="n">
        <v>2</v>
      </c>
      <c r="R610" s="2" t="inlineStr">
        <is>
          <t>Garnlav
Talltita</t>
        </is>
      </c>
      <c r="S610">
        <f>HYPERLINK("https://klasma.github.io/Logging_2083/artfynd/A 54849-2022 artfynd.xlsx", "A 54849-2022")</f>
        <v/>
      </c>
      <c r="T610">
        <f>HYPERLINK("https://klasma.github.io/Logging_2083/kartor/A 54849-2022 karta.png", "A 54849-2022")</f>
        <v/>
      </c>
      <c r="V610">
        <f>HYPERLINK("https://klasma.github.io/Logging_2083/klagomål/A 54849-2022 FSC-klagomål.docx", "A 54849-2022")</f>
        <v/>
      </c>
      <c r="W610">
        <f>HYPERLINK("https://klasma.github.io/Logging_2083/klagomålsmail/A 54849-2022 FSC-klagomål mail.docx", "A 54849-2022")</f>
        <v/>
      </c>
      <c r="X610">
        <f>HYPERLINK("https://klasma.github.io/Logging_2083/tillsyn/A 54849-2022 tillsynsbegäran.docx", "A 54849-2022")</f>
        <v/>
      </c>
      <c r="Y610">
        <f>HYPERLINK("https://klasma.github.io/Logging_2083/tillsynsmail/A 54849-2022 tillsynsbegäran mail.docx", "A 54849-2022")</f>
        <v/>
      </c>
      <c r="Z610">
        <f>HYPERLINK("https://klasma.github.io/Logging_2083/fåglar/A 54849-2022 prioriterade fågelarter.docx", "A 54849-2022")</f>
        <v/>
      </c>
    </row>
    <row r="611" ht="15" customHeight="1">
      <c r="A611" t="inlineStr">
        <is>
          <t>A 48343-2022</t>
        </is>
      </c>
      <c r="B611" s="1" t="n">
        <v>44858</v>
      </c>
      <c r="C611" s="1" t="n">
        <v>46114</v>
      </c>
      <c r="D611" t="inlineStr">
        <is>
          <t>DALARNAS LÄN</t>
        </is>
      </c>
      <c r="E611" t="inlineStr">
        <is>
          <t>ORSA</t>
        </is>
      </c>
      <c r="G611" t="n">
        <v>1.6</v>
      </c>
      <c r="H611" t="n">
        <v>2</v>
      </c>
      <c r="I611" t="n">
        <v>0</v>
      </c>
      <c r="J611" t="n">
        <v>1</v>
      </c>
      <c r="K611" t="n">
        <v>0</v>
      </c>
      <c r="L611" t="n">
        <v>0</v>
      </c>
      <c r="M611" t="n">
        <v>0</v>
      </c>
      <c r="N611" t="n">
        <v>0</v>
      </c>
      <c r="O611" t="n">
        <v>1</v>
      </c>
      <c r="P611" t="n">
        <v>0</v>
      </c>
      <c r="Q611" t="n">
        <v>2</v>
      </c>
      <c r="R611" s="2" t="inlineStr">
        <is>
          <t>Nordfladdermus
Vattenfladdermus</t>
        </is>
      </c>
      <c r="S611">
        <f>HYPERLINK("https://klasma.github.io/Logging_2034/artfynd/A 48343-2022 artfynd.xlsx", "A 48343-2022")</f>
        <v/>
      </c>
      <c r="T611">
        <f>HYPERLINK("https://klasma.github.io/Logging_2034/kartor/A 48343-2022 karta.png", "A 48343-2022")</f>
        <v/>
      </c>
      <c r="V611">
        <f>HYPERLINK("https://klasma.github.io/Logging_2034/klagomål/A 48343-2022 FSC-klagomål.docx", "A 48343-2022")</f>
        <v/>
      </c>
      <c r="W611">
        <f>HYPERLINK("https://klasma.github.io/Logging_2034/klagomålsmail/A 48343-2022 FSC-klagomål mail.docx", "A 48343-2022")</f>
        <v/>
      </c>
      <c r="X611">
        <f>HYPERLINK("https://klasma.github.io/Logging_2034/tillsyn/A 48343-2022 tillsynsbegäran.docx", "A 48343-2022")</f>
        <v/>
      </c>
      <c r="Y611">
        <f>HYPERLINK("https://klasma.github.io/Logging_2034/tillsynsmail/A 48343-2022 tillsynsbegäran mail.docx", "A 48343-2022")</f>
        <v/>
      </c>
    </row>
    <row r="612" ht="15" customHeight="1">
      <c r="A612" t="inlineStr">
        <is>
          <t>A 47294-2023</t>
        </is>
      </c>
      <c r="B612" s="1" t="n">
        <v>45202.47229166667</v>
      </c>
      <c r="C612" s="1" t="n">
        <v>46114</v>
      </c>
      <c r="D612" t="inlineStr">
        <is>
          <t>DALARNAS LÄN</t>
        </is>
      </c>
      <c r="E612" t="inlineStr">
        <is>
          <t>GAGNEF</t>
        </is>
      </c>
      <c r="G612" t="n">
        <v>54.2</v>
      </c>
      <c r="H612" t="n">
        <v>1</v>
      </c>
      <c r="I612" t="n">
        <v>0</v>
      </c>
      <c r="J612" t="n">
        <v>1</v>
      </c>
      <c r="K612" t="n">
        <v>0</v>
      </c>
      <c r="L612" t="n">
        <v>0</v>
      </c>
      <c r="M612" t="n">
        <v>0</v>
      </c>
      <c r="N612" t="n">
        <v>0</v>
      </c>
      <c r="O612" t="n">
        <v>1</v>
      </c>
      <c r="P612" t="n">
        <v>0</v>
      </c>
      <c r="Q612" t="n">
        <v>2</v>
      </c>
      <c r="R612" s="2" t="inlineStr">
        <is>
          <t>Garnlav
Fläcknycklar</t>
        </is>
      </c>
      <c r="S612">
        <f>HYPERLINK("https://klasma.github.io/Logging_2026/artfynd/A 47294-2023 artfynd.xlsx", "A 47294-2023")</f>
        <v/>
      </c>
      <c r="T612">
        <f>HYPERLINK("https://klasma.github.io/Logging_2026/kartor/A 47294-2023 karta.png", "A 47294-2023")</f>
        <v/>
      </c>
      <c r="V612">
        <f>HYPERLINK("https://klasma.github.io/Logging_2026/klagomål/A 47294-2023 FSC-klagomål.docx", "A 47294-2023")</f>
        <v/>
      </c>
      <c r="W612">
        <f>HYPERLINK("https://klasma.github.io/Logging_2026/klagomålsmail/A 47294-2023 FSC-klagomål mail.docx", "A 47294-2023")</f>
        <v/>
      </c>
      <c r="X612">
        <f>HYPERLINK("https://klasma.github.io/Logging_2026/tillsyn/A 47294-2023 tillsynsbegäran.docx", "A 47294-2023")</f>
        <v/>
      </c>
      <c r="Y612">
        <f>HYPERLINK("https://klasma.github.io/Logging_2026/tillsynsmail/A 47294-2023 tillsynsbegäran mail.docx", "A 47294-2023")</f>
        <v/>
      </c>
    </row>
    <row r="613" ht="15" customHeight="1">
      <c r="A613" t="inlineStr">
        <is>
          <t>A 34241-2025</t>
        </is>
      </c>
      <c r="B613" s="1" t="n">
        <v>45845</v>
      </c>
      <c r="C613" s="1" t="n">
        <v>46114</v>
      </c>
      <c r="D613" t="inlineStr">
        <is>
          <t>DALARNAS LÄN</t>
        </is>
      </c>
      <c r="E613" t="inlineStr">
        <is>
          <t>RÄTTVIK</t>
        </is>
      </c>
      <c r="F613" t="inlineStr">
        <is>
          <t>Sveaskog</t>
        </is>
      </c>
      <c r="G613" t="n">
        <v>23.4</v>
      </c>
      <c r="H613" t="n">
        <v>0</v>
      </c>
      <c r="I613" t="n">
        <v>0</v>
      </c>
      <c r="J613" t="n">
        <v>2</v>
      </c>
      <c r="K613" t="n">
        <v>0</v>
      </c>
      <c r="L613" t="n">
        <v>0</v>
      </c>
      <c r="M613" t="n">
        <v>0</v>
      </c>
      <c r="N613" t="n">
        <v>0</v>
      </c>
      <c r="O613" t="n">
        <v>2</v>
      </c>
      <c r="P613" t="n">
        <v>0</v>
      </c>
      <c r="Q613" t="n">
        <v>2</v>
      </c>
      <c r="R613" s="2" t="inlineStr">
        <is>
          <t>Kolflarnlav
Mörk kolflarnlav</t>
        </is>
      </c>
      <c r="S613">
        <f>HYPERLINK("https://klasma.github.io/Logging_2031/artfynd/A 34241-2025 artfynd.xlsx", "A 34241-2025")</f>
        <v/>
      </c>
      <c r="T613">
        <f>HYPERLINK("https://klasma.github.io/Logging_2031/kartor/A 34241-2025 karta.png", "A 34241-2025")</f>
        <v/>
      </c>
      <c r="V613">
        <f>HYPERLINK("https://klasma.github.io/Logging_2031/klagomål/A 34241-2025 FSC-klagomål.docx", "A 34241-2025")</f>
        <v/>
      </c>
      <c r="W613">
        <f>HYPERLINK("https://klasma.github.io/Logging_2031/klagomålsmail/A 34241-2025 FSC-klagomål mail.docx", "A 34241-2025")</f>
        <v/>
      </c>
      <c r="X613">
        <f>HYPERLINK("https://klasma.github.io/Logging_2031/tillsyn/A 34241-2025 tillsynsbegäran.docx", "A 34241-2025")</f>
        <v/>
      </c>
      <c r="Y613">
        <f>HYPERLINK("https://klasma.github.io/Logging_2031/tillsynsmail/A 34241-2025 tillsynsbegäran mail.docx", "A 34241-2025")</f>
        <v/>
      </c>
    </row>
    <row r="614" ht="15" customHeight="1">
      <c r="A614" t="inlineStr">
        <is>
          <t>A 33908-2025</t>
        </is>
      </c>
      <c r="B614" s="1" t="n">
        <v>45842</v>
      </c>
      <c r="C614" s="1" t="n">
        <v>46114</v>
      </c>
      <c r="D614" t="inlineStr">
        <is>
          <t>DALARNAS LÄN</t>
        </is>
      </c>
      <c r="E614" t="inlineStr">
        <is>
          <t>LUDVIKA</t>
        </is>
      </c>
      <c r="F614" t="inlineStr">
        <is>
          <t>Bergvik skog väst AB</t>
        </is>
      </c>
      <c r="G614" t="n">
        <v>3.9</v>
      </c>
      <c r="H614" t="n">
        <v>1</v>
      </c>
      <c r="I614" t="n">
        <v>1</v>
      </c>
      <c r="J614" t="n">
        <v>0</v>
      </c>
      <c r="K614" t="n">
        <v>0</v>
      </c>
      <c r="L614" t="n">
        <v>0</v>
      </c>
      <c r="M614" t="n">
        <v>0</v>
      </c>
      <c r="N614" t="n">
        <v>0</v>
      </c>
      <c r="O614" t="n">
        <v>0</v>
      </c>
      <c r="P614" t="n">
        <v>0</v>
      </c>
      <c r="Q614" t="n">
        <v>2</v>
      </c>
      <c r="R614" s="2" t="inlineStr">
        <is>
          <t>Dropptaggsvamp
Tjäder</t>
        </is>
      </c>
      <c r="S614">
        <f>HYPERLINK("https://klasma.github.io/Logging_2085/artfynd/A 33908-2025 artfynd.xlsx", "A 33908-2025")</f>
        <v/>
      </c>
      <c r="T614">
        <f>HYPERLINK("https://klasma.github.io/Logging_2085/kartor/A 33908-2025 karta.png", "A 33908-2025")</f>
        <v/>
      </c>
      <c r="V614">
        <f>HYPERLINK("https://klasma.github.io/Logging_2085/klagomål/A 33908-2025 FSC-klagomål.docx", "A 33908-2025")</f>
        <v/>
      </c>
      <c r="W614">
        <f>HYPERLINK("https://klasma.github.io/Logging_2085/klagomålsmail/A 33908-2025 FSC-klagomål mail.docx", "A 33908-2025")</f>
        <v/>
      </c>
      <c r="X614">
        <f>HYPERLINK("https://klasma.github.io/Logging_2085/tillsyn/A 33908-2025 tillsynsbegäran.docx", "A 33908-2025")</f>
        <v/>
      </c>
      <c r="Y614">
        <f>HYPERLINK("https://klasma.github.io/Logging_2085/tillsynsmail/A 33908-2025 tillsynsbegäran mail.docx", "A 33908-2025")</f>
        <v/>
      </c>
      <c r="Z614">
        <f>HYPERLINK("https://klasma.github.io/Logging_2085/fåglar/A 33908-2025 prioriterade fågelarter.docx", "A 33908-2025")</f>
        <v/>
      </c>
    </row>
    <row r="615" ht="15" customHeight="1">
      <c r="A615" t="inlineStr">
        <is>
          <t>A 34418-2025</t>
        </is>
      </c>
      <c r="B615" s="1" t="n">
        <v>45846.65744212963</v>
      </c>
      <c r="C615" s="1" t="n">
        <v>46114</v>
      </c>
      <c r="D615" t="inlineStr">
        <is>
          <t>DALARNAS LÄN</t>
        </is>
      </c>
      <c r="E615" t="inlineStr">
        <is>
          <t>GAGNEF</t>
        </is>
      </c>
      <c r="G615" t="n">
        <v>2.3</v>
      </c>
      <c r="H615" t="n">
        <v>0</v>
      </c>
      <c r="I615" t="n">
        <v>1</v>
      </c>
      <c r="J615" t="n">
        <v>1</v>
      </c>
      <c r="K615" t="n">
        <v>0</v>
      </c>
      <c r="L615" t="n">
        <v>0</v>
      </c>
      <c r="M615" t="n">
        <v>0</v>
      </c>
      <c r="N615" t="n">
        <v>0</v>
      </c>
      <c r="O615" t="n">
        <v>1</v>
      </c>
      <c r="P615" t="n">
        <v>0</v>
      </c>
      <c r="Q615" t="n">
        <v>2</v>
      </c>
      <c r="R615" s="2" t="inlineStr">
        <is>
          <t>Mörk kolflarnlav
Stuplav</t>
        </is>
      </c>
      <c r="S615">
        <f>HYPERLINK("https://klasma.github.io/Logging_2026/artfynd/A 34418-2025 artfynd.xlsx", "A 34418-2025")</f>
        <v/>
      </c>
      <c r="T615">
        <f>HYPERLINK("https://klasma.github.io/Logging_2026/kartor/A 34418-2025 karta.png", "A 34418-2025")</f>
        <v/>
      </c>
      <c r="V615">
        <f>HYPERLINK("https://klasma.github.io/Logging_2026/klagomål/A 34418-2025 FSC-klagomål.docx", "A 34418-2025")</f>
        <v/>
      </c>
      <c r="W615">
        <f>HYPERLINK("https://klasma.github.io/Logging_2026/klagomålsmail/A 34418-2025 FSC-klagomål mail.docx", "A 34418-2025")</f>
        <v/>
      </c>
      <c r="X615">
        <f>HYPERLINK("https://klasma.github.io/Logging_2026/tillsyn/A 34418-2025 tillsynsbegäran.docx", "A 34418-2025")</f>
        <v/>
      </c>
      <c r="Y615">
        <f>HYPERLINK("https://klasma.github.io/Logging_2026/tillsynsmail/A 34418-2025 tillsynsbegäran mail.docx", "A 34418-2025")</f>
        <v/>
      </c>
    </row>
    <row r="616" ht="15" customHeight="1">
      <c r="A616" t="inlineStr">
        <is>
          <t>A 3152-2022</t>
        </is>
      </c>
      <c r="B616" s="1" t="n">
        <v>44582</v>
      </c>
      <c r="C616" s="1" t="n">
        <v>46114</v>
      </c>
      <c r="D616" t="inlineStr">
        <is>
          <t>DALARNAS LÄN</t>
        </is>
      </c>
      <c r="E616" t="inlineStr">
        <is>
          <t>HEDEMORA</t>
        </is>
      </c>
      <c r="G616" t="n">
        <v>8.800000000000001</v>
      </c>
      <c r="H616" t="n">
        <v>1</v>
      </c>
      <c r="I616" t="n">
        <v>0</v>
      </c>
      <c r="J616" t="n">
        <v>1</v>
      </c>
      <c r="K616" t="n">
        <v>1</v>
      </c>
      <c r="L616" t="n">
        <v>0</v>
      </c>
      <c r="M616" t="n">
        <v>0</v>
      </c>
      <c r="N616" t="n">
        <v>0</v>
      </c>
      <c r="O616" t="n">
        <v>2</v>
      </c>
      <c r="P616" t="n">
        <v>1</v>
      </c>
      <c r="Q616" t="n">
        <v>2</v>
      </c>
      <c r="R616" s="2" t="inlineStr">
        <is>
          <t>Knärot
Ullticka</t>
        </is>
      </c>
      <c r="S616">
        <f>HYPERLINK("https://klasma.github.io/Logging_2083/artfynd/A 3152-2022 artfynd.xlsx", "A 3152-2022")</f>
        <v/>
      </c>
      <c r="T616">
        <f>HYPERLINK("https://klasma.github.io/Logging_2083/kartor/A 3152-2022 karta.png", "A 3152-2022")</f>
        <v/>
      </c>
      <c r="U616">
        <f>HYPERLINK("https://klasma.github.io/Logging_2083/knärot/A 3152-2022 karta knärot.png", "A 3152-2022")</f>
        <v/>
      </c>
      <c r="V616">
        <f>HYPERLINK("https://klasma.github.io/Logging_2083/klagomål/A 3152-2022 FSC-klagomål.docx", "A 3152-2022")</f>
        <v/>
      </c>
      <c r="W616">
        <f>HYPERLINK("https://klasma.github.io/Logging_2083/klagomålsmail/A 3152-2022 FSC-klagomål mail.docx", "A 3152-2022")</f>
        <v/>
      </c>
      <c r="X616">
        <f>HYPERLINK("https://klasma.github.io/Logging_2083/tillsyn/A 3152-2022 tillsynsbegäran.docx", "A 3152-2022")</f>
        <v/>
      </c>
      <c r="Y616">
        <f>HYPERLINK("https://klasma.github.io/Logging_2083/tillsynsmail/A 3152-2022 tillsynsbegäran mail.docx", "A 3152-2022")</f>
        <v/>
      </c>
    </row>
    <row r="617" ht="15" customHeight="1">
      <c r="A617" t="inlineStr">
        <is>
          <t>A 18714-2023</t>
        </is>
      </c>
      <c r="B617" s="1" t="n">
        <v>45043.64988425926</v>
      </c>
      <c r="C617" s="1" t="n">
        <v>46114</v>
      </c>
      <c r="D617" t="inlineStr">
        <is>
          <t>DALARNAS LÄN</t>
        </is>
      </c>
      <c r="E617" t="inlineStr">
        <is>
          <t>FALUN</t>
        </is>
      </c>
      <c r="G617" t="n">
        <v>1.8</v>
      </c>
      <c r="H617" t="n">
        <v>0</v>
      </c>
      <c r="I617" t="n">
        <v>1</v>
      </c>
      <c r="J617" t="n">
        <v>1</v>
      </c>
      <c r="K617" t="n">
        <v>0</v>
      </c>
      <c r="L617" t="n">
        <v>0</v>
      </c>
      <c r="M617" t="n">
        <v>0</v>
      </c>
      <c r="N617" t="n">
        <v>0</v>
      </c>
      <c r="O617" t="n">
        <v>1</v>
      </c>
      <c r="P617" t="n">
        <v>0</v>
      </c>
      <c r="Q617" t="n">
        <v>2</v>
      </c>
      <c r="R617" s="2" t="inlineStr">
        <is>
          <t>Gammelgransskål
Bronshjon</t>
        </is>
      </c>
      <c r="S617">
        <f>HYPERLINK("https://klasma.github.io/Logging_2080/artfynd/A 18714-2023 artfynd.xlsx", "A 18714-2023")</f>
        <v/>
      </c>
      <c r="T617">
        <f>HYPERLINK("https://klasma.github.io/Logging_2080/kartor/A 18714-2023 karta.png", "A 18714-2023")</f>
        <v/>
      </c>
      <c r="V617">
        <f>HYPERLINK("https://klasma.github.io/Logging_2080/klagomål/A 18714-2023 FSC-klagomål.docx", "A 18714-2023")</f>
        <v/>
      </c>
      <c r="W617">
        <f>HYPERLINK("https://klasma.github.io/Logging_2080/klagomålsmail/A 18714-2023 FSC-klagomål mail.docx", "A 18714-2023")</f>
        <v/>
      </c>
      <c r="X617">
        <f>HYPERLINK("https://klasma.github.io/Logging_2080/tillsyn/A 18714-2023 tillsynsbegäran.docx", "A 18714-2023")</f>
        <v/>
      </c>
      <c r="Y617">
        <f>HYPERLINK("https://klasma.github.io/Logging_2080/tillsynsmail/A 18714-2023 tillsynsbegäran mail.docx", "A 18714-2023")</f>
        <v/>
      </c>
    </row>
    <row r="618" ht="15" customHeight="1">
      <c r="A618" t="inlineStr">
        <is>
          <t>A 35068-2025</t>
        </is>
      </c>
      <c r="B618" s="1" t="n">
        <v>45852.45686342593</v>
      </c>
      <c r="C618" s="1" t="n">
        <v>46114</v>
      </c>
      <c r="D618" t="inlineStr">
        <is>
          <t>DALARNAS LÄN</t>
        </is>
      </c>
      <c r="E618" t="inlineStr">
        <is>
          <t>MORA</t>
        </is>
      </c>
      <c r="G618" t="n">
        <v>0.7</v>
      </c>
      <c r="H618" t="n">
        <v>0</v>
      </c>
      <c r="I618" t="n">
        <v>1</v>
      </c>
      <c r="J618" t="n">
        <v>1</v>
      </c>
      <c r="K618" t="n">
        <v>0</v>
      </c>
      <c r="L618" t="n">
        <v>0</v>
      </c>
      <c r="M618" t="n">
        <v>0</v>
      </c>
      <c r="N618" t="n">
        <v>0</v>
      </c>
      <c r="O618" t="n">
        <v>1</v>
      </c>
      <c r="P618" t="n">
        <v>0</v>
      </c>
      <c r="Q618" t="n">
        <v>2</v>
      </c>
      <c r="R618" s="2" t="inlineStr">
        <is>
          <t>Garnlav
Mindre märgborre</t>
        </is>
      </c>
      <c r="S618">
        <f>HYPERLINK("https://klasma.github.io/Logging_2062/artfynd/A 35068-2025 artfynd.xlsx", "A 35068-2025")</f>
        <v/>
      </c>
      <c r="T618">
        <f>HYPERLINK("https://klasma.github.io/Logging_2062/kartor/A 35068-2025 karta.png", "A 35068-2025")</f>
        <v/>
      </c>
      <c r="V618">
        <f>HYPERLINK("https://klasma.github.io/Logging_2062/klagomål/A 35068-2025 FSC-klagomål.docx", "A 35068-2025")</f>
        <v/>
      </c>
      <c r="W618">
        <f>HYPERLINK("https://klasma.github.io/Logging_2062/klagomålsmail/A 35068-2025 FSC-klagomål mail.docx", "A 35068-2025")</f>
        <v/>
      </c>
      <c r="X618">
        <f>HYPERLINK("https://klasma.github.io/Logging_2062/tillsyn/A 35068-2025 tillsynsbegäran.docx", "A 35068-2025")</f>
        <v/>
      </c>
      <c r="Y618">
        <f>HYPERLINK("https://klasma.github.io/Logging_2062/tillsynsmail/A 35068-2025 tillsynsbegäran mail.docx", "A 35068-2025")</f>
        <v/>
      </c>
    </row>
    <row r="619" ht="15" customHeight="1">
      <c r="A619" t="inlineStr">
        <is>
          <t>A 19352-2024</t>
        </is>
      </c>
      <c r="B619" s="1" t="n">
        <v>45429.29493055555</v>
      </c>
      <c r="C619" s="1" t="n">
        <v>46114</v>
      </c>
      <c r="D619" t="inlineStr">
        <is>
          <t>DALARNAS LÄN</t>
        </is>
      </c>
      <c r="E619" t="inlineStr">
        <is>
          <t>HEDEMORA</t>
        </is>
      </c>
      <c r="F619" t="inlineStr">
        <is>
          <t>Sveaskog</t>
        </is>
      </c>
      <c r="G619" t="n">
        <v>22.6</v>
      </c>
      <c r="H619" t="n">
        <v>1</v>
      </c>
      <c r="I619" t="n">
        <v>0</v>
      </c>
      <c r="J619" t="n">
        <v>1</v>
      </c>
      <c r="K619" t="n">
        <v>0</v>
      </c>
      <c r="L619" t="n">
        <v>0</v>
      </c>
      <c r="M619" t="n">
        <v>0</v>
      </c>
      <c r="N619" t="n">
        <v>0</v>
      </c>
      <c r="O619" t="n">
        <v>1</v>
      </c>
      <c r="P619" t="n">
        <v>0</v>
      </c>
      <c r="Q619" t="n">
        <v>2</v>
      </c>
      <c r="R619" s="2" t="inlineStr">
        <is>
          <t>Ullticka
Blåsippa</t>
        </is>
      </c>
      <c r="S619">
        <f>HYPERLINK("https://klasma.github.io/Logging_2083/artfynd/A 19352-2024 artfynd.xlsx", "A 19352-2024")</f>
        <v/>
      </c>
      <c r="T619">
        <f>HYPERLINK("https://klasma.github.io/Logging_2083/kartor/A 19352-2024 karta.png", "A 19352-2024")</f>
        <v/>
      </c>
      <c r="V619">
        <f>HYPERLINK("https://klasma.github.io/Logging_2083/klagomål/A 19352-2024 FSC-klagomål.docx", "A 19352-2024")</f>
        <v/>
      </c>
      <c r="W619">
        <f>HYPERLINK("https://klasma.github.io/Logging_2083/klagomålsmail/A 19352-2024 FSC-klagomål mail.docx", "A 19352-2024")</f>
        <v/>
      </c>
      <c r="X619">
        <f>HYPERLINK("https://klasma.github.io/Logging_2083/tillsyn/A 19352-2024 tillsynsbegäran.docx", "A 19352-2024")</f>
        <v/>
      </c>
      <c r="Y619">
        <f>HYPERLINK("https://klasma.github.io/Logging_2083/tillsynsmail/A 19352-2024 tillsynsbegäran mail.docx", "A 19352-2024")</f>
        <v/>
      </c>
    </row>
    <row r="620" ht="15" customHeight="1">
      <c r="A620" t="inlineStr">
        <is>
          <t>A 54632-2021</t>
        </is>
      </c>
      <c r="B620" s="1" t="n">
        <v>44473</v>
      </c>
      <c r="C620" s="1" t="n">
        <v>46114</v>
      </c>
      <c r="D620" t="inlineStr">
        <is>
          <t>DALARNAS LÄN</t>
        </is>
      </c>
      <c r="E620" t="inlineStr">
        <is>
          <t>ÄLVDALEN</t>
        </is>
      </c>
      <c r="G620" t="n">
        <v>4.3</v>
      </c>
      <c r="H620" t="n">
        <v>1</v>
      </c>
      <c r="I620" t="n">
        <v>0</v>
      </c>
      <c r="J620" t="n">
        <v>2</v>
      </c>
      <c r="K620" t="n">
        <v>0</v>
      </c>
      <c r="L620" t="n">
        <v>0</v>
      </c>
      <c r="M620" t="n">
        <v>0</v>
      </c>
      <c r="N620" t="n">
        <v>0</v>
      </c>
      <c r="O620" t="n">
        <v>2</v>
      </c>
      <c r="P620" t="n">
        <v>0</v>
      </c>
      <c r="Q620" t="n">
        <v>2</v>
      </c>
      <c r="R620" s="2" t="inlineStr">
        <is>
          <t>Varglav
Vedflamlav</t>
        </is>
      </c>
      <c r="S620">
        <f>HYPERLINK("https://klasma.github.io/Logging_2039/artfynd/A 54632-2021 artfynd.xlsx", "A 54632-2021")</f>
        <v/>
      </c>
      <c r="T620">
        <f>HYPERLINK("https://klasma.github.io/Logging_2039/kartor/A 54632-2021 karta.png", "A 54632-2021")</f>
        <v/>
      </c>
      <c r="V620">
        <f>HYPERLINK("https://klasma.github.io/Logging_2039/klagomål/A 54632-2021 FSC-klagomål.docx", "A 54632-2021")</f>
        <v/>
      </c>
      <c r="W620">
        <f>HYPERLINK("https://klasma.github.io/Logging_2039/klagomålsmail/A 54632-2021 FSC-klagomål mail.docx", "A 54632-2021")</f>
        <v/>
      </c>
      <c r="X620">
        <f>HYPERLINK("https://klasma.github.io/Logging_2039/tillsyn/A 54632-2021 tillsynsbegäran.docx", "A 54632-2021")</f>
        <v/>
      </c>
      <c r="Y620">
        <f>HYPERLINK("https://klasma.github.io/Logging_2039/tillsynsmail/A 54632-2021 tillsynsbegäran mail.docx", "A 54632-2021")</f>
        <v/>
      </c>
    </row>
    <row r="621" ht="15" customHeight="1">
      <c r="A621" t="inlineStr">
        <is>
          <t>A 1919-2025</t>
        </is>
      </c>
      <c r="B621" s="1" t="n">
        <v>45671</v>
      </c>
      <c r="C621" s="1" t="n">
        <v>46114</v>
      </c>
      <c r="D621" t="inlineStr">
        <is>
          <t>DALARNAS LÄN</t>
        </is>
      </c>
      <c r="E621" t="inlineStr">
        <is>
          <t>FALUN</t>
        </is>
      </c>
      <c r="G621" t="n">
        <v>4.8</v>
      </c>
      <c r="H621" t="n">
        <v>0</v>
      </c>
      <c r="I621" t="n">
        <v>1</v>
      </c>
      <c r="J621" t="n">
        <v>1</v>
      </c>
      <c r="K621" t="n">
        <v>0</v>
      </c>
      <c r="L621" t="n">
        <v>0</v>
      </c>
      <c r="M621" t="n">
        <v>0</v>
      </c>
      <c r="N621" t="n">
        <v>0</v>
      </c>
      <c r="O621" t="n">
        <v>1</v>
      </c>
      <c r="P621" t="n">
        <v>0</v>
      </c>
      <c r="Q621" t="n">
        <v>2</v>
      </c>
      <c r="R621" s="2" t="inlineStr">
        <is>
          <t>Garnlav
Dropptaggsvamp</t>
        </is>
      </c>
      <c r="S621">
        <f>HYPERLINK("https://klasma.github.io/Logging_2080/artfynd/A 1919-2025 artfynd.xlsx", "A 1919-2025")</f>
        <v/>
      </c>
      <c r="T621">
        <f>HYPERLINK("https://klasma.github.io/Logging_2080/kartor/A 1919-2025 karta.png", "A 1919-2025")</f>
        <v/>
      </c>
      <c r="V621">
        <f>HYPERLINK("https://klasma.github.io/Logging_2080/klagomål/A 1919-2025 FSC-klagomål.docx", "A 1919-2025")</f>
        <v/>
      </c>
      <c r="W621">
        <f>HYPERLINK("https://klasma.github.io/Logging_2080/klagomålsmail/A 1919-2025 FSC-klagomål mail.docx", "A 1919-2025")</f>
        <v/>
      </c>
      <c r="X621">
        <f>HYPERLINK("https://klasma.github.io/Logging_2080/tillsyn/A 1919-2025 tillsynsbegäran.docx", "A 1919-2025")</f>
        <v/>
      </c>
      <c r="Y621">
        <f>HYPERLINK("https://klasma.github.io/Logging_2080/tillsynsmail/A 1919-2025 tillsynsbegäran mail.docx", "A 1919-2025")</f>
        <v/>
      </c>
    </row>
    <row r="622" ht="15" customHeight="1">
      <c r="A622" t="inlineStr">
        <is>
          <t>A 35865-2025</t>
        </is>
      </c>
      <c r="B622" s="1" t="n">
        <v>45861.7066087963</v>
      </c>
      <c r="C622" s="1" t="n">
        <v>46114</v>
      </c>
      <c r="D622" t="inlineStr">
        <is>
          <t>DALARNAS LÄN</t>
        </is>
      </c>
      <c r="E622" t="inlineStr">
        <is>
          <t>LEKSAND</t>
        </is>
      </c>
      <c r="F622" t="inlineStr">
        <is>
          <t>Bergvik skog väst AB</t>
        </is>
      </c>
      <c r="G622" t="n">
        <v>4.4</v>
      </c>
      <c r="H622" t="n">
        <v>2</v>
      </c>
      <c r="I622" t="n">
        <v>0</v>
      </c>
      <c r="J622" t="n">
        <v>1</v>
      </c>
      <c r="K622" t="n">
        <v>0</v>
      </c>
      <c r="L622" t="n">
        <v>0</v>
      </c>
      <c r="M622" t="n">
        <v>0</v>
      </c>
      <c r="N622" t="n">
        <v>0</v>
      </c>
      <c r="O622" t="n">
        <v>1</v>
      </c>
      <c r="P622" t="n">
        <v>0</v>
      </c>
      <c r="Q622" t="n">
        <v>2</v>
      </c>
      <c r="R622" s="2" t="inlineStr">
        <is>
          <t>Kungsörn
Orre</t>
        </is>
      </c>
      <c r="S622">
        <f>HYPERLINK("https://klasma.github.io/Logging_2029/artfynd/A 35865-2025 artfynd.xlsx", "A 35865-2025")</f>
        <v/>
      </c>
      <c r="T622">
        <f>HYPERLINK("https://klasma.github.io/Logging_2029/kartor/A 35865-2025 karta.png", "A 35865-2025")</f>
        <v/>
      </c>
      <c r="V622">
        <f>HYPERLINK("https://klasma.github.io/Logging_2029/klagomål/A 35865-2025 FSC-klagomål.docx", "A 35865-2025")</f>
        <v/>
      </c>
      <c r="W622">
        <f>HYPERLINK("https://klasma.github.io/Logging_2029/klagomålsmail/A 35865-2025 FSC-klagomål mail.docx", "A 35865-2025")</f>
        <v/>
      </c>
      <c r="X622">
        <f>HYPERLINK("https://klasma.github.io/Logging_2029/tillsyn/A 35865-2025 tillsynsbegäran.docx", "A 35865-2025")</f>
        <v/>
      </c>
      <c r="Y622">
        <f>HYPERLINK("https://klasma.github.io/Logging_2029/tillsynsmail/A 35865-2025 tillsynsbegäran mail.docx", "A 35865-2025")</f>
        <v/>
      </c>
      <c r="Z622">
        <f>HYPERLINK("https://klasma.github.io/Logging_2029/fåglar/A 35865-2025 prioriterade fågelarter.docx", "A 35865-2025")</f>
        <v/>
      </c>
    </row>
    <row r="623" ht="15" customHeight="1">
      <c r="A623" t="inlineStr">
        <is>
          <t>A 52436-2024</t>
        </is>
      </c>
      <c r="B623" s="1" t="n">
        <v>45608</v>
      </c>
      <c r="C623" s="1" t="n">
        <v>46114</v>
      </c>
      <c r="D623" t="inlineStr">
        <is>
          <t>DALARNAS LÄN</t>
        </is>
      </c>
      <c r="E623" t="inlineStr">
        <is>
          <t>GAGNEF</t>
        </is>
      </c>
      <c r="G623" t="n">
        <v>1.2</v>
      </c>
      <c r="H623" t="n">
        <v>0</v>
      </c>
      <c r="I623" t="n">
        <v>1</v>
      </c>
      <c r="J623" t="n">
        <v>1</v>
      </c>
      <c r="K623" t="n">
        <v>0</v>
      </c>
      <c r="L623" t="n">
        <v>0</v>
      </c>
      <c r="M623" t="n">
        <v>0</v>
      </c>
      <c r="N623" t="n">
        <v>0</v>
      </c>
      <c r="O623" t="n">
        <v>1</v>
      </c>
      <c r="P623" t="n">
        <v>0</v>
      </c>
      <c r="Q623" t="n">
        <v>2</v>
      </c>
      <c r="R623" s="2" t="inlineStr">
        <is>
          <t>Skrovlig taggsvamp
Dropptaggsvamp</t>
        </is>
      </c>
      <c r="S623">
        <f>HYPERLINK("https://klasma.github.io/Logging_2026/artfynd/A 52436-2024 artfynd.xlsx", "A 52436-2024")</f>
        <v/>
      </c>
      <c r="T623">
        <f>HYPERLINK("https://klasma.github.io/Logging_2026/kartor/A 52436-2024 karta.png", "A 52436-2024")</f>
        <v/>
      </c>
      <c r="V623">
        <f>HYPERLINK("https://klasma.github.io/Logging_2026/klagomål/A 52436-2024 FSC-klagomål.docx", "A 52436-2024")</f>
        <v/>
      </c>
      <c r="W623">
        <f>HYPERLINK("https://klasma.github.io/Logging_2026/klagomålsmail/A 52436-2024 FSC-klagomål mail.docx", "A 52436-2024")</f>
        <v/>
      </c>
      <c r="X623">
        <f>HYPERLINK("https://klasma.github.io/Logging_2026/tillsyn/A 52436-2024 tillsynsbegäran.docx", "A 52436-2024")</f>
        <v/>
      </c>
      <c r="Y623">
        <f>HYPERLINK("https://klasma.github.io/Logging_2026/tillsynsmail/A 52436-2024 tillsynsbegäran mail.docx", "A 52436-2024")</f>
        <v/>
      </c>
    </row>
    <row r="624" ht="15" customHeight="1">
      <c r="A624" t="inlineStr">
        <is>
          <t>A 3515-2023</t>
        </is>
      </c>
      <c r="B624" s="1" t="n">
        <v>44950</v>
      </c>
      <c r="C624" s="1" t="n">
        <v>46114</v>
      </c>
      <c r="D624" t="inlineStr">
        <is>
          <t>DALARNAS LÄN</t>
        </is>
      </c>
      <c r="E624" t="inlineStr">
        <is>
          <t>BORLÄNGE</t>
        </is>
      </c>
      <c r="G624" t="n">
        <v>2.8</v>
      </c>
      <c r="H624" t="n">
        <v>2</v>
      </c>
      <c r="I624" t="n">
        <v>0</v>
      </c>
      <c r="J624" t="n">
        <v>2</v>
      </c>
      <c r="K624" t="n">
        <v>0</v>
      </c>
      <c r="L624" t="n">
        <v>0</v>
      </c>
      <c r="M624" t="n">
        <v>0</v>
      </c>
      <c r="N624" t="n">
        <v>0</v>
      </c>
      <c r="O624" t="n">
        <v>2</v>
      </c>
      <c r="P624" t="n">
        <v>0</v>
      </c>
      <c r="Q624" t="n">
        <v>2</v>
      </c>
      <c r="R624" s="2" t="inlineStr">
        <is>
          <t>Gulsparv
Rödvingetrast</t>
        </is>
      </c>
      <c r="S624">
        <f>HYPERLINK("https://klasma.github.io/Logging_2081/artfynd/A 3515-2023 artfynd.xlsx", "A 3515-2023")</f>
        <v/>
      </c>
      <c r="T624">
        <f>HYPERLINK("https://klasma.github.io/Logging_2081/kartor/A 3515-2023 karta.png", "A 3515-2023")</f>
        <v/>
      </c>
      <c r="V624">
        <f>HYPERLINK("https://klasma.github.io/Logging_2081/klagomål/A 3515-2023 FSC-klagomål.docx", "A 3515-2023")</f>
        <v/>
      </c>
      <c r="W624">
        <f>HYPERLINK("https://klasma.github.io/Logging_2081/klagomålsmail/A 3515-2023 FSC-klagomål mail.docx", "A 3515-2023")</f>
        <v/>
      </c>
      <c r="X624">
        <f>HYPERLINK("https://klasma.github.io/Logging_2081/tillsyn/A 3515-2023 tillsynsbegäran.docx", "A 3515-2023")</f>
        <v/>
      </c>
      <c r="Y624">
        <f>HYPERLINK("https://klasma.github.io/Logging_2081/tillsynsmail/A 3515-2023 tillsynsbegäran mail.docx", "A 3515-2023")</f>
        <v/>
      </c>
      <c r="Z624">
        <f>HYPERLINK("https://klasma.github.io/Logging_2081/fåglar/A 3515-2023 prioriterade fågelarter.docx", "A 3515-2023")</f>
        <v/>
      </c>
    </row>
    <row r="625" ht="15" customHeight="1">
      <c r="A625" t="inlineStr">
        <is>
          <t>A 36197-2025</t>
        </is>
      </c>
      <c r="B625" s="1" t="n">
        <v>45867.43554398148</v>
      </c>
      <c r="C625" s="1" t="n">
        <v>46114</v>
      </c>
      <c r="D625" t="inlineStr">
        <is>
          <t>DALARNAS LÄN</t>
        </is>
      </c>
      <c r="E625" t="inlineStr">
        <is>
          <t>FALUN</t>
        </is>
      </c>
      <c r="F625" t="inlineStr">
        <is>
          <t>Bergvik skog väst AB</t>
        </is>
      </c>
      <c r="G625" t="n">
        <v>27.9</v>
      </c>
      <c r="H625" t="n">
        <v>1</v>
      </c>
      <c r="I625" t="n">
        <v>1</v>
      </c>
      <c r="J625" t="n">
        <v>0</v>
      </c>
      <c r="K625" t="n">
        <v>1</v>
      </c>
      <c r="L625" t="n">
        <v>0</v>
      </c>
      <c r="M625" t="n">
        <v>0</v>
      </c>
      <c r="N625" t="n">
        <v>0</v>
      </c>
      <c r="O625" t="n">
        <v>1</v>
      </c>
      <c r="P625" t="n">
        <v>1</v>
      </c>
      <c r="Q625" t="n">
        <v>2</v>
      </c>
      <c r="R625" s="2" t="inlineStr">
        <is>
          <t>Knärot
Skarp dropptaggsvamp</t>
        </is>
      </c>
      <c r="S625">
        <f>HYPERLINK("https://klasma.github.io/Logging_2080/artfynd/A 36197-2025 artfynd.xlsx", "A 36197-2025")</f>
        <v/>
      </c>
      <c r="T625">
        <f>HYPERLINK("https://klasma.github.io/Logging_2080/kartor/A 36197-2025 karta.png", "A 36197-2025")</f>
        <v/>
      </c>
      <c r="U625">
        <f>HYPERLINK("https://klasma.github.io/Logging_2080/knärot/A 36197-2025 karta knärot.png", "A 36197-2025")</f>
        <v/>
      </c>
      <c r="V625">
        <f>HYPERLINK("https://klasma.github.io/Logging_2080/klagomål/A 36197-2025 FSC-klagomål.docx", "A 36197-2025")</f>
        <v/>
      </c>
      <c r="W625">
        <f>HYPERLINK("https://klasma.github.io/Logging_2080/klagomålsmail/A 36197-2025 FSC-klagomål mail.docx", "A 36197-2025")</f>
        <v/>
      </c>
      <c r="X625">
        <f>HYPERLINK("https://klasma.github.io/Logging_2080/tillsyn/A 36197-2025 tillsynsbegäran.docx", "A 36197-2025")</f>
        <v/>
      </c>
      <c r="Y625">
        <f>HYPERLINK("https://klasma.github.io/Logging_2080/tillsynsmail/A 36197-2025 tillsynsbegäran mail.docx", "A 36197-2025")</f>
        <v/>
      </c>
    </row>
    <row r="626" ht="15" customHeight="1">
      <c r="A626" t="inlineStr">
        <is>
          <t>A 59921-2023</t>
        </is>
      </c>
      <c r="B626" s="1" t="n">
        <v>45257</v>
      </c>
      <c r="C626" s="1" t="n">
        <v>46114</v>
      </c>
      <c r="D626" t="inlineStr">
        <is>
          <t>DALARNAS LÄN</t>
        </is>
      </c>
      <c r="E626" t="inlineStr">
        <is>
          <t>AVESTA</t>
        </is>
      </c>
      <c r="G626" t="n">
        <v>0.4</v>
      </c>
      <c r="H626" t="n">
        <v>2</v>
      </c>
      <c r="I626" t="n">
        <v>0</v>
      </c>
      <c r="J626" t="n">
        <v>2</v>
      </c>
      <c r="K626" t="n">
        <v>0</v>
      </c>
      <c r="L626" t="n">
        <v>0</v>
      </c>
      <c r="M626" t="n">
        <v>0</v>
      </c>
      <c r="N626" t="n">
        <v>0</v>
      </c>
      <c r="O626" t="n">
        <v>2</v>
      </c>
      <c r="P626" t="n">
        <v>0</v>
      </c>
      <c r="Q626" t="n">
        <v>2</v>
      </c>
      <c r="R626" s="2" t="inlineStr">
        <is>
          <t>Gulsparv
Talltita</t>
        </is>
      </c>
      <c r="S626">
        <f>HYPERLINK("https://klasma.github.io/Logging_2084/artfynd/A 59921-2023 artfynd.xlsx", "A 59921-2023")</f>
        <v/>
      </c>
      <c r="T626">
        <f>HYPERLINK("https://klasma.github.io/Logging_2084/kartor/A 59921-2023 karta.png", "A 59921-2023")</f>
        <v/>
      </c>
      <c r="V626">
        <f>HYPERLINK("https://klasma.github.io/Logging_2084/klagomål/A 59921-2023 FSC-klagomål.docx", "A 59921-2023")</f>
        <v/>
      </c>
      <c r="W626">
        <f>HYPERLINK("https://klasma.github.io/Logging_2084/klagomålsmail/A 59921-2023 FSC-klagomål mail.docx", "A 59921-2023")</f>
        <v/>
      </c>
      <c r="X626">
        <f>HYPERLINK("https://klasma.github.io/Logging_2084/tillsyn/A 59921-2023 tillsynsbegäran.docx", "A 59921-2023")</f>
        <v/>
      </c>
      <c r="Y626">
        <f>HYPERLINK("https://klasma.github.io/Logging_2084/tillsynsmail/A 59921-2023 tillsynsbegäran mail.docx", "A 59921-2023")</f>
        <v/>
      </c>
      <c r="Z626">
        <f>HYPERLINK("https://klasma.github.io/Logging_2084/fåglar/A 59921-2023 prioriterade fågelarter.docx", "A 59921-2023")</f>
        <v/>
      </c>
    </row>
    <row r="627" ht="15" customHeight="1">
      <c r="A627" t="inlineStr">
        <is>
          <t>A 61289-2022</t>
        </is>
      </c>
      <c r="B627" s="1" t="n">
        <v>44909</v>
      </c>
      <c r="C627" s="1" t="n">
        <v>46114</v>
      </c>
      <c r="D627" t="inlineStr">
        <is>
          <t>DALARNAS LÄN</t>
        </is>
      </c>
      <c r="E627" t="inlineStr">
        <is>
          <t>SMEDJEBACKEN</t>
        </is>
      </c>
      <c r="F627" t="inlineStr">
        <is>
          <t>Bergvik skog väst AB</t>
        </is>
      </c>
      <c r="G627" t="n">
        <v>9.6</v>
      </c>
      <c r="H627" t="n">
        <v>1</v>
      </c>
      <c r="I627" t="n">
        <v>0</v>
      </c>
      <c r="J627" t="n">
        <v>2</v>
      </c>
      <c r="K627" t="n">
        <v>0</v>
      </c>
      <c r="L627" t="n">
        <v>0</v>
      </c>
      <c r="M627" t="n">
        <v>0</v>
      </c>
      <c r="N627" t="n">
        <v>0</v>
      </c>
      <c r="O627" t="n">
        <v>2</v>
      </c>
      <c r="P627" t="n">
        <v>0</v>
      </c>
      <c r="Q627" t="n">
        <v>2</v>
      </c>
      <c r="R627" s="2" t="inlineStr">
        <is>
          <t>Kungsörn
Skogshare</t>
        </is>
      </c>
      <c r="S627">
        <f>HYPERLINK("https://klasma.github.io/Logging_2061/artfynd/A 61289-2022 artfynd.xlsx", "A 61289-2022")</f>
        <v/>
      </c>
      <c r="T627">
        <f>HYPERLINK("https://klasma.github.io/Logging_2061/kartor/A 61289-2022 karta.png", "A 61289-2022")</f>
        <v/>
      </c>
      <c r="V627">
        <f>HYPERLINK("https://klasma.github.io/Logging_2061/klagomål/A 61289-2022 FSC-klagomål.docx", "A 61289-2022")</f>
        <v/>
      </c>
      <c r="W627">
        <f>HYPERLINK("https://klasma.github.io/Logging_2061/klagomålsmail/A 61289-2022 FSC-klagomål mail.docx", "A 61289-2022")</f>
        <v/>
      </c>
      <c r="X627">
        <f>HYPERLINK("https://klasma.github.io/Logging_2061/tillsyn/A 61289-2022 tillsynsbegäran.docx", "A 61289-2022")</f>
        <v/>
      </c>
      <c r="Y627">
        <f>HYPERLINK("https://klasma.github.io/Logging_2061/tillsynsmail/A 61289-2022 tillsynsbegäran mail.docx", "A 61289-2022")</f>
        <v/>
      </c>
      <c r="Z627">
        <f>HYPERLINK("https://klasma.github.io/Logging_2061/fåglar/A 61289-2022 prioriterade fågelarter.docx", "A 61289-2022")</f>
        <v/>
      </c>
    </row>
    <row r="628" ht="15" customHeight="1">
      <c r="A628" t="inlineStr">
        <is>
          <t>A 29128-2025</t>
        </is>
      </c>
      <c r="B628" s="1" t="n">
        <v>45821.60116898148</v>
      </c>
      <c r="C628" s="1" t="n">
        <v>46114</v>
      </c>
      <c r="D628" t="inlineStr">
        <is>
          <t>DALARNAS LÄN</t>
        </is>
      </c>
      <c r="E628" t="inlineStr">
        <is>
          <t>HEDEMORA</t>
        </is>
      </c>
      <c r="F628" t="inlineStr">
        <is>
          <t>Sveaskog</t>
        </is>
      </c>
      <c r="G628" t="n">
        <v>15.5</v>
      </c>
      <c r="H628" t="n">
        <v>2</v>
      </c>
      <c r="I628" t="n">
        <v>0</v>
      </c>
      <c r="J628" t="n">
        <v>0</v>
      </c>
      <c r="K628" t="n">
        <v>0</v>
      </c>
      <c r="L628" t="n">
        <v>0</v>
      </c>
      <c r="M628" t="n">
        <v>0</v>
      </c>
      <c r="N628" t="n">
        <v>0</v>
      </c>
      <c r="O628" t="n">
        <v>0</v>
      </c>
      <c r="P628" t="n">
        <v>0</v>
      </c>
      <c r="Q628" t="n">
        <v>2</v>
      </c>
      <c r="R628" s="2" t="inlineStr">
        <is>
          <t>Gråspett
Tjäder</t>
        </is>
      </c>
      <c r="S628">
        <f>HYPERLINK("https://klasma.github.io/Logging_2083/artfynd/A 29128-2025 artfynd.xlsx", "A 29128-2025")</f>
        <v/>
      </c>
      <c r="T628">
        <f>HYPERLINK("https://klasma.github.io/Logging_2083/kartor/A 29128-2025 karta.png", "A 29128-2025")</f>
        <v/>
      </c>
      <c r="V628">
        <f>HYPERLINK("https://klasma.github.io/Logging_2083/klagomål/A 29128-2025 FSC-klagomål.docx", "A 29128-2025")</f>
        <v/>
      </c>
      <c r="W628">
        <f>HYPERLINK("https://klasma.github.io/Logging_2083/klagomålsmail/A 29128-2025 FSC-klagomål mail.docx", "A 29128-2025")</f>
        <v/>
      </c>
      <c r="X628">
        <f>HYPERLINK("https://klasma.github.io/Logging_2083/tillsyn/A 29128-2025 tillsynsbegäran.docx", "A 29128-2025")</f>
        <v/>
      </c>
      <c r="Y628">
        <f>HYPERLINK("https://klasma.github.io/Logging_2083/tillsynsmail/A 29128-2025 tillsynsbegäran mail.docx", "A 29128-2025")</f>
        <v/>
      </c>
      <c r="Z628">
        <f>HYPERLINK("https://klasma.github.io/Logging_2083/fåglar/A 29128-2025 prioriterade fågelarter.docx", "A 29128-2025")</f>
        <v/>
      </c>
    </row>
    <row r="629" ht="15" customHeight="1">
      <c r="A629" t="inlineStr">
        <is>
          <t>A 10374-2025</t>
        </is>
      </c>
      <c r="B629" s="1" t="n">
        <v>45720.55679398148</v>
      </c>
      <c r="C629" s="1" t="n">
        <v>46114</v>
      </c>
      <c r="D629" t="inlineStr">
        <is>
          <t>DALARNAS LÄN</t>
        </is>
      </c>
      <c r="E629" t="inlineStr">
        <is>
          <t>RÄTTVIK</t>
        </is>
      </c>
      <c r="G629" t="n">
        <v>10.1</v>
      </c>
      <c r="H629" t="n">
        <v>1</v>
      </c>
      <c r="I629" t="n">
        <v>1</v>
      </c>
      <c r="J629" t="n">
        <v>1</v>
      </c>
      <c r="K629" t="n">
        <v>0</v>
      </c>
      <c r="L629" t="n">
        <v>0</v>
      </c>
      <c r="M629" t="n">
        <v>0</v>
      </c>
      <c r="N629" t="n">
        <v>0</v>
      </c>
      <c r="O629" t="n">
        <v>1</v>
      </c>
      <c r="P629" t="n">
        <v>0</v>
      </c>
      <c r="Q629" t="n">
        <v>2</v>
      </c>
      <c r="R629" s="2" t="inlineStr">
        <is>
          <t>Garnlav
Plattlummer</t>
        </is>
      </c>
      <c r="S629">
        <f>HYPERLINK("https://klasma.github.io/Logging_2031/artfynd/A 10374-2025 artfynd.xlsx", "A 10374-2025")</f>
        <v/>
      </c>
      <c r="T629">
        <f>HYPERLINK("https://klasma.github.io/Logging_2031/kartor/A 10374-2025 karta.png", "A 10374-2025")</f>
        <v/>
      </c>
      <c r="V629">
        <f>HYPERLINK("https://klasma.github.io/Logging_2031/klagomål/A 10374-2025 FSC-klagomål.docx", "A 10374-2025")</f>
        <v/>
      </c>
      <c r="W629">
        <f>HYPERLINK("https://klasma.github.io/Logging_2031/klagomålsmail/A 10374-2025 FSC-klagomål mail.docx", "A 10374-2025")</f>
        <v/>
      </c>
      <c r="X629">
        <f>HYPERLINK("https://klasma.github.io/Logging_2031/tillsyn/A 10374-2025 tillsynsbegäran.docx", "A 10374-2025")</f>
        <v/>
      </c>
      <c r="Y629">
        <f>HYPERLINK("https://klasma.github.io/Logging_2031/tillsynsmail/A 10374-2025 tillsynsbegäran mail.docx", "A 10374-2025")</f>
        <v/>
      </c>
    </row>
    <row r="630" ht="15" customHeight="1">
      <c r="A630" t="inlineStr">
        <is>
          <t>A 28119-2024</t>
        </is>
      </c>
      <c r="B630" s="1" t="n">
        <v>45476</v>
      </c>
      <c r="C630" s="1" t="n">
        <v>46114</v>
      </c>
      <c r="D630" t="inlineStr">
        <is>
          <t>DALARNAS LÄN</t>
        </is>
      </c>
      <c r="E630" t="inlineStr">
        <is>
          <t>RÄTTVIK</t>
        </is>
      </c>
      <c r="G630" t="n">
        <v>4.5</v>
      </c>
      <c r="H630" t="n">
        <v>1</v>
      </c>
      <c r="I630" t="n">
        <v>2</v>
      </c>
      <c r="J630" t="n">
        <v>0</v>
      </c>
      <c r="K630" t="n">
        <v>0</v>
      </c>
      <c r="L630" t="n">
        <v>0</v>
      </c>
      <c r="M630" t="n">
        <v>0</v>
      </c>
      <c r="N630" t="n">
        <v>0</v>
      </c>
      <c r="O630" t="n">
        <v>0</v>
      </c>
      <c r="P630" t="n">
        <v>0</v>
      </c>
      <c r="Q630" t="n">
        <v>2</v>
      </c>
      <c r="R630" s="2" t="inlineStr">
        <is>
          <t>Bronshjon
Plattlummer</t>
        </is>
      </c>
      <c r="S630">
        <f>HYPERLINK("https://klasma.github.io/Logging_2031/artfynd/A 28119-2024 artfynd.xlsx", "A 28119-2024")</f>
        <v/>
      </c>
      <c r="T630">
        <f>HYPERLINK("https://klasma.github.io/Logging_2031/kartor/A 28119-2024 karta.png", "A 28119-2024")</f>
        <v/>
      </c>
      <c r="V630">
        <f>HYPERLINK("https://klasma.github.io/Logging_2031/klagomål/A 28119-2024 FSC-klagomål.docx", "A 28119-2024")</f>
        <v/>
      </c>
      <c r="W630">
        <f>HYPERLINK("https://klasma.github.io/Logging_2031/klagomålsmail/A 28119-2024 FSC-klagomål mail.docx", "A 28119-2024")</f>
        <v/>
      </c>
      <c r="X630">
        <f>HYPERLINK("https://klasma.github.io/Logging_2031/tillsyn/A 28119-2024 tillsynsbegäran.docx", "A 28119-2024")</f>
        <v/>
      </c>
      <c r="Y630">
        <f>HYPERLINK("https://klasma.github.io/Logging_2031/tillsynsmail/A 28119-2024 tillsynsbegäran mail.docx", "A 28119-2024")</f>
        <v/>
      </c>
    </row>
    <row r="631" ht="15" customHeight="1">
      <c r="A631" t="inlineStr">
        <is>
          <t>A 11777-2025</t>
        </is>
      </c>
      <c r="B631" s="1" t="n">
        <v>45727.70813657407</v>
      </c>
      <c r="C631" s="1" t="n">
        <v>46114</v>
      </c>
      <c r="D631" t="inlineStr">
        <is>
          <t>DALARNAS LÄN</t>
        </is>
      </c>
      <c r="E631" t="inlineStr">
        <is>
          <t>FALUN</t>
        </is>
      </c>
      <c r="G631" t="n">
        <v>1.6</v>
      </c>
      <c r="H631" t="n">
        <v>2</v>
      </c>
      <c r="I631" t="n">
        <v>0</v>
      </c>
      <c r="J631" t="n">
        <v>0</v>
      </c>
      <c r="K631" t="n">
        <v>1</v>
      </c>
      <c r="L631" t="n">
        <v>0</v>
      </c>
      <c r="M631" t="n">
        <v>0</v>
      </c>
      <c r="N631" t="n">
        <v>0</v>
      </c>
      <c r="O631" t="n">
        <v>1</v>
      </c>
      <c r="P631" t="n">
        <v>1</v>
      </c>
      <c r="Q631" t="n">
        <v>2</v>
      </c>
      <c r="R631" s="2" t="inlineStr">
        <is>
          <t>Knärot
Revlummer</t>
        </is>
      </c>
      <c r="S631">
        <f>HYPERLINK("https://klasma.github.io/Logging_2080/artfynd/A 11777-2025 artfynd.xlsx", "A 11777-2025")</f>
        <v/>
      </c>
      <c r="T631">
        <f>HYPERLINK("https://klasma.github.io/Logging_2080/kartor/A 11777-2025 karta.png", "A 11777-2025")</f>
        <v/>
      </c>
      <c r="U631">
        <f>HYPERLINK("https://klasma.github.io/Logging_2080/knärot/A 11777-2025 karta knärot.png", "A 11777-2025")</f>
        <v/>
      </c>
      <c r="V631">
        <f>HYPERLINK("https://klasma.github.io/Logging_2080/klagomål/A 11777-2025 FSC-klagomål.docx", "A 11777-2025")</f>
        <v/>
      </c>
      <c r="W631">
        <f>HYPERLINK("https://klasma.github.io/Logging_2080/klagomålsmail/A 11777-2025 FSC-klagomål mail.docx", "A 11777-2025")</f>
        <v/>
      </c>
      <c r="X631">
        <f>HYPERLINK("https://klasma.github.io/Logging_2080/tillsyn/A 11777-2025 tillsynsbegäran.docx", "A 11777-2025")</f>
        <v/>
      </c>
      <c r="Y631">
        <f>HYPERLINK("https://klasma.github.io/Logging_2080/tillsynsmail/A 11777-2025 tillsynsbegäran mail.docx", "A 11777-2025")</f>
        <v/>
      </c>
    </row>
    <row r="632" ht="15" customHeight="1">
      <c r="A632" t="inlineStr">
        <is>
          <t>A 59429-2024</t>
        </is>
      </c>
      <c r="B632" s="1" t="n">
        <v>45638.42091435185</v>
      </c>
      <c r="C632" s="1" t="n">
        <v>46114</v>
      </c>
      <c r="D632" t="inlineStr">
        <is>
          <t>DALARNAS LÄN</t>
        </is>
      </c>
      <c r="E632" t="inlineStr">
        <is>
          <t>ÄLVDALEN</t>
        </is>
      </c>
      <c r="F632" t="inlineStr">
        <is>
          <t>Allmännings- och besparingsskogar</t>
        </is>
      </c>
      <c r="G632" t="n">
        <v>4.9</v>
      </c>
      <c r="H632" t="n">
        <v>0</v>
      </c>
      <c r="I632" t="n">
        <v>0</v>
      </c>
      <c r="J632" t="n">
        <v>2</v>
      </c>
      <c r="K632" t="n">
        <v>0</v>
      </c>
      <c r="L632" t="n">
        <v>0</v>
      </c>
      <c r="M632" t="n">
        <v>0</v>
      </c>
      <c r="N632" t="n">
        <v>0</v>
      </c>
      <c r="O632" t="n">
        <v>2</v>
      </c>
      <c r="P632" t="n">
        <v>0</v>
      </c>
      <c r="Q632" t="n">
        <v>2</v>
      </c>
      <c r="R632" s="2" t="inlineStr">
        <is>
          <t>Garnlav
Skrovellav</t>
        </is>
      </c>
      <c r="S632">
        <f>HYPERLINK("https://klasma.github.io/Logging_2039/artfynd/A 59429-2024 artfynd.xlsx", "A 59429-2024")</f>
        <v/>
      </c>
      <c r="T632">
        <f>HYPERLINK("https://klasma.github.io/Logging_2039/kartor/A 59429-2024 karta.png", "A 59429-2024")</f>
        <v/>
      </c>
      <c r="V632">
        <f>HYPERLINK("https://klasma.github.io/Logging_2039/klagomål/A 59429-2024 FSC-klagomål.docx", "A 59429-2024")</f>
        <v/>
      </c>
      <c r="W632">
        <f>HYPERLINK("https://klasma.github.io/Logging_2039/klagomålsmail/A 59429-2024 FSC-klagomål mail.docx", "A 59429-2024")</f>
        <v/>
      </c>
      <c r="X632">
        <f>HYPERLINK("https://klasma.github.io/Logging_2039/tillsyn/A 59429-2024 tillsynsbegäran.docx", "A 59429-2024")</f>
        <v/>
      </c>
      <c r="Y632">
        <f>HYPERLINK("https://klasma.github.io/Logging_2039/tillsynsmail/A 59429-2024 tillsynsbegäran mail.docx", "A 59429-2024")</f>
        <v/>
      </c>
    </row>
    <row r="633" ht="15" customHeight="1">
      <c r="A633" t="inlineStr">
        <is>
          <t>A 42848-2023</t>
        </is>
      </c>
      <c r="B633" s="1" t="n">
        <v>45182</v>
      </c>
      <c r="C633" s="1" t="n">
        <v>46114</v>
      </c>
      <c r="D633" t="inlineStr">
        <is>
          <t>DALARNAS LÄN</t>
        </is>
      </c>
      <c r="E633" t="inlineStr">
        <is>
          <t>ÄLVDALEN</t>
        </is>
      </c>
      <c r="F633" t="inlineStr">
        <is>
          <t>Allmännings- och besparingsskogar</t>
        </is>
      </c>
      <c r="G633" t="n">
        <v>1.9</v>
      </c>
      <c r="H633" t="n">
        <v>0</v>
      </c>
      <c r="I633" t="n">
        <v>1</v>
      </c>
      <c r="J633" t="n">
        <v>1</v>
      </c>
      <c r="K633" t="n">
        <v>0</v>
      </c>
      <c r="L633" t="n">
        <v>0</v>
      </c>
      <c r="M633" t="n">
        <v>0</v>
      </c>
      <c r="N633" t="n">
        <v>0</v>
      </c>
      <c r="O633" t="n">
        <v>1</v>
      </c>
      <c r="P633" t="n">
        <v>0</v>
      </c>
      <c r="Q633" t="n">
        <v>2</v>
      </c>
      <c r="R633" s="2" t="inlineStr">
        <is>
          <t>Blå taggsvamp
Dropptaggsvamp</t>
        </is>
      </c>
      <c r="S633">
        <f>HYPERLINK("https://klasma.github.io/Logging_2039/artfynd/A 42848-2023 artfynd.xlsx", "A 42848-2023")</f>
        <v/>
      </c>
      <c r="T633">
        <f>HYPERLINK("https://klasma.github.io/Logging_2039/kartor/A 42848-2023 karta.png", "A 42848-2023")</f>
        <v/>
      </c>
      <c r="V633">
        <f>HYPERLINK("https://klasma.github.io/Logging_2039/klagomål/A 42848-2023 FSC-klagomål.docx", "A 42848-2023")</f>
        <v/>
      </c>
      <c r="W633">
        <f>HYPERLINK("https://klasma.github.io/Logging_2039/klagomålsmail/A 42848-2023 FSC-klagomål mail.docx", "A 42848-2023")</f>
        <v/>
      </c>
      <c r="X633">
        <f>HYPERLINK("https://klasma.github.io/Logging_2039/tillsyn/A 42848-2023 tillsynsbegäran.docx", "A 42848-2023")</f>
        <v/>
      </c>
      <c r="Y633">
        <f>HYPERLINK("https://klasma.github.io/Logging_2039/tillsynsmail/A 42848-2023 tillsynsbegäran mail.docx", "A 42848-2023")</f>
        <v/>
      </c>
    </row>
    <row r="634" ht="15" customHeight="1">
      <c r="A634" t="inlineStr">
        <is>
          <t>A 37552-2023</t>
        </is>
      </c>
      <c r="B634" s="1" t="n">
        <v>45159.32799768518</v>
      </c>
      <c r="C634" s="1" t="n">
        <v>46114</v>
      </c>
      <c r="D634" t="inlineStr">
        <is>
          <t>DALARNAS LÄN</t>
        </is>
      </c>
      <c r="E634" t="inlineStr">
        <is>
          <t>MORA</t>
        </is>
      </c>
      <c r="G634" t="n">
        <v>4</v>
      </c>
      <c r="H634" t="n">
        <v>0</v>
      </c>
      <c r="I634" t="n">
        <v>0</v>
      </c>
      <c r="J634" t="n">
        <v>2</v>
      </c>
      <c r="K634" t="n">
        <v>0</v>
      </c>
      <c r="L634" t="n">
        <v>0</v>
      </c>
      <c r="M634" t="n">
        <v>0</v>
      </c>
      <c r="N634" t="n">
        <v>0</v>
      </c>
      <c r="O634" t="n">
        <v>2</v>
      </c>
      <c r="P634" t="n">
        <v>0</v>
      </c>
      <c r="Q634" t="n">
        <v>2</v>
      </c>
      <c r="R634" s="2" t="inlineStr">
        <is>
          <t>Garnlav
Tallticka</t>
        </is>
      </c>
      <c r="S634">
        <f>HYPERLINK("https://klasma.github.io/Logging_2062/artfynd/A 37552-2023 artfynd.xlsx", "A 37552-2023")</f>
        <v/>
      </c>
      <c r="T634">
        <f>HYPERLINK("https://klasma.github.io/Logging_2062/kartor/A 37552-2023 karta.png", "A 37552-2023")</f>
        <v/>
      </c>
      <c r="V634">
        <f>HYPERLINK("https://klasma.github.io/Logging_2062/klagomål/A 37552-2023 FSC-klagomål.docx", "A 37552-2023")</f>
        <v/>
      </c>
      <c r="W634">
        <f>HYPERLINK("https://klasma.github.io/Logging_2062/klagomålsmail/A 37552-2023 FSC-klagomål mail.docx", "A 37552-2023")</f>
        <v/>
      </c>
      <c r="X634">
        <f>HYPERLINK("https://klasma.github.io/Logging_2062/tillsyn/A 37552-2023 tillsynsbegäran.docx", "A 37552-2023")</f>
        <v/>
      </c>
      <c r="Y634">
        <f>HYPERLINK("https://klasma.github.io/Logging_2062/tillsynsmail/A 37552-2023 tillsynsbegäran mail.docx", "A 37552-2023")</f>
        <v/>
      </c>
    </row>
    <row r="635" ht="15" customHeight="1">
      <c r="A635" t="inlineStr">
        <is>
          <t>A 59035-2023</t>
        </is>
      </c>
      <c r="B635" s="1" t="n">
        <v>45252</v>
      </c>
      <c r="C635" s="1" t="n">
        <v>46114</v>
      </c>
      <c r="D635" t="inlineStr">
        <is>
          <t>DALARNAS LÄN</t>
        </is>
      </c>
      <c r="E635" t="inlineStr">
        <is>
          <t>HEDEMORA</t>
        </is>
      </c>
      <c r="F635" t="inlineStr">
        <is>
          <t>Sveaskog</t>
        </is>
      </c>
      <c r="G635" t="n">
        <v>3.7</v>
      </c>
      <c r="H635" t="n">
        <v>2</v>
      </c>
      <c r="I635" t="n">
        <v>0</v>
      </c>
      <c r="J635" t="n">
        <v>0</v>
      </c>
      <c r="K635" t="n">
        <v>0</v>
      </c>
      <c r="L635" t="n">
        <v>0</v>
      </c>
      <c r="M635" t="n">
        <v>0</v>
      </c>
      <c r="N635" t="n">
        <v>0</v>
      </c>
      <c r="O635" t="n">
        <v>0</v>
      </c>
      <c r="P635" t="n">
        <v>0</v>
      </c>
      <c r="Q635" t="n">
        <v>2</v>
      </c>
      <c r="R635" s="2" t="inlineStr">
        <is>
          <t>Fläcknycklar
Blåsippa</t>
        </is>
      </c>
      <c r="S635">
        <f>HYPERLINK("https://klasma.github.io/Logging_2083/artfynd/A 59035-2023 artfynd.xlsx", "A 59035-2023")</f>
        <v/>
      </c>
      <c r="T635">
        <f>HYPERLINK("https://klasma.github.io/Logging_2083/kartor/A 59035-2023 karta.png", "A 59035-2023")</f>
        <v/>
      </c>
      <c r="U635">
        <f>HYPERLINK("https://klasma.github.io/Logging_2083/knärot/A 59035-2023 karta knärot.png", "A 59035-2023")</f>
        <v/>
      </c>
      <c r="V635">
        <f>HYPERLINK("https://klasma.github.io/Logging_2083/klagomål/A 59035-2023 FSC-klagomål.docx", "A 59035-2023")</f>
        <v/>
      </c>
      <c r="W635">
        <f>HYPERLINK("https://klasma.github.io/Logging_2083/klagomålsmail/A 59035-2023 FSC-klagomål mail.docx", "A 59035-2023")</f>
        <v/>
      </c>
      <c r="X635">
        <f>HYPERLINK("https://klasma.github.io/Logging_2083/tillsyn/A 59035-2023 tillsynsbegäran.docx", "A 59035-2023")</f>
        <v/>
      </c>
      <c r="Y635">
        <f>HYPERLINK("https://klasma.github.io/Logging_2083/tillsynsmail/A 59035-2023 tillsynsbegäran mail.docx", "A 59035-2023")</f>
        <v/>
      </c>
    </row>
    <row r="636" ht="15" customHeight="1">
      <c r="A636" t="inlineStr">
        <is>
          <t>A 43679-2025</t>
        </is>
      </c>
      <c r="B636" s="1" t="n">
        <v>45912.36710648148</v>
      </c>
      <c r="C636" s="1" t="n">
        <v>46114</v>
      </c>
      <c r="D636" t="inlineStr">
        <is>
          <t>DALARNAS LÄN</t>
        </is>
      </c>
      <c r="E636" t="inlineStr">
        <is>
          <t>HEDEMORA</t>
        </is>
      </c>
      <c r="F636" t="inlineStr">
        <is>
          <t>Sveaskog</t>
        </is>
      </c>
      <c r="G636" t="n">
        <v>6.5</v>
      </c>
      <c r="H636" t="n">
        <v>1</v>
      </c>
      <c r="I636" t="n">
        <v>0</v>
      </c>
      <c r="J636" t="n">
        <v>1</v>
      </c>
      <c r="K636" t="n">
        <v>0</v>
      </c>
      <c r="L636" t="n">
        <v>0</v>
      </c>
      <c r="M636" t="n">
        <v>0</v>
      </c>
      <c r="N636" t="n">
        <v>0</v>
      </c>
      <c r="O636" t="n">
        <v>1</v>
      </c>
      <c r="P636" t="n">
        <v>0</v>
      </c>
      <c r="Q636" t="n">
        <v>2</v>
      </c>
      <c r="R636" s="2" t="inlineStr">
        <is>
          <t>Motaggsvamp
Revlummer</t>
        </is>
      </c>
      <c r="S636">
        <f>HYPERLINK("https://klasma.github.io/Logging_2083/artfynd/A 43679-2025 artfynd.xlsx", "A 43679-2025")</f>
        <v/>
      </c>
      <c r="T636">
        <f>HYPERLINK("https://klasma.github.io/Logging_2083/kartor/A 43679-2025 karta.png", "A 43679-2025")</f>
        <v/>
      </c>
      <c r="U636">
        <f>HYPERLINK("https://klasma.github.io/Logging_2083/knärot/A 43679-2025 karta knärot.png", "A 43679-2025")</f>
        <v/>
      </c>
      <c r="V636">
        <f>HYPERLINK("https://klasma.github.io/Logging_2083/klagomål/A 43679-2025 FSC-klagomål.docx", "A 43679-2025")</f>
        <v/>
      </c>
      <c r="W636">
        <f>HYPERLINK("https://klasma.github.io/Logging_2083/klagomålsmail/A 43679-2025 FSC-klagomål mail.docx", "A 43679-2025")</f>
        <v/>
      </c>
      <c r="X636">
        <f>HYPERLINK("https://klasma.github.io/Logging_2083/tillsyn/A 43679-2025 tillsynsbegäran.docx", "A 43679-2025")</f>
        <v/>
      </c>
      <c r="Y636">
        <f>HYPERLINK("https://klasma.github.io/Logging_2083/tillsynsmail/A 43679-2025 tillsynsbegäran mail.docx", "A 43679-2025")</f>
        <v/>
      </c>
    </row>
    <row r="637" ht="15" customHeight="1">
      <c r="A637" t="inlineStr">
        <is>
          <t>A 23619-2024</t>
        </is>
      </c>
      <c r="B637" s="1" t="n">
        <v>45454</v>
      </c>
      <c r="C637" s="1" t="n">
        <v>46114</v>
      </c>
      <c r="D637" t="inlineStr">
        <is>
          <t>DALARNAS LÄN</t>
        </is>
      </c>
      <c r="E637" t="inlineStr">
        <is>
          <t>SMEDJEBACKEN</t>
        </is>
      </c>
      <c r="F637" t="inlineStr">
        <is>
          <t>Bergvik skog väst AB</t>
        </is>
      </c>
      <c r="G637" t="n">
        <v>4.2</v>
      </c>
      <c r="H637" t="n">
        <v>1</v>
      </c>
      <c r="I637" t="n">
        <v>1</v>
      </c>
      <c r="J637" t="n">
        <v>0</v>
      </c>
      <c r="K637" t="n">
        <v>1</v>
      </c>
      <c r="L637" t="n">
        <v>0</v>
      </c>
      <c r="M637" t="n">
        <v>0</v>
      </c>
      <c r="N637" t="n">
        <v>0</v>
      </c>
      <c r="O637" t="n">
        <v>1</v>
      </c>
      <c r="P637" t="n">
        <v>1</v>
      </c>
      <c r="Q637" t="n">
        <v>2</v>
      </c>
      <c r="R637" s="2" t="inlineStr">
        <is>
          <t>Knärot
Dropptaggsvamp</t>
        </is>
      </c>
      <c r="S637">
        <f>HYPERLINK("https://klasma.github.io/Logging_2061/artfynd/A 23619-2024 artfynd.xlsx", "A 23619-2024")</f>
        <v/>
      </c>
      <c r="T637">
        <f>HYPERLINK("https://klasma.github.io/Logging_2061/kartor/A 23619-2024 karta.png", "A 23619-2024")</f>
        <v/>
      </c>
      <c r="U637">
        <f>HYPERLINK("https://klasma.github.io/Logging_2061/knärot/A 23619-2024 karta knärot.png", "A 23619-2024")</f>
        <v/>
      </c>
      <c r="V637">
        <f>HYPERLINK("https://klasma.github.io/Logging_2061/klagomål/A 23619-2024 FSC-klagomål.docx", "A 23619-2024")</f>
        <v/>
      </c>
      <c r="W637">
        <f>HYPERLINK("https://klasma.github.io/Logging_2061/klagomålsmail/A 23619-2024 FSC-klagomål mail.docx", "A 23619-2024")</f>
        <v/>
      </c>
      <c r="X637">
        <f>HYPERLINK("https://klasma.github.io/Logging_2061/tillsyn/A 23619-2024 tillsynsbegäran.docx", "A 23619-2024")</f>
        <v/>
      </c>
      <c r="Y637">
        <f>HYPERLINK("https://klasma.github.io/Logging_2061/tillsynsmail/A 23619-2024 tillsynsbegäran mail.docx", "A 23619-2024")</f>
        <v/>
      </c>
    </row>
    <row r="638" ht="15" customHeight="1">
      <c r="A638" t="inlineStr">
        <is>
          <t>A 37354-2025</t>
        </is>
      </c>
      <c r="B638" s="1" t="n">
        <v>45876</v>
      </c>
      <c r="C638" s="1" t="n">
        <v>46114</v>
      </c>
      <c r="D638" t="inlineStr">
        <is>
          <t>DALARNAS LÄN</t>
        </is>
      </c>
      <c r="E638" t="inlineStr">
        <is>
          <t>BORLÄNGE</t>
        </is>
      </c>
      <c r="G638" t="n">
        <v>9.1</v>
      </c>
      <c r="H638" t="n">
        <v>0</v>
      </c>
      <c r="I638" t="n">
        <v>1</v>
      </c>
      <c r="J638" t="n">
        <v>1</v>
      </c>
      <c r="K638" t="n">
        <v>0</v>
      </c>
      <c r="L638" t="n">
        <v>0</v>
      </c>
      <c r="M638" t="n">
        <v>0</v>
      </c>
      <c r="N638" t="n">
        <v>0</v>
      </c>
      <c r="O638" t="n">
        <v>1</v>
      </c>
      <c r="P638" t="n">
        <v>0</v>
      </c>
      <c r="Q638" t="n">
        <v>2</v>
      </c>
      <c r="R638" s="2" t="inlineStr">
        <is>
          <t>Garnlav
Bronshjon</t>
        </is>
      </c>
      <c r="S638">
        <f>HYPERLINK("https://klasma.github.io/Logging_2081/artfynd/A 37354-2025 artfynd.xlsx", "A 37354-2025")</f>
        <v/>
      </c>
      <c r="T638">
        <f>HYPERLINK("https://klasma.github.io/Logging_2081/kartor/A 37354-2025 karta.png", "A 37354-2025")</f>
        <v/>
      </c>
      <c r="V638">
        <f>HYPERLINK("https://klasma.github.io/Logging_2081/klagomål/A 37354-2025 FSC-klagomål.docx", "A 37354-2025")</f>
        <v/>
      </c>
      <c r="W638">
        <f>HYPERLINK("https://klasma.github.io/Logging_2081/klagomålsmail/A 37354-2025 FSC-klagomål mail.docx", "A 37354-2025")</f>
        <v/>
      </c>
      <c r="X638">
        <f>HYPERLINK("https://klasma.github.io/Logging_2081/tillsyn/A 37354-2025 tillsynsbegäran.docx", "A 37354-2025")</f>
        <v/>
      </c>
      <c r="Y638">
        <f>HYPERLINK("https://klasma.github.io/Logging_2081/tillsynsmail/A 37354-2025 tillsynsbegäran mail.docx", "A 37354-2025")</f>
        <v/>
      </c>
    </row>
    <row r="639" ht="15" customHeight="1">
      <c r="A639" t="inlineStr">
        <is>
          <t>A 56625-2024</t>
        </is>
      </c>
      <c r="B639" s="1" t="n">
        <v>45625</v>
      </c>
      <c r="C639" s="1" t="n">
        <v>46114</v>
      </c>
      <c r="D639" t="inlineStr">
        <is>
          <t>DALARNAS LÄN</t>
        </is>
      </c>
      <c r="E639" t="inlineStr">
        <is>
          <t>HEDEMORA</t>
        </is>
      </c>
      <c r="F639" t="inlineStr">
        <is>
          <t>Sveaskog</t>
        </is>
      </c>
      <c r="G639" t="n">
        <v>16.8</v>
      </c>
      <c r="H639" t="n">
        <v>1</v>
      </c>
      <c r="I639" t="n">
        <v>1</v>
      </c>
      <c r="J639" t="n">
        <v>0</v>
      </c>
      <c r="K639" t="n">
        <v>1</v>
      </c>
      <c r="L639" t="n">
        <v>0</v>
      </c>
      <c r="M639" t="n">
        <v>0</v>
      </c>
      <c r="N639" t="n">
        <v>0</v>
      </c>
      <c r="O639" t="n">
        <v>1</v>
      </c>
      <c r="P639" t="n">
        <v>1</v>
      </c>
      <c r="Q639" t="n">
        <v>2</v>
      </c>
      <c r="R639" s="2" t="inlineStr">
        <is>
          <t>Knärot
Dropptaggsvamp</t>
        </is>
      </c>
      <c r="S639">
        <f>HYPERLINK("https://klasma.github.io/Logging_2083/artfynd/A 56625-2024 artfynd.xlsx", "A 56625-2024")</f>
        <v/>
      </c>
      <c r="T639">
        <f>HYPERLINK("https://klasma.github.io/Logging_2083/kartor/A 56625-2024 karta.png", "A 56625-2024")</f>
        <v/>
      </c>
      <c r="U639">
        <f>HYPERLINK("https://klasma.github.io/Logging_2083/knärot/A 56625-2024 karta knärot.png", "A 56625-2024")</f>
        <v/>
      </c>
      <c r="V639">
        <f>HYPERLINK("https://klasma.github.io/Logging_2083/klagomål/A 56625-2024 FSC-klagomål.docx", "A 56625-2024")</f>
        <v/>
      </c>
      <c r="W639">
        <f>HYPERLINK("https://klasma.github.io/Logging_2083/klagomålsmail/A 56625-2024 FSC-klagomål mail.docx", "A 56625-2024")</f>
        <v/>
      </c>
      <c r="X639">
        <f>HYPERLINK("https://klasma.github.io/Logging_2083/tillsyn/A 56625-2024 tillsynsbegäran.docx", "A 56625-2024")</f>
        <v/>
      </c>
      <c r="Y639">
        <f>HYPERLINK("https://klasma.github.io/Logging_2083/tillsynsmail/A 56625-2024 tillsynsbegäran mail.docx", "A 56625-2024")</f>
        <v/>
      </c>
    </row>
    <row r="640" ht="15" customHeight="1">
      <c r="A640" t="inlineStr">
        <is>
          <t>A 451-2025</t>
        </is>
      </c>
      <c r="B640" s="1" t="n">
        <v>45664.39991898148</v>
      </c>
      <c r="C640" s="1" t="n">
        <v>46114</v>
      </c>
      <c r="D640" t="inlineStr">
        <is>
          <t>DALARNAS LÄN</t>
        </is>
      </c>
      <c r="E640" t="inlineStr">
        <is>
          <t>HEDEMORA</t>
        </is>
      </c>
      <c r="G640" t="n">
        <v>4.5</v>
      </c>
      <c r="H640" t="n">
        <v>2</v>
      </c>
      <c r="I640" t="n">
        <v>0</v>
      </c>
      <c r="J640" t="n">
        <v>1</v>
      </c>
      <c r="K640" t="n">
        <v>1</v>
      </c>
      <c r="L640" t="n">
        <v>0</v>
      </c>
      <c r="M640" t="n">
        <v>0</v>
      </c>
      <c r="N640" t="n">
        <v>0</v>
      </c>
      <c r="O640" t="n">
        <v>2</v>
      </c>
      <c r="P640" t="n">
        <v>1</v>
      </c>
      <c r="Q640" t="n">
        <v>2</v>
      </c>
      <c r="R640" s="2" t="inlineStr">
        <is>
          <t>Knärot
Spillkråka</t>
        </is>
      </c>
      <c r="S640">
        <f>HYPERLINK("https://klasma.github.io/Logging_2083/artfynd/A 451-2025 artfynd.xlsx", "A 451-2025")</f>
        <v/>
      </c>
      <c r="T640">
        <f>HYPERLINK("https://klasma.github.io/Logging_2083/kartor/A 451-2025 karta.png", "A 451-2025")</f>
        <v/>
      </c>
      <c r="U640">
        <f>HYPERLINK("https://klasma.github.io/Logging_2083/knärot/A 451-2025 karta knärot.png", "A 451-2025")</f>
        <v/>
      </c>
      <c r="V640">
        <f>HYPERLINK("https://klasma.github.io/Logging_2083/klagomål/A 451-2025 FSC-klagomål.docx", "A 451-2025")</f>
        <v/>
      </c>
      <c r="W640">
        <f>HYPERLINK("https://klasma.github.io/Logging_2083/klagomålsmail/A 451-2025 FSC-klagomål mail.docx", "A 451-2025")</f>
        <v/>
      </c>
      <c r="X640">
        <f>HYPERLINK("https://klasma.github.io/Logging_2083/tillsyn/A 451-2025 tillsynsbegäran.docx", "A 451-2025")</f>
        <v/>
      </c>
      <c r="Y640">
        <f>HYPERLINK("https://klasma.github.io/Logging_2083/tillsynsmail/A 451-2025 tillsynsbegäran mail.docx", "A 451-2025")</f>
        <v/>
      </c>
      <c r="Z640">
        <f>HYPERLINK("https://klasma.github.io/Logging_2083/fåglar/A 451-2025 prioriterade fågelarter.docx", "A 451-2025")</f>
        <v/>
      </c>
    </row>
    <row r="641" ht="15" customHeight="1">
      <c r="A641" t="inlineStr">
        <is>
          <t>A 43681-2025</t>
        </is>
      </c>
      <c r="B641" s="1" t="n">
        <v>45912.37243055556</v>
      </c>
      <c r="C641" s="1" t="n">
        <v>46114</v>
      </c>
      <c r="D641" t="inlineStr">
        <is>
          <t>DALARNAS LÄN</t>
        </is>
      </c>
      <c r="E641" t="inlineStr">
        <is>
          <t>HEDEMORA</t>
        </is>
      </c>
      <c r="F641" t="inlineStr">
        <is>
          <t>Sveaskog</t>
        </is>
      </c>
      <c r="G641" t="n">
        <v>13.2</v>
      </c>
      <c r="H641" t="n">
        <v>2</v>
      </c>
      <c r="I641" t="n">
        <v>0</v>
      </c>
      <c r="J641" t="n">
        <v>0</v>
      </c>
      <c r="K641" t="n">
        <v>0</v>
      </c>
      <c r="L641" t="n">
        <v>0</v>
      </c>
      <c r="M641" t="n">
        <v>0</v>
      </c>
      <c r="N641" t="n">
        <v>0</v>
      </c>
      <c r="O641" t="n">
        <v>0</v>
      </c>
      <c r="P641" t="n">
        <v>0</v>
      </c>
      <c r="Q641" t="n">
        <v>2</v>
      </c>
      <c r="R641" s="2" t="inlineStr">
        <is>
          <t>Blåsippa
Revlummer</t>
        </is>
      </c>
      <c r="S641">
        <f>HYPERLINK("https://klasma.github.io/Logging_2083/artfynd/A 43681-2025 artfynd.xlsx", "A 43681-2025")</f>
        <v/>
      </c>
      <c r="T641">
        <f>HYPERLINK("https://klasma.github.io/Logging_2083/kartor/A 43681-2025 karta.png", "A 43681-2025")</f>
        <v/>
      </c>
      <c r="U641">
        <f>HYPERLINK("https://klasma.github.io/Logging_2083/knärot/A 43681-2025 karta knärot.png", "A 43681-2025")</f>
        <v/>
      </c>
      <c r="V641">
        <f>HYPERLINK("https://klasma.github.io/Logging_2083/klagomål/A 43681-2025 FSC-klagomål.docx", "A 43681-2025")</f>
        <v/>
      </c>
      <c r="W641">
        <f>HYPERLINK("https://klasma.github.io/Logging_2083/klagomålsmail/A 43681-2025 FSC-klagomål mail.docx", "A 43681-2025")</f>
        <v/>
      </c>
      <c r="X641">
        <f>HYPERLINK("https://klasma.github.io/Logging_2083/tillsyn/A 43681-2025 tillsynsbegäran.docx", "A 43681-2025")</f>
        <v/>
      </c>
      <c r="Y641">
        <f>HYPERLINK("https://klasma.github.io/Logging_2083/tillsynsmail/A 43681-2025 tillsynsbegäran mail.docx", "A 43681-2025")</f>
        <v/>
      </c>
    </row>
    <row r="642" ht="15" customHeight="1">
      <c r="A642" t="inlineStr">
        <is>
          <t>A 46348-2025</t>
        </is>
      </c>
      <c r="B642" s="1" t="n">
        <v>45925.4802199074</v>
      </c>
      <c r="C642" s="1" t="n">
        <v>46114</v>
      </c>
      <c r="D642" t="inlineStr">
        <is>
          <t>DALARNAS LÄN</t>
        </is>
      </c>
      <c r="E642" t="inlineStr">
        <is>
          <t>MALUNG-SÄLEN</t>
        </is>
      </c>
      <c r="G642" t="n">
        <v>8</v>
      </c>
      <c r="H642" t="n">
        <v>0</v>
      </c>
      <c r="I642" t="n">
        <v>0</v>
      </c>
      <c r="J642" t="n">
        <v>2</v>
      </c>
      <c r="K642" t="n">
        <v>0</v>
      </c>
      <c r="L642" t="n">
        <v>0</v>
      </c>
      <c r="M642" t="n">
        <v>0</v>
      </c>
      <c r="N642" t="n">
        <v>0</v>
      </c>
      <c r="O642" t="n">
        <v>2</v>
      </c>
      <c r="P642" t="n">
        <v>0</v>
      </c>
      <c r="Q642" t="n">
        <v>2</v>
      </c>
      <c r="R642" s="2" t="inlineStr">
        <is>
          <t>Garnlav
Kolflarnlav</t>
        </is>
      </c>
      <c r="S642">
        <f>HYPERLINK("https://klasma.github.io/Logging_2023/artfynd/A 46348-2025 artfynd.xlsx", "A 46348-2025")</f>
        <v/>
      </c>
      <c r="T642">
        <f>HYPERLINK("https://klasma.github.io/Logging_2023/kartor/A 46348-2025 karta.png", "A 46348-2025")</f>
        <v/>
      </c>
      <c r="V642">
        <f>HYPERLINK("https://klasma.github.io/Logging_2023/klagomål/A 46348-2025 FSC-klagomål.docx", "A 46348-2025")</f>
        <v/>
      </c>
      <c r="W642">
        <f>HYPERLINK("https://klasma.github.io/Logging_2023/klagomålsmail/A 46348-2025 FSC-klagomål mail.docx", "A 46348-2025")</f>
        <v/>
      </c>
      <c r="X642">
        <f>HYPERLINK("https://klasma.github.io/Logging_2023/tillsyn/A 46348-2025 tillsynsbegäran.docx", "A 46348-2025")</f>
        <v/>
      </c>
      <c r="Y642">
        <f>HYPERLINK("https://klasma.github.io/Logging_2023/tillsynsmail/A 46348-2025 tillsynsbegäran mail.docx", "A 46348-2025")</f>
        <v/>
      </c>
    </row>
    <row r="643" ht="15" customHeight="1">
      <c r="A643" t="inlineStr">
        <is>
          <t>A 34009-2021</t>
        </is>
      </c>
      <c r="B643" s="1" t="n">
        <v>44378</v>
      </c>
      <c r="C643" s="1" t="n">
        <v>46114</v>
      </c>
      <c r="D643" t="inlineStr">
        <is>
          <t>DALARNAS LÄN</t>
        </is>
      </c>
      <c r="E643" t="inlineStr">
        <is>
          <t>SÄTER</t>
        </is>
      </c>
      <c r="F643" t="inlineStr">
        <is>
          <t>Bergvik skog väst AB</t>
        </is>
      </c>
      <c r="G643" t="n">
        <v>22.5</v>
      </c>
      <c r="H643" t="n">
        <v>0</v>
      </c>
      <c r="I643" t="n">
        <v>1</v>
      </c>
      <c r="J643" t="n">
        <v>1</v>
      </c>
      <c r="K643" t="n">
        <v>0</v>
      </c>
      <c r="L643" t="n">
        <v>0</v>
      </c>
      <c r="M643" t="n">
        <v>0</v>
      </c>
      <c r="N643" t="n">
        <v>0</v>
      </c>
      <c r="O643" t="n">
        <v>1</v>
      </c>
      <c r="P643" t="n">
        <v>0</v>
      </c>
      <c r="Q643" t="n">
        <v>2</v>
      </c>
      <c r="R643" s="2" t="inlineStr">
        <is>
          <t>Ullticka
Vedticka</t>
        </is>
      </c>
      <c r="S643">
        <f>HYPERLINK("https://klasma.github.io/Logging_2082/artfynd/A 34009-2021 artfynd.xlsx", "A 34009-2021")</f>
        <v/>
      </c>
      <c r="T643">
        <f>HYPERLINK("https://klasma.github.io/Logging_2082/kartor/A 34009-2021 karta.png", "A 34009-2021")</f>
        <v/>
      </c>
      <c r="V643">
        <f>HYPERLINK("https://klasma.github.io/Logging_2082/klagomål/A 34009-2021 FSC-klagomål.docx", "A 34009-2021")</f>
        <v/>
      </c>
      <c r="W643">
        <f>HYPERLINK("https://klasma.github.io/Logging_2082/klagomålsmail/A 34009-2021 FSC-klagomål mail.docx", "A 34009-2021")</f>
        <v/>
      </c>
      <c r="X643">
        <f>HYPERLINK("https://klasma.github.io/Logging_2082/tillsyn/A 34009-2021 tillsynsbegäran.docx", "A 34009-2021")</f>
        <v/>
      </c>
      <c r="Y643">
        <f>HYPERLINK("https://klasma.github.io/Logging_2082/tillsynsmail/A 34009-2021 tillsynsbegäran mail.docx", "A 34009-2021")</f>
        <v/>
      </c>
    </row>
    <row r="644" ht="15" customHeight="1">
      <c r="A644" t="inlineStr">
        <is>
          <t>A 49767-2025</t>
        </is>
      </c>
      <c r="B644" s="1" t="n">
        <v>45940</v>
      </c>
      <c r="C644" s="1" t="n">
        <v>46114</v>
      </c>
      <c r="D644" t="inlineStr">
        <is>
          <t>DALARNAS LÄN</t>
        </is>
      </c>
      <c r="E644" t="inlineStr">
        <is>
          <t>LUDVIKA</t>
        </is>
      </c>
      <c r="F644" t="inlineStr">
        <is>
          <t>Bergvik skog väst AB</t>
        </is>
      </c>
      <c r="G644" t="n">
        <v>2.5</v>
      </c>
      <c r="H644" t="n">
        <v>1</v>
      </c>
      <c r="I644" t="n">
        <v>0</v>
      </c>
      <c r="J644" t="n">
        <v>2</v>
      </c>
      <c r="K644" t="n">
        <v>0</v>
      </c>
      <c r="L644" t="n">
        <v>0</v>
      </c>
      <c r="M644" t="n">
        <v>0</v>
      </c>
      <c r="N644" t="n">
        <v>0</v>
      </c>
      <c r="O644" t="n">
        <v>2</v>
      </c>
      <c r="P644" t="n">
        <v>0</v>
      </c>
      <c r="Q644" t="n">
        <v>2</v>
      </c>
      <c r="R644" s="2" t="inlineStr">
        <is>
          <t>Garnlav
Tretåig hackspett</t>
        </is>
      </c>
      <c r="S644">
        <f>HYPERLINK("https://klasma.github.io/Logging_2085/artfynd/A 49767-2025 artfynd.xlsx", "A 49767-2025")</f>
        <v/>
      </c>
      <c r="T644">
        <f>HYPERLINK("https://klasma.github.io/Logging_2085/kartor/A 49767-2025 karta.png", "A 49767-2025")</f>
        <v/>
      </c>
      <c r="V644">
        <f>HYPERLINK("https://klasma.github.io/Logging_2085/klagomål/A 49767-2025 FSC-klagomål.docx", "A 49767-2025")</f>
        <v/>
      </c>
      <c r="W644">
        <f>HYPERLINK("https://klasma.github.io/Logging_2085/klagomålsmail/A 49767-2025 FSC-klagomål mail.docx", "A 49767-2025")</f>
        <v/>
      </c>
      <c r="X644">
        <f>HYPERLINK("https://klasma.github.io/Logging_2085/tillsyn/A 49767-2025 tillsynsbegäran.docx", "A 49767-2025")</f>
        <v/>
      </c>
      <c r="Y644">
        <f>HYPERLINK("https://klasma.github.io/Logging_2085/tillsynsmail/A 49767-2025 tillsynsbegäran mail.docx", "A 49767-2025")</f>
        <v/>
      </c>
      <c r="Z644">
        <f>HYPERLINK("https://klasma.github.io/Logging_2085/fåglar/A 49767-2025 prioriterade fågelarter.docx", "A 49767-2025")</f>
        <v/>
      </c>
    </row>
    <row r="645" ht="15" customHeight="1">
      <c r="A645" t="inlineStr">
        <is>
          <t>A 41332-2025</t>
        </is>
      </c>
      <c r="B645" s="1" t="n">
        <v>45899.35592592593</v>
      </c>
      <c r="C645" s="1" t="n">
        <v>46114</v>
      </c>
      <c r="D645" t="inlineStr">
        <is>
          <t>DALARNAS LÄN</t>
        </is>
      </c>
      <c r="E645" t="inlineStr">
        <is>
          <t>HEDEMORA</t>
        </is>
      </c>
      <c r="F645" t="inlineStr">
        <is>
          <t>Sveaskog</t>
        </is>
      </c>
      <c r="G645" t="n">
        <v>9.4</v>
      </c>
      <c r="H645" t="n">
        <v>2</v>
      </c>
      <c r="I645" t="n">
        <v>0</v>
      </c>
      <c r="J645" t="n">
        <v>0</v>
      </c>
      <c r="K645" t="n">
        <v>0</v>
      </c>
      <c r="L645" t="n">
        <v>0</v>
      </c>
      <c r="M645" t="n">
        <v>0</v>
      </c>
      <c r="N645" t="n">
        <v>0</v>
      </c>
      <c r="O645" t="n">
        <v>0</v>
      </c>
      <c r="P645" t="n">
        <v>0</v>
      </c>
      <c r="Q645" t="n">
        <v>2</v>
      </c>
      <c r="R645" s="2" t="inlineStr">
        <is>
          <t>Orre
Tjäder</t>
        </is>
      </c>
      <c r="S645">
        <f>HYPERLINK("https://klasma.github.io/Logging_2083/artfynd/A 41332-2025 artfynd.xlsx", "A 41332-2025")</f>
        <v/>
      </c>
      <c r="T645">
        <f>HYPERLINK("https://klasma.github.io/Logging_2083/kartor/A 41332-2025 karta.png", "A 41332-2025")</f>
        <v/>
      </c>
      <c r="V645">
        <f>HYPERLINK("https://klasma.github.io/Logging_2083/klagomål/A 41332-2025 FSC-klagomål.docx", "A 41332-2025")</f>
        <v/>
      </c>
      <c r="W645">
        <f>HYPERLINK("https://klasma.github.io/Logging_2083/klagomålsmail/A 41332-2025 FSC-klagomål mail.docx", "A 41332-2025")</f>
        <v/>
      </c>
      <c r="X645">
        <f>HYPERLINK("https://klasma.github.io/Logging_2083/tillsyn/A 41332-2025 tillsynsbegäran.docx", "A 41332-2025")</f>
        <v/>
      </c>
      <c r="Y645">
        <f>HYPERLINK("https://klasma.github.io/Logging_2083/tillsynsmail/A 41332-2025 tillsynsbegäran mail.docx", "A 41332-2025")</f>
        <v/>
      </c>
      <c r="Z645">
        <f>HYPERLINK("https://klasma.github.io/Logging_2083/fåglar/A 41332-2025 prioriterade fågelarter.docx", "A 41332-2025")</f>
        <v/>
      </c>
    </row>
    <row r="646" ht="15" customHeight="1">
      <c r="A646" t="inlineStr">
        <is>
          <t>A 48143-2024</t>
        </is>
      </c>
      <c r="B646" s="1" t="n">
        <v>45589.67122685185</v>
      </c>
      <c r="C646" s="1" t="n">
        <v>46114</v>
      </c>
      <c r="D646" t="inlineStr">
        <is>
          <t>DALARNAS LÄN</t>
        </is>
      </c>
      <c r="E646" t="inlineStr">
        <is>
          <t>MALUNG-SÄLEN</t>
        </is>
      </c>
      <c r="F646" t="inlineStr">
        <is>
          <t>Bergvik skog väst AB</t>
        </is>
      </c>
      <c r="G646" t="n">
        <v>4.5</v>
      </c>
      <c r="H646" t="n">
        <v>0</v>
      </c>
      <c r="I646" t="n">
        <v>1</v>
      </c>
      <c r="J646" t="n">
        <v>1</v>
      </c>
      <c r="K646" t="n">
        <v>0</v>
      </c>
      <c r="L646" t="n">
        <v>0</v>
      </c>
      <c r="M646" t="n">
        <v>0</v>
      </c>
      <c r="N646" t="n">
        <v>0</v>
      </c>
      <c r="O646" t="n">
        <v>1</v>
      </c>
      <c r="P646" t="n">
        <v>0</v>
      </c>
      <c r="Q646" t="n">
        <v>2</v>
      </c>
      <c r="R646" s="2" t="inlineStr">
        <is>
          <t>Garnlav
Mindre märgborre</t>
        </is>
      </c>
      <c r="S646">
        <f>HYPERLINK("https://klasma.github.io/Logging_2023/artfynd/A 48143-2024 artfynd.xlsx", "A 48143-2024")</f>
        <v/>
      </c>
      <c r="T646">
        <f>HYPERLINK("https://klasma.github.io/Logging_2023/kartor/A 48143-2024 karta.png", "A 48143-2024")</f>
        <v/>
      </c>
      <c r="V646">
        <f>HYPERLINK("https://klasma.github.io/Logging_2023/klagomål/A 48143-2024 FSC-klagomål.docx", "A 48143-2024")</f>
        <v/>
      </c>
      <c r="W646">
        <f>HYPERLINK("https://klasma.github.io/Logging_2023/klagomålsmail/A 48143-2024 FSC-klagomål mail.docx", "A 48143-2024")</f>
        <v/>
      </c>
      <c r="X646">
        <f>HYPERLINK("https://klasma.github.io/Logging_2023/tillsyn/A 48143-2024 tillsynsbegäran.docx", "A 48143-2024")</f>
        <v/>
      </c>
      <c r="Y646">
        <f>HYPERLINK("https://klasma.github.io/Logging_2023/tillsynsmail/A 48143-2024 tillsynsbegäran mail.docx", "A 48143-2024")</f>
        <v/>
      </c>
    </row>
    <row r="647" ht="15" customHeight="1">
      <c r="A647" t="inlineStr">
        <is>
          <t>A 50780-2025</t>
        </is>
      </c>
      <c r="B647" s="1" t="n">
        <v>45946.45868055556</v>
      </c>
      <c r="C647" s="1" t="n">
        <v>46114</v>
      </c>
      <c r="D647" t="inlineStr">
        <is>
          <t>DALARNAS LÄN</t>
        </is>
      </c>
      <c r="E647" t="inlineStr">
        <is>
          <t>SMEDJEBACKEN</t>
        </is>
      </c>
      <c r="F647" t="inlineStr">
        <is>
          <t>Sveaskog</t>
        </is>
      </c>
      <c r="G647" t="n">
        <v>12.2</v>
      </c>
      <c r="H647" t="n">
        <v>0</v>
      </c>
      <c r="I647" t="n">
        <v>2</v>
      </c>
      <c r="J647" t="n">
        <v>0</v>
      </c>
      <c r="K647" t="n">
        <v>0</v>
      </c>
      <c r="L647" t="n">
        <v>0</v>
      </c>
      <c r="M647" t="n">
        <v>0</v>
      </c>
      <c r="N647" t="n">
        <v>0</v>
      </c>
      <c r="O647" t="n">
        <v>0</v>
      </c>
      <c r="P647" t="n">
        <v>0</v>
      </c>
      <c r="Q647" t="n">
        <v>2</v>
      </c>
      <c r="R647" s="2" t="inlineStr">
        <is>
          <t>Mörk husmossa
Skogshakmossa</t>
        </is>
      </c>
      <c r="S647">
        <f>HYPERLINK("https://klasma.github.io/Logging_2061/artfynd/A 50780-2025 artfynd.xlsx", "A 50780-2025")</f>
        <v/>
      </c>
      <c r="T647">
        <f>HYPERLINK("https://klasma.github.io/Logging_2061/kartor/A 50780-2025 karta.png", "A 50780-2025")</f>
        <v/>
      </c>
      <c r="V647">
        <f>HYPERLINK("https://klasma.github.io/Logging_2061/klagomål/A 50780-2025 FSC-klagomål.docx", "A 50780-2025")</f>
        <v/>
      </c>
      <c r="W647">
        <f>HYPERLINK("https://klasma.github.io/Logging_2061/klagomålsmail/A 50780-2025 FSC-klagomål mail.docx", "A 50780-2025")</f>
        <v/>
      </c>
      <c r="X647">
        <f>HYPERLINK("https://klasma.github.io/Logging_2061/tillsyn/A 50780-2025 tillsynsbegäran.docx", "A 50780-2025")</f>
        <v/>
      </c>
      <c r="Y647">
        <f>HYPERLINK("https://klasma.github.io/Logging_2061/tillsynsmail/A 50780-2025 tillsynsbegäran mail.docx", "A 50780-2025")</f>
        <v/>
      </c>
    </row>
    <row r="648" ht="15" customHeight="1">
      <c r="A648" t="inlineStr">
        <is>
          <t>A 9408-2024</t>
        </is>
      </c>
      <c r="B648" s="1" t="n">
        <v>45358</v>
      </c>
      <c r="C648" s="1" t="n">
        <v>46114</v>
      </c>
      <c r="D648" t="inlineStr">
        <is>
          <t>DALARNAS LÄN</t>
        </is>
      </c>
      <c r="E648" t="inlineStr">
        <is>
          <t>LEKSAND</t>
        </is>
      </c>
      <c r="G648" t="n">
        <v>3</v>
      </c>
      <c r="H648" t="n">
        <v>0</v>
      </c>
      <c r="I648" t="n">
        <v>0</v>
      </c>
      <c r="J648" t="n">
        <v>2</v>
      </c>
      <c r="K648" t="n">
        <v>0</v>
      </c>
      <c r="L648" t="n">
        <v>0</v>
      </c>
      <c r="M648" t="n">
        <v>0</v>
      </c>
      <c r="N648" t="n">
        <v>0</v>
      </c>
      <c r="O648" t="n">
        <v>2</v>
      </c>
      <c r="P648" t="n">
        <v>0</v>
      </c>
      <c r="Q648" t="n">
        <v>2</v>
      </c>
      <c r="R648" s="2" t="inlineStr">
        <is>
          <t>Kolflarnlav
Talltaggsvamp</t>
        </is>
      </c>
      <c r="S648">
        <f>HYPERLINK("https://klasma.github.io/Logging_2029/artfynd/A 9408-2024 artfynd.xlsx", "A 9408-2024")</f>
        <v/>
      </c>
      <c r="T648">
        <f>HYPERLINK("https://klasma.github.io/Logging_2029/kartor/A 9408-2024 karta.png", "A 9408-2024")</f>
        <v/>
      </c>
      <c r="V648">
        <f>HYPERLINK("https://klasma.github.io/Logging_2029/klagomål/A 9408-2024 FSC-klagomål.docx", "A 9408-2024")</f>
        <v/>
      </c>
      <c r="W648">
        <f>HYPERLINK("https://klasma.github.io/Logging_2029/klagomålsmail/A 9408-2024 FSC-klagomål mail.docx", "A 9408-2024")</f>
        <v/>
      </c>
      <c r="X648">
        <f>HYPERLINK("https://klasma.github.io/Logging_2029/tillsyn/A 9408-2024 tillsynsbegäran.docx", "A 9408-2024")</f>
        <v/>
      </c>
      <c r="Y648">
        <f>HYPERLINK("https://klasma.github.io/Logging_2029/tillsynsmail/A 9408-2024 tillsynsbegäran mail.docx", "A 9408-2024")</f>
        <v/>
      </c>
    </row>
    <row r="649" ht="15" customHeight="1">
      <c r="A649" t="inlineStr">
        <is>
          <t>A 27967-2023</t>
        </is>
      </c>
      <c r="B649" s="1" t="n">
        <v>45098.70354166667</v>
      </c>
      <c r="C649" s="1" t="n">
        <v>46114</v>
      </c>
      <c r="D649" t="inlineStr">
        <is>
          <t>DALARNAS LÄN</t>
        </is>
      </c>
      <c r="E649" t="inlineStr">
        <is>
          <t>ÄLVDALEN</t>
        </is>
      </c>
      <c r="F649" t="inlineStr">
        <is>
          <t>Sveaskog</t>
        </is>
      </c>
      <c r="G649" t="n">
        <v>1.9</v>
      </c>
      <c r="H649" t="n">
        <v>0</v>
      </c>
      <c r="I649" t="n">
        <v>0</v>
      </c>
      <c r="J649" t="n">
        <v>2</v>
      </c>
      <c r="K649" t="n">
        <v>0</v>
      </c>
      <c r="L649" t="n">
        <v>0</v>
      </c>
      <c r="M649" t="n">
        <v>0</v>
      </c>
      <c r="N649" t="n">
        <v>0</v>
      </c>
      <c r="O649" t="n">
        <v>2</v>
      </c>
      <c r="P649" t="n">
        <v>0</v>
      </c>
      <c r="Q649" t="n">
        <v>2</v>
      </c>
      <c r="R649" s="2" t="inlineStr">
        <is>
          <t>Kolflarnlav
Mörk kolflarnlav</t>
        </is>
      </c>
      <c r="S649">
        <f>HYPERLINK("https://klasma.github.io/Logging_2039/artfynd/A 27967-2023 artfynd.xlsx", "A 27967-2023")</f>
        <v/>
      </c>
      <c r="T649">
        <f>HYPERLINK("https://klasma.github.io/Logging_2039/kartor/A 27967-2023 karta.png", "A 27967-2023")</f>
        <v/>
      </c>
      <c r="V649">
        <f>HYPERLINK("https://klasma.github.io/Logging_2039/klagomål/A 27967-2023 FSC-klagomål.docx", "A 27967-2023")</f>
        <v/>
      </c>
      <c r="W649">
        <f>HYPERLINK("https://klasma.github.io/Logging_2039/klagomålsmail/A 27967-2023 FSC-klagomål mail.docx", "A 27967-2023")</f>
        <v/>
      </c>
      <c r="X649">
        <f>HYPERLINK("https://klasma.github.io/Logging_2039/tillsyn/A 27967-2023 tillsynsbegäran.docx", "A 27967-2023")</f>
        <v/>
      </c>
      <c r="Y649">
        <f>HYPERLINK("https://klasma.github.io/Logging_2039/tillsynsmail/A 27967-2023 tillsynsbegäran mail.docx", "A 27967-2023")</f>
        <v/>
      </c>
    </row>
    <row r="650" ht="15" customHeight="1">
      <c r="A650" t="inlineStr">
        <is>
          <t>A 2055-2025</t>
        </is>
      </c>
      <c r="B650" s="1" t="n">
        <v>45671</v>
      </c>
      <c r="C650" s="1" t="n">
        <v>46114</v>
      </c>
      <c r="D650" t="inlineStr">
        <is>
          <t>DALARNAS LÄN</t>
        </is>
      </c>
      <c r="E650" t="inlineStr">
        <is>
          <t>FALUN</t>
        </is>
      </c>
      <c r="G650" t="n">
        <v>1.5</v>
      </c>
      <c r="H650" t="n">
        <v>1</v>
      </c>
      <c r="I650" t="n">
        <v>1</v>
      </c>
      <c r="J650" t="n">
        <v>0</v>
      </c>
      <c r="K650" t="n">
        <v>1</v>
      </c>
      <c r="L650" t="n">
        <v>0</v>
      </c>
      <c r="M650" t="n">
        <v>0</v>
      </c>
      <c r="N650" t="n">
        <v>0</v>
      </c>
      <c r="O650" t="n">
        <v>1</v>
      </c>
      <c r="P650" t="n">
        <v>1</v>
      </c>
      <c r="Q650" t="n">
        <v>2</v>
      </c>
      <c r="R650" s="2" t="inlineStr">
        <is>
          <t>Knärot
Bronshjon</t>
        </is>
      </c>
      <c r="S650">
        <f>HYPERLINK("https://klasma.github.io/Logging_2080/artfynd/A 2055-2025 artfynd.xlsx", "A 2055-2025")</f>
        <v/>
      </c>
      <c r="T650">
        <f>HYPERLINK("https://klasma.github.io/Logging_2080/kartor/A 2055-2025 karta.png", "A 2055-2025")</f>
        <v/>
      </c>
      <c r="U650">
        <f>HYPERLINK("https://klasma.github.io/Logging_2080/knärot/A 2055-2025 karta knärot.png", "A 2055-2025")</f>
        <v/>
      </c>
      <c r="V650">
        <f>HYPERLINK("https://klasma.github.io/Logging_2080/klagomål/A 2055-2025 FSC-klagomål.docx", "A 2055-2025")</f>
        <v/>
      </c>
      <c r="W650">
        <f>HYPERLINK("https://klasma.github.io/Logging_2080/klagomålsmail/A 2055-2025 FSC-klagomål mail.docx", "A 2055-2025")</f>
        <v/>
      </c>
      <c r="X650">
        <f>HYPERLINK("https://klasma.github.io/Logging_2080/tillsyn/A 2055-2025 tillsynsbegäran.docx", "A 2055-2025")</f>
        <v/>
      </c>
      <c r="Y650">
        <f>HYPERLINK("https://klasma.github.io/Logging_2080/tillsynsmail/A 2055-2025 tillsynsbegäran mail.docx", "A 2055-2025")</f>
        <v/>
      </c>
    </row>
    <row r="651" ht="15" customHeight="1">
      <c r="A651" t="inlineStr">
        <is>
          <t>A 9222-2025</t>
        </is>
      </c>
      <c r="B651" s="1" t="n">
        <v>45714.52729166667</v>
      </c>
      <c r="C651" s="1" t="n">
        <v>46114</v>
      </c>
      <c r="D651" t="inlineStr">
        <is>
          <t>DALARNAS LÄN</t>
        </is>
      </c>
      <c r="E651" t="inlineStr">
        <is>
          <t>FALUN</t>
        </is>
      </c>
      <c r="G651" t="n">
        <v>1.1</v>
      </c>
      <c r="H651" t="n">
        <v>1</v>
      </c>
      <c r="I651" t="n">
        <v>1</v>
      </c>
      <c r="J651" t="n">
        <v>0</v>
      </c>
      <c r="K651" t="n">
        <v>1</v>
      </c>
      <c r="L651" t="n">
        <v>0</v>
      </c>
      <c r="M651" t="n">
        <v>0</v>
      </c>
      <c r="N651" t="n">
        <v>0</v>
      </c>
      <c r="O651" t="n">
        <v>1</v>
      </c>
      <c r="P651" t="n">
        <v>1</v>
      </c>
      <c r="Q651" t="n">
        <v>2</v>
      </c>
      <c r="R651" s="2" t="inlineStr">
        <is>
          <t>Knärot
Bronshjon</t>
        </is>
      </c>
      <c r="S651">
        <f>HYPERLINK("https://klasma.github.io/Logging_2080/artfynd/A 9222-2025 artfynd.xlsx", "A 9222-2025")</f>
        <v/>
      </c>
      <c r="T651">
        <f>HYPERLINK("https://klasma.github.io/Logging_2080/kartor/A 9222-2025 karta.png", "A 9222-2025")</f>
        <v/>
      </c>
      <c r="U651">
        <f>HYPERLINK("https://klasma.github.io/Logging_2080/knärot/A 9222-2025 karta knärot.png", "A 9222-2025")</f>
        <v/>
      </c>
      <c r="V651">
        <f>HYPERLINK("https://klasma.github.io/Logging_2080/klagomål/A 9222-2025 FSC-klagomål.docx", "A 9222-2025")</f>
        <v/>
      </c>
      <c r="W651">
        <f>HYPERLINK("https://klasma.github.io/Logging_2080/klagomålsmail/A 9222-2025 FSC-klagomål mail.docx", "A 9222-2025")</f>
        <v/>
      </c>
      <c r="X651">
        <f>HYPERLINK("https://klasma.github.io/Logging_2080/tillsyn/A 9222-2025 tillsynsbegäran.docx", "A 9222-2025")</f>
        <v/>
      </c>
      <c r="Y651">
        <f>HYPERLINK("https://klasma.github.io/Logging_2080/tillsynsmail/A 9222-2025 tillsynsbegäran mail.docx", "A 9222-2025")</f>
        <v/>
      </c>
    </row>
    <row r="652" ht="15" customHeight="1">
      <c r="A652" t="inlineStr">
        <is>
          <t>A 40537-2021</t>
        </is>
      </c>
      <c r="B652" s="1" t="n">
        <v>44420</v>
      </c>
      <c r="C652" s="1" t="n">
        <v>46114</v>
      </c>
      <c r="D652" t="inlineStr">
        <is>
          <t>DALARNAS LÄN</t>
        </is>
      </c>
      <c r="E652" t="inlineStr">
        <is>
          <t>SMEDJEBACKEN</t>
        </is>
      </c>
      <c r="F652" t="inlineStr">
        <is>
          <t>Övriga Aktiebolag</t>
        </is>
      </c>
      <c r="G652" t="n">
        <v>10</v>
      </c>
      <c r="H652" t="n">
        <v>2</v>
      </c>
      <c r="I652" t="n">
        <v>0</v>
      </c>
      <c r="J652" t="n">
        <v>1</v>
      </c>
      <c r="K652" t="n">
        <v>0</v>
      </c>
      <c r="L652" t="n">
        <v>0</v>
      </c>
      <c r="M652" t="n">
        <v>0</v>
      </c>
      <c r="N652" t="n">
        <v>0</v>
      </c>
      <c r="O652" t="n">
        <v>1</v>
      </c>
      <c r="P652" t="n">
        <v>0</v>
      </c>
      <c r="Q652" t="n">
        <v>2</v>
      </c>
      <c r="R652" s="2" t="inlineStr">
        <is>
          <t>Tretåig hackspett
Blåsippa</t>
        </is>
      </c>
      <c r="S652">
        <f>HYPERLINK("https://klasma.github.io/Logging_2061/artfynd/A 40537-2021 artfynd.xlsx", "A 40537-2021")</f>
        <v/>
      </c>
      <c r="T652">
        <f>HYPERLINK("https://klasma.github.io/Logging_2061/kartor/A 40537-2021 karta.png", "A 40537-2021")</f>
        <v/>
      </c>
      <c r="V652">
        <f>HYPERLINK("https://klasma.github.io/Logging_2061/klagomål/A 40537-2021 FSC-klagomål.docx", "A 40537-2021")</f>
        <v/>
      </c>
      <c r="W652">
        <f>HYPERLINK("https://klasma.github.io/Logging_2061/klagomålsmail/A 40537-2021 FSC-klagomål mail.docx", "A 40537-2021")</f>
        <v/>
      </c>
      <c r="X652">
        <f>HYPERLINK("https://klasma.github.io/Logging_2061/tillsyn/A 40537-2021 tillsynsbegäran.docx", "A 40537-2021")</f>
        <v/>
      </c>
      <c r="Y652">
        <f>HYPERLINK("https://klasma.github.io/Logging_2061/tillsynsmail/A 40537-2021 tillsynsbegäran mail.docx", "A 40537-2021")</f>
        <v/>
      </c>
      <c r="Z652">
        <f>HYPERLINK("https://klasma.github.io/Logging_2061/fåglar/A 40537-2021 prioriterade fågelarter.docx", "A 40537-2021")</f>
        <v/>
      </c>
    </row>
    <row r="653" ht="15" customHeight="1">
      <c r="A653" t="inlineStr">
        <is>
          <t>A 13323-2025</t>
        </is>
      </c>
      <c r="B653" s="1" t="n">
        <v>45735.5975925926</v>
      </c>
      <c r="C653" s="1" t="n">
        <v>46114</v>
      </c>
      <c r="D653" t="inlineStr">
        <is>
          <t>DALARNAS LÄN</t>
        </is>
      </c>
      <c r="E653" t="inlineStr">
        <is>
          <t>VANSBRO</t>
        </is>
      </c>
      <c r="G653" t="n">
        <v>2.1</v>
      </c>
      <c r="H653" t="n">
        <v>1</v>
      </c>
      <c r="I653" t="n">
        <v>0</v>
      </c>
      <c r="J653" t="n">
        <v>1</v>
      </c>
      <c r="K653" t="n">
        <v>1</v>
      </c>
      <c r="L653" t="n">
        <v>0</v>
      </c>
      <c r="M653" t="n">
        <v>0</v>
      </c>
      <c r="N653" t="n">
        <v>0</v>
      </c>
      <c r="O653" t="n">
        <v>2</v>
      </c>
      <c r="P653" t="n">
        <v>1</v>
      </c>
      <c r="Q653" t="n">
        <v>2</v>
      </c>
      <c r="R653" s="2" t="inlineStr">
        <is>
          <t>Knärot
Ullticka</t>
        </is>
      </c>
      <c r="S653">
        <f>HYPERLINK("https://klasma.github.io/Logging_2021/artfynd/A 13323-2025 artfynd.xlsx", "A 13323-2025")</f>
        <v/>
      </c>
      <c r="T653">
        <f>HYPERLINK("https://klasma.github.io/Logging_2021/kartor/A 13323-2025 karta.png", "A 13323-2025")</f>
        <v/>
      </c>
      <c r="U653">
        <f>HYPERLINK("https://klasma.github.io/Logging_2021/knärot/A 13323-2025 karta knärot.png", "A 13323-2025")</f>
        <v/>
      </c>
      <c r="V653">
        <f>HYPERLINK("https://klasma.github.io/Logging_2021/klagomål/A 13323-2025 FSC-klagomål.docx", "A 13323-2025")</f>
        <v/>
      </c>
      <c r="W653">
        <f>HYPERLINK("https://klasma.github.io/Logging_2021/klagomålsmail/A 13323-2025 FSC-klagomål mail.docx", "A 13323-2025")</f>
        <v/>
      </c>
      <c r="X653">
        <f>HYPERLINK("https://klasma.github.io/Logging_2021/tillsyn/A 13323-2025 tillsynsbegäran.docx", "A 13323-2025")</f>
        <v/>
      </c>
      <c r="Y653">
        <f>HYPERLINK("https://klasma.github.io/Logging_2021/tillsynsmail/A 13323-2025 tillsynsbegäran mail.docx", "A 13323-2025")</f>
        <v/>
      </c>
    </row>
    <row r="654" ht="15" customHeight="1">
      <c r="A654" t="inlineStr">
        <is>
          <t>A 54310-2025</t>
        </is>
      </c>
      <c r="B654" s="1" t="n">
        <v>45965.31166666667</v>
      </c>
      <c r="C654" s="1" t="n">
        <v>46114</v>
      </c>
      <c r="D654" t="inlineStr">
        <is>
          <t>DALARNAS LÄN</t>
        </is>
      </c>
      <c r="E654" t="inlineStr">
        <is>
          <t>RÄTTVIK</t>
        </is>
      </c>
      <c r="G654" t="n">
        <v>1.4</v>
      </c>
      <c r="H654" t="n">
        <v>0</v>
      </c>
      <c r="I654" t="n">
        <v>0</v>
      </c>
      <c r="J654" t="n">
        <v>2</v>
      </c>
      <c r="K654" t="n">
        <v>0</v>
      </c>
      <c r="L654" t="n">
        <v>0</v>
      </c>
      <c r="M654" t="n">
        <v>0</v>
      </c>
      <c r="N654" t="n">
        <v>0</v>
      </c>
      <c r="O654" t="n">
        <v>2</v>
      </c>
      <c r="P654" t="n">
        <v>0</v>
      </c>
      <c r="Q654" t="n">
        <v>2</v>
      </c>
      <c r="R654" s="2" t="inlineStr">
        <is>
          <t>Dofttaggsvamp
Rosenticka</t>
        </is>
      </c>
      <c r="S654">
        <f>HYPERLINK("https://klasma.github.io/Logging_2031/artfynd/A 54310-2025 artfynd.xlsx", "A 54310-2025")</f>
        <v/>
      </c>
      <c r="T654">
        <f>HYPERLINK("https://klasma.github.io/Logging_2031/kartor/A 54310-2025 karta.png", "A 54310-2025")</f>
        <v/>
      </c>
      <c r="V654">
        <f>HYPERLINK("https://klasma.github.io/Logging_2031/klagomål/A 54310-2025 FSC-klagomål.docx", "A 54310-2025")</f>
        <v/>
      </c>
      <c r="W654">
        <f>HYPERLINK("https://klasma.github.io/Logging_2031/klagomålsmail/A 54310-2025 FSC-klagomål mail.docx", "A 54310-2025")</f>
        <v/>
      </c>
      <c r="X654">
        <f>HYPERLINK("https://klasma.github.io/Logging_2031/tillsyn/A 54310-2025 tillsynsbegäran.docx", "A 54310-2025")</f>
        <v/>
      </c>
      <c r="Y654">
        <f>HYPERLINK("https://klasma.github.io/Logging_2031/tillsynsmail/A 54310-2025 tillsynsbegäran mail.docx", "A 54310-2025")</f>
        <v/>
      </c>
    </row>
    <row r="655" ht="15" customHeight="1">
      <c r="A655" t="inlineStr">
        <is>
          <t>A 55519-2021</t>
        </is>
      </c>
      <c r="B655" s="1" t="n">
        <v>44475</v>
      </c>
      <c r="C655" s="1" t="n">
        <v>46114</v>
      </c>
      <c r="D655" t="inlineStr">
        <is>
          <t>DALARNAS LÄN</t>
        </is>
      </c>
      <c r="E655" t="inlineStr">
        <is>
          <t>LEKSAND</t>
        </is>
      </c>
      <c r="G655" t="n">
        <v>1.8</v>
      </c>
      <c r="H655" t="n">
        <v>2</v>
      </c>
      <c r="I655" t="n">
        <v>0</v>
      </c>
      <c r="J655" t="n">
        <v>0</v>
      </c>
      <c r="K655" t="n">
        <v>0</v>
      </c>
      <c r="L655" t="n">
        <v>0</v>
      </c>
      <c r="M655" t="n">
        <v>0</v>
      </c>
      <c r="N655" t="n">
        <v>0</v>
      </c>
      <c r="O655" t="n">
        <v>0</v>
      </c>
      <c r="P655" t="n">
        <v>0</v>
      </c>
      <c r="Q655" t="n">
        <v>2</v>
      </c>
      <c r="R655" s="2" t="inlineStr">
        <is>
          <t>Fläcknycklar
Mattlummer</t>
        </is>
      </c>
      <c r="S655">
        <f>HYPERLINK("https://klasma.github.io/Logging_2029/artfynd/A 55519-2021 artfynd.xlsx", "A 55519-2021")</f>
        <v/>
      </c>
      <c r="T655">
        <f>HYPERLINK("https://klasma.github.io/Logging_2029/kartor/A 55519-2021 karta.png", "A 55519-2021")</f>
        <v/>
      </c>
      <c r="V655">
        <f>HYPERLINK("https://klasma.github.io/Logging_2029/klagomål/A 55519-2021 FSC-klagomål.docx", "A 55519-2021")</f>
        <v/>
      </c>
      <c r="W655">
        <f>HYPERLINK("https://klasma.github.io/Logging_2029/klagomålsmail/A 55519-2021 FSC-klagomål mail.docx", "A 55519-2021")</f>
        <v/>
      </c>
      <c r="X655">
        <f>HYPERLINK("https://klasma.github.io/Logging_2029/tillsyn/A 55519-2021 tillsynsbegäran.docx", "A 55519-2021")</f>
        <v/>
      </c>
      <c r="Y655">
        <f>HYPERLINK("https://klasma.github.io/Logging_2029/tillsynsmail/A 55519-2021 tillsynsbegäran mail.docx", "A 55519-2021")</f>
        <v/>
      </c>
    </row>
    <row r="656" ht="15" customHeight="1">
      <c r="A656" t="inlineStr">
        <is>
          <t>A 40461-2025</t>
        </is>
      </c>
      <c r="B656" s="1" t="n">
        <v>45895</v>
      </c>
      <c r="C656" s="1" t="n">
        <v>46114</v>
      </c>
      <c r="D656" t="inlineStr">
        <is>
          <t>DALARNAS LÄN</t>
        </is>
      </c>
      <c r="E656" t="inlineStr">
        <is>
          <t>ÄLVDALEN</t>
        </is>
      </c>
      <c r="G656" t="n">
        <v>3.1</v>
      </c>
      <c r="H656" t="n">
        <v>2</v>
      </c>
      <c r="I656" t="n">
        <v>0</v>
      </c>
      <c r="J656" t="n">
        <v>1</v>
      </c>
      <c r="K656" t="n">
        <v>0</v>
      </c>
      <c r="L656" t="n">
        <v>0</v>
      </c>
      <c r="M656" t="n">
        <v>0</v>
      </c>
      <c r="N656" t="n">
        <v>0</v>
      </c>
      <c r="O656" t="n">
        <v>1</v>
      </c>
      <c r="P656" t="n">
        <v>0</v>
      </c>
      <c r="Q656" t="n">
        <v>2</v>
      </c>
      <c r="R656" s="2" t="inlineStr">
        <is>
          <t>Talltita
Kungsfågel</t>
        </is>
      </c>
      <c r="S656">
        <f>HYPERLINK("https://klasma.github.io/Logging_2039/artfynd/A 40461-2025 artfynd.xlsx", "A 40461-2025")</f>
        <v/>
      </c>
      <c r="T656">
        <f>HYPERLINK("https://klasma.github.io/Logging_2039/kartor/A 40461-2025 karta.png", "A 40461-2025")</f>
        <v/>
      </c>
      <c r="V656">
        <f>HYPERLINK("https://klasma.github.io/Logging_2039/klagomål/A 40461-2025 FSC-klagomål.docx", "A 40461-2025")</f>
        <v/>
      </c>
      <c r="W656">
        <f>HYPERLINK("https://klasma.github.io/Logging_2039/klagomålsmail/A 40461-2025 FSC-klagomål mail.docx", "A 40461-2025")</f>
        <v/>
      </c>
      <c r="X656">
        <f>HYPERLINK("https://klasma.github.io/Logging_2039/tillsyn/A 40461-2025 tillsynsbegäran.docx", "A 40461-2025")</f>
        <v/>
      </c>
      <c r="Y656">
        <f>HYPERLINK("https://klasma.github.io/Logging_2039/tillsynsmail/A 40461-2025 tillsynsbegäran mail.docx", "A 40461-2025")</f>
        <v/>
      </c>
      <c r="Z656">
        <f>HYPERLINK("https://klasma.github.io/Logging_2039/fåglar/A 40461-2025 prioriterade fågelarter.docx", "A 40461-2025")</f>
        <v/>
      </c>
    </row>
    <row r="657" ht="15" customHeight="1">
      <c r="A657" t="inlineStr">
        <is>
          <t>A 63810-2021</t>
        </is>
      </c>
      <c r="B657" s="1" t="n">
        <v>44509</v>
      </c>
      <c r="C657" s="1" t="n">
        <v>46114</v>
      </c>
      <c r="D657" t="inlineStr">
        <is>
          <t>DALARNAS LÄN</t>
        </is>
      </c>
      <c r="E657" t="inlineStr">
        <is>
          <t>ORSA</t>
        </is>
      </c>
      <c r="G657" t="n">
        <v>18.4</v>
      </c>
      <c r="H657" t="n">
        <v>0</v>
      </c>
      <c r="I657" t="n">
        <v>0</v>
      </c>
      <c r="J657" t="n">
        <v>2</v>
      </c>
      <c r="K657" t="n">
        <v>0</v>
      </c>
      <c r="L657" t="n">
        <v>0</v>
      </c>
      <c r="M657" t="n">
        <v>0</v>
      </c>
      <c r="N657" t="n">
        <v>0</v>
      </c>
      <c r="O657" t="n">
        <v>2</v>
      </c>
      <c r="P657" t="n">
        <v>0</v>
      </c>
      <c r="Q657" t="n">
        <v>2</v>
      </c>
      <c r="R657" s="2" t="inlineStr">
        <is>
          <t>Garnlav
Violettgrå tagellav</t>
        </is>
      </c>
      <c r="S657">
        <f>HYPERLINK("https://klasma.github.io/Logging_2034/artfynd/A 63810-2021 artfynd.xlsx", "A 63810-2021")</f>
        <v/>
      </c>
      <c r="T657">
        <f>HYPERLINK("https://klasma.github.io/Logging_2034/kartor/A 63810-2021 karta.png", "A 63810-2021")</f>
        <v/>
      </c>
      <c r="V657">
        <f>HYPERLINK("https://klasma.github.io/Logging_2034/klagomål/A 63810-2021 FSC-klagomål.docx", "A 63810-2021")</f>
        <v/>
      </c>
      <c r="W657">
        <f>HYPERLINK("https://klasma.github.io/Logging_2034/klagomålsmail/A 63810-2021 FSC-klagomål mail.docx", "A 63810-2021")</f>
        <v/>
      </c>
      <c r="X657">
        <f>HYPERLINK("https://klasma.github.io/Logging_2034/tillsyn/A 63810-2021 tillsynsbegäran.docx", "A 63810-2021")</f>
        <v/>
      </c>
      <c r="Y657">
        <f>HYPERLINK("https://klasma.github.io/Logging_2034/tillsynsmail/A 63810-2021 tillsynsbegäran mail.docx", "A 63810-2021")</f>
        <v/>
      </c>
    </row>
    <row r="658" ht="15" customHeight="1">
      <c r="A658" t="inlineStr">
        <is>
          <t>A 55227-2025</t>
        </is>
      </c>
      <c r="B658" s="1" t="n">
        <v>45968.59744212963</v>
      </c>
      <c r="C658" s="1" t="n">
        <v>46114</v>
      </c>
      <c r="D658" t="inlineStr">
        <is>
          <t>DALARNAS LÄN</t>
        </is>
      </c>
      <c r="E658" t="inlineStr">
        <is>
          <t>ÄLVDALEN</t>
        </is>
      </c>
      <c r="F658" t="inlineStr">
        <is>
          <t>Sveaskog</t>
        </is>
      </c>
      <c r="G658" t="n">
        <v>0.9</v>
      </c>
      <c r="H658" t="n">
        <v>0</v>
      </c>
      <c r="I658" t="n">
        <v>0</v>
      </c>
      <c r="J658" t="n">
        <v>2</v>
      </c>
      <c r="K658" t="n">
        <v>0</v>
      </c>
      <c r="L658" t="n">
        <v>0</v>
      </c>
      <c r="M658" t="n">
        <v>0</v>
      </c>
      <c r="N658" t="n">
        <v>0</v>
      </c>
      <c r="O658" t="n">
        <v>2</v>
      </c>
      <c r="P658" t="n">
        <v>0</v>
      </c>
      <c r="Q658" t="n">
        <v>2</v>
      </c>
      <c r="R658" s="2" t="inlineStr">
        <is>
          <t>Kolflarnlav
Vedflamlav</t>
        </is>
      </c>
      <c r="S658">
        <f>HYPERLINK("https://klasma.github.io/Logging_2039/artfynd/A 55227-2025 artfynd.xlsx", "A 55227-2025")</f>
        <v/>
      </c>
      <c r="T658">
        <f>HYPERLINK("https://klasma.github.io/Logging_2039/kartor/A 55227-2025 karta.png", "A 55227-2025")</f>
        <v/>
      </c>
      <c r="V658">
        <f>HYPERLINK("https://klasma.github.io/Logging_2039/klagomål/A 55227-2025 FSC-klagomål.docx", "A 55227-2025")</f>
        <v/>
      </c>
      <c r="W658">
        <f>HYPERLINK("https://klasma.github.io/Logging_2039/klagomålsmail/A 55227-2025 FSC-klagomål mail.docx", "A 55227-2025")</f>
        <v/>
      </c>
      <c r="X658">
        <f>HYPERLINK("https://klasma.github.io/Logging_2039/tillsyn/A 55227-2025 tillsynsbegäran.docx", "A 55227-2025")</f>
        <v/>
      </c>
      <c r="Y658">
        <f>HYPERLINK("https://klasma.github.io/Logging_2039/tillsynsmail/A 55227-2025 tillsynsbegäran mail.docx", "A 55227-2025")</f>
        <v/>
      </c>
    </row>
    <row r="659" ht="15" customHeight="1">
      <c r="A659" t="inlineStr">
        <is>
          <t>A 55225-2025</t>
        </is>
      </c>
      <c r="B659" s="1" t="n">
        <v>45968.59571759259</v>
      </c>
      <c r="C659" s="1" t="n">
        <v>46114</v>
      </c>
      <c r="D659" t="inlineStr">
        <is>
          <t>DALARNAS LÄN</t>
        </is>
      </c>
      <c r="E659" t="inlineStr">
        <is>
          <t>ÄLVDALEN</t>
        </is>
      </c>
      <c r="F659" t="inlineStr">
        <is>
          <t>Sveaskog</t>
        </is>
      </c>
      <c r="G659" t="n">
        <v>2.2</v>
      </c>
      <c r="H659" t="n">
        <v>0</v>
      </c>
      <c r="I659" t="n">
        <v>0</v>
      </c>
      <c r="J659" t="n">
        <v>2</v>
      </c>
      <c r="K659" t="n">
        <v>0</v>
      </c>
      <c r="L659" t="n">
        <v>0</v>
      </c>
      <c r="M659" t="n">
        <v>0</v>
      </c>
      <c r="N659" t="n">
        <v>0</v>
      </c>
      <c r="O659" t="n">
        <v>2</v>
      </c>
      <c r="P659" t="n">
        <v>0</v>
      </c>
      <c r="Q659" t="n">
        <v>2</v>
      </c>
      <c r="R659" s="2" t="inlineStr">
        <is>
          <t>Dvärgbägarlav
Kolflarnlav</t>
        </is>
      </c>
      <c r="S659">
        <f>HYPERLINK("https://klasma.github.io/Logging_2039/artfynd/A 55225-2025 artfynd.xlsx", "A 55225-2025")</f>
        <v/>
      </c>
      <c r="T659">
        <f>HYPERLINK("https://klasma.github.io/Logging_2039/kartor/A 55225-2025 karta.png", "A 55225-2025")</f>
        <v/>
      </c>
      <c r="V659">
        <f>HYPERLINK("https://klasma.github.io/Logging_2039/klagomål/A 55225-2025 FSC-klagomål.docx", "A 55225-2025")</f>
        <v/>
      </c>
      <c r="W659">
        <f>HYPERLINK("https://klasma.github.io/Logging_2039/klagomålsmail/A 55225-2025 FSC-klagomål mail.docx", "A 55225-2025")</f>
        <v/>
      </c>
      <c r="X659">
        <f>HYPERLINK("https://klasma.github.io/Logging_2039/tillsyn/A 55225-2025 tillsynsbegäran.docx", "A 55225-2025")</f>
        <v/>
      </c>
      <c r="Y659">
        <f>HYPERLINK("https://klasma.github.io/Logging_2039/tillsynsmail/A 55225-2025 tillsynsbegäran mail.docx", "A 55225-2025")</f>
        <v/>
      </c>
    </row>
    <row r="660" ht="15" customHeight="1">
      <c r="A660" t="inlineStr">
        <is>
          <t>A 55399-2025</t>
        </is>
      </c>
      <c r="B660" s="1" t="n">
        <v>45971</v>
      </c>
      <c r="C660" s="1" t="n">
        <v>46114</v>
      </c>
      <c r="D660" t="inlineStr">
        <is>
          <t>DALARNAS LÄN</t>
        </is>
      </c>
      <c r="E660" t="inlineStr">
        <is>
          <t>LUDVIKA</t>
        </is>
      </c>
      <c r="F660" t="inlineStr">
        <is>
          <t>Bergvik skog väst AB</t>
        </is>
      </c>
      <c r="G660" t="n">
        <v>11.5</v>
      </c>
      <c r="H660" t="n">
        <v>2</v>
      </c>
      <c r="I660" t="n">
        <v>0</v>
      </c>
      <c r="J660" t="n">
        <v>1</v>
      </c>
      <c r="K660" t="n">
        <v>0</v>
      </c>
      <c r="L660" t="n">
        <v>0</v>
      </c>
      <c r="M660" t="n">
        <v>0</v>
      </c>
      <c r="N660" t="n">
        <v>0</v>
      </c>
      <c r="O660" t="n">
        <v>1</v>
      </c>
      <c r="P660" t="n">
        <v>0</v>
      </c>
      <c r="Q660" t="n">
        <v>2</v>
      </c>
      <c r="R660" s="2" t="inlineStr">
        <is>
          <t>Spillkråka
Revlummer</t>
        </is>
      </c>
      <c r="S660">
        <f>HYPERLINK("https://klasma.github.io/Logging_2085/artfynd/A 55399-2025 artfynd.xlsx", "A 55399-2025")</f>
        <v/>
      </c>
      <c r="T660">
        <f>HYPERLINK("https://klasma.github.io/Logging_2085/kartor/A 55399-2025 karta.png", "A 55399-2025")</f>
        <v/>
      </c>
      <c r="V660">
        <f>HYPERLINK("https://klasma.github.io/Logging_2085/klagomål/A 55399-2025 FSC-klagomål.docx", "A 55399-2025")</f>
        <v/>
      </c>
      <c r="W660">
        <f>HYPERLINK("https://klasma.github.io/Logging_2085/klagomålsmail/A 55399-2025 FSC-klagomål mail.docx", "A 55399-2025")</f>
        <v/>
      </c>
      <c r="X660">
        <f>HYPERLINK("https://klasma.github.io/Logging_2085/tillsyn/A 55399-2025 tillsynsbegäran.docx", "A 55399-2025")</f>
        <v/>
      </c>
      <c r="Y660">
        <f>HYPERLINK("https://klasma.github.io/Logging_2085/tillsynsmail/A 55399-2025 tillsynsbegäran mail.docx", "A 55399-2025")</f>
        <v/>
      </c>
      <c r="Z660">
        <f>HYPERLINK("https://klasma.github.io/Logging_2085/fåglar/A 55399-2025 prioriterade fågelarter.docx", "A 55399-2025")</f>
        <v/>
      </c>
    </row>
    <row r="661" ht="15" customHeight="1">
      <c r="A661" t="inlineStr">
        <is>
          <t>A 18745-2025</t>
        </is>
      </c>
      <c r="B661" s="1" t="n">
        <v>45763.75976851852</v>
      </c>
      <c r="C661" s="1" t="n">
        <v>46114</v>
      </c>
      <c r="D661" t="inlineStr">
        <is>
          <t>DALARNAS LÄN</t>
        </is>
      </c>
      <c r="E661" t="inlineStr">
        <is>
          <t>SMEDJEBACKEN</t>
        </is>
      </c>
      <c r="F661" t="inlineStr">
        <is>
          <t>Övriga Aktiebolag</t>
        </is>
      </c>
      <c r="G661" t="n">
        <v>2.9</v>
      </c>
      <c r="H661" t="n">
        <v>1</v>
      </c>
      <c r="I661" t="n">
        <v>1</v>
      </c>
      <c r="J661" t="n">
        <v>1</v>
      </c>
      <c r="K661" t="n">
        <v>0</v>
      </c>
      <c r="L661" t="n">
        <v>0</v>
      </c>
      <c r="M661" t="n">
        <v>0</v>
      </c>
      <c r="N661" t="n">
        <v>0</v>
      </c>
      <c r="O661" t="n">
        <v>1</v>
      </c>
      <c r="P661" t="n">
        <v>0</v>
      </c>
      <c r="Q661" t="n">
        <v>2</v>
      </c>
      <c r="R661" s="2" t="inlineStr">
        <is>
          <t>Spillkråka
Jättesvampmal</t>
        </is>
      </c>
      <c r="S661">
        <f>HYPERLINK("https://klasma.github.io/Logging_2061/artfynd/A 18745-2025 artfynd.xlsx", "A 18745-2025")</f>
        <v/>
      </c>
      <c r="T661">
        <f>HYPERLINK("https://klasma.github.io/Logging_2061/kartor/A 18745-2025 karta.png", "A 18745-2025")</f>
        <v/>
      </c>
      <c r="V661">
        <f>HYPERLINK("https://klasma.github.io/Logging_2061/klagomål/A 18745-2025 FSC-klagomål.docx", "A 18745-2025")</f>
        <v/>
      </c>
      <c r="W661">
        <f>HYPERLINK("https://klasma.github.io/Logging_2061/klagomålsmail/A 18745-2025 FSC-klagomål mail.docx", "A 18745-2025")</f>
        <v/>
      </c>
      <c r="X661">
        <f>HYPERLINK("https://klasma.github.io/Logging_2061/tillsyn/A 18745-2025 tillsynsbegäran.docx", "A 18745-2025")</f>
        <v/>
      </c>
      <c r="Y661">
        <f>HYPERLINK("https://klasma.github.io/Logging_2061/tillsynsmail/A 18745-2025 tillsynsbegäran mail.docx", "A 18745-2025")</f>
        <v/>
      </c>
      <c r="Z661">
        <f>HYPERLINK("https://klasma.github.io/Logging_2061/fåglar/A 18745-2025 prioriterade fågelarter.docx", "A 18745-2025")</f>
        <v/>
      </c>
    </row>
    <row r="662" ht="15" customHeight="1">
      <c r="A662" t="inlineStr">
        <is>
          <t>A 23652-2023</t>
        </is>
      </c>
      <c r="B662" s="1" t="n">
        <v>45074</v>
      </c>
      <c r="C662" s="1" t="n">
        <v>46114</v>
      </c>
      <c r="D662" t="inlineStr">
        <is>
          <t>DALARNAS LÄN</t>
        </is>
      </c>
      <c r="E662" t="inlineStr">
        <is>
          <t>BORLÄNGE</t>
        </is>
      </c>
      <c r="G662" t="n">
        <v>1.4</v>
      </c>
      <c r="H662" t="n">
        <v>1</v>
      </c>
      <c r="I662" t="n">
        <v>1</v>
      </c>
      <c r="J662" t="n">
        <v>1</v>
      </c>
      <c r="K662" t="n">
        <v>0</v>
      </c>
      <c r="L662" t="n">
        <v>0</v>
      </c>
      <c r="M662" t="n">
        <v>0</v>
      </c>
      <c r="N662" t="n">
        <v>0</v>
      </c>
      <c r="O662" t="n">
        <v>1</v>
      </c>
      <c r="P662" t="n">
        <v>0</v>
      </c>
      <c r="Q662" t="n">
        <v>2</v>
      </c>
      <c r="R662" s="2" t="inlineStr">
        <is>
          <t>Spillkråka
Tibast</t>
        </is>
      </c>
      <c r="S662">
        <f>HYPERLINK("https://klasma.github.io/Logging_2081/artfynd/A 23652-2023 artfynd.xlsx", "A 23652-2023")</f>
        <v/>
      </c>
      <c r="T662">
        <f>HYPERLINK("https://klasma.github.io/Logging_2081/kartor/A 23652-2023 karta.png", "A 23652-2023")</f>
        <v/>
      </c>
      <c r="V662">
        <f>HYPERLINK("https://klasma.github.io/Logging_2081/klagomål/A 23652-2023 FSC-klagomål.docx", "A 23652-2023")</f>
        <v/>
      </c>
      <c r="W662">
        <f>HYPERLINK("https://klasma.github.io/Logging_2081/klagomålsmail/A 23652-2023 FSC-klagomål mail.docx", "A 23652-2023")</f>
        <v/>
      </c>
      <c r="X662">
        <f>HYPERLINK("https://klasma.github.io/Logging_2081/tillsyn/A 23652-2023 tillsynsbegäran.docx", "A 23652-2023")</f>
        <v/>
      </c>
      <c r="Y662">
        <f>HYPERLINK("https://klasma.github.io/Logging_2081/tillsynsmail/A 23652-2023 tillsynsbegäran mail.docx", "A 23652-2023")</f>
        <v/>
      </c>
      <c r="Z662">
        <f>HYPERLINK("https://klasma.github.io/Logging_2081/fåglar/A 23652-2023 prioriterade fågelarter.docx", "A 23652-2023")</f>
        <v/>
      </c>
    </row>
    <row r="663" ht="15" customHeight="1">
      <c r="A663" t="inlineStr">
        <is>
          <t>A 56866-2025</t>
        </is>
      </c>
      <c r="B663" s="1" t="n">
        <v>45978.51803240741</v>
      </c>
      <c r="C663" s="1" t="n">
        <v>46114</v>
      </c>
      <c r="D663" t="inlineStr">
        <is>
          <t>DALARNAS LÄN</t>
        </is>
      </c>
      <c r="E663" t="inlineStr">
        <is>
          <t>RÄTTVIK</t>
        </is>
      </c>
      <c r="G663" t="n">
        <v>6.4</v>
      </c>
      <c r="H663" t="n">
        <v>0</v>
      </c>
      <c r="I663" t="n">
        <v>0</v>
      </c>
      <c r="J663" t="n">
        <v>1</v>
      </c>
      <c r="K663" t="n">
        <v>1</v>
      </c>
      <c r="L663" t="n">
        <v>0</v>
      </c>
      <c r="M663" t="n">
        <v>0</v>
      </c>
      <c r="N663" t="n">
        <v>0</v>
      </c>
      <c r="O663" t="n">
        <v>2</v>
      </c>
      <c r="P663" t="n">
        <v>1</v>
      </c>
      <c r="Q663" t="n">
        <v>2</v>
      </c>
      <c r="R663" s="2" t="inlineStr">
        <is>
          <t>Rynkskinn
Ullticka</t>
        </is>
      </c>
      <c r="S663">
        <f>HYPERLINK("https://klasma.github.io/Logging_2031/artfynd/A 56866-2025 artfynd.xlsx", "A 56866-2025")</f>
        <v/>
      </c>
      <c r="T663">
        <f>HYPERLINK("https://klasma.github.io/Logging_2031/kartor/A 56866-2025 karta.png", "A 56866-2025")</f>
        <v/>
      </c>
      <c r="V663">
        <f>HYPERLINK("https://klasma.github.io/Logging_2031/klagomål/A 56866-2025 FSC-klagomål.docx", "A 56866-2025")</f>
        <v/>
      </c>
      <c r="W663">
        <f>HYPERLINK("https://klasma.github.io/Logging_2031/klagomålsmail/A 56866-2025 FSC-klagomål mail.docx", "A 56866-2025")</f>
        <v/>
      </c>
      <c r="X663">
        <f>HYPERLINK("https://klasma.github.io/Logging_2031/tillsyn/A 56866-2025 tillsynsbegäran.docx", "A 56866-2025")</f>
        <v/>
      </c>
      <c r="Y663">
        <f>HYPERLINK("https://klasma.github.io/Logging_2031/tillsynsmail/A 56866-2025 tillsynsbegäran mail.docx", "A 56866-2025")</f>
        <v/>
      </c>
    </row>
    <row r="664" ht="15" customHeight="1">
      <c r="A664" t="inlineStr">
        <is>
          <t>A 56879-2025</t>
        </is>
      </c>
      <c r="B664" s="1" t="n">
        <v>45978</v>
      </c>
      <c r="C664" s="1" t="n">
        <v>46114</v>
      </c>
      <c r="D664" t="inlineStr">
        <is>
          <t>DALARNAS LÄN</t>
        </is>
      </c>
      <c r="E664" t="inlineStr">
        <is>
          <t>LUDVIKA</t>
        </is>
      </c>
      <c r="F664" t="inlineStr">
        <is>
          <t>Bergvik skog väst AB</t>
        </is>
      </c>
      <c r="G664" t="n">
        <v>1.6</v>
      </c>
      <c r="H664" t="n">
        <v>1</v>
      </c>
      <c r="I664" t="n">
        <v>0</v>
      </c>
      <c r="J664" t="n">
        <v>1</v>
      </c>
      <c r="K664" t="n">
        <v>0</v>
      </c>
      <c r="L664" t="n">
        <v>0</v>
      </c>
      <c r="M664" t="n">
        <v>0</v>
      </c>
      <c r="N664" t="n">
        <v>0</v>
      </c>
      <c r="O664" t="n">
        <v>1</v>
      </c>
      <c r="P664" t="n">
        <v>0</v>
      </c>
      <c r="Q664" t="n">
        <v>2</v>
      </c>
      <c r="R664" s="2" t="inlineStr">
        <is>
          <t>Garnlav
Tjäder</t>
        </is>
      </c>
      <c r="S664">
        <f>HYPERLINK("https://klasma.github.io/Logging_2085/artfynd/A 56879-2025 artfynd.xlsx", "A 56879-2025")</f>
        <v/>
      </c>
      <c r="T664">
        <f>HYPERLINK("https://klasma.github.io/Logging_2085/kartor/A 56879-2025 karta.png", "A 56879-2025")</f>
        <v/>
      </c>
      <c r="V664">
        <f>HYPERLINK("https://klasma.github.io/Logging_2085/klagomål/A 56879-2025 FSC-klagomål.docx", "A 56879-2025")</f>
        <v/>
      </c>
      <c r="W664">
        <f>HYPERLINK("https://klasma.github.io/Logging_2085/klagomålsmail/A 56879-2025 FSC-klagomål mail.docx", "A 56879-2025")</f>
        <v/>
      </c>
      <c r="X664">
        <f>HYPERLINK("https://klasma.github.io/Logging_2085/tillsyn/A 56879-2025 tillsynsbegäran.docx", "A 56879-2025")</f>
        <v/>
      </c>
      <c r="Y664">
        <f>HYPERLINK("https://klasma.github.io/Logging_2085/tillsynsmail/A 56879-2025 tillsynsbegäran mail.docx", "A 56879-2025")</f>
        <v/>
      </c>
      <c r="Z664">
        <f>HYPERLINK("https://klasma.github.io/Logging_2085/fåglar/A 56879-2025 prioriterade fågelarter.docx", "A 56879-2025")</f>
        <v/>
      </c>
    </row>
    <row r="665" ht="15" customHeight="1">
      <c r="A665" t="inlineStr">
        <is>
          <t>A 58476-2025</t>
        </is>
      </c>
      <c r="B665" s="1" t="n">
        <v>45985.64229166666</v>
      </c>
      <c r="C665" s="1" t="n">
        <v>46114</v>
      </c>
      <c r="D665" t="inlineStr">
        <is>
          <t>DALARNAS LÄN</t>
        </is>
      </c>
      <c r="E665" t="inlineStr">
        <is>
          <t>ÄLVDALEN</t>
        </is>
      </c>
      <c r="F665" t="inlineStr">
        <is>
          <t>Allmännings- och besparingsskogar</t>
        </is>
      </c>
      <c r="G665" t="n">
        <v>17.9</v>
      </c>
      <c r="H665" t="n">
        <v>2</v>
      </c>
      <c r="I665" t="n">
        <v>0</v>
      </c>
      <c r="J665" t="n">
        <v>0</v>
      </c>
      <c r="K665" t="n">
        <v>0</v>
      </c>
      <c r="L665" t="n">
        <v>0</v>
      </c>
      <c r="M665" t="n">
        <v>0</v>
      </c>
      <c r="N665" t="n">
        <v>0</v>
      </c>
      <c r="O665" t="n">
        <v>0</v>
      </c>
      <c r="P665" t="n">
        <v>0</v>
      </c>
      <c r="Q665" t="n">
        <v>2</v>
      </c>
      <c r="R665" s="2" t="inlineStr">
        <is>
          <t>Tjäder
Huggorm</t>
        </is>
      </c>
      <c r="S665">
        <f>HYPERLINK("https://klasma.github.io/Logging_2039/artfynd/A 58476-2025 artfynd.xlsx", "A 58476-2025")</f>
        <v/>
      </c>
      <c r="T665">
        <f>HYPERLINK("https://klasma.github.io/Logging_2039/kartor/A 58476-2025 karta.png", "A 58476-2025")</f>
        <v/>
      </c>
      <c r="V665">
        <f>HYPERLINK("https://klasma.github.io/Logging_2039/klagomål/A 58476-2025 FSC-klagomål.docx", "A 58476-2025")</f>
        <v/>
      </c>
      <c r="W665">
        <f>HYPERLINK("https://klasma.github.io/Logging_2039/klagomålsmail/A 58476-2025 FSC-klagomål mail.docx", "A 58476-2025")</f>
        <v/>
      </c>
      <c r="X665">
        <f>HYPERLINK("https://klasma.github.io/Logging_2039/tillsyn/A 58476-2025 tillsynsbegäran.docx", "A 58476-2025")</f>
        <v/>
      </c>
      <c r="Y665">
        <f>HYPERLINK("https://klasma.github.io/Logging_2039/tillsynsmail/A 58476-2025 tillsynsbegäran mail.docx", "A 58476-2025")</f>
        <v/>
      </c>
      <c r="Z665">
        <f>HYPERLINK("https://klasma.github.io/Logging_2039/fåglar/A 58476-2025 prioriterade fågelarter.docx", "A 58476-2025")</f>
        <v/>
      </c>
    </row>
    <row r="666" ht="15" customHeight="1">
      <c r="A666" t="inlineStr">
        <is>
          <t>A 1518-2025</t>
        </is>
      </c>
      <c r="B666" s="1" t="n">
        <v>45670</v>
      </c>
      <c r="C666" s="1" t="n">
        <v>46114</v>
      </c>
      <c r="D666" t="inlineStr">
        <is>
          <t>DALARNAS LÄN</t>
        </is>
      </c>
      <c r="E666" t="inlineStr">
        <is>
          <t>HEDEMORA</t>
        </is>
      </c>
      <c r="G666" t="n">
        <v>3.8</v>
      </c>
      <c r="H666" t="n">
        <v>1</v>
      </c>
      <c r="I666" t="n">
        <v>0</v>
      </c>
      <c r="J666" t="n">
        <v>1</v>
      </c>
      <c r="K666" t="n">
        <v>1</v>
      </c>
      <c r="L666" t="n">
        <v>0</v>
      </c>
      <c r="M666" t="n">
        <v>0</v>
      </c>
      <c r="N666" t="n">
        <v>0</v>
      </c>
      <c r="O666" t="n">
        <v>2</v>
      </c>
      <c r="P666" t="n">
        <v>1</v>
      </c>
      <c r="Q666" t="n">
        <v>2</v>
      </c>
      <c r="R666" s="2" t="inlineStr">
        <is>
          <t>Knärot
Ullticka</t>
        </is>
      </c>
      <c r="S666">
        <f>HYPERLINK("https://klasma.github.io/Logging_2083/artfynd/A 1518-2025 artfynd.xlsx", "A 1518-2025")</f>
        <v/>
      </c>
      <c r="T666">
        <f>HYPERLINK("https://klasma.github.io/Logging_2083/kartor/A 1518-2025 karta.png", "A 1518-2025")</f>
        <v/>
      </c>
      <c r="U666">
        <f>HYPERLINK("https://klasma.github.io/Logging_2083/knärot/A 1518-2025 karta knärot.png", "A 1518-2025")</f>
        <v/>
      </c>
      <c r="V666">
        <f>HYPERLINK("https://klasma.github.io/Logging_2083/klagomål/A 1518-2025 FSC-klagomål.docx", "A 1518-2025")</f>
        <v/>
      </c>
      <c r="W666">
        <f>HYPERLINK("https://klasma.github.io/Logging_2083/klagomålsmail/A 1518-2025 FSC-klagomål mail.docx", "A 1518-2025")</f>
        <v/>
      </c>
      <c r="X666">
        <f>HYPERLINK("https://klasma.github.io/Logging_2083/tillsyn/A 1518-2025 tillsynsbegäran.docx", "A 1518-2025")</f>
        <v/>
      </c>
      <c r="Y666">
        <f>HYPERLINK("https://klasma.github.io/Logging_2083/tillsynsmail/A 1518-2025 tillsynsbegäran mail.docx", "A 1518-2025")</f>
        <v/>
      </c>
    </row>
    <row r="667" ht="15" customHeight="1">
      <c r="A667" t="inlineStr">
        <is>
          <t>A 58555-2025</t>
        </is>
      </c>
      <c r="B667" s="1" t="n">
        <v>45986.33803240741</v>
      </c>
      <c r="C667" s="1" t="n">
        <v>46114</v>
      </c>
      <c r="D667" t="inlineStr">
        <is>
          <t>DALARNAS LÄN</t>
        </is>
      </c>
      <c r="E667" t="inlineStr">
        <is>
          <t>RÄTTVIK</t>
        </is>
      </c>
      <c r="F667" t="inlineStr">
        <is>
          <t>Bergvik skog väst AB</t>
        </is>
      </c>
      <c r="G667" t="n">
        <v>2</v>
      </c>
      <c r="H667" t="n">
        <v>0</v>
      </c>
      <c r="I667" t="n">
        <v>0</v>
      </c>
      <c r="J667" t="n">
        <v>1</v>
      </c>
      <c r="K667" t="n">
        <v>1</v>
      </c>
      <c r="L667" t="n">
        <v>0</v>
      </c>
      <c r="M667" t="n">
        <v>0</v>
      </c>
      <c r="N667" t="n">
        <v>0</v>
      </c>
      <c r="O667" t="n">
        <v>2</v>
      </c>
      <c r="P667" t="n">
        <v>1</v>
      </c>
      <c r="Q667" t="n">
        <v>2</v>
      </c>
      <c r="R667" s="2" t="inlineStr">
        <is>
          <t>Rynkskinn
Garnlav</t>
        </is>
      </c>
      <c r="S667">
        <f>HYPERLINK("https://klasma.github.io/Logging_2031/artfynd/A 58555-2025 artfynd.xlsx", "A 58555-2025")</f>
        <v/>
      </c>
      <c r="T667">
        <f>HYPERLINK("https://klasma.github.io/Logging_2031/kartor/A 58555-2025 karta.png", "A 58555-2025")</f>
        <v/>
      </c>
      <c r="V667">
        <f>HYPERLINK("https://klasma.github.io/Logging_2031/klagomål/A 58555-2025 FSC-klagomål.docx", "A 58555-2025")</f>
        <v/>
      </c>
      <c r="W667">
        <f>HYPERLINK("https://klasma.github.io/Logging_2031/klagomålsmail/A 58555-2025 FSC-klagomål mail.docx", "A 58555-2025")</f>
        <v/>
      </c>
      <c r="X667">
        <f>HYPERLINK("https://klasma.github.io/Logging_2031/tillsyn/A 58555-2025 tillsynsbegäran.docx", "A 58555-2025")</f>
        <v/>
      </c>
      <c r="Y667">
        <f>HYPERLINK("https://klasma.github.io/Logging_2031/tillsynsmail/A 58555-2025 tillsynsbegäran mail.docx", "A 58555-2025")</f>
        <v/>
      </c>
    </row>
    <row r="668" ht="15" customHeight="1">
      <c r="A668" t="inlineStr">
        <is>
          <t>A 28930-2025</t>
        </is>
      </c>
      <c r="B668" s="1" t="n">
        <v>45820</v>
      </c>
      <c r="C668" s="1" t="n">
        <v>46114</v>
      </c>
      <c r="D668" t="inlineStr">
        <is>
          <t>DALARNAS LÄN</t>
        </is>
      </c>
      <c r="E668" t="inlineStr">
        <is>
          <t>FALUN</t>
        </is>
      </c>
      <c r="G668" t="n">
        <v>1.6</v>
      </c>
      <c r="H668" t="n">
        <v>2</v>
      </c>
      <c r="I668" t="n">
        <v>0</v>
      </c>
      <c r="J668" t="n">
        <v>0</v>
      </c>
      <c r="K668" t="n">
        <v>1</v>
      </c>
      <c r="L668" t="n">
        <v>0</v>
      </c>
      <c r="M668" t="n">
        <v>0</v>
      </c>
      <c r="N668" t="n">
        <v>0</v>
      </c>
      <c r="O668" t="n">
        <v>1</v>
      </c>
      <c r="P668" t="n">
        <v>1</v>
      </c>
      <c r="Q668" t="n">
        <v>2</v>
      </c>
      <c r="R668" s="2" t="inlineStr">
        <is>
          <t>Knärot
Kungsfågel</t>
        </is>
      </c>
      <c r="S668">
        <f>HYPERLINK("https://klasma.github.io/Logging_2080/artfynd/A 28930-2025 artfynd.xlsx", "A 28930-2025")</f>
        <v/>
      </c>
      <c r="T668">
        <f>HYPERLINK("https://klasma.github.io/Logging_2080/kartor/A 28930-2025 karta.png", "A 28930-2025")</f>
        <v/>
      </c>
      <c r="U668">
        <f>HYPERLINK("https://klasma.github.io/Logging_2080/knärot/A 28930-2025 karta knärot.png", "A 28930-2025")</f>
        <v/>
      </c>
      <c r="V668">
        <f>HYPERLINK("https://klasma.github.io/Logging_2080/klagomål/A 28930-2025 FSC-klagomål.docx", "A 28930-2025")</f>
        <v/>
      </c>
      <c r="W668">
        <f>HYPERLINK("https://klasma.github.io/Logging_2080/klagomålsmail/A 28930-2025 FSC-klagomål mail.docx", "A 28930-2025")</f>
        <v/>
      </c>
      <c r="X668">
        <f>HYPERLINK("https://klasma.github.io/Logging_2080/tillsyn/A 28930-2025 tillsynsbegäran.docx", "A 28930-2025")</f>
        <v/>
      </c>
      <c r="Y668">
        <f>HYPERLINK("https://klasma.github.io/Logging_2080/tillsynsmail/A 28930-2025 tillsynsbegäran mail.docx", "A 28930-2025")</f>
        <v/>
      </c>
      <c r="Z668">
        <f>HYPERLINK("https://klasma.github.io/Logging_2080/fåglar/A 28930-2025 prioriterade fågelarter.docx", "A 28930-2025")</f>
        <v/>
      </c>
    </row>
    <row r="669" ht="15" customHeight="1">
      <c r="A669" t="inlineStr">
        <is>
          <t>A 59951-2025</t>
        </is>
      </c>
      <c r="B669" s="1" t="n">
        <v>45993.45759259259</v>
      </c>
      <c r="C669" s="1" t="n">
        <v>46114</v>
      </c>
      <c r="D669" t="inlineStr">
        <is>
          <t>DALARNAS LÄN</t>
        </is>
      </c>
      <c r="E669" t="inlineStr">
        <is>
          <t>ÄLVDALEN</t>
        </is>
      </c>
      <c r="F669" t="inlineStr">
        <is>
          <t>Bergvik skog väst AB</t>
        </is>
      </c>
      <c r="G669" t="n">
        <v>13</v>
      </c>
      <c r="H669" t="n">
        <v>0</v>
      </c>
      <c r="I669" t="n">
        <v>0</v>
      </c>
      <c r="J669" t="n">
        <v>2</v>
      </c>
      <c r="K669" t="n">
        <v>0</v>
      </c>
      <c r="L669" t="n">
        <v>0</v>
      </c>
      <c r="M669" t="n">
        <v>0</v>
      </c>
      <c r="N669" t="n">
        <v>0</v>
      </c>
      <c r="O669" t="n">
        <v>2</v>
      </c>
      <c r="P669" t="n">
        <v>0</v>
      </c>
      <c r="Q669" t="n">
        <v>2</v>
      </c>
      <c r="R669" s="2" t="inlineStr">
        <is>
          <t>Garnlav
Mörk kolflarnlav</t>
        </is>
      </c>
      <c r="S669">
        <f>HYPERLINK("https://klasma.github.io/Logging_2039/artfynd/A 59951-2025 artfynd.xlsx", "A 59951-2025")</f>
        <v/>
      </c>
      <c r="T669">
        <f>HYPERLINK("https://klasma.github.io/Logging_2039/kartor/A 59951-2025 karta.png", "A 59951-2025")</f>
        <v/>
      </c>
      <c r="V669">
        <f>HYPERLINK("https://klasma.github.io/Logging_2039/klagomål/A 59951-2025 FSC-klagomål.docx", "A 59951-2025")</f>
        <v/>
      </c>
      <c r="W669">
        <f>HYPERLINK("https://klasma.github.io/Logging_2039/klagomålsmail/A 59951-2025 FSC-klagomål mail.docx", "A 59951-2025")</f>
        <v/>
      </c>
      <c r="X669">
        <f>HYPERLINK("https://klasma.github.io/Logging_2039/tillsyn/A 59951-2025 tillsynsbegäran.docx", "A 59951-2025")</f>
        <v/>
      </c>
      <c r="Y669">
        <f>HYPERLINK("https://klasma.github.io/Logging_2039/tillsynsmail/A 59951-2025 tillsynsbegäran mail.docx", "A 59951-2025")</f>
        <v/>
      </c>
    </row>
    <row r="670" ht="15" customHeight="1">
      <c r="A670" t="inlineStr">
        <is>
          <t>A 16845-2024</t>
        </is>
      </c>
      <c r="B670" s="1" t="n">
        <v>45411.49836805555</v>
      </c>
      <c r="C670" s="1" t="n">
        <v>46114</v>
      </c>
      <c r="D670" t="inlineStr">
        <is>
          <t>DALARNAS LÄN</t>
        </is>
      </c>
      <c r="E670" t="inlineStr">
        <is>
          <t>SÄTER</t>
        </is>
      </c>
      <c r="G670" t="n">
        <v>1.4</v>
      </c>
      <c r="H670" t="n">
        <v>2</v>
      </c>
      <c r="I670" t="n">
        <v>0</v>
      </c>
      <c r="J670" t="n">
        <v>1</v>
      </c>
      <c r="K670" t="n">
        <v>0</v>
      </c>
      <c r="L670" t="n">
        <v>0</v>
      </c>
      <c r="M670" t="n">
        <v>0</v>
      </c>
      <c r="N670" t="n">
        <v>0</v>
      </c>
      <c r="O670" t="n">
        <v>1</v>
      </c>
      <c r="P670" t="n">
        <v>0</v>
      </c>
      <c r="Q670" t="n">
        <v>2</v>
      </c>
      <c r="R670" s="2" t="inlineStr">
        <is>
          <t>Järpe
Kungsfågel</t>
        </is>
      </c>
      <c r="S670">
        <f>HYPERLINK("https://klasma.github.io/Logging_2082/artfynd/A 16845-2024 artfynd.xlsx", "A 16845-2024")</f>
        <v/>
      </c>
      <c r="T670">
        <f>HYPERLINK("https://klasma.github.io/Logging_2082/kartor/A 16845-2024 karta.png", "A 16845-2024")</f>
        <v/>
      </c>
      <c r="V670">
        <f>HYPERLINK("https://klasma.github.io/Logging_2082/klagomål/A 16845-2024 FSC-klagomål.docx", "A 16845-2024")</f>
        <v/>
      </c>
      <c r="W670">
        <f>HYPERLINK("https://klasma.github.io/Logging_2082/klagomålsmail/A 16845-2024 FSC-klagomål mail.docx", "A 16845-2024")</f>
        <v/>
      </c>
      <c r="X670">
        <f>HYPERLINK("https://klasma.github.io/Logging_2082/tillsyn/A 16845-2024 tillsynsbegäran.docx", "A 16845-2024")</f>
        <v/>
      </c>
      <c r="Y670">
        <f>HYPERLINK("https://klasma.github.io/Logging_2082/tillsynsmail/A 16845-2024 tillsynsbegäran mail.docx", "A 16845-2024")</f>
        <v/>
      </c>
      <c r="Z670">
        <f>HYPERLINK("https://klasma.github.io/Logging_2082/fåglar/A 16845-2024 prioriterade fågelarter.docx", "A 16845-2024")</f>
        <v/>
      </c>
    </row>
    <row r="671" ht="15" customHeight="1">
      <c r="A671" t="inlineStr">
        <is>
          <t>A 60978-2025</t>
        </is>
      </c>
      <c r="B671" s="1" t="n">
        <v>45999.69931712963</v>
      </c>
      <c r="C671" s="1" t="n">
        <v>46114</v>
      </c>
      <c r="D671" t="inlineStr">
        <is>
          <t>DALARNAS LÄN</t>
        </is>
      </c>
      <c r="E671" t="inlineStr">
        <is>
          <t>MALUNG-SÄLEN</t>
        </is>
      </c>
      <c r="F671" t="inlineStr">
        <is>
          <t>Allmännings- och besparingsskogar</t>
        </is>
      </c>
      <c r="G671" t="n">
        <v>22</v>
      </c>
      <c r="H671" t="n">
        <v>0</v>
      </c>
      <c r="I671" t="n">
        <v>0</v>
      </c>
      <c r="J671" t="n">
        <v>2</v>
      </c>
      <c r="K671" t="n">
        <v>0</v>
      </c>
      <c r="L671" t="n">
        <v>0</v>
      </c>
      <c r="M671" t="n">
        <v>0</v>
      </c>
      <c r="N671" t="n">
        <v>0</v>
      </c>
      <c r="O671" t="n">
        <v>2</v>
      </c>
      <c r="P671" t="n">
        <v>0</v>
      </c>
      <c r="Q671" t="n">
        <v>2</v>
      </c>
      <c r="R671" s="2" t="inlineStr">
        <is>
          <t>Vedskivlav
Violettgrå tagellav</t>
        </is>
      </c>
      <c r="S671">
        <f>HYPERLINK("https://klasma.github.io/Logging_2023/artfynd/A 60978-2025 artfynd.xlsx", "A 60978-2025")</f>
        <v/>
      </c>
      <c r="T671">
        <f>HYPERLINK("https://klasma.github.io/Logging_2023/kartor/A 60978-2025 karta.png", "A 60978-2025")</f>
        <v/>
      </c>
      <c r="V671">
        <f>HYPERLINK("https://klasma.github.io/Logging_2023/klagomål/A 60978-2025 FSC-klagomål.docx", "A 60978-2025")</f>
        <v/>
      </c>
      <c r="W671">
        <f>HYPERLINK("https://klasma.github.io/Logging_2023/klagomålsmail/A 60978-2025 FSC-klagomål mail.docx", "A 60978-2025")</f>
        <v/>
      </c>
      <c r="X671">
        <f>HYPERLINK("https://klasma.github.io/Logging_2023/tillsyn/A 60978-2025 tillsynsbegäran.docx", "A 60978-2025")</f>
        <v/>
      </c>
      <c r="Y671">
        <f>HYPERLINK("https://klasma.github.io/Logging_2023/tillsynsmail/A 60978-2025 tillsynsbegäran mail.docx", "A 60978-2025")</f>
        <v/>
      </c>
    </row>
    <row r="672" ht="15" customHeight="1">
      <c r="A672" t="inlineStr">
        <is>
          <t>A 49763-2025</t>
        </is>
      </c>
      <c r="B672" s="1" t="n">
        <v>45940</v>
      </c>
      <c r="C672" s="1" t="n">
        <v>46114</v>
      </c>
      <c r="D672" t="inlineStr">
        <is>
          <t>DALARNAS LÄN</t>
        </is>
      </c>
      <c r="E672" t="inlineStr">
        <is>
          <t>LUDVIKA</t>
        </is>
      </c>
      <c r="F672" t="inlineStr">
        <is>
          <t>Bergvik skog väst AB</t>
        </is>
      </c>
      <c r="G672" t="n">
        <v>6.9</v>
      </c>
      <c r="H672" t="n">
        <v>0</v>
      </c>
      <c r="I672" t="n">
        <v>1</v>
      </c>
      <c r="J672" t="n">
        <v>1</v>
      </c>
      <c r="K672" t="n">
        <v>0</v>
      </c>
      <c r="L672" t="n">
        <v>0</v>
      </c>
      <c r="M672" t="n">
        <v>0</v>
      </c>
      <c r="N672" t="n">
        <v>0</v>
      </c>
      <c r="O672" t="n">
        <v>1</v>
      </c>
      <c r="P672" t="n">
        <v>0</v>
      </c>
      <c r="Q672" t="n">
        <v>2</v>
      </c>
      <c r="R672" s="2" t="inlineStr">
        <is>
          <t>Dvärgbägarlav
Vedticka</t>
        </is>
      </c>
      <c r="S672">
        <f>HYPERLINK("https://klasma.github.io/Logging_2085/artfynd/A 49763-2025 artfynd.xlsx", "A 49763-2025")</f>
        <v/>
      </c>
      <c r="T672">
        <f>HYPERLINK("https://klasma.github.io/Logging_2085/kartor/A 49763-2025 karta.png", "A 49763-2025")</f>
        <v/>
      </c>
      <c r="V672">
        <f>HYPERLINK("https://klasma.github.io/Logging_2085/klagomål/A 49763-2025 FSC-klagomål.docx", "A 49763-2025")</f>
        <v/>
      </c>
      <c r="W672">
        <f>HYPERLINK("https://klasma.github.io/Logging_2085/klagomålsmail/A 49763-2025 FSC-klagomål mail.docx", "A 49763-2025")</f>
        <v/>
      </c>
      <c r="X672">
        <f>HYPERLINK("https://klasma.github.io/Logging_2085/tillsyn/A 49763-2025 tillsynsbegäran.docx", "A 49763-2025")</f>
        <v/>
      </c>
      <c r="Y672">
        <f>HYPERLINK("https://klasma.github.io/Logging_2085/tillsynsmail/A 49763-2025 tillsynsbegäran mail.docx", "A 49763-2025")</f>
        <v/>
      </c>
    </row>
    <row r="673" ht="15" customHeight="1">
      <c r="A673" t="inlineStr">
        <is>
          <t>A 31164-2025</t>
        </is>
      </c>
      <c r="B673" s="1" t="n">
        <v>45832</v>
      </c>
      <c r="C673" s="1" t="n">
        <v>46114</v>
      </c>
      <c r="D673" t="inlineStr">
        <is>
          <t>DALARNAS LÄN</t>
        </is>
      </c>
      <c r="E673" t="inlineStr">
        <is>
          <t>ORSA</t>
        </is>
      </c>
      <c r="G673" t="n">
        <v>0.9</v>
      </c>
      <c r="H673" t="n">
        <v>1</v>
      </c>
      <c r="I673" t="n">
        <v>0</v>
      </c>
      <c r="J673" t="n">
        <v>2</v>
      </c>
      <c r="K673" t="n">
        <v>0</v>
      </c>
      <c r="L673" t="n">
        <v>0</v>
      </c>
      <c r="M673" t="n">
        <v>0</v>
      </c>
      <c r="N673" t="n">
        <v>0</v>
      </c>
      <c r="O673" t="n">
        <v>2</v>
      </c>
      <c r="P673" t="n">
        <v>0</v>
      </c>
      <c r="Q673" t="n">
        <v>2</v>
      </c>
      <c r="R673" s="2" t="inlineStr">
        <is>
          <t>Garnlav
Tretåig hackspett</t>
        </is>
      </c>
      <c r="S673">
        <f>HYPERLINK("https://klasma.github.io/Logging_2034/artfynd/A 31164-2025 artfynd.xlsx", "A 31164-2025")</f>
        <v/>
      </c>
      <c r="T673">
        <f>HYPERLINK("https://klasma.github.io/Logging_2034/kartor/A 31164-2025 karta.png", "A 31164-2025")</f>
        <v/>
      </c>
      <c r="V673">
        <f>HYPERLINK("https://klasma.github.io/Logging_2034/klagomål/A 31164-2025 FSC-klagomål.docx", "A 31164-2025")</f>
        <v/>
      </c>
      <c r="W673">
        <f>HYPERLINK("https://klasma.github.io/Logging_2034/klagomålsmail/A 31164-2025 FSC-klagomål mail.docx", "A 31164-2025")</f>
        <v/>
      </c>
      <c r="X673">
        <f>HYPERLINK("https://klasma.github.io/Logging_2034/tillsyn/A 31164-2025 tillsynsbegäran.docx", "A 31164-2025")</f>
        <v/>
      </c>
      <c r="Y673">
        <f>HYPERLINK("https://klasma.github.io/Logging_2034/tillsynsmail/A 31164-2025 tillsynsbegäran mail.docx", "A 31164-2025")</f>
        <v/>
      </c>
      <c r="Z673">
        <f>HYPERLINK("https://klasma.github.io/Logging_2034/fåglar/A 31164-2025 prioriterade fågelarter.docx", "A 31164-2025")</f>
        <v/>
      </c>
    </row>
    <row r="674" ht="15" customHeight="1">
      <c r="A674" t="inlineStr">
        <is>
          <t>A 47005-2025</t>
        </is>
      </c>
      <c r="B674" s="1" t="n">
        <v>45929.55561342592</v>
      </c>
      <c r="C674" s="1" t="n">
        <v>46114</v>
      </c>
      <c r="D674" t="inlineStr">
        <is>
          <t>DALARNAS LÄN</t>
        </is>
      </c>
      <c r="E674" t="inlineStr">
        <is>
          <t>FALUN</t>
        </is>
      </c>
      <c r="G674" t="n">
        <v>2.7</v>
      </c>
      <c r="H674" t="n">
        <v>2</v>
      </c>
      <c r="I674" t="n">
        <v>0</v>
      </c>
      <c r="J674" t="n">
        <v>1</v>
      </c>
      <c r="K674" t="n">
        <v>0</v>
      </c>
      <c r="L674" t="n">
        <v>0</v>
      </c>
      <c r="M674" t="n">
        <v>0</v>
      </c>
      <c r="N674" t="n">
        <v>0</v>
      </c>
      <c r="O674" t="n">
        <v>1</v>
      </c>
      <c r="P674" t="n">
        <v>0</v>
      </c>
      <c r="Q674" t="n">
        <v>2</v>
      </c>
      <c r="R674" s="2" t="inlineStr">
        <is>
          <t>Brun gräsfjäril
Revlummer</t>
        </is>
      </c>
      <c r="S674">
        <f>HYPERLINK("https://klasma.github.io/Logging_2080/artfynd/A 47005-2025 artfynd.xlsx", "A 47005-2025")</f>
        <v/>
      </c>
      <c r="T674">
        <f>HYPERLINK("https://klasma.github.io/Logging_2080/kartor/A 47005-2025 karta.png", "A 47005-2025")</f>
        <v/>
      </c>
      <c r="V674">
        <f>HYPERLINK("https://klasma.github.io/Logging_2080/klagomål/A 47005-2025 FSC-klagomål.docx", "A 47005-2025")</f>
        <v/>
      </c>
      <c r="W674">
        <f>HYPERLINK("https://klasma.github.io/Logging_2080/klagomålsmail/A 47005-2025 FSC-klagomål mail.docx", "A 47005-2025")</f>
        <v/>
      </c>
      <c r="X674">
        <f>HYPERLINK("https://klasma.github.io/Logging_2080/tillsyn/A 47005-2025 tillsynsbegäran.docx", "A 47005-2025")</f>
        <v/>
      </c>
      <c r="Y674">
        <f>HYPERLINK("https://klasma.github.io/Logging_2080/tillsynsmail/A 47005-2025 tillsynsbegäran mail.docx", "A 47005-2025")</f>
        <v/>
      </c>
    </row>
    <row r="675" ht="15" customHeight="1">
      <c r="A675" t="inlineStr">
        <is>
          <t>A 10740-2024</t>
        </is>
      </c>
      <c r="B675" s="1" t="n">
        <v>45369.51660879629</v>
      </c>
      <c r="C675" s="1" t="n">
        <v>46114</v>
      </c>
      <c r="D675" t="inlineStr">
        <is>
          <t>DALARNAS LÄN</t>
        </is>
      </c>
      <c r="E675" t="inlineStr">
        <is>
          <t>BORLÄNGE</t>
        </is>
      </c>
      <c r="G675" t="n">
        <v>1</v>
      </c>
      <c r="H675" t="n">
        <v>0</v>
      </c>
      <c r="I675" t="n">
        <v>0</v>
      </c>
      <c r="J675" t="n">
        <v>2</v>
      </c>
      <c r="K675" t="n">
        <v>0</v>
      </c>
      <c r="L675" t="n">
        <v>0</v>
      </c>
      <c r="M675" t="n">
        <v>0</v>
      </c>
      <c r="N675" t="n">
        <v>0</v>
      </c>
      <c r="O675" t="n">
        <v>2</v>
      </c>
      <c r="P675" t="n">
        <v>0</v>
      </c>
      <c r="Q675" t="n">
        <v>2</v>
      </c>
      <c r="R675" s="2" t="inlineStr">
        <is>
          <t>Skrovlig taggsvamp
Ullticka</t>
        </is>
      </c>
      <c r="S675">
        <f>HYPERLINK("https://klasma.github.io/Logging_2081/artfynd/A 10740-2024 artfynd.xlsx", "A 10740-2024")</f>
        <v/>
      </c>
      <c r="T675">
        <f>HYPERLINK("https://klasma.github.io/Logging_2081/kartor/A 10740-2024 karta.png", "A 10740-2024")</f>
        <v/>
      </c>
      <c r="V675">
        <f>HYPERLINK("https://klasma.github.io/Logging_2081/klagomål/A 10740-2024 FSC-klagomål.docx", "A 10740-2024")</f>
        <v/>
      </c>
      <c r="W675">
        <f>HYPERLINK("https://klasma.github.io/Logging_2081/klagomålsmail/A 10740-2024 FSC-klagomål mail.docx", "A 10740-2024")</f>
        <v/>
      </c>
      <c r="X675">
        <f>HYPERLINK("https://klasma.github.io/Logging_2081/tillsyn/A 10740-2024 tillsynsbegäran.docx", "A 10740-2024")</f>
        <v/>
      </c>
      <c r="Y675">
        <f>HYPERLINK("https://klasma.github.io/Logging_2081/tillsynsmail/A 10740-2024 tillsynsbegäran mail.docx", "A 10740-2024")</f>
        <v/>
      </c>
    </row>
    <row r="676" ht="15" customHeight="1">
      <c r="A676" t="inlineStr">
        <is>
          <t>A 63116-2025</t>
        </is>
      </c>
      <c r="B676" s="1" t="n">
        <v>46009.77782407407</v>
      </c>
      <c r="C676" s="1" t="n">
        <v>46114</v>
      </c>
      <c r="D676" t="inlineStr">
        <is>
          <t>DALARNAS LÄN</t>
        </is>
      </c>
      <c r="E676" t="inlineStr">
        <is>
          <t>LUDVIKA</t>
        </is>
      </c>
      <c r="G676" t="n">
        <v>4.8</v>
      </c>
      <c r="H676" t="n">
        <v>0</v>
      </c>
      <c r="I676" t="n">
        <v>1</v>
      </c>
      <c r="J676" t="n">
        <v>1</v>
      </c>
      <c r="K676" t="n">
        <v>0</v>
      </c>
      <c r="L676" t="n">
        <v>0</v>
      </c>
      <c r="M676" t="n">
        <v>0</v>
      </c>
      <c r="N676" t="n">
        <v>0</v>
      </c>
      <c r="O676" t="n">
        <v>1</v>
      </c>
      <c r="P676" t="n">
        <v>0</v>
      </c>
      <c r="Q676" t="n">
        <v>2</v>
      </c>
      <c r="R676" s="2" t="inlineStr">
        <is>
          <t>Garnlav
Björksplintborre</t>
        </is>
      </c>
      <c r="S676">
        <f>HYPERLINK("https://klasma.github.io/Logging_2085/artfynd/A 63116-2025 artfynd.xlsx", "A 63116-2025")</f>
        <v/>
      </c>
      <c r="T676">
        <f>HYPERLINK("https://klasma.github.io/Logging_2085/kartor/A 63116-2025 karta.png", "A 63116-2025")</f>
        <v/>
      </c>
      <c r="V676">
        <f>HYPERLINK("https://klasma.github.io/Logging_2085/klagomål/A 63116-2025 FSC-klagomål.docx", "A 63116-2025")</f>
        <v/>
      </c>
      <c r="W676">
        <f>HYPERLINK("https://klasma.github.io/Logging_2085/klagomålsmail/A 63116-2025 FSC-klagomål mail.docx", "A 63116-2025")</f>
        <v/>
      </c>
      <c r="X676">
        <f>HYPERLINK("https://klasma.github.io/Logging_2085/tillsyn/A 63116-2025 tillsynsbegäran.docx", "A 63116-2025")</f>
        <v/>
      </c>
      <c r="Y676">
        <f>HYPERLINK("https://klasma.github.io/Logging_2085/tillsynsmail/A 63116-2025 tillsynsbegäran mail.docx", "A 63116-2025")</f>
        <v/>
      </c>
    </row>
    <row r="677" ht="15" customHeight="1">
      <c r="A677" t="inlineStr">
        <is>
          <t>A 25448-2024</t>
        </is>
      </c>
      <c r="B677" s="1" t="n">
        <v>45463</v>
      </c>
      <c r="C677" s="1" t="n">
        <v>46114</v>
      </c>
      <c r="D677" t="inlineStr">
        <is>
          <t>DALARNAS LÄN</t>
        </is>
      </c>
      <c r="E677" t="inlineStr">
        <is>
          <t>LUDVIKA</t>
        </is>
      </c>
      <c r="F677" t="inlineStr">
        <is>
          <t>Bergvik skog väst AB</t>
        </is>
      </c>
      <c r="G677" t="n">
        <v>24.7</v>
      </c>
      <c r="H677" t="n">
        <v>2</v>
      </c>
      <c r="I677" t="n">
        <v>0</v>
      </c>
      <c r="J677" t="n">
        <v>1</v>
      </c>
      <c r="K677" t="n">
        <v>0</v>
      </c>
      <c r="L677" t="n">
        <v>0</v>
      </c>
      <c r="M677" t="n">
        <v>0</v>
      </c>
      <c r="N677" t="n">
        <v>0</v>
      </c>
      <c r="O677" t="n">
        <v>1</v>
      </c>
      <c r="P677" t="n">
        <v>0</v>
      </c>
      <c r="Q677" t="n">
        <v>2</v>
      </c>
      <c r="R677" s="2" t="inlineStr">
        <is>
          <t>Spillkråka
Blåsippa</t>
        </is>
      </c>
      <c r="S677">
        <f>HYPERLINK("https://klasma.github.io/Logging_2085/artfynd/A 25448-2024 artfynd.xlsx", "A 25448-2024")</f>
        <v/>
      </c>
      <c r="T677">
        <f>HYPERLINK("https://klasma.github.io/Logging_2085/kartor/A 25448-2024 karta.png", "A 25448-2024")</f>
        <v/>
      </c>
      <c r="V677">
        <f>HYPERLINK("https://klasma.github.io/Logging_2085/klagomål/A 25448-2024 FSC-klagomål.docx", "A 25448-2024")</f>
        <v/>
      </c>
      <c r="W677">
        <f>HYPERLINK("https://klasma.github.io/Logging_2085/klagomålsmail/A 25448-2024 FSC-klagomål mail.docx", "A 25448-2024")</f>
        <v/>
      </c>
      <c r="X677">
        <f>HYPERLINK("https://klasma.github.io/Logging_2085/tillsyn/A 25448-2024 tillsynsbegäran.docx", "A 25448-2024")</f>
        <v/>
      </c>
      <c r="Y677">
        <f>HYPERLINK("https://klasma.github.io/Logging_2085/tillsynsmail/A 25448-2024 tillsynsbegäran mail.docx", "A 25448-2024")</f>
        <v/>
      </c>
      <c r="Z677">
        <f>HYPERLINK("https://klasma.github.io/Logging_2085/fåglar/A 25448-2024 prioriterade fågelarter.docx", "A 25448-2024")</f>
        <v/>
      </c>
    </row>
    <row r="678" ht="15" customHeight="1">
      <c r="A678" t="inlineStr">
        <is>
          <t>A 64073-2025</t>
        </is>
      </c>
      <c r="B678" s="1" t="n">
        <v>46021.65603009259</v>
      </c>
      <c r="C678" s="1" t="n">
        <v>46114</v>
      </c>
      <c r="D678" t="inlineStr">
        <is>
          <t>DALARNAS LÄN</t>
        </is>
      </c>
      <c r="E678" t="inlineStr">
        <is>
          <t>FALUN</t>
        </is>
      </c>
      <c r="G678" t="n">
        <v>2.9</v>
      </c>
      <c r="H678" t="n">
        <v>2</v>
      </c>
      <c r="I678" t="n">
        <v>0</v>
      </c>
      <c r="J678" t="n">
        <v>0</v>
      </c>
      <c r="K678" t="n">
        <v>1</v>
      </c>
      <c r="L678" t="n">
        <v>0</v>
      </c>
      <c r="M678" t="n">
        <v>0</v>
      </c>
      <c r="N678" t="n">
        <v>0</v>
      </c>
      <c r="O678" t="n">
        <v>1</v>
      </c>
      <c r="P678" t="n">
        <v>1</v>
      </c>
      <c r="Q678" t="n">
        <v>2</v>
      </c>
      <c r="R678" s="2" t="inlineStr">
        <is>
          <t>Stare
Blåsippa</t>
        </is>
      </c>
      <c r="S678">
        <f>HYPERLINK("https://klasma.github.io/Logging_2080/artfynd/A 64073-2025 artfynd.xlsx", "A 64073-2025")</f>
        <v/>
      </c>
      <c r="T678">
        <f>HYPERLINK("https://klasma.github.io/Logging_2080/kartor/A 64073-2025 karta.png", "A 64073-2025")</f>
        <v/>
      </c>
      <c r="V678">
        <f>HYPERLINK("https://klasma.github.io/Logging_2080/klagomål/A 64073-2025 FSC-klagomål.docx", "A 64073-2025")</f>
        <v/>
      </c>
      <c r="W678">
        <f>HYPERLINK("https://klasma.github.io/Logging_2080/klagomålsmail/A 64073-2025 FSC-klagomål mail.docx", "A 64073-2025")</f>
        <v/>
      </c>
      <c r="X678">
        <f>HYPERLINK("https://klasma.github.io/Logging_2080/tillsyn/A 64073-2025 tillsynsbegäran.docx", "A 64073-2025")</f>
        <v/>
      </c>
      <c r="Y678">
        <f>HYPERLINK("https://klasma.github.io/Logging_2080/tillsynsmail/A 64073-2025 tillsynsbegäran mail.docx", "A 64073-2025")</f>
        <v/>
      </c>
    </row>
    <row r="679" ht="15" customHeight="1">
      <c r="A679" t="inlineStr">
        <is>
          <t>A 98-2026</t>
        </is>
      </c>
      <c r="B679" s="1" t="n">
        <v>46024.49847222222</v>
      </c>
      <c r="C679" s="1" t="n">
        <v>46114</v>
      </c>
      <c r="D679" t="inlineStr">
        <is>
          <t>DALARNAS LÄN</t>
        </is>
      </c>
      <c r="E679" t="inlineStr">
        <is>
          <t>FALUN</t>
        </is>
      </c>
      <c r="G679" t="n">
        <v>5.4</v>
      </c>
      <c r="H679" t="n">
        <v>1</v>
      </c>
      <c r="I679" t="n">
        <v>0</v>
      </c>
      <c r="J679" t="n">
        <v>2</v>
      </c>
      <c r="K679" t="n">
        <v>0</v>
      </c>
      <c r="L679" t="n">
        <v>0</v>
      </c>
      <c r="M679" t="n">
        <v>0</v>
      </c>
      <c r="N679" t="n">
        <v>0</v>
      </c>
      <c r="O679" t="n">
        <v>2</v>
      </c>
      <c r="P679" t="n">
        <v>0</v>
      </c>
      <c r="Q679" t="n">
        <v>2</v>
      </c>
      <c r="R679" s="2" t="inlineStr">
        <is>
          <t>Järpe
Rosenticka</t>
        </is>
      </c>
      <c r="S679">
        <f>HYPERLINK("https://klasma.github.io/Logging_2080/artfynd/A 98-2026 artfynd.xlsx", "A 98-2026")</f>
        <v/>
      </c>
      <c r="T679">
        <f>HYPERLINK("https://klasma.github.io/Logging_2080/kartor/A 98-2026 karta.png", "A 98-2026")</f>
        <v/>
      </c>
      <c r="V679">
        <f>HYPERLINK("https://klasma.github.io/Logging_2080/klagomål/A 98-2026 FSC-klagomål.docx", "A 98-2026")</f>
        <v/>
      </c>
      <c r="W679">
        <f>HYPERLINK("https://klasma.github.io/Logging_2080/klagomålsmail/A 98-2026 FSC-klagomål mail.docx", "A 98-2026")</f>
        <v/>
      </c>
      <c r="X679">
        <f>HYPERLINK("https://klasma.github.io/Logging_2080/tillsyn/A 98-2026 tillsynsbegäran.docx", "A 98-2026")</f>
        <v/>
      </c>
      <c r="Y679">
        <f>HYPERLINK("https://klasma.github.io/Logging_2080/tillsynsmail/A 98-2026 tillsynsbegäran mail.docx", "A 98-2026")</f>
        <v/>
      </c>
      <c r="Z679">
        <f>HYPERLINK("https://klasma.github.io/Logging_2080/fåglar/A 98-2026 prioriterade fågelarter.docx", "A 98-2026")</f>
        <v/>
      </c>
    </row>
    <row r="680" ht="15" customHeight="1">
      <c r="A680" t="inlineStr">
        <is>
          <t>A 512-2026</t>
        </is>
      </c>
      <c r="B680" s="1" t="n">
        <v>46029</v>
      </c>
      <c r="C680" s="1" t="n">
        <v>46114</v>
      </c>
      <c r="D680" t="inlineStr">
        <is>
          <t>DALARNAS LÄN</t>
        </is>
      </c>
      <c r="E680" t="inlineStr">
        <is>
          <t>HEDEMORA</t>
        </is>
      </c>
      <c r="G680" t="n">
        <v>40.8</v>
      </c>
      <c r="H680" t="n">
        <v>0</v>
      </c>
      <c r="I680" t="n">
        <v>1</v>
      </c>
      <c r="J680" t="n">
        <v>1</v>
      </c>
      <c r="K680" t="n">
        <v>0</v>
      </c>
      <c r="L680" t="n">
        <v>0</v>
      </c>
      <c r="M680" t="n">
        <v>0</v>
      </c>
      <c r="N680" t="n">
        <v>0</v>
      </c>
      <c r="O680" t="n">
        <v>1</v>
      </c>
      <c r="P680" t="n">
        <v>0</v>
      </c>
      <c r="Q680" t="n">
        <v>2</v>
      </c>
      <c r="R680" s="2" t="inlineStr">
        <is>
          <t>Reliktbock
Bronshjon</t>
        </is>
      </c>
      <c r="S680">
        <f>HYPERLINK("https://klasma.github.io/Logging_2083/artfynd/A 512-2026 artfynd.xlsx", "A 512-2026")</f>
        <v/>
      </c>
      <c r="T680">
        <f>HYPERLINK("https://klasma.github.io/Logging_2083/kartor/A 512-2026 karta.png", "A 512-2026")</f>
        <v/>
      </c>
      <c r="V680">
        <f>HYPERLINK("https://klasma.github.io/Logging_2083/klagomål/A 512-2026 FSC-klagomål.docx", "A 512-2026")</f>
        <v/>
      </c>
      <c r="W680">
        <f>HYPERLINK("https://klasma.github.io/Logging_2083/klagomålsmail/A 512-2026 FSC-klagomål mail.docx", "A 512-2026")</f>
        <v/>
      </c>
      <c r="X680">
        <f>HYPERLINK("https://klasma.github.io/Logging_2083/tillsyn/A 512-2026 tillsynsbegäran.docx", "A 512-2026")</f>
        <v/>
      </c>
      <c r="Y680">
        <f>HYPERLINK("https://klasma.github.io/Logging_2083/tillsynsmail/A 512-2026 tillsynsbegäran mail.docx", "A 512-2026")</f>
        <v/>
      </c>
    </row>
    <row r="681" ht="15" customHeight="1">
      <c r="A681" t="inlineStr">
        <is>
          <t>A 1691-2026</t>
        </is>
      </c>
      <c r="B681" s="1" t="n">
        <v>46034.58902777778</v>
      </c>
      <c r="C681" s="1" t="n">
        <v>46114</v>
      </c>
      <c r="D681" t="inlineStr">
        <is>
          <t>DALARNAS LÄN</t>
        </is>
      </c>
      <c r="E681" t="inlineStr">
        <is>
          <t>VANSBRO</t>
        </is>
      </c>
      <c r="G681" t="n">
        <v>6.3</v>
      </c>
      <c r="H681" t="n">
        <v>0</v>
      </c>
      <c r="I681" t="n">
        <v>1</v>
      </c>
      <c r="J681" t="n">
        <v>1</v>
      </c>
      <c r="K681" t="n">
        <v>0</v>
      </c>
      <c r="L681" t="n">
        <v>0</v>
      </c>
      <c r="M681" t="n">
        <v>0</v>
      </c>
      <c r="N681" t="n">
        <v>0</v>
      </c>
      <c r="O681" t="n">
        <v>1</v>
      </c>
      <c r="P681" t="n">
        <v>0</v>
      </c>
      <c r="Q681" t="n">
        <v>2</v>
      </c>
      <c r="R681" s="2" t="inlineStr">
        <is>
          <t>Motaggsvamp
Dropptaggsvamp</t>
        </is>
      </c>
      <c r="S681">
        <f>HYPERLINK("https://klasma.github.io/Logging_2021/artfynd/A 1691-2026 artfynd.xlsx", "A 1691-2026")</f>
        <v/>
      </c>
      <c r="T681">
        <f>HYPERLINK("https://klasma.github.io/Logging_2021/kartor/A 1691-2026 karta.png", "A 1691-2026")</f>
        <v/>
      </c>
      <c r="V681">
        <f>HYPERLINK("https://klasma.github.io/Logging_2021/klagomål/A 1691-2026 FSC-klagomål.docx", "A 1691-2026")</f>
        <v/>
      </c>
      <c r="W681">
        <f>HYPERLINK("https://klasma.github.io/Logging_2021/klagomålsmail/A 1691-2026 FSC-klagomål mail.docx", "A 1691-2026")</f>
        <v/>
      </c>
      <c r="X681">
        <f>HYPERLINK("https://klasma.github.io/Logging_2021/tillsyn/A 1691-2026 tillsynsbegäran.docx", "A 1691-2026")</f>
        <v/>
      </c>
      <c r="Y681">
        <f>HYPERLINK("https://klasma.github.io/Logging_2021/tillsynsmail/A 1691-2026 tillsynsbegäran mail.docx", "A 1691-2026")</f>
        <v/>
      </c>
    </row>
    <row r="682" ht="15" customHeight="1">
      <c r="A682" t="inlineStr">
        <is>
          <t>A 20918-2021</t>
        </is>
      </c>
      <c r="B682" s="1" t="n">
        <v>44319</v>
      </c>
      <c r="C682" s="1" t="n">
        <v>46114</v>
      </c>
      <c r="D682" t="inlineStr">
        <is>
          <t>DALARNAS LÄN</t>
        </is>
      </c>
      <c r="E682" t="inlineStr">
        <is>
          <t>MALUNG-SÄLEN</t>
        </is>
      </c>
      <c r="G682" t="n">
        <v>41.2</v>
      </c>
      <c r="H682" t="n">
        <v>0</v>
      </c>
      <c r="I682" t="n">
        <v>0</v>
      </c>
      <c r="J682" t="n">
        <v>2</v>
      </c>
      <c r="K682" t="n">
        <v>0</v>
      </c>
      <c r="L682" t="n">
        <v>0</v>
      </c>
      <c r="M682" t="n">
        <v>0</v>
      </c>
      <c r="N682" t="n">
        <v>0</v>
      </c>
      <c r="O682" t="n">
        <v>2</v>
      </c>
      <c r="P682" t="n">
        <v>0</v>
      </c>
      <c r="Q682" t="n">
        <v>2</v>
      </c>
      <c r="R682" s="2" t="inlineStr">
        <is>
          <t>Gammelgransskål
Garnlav</t>
        </is>
      </c>
      <c r="S682">
        <f>HYPERLINK("https://klasma.github.io/Logging_2023/artfynd/A 20918-2021 artfynd.xlsx", "A 20918-2021")</f>
        <v/>
      </c>
      <c r="T682">
        <f>HYPERLINK("https://klasma.github.io/Logging_2023/kartor/A 20918-2021 karta.png", "A 20918-2021")</f>
        <v/>
      </c>
      <c r="V682">
        <f>HYPERLINK("https://klasma.github.io/Logging_2023/klagomål/A 20918-2021 FSC-klagomål.docx", "A 20918-2021")</f>
        <v/>
      </c>
      <c r="W682">
        <f>HYPERLINK("https://klasma.github.io/Logging_2023/klagomålsmail/A 20918-2021 FSC-klagomål mail.docx", "A 20918-2021")</f>
        <v/>
      </c>
      <c r="X682">
        <f>HYPERLINK("https://klasma.github.io/Logging_2023/tillsyn/A 20918-2021 tillsynsbegäran.docx", "A 20918-2021")</f>
        <v/>
      </c>
      <c r="Y682">
        <f>HYPERLINK("https://klasma.github.io/Logging_2023/tillsynsmail/A 20918-2021 tillsynsbegäran mail.docx", "A 20918-2021")</f>
        <v/>
      </c>
    </row>
    <row r="683" ht="15" customHeight="1">
      <c r="A683" t="inlineStr">
        <is>
          <t>A 52510-2022</t>
        </is>
      </c>
      <c r="B683" s="1" t="n">
        <v>44874</v>
      </c>
      <c r="C683" s="1" t="n">
        <v>46114</v>
      </c>
      <c r="D683" t="inlineStr">
        <is>
          <t>DALARNAS LÄN</t>
        </is>
      </c>
      <c r="E683" t="inlineStr">
        <is>
          <t>BORLÄNGE</t>
        </is>
      </c>
      <c r="G683" t="n">
        <v>1</v>
      </c>
      <c r="H683" t="n">
        <v>0</v>
      </c>
      <c r="I683" t="n">
        <v>1</v>
      </c>
      <c r="J683" t="n">
        <v>1</v>
      </c>
      <c r="K683" t="n">
        <v>0</v>
      </c>
      <c r="L683" t="n">
        <v>0</v>
      </c>
      <c r="M683" t="n">
        <v>0</v>
      </c>
      <c r="N683" t="n">
        <v>0</v>
      </c>
      <c r="O683" t="n">
        <v>1</v>
      </c>
      <c r="P683" t="n">
        <v>0</v>
      </c>
      <c r="Q683" t="n">
        <v>2</v>
      </c>
      <c r="R683" s="2" t="inlineStr">
        <is>
          <t>Gränsticka
Vedticka</t>
        </is>
      </c>
      <c r="S683">
        <f>HYPERLINK("https://klasma.github.io/Logging_2081/artfynd/A 52510-2022 artfynd.xlsx", "A 52510-2022")</f>
        <v/>
      </c>
      <c r="T683">
        <f>HYPERLINK("https://klasma.github.io/Logging_2081/kartor/A 52510-2022 karta.png", "A 52510-2022")</f>
        <v/>
      </c>
      <c r="V683">
        <f>HYPERLINK("https://klasma.github.io/Logging_2081/klagomål/A 52510-2022 FSC-klagomål.docx", "A 52510-2022")</f>
        <v/>
      </c>
      <c r="W683">
        <f>HYPERLINK("https://klasma.github.io/Logging_2081/klagomålsmail/A 52510-2022 FSC-klagomål mail.docx", "A 52510-2022")</f>
        <v/>
      </c>
      <c r="X683">
        <f>HYPERLINK("https://klasma.github.io/Logging_2081/tillsyn/A 52510-2022 tillsynsbegäran.docx", "A 52510-2022")</f>
        <v/>
      </c>
      <c r="Y683">
        <f>HYPERLINK("https://klasma.github.io/Logging_2081/tillsynsmail/A 52510-2022 tillsynsbegäran mail.docx", "A 52510-2022")</f>
        <v/>
      </c>
    </row>
    <row r="684" ht="15" customHeight="1">
      <c r="A684" t="inlineStr">
        <is>
          <t>A 2968-2026</t>
        </is>
      </c>
      <c r="B684" s="1" t="n">
        <v>46037</v>
      </c>
      <c r="C684" s="1" t="n">
        <v>46114</v>
      </c>
      <c r="D684" t="inlineStr">
        <is>
          <t>DALARNAS LÄN</t>
        </is>
      </c>
      <c r="E684" t="inlineStr">
        <is>
          <t>FALUN</t>
        </is>
      </c>
      <c r="G684" t="n">
        <v>12.6</v>
      </c>
      <c r="H684" t="n">
        <v>1</v>
      </c>
      <c r="I684" t="n">
        <v>0</v>
      </c>
      <c r="J684" t="n">
        <v>1</v>
      </c>
      <c r="K684" t="n">
        <v>0</v>
      </c>
      <c r="L684" t="n">
        <v>0</v>
      </c>
      <c r="M684" t="n">
        <v>0</v>
      </c>
      <c r="N684" t="n">
        <v>0</v>
      </c>
      <c r="O684" t="n">
        <v>1</v>
      </c>
      <c r="P684" t="n">
        <v>0</v>
      </c>
      <c r="Q684" t="n">
        <v>2</v>
      </c>
      <c r="R684" s="2" t="inlineStr">
        <is>
          <t>Garnlav
Tjäder</t>
        </is>
      </c>
      <c r="S684">
        <f>HYPERLINK("https://klasma.github.io/Logging_2080/artfynd/A 2968-2026 artfynd.xlsx", "A 2968-2026")</f>
        <v/>
      </c>
      <c r="T684">
        <f>HYPERLINK("https://klasma.github.io/Logging_2080/kartor/A 2968-2026 karta.png", "A 2968-2026")</f>
        <v/>
      </c>
      <c r="V684">
        <f>HYPERLINK("https://klasma.github.io/Logging_2080/klagomål/A 2968-2026 FSC-klagomål.docx", "A 2968-2026")</f>
        <v/>
      </c>
      <c r="W684">
        <f>HYPERLINK("https://klasma.github.io/Logging_2080/klagomålsmail/A 2968-2026 FSC-klagomål mail.docx", "A 2968-2026")</f>
        <v/>
      </c>
      <c r="X684">
        <f>HYPERLINK("https://klasma.github.io/Logging_2080/tillsyn/A 2968-2026 tillsynsbegäran.docx", "A 2968-2026")</f>
        <v/>
      </c>
      <c r="Y684">
        <f>HYPERLINK("https://klasma.github.io/Logging_2080/tillsynsmail/A 2968-2026 tillsynsbegäran mail.docx", "A 2968-2026")</f>
        <v/>
      </c>
      <c r="Z684">
        <f>HYPERLINK("https://klasma.github.io/Logging_2080/fåglar/A 2968-2026 prioriterade fågelarter.docx", "A 2968-2026")</f>
        <v/>
      </c>
    </row>
    <row r="685" ht="15" customHeight="1">
      <c r="A685" t="inlineStr">
        <is>
          <t>A 47815-2024</t>
        </is>
      </c>
      <c r="B685" s="1" t="n">
        <v>45588.62069444444</v>
      </c>
      <c r="C685" s="1" t="n">
        <v>46114</v>
      </c>
      <c r="D685" t="inlineStr">
        <is>
          <t>DALARNAS LÄN</t>
        </is>
      </c>
      <c r="E685" t="inlineStr">
        <is>
          <t>GAGNEF</t>
        </is>
      </c>
      <c r="G685" t="n">
        <v>1.6</v>
      </c>
      <c r="H685" t="n">
        <v>1</v>
      </c>
      <c r="I685" t="n">
        <v>1</v>
      </c>
      <c r="J685" t="n">
        <v>1</v>
      </c>
      <c r="K685" t="n">
        <v>0</v>
      </c>
      <c r="L685" t="n">
        <v>0</v>
      </c>
      <c r="M685" t="n">
        <v>0</v>
      </c>
      <c r="N685" t="n">
        <v>0</v>
      </c>
      <c r="O685" t="n">
        <v>1</v>
      </c>
      <c r="P685" t="n">
        <v>0</v>
      </c>
      <c r="Q685" t="n">
        <v>2</v>
      </c>
      <c r="R685" s="2" t="inlineStr">
        <is>
          <t>Tretåig hackspett
Bollvitmossa</t>
        </is>
      </c>
      <c r="S685">
        <f>HYPERLINK("https://klasma.github.io/Logging_2026/artfynd/A 47815-2024 artfynd.xlsx", "A 47815-2024")</f>
        <v/>
      </c>
      <c r="T685">
        <f>HYPERLINK("https://klasma.github.io/Logging_2026/kartor/A 47815-2024 karta.png", "A 47815-2024")</f>
        <v/>
      </c>
      <c r="V685">
        <f>HYPERLINK("https://klasma.github.io/Logging_2026/klagomål/A 47815-2024 FSC-klagomål.docx", "A 47815-2024")</f>
        <v/>
      </c>
      <c r="W685">
        <f>HYPERLINK("https://klasma.github.io/Logging_2026/klagomålsmail/A 47815-2024 FSC-klagomål mail.docx", "A 47815-2024")</f>
        <v/>
      </c>
      <c r="X685">
        <f>HYPERLINK("https://klasma.github.io/Logging_2026/tillsyn/A 47815-2024 tillsynsbegäran.docx", "A 47815-2024")</f>
        <v/>
      </c>
      <c r="Y685">
        <f>HYPERLINK("https://klasma.github.io/Logging_2026/tillsynsmail/A 47815-2024 tillsynsbegäran mail.docx", "A 47815-2024")</f>
        <v/>
      </c>
      <c r="Z685">
        <f>HYPERLINK("https://klasma.github.io/Logging_2026/fåglar/A 47815-2024 prioriterade fågelarter.docx", "A 47815-2024")</f>
        <v/>
      </c>
    </row>
    <row r="686" ht="15" customHeight="1">
      <c r="A686" t="inlineStr">
        <is>
          <t>A 2089-2026</t>
        </is>
      </c>
      <c r="B686" s="1" t="n">
        <v>46036</v>
      </c>
      <c r="C686" s="1" t="n">
        <v>46114</v>
      </c>
      <c r="D686" t="inlineStr">
        <is>
          <t>DALARNAS LÄN</t>
        </is>
      </c>
      <c r="E686" t="inlineStr">
        <is>
          <t>RÄTTVIK</t>
        </is>
      </c>
      <c r="G686" t="n">
        <v>0.6</v>
      </c>
      <c r="H686" t="n">
        <v>2</v>
      </c>
      <c r="I686" t="n">
        <v>0</v>
      </c>
      <c r="J686" t="n">
        <v>2</v>
      </c>
      <c r="K686" t="n">
        <v>0</v>
      </c>
      <c r="L686" t="n">
        <v>0</v>
      </c>
      <c r="M686" t="n">
        <v>0</v>
      </c>
      <c r="N686" t="n">
        <v>0</v>
      </c>
      <c r="O686" t="n">
        <v>2</v>
      </c>
      <c r="P686" t="n">
        <v>0</v>
      </c>
      <c r="Q686" t="n">
        <v>2</v>
      </c>
      <c r="R686" s="2" t="inlineStr">
        <is>
          <t>Spillkråka
Ärtsångare</t>
        </is>
      </c>
      <c r="S686">
        <f>HYPERLINK("https://klasma.github.io/Logging_2031/artfynd/A 2089-2026 artfynd.xlsx", "A 2089-2026")</f>
        <v/>
      </c>
      <c r="T686">
        <f>HYPERLINK("https://klasma.github.io/Logging_2031/kartor/A 2089-2026 karta.png", "A 2089-2026")</f>
        <v/>
      </c>
      <c r="V686">
        <f>HYPERLINK("https://klasma.github.io/Logging_2031/klagomål/A 2089-2026 FSC-klagomål.docx", "A 2089-2026")</f>
        <v/>
      </c>
      <c r="W686">
        <f>HYPERLINK("https://klasma.github.io/Logging_2031/klagomålsmail/A 2089-2026 FSC-klagomål mail.docx", "A 2089-2026")</f>
        <v/>
      </c>
      <c r="X686">
        <f>HYPERLINK("https://klasma.github.io/Logging_2031/tillsyn/A 2089-2026 tillsynsbegäran.docx", "A 2089-2026")</f>
        <v/>
      </c>
      <c r="Y686">
        <f>HYPERLINK("https://klasma.github.io/Logging_2031/tillsynsmail/A 2089-2026 tillsynsbegäran mail.docx", "A 2089-2026")</f>
        <v/>
      </c>
      <c r="Z686">
        <f>HYPERLINK("https://klasma.github.io/Logging_2031/fåglar/A 2089-2026 prioriterade fågelarter.docx", "A 2089-2026")</f>
        <v/>
      </c>
    </row>
    <row r="687" ht="15" customHeight="1">
      <c r="A687" t="inlineStr">
        <is>
          <t>A 1450-2026</t>
        </is>
      </c>
      <c r="B687" s="1" t="n">
        <v>46033</v>
      </c>
      <c r="C687" s="1" t="n">
        <v>46114</v>
      </c>
      <c r="D687" t="inlineStr">
        <is>
          <t>DALARNAS LÄN</t>
        </is>
      </c>
      <c r="E687" t="inlineStr">
        <is>
          <t>HEDEMORA</t>
        </is>
      </c>
      <c r="G687" t="n">
        <v>3.6</v>
      </c>
      <c r="H687" t="n">
        <v>1</v>
      </c>
      <c r="I687" t="n">
        <v>1</v>
      </c>
      <c r="J687" t="n">
        <v>0</v>
      </c>
      <c r="K687" t="n">
        <v>1</v>
      </c>
      <c r="L687" t="n">
        <v>0</v>
      </c>
      <c r="M687" t="n">
        <v>0</v>
      </c>
      <c r="N687" t="n">
        <v>0</v>
      </c>
      <c r="O687" t="n">
        <v>1</v>
      </c>
      <c r="P687" t="n">
        <v>1</v>
      </c>
      <c r="Q687" t="n">
        <v>2</v>
      </c>
      <c r="R687" s="2" t="inlineStr">
        <is>
          <t>Knärot
Bronshjon</t>
        </is>
      </c>
      <c r="S687">
        <f>HYPERLINK("https://klasma.github.io/Logging_2083/artfynd/A 1450-2026 artfynd.xlsx", "A 1450-2026")</f>
        <v/>
      </c>
      <c r="T687">
        <f>HYPERLINK("https://klasma.github.io/Logging_2083/kartor/A 1450-2026 karta.png", "A 1450-2026")</f>
        <v/>
      </c>
      <c r="U687">
        <f>HYPERLINK("https://klasma.github.io/Logging_2083/knärot/A 1450-2026 karta knärot.png", "A 1450-2026")</f>
        <v/>
      </c>
      <c r="V687">
        <f>HYPERLINK("https://klasma.github.io/Logging_2083/klagomål/A 1450-2026 FSC-klagomål.docx", "A 1450-2026")</f>
        <v/>
      </c>
      <c r="W687">
        <f>HYPERLINK("https://klasma.github.io/Logging_2083/klagomålsmail/A 1450-2026 FSC-klagomål mail.docx", "A 1450-2026")</f>
        <v/>
      </c>
      <c r="X687">
        <f>HYPERLINK("https://klasma.github.io/Logging_2083/tillsyn/A 1450-2026 tillsynsbegäran.docx", "A 1450-2026")</f>
        <v/>
      </c>
      <c r="Y687">
        <f>HYPERLINK("https://klasma.github.io/Logging_2083/tillsynsmail/A 1450-2026 tillsynsbegäran mail.docx", "A 1450-2026")</f>
        <v/>
      </c>
    </row>
    <row r="688" ht="15" customHeight="1">
      <c r="A688" t="inlineStr">
        <is>
          <t>A 2599-2026</t>
        </is>
      </c>
      <c r="B688" s="1" t="n">
        <v>46037.57337962963</v>
      </c>
      <c r="C688" s="1" t="n">
        <v>46114</v>
      </c>
      <c r="D688" t="inlineStr">
        <is>
          <t>DALARNAS LÄN</t>
        </is>
      </c>
      <c r="E688" t="inlineStr">
        <is>
          <t>HEDEMORA</t>
        </is>
      </c>
      <c r="G688" t="n">
        <v>6.5</v>
      </c>
      <c r="H688" t="n">
        <v>2</v>
      </c>
      <c r="I688" t="n">
        <v>0</v>
      </c>
      <c r="J688" t="n">
        <v>1</v>
      </c>
      <c r="K688" t="n">
        <v>0</v>
      </c>
      <c r="L688" t="n">
        <v>0</v>
      </c>
      <c r="M688" t="n">
        <v>0</v>
      </c>
      <c r="N688" t="n">
        <v>0</v>
      </c>
      <c r="O688" t="n">
        <v>1</v>
      </c>
      <c r="P688" t="n">
        <v>0</v>
      </c>
      <c r="Q688" t="n">
        <v>2</v>
      </c>
      <c r="R688" s="2" t="inlineStr">
        <is>
          <t>Talltita
Grönsiska</t>
        </is>
      </c>
      <c r="S688">
        <f>HYPERLINK("https://klasma.github.io/Logging_2083/artfynd/A 2599-2026 artfynd.xlsx", "A 2599-2026")</f>
        <v/>
      </c>
      <c r="T688">
        <f>HYPERLINK("https://klasma.github.io/Logging_2083/kartor/A 2599-2026 karta.png", "A 2599-2026")</f>
        <v/>
      </c>
      <c r="V688">
        <f>HYPERLINK("https://klasma.github.io/Logging_2083/klagomål/A 2599-2026 FSC-klagomål.docx", "A 2599-2026")</f>
        <v/>
      </c>
      <c r="W688">
        <f>HYPERLINK("https://klasma.github.io/Logging_2083/klagomålsmail/A 2599-2026 FSC-klagomål mail.docx", "A 2599-2026")</f>
        <v/>
      </c>
      <c r="X688">
        <f>HYPERLINK("https://klasma.github.io/Logging_2083/tillsyn/A 2599-2026 tillsynsbegäran.docx", "A 2599-2026")</f>
        <v/>
      </c>
      <c r="Y688">
        <f>HYPERLINK("https://klasma.github.io/Logging_2083/tillsynsmail/A 2599-2026 tillsynsbegäran mail.docx", "A 2599-2026")</f>
        <v/>
      </c>
      <c r="Z688">
        <f>HYPERLINK("https://klasma.github.io/Logging_2083/fåglar/A 2599-2026 prioriterade fågelarter.docx", "A 2599-2026")</f>
        <v/>
      </c>
    </row>
    <row r="689" ht="15" customHeight="1">
      <c r="A689" t="inlineStr">
        <is>
          <t>A 59111-2024</t>
        </is>
      </c>
      <c r="B689" s="1" t="n">
        <v>45637.36484953704</v>
      </c>
      <c r="C689" s="1" t="n">
        <v>46114</v>
      </c>
      <c r="D689" t="inlineStr">
        <is>
          <t>DALARNAS LÄN</t>
        </is>
      </c>
      <c r="E689" t="inlineStr">
        <is>
          <t>LEKSAND</t>
        </is>
      </c>
      <c r="G689" t="n">
        <v>8.800000000000001</v>
      </c>
      <c r="H689" t="n">
        <v>0</v>
      </c>
      <c r="I689" t="n">
        <v>0</v>
      </c>
      <c r="J689" t="n">
        <v>2</v>
      </c>
      <c r="K689" t="n">
        <v>0</v>
      </c>
      <c r="L689" t="n">
        <v>0</v>
      </c>
      <c r="M689" t="n">
        <v>0</v>
      </c>
      <c r="N689" t="n">
        <v>0</v>
      </c>
      <c r="O689" t="n">
        <v>2</v>
      </c>
      <c r="P689" t="n">
        <v>0</v>
      </c>
      <c r="Q689" t="n">
        <v>2</v>
      </c>
      <c r="R689" s="2" t="inlineStr">
        <is>
          <t>Garnlav
Violettgrå tagellav</t>
        </is>
      </c>
      <c r="S689">
        <f>HYPERLINK("https://klasma.github.io/Logging_2029/artfynd/A 59111-2024 artfynd.xlsx", "A 59111-2024")</f>
        <v/>
      </c>
      <c r="T689">
        <f>HYPERLINK("https://klasma.github.io/Logging_2029/kartor/A 59111-2024 karta.png", "A 59111-2024")</f>
        <v/>
      </c>
      <c r="V689">
        <f>HYPERLINK("https://klasma.github.io/Logging_2029/klagomål/A 59111-2024 FSC-klagomål.docx", "A 59111-2024")</f>
        <v/>
      </c>
      <c r="W689">
        <f>HYPERLINK("https://klasma.github.io/Logging_2029/klagomålsmail/A 59111-2024 FSC-klagomål mail.docx", "A 59111-2024")</f>
        <v/>
      </c>
      <c r="X689">
        <f>HYPERLINK("https://klasma.github.io/Logging_2029/tillsyn/A 59111-2024 tillsynsbegäran.docx", "A 59111-2024")</f>
        <v/>
      </c>
      <c r="Y689">
        <f>HYPERLINK("https://klasma.github.io/Logging_2029/tillsynsmail/A 59111-2024 tillsynsbegäran mail.docx", "A 59111-2024")</f>
        <v/>
      </c>
    </row>
    <row r="690" ht="15" customHeight="1">
      <c r="A690" t="inlineStr">
        <is>
          <t>A 57246-2021</t>
        </is>
      </c>
      <c r="B690" s="1" t="n">
        <v>44482</v>
      </c>
      <c r="C690" s="1" t="n">
        <v>46114</v>
      </c>
      <c r="D690" t="inlineStr">
        <is>
          <t>DALARNAS LÄN</t>
        </is>
      </c>
      <c r="E690" t="inlineStr">
        <is>
          <t>SMEDJEBACKEN</t>
        </is>
      </c>
      <c r="F690" t="inlineStr">
        <is>
          <t>Bergvik skog väst AB</t>
        </is>
      </c>
      <c r="G690" t="n">
        <v>10.2</v>
      </c>
      <c r="H690" t="n">
        <v>0</v>
      </c>
      <c r="I690" t="n">
        <v>1</v>
      </c>
      <c r="J690" t="n">
        <v>1</v>
      </c>
      <c r="K690" t="n">
        <v>0</v>
      </c>
      <c r="L690" t="n">
        <v>0</v>
      </c>
      <c r="M690" t="n">
        <v>0</v>
      </c>
      <c r="N690" t="n">
        <v>0</v>
      </c>
      <c r="O690" t="n">
        <v>1</v>
      </c>
      <c r="P690" t="n">
        <v>0</v>
      </c>
      <c r="Q690" t="n">
        <v>2</v>
      </c>
      <c r="R690" s="2" t="inlineStr">
        <is>
          <t>Vedtrappmossa
Flagellkvastmossa</t>
        </is>
      </c>
      <c r="S690">
        <f>HYPERLINK("https://klasma.github.io/Logging_2061/artfynd/A 57246-2021 artfynd.xlsx", "A 57246-2021")</f>
        <v/>
      </c>
      <c r="T690">
        <f>HYPERLINK("https://klasma.github.io/Logging_2061/kartor/A 57246-2021 karta.png", "A 57246-2021")</f>
        <v/>
      </c>
      <c r="V690">
        <f>HYPERLINK("https://klasma.github.io/Logging_2061/klagomål/A 57246-2021 FSC-klagomål.docx", "A 57246-2021")</f>
        <v/>
      </c>
      <c r="W690">
        <f>HYPERLINK("https://klasma.github.io/Logging_2061/klagomålsmail/A 57246-2021 FSC-klagomål mail.docx", "A 57246-2021")</f>
        <v/>
      </c>
      <c r="X690">
        <f>HYPERLINK("https://klasma.github.io/Logging_2061/tillsyn/A 57246-2021 tillsynsbegäran.docx", "A 57246-2021")</f>
        <v/>
      </c>
      <c r="Y690">
        <f>HYPERLINK("https://klasma.github.io/Logging_2061/tillsynsmail/A 57246-2021 tillsynsbegäran mail.docx", "A 57246-2021")</f>
        <v/>
      </c>
    </row>
    <row r="691" ht="15" customHeight="1">
      <c r="A691" t="inlineStr">
        <is>
          <t>A 12093-2023</t>
        </is>
      </c>
      <c r="B691" s="1" t="n">
        <v>44998.36106481482</v>
      </c>
      <c r="C691" s="1" t="n">
        <v>46114</v>
      </c>
      <c r="D691" t="inlineStr">
        <is>
          <t>DALARNAS LÄN</t>
        </is>
      </c>
      <c r="E691" t="inlineStr">
        <is>
          <t>LUDVIKA</t>
        </is>
      </c>
      <c r="G691" t="n">
        <v>3.2</v>
      </c>
      <c r="H691" t="n">
        <v>0</v>
      </c>
      <c r="I691" t="n">
        <v>0</v>
      </c>
      <c r="J691" t="n">
        <v>1</v>
      </c>
      <c r="K691" t="n">
        <v>1</v>
      </c>
      <c r="L691" t="n">
        <v>0</v>
      </c>
      <c r="M691" t="n">
        <v>0</v>
      </c>
      <c r="N691" t="n">
        <v>0</v>
      </c>
      <c r="O691" t="n">
        <v>2</v>
      </c>
      <c r="P691" t="n">
        <v>1</v>
      </c>
      <c r="Q691" t="n">
        <v>2</v>
      </c>
      <c r="R691" s="2" t="inlineStr">
        <is>
          <t>Bitter taggsvamp
Solfjäderlav</t>
        </is>
      </c>
      <c r="S691">
        <f>HYPERLINK("https://klasma.github.io/Logging_2085/artfynd/A 12093-2023 artfynd.xlsx", "A 12093-2023")</f>
        <v/>
      </c>
      <c r="T691">
        <f>HYPERLINK("https://klasma.github.io/Logging_2085/kartor/A 12093-2023 karta.png", "A 12093-2023")</f>
        <v/>
      </c>
      <c r="V691">
        <f>HYPERLINK("https://klasma.github.io/Logging_2085/klagomål/A 12093-2023 FSC-klagomål.docx", "A 12093-2023")</f>
        <v/>
      </c>
      <c r="W691">
        <f>HYPERLINK("https://klasma.github.io/Logging_2085/klagomålsmail/A 12093-2023 FSC-klagomål mail.docx", "A 12093-2023")</f>
        <v/>
      </c>
      <c r="X691">
        <f>HYPERLINK("https://klasma.github.io/Logging_2085/tillsyn/A 12093-2023 tillsynsbegäran.docx", "A 12093-2023")</f>
        <v/>
      </c>
      <c r="Y691">
        <f>HYPERLINK("https://klasma.github.io/Logging_2085/tillsynsmail/A 12093-2023 tillsynsbegäran mail.docx", "A 12093-2023")</f>
        <v/>
      </c>
    </row>
    <row r="692" ht="15" customHeight="1">
      <c r="A692" t="inlineStr">
        <is>
          <t>A 11326-2026</t>
        </is>
      </c>
      <c r="B692" s="1" t="n">
        <v>46081.35799768518</v>
      </c>
      <c r="C692" s="1" t="n">
        <v>46114</v>
      </c>
      <c r="D692" t="inlineStr">
        <is>
          <t>DALARNAS LÄN</t>
        </is>
      </c>
      <c r="E692" t="inlineStr">
        <is>
          <t>LUDVIKA</t>
        </is>
      </c>
      <c r="G692" t="n">
        <v>1.6</v>
      </c>
      <c r="H692" t="n">
        <v>0</v>
      </c>
      <c r="I692" t="n">
        <v>1</v>
      </c>
      <c r="J692" t="n">
        <v>1</v>
      </c>
      <c r="K692" t="n">
        <v>0</v>
      </c>
      <c r="L692" t="n">
        <v>0</v>
      </c>
      <c r="M692" t="n">
        <v>0</v>
      </c>
      <c r="N692" t="n">
        <v>0</v>
      </c>
      <c r="O692" t="n">
        <v>1</v>
      </c>
      <c r="P692" t="n">
        <v>0</v>
      </c>
      <c r="Q692" t="n">
        <v>2</v>
      </c>
      <c r="R692" s="2" t="inlineStr">
        <is>
          <t>Garnlav
Dropptaggsvamp</t>
        </is>
      </c>
      <c r="S692">
        <f>HYPERLINK("https://klasma.github.io/Logging_2085/artfynd/A 11326-2026 artfynd.xlsx", "A 11326-2026")</f>
        <v/>
      </c>
      <c r="T692">
        <f>HYPERLINK("https://klasma.github.io/Logging_2085/kartor/A 11326-2026 karta.png", "A 11326-2026")</f>
        <v/>
      </c>
      <c r="V692">
        <f>HYPERLINK("https://klasma.github.io/Logging_2085/klagomål/A 11326-2026 FSC-klagomål.docx", "A 11326-2026")</f>
        <v/>
      </c>
      <c r="W692">
        <f>HYPERLINK("https://klasma.github.io/Logging_2085/klagomålsmail/A 11326-2026 FSC-klagomål mail.docx", "A 11326-2026")</f>
        <v/>
      </c>
      <c r="X692">
        <f>HYPERLINK("https://klasma.github.io/Logging_2085/tillsyn/A 11326-2026 tillsynsbegäran.docx", "A 11326-2026")</f>
        <v/>
      </c>
      <c r="Y692">
        <f>HYPERLINK("https://klasma.github.io/Logging_2085/tillsynsmail/A 11326-2026 tillsynsbegäran mail.docx", "A 11326-2026")</f>
        <v/>
      </c>
    </row>
    <row r="693" ht="15" customHeight="1">
      <c r="A693" t="inlineStr">
        <is>
          <t>A 3115-2026</t>
        </is>
      </c>
      <c r="B693" s="1" t="n">
        <v>46041</v>
      </c>
      <c r="C693" s="1" t="n">
        <v>46114</v>
      </c>
      <c r="D693" t="inlineStr">
        <is>
          <t>DALARNAS LÄN</t>
        </is>
      </c>
      <c r="E693" t="inlineStr">
        <is>
          <t>GAGNEF</t>
        </is>
      </c>
      <c r="G693" t="n">
        <v>4</v>
      </c>
      <c r="H693" t="n">
        <v>1</v>
      </c>
      <c r="I693" t="n">
        <v>0</v>
      </c>
      <c r="J693" t="n">
        <v>0</v>
      </c>
      <c r="K693" t="n">
        <v>2</v>
      </c>
      <c r="L693" t="n">
        <v>0</v>
      </c>
      <c r="M693" t="n">
        <v>0</v>
      </c>
      <c r="N693" t="n">
        <v>0</v>
      </c>
      <c r="O693" t="n">
        <v>2</v>
      </c>
      <c r="P693" t="n">
        <v>2</v>
      </c>
      <c r="Q693" t="n">
        <v>2</v>
      </c>
      <c r="R693" s="2" t="inlineStr">
        <is>
          <t>Knärot
Rynkskinn</t>
        </is>
      </c>
      <c r="S693">
        <f>HYPERLINK("https://klasma.github.io/Logging_2026/artfynd/A 3115-2026 artfynd.xlsx", "A 3115-2026")</f>
        <v/>
      </c>
      <c r="T693">
        <f>HYPERLINK("https://klasma.github.io/Logging_2026/kartor/A 3115-2026 karta.png", "A 3115-2026")</f>
        <v/>
      </c>
      <c r="U693">
        <f>HYPERLINK("https://klasma.github.io/Logging_2026/knärot/A 3115-2026 karta knärot.png", "A 3115-2026")</f>
        <v/>
      </c>
      <c r="V693">
        <f>HYPERLINK("https://klasma.github.io/Logging_2026/klagomål/A 3115-2026 FSC-klagomål.docx", "A 3115-2026")</f>
        <v/>
      </c>
      <c r="W693">
        <f>HYPERLINK("https://klasma.github.io/Logging_2026/klagomålsmail/A 3115-2026 FSC-klagomål mail.docx", "A 3115-2026")</f>
        <v/>
      </c>
      <c r="X693">
        <f>HYPERLINK("https://klasma.github.io/Logging_2026/tillsyn/A 3115-2026 tillsynsbegäran.docx", "A 3115-2026")</f>
        <v/>
      </c>
      <c r="Y693">
        <f>HYPERLINK("https://klasma.github.io/Logging_2026/tillsynsmail/A 3115-2026 tillsynsbegäran mail.docx", "A 3115-2026")</f>
        <v/>
      </c>
    </row>
    <row r="694" ht="15" customHeight="1">
      <c r="A694" t="inlineStr">
        <is>
          <t>A 11979-2026</t>
        </is>
      </c>
      <c r="B694" s="1" t="n">
        <v>46085.6378587963</v>
      </c>
      <c r="C694" s="1" t="n">
        <v>46114</v>
      </c>
      <c r="D694" t="inlineStr">
        <is>
          <t>DALARNAS LÄN</t>
        </is>
      </c>
      <c r="E694" t="inlineStr">
        <is>
          <t>FALUN</t>
        </is>
      </c>
      <c r="F694" t="inlineStr">
        <is>
          <t>Bergvik skog väst AB</t>
        </is>
      </c>
      <c r="G694" t="n">
        <v>13.1</v>
      </c>
      <c r="H694" t="n">
        <v>2</v>
      </c>
      <c r="I694" t="n">
        <v>0</v>
      </c>
      <c r="J694" t="n">
        <v>1</v>
      </c>
      <c r="K694" t="n">
        <v>0</v>
      </c>
      <c r="L694" t="n">
        <v>0</v>
      </c>
      <c r="M694" t="n">
        <v>0</v>
      </c>
      <c r="N694" t="n">
        <v>0</v>
      </c>
      <c r="O694" t="n">
        <v>1</v>
      </c>
      <c r="P694" t="n">
        <v>0</v>
      </c>
      <c r="Q694" t="n">
        <v>2</v>
      </c>
      <c r="R694" s="2" t="inlineStr">
        <is>
          <t>Talltita
Kopparödla</t>
        </is>
      </c>
      <c r="S694">
        <f>HYPERLINK("https://klasma.github.io/Logging_2080/artfynd/A 11979-2026 artfynd.xlsx", "A 11979-2026")</f>
        <v/>
      </c>
      <c r="T694">
        <f>HYPERLINK("https://klasma.github.io/Logging_2080/kartor/A 11979-2026 karta.png", "A 11979-2026")</f>
        <v/>
      </c>
      <c r="V694">
        <f>HYPERLINK("https://klasma.github.io/Logging_2080/klagomål/A 11979-2026 FSC-klagomål.docx", "A 11979-2026")</f>
        <v/>
      </c>
      <c r="W694">
        <f>HYPERLINK("https://klasma.github.io/Logging_2080/klagomålsmail/A 11979-2026 FSC-klagomål mail.docx", "A 11979-2026")</f>
        <v/>
      </c>
      <c r="X694">
        <f>HYPERLINK("https://klasma.github.io/Logging_2080/tillsyn/A 11979-2026 tillsynsbegäran.docx", "A 11979-2026")</f>
        <v/>
      </c>
      <c r="Y694">
        <f>HYPERLINK("https://klasma.github.io/Logging_2080/tillsynsmail/A 11979-2026 tillsynsbegäran mail.docx", "A 11979-2026")</f>
        <v/>
      </c>
      <c r="Z694">
        <f>HYPERLINK("https://klasma.github.io/Logging_2080/fåglar/A 11979-2026 prioriterade fågelarter.docx", "A 11979-2026")</f>
        <v/>
      </c>
    </row>
    <row r="695" ht="15" customHeight="1">
      <c r="A695" t="inlineStr">
        <is>
          <t>A 21403-2021</t>
        </is>
      </c>
      <c r="B695" s="1" t="n">
        <v>44321</v>
      </c>
      <c r="C695" s="1" t="n">
        <v>46114</v>
      </c>
      <c r="D695" t="inlineStr">
        <is>
          <t>DALARNAS LÄN</t>
        </is>
      </c>
      <c r="E695" t="inlineStr">
        <is>
          <t>SMEDJEBACKEN</t>
        </is>
      </c>
      <c r="G695" t="n">
        <v>1.6</v>
      </c>
      <c r="H695" t="n">
        <v>1</v>
      </c>
      <c r="I695" t="n">
        <v>0</v>
      </c>
      <c r="J695" t="n">
        <v>1</v>
      </c>
      <c r="K695" t="n">
        <v>0</v>
      </c>
      <c r="L695" t="n">
        <v>0</v>
      </c>
      <c r="M695" t="n">
        <v>0</v>
      </c>
      <c r="N695" t="n">
        <v>0</v>
      </c>
      <c r="O695" t="n">
        <v>1</v>
      </c>
      <c r="P695" t="n">
        <v>0</v>
      </c>
      <c r="Q695" t="n">
        <v>2</v>
      </c>
      <c r="R695" s="2" t="inlineStr">
        <is>
          <t>Motaggsvamp
Blåsippa</t>
        </is>
      </c>
      <c r="S695">
        <f>HYPERLINK("https://klasma.github.io/Logging_2061/artfynd/A 21403-2021 artfynd.xlsx", "A 21403-2021")</f>
        <v/>
      </c>
      <c r="T695">
        <f>HYPERLINK("https://klasma.github.io/Logging_2061/kartor/A 21403-2021 karta.png", "A 21403-2021")</f>
        <v/>
      </c>
      <c r="V695">
        <f>HYPERLINK("https://klasma.github.io/Logging_2061/klagomål/A 21403-2021 FSC-klagomål.docx", "A 21403-2021")</f>
        <v/>
      </c>
      <c r="W695">
        <f>HYPERLINK("https://klasma.github.io/Logging_2061/klagomålsmail/A 21403-2021 FSC-klagomål mail.docx", "A 21403-2021")</f>
        <v/>
      </c>
      <c r="X695">
        <f>HYPERLINK("https://klasma.github.io/Logging_2061/tillsyn/A 21403-2021 tillsynsbegäran.docx", "A 21403-2021")</f>
        <v/>
      </c>
      <c r="Y695">
        <f>HYPERLINK("https://klasma.github.io/Logging_2061/tillsynsmail/A 21403-2021 tillsynsbegäran mail.docx", "A 21403-2021")</f>
        <v/>
      </c>
    </row>
    <row r="696" ht="15" customHeight="1">
      <c r="A696" t="inlineStr">
        <is>
          <t>A 27374-2022</t>
        </is>
      </c>
      <c r="B696" s="1" t="n">
        <v>44742</v>
      </c>
      <c r="C696" s="1" t="n">
        <v>46114</v>
      </c>
      <c r="D696" t="inlineStr">
        <is>
          <t>DALARNAS LÄN</t>
        </is>
      </c>
      <c r="E696" t="inlineStr">
        <is>
          <t>SÄTER</t>
        </is>
      </c>
      <c r="F696" t="inlineStr">
        <is>
          <t>Kommuner</t>
        </is>
      </c>
      <c r="G696" t="n">
        <v>4.3</v>
      </c>
      <c r="H696" t="n">
        <v>1</v>
      </c>
      <c r="I696" t="n">
        <v>0</v>
      </c>
      <c r="J696" t="n">
        <v>1</v>
      </c>
      <c r="K696" t="n">
        <v>1</v>
      </c>
      <c r="L696" t="n">
        <v>0</v>
      </c>
      <c r="M696" t="n">
        <v>0</v>
      </c>
      <c r="N696" t="n">
        <v>0</v>
      </c>
      <c r="O696" t="n">
        <v>2</v>
      </c>
      <c r="P696" t="n">
        <v>1</v>
      </c>
      <c r="Q696" t="n">
        <v>2</v>
      </c>
      <c r="R696" s="2" t="inlineStr">
        <is>
          <t>Knärot
Garnlav</t>
        </is>
      </c>
      <c r="S696">
        <f>HYPERLINK("https://klasma.github.io/Logging_2082/artfynd/A 27374-2022 artfynd.xlsx", "A 27374-2022")</f>
        <v/>
      </c>
      <c r="T696">
        <f>HYPERLINK("https://klasma.github.io/Logging_2082/kartor/A 27374-2022 karta.png", "A 27374-2022")</f>
        <v/>
      </c>
      <c r="U696">
        <f>HYPERLINK("https://klasma.github.io/Logging_2082/knärot/A 27374-2022 karta knärot.png", "A 27374-2022")</f>
        <v/>
      </c>
      <c r="V696">
        <f>HYPERLINK("https://klasma.github.io/Logging_2082/klagomål/A 27374-2022 FSC-klagomål.docx", "A 27374-2022")</f>
        <v/>
      </c>
      <c r="W696">
        <f>HYPERLINK("https://klasma.github.io/Logging_2082/klagomålsmail/A 27374-2022 FSC-klagomål mail.docx", "A 27374-2022")</f>
        <v/>
      </c>
      <c r="X696">
        <f>HYPERLINK("https://klasma.github.io/Logging_2082/tillsyn/A 27374-2022 tillsynsbegäran.docx", "A 27374-2022")</f>
        <v/>
      </c>
      <c r="Y696">
        <f>HYPERLINK("https://klasma.github.io/Logging_2082/tillsynsmail/A 27374-2022 tillsynsbegäran mail.docx", "A 27374-2022")</f>
        <v/>
      </c>
    </row>
    <row r="697" ht="15" customHeight="1">
      <c r="A697" t="inlineStr">
        <is>
          <t>A 45884-2021</t>
        </is>
      </c>
      <c r="B697" s="1" t="n">
        <v>44441</v>
      </c>
      <c r="C697" s="1" t="n">
        <v>46114</v>
      </c>
      <c r="D697" t="inlineStr">
        <is>
          <t>DALARNAS LÄN</t>
        </is>
      </c>
      <c r="E697" t="inlineStr">
        <is>
          <t>HEDEMORA</t>
        </is>
      </c>
      <c r="G697" t="n">
        <v>0.9</v>
      </c>
      <c r="H697" t="n">
        <v>1</v>
      </c>
      <c r="I697" t="n">
        <v>1</v>
      </c>
      <c r="J697" t="n">
        <v>0</v>
      </c>
      <c r="K697" t="n">
        <v>1</v>
      </c>
      <c r="L697" t="n">
        <v>0</v>
      </c>
      <c r="M697" t="n">
        <v>0</v>
      </c>
      <c r="N697" t="n">
        <v>0</v>
      </c>
      <c r="O697" t="n">
        <v>1</v>
      </c>
      <c r="P697" t="n">
        <v>1</v>
      </c>
      <c r="Q697" t="n">
        <v>2</v>
      </c>
      <c r="R697" s="2" t="inlineStr">
        <is>
          <t>Knärot
Bollvitmossa</t>
        </is>
      </c>
      <c r="S697">
        <f>HYPERLINK("https://klasma.github.io/Logging_2083/artfynd/A 45884-2021 artfynd.xlsx", "A 45884-2021")</f>
        <v/>
      </c>
      <c r="T697">
        <f>HYPERLINK("https://klasma.github.io/Logging_2083/kartor/A 45884-2021 karta.png", "A 45884-2021")</f>
        <v/>
      </c>
      <c r="U697">
        <f>HYPERLINK("https://klasma.github.io/Logging_2083/knärot/A 45884-2021 karta knärot.png", "A 45884-2021")</f>
        <v/>
      </c>
      <c r="V697">
        <f>HYPERLINK("https://klasma.github.io/Logging_2083/klagomål/A 45884-2021 FSC-klagomål.docx", "A 45884-2021")</f>
        <v/>
      </c>
      <c r="W697">
        <f>HYPERLINK("https://klasma.github.io/Logging_2083/klagomålsmail/A 45884-2021 FSC-klagomål mail.docx", "A 45884-2021")</f>
        <v/>
      </c>
      <c r="X697">
        <f>HYPERLINK("https://klasma.github.io/Logging_2083/tillsyn/A 45884-2021 tillsynsbegäran.docx", "A 45884-2021")</f>
        <v/>
      </c>
      <c r="Y697">
        <f>HYPERLINK("https://klasma.github.io/Logging_2083/tillsynsmail/A 45884-2021 tillsynsbegäran mail.docx", "A 45884-2021")</f>
        <v/>
      </c>
    </row>
    <row r="698" ht="15" customHeight="1">
      <c r="A698" t="inlineStr">
        <is>
          <t>A 11348-2026</t>
        </is>
      </c>
      <c r="B698" s="1" t="n">
        <v>46082</v>
      </c>
      <c r="C698" s="1" t="n">
        <v>46114</v>
      </c>
      <c r="D698" t="inlineStr">
        <is>
          <t>DALARNAS LÄN</t>
        </is>
      </c>
      <c r="E698" t="inlineStr">
        <is>
          <t>FALUN</t>
        </is>
      </c>
      <c r="G698" t="n">
        <v>36.7</v>
      </c>
      <c r="H698" t="n">
        <v>2</v>
      </c>
      <c r="I698" t="n">
        <v>1</v>
      </c>
      <c r="J698" t="n">
        <v>1</v>
      </c>
      <c r="K698" t="n">
        <v>0</v>
      </c>
      <c r="L698" t="n">
        <v>0</v>
      </c>
      <c r="M698" t="n">
        <v>0</v>
      </c>
      <c r="N698" t="n">
        <v>0</v>
      </c>
      <c r="O698" t="n">
        <v>1</v>
      </c>
      <c r="P698" t="n">
        <v>0</v>
      </c>
      <c r="Q698" t="n">
        <v>2</v>
      </c>
      <c r="R698" s="2" t="inlineStr">
        <is>
          <t>Spillkråka
Plattlummer</t>
        </is>
      </c>
      <c r="S698">
        <f>HYPERLINK("https://klasma.github.io/Logging_2080/artfynd/A 11348-2026 artfynd.xlsx", "A 11348-2026")</f>
        <v/>
      </c>
      <c r="T698">
        <f>HYPERLINK("https://klasma.github.io/Logging_2080/kartor/A 11348-2026 karta.png", "A 11348-2026")</f>
        <v/>
      </c>
      <c r="U698">
        <f>HYPERLINK("https://klasma.github.io/Logging_2080/knärot/A 11348-2026 karta knärot.png", "A 11348-2026")</f>
        <v/>
      </c>
      <c r="V698">
        <f>HYPERLINK("https://klasma.github.io/Logging_2080/klagomål/A 11348-2026 FSC-klagomål.docx", "A 11348-2026")</f>
        <v/>
      </c>
      <c r="W698">
        <f>HYPERLINK("https://klasma.github.io/Logging_2080/klagomålsmail/A 11348-2026 FSC-klagomål mail.docx", "A 11348-2026")</f>
        <v/>
      </c>
      <c r="X698">
        <f>HYPERLINK("https://klasma.github.io/Logging_2080/tillsyn/A 11348-2026 tillsynsbegäran.docx", "A 11348-2026")</f>
        <v/>
      </c>
      <c r="Y698">
        <f>HYPERLINK("https://klasma.github.io/Logging_2080/tillsynsmail/A 11348-2026 tillsynsbegäran mail.docx", "A 11348-2026")</f>
        <v/>
      </c>
      <c r="Z698">
        <f>HYPERLINK("https://klasma.github.io/Logging_2080/fåglar/A 11348-2026 prioriterade fågelarter.docx", "A 11348-2026")</f>
        <v/>
      </c>
    </row>
    <row r="699" ht="15" customHeight="1">
      <c r="A699" t="inlineStr">
        <is>
          <t>A 63118-2021</t>
        </is>
      </c>
      <c r="B699" s="1" t="n">
        <v>44505</v>
      </c>
      <c r="C699" s="1" t="n">
        <v>46114</v>
      </c>
      <c r="D699" t="inlineStr">
        <is>
          <t>DALARNAS LÄN</t>
        </is>
      </c>
      <c r="E699" t="inlineStr">
        <is>
          <t>BORLÄNGE</t>
        </is>
      </c>
      <c r="G699" t="n">
        <v>11.9</v>
      </c>
      <c r="H699" t="n">
        <v>1</v>
      </c>
      <c r="I699" t="n">
        <v>1</v>
      </c>
      <c r="J699" t="n">
        <v>0</v>
      </c>
      <c r="K699" t="n">
        <v>1</v>
      </c>
      <c r="L699" t="n">
        <v>0</v>
      </c>
      <c r="M699" t="n">
        <v>0</v>
      </c>
      <c r="N699" t="n">
        <v>0</v>
      </c>
      <c r="O699" t="n">
        <v>1</v>
      </c>
      <c r="P699" t="n">
        <v>1</v>
      </c>
      <c r="Q699" t="n">
        <v>2</v>
      </c>
      <c r="R699" s="2" t="inlineStr">
        <is>
          <t>Knärot
Dropptaggsvamp</t>
        </is>
      </c>
      <c r="S699">
        <f>HYPERLINK("https://klasma.github.io/Logging_2081/artfynd/A 63118-2021 artfynd.xlsx", "A 63118-2021")</f>
        <v/>
      </c>
      <c r="T699">
        <f>HYPERLINK("https://klasma.github.io/Logging_2081/kartor/A 63118-2021 karta.png", "A 63118-2021")</f>
        <v/>
      </c>
      <c r="U699">
        <f>HYPERLINK("https://klasma.github.io/Logging_2081/knärot/A 63118-2021 karta knärot.png", "A 63118-2021")</f>
        <v/>
      </c>
      <c r="V699">
        <f>HYPERLINK("https://klasma.github.io/Logging_2081/klagomål/A 63118-2021 FSC-klagomål.docx", "A 63118-2021")</f>
        <v/>
      </c>
      <c r="W699">
        <f>HYPERLINK("https://klasma.github.io/Logging_2081/klagomålsmail/A 63118-2021 FSC-klagomål mail.docx", "A 63118-2021")</f>
        <v/>
      </c>
      <c r="X699">
        <f>HYPERLINK("https://klasma.github.io/Logging_2081/tillsyn/A 63118-2021 tillsynsbegäran.docx", "A 63118-2021")</f>
        <v/>
      </c>
      <c r="Y699">
        <f>HYPERLINK("https://klasma.github.io/Logging_2081/tillsynsmail/A 63118-2021 tillsynsbegäran mail.docx", "A 63118-2021")</f>
        <v/>
      </c>
    </row>
    <row r="700" ht="15" customHeight="1">
      <c r="A700" t="inlineStr">
        <is>
          <t>A 4443-2026</t>
        </is>
      </c>
      <c r="B700" s="1" t="n">
        <v>46045.63675925926</v>
      </c>
      <c r="C700" s="1" t="n">
        <v>46114</v>
      </c>
      <c r="D700" t="inlineStr">
        <is>
          <t>DALARNAS LÄN</t>
        </is>
      </c>
      <c r="E700" t="inlineStr">
        <is>
          <t>BORLÄNGE</t>
        </is>
      </c>
      <c r="F700" t="inlineStr">
        <is>
          <t>Bergvik skog väst AB</t>
        </is>
      </c>
      <c r="G700" t="n">
        <v>1.7</v>
      </c>
      <c r="H700" t="n">
        <v>0</v>
      </c>
      <c r="I700" t="n">
        <v>0</v>
      </c>
      <c r="J700" t="n">
        <v>2</v>
      </c>
      <c r="K700" t="n">
        <v>0</v>
      </c>
      <c r="L700" t="n">
        <v>0</v>
      </c>
      <c r="M700" t="n">
        <v>0</v>
      </c>
      <c r="N700" t="n">
        <v>0</v>
      </c>
      <c r="O700" t="n">
        <v>2</v>
      </c>
      <c r="P700" t="n">
        <v>0</v>
      </c>
      <c r="Q700" t="n">
        <v>2</v>
      </c>
      <c r="R700" s="2" t="inlineStr">
        <is>
          <t>Rosenticka
Ullticka</t>
        </is>
      </c>
      <c r="S700">
        <f>HYPERLINK("https://klasma.github.io/Logging_2081/artfynd/A 4443-2026 artfynd.xlsx", "A 4443-2026")</f>
        <v/>
      </c>
      <c r="T700">
        <f>HYPERLINK("https://klasma.github.io/Logging_2081/kartor/A 4443-2026 karta.png", "A 4443-2026")</f>
        <v/>
      </c>
      <c r="V700">
        <f>HYPERLINK("https://klasma.github.io/Logging_2081/klagomål/A 4443-2026 FSC-klagomål.docx", "A 4443-2026")</f>
        <v/>
      </c>
      <c r="W700">
        <f>HYPERLINK("https://klasma.github.io/Logging_2081/klagomålsmail/A 4443-2026 FSC-klagomål mail.docx", "A 4443-2026")</f>
        <v/>
      </c>
      <c r="X700">
        <f>HYPERLINK("https://klasma.github.io/Logging_2081/tillsyn/A 4443-2026 tillsynsbegäran.docx", "A 4443-2026")</f>
        <v/>
      </c>
      <c r="Y700">
        <f>HYPERLINK("https://klasma.github.io/Logging_2081/tillsynsmail/A 4443-2026 tillsynsbegäran mail.docx", "A 4443-2026")</f>
        <v/>
      </c>
    </row>
    <row r="701" ht="15" customHeight="1">
      <c r="A701" t="inlineStr">
        <is>
          <t>A 56826-2025</t>
        </is>
      </c>
      <c r="B701" s="1" t="n">
        <v>45978</v>
      </c>
      <c r="C701" s="1" t="n">
        <v>46114</v>
      </c>
      <c r="D701" t="inlineStr">
        <is>
          <t>DALARNAS LÄN</t>
        </is>
      </c>
      <c r="E701" t="inlineStr">
        <is>
          <t>LUDVIKA</t>
        </is>
      </c>
      <c r="F701" t="inlineStr">
        <is>
          <t>Bergvik skog väst AB</t>
        </is>
      </c>
      <c r="G701" t="n">
        <v>4.5</v>
      </c>
      <c r="H701" t="n">
        <v>1</v>
      </c>
      <c r="I701" t="n">
        <v>0</v>
      </c>
      <c r="J701" t="n">
        <v>2</v>
      </c>
      <c r="K701" t="n">
        <v>0</v>
      </c>
      <c r="L701" t="n">
        <v>0</v>
      </c>
      <c r="M701" t="n">
        <v>0</v>
      </c>
      <c r="N701" t="n">
        <v>0</v>
      </c>
      <c r="O701" t="n">
        <v>2</v>
      </c>
      <c r="P701" t="n">
        <v>0</v>
      </c>
      <c r="Q701" t="n">
        <v>2</v>
      </c>
      <c r="R701" s="2" t="inlineStr">
        <is>
          <t>Garnlav
Tretåig hackspett</t>
        </is>
      </c>
      <c r="S701">
        <f>HYPERLINK("https://klasma.github.io/Logging_2085/artfynd/A 56826-2025 artfynd.xlsx", "A 56826-2025")</f>
        <v/>
      </c>
      <c r="T701">
        <f>HYPERLINK("https://klasma.github.io/Logging_2085/kartor/A 56826-2025 karta.png", "A 56826-2025")</f>
        <v/>
      </c>
      <c r="V701">
        <f>HYPERLINK("https://klasma.github.io/Logging_2085/klagomål/A 56826-2025 FSC-klagomål.docx", "A 56826-2025")</f>
        <v/>
      </c>
      <c r="W701">
        <f>HYPERLINK("https://klasma.github.io/Logging_2085/klagomålsmail/A 56826-2025 FSC-klagomål mail.docx", "A 56826-2025")</f>
        <v/>
      </c>
      <c r="X701">
        <f>HYPERLINK("https://klasma.github.io/Logging_2085/tillsyn/A 56826-2025 tillsynsbegäran.docx", "A 56826-2025")</f>
        <v/>
      </c>
      <c r="Y701">
        <f>HYPERLINK("https://klasma.github.io/Logging_2085/tillsynsmail/A 56826-2025 tillsynsbegäran mail.docx", "A 56826-2025")</f>
        <v/>
      </c>
      <c r="Z701">
        <f>HYPERLINK("https://klasma.github.io/Logging_2085/fåglar/A 56826-2025 prioriterade fågelarter.docx", "A 56826-2025")</f>
        <v/>
      </c>
    </row>
    <row r="702" ht="15" customHeight="1">
      <c r="A702" t="inlineStr">
        <is>
          <t>A 12817-2026</t>
        </is>
      </c>
      <c r="B702" s="1" t="n">
        <v>46091</v>
      </c>
      <c r="C702" s="1" t="n">
        <v>46114</v>
      </c>
      <c r="D702" t="inlineStr">
        <is>
          <t>DALARNAS LÄN</t>
        </is>
      </c>
      <c r="E702" t="inlineStr">
        <is>
          <t>SÄTER</t>
        </is>
      </c>
      <c r="F702" t="inlineStr">
        <is>
          <t>Bergvik skog väst AB</t>
        </is>
      </c>
      <c r="G702" t="n">
        <v>28.2</v>
      </c>
      <c r="H702" t="n">
        <v>1</v>
      </c>
      <c r="I702" t="n">
        <v>0</v>
      </c>
      <c r="J702" t="n">
        <v>1</v>
      </c>
      <c r="K702" t="n">
        <v>0</v>
      </c>
      <c r="L702" t="n">
        <v>1</v>
      </c>
      <c r="M702" t="n">
        <v>0</v>
      </c>
      <c r="N702" t="n">
        <v>0</v>
      </c>
      <c r="O702" t="n">
        <v>2</v>
      </c>
      <c r="P702" t="n">
        <v>1</v>
      </c>
      <c r="Q702" t="n">
        <v>2</v>
      </c>
      <c r="R702" s="2" t="inlineStr">
        <is>
          <t>Ask
Grönsångare</t>
        </is>
      </c>
      <c r="S702">
        <f>HYPERLINK("https://klasma.github.io/Logging_2082/artfynd/A 12817-2026 artfynd.xlsx", "A 12817-2026")</f>
        <v/>
      </c>
      <c r="T702">
        <f>HYPERLINK("https://klasma.github.io/Logging_2082/kartor/A 12817-2026 karta.png", "A 12817-2026")</f>
        <v/>
      </c>
      <c r="V702">
        <f>HYPERLINK("https://klasma.github.io/Logging_2082/klagomål/A 12817-2026 FSC-klagomål.docx", "A 12817-2026")</f>
        <v/>
      </c>
      <c r="W702">
        <f>HYPERLINK("https://klasma.github.io/Logging_2082/klagomålsmail/A 12817-2026 FSC-klagomål mail.docx", "A 12817-2026")</f>
        <v/>
      </c>
      <c r="X702">
        <f>HYPERLINK("https://klasma.github.io/Logging_2082/tillsyn/A 12817-2026 tillsynsbegäran.docx", "A 12817-2026")</f>
        <v/>
      </c>
      <c r="Y702">
        <f>HYPERLINK("https://klasma.github.io/Logging_2082/tillsynsmail/A 12817-2026 tillsynsbegäran mail.docx", "A 12817-2026")</f>
        <v/>
      </c>
      <c r="Z702">
        <f>HYPERLINK("https://klasma.github.io/Logging_2082/fåglar/A 12817-2026 prioriterade fågelarter.docx", "A 12817-2026")</f>
        <v/>
      </c>
    </row>
    <row r="703" ht="15" customHeight="1">
      <c r="A703" t="inlineStr">
        <is>
          <t>A 21423-2023</t>
        </is>
      </c>
      <c r="B703" s="1" t="n">
        <v>45063</v>
      </c>
      <c r="C703" s="1" t="n">
        <v>46114</v>
      </c>
      <c r="D703" t="inlineStr">
        <is>
          <t>DALARNAS LÄN</t>
        </is>
      </c>
      <c r="E703" t="inlineStr">
        <is>
          <t>SMEDJEBACKEN</t>
        </is>
      </c>
      <c r="F703" t="inlineStr">
        <is>
          <t>Bergvik skog väst AB</t>
        </is>
      </c>
      <c r="G703" t="n">
        <v>0.5</v>
      </c>
      <c r="H703" t="n">
        <v>1</v>
      </c>
      <c r="I703" t="n">
        <v>0</v>
      </c>
      <c r="J703" t="n">
        <v>1</v>
      </c>
      <c r="K703" t="n">
        <v>0</v>
      </c>
      <c r="L703" t="n">
        <v>0</v>
      </c>
      <c r="M703" t="n">
        <v>0</v>
      </c>
      <c r="N703" t="n">
        <v>0</v>
      </c>
      <c r="O703" t="n">
        <v>1</v>
      </c>
      <c r="P703" t="n">
        <v>0</v>
      </c>
      <c r="Q703" t="n">
        <v>2</v>
      </c>
      <c r="R703" s="2" t="inlineStr">
        <is>
          <t>Tallkötticka
Törnskata</t>
        </is>
      </c>
      <c r="S703">
        <f>HYPERLINK("https://klasma.github.io/Logging_2061/artfynd/A 21423-2023 artfynd.xlsx", "A 21423-2023")</f>
        <v/>
      </c>
      <c r="T703">
        <f>HYPERLINK("https://klasma.github.io/Logging_2061/kartor/A 21423-2023 karta.png", "A 21423-2023")</f>
        <v/>
      </c>
      <c r="V703">
        <f>HYPERLINK("https://klasma.github.io/Logging_2061/klagomål/A 21423-2023 FSC-klagomål.docx", "A 21423-2023")</f>
        <v/>
      </c>
      <c r="W703">
        <f>HYPERLINK("https://klasma.github.io/Logging_2061/klagomålsmail/A 21423-2023 FSC-klagomål mail.docx", "A 21423-2023")</f>
        <v/>
      </c>
      <c r="X703">
        <f>HYPERLINK("https://klasma.github.io/Logging_2061/tillsyn/A 21423-2023 tillsynsbegäran.docx", "A 21423-2023")</f>
        <v/>
      </c>
      <c r="Y703">
        <f>HYPERLINK("https://klasma.github.io/Logging_2061/tillsynsmail/A 21423-2023 tillsynsbegäran mail.docx", "A 21423-2023")</f>
        <v/>
      </c>
      <c r="Z703">
        <f>HYPERLINK("https://klasma.github.io/Logging_2061/fåglar/A 21423-2023 prioriterade fågelarter.docx", "A 21423-2023")</f>
        <v/>
      </c>
    </row>
    <row r="704" ht="15" customHeight="1">
      <c r="A704" t="inlineStr">
        <is>
          <t>A 5417-2026</t>
        </is>
      </c>
      <c r="B704" s="1" t="n">
        <v>46050.53731481481</v>
      </c>
      <c r="C704" s="1" t="n">
        <v>46114</v>
      </c>
      <c r="D704" t="inlineStr">
        <is>
          <t>DALARNAS LÄN</t>
        </is>
      </c>
      <c r="E704" t="inlineStr">
        <is>
          <t>BORLÄNGE</t>
        </is>
      </c>
      <c r="G704" t="n">
        <v>0.6</v>
      </c>
      <c r="H704" t="n">
        <v>0</v>
      </c>
      <c r="I704" t="n">
        <v>1</v>
      </c>
      <c r="J704" t="n">
        <v>0</v>
      </c>
      <c r="K704" t="n">
        <v>1</v>
      </c>
      <c r="L704" t="n">
        <v>0</v>
      </c>
      <c r="M704" t="n">
        <v>0</v>
      </c>
      <c r="N704" t="n">
        <v>0</v>
      </c>
      <c r="O704" t="n">
        <v>1</v>
      </c>
      <c r="P704" t="n">
        <v>1</v>
      </c>
      <c r="Q704" t="n">
        <v>2</v>
      </c>
      <c r="R704" s="2" t="inlineStr">
        <is>
          <t>Tvillingspindling
Kryddspindling</t>
        </is>
      </c>
      <c r="S704">
        <f>HYPERLINK("https://klasma.github.io/Logging_2081/artfynd/A 5417-2026 artfynd.xlsx", "A 5417-2026")</f>
        <v/>
      </c>
      <c r="T704">
        <f>HYPERLINK("https://klasma.github.io/Logging_2081/kartor/A 5417-2026 karta.png", "A 5417-2026")</f>
        <v/>
      </c>
      <c r="V704">
        <f>HYPERLINK("https://klasma.github.io/Logging_2081/klagomål/A 5417-2026 FSC-klagomål.docx", "A 5417-2026")</f>
        <v/>
      </c>
      <c r="W704">
        <f>HYPERLINK("https://klasma.github.io/Logging_2081/klagomålsmail/A 5417-2026 FSC-klagomål mail.docx", "A 5417-2026")</f>
        <v/>
      </c>
      <c r="X704">
        <f>HYPERLINK("https://klasma.github.io/Logging_2081/tillsyn/A 5417-2026 tillsynsbegäran.docx", "A 5417-2026")</f>
        <v/>
      </c>
      <c r="Y704">
        <f>HYPERLINK("https://klasma.github.io/Logging_2081/tillsynsmail/A 5417-2026 tillsynsbegäran mail.docx", "A 5417-2026")</f>
        <v/>
      </c>
    </row>
    <row r="705" ht="15" customHeight="1">
      <c r="A705" t="inlineStr">
        <is>
          <t>A 5280-2026</t>
        </is>
      </c>
      <c r="B705" s="1" t="n">
        <v>46050</v>
      </c>
      <c r="C705" s="1" t="n">
        <v>46114</v>
      </c>
      <c r="D705" t="inlineStr">
        <is>
          <t>DALARNAS LÄN</t>
        </is>
      </c>
      <c r="E705" t="inlineStr">
        <is>
          <t>FALUN</t>
        </is>
      </c>
      <c r="F705" t="inlineStr">
        <is>
          <t>Bergvik skog väst AB</t>
        </is>
      </c>
      <c r="G705" t="n">
        <v>5.5</v>
      </c>
      <c r="H705" t="n">
        <v>1</v>
      </c>
      <c r="I705" t="n">
        <v>0</v>
      </c>
      <c r="J705" t="n">
        <v>1</v>
      </c>
      <c r="K705" t="n">
        <v>0</v>
      </c>
      <c r="L705" t="n">
        <v>0</v>
      </c>
      <c r="M705" t="n">
        <v>0</v>
      </c>
      <c r="N705" t="n">
        <v>0</v>
      </c>
      <c r="O705" t="n">
        <v>1</v>
      </c>
      <c r="P705" t="n">
        <v>0</v>
      </c>
      <c r="Q705" t="n">
        <v>2</v>
      </c>
      <c r="R705" s="2" t="inlineStr">
        <is>
          <t>Garnlav
Tjäder</t>
        </is>
      </c>
      <c r="S705">
        <f>HYPERLINK("https://klasma.github.io/Logging_2080/artfynd/A 5280-2026 artfynd.xlsx", "A 5280-2026")</f>
        <v/>
      </c>
      <c r="T705">
        <f>HYPERLINK("https://klasma.github.io/Logging_2080/kartor/A 5280-2026 karta.png", "A 5280-2026")</f>
        <v/>
      </c>
      <c r="V705">
        <f>HYPERLINK("https://klasma.github.io/Logging_2080/klagomål/A 5280-2026 FSC-klagomål.docx", "A 5280-2026")</f>
        <v/>
      </c>
      <c r="W705">
        <f>HYPERLINK("https://klasma.github.io/Logging_2080/klagomålsmail/A 5280-2026 FSC-klagomål mail.docx", "A 5280-2026")</f>
        <v/>
      </c>
      <c r="X705">
        <f>HYPERLINK("https://klasma.github.io/Logging_2080/tillsyn/A 5280-2026 tillsynsbegäran.docx", "A 5280-2026")</f>
        <v/>
      </c>
      <c r="Y705">
        <f>HYPERLINK("https://klasma.github.io/Logging_2080/tillsynsmail/A 5280-2026 tillsynsbegäran mail.docx", "A 5280-2026")</f>
        <v/>
      </c>
      <c r="Z705">
        <f>HYPERLINK("https://klasma.github.io/Logging_2080/fåglar/A 5280-2026 prioriterade fågelarter.docx", "A 5280-2026")</f>
        <v/>
      </c>
    </row>
    <row r="706" ht="15" customHeight="1">
      <c r="A706" t="inlineStr">
        <is>
          <t>A 8202-2025</t>
        </is>
      </c>
      <c r="B706" s="1" t="n">
        <v>45708.43793981482</v>
      </c>
      <c r="C706" s="1" t="n">
        <v>46114</v>
      </c>
      <c r="D706" t="inlineStr">
        <is>
          <t>DALARNAS LÄN</t>
        </is>
      </c>
      <c r="E706" t="inlineStr">
        <is>
          <t>LUDVIKA</t>
        </is>
      </c>
      <c r="G706" t="n">
        <v>6.4</v>
      </c>
      <c r="H706" t="n">
        <v>2</v>
      </c>
      <c r="I706" t="n">
        <v>0</v>
      </c>
      <c r="J706" t="n">
        <v>2</v>
      </c>
      <c r="K706" t="n">
        <v>0</v>
      </c>
      <c r="L706" t="n">
        <v>0</v>
      </c>
      <c r="M706" t="n">
        <v>0</v>
      </c>
      <c r="N706" t="n">
        <v>0</v>
      </c>
      <c r="O706" t="n">
        <v>2</v>
      </c>
      <c r="P706" t="n">
        <v>0</v>
      </c>
      <c r="Q706" t="n">
        <v>2</v>
      </c>
      <c r="R706" s="2" t="inlineStr">
        <is>
          <t>Spillkråka
Tretåig hackspett</t>
        </is>
      </c>
      <c r="S706">
        <f>HYPERLINK("https://klasma.github.io/Logging_2085/artfynd/A 8202-2025 artfynd.xlsx", "A 8202-2025")</f>
        <v/>
      </c>
      <c r="T706">
        <f>HYPERLINK("https://klasma.github.io/Logging_2085/kartor/A 8202-2025 karta.png", "A 8202-2025")</f>
        <v/>
      </c>
      <c r="V706">
        <f>HYPERLINK("https://klasma.github.io/Logging_2085/klagomål/A 8202-2025 FSC-klagomål.docx", "A 8202-2025")</f>
        <v/>
      </c>
      <c r="W706">
        <f>HYPERLINK("https://klasma.github.io/Logging_2085/klagomålsmail/A 8202-2025 FSC-klagomål mail.docx", "A 8202-2025")</f>
        <v/>
      </c>
      <c r="X706">
        <f>HYPERLINK("https://klasma.github.io/Logging_2085/tillsyn/A 8202-2025 tillsynsbegäran.docx", "A 8202-2025")</f>
        <v/>
      </c>
      <c r="Y706">
        <f>HYPERLINK("https://klasma.github.io/Logging_2085/tillsynsmail/A 8202-2025 tillsynsbegäran mail.docx", "A 8202-2025")</f>
        <v/>
      </c>
      <c r="Z706">
        <f>HYPERLINK("https://klasma.github.io/Logging_2085/fåglar/A 8202-2025 prioriterade fågelarter.docx", "A 8202-2025")</f>
        <v/>
      </c>
    </row>
    <row r="707" ht="15" customHeight="1">
      <c r="A707" t="inlineStr">
        <is>
          <t>A 5307-2026</t>
        </is>
      </c>
      <c r="B707" s="1" t="n">
        <v>46050</v>
      </c>
      <c r="C707" s="1" t="n">
        <v>46114</v>
      </c>
      <c r="D707" t="inlineStr">
        <is>
          <t>DALARNAS LÄN</t>
        </is>
      </c>
      <c r="E707" t="inlineStr">
        <is>
          <t>HEDEMORA</t>
        </is>
      </c>
      <c r="G707" t="n">
        <v>0.8</v>
      </c>
      <c r="H707" t="n">
        <v>0</v>
      </c>
      <c r="I707" t="n">
        <v>1</v>
      </c>
      <c r="J707" t="n">
        <v>0</v>
      </c>
      <c r="K707" t="n">
        <v>1</v>
      </c>
      <c r="L707" t="n">
        <v>0</v>
      </c>
      <c r="M707" t="n">
        <v>0</v>
      </c>
      <c r="N707" t="n">
        <v>0</v>
      </c>
      <c r="O707" t="n">
        <v>1</v>
      </c>
      <c r="P707" t="n">
        <v>1</v>
      </c>
      <c r="Q707" t="n">
        <v>2</v>
      </c>
      <c r="R707" s="2" t="inlineStr">
        <is>
          <t>Blackticka
Fjällig taggsvamp s.str.</t>
        </is>
      </c>
      <c r="S707">
        <f>HYPERLINK("https://klasma.github.io/Logging_2083/artfynd/A 5307-2026 artfynd.xlsx", "A 5307-2026")</f>
        <v/>
      </c>
      <c r="T707">
        <f>HYPERLINK("https://klasma.github.io/Logging_2083/kartor/A 5307-2026 karta.png", "A 5307-2026")</f>
        <v/>
      </c>
      <c r="V707">
        <f>HYPERLINK("https://klasma.github.io/Logging_2083/klagomål/A 5307-2026 FSC-klagomål.docx", "A 5307-2026")</f>
        <v/>
      </c>
      <c r="W707">
        <f>HYPERLINK("https://klasma.github.io/Logging_2083/klagomålsmail/A 5307-2026 FSC-klagomål mail.docx", "A 5307-2026")</f>
        <v/>
      </c>
      <c r="X707">
        <f>HYPERLINK("https://klasma.github.io/Logging_2083/tillsyn/A 5307-2026 tillsynsbegäran.docx", "A 5307-2026")</f>
        <v/>
      </c>
      <c r="Y707">
        <f>HYPERLINK("https://klasma.github.io/Logging_2083/tillsynsmail/A 5307-2026 tillsynsbegäran mail.docx", "A 5307-2026")</f>
        <v/>
      </c>
    </row>
    <row r="708" ht="15" customHeight="1">
      <c r="A708" t="inlineStr">
        <is>
          <t>A 13072-2026</t>
        </is>
      </c>
      <c r="B708" s="1" t="n">
        <v>46093</v>
      </c>
      <c r="C708" s="1" t="n">
        <v>46114</v>
      </c>
      <c r="D708" t="inlineStr">
        <is>
          <t>DALARNAS LÄN</t>
        </is>
      </c>
      <c r="E708" t="inlineStr">
        <is>
          <t>FALUN</t>
        </is>
      </c>
      <c r="F708" t="inlineStr">
        <is>
          <t>Allmännings- och besparingsskogar</t>
        </is>
      </c>
      <c r="G708" t="n">
        <v>16.5</v>
      </c>
      <c r="H708" t="n">
        <v>0</v>
      </c>
      <c r="I708" t="n">
        <v>0</v>
      </c>
      <c r="J708" t="n">
        <v>2</v>
      </c>
      <c r="K708" t="n">
        <v>0</v>
      </c>
      <c r="L708" t="n">
        <v>0</v>
      </c>
      <c r="M708" t="n">
        <v>0</v>
      </c>
      <c r="N708" t="n">
        <v>0</v>
      </c>
      <c r="O708" t="n">
        <v>2</v>
      </c>
      <c r="P708" t="n">
        <v>0</v>
      </c>
      <c r="Q708" t="n">
        <v>2</v>
      </c>
      <c r="R708" s="2" t="inlineStr">
        <is>
          <t>Garnlav
Kolflarnlav</t>
        </is>
      </c>
      <c r="S708">
        <f>HYPERLINK("https://klasma.github.io/Logging_2080/artfynd/A 13072-2026 artfynd.xlsx", "A 13072-2026")</f>
        <v/>
      </c>
      <c r="T708">
        <f>HYPERLINK("https://klasma.github.io/Logging_2080/kartor/A 13072-2026 karta.png", "A 13072-2026")</f>
        <v/>
      </c>
      <c r="V708">
        <f>HYPERLINK("https://klasma.github.io/Logging_2080/klagomål/A 13072-2026 FSC-klagomål.docx", "A 13072-2026")</f>
        <v/>
      </c>
      <c r="W708">
        <f>HYPERLINK("https://klasma.github.io/Logging_2080/klagomålsmail/A 13072-2026 FSC-klagomål mail.docx", "A 13072-2026")</f>
        <v/>
      </c>
      <c r="X708">
        <f>HYPERLINK("https://klasma.github.io/Logging_2080/tillsyn/A 13072-2026 tillsynsbegäran.docx", "A 13072-2026")</f>
        <v/>
      </c>
      <c r="Y708">
        <f>HYPERLINK("https://klasma.github.io/Logging_2080/tillsynsmail/A 13072-2026 tillsynsbegäran mail.docx", "A 13072-2026")</f>
        <v/>
      </c>
    </row>
    <row r="709" ht="15" customHeight="1">
      <c r="A709" t="inlineStr">
        <is>
          <t>A 35464-2025</t>
        </is>
      </c>
      <c r="B709" s="1" t="n">
        <v>45855</v>
      </c>
      <c r="C709" s="1" t="n">
        <v>46114</v>
      </c>
      <c r="D709" t="inlineStr">
        <is>
          <t>DALARNAS LÄN</t>
        </is>
      </c>
      <c r="E709" t="inlineStr">
        <is>
          <t>GAGNEF</t>
        </is>
      </c>
      <c r="G709" t="n">
        <v>2.7</v>
      </c>
      <c r="H709" t="n">
        <v>2</v>
      </c>
      <c r="I709" t="n">
        <v>0</v>
      </c>
      <c r="J709" t="n">
        <v>1</v>
      </c>
      <c r="K709" t="n">
        <v>1</v>
      </c>
      <c r="L709" t="n">
        <v>0</v>
      </c>
      <c r="M709" t="n">
        <v>0</v>
      </c>
      <c r="N709" t="n">
        <v>0</v>
      </c>
      <c r="O709" t="n">
        <v>2</v>
      </c>
      <c r="P709" t="n">
        <v>1</v>
      </c>
      <c r="Q709" t="n">
        <v>2</v>
      </c>
      <c r="R709" s="2" t="inlineStr">
        <is>
          <t>Knärot
Järpe</t>
        </is>
      </c>
      <c r="S709">
        <f>HYPERLINK("https://klasma.github.io/Logging_2026/artfynd/A 35464-2025 artfynd.xlsx", "A 35464-2025")</f>
        <v/>
      </c>
      <c r="T709">
        <f>HYPERLINK("https://klasma.github.io/Logging_2026/kartor/A 35464-2025 karta.png", "A 35464-2025")</f>
        <v/>
      </c>
      <c r="U709">
        <f>HYPERLINK("https://klasma.github.io/Logging_2026/knärot/A 35464-2025 karta knärot.png", "A 35464-2025")</f>
        <v/>
      </c>
      <c r="V709">
        <f>HYPERLINK("https://klasma.github.io/Logging_2026/klagomål/A 35464-2025 FSC-klagomål.docx", "A 35464-2025")</f>
        <v/>
      </c>
      <c r="W709">
        <f>HYPERLINK("https://klasma.github.io/Logging_2026/klagomålsmail/A 35464-2025 FSC-klagomål mail.docx", "A 35464-2025")</f>
        <v/>
      </c>
      <c r="X709">
        <f>HYPERLINK("https://klasma.github.io/Logging_2026/tillsyn/A 35464-2025 tillsynsbegäran.docx", "A 35464-2025")</f>
        <v/>
      </c>
      <c r="Y709">
        <f>HYPERLINK("https://klasma.github.io/Logging_2026/tillsynsmail/A 35464-2025 tillsynsbegäran mail.docx", "A 35464-2025")</f>
        <v/>
      </c>
      <c r="Z709">
        <f>HYPERLINK("https://klasma.github.io/Logging_2026/fåglar/A 35464-2025 prioriterade fågelarter.docx", "A 35464-2025")</f>
        <v/>
      </c>
    </row>
    <row r="710" ht="15" customHeight="1">
      <c r="A710" t="inlineStr">
        <is>
          <t>A 49335-2024</t>
        </is>
      </c>
      <c r="B710" s="1" t="n">
        <v>45595.5858912037</v>
      </c>
      <c r="C710" s="1" t="n">
        <v>46114</v>
      </c>
      <c r="D710" t="inlineStr">
        <is>
          <t>DALARNAS LÄN</t>
        </is>
      </c>
      <c r="E710" t="inlineStr">
        <is>
          <t>FALUN</t>
        </is>
      </c>
      <c r="G710" t="n">
        <v>4.3</v>
      </c>
      <c r="H710" t="n">
        <v>0</v>
      </c>
      <c r="I710" t="n">
        <v>0</v>
      </c>
      <c r="J710" t="n">
        <v>1</v>
      </c>
      <c r="K710" t="n">
        <v>1</v>
      </c>
      <c r="L710" t="n">
        <v>0</v>
      </c>
      <c r="M710" t="n">
        <v>0</v>
      </c>
      <c r="N710" t="n">
        <v>0</v>
      </c>
      <c r="O710" t="n">
        <v>2</v>
      </c>
      <c r="P710" t="n">
        <v>1</v>
      </c>
      <c r="Q710" t="n">
        <v>2</v>
      </c>
      <c r="R710" s="2" t="inlineStr">
        <is>
          <t>Rynkskinn
Rosenticka</t>
        </is>
      </c>
      <c r="S710">
        <f>HYPERLINK("https://klasma.github.io/Logging_2080/artfynd/A 49335-2024 artfynd.xlsx", "A 49335-2024")</f>
        <v/>
      </c>
      <c r="T710">
        <f>HYPERLINK("https://klasma.github.io/Logging_2080/kartor/A 49335-2024 karta.png", "A 49335-2024")</f>
        <v/>
      </c>
      <c r="V710">
        <f>HYPERLINK("https://klasma.github.io/Logging_2080/klagomål/A 49335-2024 FSC-klagomål.docx", "A 49335-2024")</f>
        <v/>
      </c>
      <c r="W710">
        <f>HYPERLINK("https://klasma.github.io/Logging_2080/klagomålsmail/A 49335-2024 FSC-klagomål mail.docx", "A 49335-2024")</f>
        <v/>
      </c>
      <c r="X710">
        <f>HYPERLINK("https://klasma.github.io/Logging_2080/tillsyn/A 49335-2024 tillsynsbegäran.docx", "A 49335-2024")</f>
        <v/>
      </c>
      <c r="Y710">
        <f>HYPERLINK("https://klasma.github.io/Logging_2080/tillsynsmail/A 49335-2024 tillsynsbegäran mail.docx", "A 49335-2024")</f>
        <v/>
      </c>
    </row>
    <row r="711" ht="15" customHeight="1">
      <c r="A711" t="inlineStr">
        <is>
          <t>A 13961-2026</t>
        </is>
      </c>
      <c r="B711" s="1" t="n">
        <v>46098.56763888889</v>
      </c>
      <c r="C711" s="1" t="n">
        <v>46114</v>
      </c>
      <c r="D711" t="inlineStr">
        <is>
          <t>DALARNAS LÄN</t>
        </is>
      </c>
      <c r="E711" t="inlineStr">
        <is>
          <t>FALUN</t>
        </is>
      </c>
      <c r="F711" t="inlineStr">
        <is>
          <t>Bergvik skog väst AB</t>
        </is>
      </c>
      <c r="G711" t="n">
        <v>18.7</v>
      </c>
      <c r="H711" t="n">
        <v>1</v>
      </c>
      <c r="I711" t="n">
        <v>2</v>
      </c>
      <c r="J711" t="n">
        <v>0</v>
      </c>
      <c r="K711" t="n">
        <v>0</v>
      </c>
      <c r="L711" t="n">
        <v>0</v>
      </c>
      <c r="M711" t="n">
        <v>0</v>
      </c>
      <c r="N711" t="n">
        <v>0</v>
      </c>
      <c r="O711" t="n">
        <v>0</v>
      </c>
      <c r="P711" t="n">
        <v>0</v>
      </c>
      <c r="Q711" t="n">
        <v>2</v>
      </c>
      <c r="R711" s="2" t="inlineStr">
        <is>
          <t>Bronshjon
Plattlummer</t>
        </is>
      </c>
      <c r="S711">
        <f>HYPERLINK("https://klasma.github.io/Logging_2080/artfynd/A 13961-2026 artfynd.xlsx", "A 13961-2026")</f>
        <v/>
      </c>
      <c r="T711">
        <f>HYPERLINK("https://klasma.github.io/Logging_2080/kartor/A 13961-2026 karta.png", "A 13961-2026")</f>
        <v/>
      </c>
      <c r="V711">
        <f>HYPERLINK("https://klasma.github.io/Logging_2080/klagomål/A 13961-2026 FSC-klagomål.docx", "A 13961-2026")</f>
        <v/>
      </c>
      <c r="W711">
        <f>HYPERLINK("https://klasma.github.io/Logging_2080/klagomålsmail/A 13961-2026 FSC-klagomål mail.docx", "A 13961-2026")</f>
        <v/>
      </c>
      <c r="X711">
        <f>HYPERLINK("https://klasma.github.io/Logging_2080/tillsyn/A 13961-2026 tillsynsbegäran.docx", "A 13961-2026")</f>
        <v/>
      </c>
      <c r="Y711">
        <f>HYPERLINK("https://klasma.github.io/Logging_2080/tillsynsmail/A 13961-2026 tillsynsbegäran mail.docx", "A 13961-2026")</f>
        <v/>
      </c>
    </row>
    <row r="712" ht="15" customHeight="1">
      <c r="A712" t="inlineStr">
        <is>
          <t>A 6965-2026</t>
        </is>
      </c>
      <c r="B712" s="1" t="n">
        <v>46056</v>
      </c>
      <c r="C712" s="1" t="n">
        <v>46114</v>
      </c>
      <c r="D712" t="inlineStr">
        <is>
          <t>DALARNAS LÄN</t>
        </is>
      </c>
      <c r="E712" t="inlineStr">
        <is>
          <t>FALUN</t>
        </is>
      </c>
      <c r="F712" t="inlineStr">
        <is>
          <t>Allmännings- och besparingsskogar</t>
        </is>
      </c>
      <c r="G712" t="n">
        <v>29.7</v>
      </c>
      <c r="H712" t="n">
        <v>0</v>
      </c>
      <c r="I712" t="n">
        <v>0</v>
      </c>
      <c r="J712" t="n">
        <v>2</v>
      </c>
      <c r="K712" t="n">
        <v>0</v>
      </c>
      <c r="L712" t="n">
        <v>0</v>
      </c>
      <c r="M712" t="n">
        <v>0</v>
      </c>
      <c r="N712" t="n">
        <v>0</v>
      </c>
      <c r="O712" t="n">
        <v>2</v>
      </c>
      <c r="P712" t="n">
        <v>0</v>
      </c>
      <c r="Q712" t="n">
        <v>2</v>
      </c>
      <c r="R712" s="2" t="inlineStr">
        <is>
          <t>Garnlav
Tallticka</t>
        </is>
      </c>
      <c r="S712">
        <f>HYPERLINK("https://klasma.github.io/Logging_2080/artfynd/A 6965-2026 artfynd.xlsx", "A 6965-2026")</f>
        <v/>
      </c>
      <c r="T712">
        <f>HYPERLINK("https://klasma.github.io/Logging_2080/kartor/A 6965-2026 karta.png", "A 6965-2026")</f>
        <v/>
      </c>
      <c r="V712">
        <f>HYPERLINK("https://klasma.github.io/Logging_2080/klagomål/A 6965-2026 FSC-klagomål.docx", "A 6965-2026")</f>
        <v/>
      </c>
      <c r="W712">
        <f>HYPERLINK("https://klasma.github.io/Logging_2080/klagomålsmail/A 6965-2026 FSC-klagomål mail.docx", "A 6965-2026")</f>
        <v/>
      </c>
      <c r="X712">
        <f>HYPERLINK("https://klasma.github.io/Logging_2080/tillsyn/A 6965-2026 tillsynsbegäran.docx", "A 6965-2026")</f>
        <v/>
      </c>
      <c r="Y712">
        <f>HYPERLINK("https://klasma.github.io/Logging_2080/tillsynsmail/A 6965-2026 tillsynsbegäran mail.docx", "A 6965-2026")</f>
        <v/>
      </c>
    </row>
    <row r="713" ht="15" customHeight="1">
      <c r="A713" t="inlineStr">
        <is>
          <t>A 14475-2024</t>
        </is>
      </c>
      <c r="B713" s="1" t="n">
        <v>45394.56071759259</v>
      </c>
      <c r="C713" s="1" t="n">
        <v>46114</v>
      </c>
      <c r="D713" t="inlineStr">
        <is>
          <t>DALARNAS LÄN</t>
        </is>
      </c>
      <c r="E713" t="inlineStr">
        <is>
          <t>VANSBRO</t>
        </is>
      </c>
      <c r="G713" t="n">
        <v>20.4</v>
      </c>
      <c r="H713" t="n">
        <v>0</v>
      </c>
      <c r="I713" t="n">
        <v>1</v>
      </c>
      <c r="J713" t="n">
        <v>1</v>
      </c>
      <c r="K713" t="n">
        <v>0</v>
      </c>
      <c r="L713" t="n">
        <v>0</v>
      </c>
      <c r="M713" t="n">
        <v>0</v>
      </c>
      <c r="N713" t="n">
        <v>0</v>
      </c>
      <c r="O713" t="n">
        <v>1</v>
      </c>
      <c r="P713" t="n">
        <v>0</v>
      </c>
      <c r="Q713" t="n">
        <v>2</v>
      </c>
      <c r="R713" s="2" t="inlineStr">
        <is>
          <t>Garnlav
Dropptaggsvamp</t>
        </is>
      </c>
      <c r="S713">
        <f>HYPERLINK("https://klasma.github.io/Logging_2021/artfynd/A 14475-2024 artfynd.xlsx", "A 14475-2024")</f>
        <v/>
      </c>
      <c r="T713">
        <f>HYPERLINK("https://klasma.github.io/Logging_2021/kartor/A 14475-2024 karta.png", "A 14475-2024")</f>
        <v/>
      </c>
      <c r="V713">
        <f>HYPERLINK("https://klasma.github.io/Logging_2021/klagomål/A 14475-2024 FSC-klagomål.docx", "A 14475-2024")</f>
        <v/>
      </c>
      <c r="W713">
        <f>HYPERLINK("https://klasma.github.io/Logging_2021/klagomålsmail/A 14475-2024 FSC-klagomål mail.docx", "A 14475-2024")</f>
        <v/>
      </c>
      <c r="X713">
        <f>HYPERLINK("https://klasma.github.io/Logging_2021/tillsyn/A 14475-2024 tillsynsbegäran.docx", "A 14475-2024")</f>
        <v/>
      </c>
      <c r="Y713">
        <f>HYPERLINK("https://klasma.github.io/Logging_2021/tillsynsmail/A 14475-2024 tillsynsbegäran mail.docx", "A 14475-2024")</f>
        <v/>
      </c>
    </row>
    <row r="714" ht="15" customHeight="1">
      <c r="A714" t="inlineStr">
        <is>
          <t>A 26601-2023</t>
        </is>
      </c>
      <c r="B714" s="1" t="n">
        <v>45092.6859375</v>
      </c>
      <c r="C714" s="1" t="n">
        <v>46114</v>
      </c>
      <c r="D714" t="inlineStr">
        <is>
          <t>DALARNAS LÄN</t>
        </is>
      </c>
      <c r="E714" t="inlineStr">
        <is>
          <t>FALUN</t>
        </is>
      </c>
      <c r="G714" t="n">
        <v>0.8</v>
      </c>
      <c r="H714" t="n">
        <v>2</v>
      </c>
      <c r="I714" t="n">
        <v>0</v>
      </c>
      <c r="J714" t="n">
        <v>1</v>
      </c>
      <c r="K714" t="n">
        <v>0</v>
      </c>
      <c r="L714" t="n">
        <v>0</v>
      </c>
      <c r="M714" t="n">
        <v>0</v>
      </c>
      <c r="N714" t="n">
        <v>0</v>
      </c>
      <c r="O714" t="n">
        <v>1</v>
      </c>
      <c r="P714" t="n">
        <v>0</v>
      </c>
      <c r="Q714" t="n">
        <v>2</v>
      </c>
      <c r="R714" s="2" t="inlineStr">
        <is>
          <t>Talltita
Kungsfågel</t>
        </is>
      </c>
      <c r="S714">
        <f>HYPERLINK("https://klasma.github.io/Logging_2080/artfynd/A 26601-2023 artfynd.xlsx", "A 26601-2023")</f>
        <v/>
      </c>
      <c r="T714">
        <f>HYPERLINK("https://klasma.github.io/Logging_2080/kartor/A 26601-2023 karta.png", "A 26601-2023")</f>
        <v/>
      </c>
      <c r="V714">
        <f>HYPERLINK("https://klasma.github.io/Logging_2080/klagomål/A 26601-2023 FSC-klagomål.docx", "A 26601-2023")</f>
        <v/>
      </c>
      <c r="W714">
        <f>HYPERLINK("https://klasma.github.io/Logging_2080/klagomålsmail/A 26601-2023 FSC-klagomål mail.docx", "A 26601-2023")</f>
        <v/>
      </c>
      <c r="X714">
        <f>HYPERLINK("https://klasma.github.io/Logging_2080/tillsyn/A 26601-2023 tillsynsbegäran.docx", "A 26601-2023")</f>
        <v/>
      </c>
      <c r="Y714">
        <f>HYPERLINK("https://klasma.github.io/Logging_2080/tillsynsmail/A 26601-2023 tillsynsbegäran mail.docx", "A 26601-2023")</f>
        <v/>
      </c>
      <c r="Z714">
        <f>HYPERLINK("https://klasma.github.io/Logging_2080/fåglar/A 26601-2023 prioriterade fågelarter.docx", "A 26601-2023")</f>
        <v/>
      </c>
    </row>
    <row r="715" ht="15" customHeight="1">
      <c r="A715" t="inlineStr">
        <is>
          <t>A 29908-2021</t>
        </is>
      </c>
      <c r="B715" s="1" t="n">
        <v>44362</v>
      </c>
      <c r="C715" s="1" t="n">
        <v>46114</v>
      </c>
      <c r="D715" t="inlineStr">
        <is>
          <t>DALARNAS LÄN</t>
        </is>
      </c>
      <c r="E715" t="inlineStr">
        <is>
          <t>BORLÄNGE</t>
        </is>
      </c>
      <c r="G715" t="n">
        <v>4.6</v>
      </c>
      <c r="H715" t="n">
        <v>0</v>
      </c>
      <c r="I715" t="n">
        <v>1</v>
      </c>
      <c r="J715" t="n">
        <v>1</v>
      </c>
      <c r="K715" t="n">
        <v>0</v>
      </c>
      <c r="L715" t="n">
        <v>0</v>
      </c>
      <c r="M715" t="n">
        <v>0</v>
      </c>
      <c r="N715" t="n">
        <v>0</v>
      </c>
      <c r="O715" t="n">
        <v>1</v>
      </c>
      <c r="P715" t="n">
        <v>0</v>
      </c>
      <c r="Q715" t="n">
        <v>2</v>
      </c>
      <c r="R715" s="2" t="inlineStr">
        <is>
          <t>Violettgrå tagellav
Dropptaggsvamp</t>
        </is>
      </c>
      <c r="S715">
        <f>HYPERLINK("https://klasma.github.io/Logging_2081/artfynd/A 29908-2021 artfynd.xlsx", "A 29908-2021")</f>
        <v/>
      </c>
      <c r="T715">
        <f>HYPERLINK("https://klasma.github.io/Logging_2081/kartor/A 29908-2021 karta.png", "A 29908-2021")</f>
        <v/>
      </c>
      <c r="V715">
        <f>HYPERLINK("https://klasma.github.io/Logging_2081/klagomål/A 29908-2021 FSC-klagomål.docx", "A 29908-2021")</f>
        <v/>
      </c>
      <c r="W715">
        <f>HYPERLINK("https://klasma.github.io/Logging_2081/klagomålsmail/A 29908-2021 FSC-klagomål mail.docx", "A 29908-2021")</f>
        <v/>
      </c>
      <c r="X715">
        <f>HYPERLINK("https://klasma.github.io/Logging_2081/tillsyn/A 29908-2021 tillsynsbegäran.docx", "A 29908-2021")</f>
        <v/>
      </c>
      <c r="Y715">
        <f>HYPERLINK("https://klasma.github.io/Logging_2081/tillsynsmail/A 29908-2021 tillsynsbegäran mail.docx", "A 29908-2021")</f>
        <v/>
      </c>
    </row>
    <row r="716" ht="15" customHeight="1">
      <c r="A716" t="inlineStr">
        <is>
          <t>A 58614-2023</t>
        </is>
      </c>
      <c r="B716" s="1" t="n">
        <v>45251</v>
      </c>
      <c r="C716" s="1" t="n">
        <v>46114</v>
      </c>
      <c r="D716" t="inlineStr">
        <is>
          <t>DALARNAS LÄN</t>
        </is>
      </c>
      <c r="E716" t="inlineStr">
        <is>
          <t>BORLÄNGE</t>
        </is>
      </c>
      <c r="G716" t="n">
        <v>1.8</v>
      </c>
      <c r="H716" t="n">
        <v>1</v>
      </c>
      <c r="I716" t="n">
        <v>0</v>
      </c>
      <c r="J716" t="n">
        <v>1</v>
      </c>
      <c r="K716" t="n">
        <v>1</v>
      </c>
      <c r="L716" t="n">
        <v>0</v>
      </c>
      <c r="M716" t="n">
        <v>0</v>
      </c>
      <c r="N716" t="n">
        <v>0</v>
      </c>
      <c r="O716" t="n">
        <v>2</v>
      </c>
      <c r="P716" t="n">
        <v>1</v>
      </c>
      <c r="Q716" t="n">
        <v>2</v>
      </c>
      <c r="R716" s="2" t="inlineStr">
        <is>
          <t>Knärot
Gropticka</t>
        </is>
      </c>
      <c r="S716">
        <f>HYPERLINK("https://klasma.github.io/Logging_2081/artfynd/A 58614-2023 artfynd.xlsx", "A 58614-2023")</f>
        <v/>
      </c>
      <c r="T716">
        <f>HYPERLINK("https://klasma.github.io/Logging_2081/kartor/A 58614-2023 karta.png", "A 58614-2023")</f>
        <v/>
      </c>
      <c r="U716">
        <f>HYPERLINK("https://klasma.github.io/Logging_2081/knärot/A 58614-2023 karta knärot.png", "A 58614-2023")</f>
        <v/>
      </c>
      <c r="V716">
        <f>HYPERLINK("https://klasma.github.io/Logging_2081/klagomål/A 58614-2023 FSC-klagomål.docx", "A 58614-2023")</f>
        <v/>
      </c>
      <c r="W716">
        <f>HYPERLINK("https://klasma.github.io/Logging_2081/klagomålsmail/A 58614-2023 FSC-klagomål mail.docx", "A 58614-2023")</f>
        <v/>
      </c>
      <c r="X716">
        <f>HYPERLINK("https://klasma.github.io/Logging_2081/tillsyn/A 58614-2023 tillsynsbegäran.docx", "A 58614-2023")</f>
        <v/>
      </c>
      <c r="Y716">
        <f>HYPERLINK("https://klasma.github.io/Logging_2081/tillsynsmail/A 58614-2023 tillsynsbegäran mail.docx", "A 58614-2023")</f>
        <v/>
      </c>
    </row>
    <row r="717" ht="15" customHeight="1">
      <c r="A717" t="inlineStr">
        <is>
          <t>A 21926-2023</t>
        </is>
      </c>
      <c r="B717" s="1" t="n">
        <v>45068</v>
      </c>
      <c r="C717" s="1" t="n">
        <v>46114</v>
      </c>
      <c r="D717" t="inlineStr">
        <is>
          <t>DALARNAS LÄN</t>
        </is>
      </c>
      <c r="E717" t="inlineStr">
        <is>
          <t>BORLÄNGE</t>
        </is>
      </c>
      <c r="G717" t="n">
        <v>1.4</v>
      </c>
      <c r="H717" t="n">
        <v>1</v>
      </c>
      <c r="I717" t="n">
        <v>1</v>
      </c>
      <c r="J717" t="n">
        <v>0</v>
      </c>
      <c r="K717" t="n">
        <v>1</v>
      </c>
      <c r="L717" t="n">
        <v>0</v>
      </c>
      <c r="M717" t="n">
        <v>0</v>
      </c>
      <c r="N717" t="n">
        <v>0</v>
      </c>
      <c r="O717" t="n">
        <v>1</v>
      </c>
      <c r="P717" t="n">
        <v>1</v>
      </c>
      <c r="Q717" t="n">
        <v>2</v>
      </c>
      <c r="R717" s="2" t="inlineStr">
        <is>
          <t>Knärot
Vedticka</t>
        </is>
      </c>
      <c r="S717">
        <f>HYPERLINK("https://klasma.github.io/Logging_2081/artfynd/A 21926-2023 artfynd.xlsx", "A 21926-2023")</f>
        <v/>
      </c>
      <c r="T717">
        <f>HYPERLINK("https://klasma.github.io/Logging_2081/kartor/A 21926-2023 karta.png", "A 21926-2023")</f>
        <v/>
      </c>
      <c r="U717">
        <f>HYPERLINK("https://klasma.github.io/Logging_2081/knärot/A 21926-2023 karta knärot.png", "A 21926-2023")</f>
        <v/>
      </c>
      <c r="V717">
        <f>HYPERLINK("https://klasma.github.io/Logging_2081/klagomål/A 21926-2023 FSC-klagomål.docx", "A 21926-2023")</f>
        <v/>
      </c>
      <c r="W717">
        <f>HYPERLINK("https://klasma.github.io/Logging_2081/klagomålsmail/A 21926-2023 FSC-klagomål mail.docx", "A 21926-2023")</f>
        <v/>
      </c>
      <c r="X717">
        <f>HYPERLINK("https://klasma.github.io/Logging_2081/tillsyn/A 21926-2023 tillsynsbegäran.docx", "A 21926-2023")</f>
        <v/>
      </c>
      <c r="Y717">
        <f>HYPERLINK("https://klasma.github.io/Logging_2081/tillsynsmail/A 21926-2023 tillsynsbegäran mail.docx", "A 21926-2023")</f>
        <v/>
      </c>
    </row>
    <row r="718" ht="15" customHeight="1">
      <c r="A718" t="inlineStr">
        <is>
          <t>A 12715-2026</t>
        </is>
      </c>
      <c r="B718" s="1" t="n">
        <v>46091</v>
      </c>
      <c r="C718" s="1" t="n">
        <v>46114</v>
      </c>
      <c r="D718" t="inlineStr">
        <is>
          <t>DALARNAS LÄN</t>
        </is>
      </c>
      <c r="E718" t="inlineStr">
        <is>
          <t>BORLÄNGE</t>
        </is>
      </c>
      <c r="G718" t="n">
        <v>2.1</v>
      </c>
      <c r="H718" t="n">
        <v>1</v>
      </c>
      <c r="I718" t="n">
        <v>1</v>
      </c>
      <c r="J718" t="n">
        <v>0</v>
      </c>
      <c r="K718" t="n">
        <v>1</v>
      </c>
      <c r="L718" t="n">
        <v>0</v>
      </c>
      <c r="M718" t="n">
        <v>0</v>
      </c>
      <c r="N718" t="n">
        <v>0</v>
      </c>
      <c r="O718" t="n">
        <v>1</v>
      </c>
      <c r="P718" t="n">
        <v>1</v>
      </c>
      <c r="Q718" t="n">
        <v>2</v>
      </c>
      <c r="R718" s="2" t="inlineStr">
        <is>
          <t>Kopparspindling
Korallrot</t>
        </is>
      </c>
      <c r="S718">
        <f>HYPERLINK("https://klasma.github.io/Logging_2081/artfynd/A 12715-2026 artfynd.xlsx", "A 12715-2026")</f>
        <v/>
      </c>
      <c r="T718">
        <f>HYPERLINK("https://klasma.github.io/Logging_2081/kartor/A 12715-2026 karta.png", "A 12715-2026")</f>
        <v/>
      </c>
      <c r="U718">
        <f>HYPERLINK("https://klasma.github.io/Logging_2081/knärot/A 12715-2026 karta knärot.png", "A 12715-2026")</f>
        <v/>
      </c>
      <c r="V718">
        <f>HYPERLINK("https://klasma.github.io/Logging_2081/klagomål/A 12715-2026 FSC-klagomål.docx", "A 12715-2026")</f>
        <v/>
      </c>
      <c r="W718">
        <f>HYPERLINK("https://klasma.github.io/Logging_2081/klagomålsmail/A 12715-2026 FSC-klagomål mail.docx", "A 12715-2026")</f>
        <v/>
      </c>
      <c r="X718">
        <f>HYPERLINK("https://klasma.github.io/Logging_2081/tillsyn/A 12715-2026 tillsynsbegäran.docx", "A 12715-2026")</f>
        <v/>
      </c>
      <c r="Y718">
        <f>HYPERLINK("https://klasma.github.io/Logging_2081/tillsynsmail/A 12715-2026 tillsynsbegäran mail.docx", "A 12715-2026")</f>
        <v/>
      </c>
    </row>
    <row r="719" ht="15" customHeight="1">
      <c r="A719" t="inlineStr">
        <is>
          <t>A 6574-2026</t>
        </is>
      </c>
      <c r="B719" s="1" t="n">
        <v>46052</v>
      </c>
      <c r="C719" s="1" t="n">
        <v>46114</v>
      </c>
      <c r="D719" t="inlineStr">
        <is>
          <t>DALARNAS LÄN</t>
        </is>
      </c>
      <c r="E719" t="inlineStr">
        <is>
          <t>RÄTTVIK</t>
        </is>
      </c>
      <c r="G719" t="n">
        <v>2.1</v>
      </c>
      <c r="H719" t="n">
        <v>0</v>
      </c>
      <c r="I719" t="n">
        <v>0</v>
      </c>
      <c r="J719" t="n">
        <v>1</v>
      </c>
      <c r="K719" t="n">
        <v>1</v>
      </c>
      <c r="L719" t="n">
        <v>0</v>
      </c>
      <c r="M719" t="n">
        <v>0</v>
      </c>
      <c r="N719" t="n">
        <v>0</v>
      </c>
      <c r="O719" t="n">
        <v>2</v>
      </c>
      <c r="P719" t="n">
        <v>1</v>
      </c>
      <c r="Q719" t="n">
        <v>2</v>
      </c>
      <c r="R719" s="2" t="inlineStr">
        <is>
          <t>Ruttaggsvamp
Kronskål</t>
        </is>
      </c>
      <c r="S719">
        <f>HYPERLINK("https://klasma.github.io/Logging_2031/artfynd/A 6574-2026 artfynd.xlsx", "A 6574-2026")</f>
        <v/>
      </c>
      <c r="T719">
        <f>HYPERLINK("https://klasma.github.io/Logging_2031/kartor/A 6574-2026 karta.png", "A 6574-2026")</f>
        <v/>
      </c>
      <c r="V719">
        <f>HYPERLINK("https://klasma.github.io/Logging_2031/klagomål/A 6574-2026 FSC-klagomål.docx", "A 6574-2026")</f>
        <v/>
      </c>
      <c r="W719">
        <f>HYPERLINK("https://klasma.github.io/Logging_2031/klagomålsmail/A 6574-2026 FSC-klagomål mail.docx", "A 6574-2026")</f>
        <v/>
      </c>
      <c r="X719">
        <f>HYPERLINK("https://klasma.github.io/Logging_2031/tillsyn/A 6574-2026 tillsynsbegäran.docx", "A 6574-2026")</f>
        <v/>
      </c>
      <c r="Y719">
        <f>HYPERLINK("https://klasma.github.io/Logging_2031/tillsynsmail/A 6574-2026 tillsynsbegäran mail.docx", "A 6574-2026")</f>
        <v/>
      </c>
    </row>
    <row r="720" ht="15" customHeight="1">
      <c r="A720" t="inlineStr">
        <is>
          <t>A 36148-2024</t>
        </is>
      </c>
      <c r="B720" s="1" t="n">
        <v>45534.36650462963</v>
      </c>
      <c r="C720" s="1" t="n">
        <v>46114</v>
      </c>
      <c r="D720" t="inlineStr">
        <is>
          <t>DALARNAS LÄN</t>
        </is>
      </c>
      <c r="E720" t="inlineStr">
        <is>
          <t>RÄTTVIK</t>
        </is>
      </c>
      <c r="G720" t="n">
        <v>1.6</v>
      </c>
      <c r="H720" t="n">
        <v>0</v>
      </c>
      <c r="I720" t="n">
        <v>1</v>
      </c>
      <c r="J720" t="n">
        <v>1</v>
      </c>
      <c r="K720" t="n">
        <v>0</v>
      </c>
      <c r="L720" t="n">
        <v>0</v>
      </c>
      <c r="M720" t="n">
        <v>0</v>
      </c>
      <c r="N720" t="n">
        <v>0</v>
      </c>
      <c r="O720" t="n">
        <v>1</v>
      </c>
      <c r="P720" t="n">
        <v>0</v>
      </c>
      <c r="Q720" t="n">
        <v>2</v>
      </c>
      <c r="R720" s="2" t="inlineStr">
        <is>
          <t>Garnlav
Bronshjon</t>
        </is>
      </c>
      <c r="S720">
        <f>HYPERLINK("https://klasma.github.io/Logging_2031/artfynd/A 36148-2024 artfynd.xlsx", "A 36148-2024")</f>
        <v/>
      </c>
      <c r="T720">
        <f>HYPERLINK("https://klasma.github.io/Logging_2031/kartor/A 36148-2024 karta.png", "A 36148-2024")</f>
        <v/>
      </c>
      <c r="V720">
        <f>HYPERLINK("https://klasma.github.io/Logging_2031/klagomål/A 36148-2024 FSC-klagomål.docx", "A 36148-2024")</f>
        <v/>
      </c>
      <c r="W720">
        <f>HYPERLINK("https://klasma.github.io/Logging_2031/klagomålsmail/A 36148-2024 FSC-klagomål mail.docx", "A 36148-2024")</f>
        <v/>
      </c>
      <c r="X720">
        <f>HYPERLINK("https://klasma.github.io/Logging_2031/tillsyn/A 36148-2024 tillsynsbegäran.docx", "A 36148-2024")</f>
        <v/>
      </c>
      <c r="Y720">
        <f>HYPERLINK("https://klasma.github.io/Logging_2031/tillsynsmail/A 36148-2024 tillsynsbegäran mail.docx", "A 36148-2024")</f>
        <v/>
      </c>
    </row>
    <row r="721" ht="15" customHeight="1">
      <c r="A721" t="inlineStr">
        <is>
          <t>A 4421-2026</t>
        </is>
      </c>
      <c r="B721" s="1" t="n">
        <v>46045</v>
      </c>
      <c r="C721" s="1" t="n">
        <v>46114</v>
      </c>
      <c r="D721" t="inlineStr">
        <is>
          <t>DALARNAS LÄN</t>
        </is>
      </c>
      <c r="E721" t="inlineStr">
        <is>
          <t>GAGNEF</t>
        </is>
      </c>
      <c r="F721" t="inlineStr">
        <is>
          <t>Kommuner</t>
        </is>
      </c>
      <c r="G721" t="n">
        <v>8.300000000000001</v>
      </c>
      <c r="H721" t="n">
        <v>0</v>
      </c>
      <c r="I721" t="n">
        <v>0</v>
      </c>
      <c r="J721" t="n">
        <v>2</v>
      </c>
      <c r="K721" t="n">
        <v>0</v>
      </c>
      <c r="L721" t="n">
        <v>0</v>
      </c>
      <c r="M721" t="n">
        <v>0</v>
      </c>
      <c r="N721" t="n">
        <v>0</v>
      </c>
      <c r="O721" t="n">
        <v>2</v>
      </c>
      <c r="P721" t="n">
        <v>0</v>
      </c>
      <c r="Q721" t="n">
        <v>2</v>
      </c>
      <c r="R721" s="2" t="inlineStr">
        <is>
          <t>Rosenticka
Ullticka</t>
        </is>
      </c>
      <c r="S721">
        <f>HYPERLINK("https://klasma.github.io/Logging_2026/artfynd/A 4421-2026 artfynd.xlsx", "A 4421-2026")</f>
        <v/>
      </c>
      <c r="T721">
        <f>HYPERLINK("https://klasma.github.io/Logging_2026/kartor/A 4421-2026 karta.png", "A 4421-2026")</f>
        <v/>
      </c>
      <c r="V721">
        <f>HYPERLINK("https://klasma.github.io/Logging_2026/klagomål/A 4421-2026 FSC-klagomål.docx", "A 4421-2026")</f>
        <v/>
      </c>
      <c r="W721">
        <f>HYPERLINK("https://klasma.github.io/Logging_2026/klagomålsmail/A 4421-2026 FSC-klagomål mail.docx", "A 4421-2026")</f>
        <v/>
      </c>
      <c r="X721">
        <f>HYPERLINK("https://klasma.github.io/Logging_2026/tillsyn/A 4421-2026 tillsynsbegäran.docx", "A 4421-2026")</f>
        <v/>
      </c>
      <c r="Y721">
        <f>HYPERLINK("https://klasma.github.io/Logging_2026/tillsynsmail/A 4421-2026 tillsynsbegäran mail.docx", "A 4421-2026")</f>
        <v/>
      </c>
    </row>
    <row r="722" ht="15" customHeight="1">
      <c r="A722" t="inlineStr">
        <is>
          <t>A 14308-2026</t>
        </is>
      </c>
      <c r="B722" s="1" t="n">
        <v>46099</v>
      </c>
      <c r="C722" s="1" t="n">
        <v>46114</v>
      </c>
      <c r="D722" t="inlineStr">
        <is>
          <t>DALARNAS LÄN</t>
        </is>
      </c>
      <c r="E722" t="inlineStr">
        <is>
          <t>FALUN</t>
        </is>
      </c>
      <c r="F722" t="inlineStr">
        <is>
          <t>Bergvik skog väst AB</t>
        </is>
      </c>
      <c r="G722" t="n">
        <v>44.5</v>
      </c>
      <c r="H722" t="n">
        <v>2</v>
      </c>
      <c r="I722" t="n">
        <v>0</v>
      </c>
      <c r="J722" t="n">
        <v>2</v>
      </c>
      <c r="K722" t="n">
        <v>0</v>
      </c>
      <c r="L722" t="n">
        <v>0</v>
      </c>
      <c r="M722" t="n">
        <v>0</v>
      </c>
      <c r="N722" t="n">
        <v>0</v>
      </c>
      <c r="O722" t="n">
        <v>2</v>
      </c>
      <c r="P722" t="n">
        <v>0</v>
      </c>
      <c r="Q722" t="n">
        <v>2</v>
      </c>
      <c r="R722" s="2" t="inlineStr">
        <is>
          <t>Järpe
Kungsörn</t>
        </is>
      </c>
      <c r="S722">
        <f>HYPERLINK("https://klasma.github.io/Logging_2080/artfynd/A 14308-2026 artfynd.xlsx", "A 14308-2026")</f>
        <v/>
      </c>
      <c r="T722">
        <f>HYPERLINK("https://klasma.github.io/Logging_2080/kartor/A 14308-2026 karta.png", "A 14308-2026")</f>
        <v/>
      </c>
      <c r="V722">
        <f>HYPERLINK("https://klasma.github.io/Logging_2080/klagomål/A 14308-2026 FSC-klagomål.docx", "A 14308-2026")</f>
        <v/>
      </c>
      <c r="W722">
        <f>HYPERLINK("https://klasma.github.io/Logging_2080/klagomålsmail/A 14308-2026 FSC-klagomål mail.docx", "A 14308-2026")</f>
        <v/>
      </c>
      <c r="X722">
        <f>HYPERLINK("https://klasma.github.io/Logging_2080/tillsyn/A 14308-2026 tillsynsbegäran.docx", "A 14308-2026")</f>
        <v/>
      </c>
      <c r="Y722">
        <f>HYPERLINK("https://klasma.github.io/Logging_2080/tillsynsmail/A 14308-2026 tillsynsbegäran mail.docx", "A 14308-2026")</f>
        <v/>
      </c>
      <c r="Z722">
        <f>HYPERLINK("https://klasma.github.io/Logging_2080/fåglar/A 14308-2026 prioriterade fågelarter.docx", "A 14308-2026")</f>
        <v/>
      </c>
    </row>
    <row r="723" ht="15" customHeight="1">
      <c r="A723" t="inlineStr">
        <is>
          <t>A 16480-2026</t>
        </is>
      </c>
      <c r="B723" s="1" t="n">
        <v>46112.39954861111</v>
      </c>
      <c r="C723" s="1" t="n">
        <v>46114</v>
      </c>
      <c r="D723" t="inlineStr">
        <is>
          <t>DALARNAS LÄN</t>
        </is>
      </c>
      <c r="E723" t="inlineStr">
        <is>
          <t>GAGNEF</t>
        </is>
      </c>
      <c r="G723" t="n">
        <v>0.9</v>
      </c>
      <c r="H723" t="n">
        <v>0</v>
      </c>
      <c r="I723" t="n">
        <v>1</v>
      </c>
      <c r="J723" t="n">
        <v>1</v>
      </c>
      <c r="K723" t="n">
        <v>0</v>
      </c>
      <c r="L723" t="n">
        <v>0</v>
      </c>
      <c r="M723" t="n">
        <v>0</v>
      </c>
      <c r="N723" t="n">
        <v>0</v>
      </c>
      <c r="O723" t="n">
        <v>1</v>
      </c>
      <c r="P723" t="n">
        <v>0</v>
      </c>
      <c r="Q723" t="n">
        <v>2</v>
      </c>
      <c r="R723" s="2" t="inlineStr">
        <is>
          <t>Backnopping
Blodvaxing</t>
        </is>
      </c>
      <c r="S723">
        <f>HYPERLINK("https://klasma.github.io/Logging_2026/artfynd/A 16480-2026 artfynd.xlsx", "A 16480-2026")</f>
        <v/>
      </c>
      <c r="T723">
        <f>HYPERLINK("https://klasma.github.io/Logging_2026/kartor/A 16480-2026 karta.png", "A 16480-2026")</f>
        <v/>
      </c>
      <c r="V723">
        <f>HYPERLINK("https://klasma.github.io/Logging_2026/klagomål/A 16480-2026 FSC-klagomål.docx", "A 16480-2026")</f>
        <v/>
      </c>
      <c r="W723">
        <f>HYPERLINK("https://klasma.github.io/Logging_2026/klagomålsmail/A 16480-2026 FSC-klagomål mail.docx", "A 16480-2026")</f>
        <v/>
      </c>
      <c r="X723">
        <f>HYPERLINK("https://klasma.github.io/Logging_2026/tillsyn/A 16480-2026 tillsynsbegäran.docx", "A 16480-2026")</f>
        <v/>
      </c>
      <c r="Y723">
        <f>HYPERLINK("https://klasma.github.io/Logging_2026/tillsynsmail/A 16480-2026 tillsynsbegäran mail.docx", "A 16480-2026")</f>
        <v/>
      </c>
    </row>
    <row r="724" ht="15" customHeight="1">
      <c r="A724" t="inlineStr">
        <is>
          <t>A 9199-2025</t>
        </is>
      </c>
      <c r="B724" s="1" t="n">
        <v>45714.47484953704</v>
      </c>
      <c r="C724" s="1" t="n">
        <v>46114</v>
      </c>
      <c r="D724" t="inlineStr">
        <is>
          <t>DALARNAS LÄN</t>
        </is>
      </c>
      <c r="E724" t="inlineStr">
        <is>
          <t>MALUNG-SÄLEN</t>
        </is>
      </c>
      <c r="G724" t="n">
        <v>2.2</v>
      </c>
      <c r="H724" t="n">
        <v>1</v>
      </c>
      <c r="I724" t="n">
        <v>0</v>
      </c>
      <c r="J724" t="n">
        <v>2</v>
      </c>
      <c r="K724" t="n">
        <v>0</v>
      </c>
      <c r="L724" t="n">
        <v>0</v>
      </c>
      <c r="M724" t="n">
        <v>0</v>
      </c>
      <c r="N724" t="n">
        <v>0</v>
      </c>
      <c r="O724" t="n">
        <v>2</v>
      </c>
      <c r="P724" t="n">
        <v>0</v>
      </c>
      <c r="Q724" t="n">
        <v>2</v>
      </c>
      <c r="R724" s="2" t="inlineStr">
        <is>
          <t>Kolflarnlav
Talltita</t>
        </is>
      </c>
      <c r="S724">
        <f>HYPERLINK("https://klasma.github.io/Logging_2023/artfynd/A 9199-2025 artfynd.xlsx", "A 9199-2025")</f>
        <v/>
      </c>
      <c r="T724">
        <f>HYPERLINK("https://klasma.github.io/Logging_2023/kartor/A 9199-2025 karta.png", "A 9199-2025")</f>
        <v/>
      </c>
      <c r="V724">
        <f>HYPERLINK("https://klasma.github.io/Logging_2023/klagomål/A 9199-2025 FSC-klagomål.docx", "A 9199-2025")</f>
        <v/>
      </c>
      <c r="W724">
        <f>HYPERLINK("https://klasma.github.io/Logging_2023/klagomålsmail/A 9199-2025 FSC-klagomål mail.docx", "A 9199-2025")</f>
        <v/>
      </c>
      <c r="X724">
        <f>HYPERLINK("https://klasma.github.io/Logging_2023/tillsyn/A 9199-2025 tillsynsbegäran.docx", "A 9199-2025")</f>
        <v/>
      </c>
      <c r="Y724">
        <f>HYPERLINK("https://klasma.github.io/Logging_2023/tillsynsmail/A 9199-2025 tillsynsbegäran mail.docx", "A 9199-2025")</f>
        <v/>
      </c>
      <c r="Z724">
        <f>HYPERLINK("https://klasma.github.io/Logging_2023/fåglar/A 9199-2025 prioriterade fågelarter.docx", "A 9199-2025")</f>
        <v/>
      </c>
    </row>
    <row r="725" ht="15" customHeight="1">
      <c r="A725" t="inlineStr">
        <is>
          <t>A 12636-2022</t>
        </is>
      </c>
      <c r="B725" s="1" t="n">
        <v>44641</v>
      </c>
      <c r="C725" s="1" t="n">
        <v>46114</v>
      </c>
      <c r="D725" t="inlineStr">
        <is>
          <t>DALARNAS LÄN</t>
        </is>
      </c>
      <c r="E725" t="inlineStr">
        <is>
          <t>MALUNG-SÄLEN</t>
        </is>
      </c>
      <c r="G725" t="n">
        <v>6.6</v>
      </c>
      <c r="H725" t="n">
        <v>0</v>
      </c>
      <c r="I725" t="n">
        <v>0</v>
      </c>
      <c r="J725" t="n">
        <v>2</v>
      </c>
      <c r="K725" t="n">
        <v>0</v>
      </c>
      <c r="L725" t="n">
        <v>0</v>
      </c>
      <c r="M725" t="n">
        <v>0</v>
      </c>
      <c r="N725" t="n">
        <v>0</v>
      </c>
      <c r="O725" t="n">
        <v>2</v>
      </c>
      <c r="P725" t="n">
        <v>0</v>
      </c>
      <c r="Q725" t="n">
        <v>2</v>
      </c>
      <c r="R725" s="2" t="inlineStr">
        <is>
          <t>Garnlav
Violettgrå tagellav</t>
        </is>
      </c>
      <c r="S725">
        <f>HYPERLINK("https://klasma.github.io/Logging_2023/artfynd/A 12636-2022 artfynd.xlsx", "A 12636-2022")</f>
        <v/>
      </c>
      <c r="T725">
        <f>HYPERLINK("https://klasma.github.io/Logging_2023/kartor/A 12636-2022 karta.png", "A 12636-2022")</f>
        <v/>
      </c>
      <c r="V725">
        <f>HYPERLINK("https://klasma.github.io/Logging_2023/klagomål/A 12636-2022 FSC-klagomål.docx", "A 12636-2022")</f>
        <v/>
      </c>
      <c r="W725">
        <f>HYPERLINK("https://klasma.github.io/Logging_2023/klagomålsmail/A 12636-2022 FSC-klagomål mail.docx", "A 12636-2022")</f>
        <v/>
      </c>
      <c r="X725">
        <f>HYPERLINK("https://klasma.github.io/Logging_2023/tillsyn/A 12636-2022 tillsynsbegäran.docx", "A 12636-2022")</f>
        <v/>
      </c>
      <c r="Y725">
        <f>HYPERLINK("https://klasma.github.io/Logging_2023/tillsynsmail/A 12636-2022 tillsynsbegäran mail.docx", "A 12636-2022")</f>
        <v/>
      </c>
    </row>
    <row r="726" ht="15" customHeight="1">
      <c r="A726" t="inlineStr">
        <is>
          <t>A 51992-2021</t>
        </is>
      </c>
      <c r="B726" s="1" t="n">
        <v>44463</v>
      </c>
      <c r="C726" s="1" t="n">
        <v>46114</v>
      </c>
      <c r="D726" t="inlineStr">
        <is>
          <t>DALARNAS LÄN</t>
        </is>
      </c>
      <c r="E726" t="inlineStr">
        <is>
          <t>BORLÄNGE</t>
        </is>
      </c>
      <c r="F726" t="inlineStr">
        <is>
          <t>Bergvik skog väst AB</t>
        </is>
      </c>
      <c r="G726" t="n">
        <v>2</v>
      </c>
      <c r="H726" t="n">
        <v>1</v>
      </c>
      <c r="I726" t="n">
        <v>2</v>
      </c>
      <c r="J726" t="n">
        <v>0</v>
      </c>
      <c r="K726" t="n">
        <v>0</v>
      </c>
      <c r="L726" t="n">
        <v>0</v>
      </c>
      <c r="M726" t="n">
        <v>0</v>
      </c>
      <c r="N726" t="n">
        <v>0</v>
      </c>
      <c r="O726" t="n">
        <v>0</v>
      </c>
      <c r="P726" t="n">
        <v>0</v>
      </c>
      <c r="Q726" t="n">
        <v>2</v>
      </c>
      <c r="R726" s="2" t="inlineStr">
        <is>
          <t>Korallrot
Rödgul trumpetsvamp</t>
        </is>
      </c>
      <c r="S726">
        <f>HYPERLINK("https://klasma.github.io/Logging_2081/artfynd/A 51992-2021 artfynd.xlsx", "A 51992-2021")</f>
        <v/>
      </c>
      <c r="T726">
        <f>HYPERLINK("https://klasma.github.io/Logging_2081/kartor/A 51992-2021 karta.png", "A 51992-2021")</f>
        <v/>
      </c>
      <c r="V726">
        <f>HYPERLINK("https://klasma.github.io/Logging_2081/klagomål/A 51992-2021 FSC-klagomål.docx", "A 51992-2021")</f>
        <v/>
      </c>
      <c r="W726">
        <f>HYPERLINK("https://klasma.github.io/Logging_2081/klagomålsmail/A 51992-2021 FSC-klagomål mail.docx", "A 51992-2021")</f>
        <v/>
      </c>
      <c r="X726">
        <f>HYPERLINK("https://klasma.github.io/Logging_2081/tillsyn/A 51992-2021 tillsynsbegäran.docx", "A 51992-2021")</f>
        <v/>
      </c>
      <c r="Y726">
        <f>HYPERLINK("https://klasma.github.io/Logging_2081/tillsynsmail/A 51992-2021 tillsynsbegäran mail.docx", "A 51992-2021")</f>
        <v/>
      </c>
    </row>
    <row r="727" ht="15" customHeight="1">
      <c r="A727" t="inlineStr">
        <is>
          <t>A 33017-2024</t>
        </is>
      </c>
      <c r="B727" s="1" t="n">
        <v>45517.53916666667</v>
      </c>
      <c r="C727" s="1" t="n">
        <v>46114</v>
      </c>
      <c r="D727" t="inlineStr">
        <is>
          <t>DALARNAS LÄN</t>
        </is>
      </c>
      <c r="E727" t="inlineStr">
        <is>
          <t>SMEDJEBACKEN</t>
        </is>
      </c>
      <c r="F727" t="inlineStr">
        <is>
          <t>Övriga Aktiebolag</t>
        </is>
      </c>
      <c r="G727" t="n">
        <v>3.9</v>
      </c>
      <c r="H727" t="n">
        <v>2</v>
      </c>
      <c r="I727" t="n">
        <v>1</v>
      </c>
      <c r="J727" t="n">
        <v>0</v>
      </c>
      <c r="K727" t="n">
        <v>1</v>
      </c>
      <c r="L727" t="n">
        <v>0</v>
      </c>
      <c r="M727" t="n">
        <v>0</v>
      </c>
      <c r="N727" t="n">
        <v>0</v>
      </c>
      <c r="O727" t="n">
        <v>1</v>
      </c>
      <c r="P727" t="n">
        <v>1</v>
      </c>
      <c r="Q727" t="n">
        <v>2</v>
      </c>
      <c r="R727" s="2" t="inlineStr">
        <is>
          <t>Knärot
Plattlummer</t>
        </is>
      </c>
      <c r="S727">
        <f>HYPERLINK("https://klasma.github.io/Logging_2061/artfynd/A 33017-2024 artfynd.xlsx", "A 33017-2024")</f>
        <v/>
      </c>
      <c r="T727">
        <f>HYPERLINK("https://klasma.github.io/Logging_2061/kartor/A 33017-2024 karta.png", "A 33017-2024")</f>
        <v/>
      </c>
      <c r="U727">
        <f>HYPERLINK("https://klasma.github.io/Logging_2061/knärot/A 33017-2024 karta knärot.png", "A 33017-2024")</f>
        <v/>
      </c>
      <c r="V727">
        <f>HYPERLINK("https://klasma.github.io/Logging_2061/klagomål/A 33017-2024 FSC-klagomål.docx", "A 33017-2024")</f>
        <v/>
      </c>
      <c r="W727">
        <f>HYPERLINK("https://klasma.github.io/Logging_2061/klagomålsmail/A 33017-2024 FSC-klagomål mail.docx", "A 33017-2024")</f>
        <v/>
      </c>
      <c r="X727">
        <f>HYPERLINK("https://klasma.github.io/Logging_2061/tillsyn/A 33017-2024 tillsynsbegäran.docx", "A 33017-2024")</f>
        <v/>
      </c>
      <c r="Y727">
        <f>HYPERLINK("https://klasma.github.io/Logging_2061/tillsynsmail/A 33017-2024 tillsynsbegäran mail.docx", "A 33017-2024")</f>
        <v/>
      </c>
    </row>
    <row r="728" ht="15" customHeight="1">
      <c r="A728" t="inlineStr">
        <is>
          <t>A 6778-2022</t>
        </is>
      </c>
      <c r="B728" s="1" t="n">
        <v>44602</v>
      </c>
      <c r="C728" s="1" t="n">
        <v>46114</v>
      </c>
      <c r="D728" t="inlineStr">
        <is>
          <t>DALARNAS LÄN</t>
        </is>
      </c>
      <c r="E728" t="inlineStr">
        <is>
          <t>LEKSAND</t>
        </is>
      </c>
      <c r="F728" t="inlineStr">
        <is>
          <t>Kyrkan</t>
        </is>
      </c>
      <c r="G728" t="n">
        <v>2</v>
      </c>
      <c r="H728" t="n">
        <v>2</v>
      </c>
      <c r="I728" t="n">
        <v>0</v>
      </c>
      <c r="J728" t="n">
        <v>1</v>
      </c>
      <c r="K728" t="n">
        <v>0</v>
      </c>
      <c r="L728" t="n">
        <v>0</v>
      </c>
      <c r="M728" t="n">
        <v>0</v>
      </c>
      <c r="N728" t="n">
        <v>0</v>
      </c>
      <c r="O728" t="n">
        <v>1</v>
      </c>
      <c r="P728" t="n">
        <v>0</v>
      </c>
      <c r="Q728" t="n">
        <v>2</v>
      </c>
      <c r="R728" s="2" t="inlineStr">
        <is>
          <t>Talltita
Orre</t>
        </is>
      </c>
      <c r="S728">
        <f>HYPERLINK("https://klasma.github.io/Logging_2029/artfynd/A 6778-2022 artfynd.xlsx", "A 6778-2022")</f>
        <v/>
      </c>
      <c r="T728">
        <f>HYPERLINK("https://klasma.github.io/Logging_2029/kartor/A 6778-2022 karta.png", "A 6778-2022")</f>
        <v/>
      </c>
      <c r="V728">
        <f>HYPERLINK("https://klasma.github.io/Logging_2029/klagomål/A 6778-2022 FSC-klagomål.docx", "A 6778-2022")</f>
        <v/>
      </c>
      <c r="W728">
        <f>HYPERLINK("https://klasma.github.io/Logging_2029/klagomålsmail/A 6778-2022 FSC-klagomål mail.docx", "A 6778-2022")</f>
        <v/>
      </c>
      <c r="X728">
        <f>HYPERLINK("https://klasma.github.io/Logging_2029/tillsyn/A 6778-2022 tillsynsbegäran.docx", "A 6778-2022")</f>
        <v/>
      </c>
      <c r="Y728">
        <f>HYPERLINK("https://klasma.github.io/Logging_2029/tillsynsmail/A 6778-2022 tillsynsbegäran mail.docx", "A 6778-2022")</f>
        <v/>
      </c>
      <c r="Z728">
        <f>HYPERLINK("https://klasma.github.io/Logging_2029/fåglar/A 6778-2022 prioriterade fågelarter.docx", "A 6778-2022")</f>
        <v/>
      </c>
    </row>
    <row r="729" ht="15" customHeight="1">
      <c r="A729" t="inlineStr">
        <is>
          <t>A 52490-2022</t>
        </is>
      </c>
      <c r="B729" s="1" t="n">
        <v>44874</v>
      </c>
      <c r="C729" s="1" t="n">
        <v>46114</v>
      </c>
      <c r="D729" t="inlineStr">
        <is>
          <t>DALARNAS LÄN</t>
        </is>
      </c>
      <c r="E729" t="inlineStr">
        <is>
          <t>ÄLVDALEN</t>
        </is>
      </c>
      <c r="G729" t="n">
        <v>4.3</v>
      </c>
      <c r="H729" t="n">
        <v>0</v>
      </c>
      <c r="I729" t="n">
        <v>1</v>
      </c>
      <c r="J729" t="n">
        <v>1</v>
      </c>
      <c r="K729" t="n">
        <v>0</v>
      </c>
      <c r="L729" t="n">
        <v>0</v>
      </c>
      <c r="M729" t="n">
        <v>0</v>
      </c>
      <c r="N729" t="n">
        <v>0</v>
      </c>
      <c r="O729" t="n">
        <v>1</v>
      </c>
      <c r="P729" t="n">
        <v>0</v>
      </c>
      <c r="Q729" t="n">
        <v>2</v>
      </c>
      <c r="R729" s="2" t="inlineStr">
        <is>
          <t>Garnlav
Dropptaggsvamp</t>
        </is>
      </c>
      <c r="S729">
        <f>HYPERLINK("https://klasma.github.io/Logging_2039/artfynd/A 52490-2022 artfynd.xlsx", "A 52490-2022")</f>
        <v/>
      </c>
      <c r="T729">
        <f>HYPERLINK("https://klasma.github.io/Logging_2039/kartor/A 52490-2022 karta.png", "A 52490-2022")</f>
        <v/>
      </c>
      <c r="V729">
        <f>HYPERLINK("https://klasma.github.io/Logging_2039/klagomål/A 52490-2022 FSC-klagomål.docx", "A 52490-2022")</f>
        <v/>
      </c>
      <c r="W729">
        <f>HYPERLINK("https://klasma.github.io/Logging_2039/klagomålsmail/A 52490-2022 FSC-klagomål mail.docx", "A 52490-2022")</f>
        <v/>
      </c>
      <c r="X729">
        <f>HYPERLINK("https://klasma.github.io/Logging_2039/tillsyn/A 52490-2022 tillsynsbegäran.docx", "A 52490-2022")</f>
        <v/>
      </c>
      <c r="Y729">
        <f>HYPERLINK("https://klasma.github.io/Logging_2039/tillsynsmail/A 52490-2022 tillsynsbegäran mail.docx", "A 52490-2022")</f>
        <v/>
      </c>
    </row>
    <row r="730" ht="15" customHeight="1">
      <c r="A730" t="inlineStr">
        <is>
          <t>A 14372-2025</t>
        </is>
      </c>
      <c r="B730" s="1" t="n">
        <v>45741.4050462963</v>
      </c>
      <c r="C730" s="1" t="n">
        <v>46114</v>
      </c>
      <c r="D730" t="inlineStr">
        <is>
          <t>DALARNAS LÄN</t>
        </is>
      </c>
      <c r="E730" t="inlineStr">
        <is>
          <t>MORA</t>
        </is>
      </c>
      <c r="G730" t="n">
        <v>5.1</v>
      </c>
      <c r="H730" t="n">
        <v>0</v>
      </c>
      <c r="I730" t="n">
        <v>0</v>
      </c>
      <c r="J730" t="n">
        <v>2</v>
      </c>
      <c r="K730" t="n">
        <v>0</v>
      </c>
      <c r="L730" t="n">
        <v>0</v>
      </c>
      <c r="M730" t="n">
        <v>0</v>
      </c>
      <c r="N730" t="n">
        <v>0</v>
      </c>
      <c r="O730" t="n">
        <v>2</v>
      </c>
      <c r="P730" t="n">
        <v>0</v>
      </c>
      <c r="Q730" t="n">
        <v>2</v>
      </c>
      <c r="R730" s="2" t="inlineStr">
        <is>
          <t>Garnlav
Mörk kolflarnlav</t>
        </is>
      </c>
      <c r="S730">
        <f>HYPERLINK("https://klasma.github.io/Logging_2062/artfynd/A 14372-2025 artfynd.xlsx", "A 14372-2025")</f>
        <v/>
      </c>
      <c r="T730">
        <f>HYPERLINK("https://klasma.github.io/Logging_2062/kartor/A 14372-2025 karta.png", "A 14372-2025")</f>
        <v/>
      </c>
      <c r="V730">
        <f>HYPERLINK("https://klasma.github.io/Logging_2062/klagomål/A 14372-2025 FSC-klagomål.docx", "A 14372-2025")</f>
        <v/>
      </c>
      <c r="W730">
        <f>HYPERLINK("https://klasma.github.io/Logging_2062/klagomålsmail/A 14372-2025 FSC-klagomål mail.docx", "A 14372-2025")</f>
        <v/>
      </c>
      <c r="X730">
        <f>HYPERLINK("https://klasma.github.io/Logging_2062/tillsyn/A 14372-2025 tillsynsbegäran.docx", "A 14372-2025")</f>
        <v/>
      </c>
      <c r="Y730">
        <f>HYPERLINK("https://klasma.github.io/Logging_2062/tillsynsmail/A 14372-2025 tillsynsbegäran mail.docx", "A 14372-2025")</f>
        <v/>
      </c>
    </row>
    <row r="731" ht="15" customHeight="1">
      <c r="A731" t="inlineStr">
        <is>
          <t>A 18860-2025</t>
        </is>
      </c>
      <c r="B731" s="1" t="n">
        <v>45764.42738425926</v>
      </c>
      <c r="C731" s="1" t="n">
        <v>46114</v>
      </c>
      <c r="D731" t="inlineStr">
        <is>
          <t>DALARNAS LÄN</t>
        </is>
      </c>
      <c r="E731" t="inlineStr">
        <is>
          <t>LEKSAND</t>
        </is>
      </c>
      <c r="G731" t="n">
        <v>5.8</v>
      </c>
      <c r="H731" t="n">
        <v>2</v>
      </c>
      <c r="I731" t="n">
        <v>0</v>
      </c>
      <c r="J731" t="n">
        <v>2</v>
      </c>
      <c r="K731" t="n">
        <v>0</v>
      </c>
      <c r="L731" t="n">
        <v>0</v>
      </c>
      <c r="M731" t="n">
        <v>0</v>
      </c>
      <c r="N731" t="n">
        <v>0</v>
      </c>
      <c r="O731" t="n">
        <v>2</v>
      </c>
      <c r="P731" t="n">
        <v>0</v>
      </c>
      <c r="Q731" t="n">
        <v>2</v>
      </c>
      <c r="R731" s="2" t="inlineStr">
        <is>
          <t>Entita
Järpe</t>
        </is>
      </c>
      <c r="S731">
        <f>HYPERLINK("https://klasma.github.io/Logging_2029/artfynd/A 18860-2025 artfynd.xlsx", "A 18860-2025")</f>
        <v/>
      </c>
      <c r="T731">
        <f>HYPERLINK("https://klasma.github.io/Logging_2029/kartor/A 18860-2025 karta.png", "A 18860-2025")</f>
        <v/>
      </c>
      <c r="V731">
        <f>HYPERLINK("https://klasma.github.io/Logging_2029/klagomål/A 18860-2025 FSC-klagomål.docx", "A 18860-2025")</f>
        <v/>
      </c>
      <c r="W731">
        <f>HYPERLINK("https://klasma.github.io/Logging_2029/klagomålsmail/A 18860-2025 FSC-klagomål mail.docx", "A 18860-2025")</f>
        <v/>
      </c>
      <c r="X731">
        <f>HYPERLINK("https://klasma.github.io/Logging_2029/tillsyn/A 18860-2025 tillsynsbegäran.docx", "A 18860-2025")</f>
        <v/>
      </c>
      <c r="Y731">
        <f>HYPERLINK("https://klasma.github.io/Logging_2029/tillsynsmail/A 18860-2025 tillsynsbegäran mail.docx", "A 18860-2025")</f>
        <v/>
      </c>
      <c r="Z731">
        <f>HYPERLINK("https://klasma.github.io/Logging_2029/fåglar/A 18860-2025 prioriterade fågelarter.docx", "A 18860-2025")</f>
        <v/>
      </c>
    </row>
    <row r="732" ht="15" customHeight="1">
      <c r="A732" t="inlineStr">
        <is>
          <t>A 193-2022</t>
        </is>
      </c>
      <c r="B732" s="1" t="n">
        <v>44564.67122685185</v>
      </c>
      <c r="C732" s="1" t="n">
        <v>46114</v>
      </c>
      <c r="D732" t="inlineStr">
        <is>
          <t>DALARNAS LÄN</t>
        </is>
      </c>
      <c r="E732" t="inlineStr">
        <is>
          <t>SÄTER</t>
        </is>
      </c>
      <c r="G732" t="n">
        <v>1.9</v>
      </c>
      <c r="H732" t="n">
        <v>1</v>
      </c>
      <c r="I732" t="n">
        <v>1</v>
      </c>
      <c r="J732" t="n">
        <v>1</v>
      </c>
      <c r="K732" t="n">
        <v>0</v>
      </c>
      <c r="L732" t="n">
        <v>0</v>
      </c>
      <c r="M732" t="n">
        <v>0</v>
      </c>
      <c r="N732" t="n">
        <v>0</v>
      </c>
      <c r="O732" t="n">
        <v>1</v>
      </c>
      <c r="P732" t="n">
        <v>0</v>
      </c>
      <c r="Q732" t="n">
        <v>2</v>
      </c>
      <c r="R732" s="2" t="inlineStr">
        <is>
          <t>Talltita
Dropptaggsvamp</t>
        </is>
      </c>
      <c r="S732">
        <f>HYPERLINK("https://klasma.github.io/Logging_2082/artfynd/A 193-2022 artfynd.xlsx", "A 193-2022")</f>
        <v/>
      </c>
      <c r="T732">
        <f>HYPERLINK("https://klasma.github.io/Logging_2082/kartor/A 193-2022 karta.png", "A 193-2022")</f>
        <v/>
      </c>
      <c r="V732">
        <f>HYPERLINK("https://klasma.github.io/Logging_2082/klagomål/A 193-2022 FSC-klagomål.docx", "A 193-2022")</f>
        <v/>
      </c>
      <c r="W732">
        <f>HYPERLINK("https://klasma.github.io/Logging_2082/klagomålsmail/A 193-2022 FSC-klagomål mail.docx", "A 193-2022")</f>
        <v/>
      </c>
      <c r="X732">
        <f>HYPERLINK("https://klasma.github.io/Logging_2082/tillsyn/A 193-2022 tillsynsbegäran.docx", "A 193-2022")</f>
        <v/>
      </c>
      <c r="Y732">
        <f>HYPERLINK("https://klasma.github.io/Logging_2082/tillsynsmail/A 193-2022 tillsynsbegäran mail.docx", "A 193-2022")</f>
        <v/>
      </c>
      <c r="Z732">
        <f>HYPERLINK("https://klasma.github.io/Logging_2082/fåglar/A 193-2022 prioriterade fågelarter.docx", "A 193-2022")</f>
        <v/>
      </c>
    </row>
    <row r="733" ht="15" customHeight="1">
      <c r="A733" t="inlineStr">
        <is>
          <t>A 1462-2023</t>
        </is>
      </c>
      <c r="B733" s="1" t="n">
        <v>44937</v>
      </c>
      <c r="C733" s="1" t="n">
        <v>46114</v>
      </c>
      <c r="D733" t="inlineStr">
        <is>
          <t>DALARNAS LÄN</t>
        </is>
      </c>
      <c r="E733" t="inlineStr">
        <is>
          <t>FALUN</t>
        </is>
      </c>
      <c r="G733" t="n">
        <v>8.199999999999999</v>
      </c>
      <c r="H733" t="n">
        <v>2</v>
      </c>
      <c r="I733" t="n">
        <v>0</v>
      </c>
      <c r="J733" t="n">
        <v>2</v>
      </c>
      <c r="K733" t="n">
        <v>0</v>
      </c>
      <c r="L733" t="n">
        <v>0</v>
      </c>
      <c r="M733" t="n">
        <v>0</v>
      </c>
      <c r="N733" t="n">
        <v>0</v>
      </c>
      <c r="O733" t="n">
        <v>2</v>
      </c>
      <c r="P733" t="n">
        <v>0</v>
      </c>
      <c r="Q733" t="n">
        <v>2</v>
      </c>
      <c r="R733" s="2" t="inlineStr">
        <is>
          <t>Spillkråka
Tretåig hackspett</t>
        </is>
      </c>
      <c r="S733">
        <f>HYPERLINK("https://klasma.github.io/Logging_2080/artfynd/A 1462-2023 artfynd.xlsx", "A 1462-2023")</f>
        <v/>
      </c>
      <c r="T733">
        <f>HYPERLINK("https://klasma.github.io/Logging_2080/kartor/A 1462-2023 karta.png", "A 1462-2023")</f>
        <v/>
      </c>
      <c r="V733">
        <f>HYPERLINK("https://klasma.github.io/Logging_2080/klagomål/A 1462-2023 FSC-klagomål.docx", "A 1462-2023")</f>
        <v/>
      </c>
      <c r="W733">
        <f>HYPERLINK("https://klasma.github.io/Logging_2080/klagomålsmail/A 1462-2023 FSC-klagomål mail.docx", "A 1462-2023")</f>
        <v/>
      </c>
      <c r="X733">
        <f>HYPERLINK("https://klasma.github.io/Logging_2080/tillsyn/A 1462-2023 tillsynsbegäran.docx", "A 1462-2023")</f>
        <v/>
      </c>
      <c r="Y733">
        <f>HYPERLINK("https://klasma.github.io/Logging_2080/tillsynsmail/A 1462-2023 tillsynsbegäran mail.docx", "A 1462-2023")</f>
        <v/>
      </c>
      <c r="Z733">
        <f>HYPERLINK("https://klasma.github.io/Logging_2080/fåglar/A 1462-2023 prioriterade fågelarter.docx", "A 1462-2023")</f>
        <v/>
      </c>
    </row>
    <row r="734" ht="15" customHeight="1">
      <c r="A734" t="inlineStr">
        <is>
          <t>A 19542-2025</t>
        </is>
      </c>
      <c r="B734" s="1" t="n">
        <v>45770</v>
      </c>
      <c r="C734" s="1" t="n">
        <v>46114</v>
      </c>
      <c r="D734" t="inlineStr">
        <is>
          <t>DALARNAS LÄN</t>
        </is>
      </c>
      <c r="E734" t="inlineStr">
        <is>
          <t>LUDVIKA</t>
        </is>
      </c>
      <c r="F734" t="inlineStr">
        <is>
          <t>Bergvik skog väst AB</t>
        </is>
      </c>
      <c r="G734" t="n">
        <v>2</v>
      </c>
      <c r="H734" t="n">
        <v>0</v>
      </c>
      <c r="I734" t="n">
        <v>2</v>
      </c>
      <c r="J734" t="n">
        <v>0</v>
      </c>
      <c r="K734" t="n">
        <v>0</v>
      </c>
      <c r="L734" t="n">
        <v>0</v>
      </c>
      <c r="M734" t="n">
        <v>0</v>
      </c>
      <c r="N734" t="n">
        <v>0</v>
      </c>
      <c r="O734" t="n">
        <v>0</v>
      </c>
      <c r="P734" t="n">
        <v>0</v>
      </c>
      <c r="Q734" t="n">
        <v>2</v>
      </c>
      <c r="R734" s="2" t="inlineStr">
        <is>
          <t>Gulnål
Skinnlav</t>
        </is>
      </c>
      <c r="S734">
        <f>HYPERLINK("https://klasma.github.io/Logging_2085/artfynd/A 19542-2025 artfynd.xlsx", "A 19542-2025")</f>
        <v/>
      </c>
      <c r="T734">
        <f>HYPERLINK("https://klasma.github.io/Logging_2085/kartor/A 19542-2025 karta.png", "A 19542-2025")</f>
        <v/>
      </c>
      <c r="V734">
        <f>HYPERLINK("https://klasma.github.io/Logging_2085/klagomål/A 19542-2025 FSC-klagomål.docx", "A 19542-2025")</f>
        <v/>
      </c>
      <c r="W734">
        <f>HYPERLINK("https://klasma.github.io/Logging_2085/klagomålsmail/A 19542-2025 FSC-klagomål mail.docx", "A 19542-2025")</f>
        <v/>
      </c>
      <c r="X734">
        <f>HYPERLINK("https://klasma.github.io/Logging_2085/tillsyn/A 19542-2025 tillsynsbegäran.docx", "A 19542-2025")</f>
        <v/>
      </c>
      <c r="Y734">
        <f>HYPERLINK("https://klasma.github.io/Logging_2085/tillsynsmail/A 19542-2025 tillsynsbegäran mail.docx", "A 19542-2025")</f>
        <v/>
      </c>
    </row>
    <row r="735" ht="15" customHeight="1">
      <c r="A735" t="inlineStr">
        <is>
          <t>A 30727-2024</t>
        </is>
      </c>
      <c r="B735" s="1" t="n">
        <v>45496.55789351852</v>
      </c>
      <c r="C735" s="1" t="n">
        <v>46114</v>
      </c>
      <c r="D735" t="inlineStr">
        <is>
          <t>DALARNAS LÄN</t>
        </is>
      </c>
      <c r="E735" t="inlineStr">
        <is>
          <t>ÄLVDALEN</t>
        </is>
      </c>
      <c r="F735" t="inlineStr">
        <is>
          <t>Allmännings- och besparingsskogar</t>
        </is>
      </c>
      <c r="G735" t="n">
        <v>35.7</v>
      </c>
      <c r="H735" t="n">
        <v>1</v>
      </c>
      <c r="I735" t="n">
        <v>0</v>
      </c>
      <c r="J735" t="n">
        <v>2</v>
      </c>
      <c r="K735" t="n">
        <v>0</v>
      </c>
      <c r="L735" t="n">
        <v>0</v>
      </c>
      <c r="M735" t="n">
        <v>0</v>
      </c>
      <c r="N735" t="n">
        <v>0</v>
      </c>
      <c r="O735" t="n">
        <v>2</v>
      </c>
      <c r="P735" t="n">
        <v>0</v>
      </c>
      <c r="Q735" t="n">
        <v>2</v>
      </c>
      <c r="R735" s="2" t="inlineStr">
        <is>
          <t>Garnlav
Spillkråka</t>
        </is>
      </c>
      <c r="S735">
        <f>HYPERLINK("https://klasma.github.io/Logging_2039/artfynd/A 30727-2024 artfynd.xlsx", "A 30727-2024")</f>
        <v/>
      </c>
      <c r="T735">
        <f>HYPERLINK("https://klasma.github.io/Logging_2039/kartor/A 30727-2024 karta.png", "A 30727-2024")</f>
        <v/>
      </c>
      <c r="V735">
        <f>HYPERLINK("https://klasma.github.io/Logging_2039/klagomål/A 30727-2024 FSC-klagomål.docx", "A 30727-2024")</f>
        <v/>
      </c>
      <c r="W735">
        <f>HYPERLINK("https://klasma.github.io/Logging_2039/klagomålsmail/A 30727-2024 FSC-klagomål mail.docx", "A 30727-2024")</f>
        <v/>
      </c>
      <c r="X735">
        <f>HYPERLINK("https://klasma.github.io/Logging_2039/tillsyn/A 30727-2024 tillsynsbegäran.docx", "A 30727-2024")</f>
        <v/>
      </c>
      <c r="Y735">
        <f>HYPERLINK("https://klasma.github.io/Logging_2039/tillsynsmail/A 30727-2024 tillsynsbegäran mail.docx", "A 30727-2024")</f>
        <v/>
      </c>
      <c r="Z735">
        <f>HYPERLINK("https://klasma.github.io/Logging_2039/fåglar/A 30727-2024 prioriterade fågelarter.docx", "A 30727-2024")</f>
        <v/>
      </c>
    </row>
    <row r="736" ht="15" customHeight="1">
      <c r="A736" t="inlineStr">
        <is>
          <t>A 37723-2024</t>
        </is>
      </c>
      <c r="B736" s="1" t="n">
        <v>45541.64898148148</v>
      </c>
      <c r="C736" s="1" t="n">
        <v>46114</v>
      </c>
      <c r="D736" t="inlineStr">
        <is>
          <t>DALARNAS LÄN</t>
        </is>
      </c>
      <c r="E736" t="inlineStr">
        <is>
          <t>BORLÄNGE</t>
        </is>
      </c>
      <c r="G736" t="n">
        <v>1.4</v>
      </c>
      <c r="H736" t="n">
        <v>0</v>
      </c>
      <c r="I736" t="n">
        <v>0</v>
      </c>
      <c r="J736" t="n">
        <v>2</v>
      </c>
      <c r="K736" t="n">
        <v>0</v>
      </c>
      <c r="L736" t="n">
        <v>0</v>
      </c>
      <c r="M736" t="n">
        <v>0</v>
      </c>
      <c r="N736" t="n">
        <v>0</v>
      </c>
      <c r="O736" t="n">
        <v>2</v>
      </c>
      <c r="P736" t="n">
        <v>0</v>
      </c>
      <c r="Q736" t="n">
        <v>2</v>
      </c>
      <c r="R736" s="2" t="inlineStr">
        <is>
          <t>Rosenticka
Ullticka</t>
        </is>
      </c>
      <c r="S736">
        <f>HYPERLINK("https://klasma.github.io/Logging_2081/artfynd/A 37723-2024 artfynd.xlsx", "A 37723-2024")</f>
        <v/>
      </c>
      <c r="T736">
        <f>HYPERLINK("https://klasma.github.io/Logging_2081/kartor/A 37723-2024 karta.png", "A 37723-2024")</f>
        <v/>
      </c>
      <c r="V736">
        <f>HYPERLINK("https://klasma.github.io/Logging_2081/klagomål/A 37723-2024 FSC-klagomål.docx", "A 37723-2024")</f>
        <v/>
      </c>
      <c r="W736">
        <f>HYPERLINK("https://klasma.github.io/Logging_2081/klagomålsmail/A 37723-2024 FSC-klagomål mail.docx", "A 37723-2024")</f>
        <v/>
      </c>
      <c r="X736">
        <f>HYPERLINK("https://klasma.github.io/Logging_2081/tillsyn/A 37723-2024 tillsynsbegäran.docx", "A 37723-2024")</f>
        <v/>
      </c>
      <c r="Y736">
        <f>HYPERLINK("https://klasma.github.io/Logging_2081/tillsynsmail/A 37723-2024 tillsynsbegäran mail.docx", "A 37723-2024")</f>
        <v/>
      </c>
    </row>
    <row r="737" ht="15" customHeight="1">
      <c r="A737" t="inlineStr">
        <is>
          <t>A 40578-2021</t>
        </is>
      </c>
      <c r="B737" s="1" t="n">
        <v>44420</v>
      </c>
      <c r="C737" s="1" t="n">
        <v>46114</v>
      </c>
      <c r="D737" t="inlineStr">
        <is>
          <t>DALARNAS LÄN</t>
        </is>
      </c>
      <c r="E737" t="inlineStr">
        <is>
          <t>BORLÄNGE</t>
        </is>
      </c>
      <c r="G737" t="n">
        <v>3.8</v>
      </c>
      <c r="H737" t="n">
        <v>2</v>
      </c>
      <c r="I737" t="n">
        <v>0</v>
      </c>
      <c r="J737" t="n">
        <v>0</v>
      </c>
      <c r="K737" t="n">
        <v>1</v>
      </c>
      <c r="L737" t="n">
        <v>0</v>
      </c>
      <c r="M737" t="n">
        <v>0</v>
      </c>
      <c r="N737" t="n">
        <v>0</v>
      </c>
      <c r="O737" t="n">
        <v>1</v>
      </c>
      <c r="P737" t="n">
        <v>1</v>
      </c>
      <c r="Q737" t="n">
        <v>2</v>
      </c>
      <c r="R737" s="2" t="inlineStr">
        <is>
          <t>Knärot
Revlummer</t>
        </is>
      </c>
      <c r="S737">
        <f>HYPERLINK("https://klasma.github.io/Logging_2081/artfynd/A 40578-2021 artfynd.xlsx", "A 40578-2021")</f>
        <v/>
      </c>
      <c r="T737">
        <f>HYPERLINK("https://klasma.github.io/Logging_2081/kartor/A 40578-2021 karta.png", "A 40578-2021")</f>
        <v/>
      </c>
      <c r="U737">
        <f>HYPERLINK("https://klasma.github.io/Logging_2081/knärot/A 40578-2021 karta knärot.png", "A 40578-2021")</f>
        <v/>
      </c>
      <c r="V737">
        <f>HYPERLINK("https://klasma.github.io/Logging_2081/klagomål/A 40578-2021 FSC-klagomål.docx", "A 40578-2021")</f>
        <v/>
      </c>
      <c r="W737">
        <f>HYPERLINK("https://klasma.github.io/Logging_2081/klagomålsmail/A 40578-2021 FSC-klagomål mail.docx", "A 40578-2021")</f>
        <v/>
      </c>
      <c r="X737">
        <f>HYPERLINK("https://klasma.github.io/Logging_2081/tillsyn/A 40578-2021 tillsynsbegäran.docx", "A 40578-2021")</f>
        <v/>
      </c>
      <c r="Y737">
        <f>HYPERLINK("https://klasma.github.io/Logging_2081/tillsynsmail/A 40578-2021 tillsynsbegäran mail.docx", "A 40578-2021")</f>
        <v/>
      </c>
    </row>
    <row r="738" ht="15" customHeight="1">
      <c r="A738" t="inlineStr">
        <is>
          <t>A 30368-2024</t>
        </is>
      </c>
      <c r="B738" s="1" t="n">
        <v>45490</v>
      </c>
      <c r="C738" s="1" t="n">
        <v>46114</v>
      </c>
      <c r="D738" t="inlineStr">
        <is>
          <t>DALARNAS LÄN</t>
        </is>
      </c>
      <c r="E738" t="inlineStr">
        <is>
          <t>RÄTTVIK</t>
        </is>
      </c>
      <c r="G738" t="n">
        <v>16.5</v>
      </c>
      <c r="H738" t="n">
        <v>0</v>
      </c>
      <c r="I738" t="n">
        <v>1</v>
      </c>
      <c r="J738" t="n">
        <v>0</v>
      </c>
      <c r="K738" t="n">
        <v>0</v>
      </c>
      <c r="L738" t="n">
        <v>1</v>
      </c>
      <c r="M738" t="n">
        <v>0</v>
      </c>
      <c r="N738" t="n">
        <v>0</v>
      </c>
      <c r="O738" t="n">
        <v>1</v>
      </c>
      <c r="P738" t="n">
        <v>1</v>
      </c>
      <c r="Q738" t="n">
        <v>2</v>
      </c>
      <c r="R738" s="2" t="inlineStr">
        <is>
          <t>Trolldruvemätare
Svart trolldruva</t>
        </is>
      </c>
      <c r="S738">
        <f>HYPERLINK("https://klasma.github.io/Logging_2031/artfynd/A 30368-2024 artfynd.xlsx", "A 30368-2024")</f>
        <v/>
      </c>
      <c r="T738">
        <f>HYPERLINK("https://klasma.github.io/Logging_2031/kartor/A 30368-2024 karta.png", "A 30368-2024")</f>
        <v/>
      </c>
      <c r="V738">
        <f>HYPERLINK("https://klasma.github.io/Logging_2031/klagomål/A 30368-2024 FSC-klagomål.docx", "A 30368-2024")</f>
        <v/>
      </c>
      <c r="W738">
        <f>HYPERLINK("https://klasma.github.io/Logging_2031/klagomålsmail/A 30368-2024 FSC-klagomål mail.docx", "A 30368-2024")</f>
        <v/>
      </c>
      <c r="X738">
        <f>HYPERLINK("https://klasma.github.io/Logging_2031/tillsyn/A 30368-2024 tillsynsbegäran.docx", "A 30368-2024")</f>
        <v/>
      </c>
      <c r="Y738">
        <f>HYPERLINK("https://klasma.github.io/Logging_2031/tillsynsmail/A 30368-2024 tillsynsbegäran mail.docx", "A 30368-2024")</f>
        <v/>
      </c>
    </row>
    <row r="739" ht="15" customHeight="1">
      <c r="A739" t="inlineStr">
        <is>
          <t>A 22969-2025</t>
        </is>
      </c>
      <c r="B739" s="1" t="n">
        <v>45790</v>
      </c>
      <c r="C739" s="1" t="n">
        <v>46114</v>
      </c>
      <c r="D739" t="inlineStr">
        <is>
          <t>DALARNAS LÄN</t>
        </is>
      </c>
      <c r="E739" t="inlineStr">
        <is>
          <t>FALUN</t>
        </is>
      </c>
      <c r="F739" t="inlineStr">
        <is>
          <t>Bergvik skog väst AB</t>
        </is>
      </c>
      <c r="G739" t="n">
        <v>9.1</v>
      </c>
      <c r="H739" t="n">
        <v>0</v>
      </c>
      <c r="I739" t="n">
        <v>0</v>
      </c>
      <c r="J739" t="n">
        <v>2</v>
      </c>
      <c r="K739" t="n">
        <v>0</v>
      </c>
      <c r="L739" t="n">
        <v>0</v>
      </c>
      <c r="M739" t="n">
        <v>0</v>
      </c>
      <c r="N739" t="n">
        <v>0</v>
      </c>
      <c r="O739" t="n">
        <v>2</v>
      </c>
      <c r="P739" t="n">
        <v>0</v>
      </c>
      <c r="Q739" t="n">
        <v>2</v>
      </c>
      <c r="R739" s="2" t="inlineStr">
        <is>
          <t>Dofttaggsvamp
Gul taggsvamp</t>
        </is>
      </c>
      <c r="S739">
        <f>HYPERLINK("https://klasma.github.io/Logging_2080/artfynd/A 22969-2025 artfynd.xlsx", "A 22969-2025")</f>
        <v/>
      </c>
      <c r="T739">
        <f>HYPERLINK("https://klasma.github.io/Logging_2080/kartor/A 22969-2025 karta.png", "A 22969-2025")</f>
        <v/>
      </c>
      <c r="V739">
        <f>HYPERLINK("https://klasma.github.io/Logging_2080/klagomål/A 22969-2025 FSC-klagomål.docx", "A 22969-2025")</f>
        <v/>
      </c>
      <c r="W739">
        <f>HYPERLINK("https://klasma.github.io/Logging_2080/klagomålsmail/A 22969-2025 FSC-klagomål mail.docx", "A 22969-2025")</f>
        <v/>
      </c>
      <c r="X739">
        <f>HYPERLINK("https://klasma.github.io/Logging_2080/tillsyn/A 22969-2025 tillsynsbegäran.docx", "A 22969-2025")</f>
        <v/>
      </c>
      <c r="Y739">
        <f>HYPERLINK("https://klasma.github.io/Logging_2080/tillsynsmail/A 22969-2025 tillsynsbegäran mail.docx", "A 22969-2025")</f>
        <v/>
      </c>
    </row>
    <row r="740" ht="15" customHeight="1">
      <c r="A740" t="inlineStr">
        <is>
          <t>A 23746-2025</t>
        </is>
      </c>
      <c r="B740" s="1" t="n">
        <v>45793.44649305556</v>
      </c>
      <c r="C740" s="1" t="n">
        <v>46114</v>
      </c>
      <c r="D740" t="inlineStr">
        <is>
          <t>DALARNAS LÄN</t>
        </is>
      </c>
      <c r="E740" t="inlineStr">
        <is>
          <t>MALUNG-SÄLEN</t>
        </is>
      </c>
      <c r="F740" t="inlineStr">
        <is>
          <t>Bergvik skog öst AB</t>
        </is>
      </c>
      <c r="G740" t="n">
        <v>21.6</v>
      </c>
      <c r="H740" t="n">
        <v>2</v>
      </c>
      <c r="I740" t="n">
        <v>1</v>
      </c>
      <c r="J740" t="n">
        <v>0</v>
      </c>
      <c r="K740" t="n">
        <v>0</v>
      </c>
      <c r="L740" t="n">
        <v>0</v>
      </c>
      <c r="M740" t="n">
        <v>0</v>
      </c>
      <c r="N740" t="n">
        <v>0</v>
      </c>
      <c r="O740" t="n">
        <v>0</v>
      </c>
      <c r="P740" t="n">
        <v>0</v>
      </c>
      <c r="Q740" t="n">
        <v>2</v>
      </c>
      <c r="R740" s="2" t="inlineStr">
        <is>
          <t>Plattlummer
Fläcknycklar</t>
        </is>
      </c>
      <c r="S740">
        <f>HYPERLINK("https://klasma.github.io/Logging_2023/artfynd/A 23746-2025 artfynd.xlsx", "A 23746-2025")</f>
        <v/>
      </c>
      <c r="T740">
        <f>HYPERLINK("https://klasma.github.io/Logging_2023/kartor/A 23746-2025 karta.png", "A 23746-2025")</f>
        <v/>
      </c>
      <c r="V740">
        <f>HYPERLINK("https://klasma.github.io/Logging_2023/klagomål/A 23746-2025 FSC-klagomål.docx", "A 23746-2025")</f>
        <v/>
      </c>
      <c r="W740">
        <f>HYPERLINK("https://klasma.github.io/Logging_2023/klagomålsmail/A 23746-2025 FSC-klagomål mail.docx", "A 23746-2025")</f>
        <v/>
      </c>
      <c r="X740">
        <f>HYPERLINK("https://klasma.github.io/Logging_2023/tillsyn/A 23746-2025 tillsynsbegäran.docx", "A 23746-2025")</f>
        <v/>
      </c>
      <c r="Y740">
        <f>HYPERLINK("https://klasma.github.io/Logging_2023/tillsynsmail/A 23746-2025 tillsynsbegäran mail.docx", "A 23746-2025")</f>
        <v/>
      </c>
    </row>
    <row r="741" ht="15" customHeight="1">
      <c r="A741" t="inlineStr">
        <is>
          <t>A 42558-2022</t>
        </is>
      </c>
      <c r="B741" s="1" t="n">
        <v>44831</v>
      </c>
      <c r="C741" s="1" t="n">
        <v>46114</v>
      </c>
      <c r="D741" t="inlineStr">
        <is>
          <t>DALARNAS LÄN</t>
        </is>
      </c>
      <c r="E741" t="inlineStr">
        <is>
          <t>LUDVIKA</t>
        </is>
      </c>
      <c r="F741" t="inlineStr">
        <is>
          <t>Naturvårdsverket</t>
        </is>
      </c>
      <c r="G741" t="n">
        <v>4.9</v>
      </c>
      <c r="H741" t="n">
        <v>1</v>
      </c>
      <c r="I741" t="n">
        <v>0</v>
      </c>
      <c r="J741" t="n">
        <v>0</v>
      </c>
      <c r="K741" t="n">
        <v>1</v>
      </c>
      <c r="L741" t="n">
        <v>0</v>
      </c>
      <c r="M741" t="n">
        <v>0</v>
      </c>
      <c r="N741" t="n">
        <v>0</v>
      </c>
      <c r="O741" t="n">
        <v>1</v>
      </c>
      <c r="P741" t="n">
        <v>1</v>
      </c>
      <c r="Q741" t="n">
        <v>2</v>
      </c>
      <c r="R741" s="2" t="inlineStr">
        <is>
          <t>Gräddporing
Lopplummer (aggregat)</t>
        </is>
      </c>
      <c r="S741">
        <f>HYPERLINK("https://klasma.github.io/Logging_2085/artfynd/A 42558-2022 artfynd.xlsx", "A 42558-2022")</f>
        <v/>
      </c>
      <c r="T741">
        <f>HYPERLINK("https://klasma.github.io/Logging_2085/kartor/A 42558-2022 karta.png", "A 42558-2022")</f>
        <v/>
      </c>
      <c r="V741">
        <f>HYPERLINK("https://klasma.github.io/Logging_2085/klagomål/A 42558-2022 FSC-klagomål.docx", "A 42558-2022")</f>
        <v/>
      </c>
      <c r="W741">
        <f>HYPERLINK("https://klasma.github.io/Logging_2085/klagomålsmail/A 42558-2022 FSC-klagomål mail.docx", "A 42558-2022")</f>
        <v/>
      </c>
      <c r="X741">
        <f>HYPERLINK("https://klasma.github.io/Logging_2085/tillsyn/A 42558-2022 tillsynsbegäran.docx", "A 42558-2022")</f>
        <v/>
      </c>
      <c r="Y741">
        <f>HYPERLINK("https://klasma.github.io/Logging_2085/tillsynsmail/A 42558-2022 tillsynsbegäran mail.docx", "A 42558-2022")</f>
        <v/>
      </c>
    </row>
    <row r="742" ht="15" customHeight="1">
      <c r="A742" t="inlineStr">
        <is>
          <t>A 25293-2025</t>
        </is>
      </c>
      <c r="B742" s="1" t="n">
        <v>45800</v>
      </c>
      <c r="C742" s="1" t="n">
        <v>46114</v>
      </c>
      <c r="D742" t="inlineStr">
        <is>
          <t>DALARNAS LÄN</t>
        </is>
      </c>
      <c r="E742" t="inlineStr">
        <is>
          <t>LUDVIKA</t>
        </is>
      </c>
      <c r="F742" t="inlineStr">
        <is>
          <t>Bergvik skog väst AB</t>
        </is>
      </c>
      <c r="G742" t="n">
        <v>19.6</v>
      </c>
      <c r="H742" t="n">
        <v>0</v>
      </c>
      <c r="I742" t="n">
        <v>1</v>
      </c>
      <c r="J742" t="n">
        <v>1</v>
      </c>
      <c r="K742" t="n">
        <v>0</v>
      </c>
      <c r="L742" t="n">
        <v>0</v>
      </c>
      <c r="M742" t="n">
        <v>0</v>
      </c>
      <c r="N742" t="n">
        <v>0</v>
      </c>
      <c r="O742" t="n">
        <v>1</v>
      </c>
      <c r="P742" t="n">
        <v>0</v>
      </c>
      <c r="Q742" t="n">
        <v>2</v>
      </c>
      <c r="R742" s="2" t="inlineStr">
        <is>
          <t>Garnlav
Nästlav</t>
        </is>
      </c>
      <c r="S742">
        <f>HYPERLINK("https://klasma.github.io/Logging_2085/artfynd/A 25293-2025 artfynd.xlsx", "A 25293-2025")</f>
        <v/>
      </c>
      <c r="T742">
        <f>HYPERLINK("https://klasma.github.io/Logging_2085/kartor/A 25293-2025 karta.png", "A 25293-2025")</f>
        <v/>
      </c>
      <c r="V742">
        <f>HYPERLINK("https://klasma.github.io/Logging_2085/klagomål/A 25293-2025 FSC-klagomål.docx", "A 25293-2025")</f>
        <v/>
      </c>
      <c r="W742">
        <f>HYPERLINK("https://klasma.github.io/Logging_2085/klagomålsmail/A 25293-2025 FSC-klagomål mail.docx", "A 25293-2025")</f>
        <v/>
      </c>
      <c r="X742">
        <f>HYPERLINK("https://klasma.github.io/Logging_2085/tillsyn/A 25293-2025 tillsynsbegäran.docx", "A 25293-2025")</f>
        <v/>
      </c>
      <c r="Y742">
        <f>HYPERLINK("https://klasma.github.io/Logging_2085/tillsynsmail/A 25293-2025 tillsynsbegäran mail.docx", "A 25293-2025")</f>
        <v/>
      </c>
    </row>
    <row r="743" ht="15" customHeight="1">
      <c r="A743" t="inlineStr">
        <is>
          <t>A 27937-2025</t>
        </is>
      </c>
      <c r="B743" s="1" t="n">
        <v>45817.50025462963</v>
      </c>
      <c r="C743" s="1" t="n">
        <v>46114</v>
      </c>
      <c r="D743" t="inlineStr">
        <is>
          <t>DALARNAS LÄN</t>
        </is>
      </c>
      <c r="E743" t="inlineStr">
        <is>
          <t>ÄLVDALEN</t>
        </is>
      </c>
      <c r="F743" t="inlineStr">
        <is>
          <t>Sveaskog</t>
        </is>
      </c>
      <c r="G743" t="n">
        <v>0.9</v>
      </c>
      <c r="H743" t="n">
        <v>0</v>
      </c>
      <c r="I743" t="n">
        <v>1</v>
      </c>
      <c r="J743" t="n">
        <v>1</v>
      </c>
      <c r="K743" t="n">
        <v>0</v>
      </c>
      <c r="L743" t="n">
        <v>0</v>
      </c>
      <c r="M743" t="n">
        <v>0</v>
      </c>
      <c r="N743" t="n">
        <v>0</v>
      </c>
      <c r="O743" t="n">
        <v>1</v>
      </c>
      <c r="P743" t="n">
        <v>0</v>
      </c>
      <c r="Q743" t="n">
        <v>2</v>
      </c>
      <c r="R743" s="2" t="inlineStr">
        <is>
          <t>Kolflarnlav
Dropptaggsvamp</t>
        </is>
      </c>
      <c r="S743">
        <f>HYPERLINK("https://klasma.github.io/Logging_2039/artfynd/A 27937-2025 artfynd.xlsx", "A 27937-2025")</f>
        <v/>
      </c>
      <c r="T743">
        <f>HYPERLINK("https://klasma.github.io/Logging_2039/kartor/A 27937-2025 karta.png", "A 27937-2025")</f>
        <v/>
      </c>
      <c r="V743">
        <f>HYPERLINK("https://klasma.github.io/Logging_2039/klagomål/A 27937-2025 FSC-klagomål.docx", "A 27937-2025")</f>
        <v/>
      </c>
      <c r="W743">
        <f>HYPERLINK("https://klasma.github.io/Logging_2039/klagomålsmail/A 27937-2025 FSC-klagomål mail.docx", "A 27937-2025")</f>
        <v/>
      </c>
      <c r="X743">
        <f>HYPERLINK("https://klasma.github.io/Logging_2039/tillsyn/A 27937-2025 tillsynsbegäran.docx", "A 27937-2025")</f>
        <v/>
      </c>
      <c r="Y743">
        <f>HYPERLINK("https://klasma.github.io/Logging_2039/tillsynsmail/A 27937-2025 tillsynsbegäran mail.docx", "A 27937-2025")</f>
        <v/>
      </c>
    </row>
    <row r="744" ht="15" customHeight="1">
      <c r="A744" t="inlineStr">
        <is>
          <t>A 28119-2025</t>
        </is>
      </c>
      <c r="B744" s="1" t="n">
        <v>45818</v>
      </c>
      <c r="C744" s="1" t="n">
        <v>46114</v>
      </c>
      <c r="D744" t="inlineStr">
        <is>
          <t>DALARNAS LÄN</t>
        </is>
      </c>
      <c r="E744" t="inlineStr">
        <is>
          <t>FALUN</t>
        </is>
      </c>
      <c r="G744" t="n">
        <v>7.4</v>
      </c>
      <c r="H744" t="n">
        <v>1</v>
      </c>
      <c r="I744" t="n">
        <v>0</v>
      </c>
      <c r="J744" t="n">
        <v>1</v>
      </c>
      <c r="K744" t="n">
        <v>0</v>
      </c>
      <c r="L744" t="n">
        <v>0</v>
      </c>
      <c r="M744" t="n">
        <v>0</v>
      </c>
      <c r="N744" t="n">
        <v>0</v>
      </c>
      <c r="O744" t="n">
        <v>1</v>
      </c>
      <c r="P744" t="n">
        <v>0</v>
      </c>
      <c r="Q744" t="n">
        <v>2</v>
      </c>
      <c r="R744" s="2" t="inlineStr">
        <is>
          <t>Tallticka
Pudrad kärrtrollslända</t>
        </is>
      </c>
      <c r="S744">
        <f>HYPERLINK("https://klasma.github.io/Logging_2080/artfynd/A 28119-2025 artfynd.xlsx", "A 28119-2025")</f>
        <v/>
      </c>
      <c r="T744">
        <f>HYPERLINK("https://klasma.github.io/Logging_2080/kartor/A 28119-2025 karta.png", "A 28119-2025")</f>
        <v/>
      </c>
      <c r="V744">
        <f>HYPERLINK("https://klasma.github.io/Logging_2080/klagomål/A 28119-2025 FSC-klagomål.docx", "A 28119-2025")</f>
        <v/>
      </c>
      <c r="W744">
        <f>HYPERLINK("https://klasma.github.io/Logging_2080/klagomålsmail/A 28119-2025 FSC-klagomål mail.docx", "A 28119-2025")</f>
        <v/>
      </c>
      <c r="X744">
        <f>HYPERLINK("https://klasma.github.io/Logging_2080/tillsyn/A 28119-2025 tillsynsbegäran.docx", "A 28119-2025")</f>
        <v/>
      </c>
      <c r="Y744">
        <f>HYPERLINK("https://klasma.github.io/Logging_2080/tillsynsmail/A 28119-2025 tillsynsbegäran mail.docx", "A 28119-2025")</f>
        <v/>
      </c>
    </row>
    <row r="745" ht="15" customHeight="1">
      <c r="A745" t="inlineStr">
        <is>
          <t>A 30552-2025</t>
        </is>
      </c>
      <c r="B745" s="1" t="n">
        <v>45831.38329861111</v>
      </c>
      <c r="C745" s="1" t="n">
        <v>46114</v>
      </c>
      <c r="D745" t="inlineStr">
        <is>
          <t>DALARNAS LÄN</t>
        </is>
      </c>
      <c r="E745" t="inlineStr">
        <is>
          <t>MALUNG-SÄLEN</t>
        </is>
      </c>
      <c r="F745" t="inlineStr">
        <is>
          <t>Bergvik skog väst AB</t>
        </is>
      </c>
      <c r="G745" t="n">
        <v>4.3</v>
      </c>
      <c r="H745" t="n">
        <v>0</v>
      </c>
      <c r="I745" t="n">
        <v>1</v>
      </c>
      <c r="J745" t="n">
        <v>1</v>
      </c>
      <c r="K745" t="n">
        <v>0</v>
      </c>
      <c r="L745" t="n">
        <v>0</v>
      </c>
      <c r="M745" t="n">
        <v>0</v>
      </c>
      <c r="N745" t="n">
        <v>0</v>
      </c>
      <c r="O745" t="n">
        <v>1</v>
      </c>
      <c r="P745" t="n">
        <v>0</v>
      </c>
      <c r="Q745" t="n">
        <v>2</v>
      </c>
      <c r="R745" s="2" t="inlineStr">
        <is>
          <t>Garnlav
Mörk husmossa</t>
        </is>
      </c>
      <c r="S745">
        <f>HYPERLINK("https://klasma.github.io/Logging_2023/artfynd/A 30552-2025 artfynd.xlsx", "A 30552-2025")</f>
        <v/>
      </c>
      <c r="T745">
        <f>HYPERLINK("https://klasma.github.io/Logging_2023/kartor/A 30552-2025 karta.png", "A 30552-2025")</f>
        <v/>
      </c>
      <c r="V745">
        <f>HYPERLINK("https://klasma.github.io/Logging_2023/klagomål/A 30552-2025 FSC-klagomål.docx", "A 30552-2025")</f>
        <v/>
      </c>
      <c r="W745">
        <f>HYPERLINK("https://klasma.github.io/Logging_2023/klagomålsmail/A 30552-2025 FSC-klagomål mail.docx", "A 30552-2025")</f>
        <v/>
      </c>
      <c r="X745">
        <f>HYPERLINK("https://klasma.github.io/Logging_2023/tillsyn/A 30552-2025 tillsynsbegäran.docx", "A 30552-2025")</f>
        <v/>
      </c>
      <c r="Y745">
        <f>HYPERLINK("https://klasma.github.io/Logging_2023/tillsynsmail/A 30552-2025 tillsynsbegäran mail.docx", "A 30552-2025")</f>
        <v/>
      </c>
    </row>
    <row r="746" ht="15" customHeight="1">
      <c r="A746" t="inlineStr">
        <is>
          <t>A 31264-2025</t>
        </is>
      </c>
      <c r="B746" s="1" t="n">
        <v>45833.3283912037</v>
      </c>
      <c r="C746" s="1" t="n">
        <v>46114</v>
      </c>
      <c r="D746" t="inlineStr">
        <is>
          <t>DALARNAS LÄN</t>
        </is>
      </c>
      <c r="E746" t="inlineStr">
        <is>
          <t>ÄLVDALEN</t>
        </is>
      </c>
      <c r="F746" t="inlineStr">
        <is>
          <t>Sveaskog</t>
        </is>
      </c>
      <c r="G746" t="n">
        <v>1.3</v>
      </c>
      <c r="H746" t="n">
        <v>2</v>
      </c>
      <c r="I746" t="n">
        <v>0</v>
      </c>
      <c r="J746" t="n">
        <v>1</v>
      </c>
      <c r="K746" t="n">
        <v>0</v>
      </c>
      <c r="L746" t="n">
        <v>1</v>
      </c>
      <c r="M746" t="n">
        <v>0</v>
      </c>
      <c r="N746" t="n">
        <v>0</v>
      </c>
      <c r="O746" t="n">
        <v>2</v>
      </c>
      <c r="P746" t="n">
        <v>1</v>
      </c>
      <c r="Q746" t="n">
        <v>2</v>
      </c>
      <c r="R746" s="2" t="inlineStr">
        <is>
          <t>Mosippa
Drillsnäppa</t>
        </is>
      </c>
      <c r="S746">
        <f>HYPERLINK("https://klasma.github.io/Logging_2039/artfynd/A 31264-2025 artfynd.xlsx", "A 31264-2025")</f>
        <v/>
      </c>
      <c r="T746">
        <f>HYPERLINK("https://klasma.github.io/Logging_2039/kartor/A 31264-2025 karta.png", "A 31264-2025")</f>
        <v/>
      </c>
      <c r="V746">
        <f>HYPERLINK("https://klasma.github.io/Logging_2039/klagomål/A 31264-2025 FSC-klagomål.docx", "A 31264-2025")</f>
        <v/>
      </c>
      <c r="W746">
        <f>HYPERLINK("https://klasma.github.io/Logging_2039/klagomålsmail/A 31264-2025 FSC-klagomål mail.docx", "A 31264-2025")</f>
        <v/>
      </c>
      <c r="X746">
        <f>HYPERLINK("https://klasma.github.io/Logging_2039/tillsyn/A 31264-2025 tillsynsbegäran.docx", "A 31264-2025")</f>
        <v/>
      </c>
      <c r="Y746">
        <f>HYPERLINK("https://klasma.github.io/Logging_2039/tillsynsmail/A 31264-2025 tillsynsbegäran mail.docx", "A 31264-2025")</f>
        <v/>
      </c>
    </row>
    <row r="747" ht="15" customHeight="1">
      <c r="A747" t="inlineStr">
        <is>
          <t>A 54173-2021</t>
        </is>
      </c>
      <c r="B747" s="1" t="n">
        <v>44470.56413194445</v>
      </c>
      <c r="C747" s="1" t="n">
        <v>46114</v>
      </c>
      <c r="D747" t="inlineStr">
        <is>
          <t>DALARNAS LÄN</t>
        </is>
      </c>
      <c r="E747" t="inlineStr">
        <is>
          <t>RÄTTVIK</t>
        </is>
      </c>
      <c r="F747" t="inlineStr">
        <is>
          <t>Sveaskog</t>
        </is>
      </c>
      <c r="G747" t="n">
        <v>1.7</v>
      </c>
      <c r="H747" t="n">
        <v>0</v>
      </c>
      <c r="I747" t="n">
        <v>1</v>
      </c>
      <c r="J747" t="n">
        <v>0</v>
      </c>
      <c r="K747" t="n">
        <v>0</v>
      </c>
      <c r="L747" t="n">
        <v>0</v>
      </c>
      <c r="M747" t="n">
        <v>0</v>
      </c>
      <c r="N747" t="n">
        <v>0</v>
      </c>
      <c r="O747" t="n">
        <v>0</v>
      </c>
      <c r="P747" t="n">
        <v>0</v>
      </c>
      <c r="Q747" t="n">
        <v>1</v>
      </c>
      <c r="R747" s="2" t="inlineStr">
        <is>
          <t>Dropptaggsvamp</t>
        </is>
      </c>
      <c r="S747">
        <f>HYPERLINK("https://klasma.github.io/Logging_2031/artfynd/A 54173-2021 artfynd.xlsx", "A 54173-2021")</f>
        <v/>
      </c>
      <c r="T747">
        <f>HYPERLINK("https://klasma.github.io/Logging_2031/kartor/A 54173-2021 karta.png", "A 54173-2021")</f>
        <v/>
      </c>
      <c r="V747">
        <f>HYPERLINK("https://klasma.github.io/Logging_2031/klagomål/A 54173-2021 FSC-klagomål.docx", "A 54173-2021")</f>
        <v/>
      </c>
      <c r="W747">
        <f>HYPERLINK("https://klasma.github.io/Logging_2031/klagomålsmail/A 54173-2021 FSC-klagomål mail.docx", "A 54173-2021")</f>
        <v/>
      </c>
      <c r="X747">
        <f>HYPERLINK("https://klasma.github.io/Logging_2031/tillsyn/A 54173-2021 tillsynsbegäran.docx", "A 54173-2021")</f>
        <v/>
      </c>
      <c r="Y747">
        <f>HYPERLINK("https://klasma.github.io/Logging_2031/tillsynsmail/A 54173-2021 tillsynsbegäran mail.docx", "A 54173-2021")</f>
        <v/>
      </c>
    </row>
    <row r="748" ht="15" customHeight="1">
      <c r="A748" t="inlineStr">
        <is>
          <t>A 31761-2021</t>
        </is>
      </c>
      <c r="B748" s="1" t="n">
        <v>44370</v>
      </c>
      <c r="C748" s="1" t="n">
        <v>46114</v>
      </c>
      <c r="D748" t="inlineStr">
        <is>
          <t>DALARNAS LÄN</t>
        </is>
      </c>
      <c r="E748" t="inlineStr">
        <is>
          <t>ÄLVDALEN</t>
        </is>
      </c>
      <c r="F748" t="inlineStr">
        <is>
          <t>Sveaskog</t>
        </is>
      </c>
      <c r="G748" t="n">
        <v>29.4</v>
      </c>
      <c r="H748" t="n">
        <v>0</v>
      </c>
      <c r="I748" t="n">
        <v>1</v>
      </c>
      <c r="J748" t="n">
        <v>0</v>
      </c>
      <c r="K748" t="n">
        <v>0</v>
      </c>
      <c r="L748" t="n">
        <v>0</v>
      </c>
      <c r="M748" t="n">
        <v>0</v>
      </c>
      <c r="N748" t="n">
        <v>0</v>
      </c>
      <c r="O748" t="n">
        <v>0</v>
      </c>
      <c r="P748" t="n">
        <v>0</v>
      </c>
      <c r="Q748" t="n">
        <v>1</v>
      </c>
      <c r="R748" s="2" t="inlineStr">
        <is>
          <t>Dropptaggsvamp</t>
        </is>
      </c>
      <c r="S748">
        <f>HYPERLINK("https://klasma.github.io/Logging_2039/artfynd/A 31761-2021 artfynd.xlsx", "A 31761-2021")</f>
        <v/>
      </c>
      <c r="T748">
        <f>HYPERLINK("https://klasma.github.io/Logging_2039/kartor/A 31761-2021 karta.png", "A 31761-2021")</f>
        <v/>
      </c>
      <c r="V748">
        <f>HYPERLINK("https://klasma.github.io/Logging_2039/klagomål/A 31761-2021 FSC-klagomål.docx", "A 31761-2021")</f>
        <v/>
      </c>
      <c r="W748">
        <f>HYPERLINK("https://klasma.github.io/Logging_2039/klagomålsmail/A 31761-2021 FSC-klagomål mail.docx", "A 31761-2021")</f>
        <v/>
      </c>
      <c r="X748">
        <f>HYPERLINK("https://klasma.github.io/Logging_2039/tillsyn/A 31761-2021 tillsynsbegäran.docx", "A 31761-2021")</f>
        <v/>
      </c>
      <c r="Y748">
        <f>HYPERLINK("https://klasma.github.io/Logging_2039/tillsynsmail/A 31761-2021 tillsynsbegäran mail.docx", "A 31761-2021")</f>
        <v/>
      </c>
    </row>
    <row r="749" ht="15" customHeight="1">
      <c r="A749" t="inlineStr">
        <is>
          <t>A 50251-2022</t>
        </is>
      </c>
      <c r="B749" s="1" t="n">
        <v>44865</v>
      </c>
      <c r="C749" s="1" t="n">
        <v>46114</v>
      </c>
      <c r="D749" t="inlineStr">
        <is>
          <t>DALARNAS LÄN</t>
        </is>
      </c>
      <c r="E749" t="inlineStr">
        <is>
          <t>ÄLVDALEN</t>
        </is>
      </c>
      <c r="F749" t="inlineStr">
        <is>
          <t>Sveaskog</t>
        </is>
      </c>
      <c r="G749" t="n">
        <v>4.4</v>
      </c>
      <c r="H749" t="n">
        <v>0</v>
      </c>
      <c r="I749" t="n">
        <v>1</v>
      </c>
      <c r="J749" t="n">
        <v>0</v>
      </c>
      <c r="K749" t="n">
        <v>0</v>
      </c>
      <c r="L749" t="n">
        <v>0</v>
      </c>
      <c r="M749" t="n">
        <v>0</v>
      </c>
      <c r="N749" t="n">
        <v>0</v>
      </c>
      <c r="O749" t="n">
        <v>0</v>
      </c>
      <c r="P749" t="n">
        <v>0</v>
      </c>
      <c r="Q749" t="n">
        <v>1</v>
      </c>
      <c r="R749" s="2" t="inlineStr">
        <is>
          <t>Dropptaggsvamp</t>
        </is>
      </c>
      <c r="S749">
        <f>HYPERLINK("https://klasma.github.io/Logging_2039/artfynd/A 50251-2022 artfynd.xlsx", "A 50251-2022")</f>
        <v/>
      </c>
      <c r="T749">
        <f>HYPERLINK("https://klasma.github.io/Logging_2039/kartor/A 50251-2022 karta.png", "A 50251-2022")</f>
        <v/>
      </c>
      <c r="V749">
        <f>HYPERLINK("https://klasma.github.io/Logging_2039/klagomål/A 50251-2022 FSC-klagomål.docx", "A 50251-2022")</f>
        <v/>
      </c>
      <c r="W749">
        <f>HYPERLINK("https://klasma.github.io/Logging_2039/klagomålsmail/A 50251-2022 FSC-klagomål mail.docx", "A 50251-2022")</f>
        <v/>
      </c>
      <c r="X749">
        <f>HYPERLINK("https://klasma.github.io/Logging_2039/tillsyn/A 50251-2022 tillsynsbegäran.docx", "A 50251-2022")</f>
        <v/>
      </c>
      <c r="Y749">
        <f>HYPERLINK("https://klasma.github.io/Logging_2039/tillsynsmail/A 50251-2022 tillsynsbegäran mail.docx", "A 50251-2022")</f>
        <v/>
      </c>
    </row>
    <row r="750" ht="15" customHeight="1">
      <c r="A750" t="inlineStr">
        <is>
          <t>A 53915-2022</t>
        </is>
      </c>
      <c r="B750" s="1" t="n">
        <v>44880.87587962963</v>
      </c>
      <c r="C750" s="1" t="n">
        <v>46114</v>
      </c>
      <c r="D750" t="inlineStr">
        <is>
          <t>DALARNAS LÄN</t>
        </is>
      </c>
      <c r="E750" t="inlineStr">
        <is>
          <t>HEDEMORA</t>
        </is>
      </c>
      <c r="F750" t="inlineStr">
        <is>
          <t>Sveaskog</t>
        </is>
      </c>
      <c r="G750" t="n">
        <v>5.3</v>
      </c>
      <c r="H750" t="n">
        <v>1</v>
      </c>
      <c r="I750" t="n">
        <v>0</v>
      </c>
      <c r="J750" t="n">
        <v>1</v>
      </c>
      <c r="K750" t="n">
        <v>0</v>
      </c>
      <c r="L750" t="n">
        <v>0</v>
      </c>
      <c r="M750" t="n">
        <v>0</v>
      </c>
      <c r="N750" t="n">
        <v>0</v>
      </c>
      <c r="O750" t="n">
        <v>1</v>
      </c>
      <c r="P750" t="n">
        <v>0</v>
      </c>
      <c r="Q750" t="n">
        <v>1</v>
      </c>
      <c r="R750" s="2" t="inlineStr">
        <is>
          <t>Talltita</t>
        </is>
      </c>
      <c r="S750">
        <f>HYPERLINK("https://klasma.github.io/Logging_2083/artfynd/A 53915-2022 artfynd.xlsx", "A 53915-2022")</f>
        <v/>
      </c>
      <c r="T750">
        <f>HYPERLINK("https://klasma.github.io/Logging_2083/kartor/A 53915-2022 karta.png", "A 53915-2022")</f>
        <v/>
      </c>
      <c r="V750">
        <f>HYPERLINK("https://klasma.github.io/Logging_2083/klagomål/A 53915-2022 FSC-klagomål.docx", "A 53915-2022")</f>
        <v/>
      </c>
      <c r="W750">
        <f>HYPERLINK("https://klasma.github.io/Logging_2083/klagomålsmail/A 53915-2022 FSC-klagomål mail.docx", "A 53915-2022")</f>
        <v/>
      </c>
      <c r="X750">
        <f>HYPERLINK("https://klasma.github.io/Logging_2083/tillsyn/A 53915-2022 tillsynsbegäran.docx", "A 53915-2022")</f>
        <v/>
      </c>
      <c r="Y750">
        <f>HYPERLINK("https://klasma.github.io/Logging_2083/tillsynsmail/A 53915-2022 tillsynsbegäran mail.docx", "A 53915-2022")</f>
        <v/>
      </c>
      <c r="Z750">
        <f>HYPERLINK("https://klasma.github.io/Logging_2083/fåglar/A 53915-2022 prioriterade fågelarter.docx", "A 53915-2022")</f>
        <v/>
      </c>
    </row>
    <row r="751" ht="15" customHeight="1">
      <c r="A751" t="inlineStr">
        <is>
          <t>A 45995-2021</t>
        </is>
      </c>
      <c r="B751" s="1" t="n">
        <v>44441</v>
      </c>
      <c r="C751" s="1" t="n">
        <v>46114</v>
      </c>
      <c r="D751" t="inlineStr">
        <is>
          <t>DALARNAS LÄN</t>
        </is>
      </c>
      <c r="E751" t="inlineStr">
        <is>
          <t>LUDVIKA</t>
        </is>
      </c>
      <c r="G751" t="n">
        <v>1.2</v>
      </c>
      <c r="H751" t="n">
        <v>1</v>
      </c>
      <c r="I751" t="n">
        <v>0</v>
      </c>
      <c r="J751" t="n">
        <v>1</v>
      </c>
      <c r="K751" t="n">
        <v>0</v>
      </c>
      <c r="L751" t="n">
        <v>0</v>
      </c>
      <c r="M751" t="n">
        <v>0</v>
      </c>
      <c r="N751" t="n">
        <v>0</v>
      </c>
      <c r="O751" t="n">
        <v>1</v>
      </c>
      <c r="P751" t="n">
        <v>0</v>
      </c>
      <c r="Q751" t="n">
        <v>1</v>
      </c>
      <c r="R751" s="2" t="inlineStr">
        <is>
          <t>Nordfladdermus</t>
        </is>
      </c>
      <c r="S751">
        <f>HYPERLINK("https://klasma.github.io/Logging_2085/artfynd/A 45995-2021 artfynd.xlsx", "A 45995-2021")</f>
        <v/>
      </c>
      <c r="T751">
        <f>HYPERLINK("https://klasma.github.io/Logging_2085/kartor/A 45995-2021 karta.png", "A 45995-2021")</f>
        <v/>
      </c>
      <c r="V751">
        <f>HYPERLINK("https://klasma.github.io/Logging_2085/klagomål/A 45995-2021 FSC-klagomål.docx", "A 45995-2021")</f>
        <v/>
      </c>
      <c r="W751">
        <f>HYPERLINK("https://klasma.github.io/Logging_2085/klagomålsmail/A 45995-2021 FSC-klagomål mail.docx", "A 45995-2021")</f>
        <v/>
      </c>
      <c r="X751">
        <f>HYPERLINK("https://klasma.github.io/Logging_2085/tillsyn/A 45995-2021 tillsynsbegäran.docx", "A 45995-2021")</f>
        <v/>
      </c>
      <c r="Y751">
        <f>HYPERLINK("https://klasma.github.io/Logging_2085/tillsynsmail/A 45995-2021 tillsynsbegäran mail.docx", "A 45995-2021")</f>
        <v/>
      </c>
    </row>
    <row r="752" ht="15" customHeight="1">
      <c r="A752" t="inlineStr">
        <is>
          <t>A 21302-2022</t>
        </is>
      </c>
      <c r="B752" s="1" t="n">
        <v>44705</v>
      </c>
      <c r="C752" s="1" t="n">
        <v>46114</v>
      </c>
      <c r="D752" t="inlineStr">
        <is>
          <t>DALARNAS LÄN</t>
        </is>
      </c>
      <c r="E752" t="inlineStr">
        <is>
          <t>BORLÄNGE</t>
        </is>
      </c>
      <c r="G752" t="n">
        <v>0.9</v>
      </c>
      <c r="H752" t="n">
        <v>1</v>
      </c>
      <c r="I752" t="n">
        <v>0</v>
      </c>
      <c r="J752" t="n">
        <v>1</v>
      </c>
      <c r="K752" t="n">
        <v>0</v>
      </c>
      <c r="L752" t="n">
        <v>0</v>
      </c>
      <c r="M752" t="n">
        <v>0</v>
      </c>
      <c r="N752" t="n">
        <v>0</v>
      </c>
      <c r="O752" t="n">
        <v>1</v>
      </c>
      <c r="P752" t="n">
        <v>0</v>
      </c>
      <c r="Q752" t="n">
        <v>1</v>
      </c>
      <c r="R752" s="2" t="inlineStr">
        <is>
          <t>Brun gräsfjäril</t>
        </is>
      </c>
      <c r="S752">
        <f>HYPERLINK("https://klasma.github.io/Logging_2081/artfynd/A 21302-2022 artfynd.xlsx", "A 21302-2022")</f>
        <v/>
      </c>
      <c r="T752">
        <f>HYPERLINK("https://klasma.github.io/Logging_2081/kartor/A 21302-2022 karta.png", "A 21302-2022")</f>
        <v/>
      </c>
      <c r="V752">
        <f>HYPERLINK("https://klasma.github.io/Logging_2081/klagomål/A 21302-2022 FSC-klagomål.docx", "A 21302-2022")</f>
        <v/>
      </c>
      <c r="W752">
        <f>HYPERLINK("https://klasma.github.io/Logging_2081/klagomålsmail/A 21302-2022 FSC-klagomål mail.docx", "A 21302-2022")</f>
        <v/>
      </c>
      <c r="X752">
        <f>HYPERLINK("https://klasma.github.io/Logging_2081/tillsyn/A 21302-2022 tillsynsbegäran.docx", "A 21302-2022")</f>
        <v/>
      </c>
      <c r="Y752">
        <f>HYPERLINK("https://klasma.github.io/Logging_2081/tillsynsmail/A 21302-2022 tillsynsbegäran mail.docx", "A 21302-2022")</f>
        <v/>
      </c>
    </row>
    <row r="753" ht="15" customHeight="1">
      <c r="A753" t="inlineStr">
        <is>
          <t>A 30971-2021</t>
        </is>
      </c>
      <c r="B753" s="1" t="n">
        <v>44365.90097222223</v>
      </c>
      <c r="C753" s="1" t="n">
        <v>46114</v>
      </c>
      <c r="D753" t="inlineStr">
        <is>
          <t>DALARNAS LÄN</t>
        </is>
      </c>
      <c r="E753" t="inlineStr">
        <is>
          <t>ÄLVDALEN</t>
        </is>
      </c>
      <c r="F753" t="inlineStr">
        <is>
          <t>Sveaskog</t>
        </is>
      </c>
      <c r="G753" t="n">
        <v>1.9</v>
      </c>
      <c r="H753" t="n">
        <v>0</v>
      </c>
      <c r="I753" t="n">
        <v>1</v>
      </c>
      <c r="J753" t="n">
        <v>0</v>
      </c>
      <c r="K753" t="n">
        <v>0</v>
      </c>
      <c r="L753" t="n">
        <v>0</v>
      </c>
      <c r="M753" t="n">
        <v>0</v>
      </c>
      <c r="N753" t="n">
        <v>0</v>
      </c>
      <c r="O753" t="n">
        <v>0</v>
      </c>
      <c r="P753" t="n">
        <v>0</v>
      </c>
      <c r="Q753" t="n">
        <v>1</v>
      </c>
      <c r="R753" s="2" t="inlineStr">
        <is>
          <t>Dropptaggsvamp</t>
        </is>
      </c>
      <c r="S753">
        <f>HYPERLINK("https://klasma.github.io/Logging_2039/artfynd/A 30971-2021 artfynd.xlsx", "A 30971-2021")</f>
        <v/>
      </c>
      <c r="T753">
        <f>HYPERLINK("https://klasma.github.io/Logging_2039/kartor/A 30971-2021 karta.png", "A 30971-2021")</f>
        <v/>
      </c>
      <c r="V753">
        <f>HYPERLINK("https://klasma.github.io/Logging_2039/klagomål/A 30971-2021 FSC-klagomål.docx", "A 30971-2021")</f>
        <v/>
      </c>
      <c r="W753">
        <f>HYPERLINK("https://klasma.github.io/Logging_2039/klagomålsmail/A 30971-2021 FSC-klagomål mail.docx", "A 30971-2021")</f>
        <v/>
      </c>
      <c r="X753">
        <f>HYPERLINK("https://klasma.github.io/Logging_2039/tillsyn/A 30971-2021 tillsynsbegäran.docx", "A 30971-2021")</f>
        <v/>
      </c>
      <c r="Y753">
        <f>HYPERLINK("https://klasma.github.io/Logging_2039/tillsynsmail/A 30971-2021 tillsynsbegäran mail.docx", "A 30971-2021")</f>
        <v/>
      </c>
    </row>
    <row r="754" ht="15" customHeight="1">
      <c r="A754" t="inlineStr">
        <is>
          <t>A 40498-2021</t>
        </is>
      </c>
      <c r="B754" s="1" t="n">
        <v>44420</v>
      </c>
      <c r="C754" s="1" t="n">
        <v>46114</v>
      </c>
      <c r="D754" t="inlineStr">
        <is>
          <t>DALARNAS LÄN</t>
        </is>
      </c>
      <c r="E754" t="inlineStr">
        <is>
          <t>RÄTTVIK</t>
        </is>
      </c>
      <c r="G754" t="n">
        <v>1.2</v>
      </c>
      <c r="H754" t="n">
        <v>1</v>
      </c>
      <c r="I754" t="n">
        <v>0</v>
      </c>
      <c r="J754" t="n">
        <v>0</v>
      </c>
      <c r="K754" t="n">
        <v>0</v>
      </c>
      <c r="L754" t="n">
        <v>0</v>
      </c>
      <c r="M754" t="n">
        <v>0</v>
      </c>
      <c r="N754" t="n">
        <v>0</v>
      </c>
      <c r="O754" t="n">
        <v>0</v>
      </c>
      <c r="P754" t="n">
        <v>0</v>
      </c>
      <c r="Q754" t="n">
        <v>1</v>
      </c>
      <c r="R754" s="2" t="inlineStr">
        <is>
          <t>Fläcknycklar</t>
        </is>
      </c>
      <c r="S754">
        <f>HYPERLINK("https://klasma.github.io/Logging_2031/artfynd/A 40498-2021 artfynd.xlsx", "A 40498-2021")</f>
        <v/>
      </c>
      <c r="T754">
        <f>HYPERLINK("https://klasma.github.io/Logging_2031/kartor/A 40498-2021 karta.png", "A 40498-2021")</f>
        <v/>
      </c>
      <c r="V754">
        <f>HYPERLINK("https://klasma.github.io/Logging_2031/klagomål/A 40498-2021 FSC-klagomål.docx", "A 40498-2021")</f>
        <v/>
      </c>
      <c r="W754">
        <f>HYPERLINK("https://klasma.github.io/Logging_2031/klagomålsmail/A 40498-2021 FSC-klagomål mail.docx", "A 40498-2021")</f>
        <v/>
      </c>
      <c r="X754">
        <f>HYPERLINK("https://klasma.github.io/Logging_2031/tillsyn/A 40498-2021 tillsynsbegäran.docx", "A 40498-2021")</f>
        <v/>
      </c>
      <c r="Y754">
        <f>HYPERLINK("https://klasma.github.io/Logging_2031/tillsynsmail/A 40498-2021 tillsynsbegäran mail.docx", "A 40498-2021")</f>
        <v/>
      </c>
    </row>
    <row r="755" ht="15" customHeight="1">
      <c r="A755" t="inlineStr">
        <is>
          <t>A 47386-2021</t>
        </is>
      </c>
      <c r="B755" s="1" t="n">
        <v>44442</v>
      </c>
      <c r="C755" s="1" t="n">
        <v>46114</v>
      </c>
      <c r="D755" t="inlineStr">
        <is>
          <t>DALARNAS LÄN</t>
        </is>
      </c>
      <c r="E755" t="inlineStr">
        <is>
          <t>MALUNG-SÄLEN</t>
        </is>
      </c>
      <c r="G755" t="n">
        <v>4.3</v>
      </c>
      <c r="H755" t="n">
        <v>1</v>
      </c>
      <c r="I755" t="n">
        <v>0</v>
      </c>
      <c r="J755" t="n">
        <v>0</v>
      </c>
      <c r="K755" t="n">
        <v>0</v>
      </c>
      <c r="L755" t="n">
        <v>0</v>
      </c>
      <c r="M755" t="n">
        <v>0</v>
      </c>
      <c r="N755" t="n">
        <v>0</v>
      </c>
      <c r="O755" t="n">
        <v>0</v>
      </c>
      <c r="P755" t="n">
        <v>0</v>
      </c>
      <c r="Q755" t="n">
        <v>1</v>
      </c>
      <c r="R755" s="2" t="inlineStr">
        <is>
          <t>Bivråk</t>
        </is>
      </c>
      <c r="S755">
        <f>HYPERLINK("https://klasma.github.io/Logging_2023/artfynd/A 47386-2021 artfynd.xlsx", "A 47386-2021")</f>
        <v/>
      </c>
      <c r="T755">
        <f>HYPERLINK("https://klasma.github.io/Logging_2023/kartor/A 47386-2021 karta.png", "A 47386-2021")</f>
        <v/>
      </c>
      <c r="V755">
        <f>HYPERLINK("https://klasma.github.io/Logging_2023/klagomål/A 47386-2021 FSC-klagomål.docx", "A 47386-2021")</f>
        <v/>
      </c>
      <c r="W755">
        <f>HYPERLINK("https://klasma.github.io/Logging_2023/klagomålsmail/A 47386-2021 FSC-klagomål mail.docx", "A 47386-2021")</f>
        <v/>
      </c>
      <c r="X755">
        <f>HYPERLINK("https://klasma.github.io/Logging_2023/tillsyn/A 47386-2021 tillsynsbegäran.docx", "A 47386-2021")</f>
        <v/>
      </c>
      <c r="Y755">
        <f>HYPERLINK("https://klasma.github.io/Logging_2023/tillsynsmail/A 47386-2021 tillsynsbegäran mail.docx", "A 47386-2021")</f>
        <v/>
      </c>
      <c r="Z755">
        <f>HYPERLINK("https://klasma.github.io/Logging_2023/fåglar/A 47386-2021 prioriterade fågelarter.docx", "A 47386-2021")</f>
        <v/>
      </c>
    </row>
    <row r="756" ht="15" customHeight="1">
      <c r="A756" t="inlineStr">
        <is>
          <t>A 65500-2021</t>
        </is>
      </c>
      <c r="B756" s="1" t="n">
        <v>44516</v>
      </c>
      <c r="C756" s="1" t="n">
        <v>46114</v>
      </c>
      <c r="D756" t="inlineStr">
        <is>
          <t>DALARNAS LÄN</t>
        </is>
      </c>
      <c r="E756" t="inlineStr">
        <is>
          <t>ÄLVDALEN</t>
        </is>
      </c>
      <c r="F756" t="inlineStr">
        <is>
          <t>Sveaskog</t>
        </is>
      </c>
      <c r="G756" t="n">
        <v>10.4</v>
      </c>
      <c r="H756" t="n">
        <v>1</v>
      </c>
      <c r="I756" t="n">
        <v>0</v>
      </c>
      <c r="J756" t="n">
        <v>1</v>
      </c>
      <c r="K756" t="n">
        <v>0</v>
      </c>
      <c r="L756" t="n">
        <v>0</v>
      </c>
      <c r="M756" t="n">
        <v>0</v>
      </c>
      <c r="N756" t="n">
        <v>0</v>
      </c>
      <c r="O756" t="n">
        <v>1</v>
      </c>
      <c r="P756" t="n">
        <v>0</v>
      </c>
      <c r="Q756" t="n">
        <v>1</v>
      </c>
      <c r="R756" s="2" t="inlineStr">
        <is>
          <t>Varglav</t>
        </is>
      </c>
      <c r="S756">
        <f>HYPERLINK("https://klasma.github.io/Logging_2039/artfynd/A 65500-2021 artfynd.xlsx", "A 65500-2021")</f>
        <v/>
      </c>
      <c r="T756">
        <f>HYPERLINK("https://klasma.github.io/Logging_2039/kartor/A 65500-2021 karta.png", "A 65500-2021")</f>
        <v/>
      </c>
      <c r="V756">
        <f>HYPERLINK("https://klasma.github.io/Logging_2039/klagomål/A 65500-2021 FSC-klagomål.docx", "A 65500-2021")</f>
        <v/>
      </c>
      <c r="W756">
        <f>HYPERLINK("https://klasma.github.io/Logging_2039/klagomålsmail/A 65500-2021 FSC-klagomål mail.docx", "A 65500-2021")</f>
        <v/>
      </c>
      <c r="X756">
        <f>HYPERLINK("https://klasma.github.io/Logging_2039/tillsyn/A 65500-2021 tillsynsbegäran.docx", "A 65500-2021")</f>
        <v/>
      </c>
      <c r="Y756">
        <f>HYPERLINK("https://klasma.github.io/Logging_2039/tillsynsmail/A 65500-2021 tillsynsbegäran mail.docx", "A 65500-2021")</f>
        <v/>
      </c>
    </row>
    <row r="757" ht="15" customHeight="1">
      <c r="A757" t="inlineStr">
        <is>
          <t>A 22759-2021</t>
        </is>
      </c>
      <c r="B757" s="1" t="n">
        <v>44327.86341435185</v>
      </c>
      <c r="C757" s="1" t="n">
        <v>46114</v>
      </c>
      <c r="D757" t="inlineStr">
        <is>
          <t>DALARNAS LÄN</t>
        </is>
      </c>
      <c r="E757" t="inlineStr">
        <is>
          <t>ÄLVDALEN</t>
        </is>
      </c>
      <c r="F757" t="inlineStr">
        <is>
          <t>Sveaskog</t>
        </is>
      </c>
      <c r="G757" t="n">
        <v>1.8</v>
      </c>
      <c r="H757" t="n">
        <v>0</v>
      </c>
      <c r="I757" t="n">
        <v>1</v>
      </c>
      <c r="J757" t="n">
        <v>0</v>
      </c>
      <c r="K757" t="n">
        <v>0</v>
      </c>
      <c r="L757" t="n">
        <v>0</v>
      </c>
      <c r="M757" t="n">
        <v>0</v>
      </c>
      <c r="N757" t="n">
        <v>0</v>
      </c>
      <c r="O757" t="n">
        <v>0</v>
      </c>
      <c r="P757" t="n">
        <v>0</v>
      </c>
      <c r="Q757" t="n">
        <v>1</v>
      </c>
      <c r="R757" s="2" t="inlineStr">
        <is>
          <t>Dropptaggsvamp</t>
        </is>
      </c>
      <c r="S757">
        <f>HYPERLINK("https://klasma.github.io/Logging_2039/artfynd/A 22759-2021 artfynd.xlsx", "A 22759-2021")</f>
        <v/>
      </c>
      <c r="T757">
        <f>HYPERLINK("https://klasma.github.io/Logging_2039/kartor/A 22759-2021 karta.png", "A 22759-2021")</f>
        <v/>
      </c>
      <c r="V757">
        <f>HYPERLINK("https://klasma.github.io/Logging_2039/klagomål/A 22759-2021 FSC-klagomål.docx", "A 22759-2021")</f>
        <v/>
      </c>
      <c r="W757">
        <f>HYPERLINK("https://klasma.github.io/Logging_2039/klagomålsmail/A 22759-2021 FSC-klagomål mail.docx", "A 22759-2021")</f>
        <v/>
      </c>
      <c r="X757">
        <f>HYPERLINK("https://klasma.github.io/Logging_2039/tillsyn/A 22759-2021 tillsynsbegäran.docx", "A 22759-2021")</f>
        <v/>
      </c>
      <c r="Y757">
        <f>HYPERLINK("https://klasma.github.io/Logging_2039/tillsynsmail/A 22759-2021 tillsynsbegäran mail.docx", "A 22759-2021")</f>
        <v/>
      </c>
    </row>
    <row r="758" ht="15" customHeight="1">
      <c r="A758" t="inlineStr">
        <is>
          <t>A 22309-2021</t>
        </is>
      </c>
      <c r="B758" s="1" t="n">
        <v>44326</v>
      </c>
      <c r="C758" s="1" t="n">
        <v>46114</v>
      </c>
      <c r="D758" t="inlineStr">
        <is>
          <t>DALARNAS LÄN</t>
        </is>
      </c>
      <c r="E758" t="inlineStr">
        <is>
          <t>GAGNEF</t>
        </is>
      </c>
      <c r="G758" t="n">
        <v>0.6</v>
      </c>
      <c r="H758" t="n">
        <v>1</v>
      </c>
      <c r="I758" t="n">
        <v>0</v>
      </c>
      <c r="J758" t="n">
        <v>1</v>
      </c>
      <c r="K758" t="n">
        <v>0</v>
      </c>
      <c r="L758" t="n">
        <v>0</v>
      </c>
      <c r="M758" t="n">
        <v>0</v>
      </c>
      <c r="N758" t="n">
        <v>0</v>
      </c>
      <c r="O758" t="n">
        <v>1</v>
      </c>
      <c r="P758" t="n">
        <v>0</v>
      </c>
      <c r="Q758" t="n">
        <v>1</v>
      </c>
      <c r="R758" s="2" t="inlineStr">
        <is>
          <t>Järpe</t>
        </is>
      </c>
      <c r="S758">
        <f>HYPERLINK("https://klasma.github.io/Logging_2026/artfynd/A 22309-2021 artfynd.xlsx", "A 22309-2021")</f>
        <v/>
      </c>
      <c r="T758">
        <f>HYPERLINK("https://klasma.github.io/Logging_2026/kartor/A 22309-2021 karta.png", "A 22309-2021")</f>
        <v/>
      </c>
      <c r="V758">
        <f>HYPERLINK("https://klasma.github.io/Logging_2026/klagomål/A 22309-2021 FSC-klagomål.docx", "A 22309-2021")</f>
        <v/>
      </c>
      <c r="W758">
        <f>HYPERLINK("https://klasma.github.io/Logging_2026/klagomålsmail/A 22309-2021 FSC-klagomål mail.docx", "A 22309-2021")</f>
        <v/>
      </c>
      <c r="X758">
        <f>HYPERLINK("https://klasma.github.io/Logging_2026/tillsyn/A 22309-2021 tillsynsbegäran.docx", "A 22309-2021")</f>
        <v/>
      </c>
      <c r="Y758">
        <f>HYPERLINK("https://klasma.github.io/Logging_2026/tillsynsmail/A 22309-2021 tillsynsbegäran mail.docx", "A 22309-2021")</f>
        <v/>
      </c>
      <c r="Z758">
        <f>HYPERLINK("https://klasma.github.io/Logging_2026/fåglar/A 22309-2021 prioriterade fågelarter.docx", "A 22309-2021")</f>
        <v/>
      </c>
    </row>
    <row r="759" ht="15" customHeight="1">
      <c r="A759" t="inlineStr">
        <is>
          <t>A 54699-2021</t>
        </is>
      </c>
      <c r="B759" s="1" t="n">
        <v>44473</v>
      </c>
      <c r="C759" s="1" t="n">
        <v>46114</v>
      </c>
      <c r="D759" t="inlineStr">
        <is>
          <t>DALARNAS LÄN</t>
        </is>
      </c>
      <c r="E759" t="inlineStr">
        <is>
          <t>BORLÄNGE</t>
        </is>
      </c>
      <c r="F759" t="inlineStr">
        <is>
          <t>Naturvårdsverket</t>
        </is>
      </c>
      <c r="G759" t="n">
        <v>2.5</v>
      </c>
      <c r="H759" t="n">
        <v>1</v>
      </c>
      <c r="I759" t="n">
        <v>0</v>
      </c>
      <c r="J759" t="n">
        <v>0</v>
      </c>
      <c r="K759" t="n">
        <v>1</v>
      </c>
      <c r="L759" t="n">
        <v>0</v>
      </c>
      <c r="M759" t="n">
        <v>0</v>
      </c>
      <c r="N759" t="n">
        <v>0</v>
      </c>
      <c r="O759" t="n">
        <v>1</v>
      </c>
      <c r="P759" t="n">
        <v>1</v>
      </c>
      <c r="Q759" t="n">
        <v>1</v>
      </c>
      <c r="R759" s="2" t="inlineStr">
        <is>
          <t>Knärot</t>
        </is>
      </c>
      <c r="S759">
        <f>HYPERLINK("https://klasma.github.io/Logging_2081/artfynd/A 54699-2021 artfynd.xlsx", "A 54699-2021")</f>
        <v/>
      </c>
      <c r="T759">
        <f>HYPERLINK("https://klasma.github.io/Logging_2081/kartor/A 54699-2021 karta.png", "A 54699-2021")</f>
        <v/>
      </c>
      <c r="U759">
        <f>HYPERLINK("https://klasma.github.io/Logging_2081/knärot/A 54699-2021 karta knärot.png", "A 54699-2021")</f>
        <v/>
      </c>
      <c r="V759">
        <f>HYPERLINK("https://klasma.github.io/Logging_2081/klagomål/A 54699-2021 FSC-klagomål.docx", "A 54699-2021")</f>
        <v/>
      </c>
      <c r="W759">
        <f>HYPERLINK("https://klasma.github.io/Logging_2081/klagomålsmail/A 54699-2021 FSC-klagomål mail.docx", "A 54699-2021")</f>
        <v/>
      </c>
      <c r="X759">
        <f>HYPERLINK("https://klasma.github.io/Logging_2081/tillsyn/A 54699-2021 tillsynsbegäran.docx", "A 54699-2021")</f>
        <v/>
      </c>
      <c r="Y759">
        <f>HYPERLINK("https://klasma.github.io/Logging_2081/tillsynsmail/A 54699-2021 tillsynsbegäran mail.docx", "A 54699-2021")</f>
        <v/>
      </c>
    </row>
    <row r="760" ht="15" customHeight="1">
      <c r="A760" t="inlineStr">
        <is>
          <t>A 20167-2022</t>
        </is>
      </c>
      <c r="B760" s="1" t="n">
        <v>44698</v>
      </c>
      <c r="C760" s="1" t="n">
        <v>46114</v>
      </c>
      <c r="D760" t="inlineStr">
        <is>
          <t>DALARNAS LÄN</t>
        </is>
      </c>
      <c r="E760" t="inlineStr">
        <is>
          <t>FALUN</t>
        </is>
      </c>
      <c r="F760" t="inlineStr">
        <is>
          <t>Bergvik skog väst AB</t>
        </is>
      </c>
      <c r="G760" t="n">
        <v>1.1</v>
      </c>
      <c r="H760" t="n">
        <v>0</v>
      </c>
      <c r="I760" t="n">
        <v>0</v>
      </c>
      <c r="J760" t="n">
        <v>1</v>
      </c>
      <c r="K760" t="n">
        <v>0</v>
      </c>
      <c r="L760" t="n">
        <v>0</v>
      </c>
      <c r="M760" t="n">
        <v>0</v>
      </c>
      <c r="N760" t="n">
        <v>0</v>
      </c>
      <c r="O760" t="n">
        <v>1</v>
      </c>
      <c r="P760" t="n">
        <v>0</v>
      </c>
      <c r="Q760" t="n">
        <v>1</v>
      </c>
      <c r="R760" s="2" t="inlineStr">
        <is>
          <t>Vedtrappmossa</t>
        </is>
      </c>
      <c r="S760">
        <f>HYPERLINK("https://klasma.github.io/Logging_2080/artfynd/A 20167-2022 artfynd.xlsx", "A 20167-2022")</f>
        <v/>
      </c>
      <c r="T760">
        <f>HYPERLINK("https://klasma.github.io/Logging_2080/kartor/A 20167-2022 karta.png", "A 20167-2022")</f>
        <v/>
      </c>
      <c r="V760">
        <f>HYPERLINK("https://klasma.github.io/Logging_2080/klagomål/A 20167-2022 FSC-klagomål.docx", "A 20167-2022")</f>
        <v/>
      </c>
      <c r="W760">
        <f>HYPERLINK("https://klasma.github.io/Logging_2080/klagomålsmail/A 20167-2022 FSC-klagomål mail.docx", "A 20167-2022")</f>
        <v/>
      </c>
      <c r="X760">
        <f>HYPERLINK("https://klasma.github.io/Logging_2080/tillsyn/A 20167-2022 tillsynsbegäran.docx", "A 20167-2022")</f>
        <v/>
      </c>
      <c r="Y760">
        <f>HYPERLINK("https://klasma.github.io/Logging_2080/tillsynsmail/A 20167-2022 tillsynsbegäran mail.docx", "A 20167-2022")</f>
        <v/>
      </c>
    </row>
    <row r="761" ht="15" customHeight="1">
      <c r="A761" t="inlineStr">
        <is>
          <t>A 11560-2022</t>
        </is>
      </c>
      <c r="B761" s="1" t="n">
        <v>44631</v>
      </c>
      <c r="C761" s="1" t="n">
        <v>46114</v>
      </c>
      <c r="D761" t="inlineStr">
        <is>
          <t>DALARNAS LÄN</t>
        </is>
      </c>
      <c r="E761" t="inlineStr">
        <is>
          <t>MALUNG-SÄLEN</t>
        </is>
      </c>
      <c r="G761" t="n">
        <v>7.4</v>
      </c>
      <c r="H761" t="n">
        <v>0</v>
      </c>
      <c r="I761" t="n">
        <v>0</v>
      </c>
      <c r="J761" t="n">
        <v>1</v>
      </c>
      <c r="K761" t="n">
        <v>0</v>
      </c>
      <c r="L761" t="n">
        <v>0</v>
      </c>
      <c r="M761" t="n">
        <v>0</v>
      </c>
      <c r="N761" t="n">
        <v>0</v>
      </c>
      <c r="O761" t="n">
        <v>1</v>
      </c>
      <c r="P761" t="n">
        <v>0</v>
      </c>
      <c r="Q761" t="n">
        <v>1</v>
      </c>
      <c r="R761" s="2" t="inlineStr">
        <is>
          <t>Blå taggsvamp</t>
        </is>
      </c>
      <c r="S761">
        <f>HYPERLINK("https://klasma.github.io/Logging_2023/artfynd/A 11560-2022 artfynd.xlsx", "A 11560-2022")</f>
        <v/>
      </c>
      <c r="T761">
        <f>HYPERLINK("https://klasma.github.io/Logging_2023/kartor/A 11560-2022 karta.png", "A 11560-2022")</f>
        <v/>
      </c>
      <c r="V761">
        <f>HYPERLINK("https://klasma.github.io/Logging_2023/klagomål/A 11560-2022 FSC-klagomål.docx", "A 11560-2022")</f>
        <v/>
      </c>
      <c r="W761">
        <f>HYPERLINK("https://klasma.github.io/Logging_2023/klagomålsmail/A 11560-2022 FSC-klagomål mail.docx", "A 11560-2022")</f>
        <v/>
      </c>
      <c r="X761">
        <f>HYPERLINK("https://klasma.github.io/Logging_2023/tillsyn/A 11560-2022 tillsynsbegäran.docx", "A 11560-2022")</f>
        <v/>
      </c>
      <c r="Y761">
        <f>HYPERLINK("https://klasma.github.io/Logging_2023/tillsynsmail/A 11560-2022 tillsynsbegäran mail.docx", "A 11560-2022")</f>
        <v/>
      </c>
    </row>
    <row r="762" ht="15" customHeight="1">
      <c r="A762" t="inlineStr">
        <is>
          <t>A 46740-2022</t>
        </is>
      </c>
      <c r="B762" s="1" t="n">
        <v>44851</v>
      </c>
      <c r="C762" s="1" t="n">
        <v>46114</v>
      </c>
      <c r="D762" t="inlineStr">
        <is>
          <t>DALARNAS LÄN</t>
        </is>
      </c>
      <c r="E762" t="inlineStr">
        <is>
          <t>FALUN</t>
        </is>
      </c>
      <c r="G762" t="n">
        <v>0.4</v>
      </c>
      <c r="H762" t="n">
        <v>1</v>
      </c>
      <c r="I762" t="n">
        <v>0</v>
      </c>
      <c r="J762" t="n">
        <v>0</v>
      </c>
      <c r="K762" t="n">
        <v>0</v>
      </c>
      <c r="L762" t="n">
        <v>0</v>
      </c>
      <c r="M762" t="n">
        <v>0</v>
      </c>
      <c r="N762" t="n">
        <v>0</v>
      </c>
      <c r="O762" t="n">
        <v>0</v>
      </c>
      <c r="P762" t="n">
        <v>0</v>
      </c>
      <c r="Q762" t="n">
        <v>1</v>
      </c>
      <c r="R762" s="2" t="inlineStr">
        <is>
          <t>Pärluggla</t>
        </is>
      </c>
      <c r="S762">
        <f>HYPERLINK("https://klasma.github.io/Logging_2080/artfynd/A 46740-2022 artfynd.xlsx", "A 46740-2022")</f>
        <v/>
      </c>
      <c r="T762">
        <f>HYPERLINK("https://klasma.github.io/Logging_2080/kartor/A 46740-2022 karta.png", "A 46740-2022")</f>
        <v/>
      </c>
      <c r="V762">
        <f>HYPERLINK("https://klasma.github.io/Logging_2080/klagomål/A 46740-2022 FSC-klagomål.docx", "A 46740-2022")</f>
        <v/>
      </c>
      <c r="W762">
        <f>HYPERLINK("https://klasma.github.io/Logging_2080/klagomålsmail/A 46740-2022 FSC-klagomål mail.docx", "A 46740-2022")</f>
        <v/>
      </c>
      <c r="X762">
        <f>HYPERLINK("https://klasma.github.io/Logging_2080/tillsyn/A 46740-2022 tillsynsbegäran.docx", "A 46740-2022")</f>
        <v/>
      </c>
      <c r="Y762">
        <f>HYPERLINK("https://klasma.github.io/Logging_2080/tillsynsmail/A 46740-2022 tillsynsbegäran mail.docx", "A 46740-2022")</f>
        <v/>
      </c>
      <c r="Z762">
        <f>HYPERLINK("https://klasma.github.io/Logging_2080/fåglar/A 46740-2022 prioriterade fågelarter.docx", "A 46740-2022")</f>
        <v/>
      </c>
    </row>
    <row r="763" ht="15" customHeight="1">
      <c r="A763" t="inlineStr">
        <is>
          <t>A 41718-2021</t>
        </is>
      </c>
      <c r="B763" s="1" t="n">
        <v>44425</v>
      </c>
      <c r="C763" s="1" t="n">
        <v>46114</v>
      </c>
      <c r="D763" t="inlineStr">
        <is>
          <t>DALARNAS LÄN</t>
        </is>
      </c>
      <c r="E763" t="inlineStr">
        <is>
          <t>LEKSAND</t>
        </is>
      </c>
      <c r="F763" t="inlineStr">
        <is>
          <t>Bergvik skog väst AB</t>
        </is>
      </c>
      <c r="G763" t="n">
        <v>5.7</v>
      </c>
      <c r="H763" t="n">
        <v>0</v>
      </c>
      <c r="I763" t="n">
        <v>0</v>
      </c>
      <c r="J763" t="n">
        <v>1</v>
      </c>
      <c r="K763" t="n">
        <v>0</v>
      </c>
      <c r="L763" t="n">
        <v>0</v>
      </c>
      <c r="M763" t="n">
        <v>0</v>
      </c>
      <c r="N763" t="n">
        <v>0</v>
      </c>
      <c r="O763" t="n">
        <v>1</v>
      </c>
      <c r="P763" t="n">
        <v>0</v>
      </c>
      <c r="Q763" t="n">
        <v>1</v>
      </c>
      <c r="R763" s="2" t="inlineStr">
        <is>
          <t>Garnlav</t>
        </is>
      </c>
      <c r="S763">
        <f>HYPERLINK("https://klasma.github.io/Logging_2029/artfynd/A 41718-2021 artfynd.xlsx", "A 41718-2021")</f>
        <v/>
      </c>
      <c r="T763">
        <f>HYPERLINK("https://klasma.github.io/Logging_2029/kartor/A 41718-2021 karta.png", "A 41718-2021")</f>
        <v/>
      </c>
      <c r="V763">
        <f>HYPERLINK("https://klasma.github.io/Logging_2029/klagomål/A 41718-2021 FSC-klagomål.docx", "A 41718-2021")</f>
        <v/>
      </c>
      <c r="W763">
        <f>HYPERLINK("https://klasma.github.io/Logging_2029/klagomålsmail/A 41718-2021 FSC-klagomål mail.docx", "A 41718-2021")</f>
        <v/>
      </c>
      <c r="X763">
        <f>HYPERLINK("https://klasma.github.io/Logging_2029/tillsyn/A 41718-2021 tillsynsbegäran.docx", "A 41718-2021")</f>
        <v/>
      </c>
      <c r="Y763">
        <f>HYPERLINK("https://klasma.github.io/Logging_2029/tillsynsmail/A 41718-2021 tillsynsbegäran mail.docx", "A 41718-2021")</f>
        <v/>
      </c>
    </row>
    <row r="764" ht="15" customHeight="1">
      <c r="A764" t="inlineStr">
        <is>
          <t>A 34099-2021</t>
        </is>
      </c>
      <c r="B764" s="1" t="n">
        <v>44379</v>
      </c>
      <c r="C764" s="1" t="n">
        <v>46114</v>
      </c>
      <c r="D764" t="inlineStr">
        <is>
          <t>DALARNAS LÄN</t>
        </is>
      </c>
      <c r="E764" t="inlineStr">
        <is>
          <t>ÄLVDALEN</t>
        </is>
      </c>
      <c r="F764" t="inlineStr">
        <is>
          <t>Sveaskog</t>
        </is>
      </c>
      <c r="G764" t="n">
        <v>9.4</v>
      </c>
      <c r="H764" t="n">
        <v>1</v>
      </c>
      <c r="I764" t="n">
        <v>0</v>
      </c>
      <c r="J764" t="n">
        <v>1</v>
      </c>
      <c r="K764" t="n">
        <v>0</v>
      </c>
      <c r="L764" t="n">
        <v>0</v>
      </c>
      <c r="M764" t="n">
        <v>0</v>
      </c>
      <c r="N764" t="n">
        <v>0</v>
      </c>
      <c r="O764" t="n">
        <v>1</v>
      </c>
      <c r="P764" t="n">
        <v>0</v>
      </c>
      <c r="Q764" t="n">
        <v>1</v>
      </c>
      <c r="R764" s="2" t="inlineStr">
        <is>
          <t>Varglav</t>
        </is>
      </c>
      <c r="S764">
        <f>HYPERLINK("https://klasma.github.io/Logging_2039/artfynd/A 34099-2021 artfynd.xlsx", "A 34099-2021")</f>
        <v/>
      </c>
      <c r="T764">
        <f>HYPERLINK("https://klasma.github.io/Logging_2039/kartor/A 34099-2021 karta.png", "A 34099-2021")</f>
        <v/>
      </c>
      <c r="V764">
        <f>HYPERLINK("https://klasma.github.io/Logging_2039/klagomål/A 34099-2021 FSC-klagomål.docx", "A 34099-2021")</f>
        <v/>
      </c>
      <c r="W764">
        <f>HYPERLINK("https://klasma.github.io/Logging_2039/klagomålsmail/A 34099-2021 FSC-klagomål mail.docx", "A 34099-2021")</f>
        <v/>
      </c>
      <c r="X764">
        <f>HYPERLINK("https://klasma.github.io/Logging_2039/tillsyn/A 34099-2021 tillsynsbegäran.docx", "A 34099-2021")</f>
        <v/>
      </c>
      <c r="Y764">
        <f>HYPERLINK("https://klasma.github.io/Logging_2039/tillsynsmail/A 34099-2021 tillsynsbegäran mail.docx", "A 34099-2021")</f>
        <v/>
      </c>
    </row>
    <row r="765" ht="15" customHeight="1">
      <c r="A765" t="inlineStr">
        <is>
          <t>A 45205-2021</t>
        </is>
      </c>
      <c r="B765" s="1" t="n">
        <v>44439</v>
      </c>
      <c r="C765" s="1" t="n">
        <v>46114</v>
      </c>
      <c r="D765" t="inlineStr">
        <is>
          <t>DALARNAS LÄN</t>
        </is>
      </c>
      <c r="E765" t="inlineStr">
        <is>
          <t>VANSBRO</t>
        </is>
      </c>
      <c r="G765" t="n">
        <v>1.5</v>
      </c>
      <c r="H765" t="n">
        <v>1</v>
      </c>
      <c r="I765" t="n">
        <v>0</v>
      </c>
      <c r="J765" t="n">
        <v>0</v>
      </c>
      <c r="K765" t="n">
        <v>0</v>
      </c>
      <c r="L765" t="n">
        <v>0</v>
      </c>
      <c r="M765" t="n">
        <v>0</v>
      </c>
      <c r="N765" t="n">
        <v>0</v>
      </c>
      <c r="O765" t="n">
        <v>0</v>
      </c>
      <c r="P765" t="n">
        <v>0</v>
      </c>
      <c r="Q765" t="n">
        <v>1</v>
      </c>
      <c r="R765" s="2" t="inlineStr">
        <is>
          <t>Fläcknycklar</t>
        </is>
      </c>
      <c r="S765">
        <f>HYPERLINK("https://klasma.github.io/Logging_2021/artfynd/A 45205-2021 artfynd.xlsx", "A 45205-2021")</f>
        <v/>
      </c>
      <c r="T765">
        <f>HYPERLINK("https://klasma.github.io/Logging_2021/kartor/A 45205-2021 karta.png", "A 45205-2021")</f>
        <v/>
      </c>
      <c r="V765">
        <f>HYPERLINK("https://klasma.github.io/Logging_2021/klagomål/A 45205-2021 FSC-klagomål.docx", "A 45205-2021")</f>
        <v/>
      </c>
      <c r="W765">
        <f>HYPERLINK("https://klasma.github.io/Logging_2021/klagomålsmail/A 45205-2021 FSC-klagomål mail.docx", "A 45205-2021")</f>
        <v/>
      </c>
      <c r="X765">
        <f>HYPERLINK("https://klasma.github.io/Logging_2021/tillsyn/A 45205-2021 tillsynsbegäran.docx", "A 45205-2021")</f>
        <v/>
      </c>
      <c r="Y765">
        <f>HYPERLINK("https://klasma.github.io/Logging_2021/tillsynsmail/A 45205-2021 tillsynsbegäran mail.docx", "A 45205-2021")</f>
        <v/>
      </c>
    </row>
    <row r="766" ht="15" customHeight="1">
      <c r="A766" t="inlineStr">
        <is>
          <t>A 50252-2022</t>
        </is>
      </c>
      <c r="B766" s="1" t="n">
        <v>44865</v>
      </c>
      <c r="C766" s="1" t="n">
        <v>46114</v>
      </c>
      <c r="D766" t="inlineStr">
        <is>
          <t>DALARNAS LÄN</t>
        </is>
      </c>
      <c r="E766" t="inlineStr">
        <is>
          <t>ÄLVDALEN</t>
        </is>
      </c>
      <c r="F766" t="inlineStr">
        <is>
          <t>Sveaskog</t>
        </is>
      </c>
      <c r="G766" t="n">
        <v>3</v>
      </c>
      <c r="H766" t="n">
        <v>0</v>
      </c>
      <c r="I766" t="n">
        <v>1</v>
      </c>
      <c r="J766" t="n">
        <v>0</v>
      </c>
      <c r="K766" t="n">
        <v>0</v>
      </c>
      <c r="L766" t="n">
        <v>0</v>
      </c>
      <c r="M766" t="n">
        <v>0</v>
      </c>
      <c r="N766" t="n">
        <v>0</v>
      </c>
      <c r="O766" t="n">
        <v>0</v>
      </c>
      <c r="P766" t="n">
        <v>0</v>
      </c>
      <c r="Q766" t="n">
        <v>1</v>
      </c>
      <c r="R766" s="2" t="inlineStr">
        <is>
          <t>Dropptaggsvamp</t>
        </is>
      </c>
      <c r="S766">
        <f>HYPERLINK("https://klasma.github.io/Logging_2039/artfynd/A 50252-2022 artfynd.xlsx", "A 50252-2022")</f>
        <v/>
      </c>
      <c r="T766">
        <f>HYPERLINK("https://klasma.github.io/Logging_2039/kartor/A 50252-2022 karta.png", "A 50252-2022")</f>
        <v/>
      </c>
      <c r="V766">
        <f>HYPERLINK("https://klasma.github.io/Logging_2039/klagomål/A 50252-2022 FSC-klagomål.docx", "A 50252-2022")</f>
        <v/>
      </c>
      <c r="W766">
        <f>HYPERLINK("https://klasma.github.io/Logging_2039/klagomålsmail/A 50252-2022 FSC-klagomål mail.docx", "A 50252-2022")</f>
        <v/>
      </c>
      <c r="X766">
        <f>HYPERLINK("https://klasma.github.io/Logging_2039/tillsyn/A 50252-2022 tillsynsbegäran.docx", "A 50252-2022")</f>
        <v/>
      </c>
      <c r="Y766">
        <f>HYPERLINK("https://klasma.github.io/Logging_2039/tillsynsmail/A 50252-2022 tillsynsbegäran mail.docx", "A 50252-2022")</f>
        <v/>
      </c>
    </row>
    <row r="767" ht="15" customHeight="1">
      <c r="A767" t="inlineStr">
        <is>
          <t>A 29527-2021</t>
        </is>
      </c>
      <c r="B767" s="1" t="n">
        <v>44361</v>
      </c>
      <c r="C767" s="1" t="n">
        <v>46114</v>
      </c>
      <c r="D767" t="inlineStr">
        <is>
          <t>DALARNAS LÄN</t>
        </is>
      </c>
      <c r="E767" t="inlineStr">
        <is>
          <t>RÄTTVIK</t>
        </is>
      </c>
      <c r="G767" t="n">
        <v>4.4</v>
      </c>
      <c r="H767" t="n">
        <v>0</v>
      </c>
      <c r="I767" t="n">
        <v>0</v>
      </c>
      <c r="J767" t="n">
        <v>1</v>
      </c>
      <c r="K767" t="n">
        <v>0</v>
      </c>
      <c r="L767" t="n">
        <v>0</v>
      </c>
      <c r="M767" t="n">
        <v>0</v>
      </c>
      <c r="N767" t="n">
        <v>0</v>
      </c>
      <c r="O767" t="n">
        <v>1</v>
      </c>
      <c r="P767" t="n">
        <v>0</v>
      </c>
      <c r="Q767" t="n">
        <v>1</v>
      </c>
      <c r="R767" s="2" t="inlineStr">
        <is>
          <t>Garnlav</t>
        </is>
      </c>
      <c r="S767">
        <f>HYPERLINK("https://klasma.github.io/Logging_2031/artfynd/A 29527-2021 artfynd.xlsx", "A 29527-2021")</f>
        <v/>
      </c>
      <c r="T767">
        <f>HYPERLINK("https://klasma.github.io/Logging_2031/kartor/A 29527-2021 karta.png", "A 29527-2021")</f>
        <v/>
      </c>
      <c r="V767">
        <f>HYPERLINK("https://klasma.github.io/Logging_2031/klagomål/A 29527-2021 FSC-klagomål.docx", "A 29527-2021")</f>
        <v/>
      </c>
      <c r="W767">
        <f>HYPERLINK("https://klasma.github.io/Logging_2031/klagomålsmail/A 29527-2021 FSC-klagomål mail.docx", "A 29527-2021")</f>
        <v/>
      </c>
      <c r="X767">
        <f>HYPERLINK("https://klasma.github.io/Logging_2031/tillsyn/A 29527-2021 tillsynsbegäran.docx", "A 29527-2021")</f>
        <v/>
      </c>
      <c r="Y767">
        <f>HYPERLINK("https://klasma.github.io/Logging_2031/tillsynsmail/A 29527-2021 tillsynsbegäran mail.docx", "A 29527-2021")</f>
        <v/>
      </c>
    </row>
    <row r="768" ht="15" customHeight="1">
      <c r="A768" t="inlineStr">
        <is>
          <t>A 10626-2022</t>
        </is>
      </c>
      <c r="B768" s="1" t="n">
        <v>44627</v>
      </c>
      <c r="C768" s="1" t="n">
        <v>46114</v>
      </c>
      <c r="D768" t="inlineStr">
        <is>
          <t>DALARNAS LÄN</t>
        </is>
      </c>
      <c r="E768" t="inlineStr">
        <is>
          <t>RÄTTVIK</t>
        </is>
      </c>
      <c r="G768" t="n">
        <v>2.1</v>
      </c>
      <c r="H768" t="n">
        <v>0</v>
      </c>
      <c r="I768" t="n">
        <v>1</v>
      </c>
      <c r="J768" t="n">
        <v>0</v>
      </c>
      <c r="K768" t="n">
        <v>0</v>
      </c>
      <c r="L768" t="n">
        <v>0</v>
      </c>
      <c r="M768" t="n">
        <v>0</v>
      </c>
      <c r="N768" t="n">
        <v>0</v>
      </c>
      <c r="O768" t="n">
        <v>0</v>
      </c>
      <c r="P768" t="n">
        <v>0</v>
      </c>
      <c r="Q768" t="n">
        <v>1</v>
      </c>
      <c r="R768" s="2" t="inlineStr">
        <is>
          <t>Rödgul trumpetsvamp</t>
        </is>
      </c>
      <c r="S768">
        <f>HYPERLINK("https://klasma.github.io/Logging_2031/artfynd/A 10626-2022 artfynd.xlsx", "A 10626-2022")</f>
        <v/>
      </c>
      <c r="T768">
        <f>HYPERLINK("https://klasma.github.io/Logging_2031/kartor/A 10626-2022 karta.png", "A 10626-2022")</f>
        <v/>
      </c>
      <c r="V768">
        <f>HYPERLINK("https://klasma.github.io/Logging_2031/klagomål/A 10626-2022 FSC-klagomål.docx", "A 10626-2022")</f>
        <v/>
      </c>
      <c r="W768">
        <f>HYPERLINK("https://klasma.github.io/Logging_2031/klagomålsmail/A 10626-2022 FSC-klagomål mail.docx", "A 10626-2022")</f>
        <v/>
      </c>
      <c r="X768">
        <f>HYPERLINK("https://klasma.github.io/Logging_2031/tillsyn/A 10626-2022 tillsynsbegäran.docx", "A 10626-2022")</f>
        <v/>
      </c>
      <c r="Y768">
        <f>HYPERLINK("https://klasma.github.io/Logging_2031/tillsynsmail/A 10626-2022 tillsynsbegäran mail.docx", "A 10626-2022")</f>
        <v/>
      </c>
    </row>
    <row r="769" ht="15" customHeight="1">
      <c r="A769" t="inlineStr">
        <is>
          <t>A 927-2022</t>
        </is>
      </c>
      <c r="B769" s="1" t="n">
        <v>44571</v>
      </c>
      <c r="C769" s="1" t="n">
        <v>46114</v>
      </c>
      <c r="D769" t="inlineStr">
        <is>
          <t>DALARNAS LÄN</t>
        </is>
      </c>
      <c r="E769" t="inlineStr">
        <is>
          <t>LUDVIKA</t>
        </is>
      </c>
      <c r="F769" t="inlineStr">
        <is>
          <t>Allmännings- och besparingsskogar</t>
        </is>
      </c>
      <c r="G769" t="n">
        <v>2.4</v>
      </c>
      <c r="H769" t="n">
        <v>0</v>
      </c>
      <c r="I769" t="n">
        <v>0</v>
      </c>
      <c r="J769" t="n">
        <v>1</v>
      </c>
      <c r="K769" t="n">
        <v>0</v>
      </c>
      <c r="L769" t="n">
        <v>0</v>
      </c>
      <c r="M769" t="n">
        <v>0</v>
      </c>
      <c r="N769" t="n">
        <v>0</v>
      </c>
      <c r="O769" t="n">
        <v>1</v>
      </c>
      <c r="P769" t="n">
        <v>0</v>
      </c>
      <c r="Q769" t="n">
        <v>1</v>
      </c>
      <c r="R769" s="2" t="inlineStr">
        <is>
          <t>Brunklöver</t>
        </is>
      </c>
      <c r="S769">
        <f>HYPERLINK("https://klasma.github.io/Logging_2085/artfynd/A 927-2022 artfynd.xlsx", "A 927-2022")</f>
        <v/>
      </c>
      <c r="T769">
        <f>HYPERLINK("https://klasma.github.io/Logging_2085/kartor/A 927-2022 karta.png", "A 927-2022")</f>
        <v/>
      </c>
      <c r="V769">
        <f>HYPERLINK("https://klasma.github.io/Logging_2085/klagomål/A 927-2022 FSC-klagomål.docx", "A 927-2022")</f>
        <v/>
      </c>
      <c r="W769">
        <f>HYPERLINK("https://klasma.github.io/Logging_2085/klagomålsmail/A 927-2022 FSC-klagomål mail.docx", "A 927-2022")</f>
        <v/>
      </c>
      <c r="X769">
        <f>HYPERLINK("https://klasma.github.io/Logging_2085/tillsyn/A 927-2022 tillsynsbegäran.docx", "A 927-2022")</f>
        <v/>
      </c>
      <c r="Y769">
        <f>HYPERLINK("https://klasma.github.io/Logging_2085/tillsynsmail/A 927-2022 tillsynsbegäran mail.docx", "A 927-2022")</f>
        <v/>
      </c>
    </row>
    <row r="770" ht="15" customHeight="1">
      <c r="A770" t="inlineStr">
        <is>
          <t>A 53409-2022</t>
        </is>
      </c>
      <c r="B770" s="1" t="n">
        <v>44879.44449074074</v>
      </c>
      <c r="C770" s="1" t="n">
        <v>46114</v>
      </c>
      <c r="D770" t="inlineStr">
        <is>
          <t>DALARNAS LÄN</t>
        </is>
      </c>
      <c r="E770" t="inlineStr">
        <is>
          <t>FALUN</t>
        </is>
      </c>
      <c r="G770" t="n">
        <v>0.4</v>
      </c>
      <c r="H770" t="n">
        <v>1</v>
      </c>
      <c r="I770" t="n">
        <v>0</v>
      </c>
      <c r="J770" t="n">
        <v>0</v>
      </c>
      <c r="K770" t="n">
        <v>1</v>
      </c>
      <c r="L770" t="n">
        <v>0</v>
      </c>
      <c r="M770" t="n">
        <v>0</v>
      </c>
      <c r="N770" t="n">
        <v>0</v>
      </c>
      <c r="O770" t="n">
        <v>1</v>
      </c>
      <c r="P770" t="n">
        <v>1</v>
      </c>
      <c r="Q770" t="n">
        <v>1</v>
      </c>
      <c r="R770" s="2" t="inlineStr">
        <is>
          <t>Knärot</t>
        </is>
      </c>
      <c r="S770">
        <f>HYPERLINK("https://klasma.github.io/Logging_2080/artfynd/A 53409-2022 artfynd.xlsx", "A 53409-2022")</f>
        <v/>
      </c>
      <c r="T770">
        <f>HYPERLINK("https://klasma.github.io/Logging_2080/kartor/A 53409-2022 karta.png", "A 53409-2022")</f>
        <v/>
      </c>
      <c r="U770">
        <f>HYPERLINK("https://klasma.github.io/Logging_2080/knärot/A 53409-2022 karta knärot.png", "A 53409-2022")</f>
        <v/>
      </c>
      <c r="V770">
        <f>HYPERLINK("https://klasma.github.io/Logging_2080/klagomål/A 53409-2022 FSC-klagomål.docx", "A 53409-2022")</f>
        <v/>
      </c>
      <c r="W770">
        <f>HYPERLINK("https://klasma.github.io/Logging_2080/klagomålsmail/A 53409-2022 FSC-klagomål mail.docx", "A 53409-2022")</f>
        <v/>
      </c>
      <c r="X770">
        <f>HYPERLINK("https://klasma.github.io/Logging_2080/tillsyn/A 53409-2022 tillsynsbegäran.docx", "A 53409-2022")</f>
        <v/>
      </c>
      <c r="Y770">
        <f>HYPERLINK("https://klasma.github.io/Logging_2080/tillsynsmail/A 53409-2022 tillsynsbegäran mail.docx", "A 53409-2022")</f>
        <v/>
      </c>
    </row>
    <row r="771" ht="15" customHeight="1">
      <c r="A771" t="inlineStr">
        <is>
          <t>A 734-2022</t>
        </is>
      </c>
      <c r="B771" s="1" t="n">
        <v>44568</v>
      </c>
      <c r="C771" s="1" t="n">
        <v>46114</v>
      </c>
      <c r="D771" t="inlineStr">
        <is>
          <t>DALARNAS LÄN</t>
        </is>
      </c>
      <c r="E771" t="inlineStr">
        <is>
          <t>RÄTTVIK</t>
        </is>
      </c>
      <c r="F771" t="inlineStr">
        <is>
          <t>Sveaskog</t>
        </is>
      </c>
      <c r="G771" t="n">
        <v>1.5</v>
      </c>
      <c r="H771" t="n">
        <v>1</v>
      </c>
      <c r="I771" t="n">
        <v>0</v>
      </c>
      <c r="J771" t="n">
        <v>0</v>
      </c>
      <c r="K771" t="n">
        <v>1</v>
      </c>
      <c r="L771" t="n">
        <v>0</v>
      </c>
      <c r="M771" t="n">
        <v>0</v>
      </c>
      <c r="N771" t="n">
        <v>0</v>
      </c>
      <c r="O771" t="n">
        <v>1</v>
      </c>
      <c r="P771" t="n">
        <v>1</v>
      </c>
      <c r="Q771" t="n">
        <v>1</v>
      </c>
      <c r="R771" s="2" t="inlineStr">
        <is>
          <t>Knärot</t>
        </is>
      </c>
      <c r="S771">
        <f>HYPERLINK("https://klasma.github.io/Logging_2031/artfynd/A 734-2022 artfynd.xlsx", "A 734-2022")</f>
        <v/>
      </c>
      <c r="T771">
        <f>HYPERLINK("https://klasma.github.io/Logging_2031/kartor/A 734-2022 karta.png", "A 734-2022")</f>
        <v/>
      </c>
      <c r="U771">
        <f>HYPERLINK("https://klasma.github.io/Logging_2031/knärot/A 734-2022 karta knärot.png", "A 734-2022")</f>
        <v/>
      </c>
      <c r="V771">
        <f>HYPERLINK("https://klasma.github.io/Logging_2031/klagomål/A 734-2022 FSC-klagomål.docx", "A 734-2022")</f>
        <v/>
      </c>
      <c r="W771">
        <f>HYPERLINK("https://klasma.github.io/Logging_2031/klagomålsmail/A 734-2022 FSC-klagomål mail.docx", "A 734-2022")</f>
        <v/>
      </c>
      <c r="X771">
        <f>HYPERLINK("https://klasma.github.io/Logging_2031/tillsyn/A 734-2022 tillsynsbegäran.docx", "A 734-2022")</f>
        <v/>
      </c>
      <c r="Y771">
        <f>HYPERLINK("https://klasma.github.io/Logging_2031/tillsynsmail/A 734-2022 tillsynsbegäran mail.docx", "A 734-2022")</f>
        <v/>
      </c>
    </row>
    <row r="772" ht="15" customHeight="1">
      <c r="A772" t="inlineStr">
        <is>
          <t>A 43377-2021</t>
        </is>
      </c>
      <c r="B772" s="1" t="n">
        <v>44432</v>
      </c>
      <c r="C772" s="1" t="n">
        <v>46114</v>
      </c>
      <c r="D772" t="inlineStr">
        <is>
          <t>DALARNAS LÄN</t>
        </is>
      </c>
      <c r="E772" t="inlineStr">
        <is>
          <t>SMEDJEBACKEN</t>
        </is>
      </c>
      <c r="G772" t="n">
        <v>2.6</v>
      </c>
      <c r="H772" t="n">
        <v>0</v>
      </c>
      <c r="I772" t="n">
        <v>1</v>
      </c>
      <c r="J772" t="n">
        <v>0</v>
      </c>
      <c r="K772" t="n">
        <v>0</v>
      </c>
      <c r="L772" t="n">
        <v>0</v>
      </c>
      <c r="M772" t="n">
        <v>0</v>
      </c>
      <c r="N772" t="n">
        <v>0</v>
      </c>
      <c r="O772" t="n">
        <v>0</v>
      </c>
      <c r="P772" t="n">
        <v>0</v>
      </c>
      <c r="Q772" t="n">
        <v>1</v>
      </c>
      <c r="R772" s="2" t="inlineStr">
        <is>
          <t>Fjällig taggsvamp s.str.</t>
        </is>
      </c>
      <c r="S772">
        <f>HYPERLINK("https://klasma.github.io/Logging_2061/artfynd/A 43377-2021 artfynd.xlsx", "A 43377-2021")</f>
        <v/>
      </c>
      <c r="T772">
        <f>HYPERLINK("https://klasma.github.io/Logging_2061/kartor/A 43377-2021 karta.png", "A 43377-2021")</f>
        <v/>
      </c>
      <c r="U772">
        <f>HYPERLINK("https://klasma.github.io/Logging_2061/knärot/A 43377-2021 karta knärot.png", "A 43377-2021")</f>
        <v/>
      </c>
      <c r="V772">
        <f>HYPERLINK("https://klasma.github.io/Logging_2061/klagomål/A 43377-2021 FSC-klagomål.docx", "A 43377-2021")</f>
        <v/>
      </c>
      <c r="W772">
        <f>HYPERLINK("https://klasma.github.io/Logging_2061/klagomålsmail/A 43377-2021 FSC-klagomål mail.docx", "A 43377-2021")</f>
        <v/>
      </c>
      <c r="X772">
        <f>HYPERLINK("https://klasma.github.io/Logging_2061/tillsyn/A 43377-2021 tillsynsbegäran.docx", "A 43377-2021")</f>
        <v/>
      </c>
      <c r="Y772">
        <f>HYPERLINK("https://klasma.github.io/Logging_2061/tillsynsmail/A 43377-2021 tillsynsbegäran mail.docx", "A 43377-2021")</f>
        <v/>
      </c>
    </row>
    <row r="773" ht="15" customHeight="1">
      <c r="A773" t="inlineStr">
        <is>
          <t>A 49776-2021</t>
        </is>
      </c>
      <c r="B773" s="1" t="n">
        <v>44454</v>
      </c>
      <c r="C773" s="1" t="n">
        <v>46114</v>
      </c>
      <c r="D773" t="inlineStr">
        <is>
          <t>DALARNAS LÄN</t>
        </is>
      </c>
      <c r="E773" t="inlineStr">
        <is>
          <t>BORLÄNGE</t>
        </is>
      </c>
      <c r="G773" t="n">
        <v>0.9</v>
      </c>
      <c r="H773" t="n">
        <v>0</v>
      </c>
      <c r="I773" t="n">
        <v>0</v>
      </c>
      <c r="J773" t="n">
        <v>1</v>
      </c>
      <c r="K773" t="n">
        <v>0</v>
      </c>
      <c r="L773" t="n">
        <v>0</v>
      </c>
      <c r="M773" t="n">
        <v>0</v>
      </c>
      <c r="N773" t="n">
        <v>0</v>
      </c>
      <c r="O773" t="n">
        <v>1</v>
      </c>
      <c r="P773" t="n">
        <v>0</v>
      </c>
      <c r="Q773" t="n">
        <v>1</v>
      </c>
      <c r="R773" s="2" t="inlineStr">
        <is>
          <t>Garnlav</t>
        </is>
      </c>
      <c r="S773">
        <f>HYPERLINK("https://klasma.github.io/Logging_2081/artfynd/A 49776-2021 artfynd.xlsx", "A 49776-2021")</f>
        <v/>
      </c>
      <c r="T773">
        <f>HYPERLINK("https://klasma.github.io/Logging_2081/kartor/A 49776-2021 karta.png", "A 49776-2021")</f>
        <v/>
      </c>
      <c r="V773">
        <f>HYPERLINK("https://klasma.github.io/Logging_2081/klagomål/A 49776-2021 FSC-klagomål.docx", "A 49776-2021")</f>
        <v/>
      </c>
      <c r="W773">
        <f>HYPERLINK("https://klasma.github.io/Logging_2081/klagomålsmail/A 49776-2021 FSC-klagomål mail.docx", "A 49776-2021")</f>
        <v/>
      </c>
      <c r="X773">
        <f>HYPERLINK("https://klasma.github.io/Logging_2081/tillsyn/A 49776-2021 tillsynsbegäran.docx", "A 49776-2021")</f>
        <v/>
      </c>
      <c r="Y773">
        <f>HYPERLINK("https://klasma.github.io/Logging_2081/tillsynsmail/A 49776-2021 tillsynsbegäran mail.docx", "A 49776-2021")</f>
        <v/>
      </c>
    </row>
    <row r="774" ht="15" customHeight="1">
      <c r="A774" t="inlineStr">
        <is>
          <t>A 39484-2021</t>
        </is>
      </c>
      <c r="B774" s="1" t="n">
        <v>44414</v>
      </c>
      <c r="C774" s="1" t="n">
        <v>46114</v>
      </c>
      <c r="D774" t="inlineStr">
        <is>
          <t>DALARNAS LÄN</t>
        </is>
      </c>
      <c r="E774" t="inlineStr">
        <is>
          <t>RÄTTVIK</t>
        </is>
      </c>
      <c r="F774" t="inlineStr">
        <is>
          <t>Sveaskog</t>
        </is>
      </c>
      <c r="G774" t="n">
        <v>2.6</v>
      </c>
      <c r="H774" t="n">
        <v>0</v>
      </c>
      <c r="I774" t="n">
        <v>0</v>
      </c>
      <c r="J774" t="n">
        <v>1</v>
      </c>
      <c r="K774" t="n">
        <v>0</v>
      </c>
      <c r="L774" t="n">
        <v>0</v>
      </c>
      <c r="M774" t="n">
        <v>0</v>
      </c>
      <c r="N774" t="n">
        <v>0</v>
      </c>
      <c r="O774" t="n">
        <v>1</v>
      </c>
      <c r="P774" t="n">
        <v>0</v>
      </c>
      <c r="Q774" t="n">
        <v>1</v>
      </c>
      <c r="R774" s="2" t="inlineStr">
        <is>
          <t>Lunglav</t>
        </is>
      </c>
      <c r="S774">
        <f>HYPERLINK("https://klasma.github.io/Logging_2031/artfynd/A 39484-2021 artfynd.xlsx", "A 39484-2021")</f>
        <v/>
      </c>
      <c r="T774">
        <f>HYPERLINK("https://klasma.github.io/Logging_2031/kartor/A 39484-2021 karta.png", "A 39484-2021")</f>
        <v/>
      </c>
      <c r="V774">
        <f>HYPERLINK("https://klasma.github.io/Logging_2031/klagomål/A 39484-2021 FSC-klagomål.docx", "A 39484-2021")</f>
        <v/>
      </c>
      <c r="W774">
        <f>HYPERLINK("https://klasma.github.io/Logging_2031/klagomålsmail/A 39484-2021 FSC-klagomål mail.docx", "A 39484-2021")</f>
        <v/>
      </c>
      <c r="X774">
        <f>HYPERLINK("https://klasma.github.io/Logging_2031/tillsyn/A 39484-2021 tillsynsbegäran.docx", "A 39484-2021")</f>
        <v/>
      </c>
      <c r="Y774">
        <f>HYPERLINK("https://klasma.github.io/Logging_2031/tillsynsmail/A 39484-2021 tillsynsbegäran mail.docx", "A 39484-2021")</f>
        <v/>
      </c>
    </row>
    <row r="775" ht="15" customHeight="1">
      <c r="A775" t="inlineStr">
        <is>
          <t>A 24847-2021</t>
        </is>
      </c>
      <c r="B775" s="1" t="n">
        <v>44340</v>
      </c>
      <c r="C775" s="1" t="n">
        <v>46114</v>
      </c>
      <c r="D775" t="inlineStr">
        <is>
          <t>DALARNAS LÄN</t>
        </is>
      </c>
      <c r="E775" t="inlineStr">
        <is>
          <t>ÄLVDALEN</t>
        </is>
      </c>
      <c r="F775" t="inlineStr">
        <is>
          <t>Sveaskog</t>
        </is>
      </c>
      <c r="G775" t="n">
        <v>7.1</v>
      </c>
      <c r="H775" t="n">
        <v>1</v>
      </c>
      <c r="I775" t="n">
        <v>0</v>
      </c>
      <c r="J775" t="n">
        <v>1</v>
      </c>
      <c r="K775" t="n">
        <v>0</v>
      </c>
      <c r="L775" t="n">
        <v>0</v>
      </c>
      <c r="M775" t="n">
        <v>0</v>
      </c>
      <c r="N775" t="n">
        <v>0</v>
      </c>
      <c r="O775" t="n">
        <v>1</v>
      </c>
      <c r="P775" t="n">
        <v>0</v>
      </c>
      <c r="Q775" t="n">
        <v>1</v>
      </c>
      <c r="R775" s="2" t="inlineStr">
        <is>
          <t>Varglav</t>
        </is>
      </c>
      <c r="S775">
        <f>HYPERLINK("https://klasma.github.io/Logging_2039/artfynd/A 24847-2021 artfynd.xlsx", "A 24847-2021")</f>
        <v/>
      </c>
      <c r="T775">
        <f>HYPERLINK("https://klasma.github.io/Logging_2039/kartor/A 24847-2021 karta.png", "A 24847-2021")</f>
        <v/>
      </c>
      <c r="V775">
        <f>HYPERLINK("https://klasma.github.io/Logging_2039/klagomål/A 24847-2021 FSC-klagomål.docx", "A 24847-2021")</f>
        <v/>
      </c>
      <c r="W775">
        <f>HYPERLINK("https://klasma.github.io/Logging_2039/klagomålsmail/A 24847-2021 FSC-klagomål mail.docx", "A 24847-2021")</f>
        <v/>
      </c>
      <c r="X775">
        <f>HYPERLINK("https://klasma.github.io/Logging_2039/tillsyn/A 24847-2021 tillsynsbegäran.docx", "A 24847-2021")</f>
        <v/>
      </c>
      <c r="Y775">
        <f>HYPERLINK("https://klasma.github.io/Logging_2039/tillsynsmail/A 24847-2021 tillsynsbegäran mail.docx", "A 24847-2021")</f>
        <v/>
      </c>
    </row>
    <row r="776" ht="15" customHeight="1">
      <c r="A776" t="inlineStr">
        <is>
          <t>A 22407-2021</t>
        </is>
      </c>
      <c r="B776" s="1" t="n">
        <v>44326.61526620371</v>
      </c>
      <c r="C776" s="1" t="n">
        <v>46114</v>
      </c>
      <c r="D776" t="inlineStr">
        <is>
          <t>DALARNAS LÄN</t>
        </is>
      </c>
      <c r="E776" t="inlineStr">
        <is>
          <t>ÄLVDALEN</t>
        </is>
      </c>
      <c r="F776" t="inlineStr">
        <is>
          <t>Sveaskog</t>
        </is>
      </c>
      <c r="G776" t="n">
        <v>4.2</v>
      </c>
      <c r="H776" t="n">
        <v>0</v>
      </c>
      <c r="I776" t="n">
        <v>1</v>
      </c>
      <c r="J776" t="n">
        <v>0</v>
      </c>
      <c r="K776" t="n">
        <v>0</v>
      </c>
      <c r="L776" t="n">
        <v>0</v>
      </c>
      <c r="M776" t="n">
        <v>0</v>
      </c>
      <c r="N776" t="n">
        <v>0</v>
      </c>
      <c r="O776" t="n">
        <v>0</v>
      </c>
      <c r="P776" t="n">
        <v>0</v>
      </c>
      <c r="Q776" t="n">
        <v>1</v>
      </c>
      <c r="R776" s="2" t="inlineStr">
        <is>
          <t>Dropptaggsvamp</t>
        </is>
      </c>
      <c r="S776">
        <f>HYPERLINK("https://klasma.github.io/Logging_2039/artfynd/A 22407-2021 artfynd.xlsx", "A 22407-2021")</f>
        <v/>
      </c>
      <c r="T776">
        <f>HYPERLINK("https://klasma.github.io/Logging_2039/kartor/A 22407-2021 karta.png", "A 22407-2021")</f>
        <v/>
      </c>
      <c r="V776">
        <f>HYPERLINK("https://klasma.github.io/Logging_2039/klagomål/A 22407-2021 FSC-klagomål.docx", "A 22407-2021")</f>
        <v/>
      </c>
      <c r="W776">
        <f>HYPERLINK("https://klasma.github.io/Logging_2039/klagomålsmail/A 22407-2021 FSC-klagomål mail.docx", "A 22407-2021")</f>
        <v/>
      </c>
      <c r="X776">
        <f>HYPERLINK("https://klasma.github.io/Logging_2039/tillsyn/A 22407-2021 tillsynsbegäran.docx", "A 22407-2021")</f>
        <v/>
      </c>
      <c r="Y776">
        <f>HYPERLINK("https://klasma.github.io/Logging_2039/tillsynsmail/A 22407-2021 tillsynsbegäran mail.docx", "A 22407-2021")</f>
        <v/>
      </c>
    </row>
    <row r="777" ht="15" customHeight="1">
      <c r="A777" t="inlineStr">
        <is>
          <t>A 53916-2022</t>
        </is>
      </c>
      <c r="B777" s="1" t="n">
        <v>44880.87695601852</v>
      </c>
      <c r="C777" s="1" t="n">
        <v>46114</v>
      </c>
      <c r="D777" t="inlineStr">
        <is>
          <t>DALARNAS LÄN</t>
        </is>
      </c>
      <c r="E777" t="inlineStr">
        <is>
          <t>HEDEMORA</t>
        </is>
      </c>
      <c r="F777" t="inlineStr">
        <is>
          <t>Sveaskog</t>
        </is>
      </c>
      <c r="G777" t="n">
        <v>12.1</v>
      </c>
      <c r="H777" t="n">
        <v>1</v>
      </c>
      <c r="I777" t="n">
        <v>0</v>
      </c>
      <c r="J777" t="n">
        <v>1</v>
      </c>
      <c r="K777" t="n">
        <v>0</v>
      </c>
      <c r="L777" t="n">
        <v>0</v>
      </c>
      <c r="M777" t="n">
        <v>0</v>
      </c>
      <c r="N777" t="n">
        <v>0</v>
      </c>
      <c r="O777" t="n">
        <v>1</v>
      </c>
      <c r="P777" t="n">
        <v>0</v>
      </c>
      <c r="Q777" t="n">
        <v>1</v>
      </c>
      <c r="R777" s="2" t="inlineStr">
        <is>
          <t>Spillkråka</t>
        </is>
      </c>
      <c r="S777">
        <f>HYPERLINK("https://klasma.github.io/Logging_2083/artfynd/A 53916-2022 artfynd.xlsx", "A 53916-2022")</f>
        <v/>
      </c>
      <c r="T777">
        <f>HYPERLINK("https://klasma.github.io/Logging_2083/kartor/A 53916-2022 karta.png", "A 53916-2022")</f>
        <v/>
      </c>
      <c r="V777">
        <f>HYPERLINK("https://klasma.github.io/Logging_2083/klagomål/A 53916-2022 FSC-klagomål.docx", "A 53916-2022")</f>
        <v/>
      </c>
      <c r="W777">
        <f>HYPERLINK("https://klasma.github.io/Logging_2083/klagomålsmail/A 53916-2022 FSC-klagomål mail.docx", "A 53916-2022")</f>
        <v/>
      </c>
      <c r="X777">
        <f>HYPERLINK("https://klasma.github.io/Logging_2083/tillsyn/A 53916-2022 tillsynsbegäran.docx", "A 53916-2022")</f>
        <v/>
      </c>
      <c r="Y777">
        <f>HYPERLINK("https://klasma.github.io/Logging_2083/tillsynsmail/A 53916-2022 tillsynsbegäran mail.docx", "A 53916-2022")</f>
        <v/>
      </c>
      <c r="Z777">
        <f>HYPERLINK("https://klasma.github.io/Logging_2083/fåglar/A 53916-2022 prioriterade fågelarter.docx", "A 53916-2022")</f>
        <v/>
      </c>
    </row>
    <row r="778" ht="15" customHeight="1">
      <c r="A778" t="inlineStr">
        <is>
          <t>A 19717-2022</t>
        </is>
      </c>
      <c r="B778" s="1" t="n">
        <v>44694</v>
      </c>
      <c r="C778" s="1" t="n">
        <v>46114</v>
      </c>
      <c r="D778" t="inlineStr">
        <is>
          <t>DALARNAS LÄN</t>
        </is>
      </c>
      <c r="E778" t="inlineStr">
        <is>
          <t>LUDVIKA</t>
        </is>
      </c>
      <c r="F778" t="inlineStr">
        <is>
          <t>Bergvik skog väst AB</t>
        </is>
      </c>
      <c r="G778" t="n">
        <v>1.1</v>
      </c>
      <c r="H778" t="n">
        <v>0</v>
      </c>
      <c r="I778" t="n">
        <v>1</v>
      </c>
      <c r="J778" t="n">
        <v>0</v>
      </c>
      <c r="K778" t="n">
        <v>0</v>
      </c>
      <c r="L778" t="n">
        <v>0</v>
      </c>
      <c r="M778" t="n">
        <v>0</v>
      </c>
      <c r="N778" t="n">
        <v>0</v>
      </c>
      <c r="O778" t="n">
        <v>0</v>
      </c>
      <c r="P778" t="n">
        <v>0</v>
      </c>
      <c r="Q778" t="n">
        <v>1</v>
      </c>
      <c r="R778" s="2" t="inlineStr">
        <is>
          <t>Vedticka</t>
        </is>
      </c>
      <c r="S778">
        <f>HYPERLINK("https://klasma.github.io/Logging_2085/artfynd/A 19717-2022 artfynd.xlsx", "A 19717-2022")</f>
        <v/>
      </c>
      <c r="T778">
        <f>HYPERLINK("https://klasma.github.io/Logging_2085/kartor/A 19717-2022 karta.png", "A 19717-2022")</f>
        <v/>
      </c>
      <c r="V778">
        <f>HYPERLINK("https://klasma.github.io/Logging_2085/klagomål/A 19717-2022 FSC-klagomål.docx", "A 19717-2022")</f>
        <v/>
      </c>
      <c r="W778">
        <f>HYPERLINK("https://klasma.github.io/Logging_2085/klagomålsmail/A 19717-2022 FSC-klagomål mail.docx", "A 19717-2022")</f>
        <v/>
      </c>
      <c r="X778">
        <f>HYPERLINK("https://klasma.github.io/Logging_2085/tillsyn/A 19717-2022 tillsynsbegäran.docx", "A 19717-2022")</f>
        <v/>
      </c>
      <c r="Y778">
        <f>HYPERLINK("https://klasma.github.io/Logging_2085/tillsynsmail/A 19717-2022 tillsynsbegäran mail.docx", "A 19717-2022")</f>
        <v/>
      </c>
    </row>
    <row r="779" ht="15" customHeight="1">
      <c r="A779" t="inlineStr">
        <is>
          <t>A 51477-2022</t>
        </is>
      </c>
      <c r="B779" s="1" t="n">
        <v>44869</v>
      </c>
      <c r="C779" s="1" t="n">
        <v>46114</v>
      </c>
      <c r="D779" t="inlineStr">
        <is>
          <t>DALARNAS LÄN</t>
        </is>
      </c>
      <c r="E779" t="inlineStr">
        <is>
          <t>ÄLVDALEN</t>
        </is>
      </c>
      <c r="F779" t="inlineStr">
        <is>
          <t>Sveaskog</t>
        </is>
      </c>
      <c r="G779" t="n">
        <v>3.8</v>
      </c>
      <c r="H779" t="n">
        <v>0</v>
      </c>
      <c r="I779" t="n">
        <v>1</v>
      </c>
      <c r="J779" t="n">
        <v>0</v>
      </c>
      <c r="K779" t="n">
        <v>0</v>
      </c>
      <c r="L779" t="n">
        <v>0</v>
      </c>
      <c r="M779" t="n">
        <v>0</v>
      </c>
      <c r="N779" t="n">
        <v>0</v>
      </c>
      <c r="O779" t="n">
        <v>0</v>
      </c>
      <c r="P779" t="n">
        <v>0</v>
      </c>
      <c r="Q779" t="n">
        <v>1</v>
      </c>
      <c r="R779" s="2" t="inlineStr">
        <is>
          <t>Dropptaggsvamp</t>
        </is>
      </c>
      <c r="S779">
        <f>HYPERLINK("https://klasma.github.io/Logging_2039/artfynd/A 51477-2022 artfynd.xlsx", "A 51477-2022")</f>
        <v/>
      </c>
      <c r="T779">
        <f>HYPERLINK("https://klasma.github.io/Logging_2039/kartor/A 51477-2022 karta.png", "A 51477-2022")</f>
        <v/>
      </c>
      <c r="V779">
        <f>HYPERLINK("https://klasma.github.io/Logging_2039/klagomål/A 51477-2022 FSC-klagomål.docx", "A 51477-2022")</f>
        <v/>
      </c>
      <c r="W779">
        <f>HYPERLINK("https://klasma.github.io/Logging_2039/klagomålsmail/A 51477-2022 FSC-klagomål mail.docx", "A 51477-2022")</f>
        <v/>
      </c>
      <c r="X779">
        <f>HYPERLINK("https://klasma.github.io/Logging_2039/tillsyn/A 51477-2022 tillsynsbegäran.docx", "A 51477-2022")</f>
        <v/>
      </c>
      <c r="Y779">
        <f>HYPERLINK("https://klasma.github.io/Logging_2039/tillsynsmail/A 51477-2022 tillsynsbegäran mail.docx", "A 51477-2022")</f>
        <v/>
      </c>
    </row>
    <row r="780" ht="15" customHeight="1">
      <c r="A780" t="inlineStr">
        <is>
          <t>A 60419-2021</t>
        </is>
      </c>
      <c r="B780" s="1" t="n">
        <v>44496.40606481482</v>
      </c>
      <c r="C780" s="1" t="n">
        <v>46114</v>
      </c>
      <c r="D780" t="inlineStr">
        <is>
          <t>DALARNAS LÄN</t>
        </is>
      </c>
      <c r="E780" t="inlineStr">
        <is>
          <t>ÄLVDALEN</t>
        </is>
      </c>
      <c r="F780" t="inlineStr">
        <is>
          <t>Sveaskog</t>
        </is>
      </c>
      <c r="G780" t="n">
        <v>9.1</v>
      </c>
      <c r="H780" t="n">
        <v>0</v>
      </c>
      <c r="I780" t="n">
        <v>1</v>
      </c>
      <c r="J780" t="n">
        <v>0</v>
      </c>
      <c r="K780" t="n">
        <v>0</v>
      </c>
      <c r="L780" t="n">
        <v>0</v>
      </c>
      <c r="M780" t="n">
        <v>0</v>
      </c>
      <c r="N780" t="n">
        <v>0</v>
      </c>
      <c r="O780" t="n">
        <v>0</v>
      </c>
      <c r="P780" t="n">
        <v>0</v>
      </c>
      <c r="Q780" t="n">
        <v>1</v>
      </c>
      <c r="R780" s="2" t="inlineStr">
        <is>
          <t>Dropptaggsvamp</t>
        </is>
      </c>
      <c r="S780">
        <f>HYPERLINK("https://klasma.github.io/Logging_2039/artfynd/A 60419-2021 artfynd.xlsx", "A 60419-2021")</f>
        <v/>
      </c>
      <c r="T780">
        <f>HYPERLINK("https://klasma.github.io/Logging_2039/kartor/A 60419-2021 karta.png", "A 60419-2021")</f>
        <v/>
      </c>
      <c r="V780">
        <f>HYPERLINK("https://klasma.github.io/Logging_2039/klagomål/A 60419-2021 FSC-klagomål.docx", "A 60419-2021")</f>
        <v/>
      </c>
      <c r="W780">
        <f>HYPERLINK("https://klasma.github.io/Logging_2039/klagomålsmail/A 60419-2021 FSC-klagomål mail.docx", "A 60419-2021")</f>
        <v/>
      </c>
      <c r="X780">
        <f>HYPERLINK("https://klasma.github.io/Logging_2039/tillsyn/A 60419-2021 tillsynsbegäran.docx", "A 60419-2021")</f>
        <v/>
      </c>
      <c r="Y780">
        <f>HYPERLINK("https://klasma.github.io/Logging_2039/tillsynsmail/A 60419-2021 tillsynsbegäran mail.docx", "A 60419-2021")</f>
        <v/>
      </c>
    </row>
    <row r="781" ht="15" customHeight="1">
      <c r="A781" t="inlineStr">
        <is>
          <t>A 74336-2021</t>
        </is>
      </c>
      <c r="B781" s="1" t="n">
        <v>44559</v>
      </c>
      <c r="C781" s="1" t="n">
        <v>46114</v>
      </c>
      <c r="D781" t="inlineStr">
        <is>
          <t>DALARNAS LÄN</t>
        </is>
      </c>
      <c r="E781" t="inlineStr">
        <is>
          <t>GAGNEF</t>
        </is>
      </c>
      <c r="G781" t="n">
        <v>8.1</v>
      </c>
      <c r="H781" t="n">
        <v>1</v>
      </c>
      <c r="I781" t="n">
        <v>0</v>
      </c>
      <c r="J781" t="n">
        <v>0</v>
      </c>
      <c r="K781" t="n">
        <v>0</v>
      </c>
      <c r="L781" t="n">
        <v>0</v>
      </c>
      <c r="M781" t="n">
        <v>0</v>
      </c>
      <c r="N781" t="n">
        <v>0</v>
      </c>
      <c r="O781" t="n">
        <v>0</v>
      </c>
      <c r="P781" t="n">
        <v>0</v>
      </c>
      <c r="Q781" t="n">
        <v>1</v>
      </c>
      <c r="R781" s="2" t="inlineStr">
        <is>
          <t>Revlummer</t>
        </is>
      </c>
      <c r="S781">
        <f>HYPERLINK("https://klasma.github.io/Logging_2026/artfynd/A 74336-2021 artfynd.xlsx", "A 74336-2021")</f>
        <v/>
      </c>
      <c r="T781">
        <f>HYPERLINK("https://klasma.github.io/Logging_2026/kartor/A 74336-2021 karta.png", "A 74336-2021")</f>
        <v/>
      </c>
      <c r="V781">
        <f>HYPERLINK("https://klasma.github.io/Logging_2026/klagomål/A 74336-2021 FSC-klagomål.docx", "A 74336-2021")</f>
        <v/>
      </c>
      <c r="W781">
        <f>HYPERLINK("https://klasma.github.io/Logging_2026/klagomålsmail/A 74336-2021 FSC-klagomål mail.docx", "A 74336-2021")</f>
        <v/>
      </c>
      <c r="X781">
        <f>HYPERLINK("https://klasma.github.io/Logging_2026/tillsyn/A 74336-2021 tillsynsbegäran.docx", "A 74336-2021")</f>
        <v/>
      </c>
      <c r="Y781">
        <f>HYPERLINK("https://klasma.github.io/Logging_2026/tillsynsmail/A 74336-2021 tillsynsbegäran mail.docx", "A 74336-2021")</f>
        <v/>
      </c>
    </row>
    <row r="782" ht="15" customHeight="1">
      <c r="A782" t="inlineStr">
        <is>
          <t>A 26736-2021</t>
        </is>
      </c>
      <c r="B782" s="1" t="n">
        <v>44349</v>
      </c>
      <c r="C782" s="1" t="n">
        <v>46114</v>
      </c>
      <c r="D782" t="inlineStr">
        <is>
          <t>DALARNAS LÄN</t>
        </is>
      </c>
      <c r="E782" t="inlineStr">
        <is>
          <t>ÄLVDALEN</t>
        </is>
      </c>
      <c r="F782" t="inlineStr">
        <is>
          <t>Sveaskog</t>
        </is>
      </c>
      <c r="G782" t="n">
        <v>5.5</v>
      </c>
      <c r="H782" t="n">
        <v>0</v>
      </c>
      <c r="I782" t="n">
        <v>1</v>
      </c>
      <c r="J782" t="n">
        <v>0</v>
      </c>
      <c r="K782" t="n">
        <v>0</v>
      </c>
      <c r="L782" t="n">
        <v>0</v>
      </c>
      <c r="M782" t="n">
        <v>0</v>
      </c>
      <c r="N782" t="n">
        <v>0</v>
      </c>
      <c r="O782" t="n">
        <v>0</v>
      </c>
      <c r="P782" t="n">
        <v>0</v>
      </c>
      <c r="Q782" t="n">
        <v>1</v>
      </c>
      <c r="R782" s="2" t="inlineStr">
        <is>
          <t>Dropptaggsvamp</t>
        </is>
      </c>
      <c r="S782">
        <f>HYPERLINK("https://klasma.github.io/Logging_2039/artfynd/A 26736-2021 artfynd.xlsx", "A 26736-2021")</f>
        <v/>
      </c>
      <c r="T782">
        <f>HYPERLINK("https://klasma.github.io/Logging_2039/kartor/A 26736-2021 karta.png", "A 26736-2021")</f>
        <v/>
      </c>
      <c r="V782">
        <f>HYPERLINK("https://klasma.github.io/Logging_2039/klagomål/A 26736-2021 FSC-klagomål.docx", "A 26736-2021")</f>
        <v/>
      </c>
      <c r="W782">
        <f>HYPERLINK("https://klasma.github.io/Logging_2039/klagomålsmail/A 26736-2021 FSC-klagomål mail.docx", "A 26736-2021")</f>
        <v/>
      </c>
      <c r="X782">
        <f>HYPERLINK("https://klasma.github.io/Logging_2039/tillsyn/A 26736-2021 tillsynsbegäran.docx", "A 26736-2021")</f>
        <v/>
      </c>
      <c r="Y782">
        <f>HYPERLINK("https://klasma.github.io/Logging_2039/tillsynsmail/A 26736-2021 tillsynsbegäran mail.docx", "A 26736-2021")</f>
        <v/>
      </c>
    </row>
    <row r="783" ht="15" customHeight="1">
      <c r="A783" t="inlineStr">
        <is>
          <t>A 42981-2021</t>
        </is>
      </c>
      <c r="B783" s="1" t="n">
        <v>44427</v>
      </c>
      <c r="C783" s="1" t="n">
        <v>46114</v>
      </c>
      <c r="D783" t="inlineStr">
        <is>
          <t>DALARNAS LÄN</t>
        </is>
      </c>
      <c r="E783" t="inlineStr">
        <is>
          <t>MALUNG-SÄLEN</t>
        </is>
      </c>
      <c r="G783" t="n">
        <v>3.4</v>
      </c>
      <c r="H783" t="n">
        <v>0</v>
      </c>
      <c r="I783" t="n">
        <v>0</v>
      </c>
      <c r="J783" t="n">
        <v>1</v>
      </c>
      <c r="K783" t="n">
        <v>0</v>
      </c>
      <c r="L783" t="n">
        <v>0</v>
      </c>
      <c r="M783" t="n">
        <v>0</v>
      </c>
      <c r="N783" t="n">
        <v>0</v>
      </c>
      <c r="O783" t="n">
        <v>1</v>
      </c>
      <c r="P783" t="n">
        <v>0</v>
      </c>
      <c r="Q783" t="n">
        <v>1</v>
      </c>
      <c r="R783" s="2" t="inlineStr">
        <is>
          <t>Lunglav</t>
        </is>
      </c>
      <c r="S783">
        <f>HYPERLINK("https://klasma.github.io/Logging_2023/artfynd/A 42981-2021 artfynd.xlsx", "A 42981-2021")</f>
        <v/>
      </c>
      <c r="T783">
        <f>HYPERLINK("https://klasma.github.io/Logging_2023/kartor/A 42981-2021 karta.png", "A 42981-2021")</f>
        <v/>
      </c>
      <c r="V783">
        <f>HYPERLINK("https://klasma.github.io/Logging_2023/klagomål/A 42981-2021 FSC-klagomål.docx", "A 42981-2021")</f>
        <v/>
      </c>
      <c r="W783">
        <f>HYPERLINK("https://klasma.github.io/Logging_2023/klagomålsmail/A 42981-2021 FSC-klagomål mail.docx", "A 42981-2021")</f>
        <v/>
      </c>
      <c r="X783">
        <f>HYPERLINK("https://klasma.github.io/Logging_2023/tillsyn/A 42981-2021 tillsynsbegäran.docx", "A 42981-2021")</f>
        <v/>
      </c>
      <c r="Y783">
        <f>HYPERLINK("https://klasma.github.io/Logging_2023/tillsynsmail/A 42981-2021 tillsynsbegäran mail.docx", "A 42981-2021")</f>
        <v/>
      </c>
    </row>
    <row r="784" ht="15" customHeight="1">
      <c r="A784" t="inlineStr">
        <is>
          <t>A 53580-2021</t>
        </is>
      </c>
      <c r="B784" s="1" t="n">
        <v>44469.33269675926</v>
      </c>
      <c r="C784" s="1" t="n">
        <v>46114</v>
      </c>
      <c r="D784" t="inlineStr">
        <is>
          <t>DALARNAS LÄN</t>
        </is>
      </c>
      <c r="E784" t="inlineStr">
        <is>
          <t>BORLÄNGE</t>
        </is>
      </c>
      <c r="F784" t="inlineStr">
        <is>
          <t>Bergvik skog väst AB</t>
        </is>
      </c>
      <c r="G784" t="n">
        <v>3.3</v>
      </c>
      <c r="H784" t="n">
        <v>0</v>
      </c>
      <c r="I784" t="n">
        <v>1</v>
      </c>
      <c r="J784" t="n">
        <v>0</v>
      </c>
      <c r="K784" t="n">
        <v>0</v>
      </c>
      <c r="L784" t="n">
        <v>0</v>
      </c>
      <c r="M784" t="n">
        <v>0</v>
      </c>
      <c r="N784" t="n">
        <v>0</v>
      </c>
      <c r="O784" t="n">
        <v>0</v>
      </c>
      <c r="P784" t="n">
        <v>0</v>
      </c>
      <c r="Q784" t="n">
        <v>1</v>
      </c>
      <c r="R784" s="2" t="inlineStr">
        <is>
          <t>Mindre märgborre</t>
        </is>
      </c>
      <c r="S784">
        <f>HYPERLINK("https://klasma.github.io/Logging_2081/artfynd/A 53580-2021 artfynd.xlsx", "A 53580-2021")</f>
        <v/>
      </c>
      <c r="T784">
        <f>HYPERLINK("https://klasma.github.io/Logging_2081/kartor/A 53580-2021 karta.png", "A 53580-2021")</f>
        <v/>
      </c>
      <c r="V784">
        <f>HYPERLINK("https://klasma.github.io/Logging_2081/klagomål/A 53580-2021 FSC-klagomål.docx", "A 53580-2021")</f>
        <v/>
      </c>
      <c r="W784">
        <f>HYPERLINK("https://klasma.github.io/Logging_2081/klagomålsmail/A 53580-2021 FSC-klagomål mail.docx", "A 53580-2021")</f>
        <v/>
      </c>
      <c r="X784">
        <f>HYPERLINK("https://klasma.github.io/Logging_2081/tillsyn/A 53580-2021 tillsynsbegäran.docx", "A 53580-2021")</f>
        <v/>
      </c>
      <c r="Y784">
        <f>HYPERLINK("https://klasma.github.io/Logging_2081/tillsynsmail/A 53580-2021 tillsynsbegäran mail.docx", "A 53580-2021")</f>
        <v/>
      </c>
    </row>
    <row r="785" ht="15" customHeight="1">
      <c r="A785" t="inlineStr">
        <is>
          <t>A 25675-2022</t>
        </is>
      </c>
      <c r="B785" s="1" t="n">
        <v>44732</v>
      </c>
      <c r="C785" s="1" t="n">
        <v>46114</v>
      </c>
      <c r="D785" t="inlineStr">
        <is>
          <t>DALARNAS LÄN</t>
        </is>
      </c>
      <c r="E785" t="inlineStr">
        <is>
          <t>SÄTER</t>
        </is>
      </c>
      <c r="F785" t="inlineStr">
        <is>
          <t>Bergvik skog väst AB</t>
        </is>
      </c>
      <c r="G785" t="n">
        <v>4.7</v>
      </c>
      <c r="H785" t="n">
        <v>0</v>
      </c>
      <c r="I785" t="n">
        <v>0</v>
      </c>
      <c r="J785" t="n">
        <v>1</v>
      </c>
      <c r="K785" t="n">
        <v>0</v>
      </c>
      <c r="L785" t="n">
        <v>0</v>
      </c>
      <c r="M785" t="n">
        <v>0</v>
      </c>
      <c r="N785" t="n">
        <v>0</v>
      </c>
      <c r="O785" t="n">
        <v>1</v>
      </c>
      <c r="P785" t="n">
        <v>0</v>
      </c>
      <c r="Q785" t="n">
        <v>1</v>
      </c>
      <c r="R785" s="2" t="inlineStr">
        <is>
          <t>Orange taggsvamp</t>
        </is>
      </c>
      <c r="S785">
        <f>HYPERLINK("https://klasma.github.io/Logging_2082/artfynd/A 25675-2022 artfynd.xlsx", "A 25675-2022")</f>
        <v/>
      </c>
      <c r="T785">
        <f>HYPERLINK("https://klasma.github.io/Logging_2082/kartor/A 25675-2022 karta.png", "A 25675-2022")</f>
        <v/>
      </c>
      <c r="V785">
        <f>HYPERLINK("https://klasma.github.io/Logging_2082/klagomål/A 25675-2022 FSC-klagomål.docx", "A 25675-2022")</f>
        <v/>
      </c>
      <c r="W785">
        <f>HYPERLINK("https://klasma.github.io/Logging_2082/klagomålsmail/A 25675-2022 FSC-klagomål mail.docx", "A 25675-2022")</f>
        <v/>
      </c>
      <c r="X785">
        <f>HYPERLINK("https://klasma.github.io/Logging_2082/tillsyn/A 25675-2022 tillsynsbegäran.docx", "A 25675-2022")</f>
        <v/>
      </c>
      <c r="Y785">
        <f>HYPERLINK("https://klasma.github.io/Logging_2082/tillsynsmail/A 25675-2022 tillsynsbegäran mail.docx", "A 25675-2022")</f>
        <v/>
      </c>
    </row>
    <row r="786" ht="15" customHeight="1">
      <c r="A786" t="inlineStr">
        <is>
          <t>A 18833-2021</t>
        </is>
      </c>
      <c r="B786" s="1" t="n">
        <v>44307</v>
      </c>
      <c r="C786" s="1" t="n">
        <v>46114</v>
      </c>
      <c r="D786" t="inlineStr">
        <is>
          <t>DALARNAS LÄN</t>
        </is>
      </c>
      <c r="E786" t="inlineStr">
        <is>
          <t>VANSBRO</t>
        </is>
      </c>
      <c r="F786" t="inlineStr">
        <is>
          <t>Bergvik skog väst AB</t>
        </is>
      </c>
      <c r="G786" t="n">
        <v>1.2</v>
      </c>
      <c r="H786" t="n">
        <v>1</v>
      </c>
      <c r="I786" t="n">
        <v>0</v>
      </c>
      <c r="J786" t="n">
        <v>0</v>
      </c>
      <c r="K786" t="n">
        <v>1</v>
      </c>
      <c r="L786" t="n">
        <v>0</v>
      </c>
      <c r="M786" t="n">
        <v>0</v>
      </c>
      <c r="N786" t="n">
        <v>0</v>
      </c>
      <c r="O786" t="n">
        <v>1</v>
      </c>
      <c r="P786" t="n">
        <v>1</v>
      </c>
      <c r="Q786" t="n">
        <v>1</v>
      </c>
      <c r="R786" s="2" t="inlineStr">
        <is>
          <t>Knärot</t>
        </is>
      </c>
      <c r="S786">
        <f>HYPERLINK("https://klasma.github.io/Logging_2021/artfynd/A 18833-2021 artfynd.xlsx", "A 18833-2021")</f>
        <v/>
      </c>
      <c r="T786">
        <f>HYPERLINK("https://klasma.github.io/Logging_2021/kartor/A 18833-2021 karta.png", "A 18833-2021")</f>
        <v/>
      </c>
      <c r="U786">
        <f>HYPERLINK("https://klasma.github.io/Logging_2021/knärot/A 18833-2021 karta knärot.png", "A 18833-2021")</f>
        <v/>
      </c>
      <c r="V786">
        <f>HYPERLINK("https://klasma.github.io/Logging_2021/klagomål/A 18833-2021 FSC-klagomål.docx", "A 18833-2021")</f>
        <v/>
      </c>
      <c r="W786">
        <f>HYPERLINK("https://klasma.github.io/Logging_2021/klagomålsmail/A 18833-2021 FSC-klagomål mail.docx", "A 18833-2021")</f>
        <v/>
      </c>
      <c r="X786">
        <f>HYPERLINK("https://klasma.github.io/Logging_2021/tillsyn/A 18833-2021 tillsynsbegäran.docx", "A 18833-2021")</f>
        <v/>
      </c>
      <c r="Y786">
        <f>HYPERLINK("https://klasma.github.io/Logging_2021/tillsynsmail/A 18833-2021 tillsynsbegäran mail.docx", "A 18833-2021")</f>
        <v/>
      </c>
    </row>
    <row r="787" ht="15" customHeight="1">
      <c r="A787" t="inlineStr">
        <is>
          <t>A 52669-2021</t>
        </is>
      </c>
      <c r="B787" s="1" t="n">
        <v>44464</v>
      </c>
      <c r="C787" s="1" t="n">
        <v>46114</v>
      </c>
      <c r="D787" t="inlineStr">
        <is>
          <t>DALARNAS LÄN</t>
        </is>
      </c>
      <c r="E787" t="inlineStr">
        <is>
          <t>MALUNG-SÄLEN</t>
        </is>
      </c>
      <c r="G787" t="n">
        <v>0.2</v>
      </c>
      <c r="H787" t="n">
        <v>0</v>
      </c>
      <c r="I787" t="n">
        <v>0</v>
      </c>
      <c r="J787" t="n">
        <v>1</v>
      </c>
      <c r="K787" t="n">
        <v>0</v>
      </c>
      <c r="L787" t="n">
        <v>0</v>
      </c>
      <c r="M787" t="n">
        <v>0</v>
      </c>
      <c r="N787" t="n">
        <v>0</v>
      </c>
      <c r="O787" t="n">
        <v>1</v>
      </c>
      <c r="P787" t="n">
        <v>0</v>
      </c>
      <c r="Q787" t="n">
        <v>1</v>
      </c>
      <c r="R787" s="2" t="inlineStr">
        <is>
          <t>Garnlav</t>
        </is>
      </c>
      <c r="S787">
        <f>HYPERLINK("https://klasma.github.io/Logging_2023/artfynd/A 52669-2021 artfynd.xlsx", "A 52669-2021")</f>
        <v/>
      </c>
      <c r="T787">
        <f>HYPERLINK("https://klasma.github.io/Logging_2023/kartor/A 52669-2021 karta.png", "A 52669-2021")</f>
        <v/>
      </c>
      <c r="V787">
        <f>HYPERLINK("https://klasma.github.io/Logging_2023/klagomål/A 52669-2021 FSC-klagomål.docx", "A 52669-2021")</f>
        <v/>
      </c>
      <c r="W787">
        <f>HYPERLINK("https://klasma.github.io/Logging_2023/klagomålsmail/A 52669-2021 FSC-klagomål mail.docx", "A 52669-2021")</f>
        <v/>
      </c>
      <c r="X787">
        <f>HYPERLINK("https://klasma.github.io/Logging_2023/tillsyn/A 52669-2021 tillsynsbegäran.docx", "A 52669-2021")</f>
        <v/>
      </c>
      <c r="Y787">
        <f>HYPERLINK("https://klasma.github.io/Logging_2023/tillsynsmail/A 52669-2021 tillsynsbegäran mail.docx", "A 52669-2021")</f>
        <v/>
      </c>
    </row>
    <row r="788" ht="15" customHeight="1">
      <c r="A788" t="inlineStr">
        <is>
          <t>A 50688-2021</t>
        </is>
      </c>
      <c r="B788" s="1" t="n">
        <v>44460</v>
      </c>
      <c r="C788" s="1" t="n">
        <v>46114</v>
      </c>
      <c r="D788" t="inlineStr">
        <is>
          <t>DALARNAS LÄN</t>
        </is>
      </c>
      <c r="E788" t="inlineStr">
        <is>
          <t>VANSBRO</t>
        </is>
      </c>
      <c r="F788" t="inlineStr">
        <is>
          <t>Bergvik skog öst AB</t>
        </is>
      </c>
      <c r="G788" t="n">
        <v>2.3</v>
      </c>
      <c r="H788" t="n">
        <v>0</v>
      </c>
      <c r="I788" t="n">
        <v>0</v>
      </c>
      <c r="J788" t="n">
        <v>0</v>
      </c>
      <c r="K788" t="n">
        <v>1</v>
      </c>
      <c r="L788" t="n">
        <v>0</v>
      </c>
      <c r="M788" t="n">
        <v>0</v>
      </c>
      <c r="N788" t="n">
        <v>0</v>
      </c>
      <c r="O788" t="n">
        <v>1</v>
      </c>
      <c r="P788" t="n">
        <v>1</v>
      </c>
      <c r="Q788" t="n">
        <v>1</v>
      </c>
      <c r="R788" s="2" t="inlineStr">
        <is>
          <t>Rynkskinn</t>
        </is>
      </c>
      <c r="S788">
        <f>HYPERLINK("https://klasma.github.io/Logging_2021/artfynd/A 50688-2021 artfynd.xlsx", "A 50688-2021")</f>
        <v/>
      </c>
      <c r="T788">
        <f>HYPERLINK("https://klasma.github.io/Logging_2021/kartor/A 50688-2021 karta.png", "A 50688-2021")</f>
        <v/>
      </c>
      <c r="V788">
        <f>HYPERLINK("https://klasma.github.io/Logging_2021/klagomål/A 50688-2021 FSC-klagomål.docx", "A 50688-2021")</f>
        <v/>
      </c>
      <c r="W788">
        <f>HYPERLINK("https://klasma.github.io/Logging_2021/klagomålsmail/A 50688-2021 FSC-klagomål mail.docx", "A 50688-2021")</f>
        <v/>
      </c>
      <c r="X788">
        <f>HYPERLINK("https://klasma.github.io/Logging_2021/tillsyn/A 50688-2021 tillsynsbegäran.docx", "A 50688-2021")</f>
        <v/>
      </c>
      <c r="Y788">
        <f>HYPERLINK("https://klasma.github.io/Logging_2021/tillsynsmail/A 50688-2021 tillsynsbegäran mail.docx", "A 50688-2021")</f>
        <v/>
      </c>
    </row>
    <row r="789" ht="15" customHeight="1">
      <c r="A789" t="inlineStr">
        <is>
          <t>A 23476-2022</t>
        </is>
      </c>
      <c r="B789" s="1" t="n">
        <v>44721</v>
      </c>
      <c r="C789" s="1" t="n">
        <v>46114</v>
      </c>
      <c r="D789" t="inlineStr">
        <is>
          <t>DALARNAS LÄN</t>
        </is>
      </c>
      <c r="E789" t="inlineStr">
        <is>
          <t>MALUNG-SÄLEN</t>
        </is>
      </c>
      <c r="F789" t="inlineStr">
        <is>
          <t>Övriga statliga verk och myndigheter</t>
        </is>
      </c>
      <c r="G789" t="n">
        <v>1.2</v>
      </c>
      <c r="H789" t="n">
        <v>0</v>
      </c>
      <c r="I789" t="n">
        <v>1</v>
      </c>
      <c r="J789" t="n">
        <v>0</v>
      </c>
      <c r="K789" t="n">
        <v>0</v>
      </c>
      <c r="L789" t="n">
        <v>0</v>
      </c>
      <c r="M789" t="n">
        <v>0</v>
      </c>
      <c r="N789" t="n">
        <v>0</v>
      </c>
      <c r="O789" t="n">
        <v>0</v>
      </c>
      <c r="P789" t="n">
        <v>0</v>
      </c>
      <c r="Q789" t="n">
        <v>1</v>
      </c>
      <c r="R789" s="2" t="inlineStr">
        <is>
          <t>Sotlav</t>
        </is>
      </c>
      <c r="S789">
        <f>HYPERLINK("https://klasma.github.io/Logging_2023/artfynd/A 23476-2022 artfynd.xlsx", "A 23476-2022")</f>
        <v/>
      </c>
      <c r="T789">
        <f>HYPERLINK("https://klasma.github.io/Logging_2023/kartor/A 23476-2022 karta.png", "A 23476-2022")</f>
        <v/>
      </c>
      <c r="V789">
        <f>HYPERLINK("https://klasma.github.io/Logging_2023/klagomål/A 23476-2022 FSC-klagomål.docx", "A 23476-2022")</f>
        <v/>
      </c>
      <c r="W789">
        <f>HYPERLINK("https://klasma.github.io/Logging_2023/klagomålsmail/A 23476-2022 FSC-klagomål mail.docx", "A 23476-2022")</f>
        <v/>
      </c>
      <c r="X789">
        <f>HYPERLINK("https://klasma.github.io/Logging_2023/tillsyn/A 23476-2022 tillsynsbegäran.docx", "A 23476-2022")</f>
        <v/>
      </c>
      <c r="Y789">
        <f>HYPERLINK("https://klasma.github.io/Logging_2023/tillsynsmail/A 23476-2022 tillsynsbegäran mail.docx", "A 23476-2022")</f>
        <v/>
      </c>
    </row>
    <row r="790" ht="15" customHeight="1">
      <c r="A790" t="inlineStr">
        <is>
          <t>A 20142-2022</t>
        </is>
      </c>
      <c r="B790" s="1" t="n">
        <v>44698</v>
      </c>
      <c r="C790" s="1" t="n">
        <v>46114</v>
      </c>
      <c r="D790" t="inlineStr">
        <is>
          <t>DALARNAS LÄN</t>
        </is>
      </c>
      <c r="E790" t="inlineStr">
        <is>
          <t>FALUN</t>
        </is>
      </c>
      <c r="F790" t="inlineStr">
        <is>
          <t>Bergvik skog väst AB</t>
        </is>
      </c>
      <c r="G790" t="n">
        <v>1.9</v>
      </c>
      <c r="H790" t="n">
        <v>0</v>
      </c>
      <c r="I790" t="n">
        <v>0</v>
      </c>
      <c r="J790" t="n">
        <v>1</v>
      </c>
      <c r="K790" t="n">
        <v>0</v>
      </c>
      <c r="L790" t="n">
        <v>0</v>
      </c>
      <c r="M790" t="n">
        <v>0</v>
      </c>
      <c r="N790" t="n">
        <v>0</v>
      </c>
      <c r="O790" t="n">
        <v>1</v>
      </c>
      <c r="P790" t="n">
        <v>0</v>
      </c>
      <c r="Q790" t="n">
        <v>1</v>
      </c>
      <c r="R790" s="2" t="inlineStr">
        <is>
          <t>Garnlav</t>
        </is>
      </c>
      <c r="S790">
        <f>HYPERLINK("https://klasma.github.io/Logging_2080/artfynd/A 20142-2022 artfynd.xlsx", "A 20142-2022")</f>
        <v/>
      </c>
      <c r="T790">
        <f>HYPERLINK("https://klasma.github.io/Logging_2080/kartor/A 20142-2022 karta.png", "A 20142-2022")</f>
        <v/>
      </c>
      <c r="V790">
        <f>HYPERLINK("https://klasma.github.io/Logging_2080/klagomål/A 20142-2022 FSC-klagomål.docx", "A 20142-2022")</f>
        <v/>
      </c>
      <c r="W790">
        <f>HYPERLINK("https://klasma.github.io/Logging_2080/klagomålsmail/A 20142-2022 FSC-klagomål mail.docx", "A 20142-2022")</f>
        <v/>
      </c>
      <c r="X790">
        <f>HYPERLINK("https://klasma.github.io/Logging_2080/tillsyn/A 20142-2022 tillsynsbegäran.docx", "A 20142-2022")</f>
        <v/>
      </c>
      <c r="Y790">
        <f>HYPERLINK("https://klasma.github.io/Logging_2080/tillsynsmail/A 20142-2022 tillsynsbegäran mail.docx", "A 20142-2022")</f>
        <v/>
      </c>
    </row>
    <row r="791" ht="15" customHeight="1">
      <c r="A791" t="inlineStr">
        <is>
          <t>A 49889-2022</t>
        </is>
      </c>
      <c r="B791" s="1" t="n">
        <v>44864</v>
      </c>
      <c r="C791" s="1" t="n">
        <v>46114</v>
      </c>
      <c r="D791" t="inlineStr">
        <is>
          <t>DALARNAS LÄN</t>
        </is>
      </c>
      <c r="E791" t="inlineStr">
        <is>
          <t>HEDEMORA</t>
        </is>
      </c>
      <c r="F791" t="inlineStr">
        <is>
          <t>Sveaskog</t>
        </is>
      </c>
      <c r="G791" t="n">
        <v>6.8</v>
      </c>
      <c r="H791" t="n">
        <v>1</v>
      </c>
      <c r="I791" t="n">
        <v>0</v>
      </c>
      <c r="J791" t="n">
        <v>0</v>
      </c>
      <c r="K791" t="n">
        <v>1</v>
      </c>
      <c r="L791" t="n">
        <v>0</v>
      </c>
      <c r="M791" t="n">
        <v>0</v>
      </c>
      <c r="N791" t="n">
        <v>0</v>
      </c>
      <c r="O791" t="n">
        <v>1</v>
      </c>
      <c r="P791" t="n">
        <v>1</v>
      </c>
      <c r="Q791" t="n">
        <v>1</v>
      </c>
      <c r="R791" s="2" t="inlineStr">
        <is>
          <t>Knärot</t>
        </is>
      </c>
      <c r="S791">
        <f>HYPERLINK("https://klasma.github.io/Logging_2083/artfynd/A 49889-2022 artfynd.xlsx", "A 49889-2022")</f>
        <v/>
      </c>
      <c r="T791">
        <f>HYPERLINK("https://klasma.github.io/Logging_2083/kartor/A 49889-2022 karta.png", "A 49889-2022")</f>
        <v/>
      </c>
      <c r="U791">
        <f>HYPERLINK("https://klasma.github.io/Logging_2083/knärot/A 49889-2022 karta knärot.png", "A 49889-2022")</f>
        <v/>
      </c>
      <c r="V791">
        <f>HYPERLINK("https://klasma.github.io/Logging_2083/klagomål/A 49889-2022 FSC-klagomål.docx", "A 49889-2022")</f>
        <v/>
      </c>
      <c r="W791">
        <f>HYPERLINK("https://klasma.github.io/Logging_2083/klagomålsmail/A 49889-2022 FSC-klagomål mail.docx", "A 49889-2022")</f>
        <v/>
      </c>
      <c r="X791">
        <f>HYPERLINK("https://klasma.github.io/Logging_2083/tillsyn/A 49889-2022 tillsynsbegäran.docx", "A 49889-2022")</f>
        <v/>
      </c>
      <c r="Y791">
        <f>HYPERLINK("https://klasma.github.io/Logging_2083/tillsynsmail/A 49889-2022 tillsynsbegäran mail.docx", "A 49889-2022")</f>
        <v/>
      </c>
    </row>
    <row r="792" ht="15" customHeight="1">
      <c r="A792" t="inlineStr">
        <is>
          <t>A 12997-2022</t>
        </is>
      </c>
      <c r="B792" s="1" t="n">
        <v>44643.43515046296</v>
      </c>
      <c r="C792" s="1" t="n">
        <v>46114</v>
      </c>
      <c r="D792" t="inlineStr">
        <is>
          <t>DALARNAS LÄN</t>
        </is>
      </c>
      <c r="E792" t="inlineStr">
        <is>
          <t>AVESTA</t>
        </is>
      </c>
      <c r="G792" t="n">
        <v>0.6</v>
      </c>
      <c r="H792" t="n">
        <v>1</v>
      </c>
      <c r="I792" t="n">
        <v>0</v>
      </c>
      <c r="J792" t="n">
        <v>1</v>
      </c>
      <c r="K792" t="n">
        <v>0</v>
      </c>
      <c r="L792" t="n">
        <v>0</v>
      </c>
      <c r="M792" t="n">
        <v>0</v>
      </c>
      <c r="N792" t="n">
        <v>0</v>
      </c>
      <c r="O792" t="n">
        <v>1</v>
      </c>
      <c r="P792" t="n">
        <v>0</v>
      </c>
      <c r="Q792" t="n">
        <v>1</v>
      </c>
      <c r="R792" s="2" t="inlineStr">
        <is>
          <t>Tretåig hackspett</t>
        </is>
      </c>
      <c r="S792">
        <f>HYPERLINK("https://klasma.github.io/Logging_2084/artfynd/A 12997-2022 artfynd.xlsx", "A 12997-2022")</f>
        <v/>
      </c>
      <c r="T792">
        <f>HYPERLINK("https://klasma.github.io/Logging_2084/kartor/A 12997-2022 karta.png", "A 12997-2022")</f>
        <v/>
      </c>
      <c r="V792">
        <f>HYPERLINK("https://klasma.github.io/Logging_2084/klagomål/A 12997-2022 FSC-klagomål.docx", "A 12997-2022")</f>
        <v/>
      </c>
      <c r="W792">
        <f>HYPERLINK("https://klasma.github.io/Logging_2084/klagomålsmail/A 12997-2022 FSC-klagomål mail.docx", "A 12997-2022")</f>
        <v/>
      </c>
      <c r="X792">
        <f>HYPERLINK("https://klasma.github.io/Logging_2084/tillsyn/A 12997-2022 tillsynsbegäran.docx", "A 12997-2022")</f>
        <v/>
      </c>
      <c r="Y792">
        <f>HYPERLINK("https://klasma.github.io/Logging_2084/tillsynsmail/A 12997-2022 tillsynsbegäran mail.docx", "A 12997-2022")</f>
        <v/>
      </c>
      <c r="Z792">
        <f>HYPERLINK("https://klasma.github.io/Logging_2084/fåglar/A 12997-2022 prioriterade fågelarter.docx", "A 12997-2022")</f>
        <v/>
      </c>
    </row>
    <row r="793" ht="15" customHeight="1">
      <c r="A793" t="inlineStr">
        <is>
          <t>A 41870-2022</t>
        </is>
      </c>
      <c r="B793" s="1" t="n">
        <v>44829.83217592593</v>
      </c>
      <c r="C793" s="1" t="n">
        <v>46114</v>
      </c>
      <c r="D793" t="inlineStr">
        <is>
          <t>DALARNAS LÄN</t>
        </is>
      </c>
      <c r="E793" t="inlineStr">
        <is>
          <t>SMEDJEBACKEN</t>
        </is>
      </c>
      <c r="G793" t="n">
        <v>0.7</v>
      </c>
      <c r="H793" t="n">
        <v>0</v>
      </c>
      <c r="I793" t="n">
        <v>1</v>
      </c>
      <c r="J793" t="n">
        <v>0</v>
      </c>
      <c r="K793" t="n">
        <v>0</v>
      </c>
      <c r="L793" t="n">
        <v>0</v>
      </c>
      <c r="M793" t="n">
        <v>0</v>
      </c>
      <c r="N793" t="n">
        <v>0</v>
      </c>
      <c r="O793" t="n">
        <v>0</v>
      </c>
      <c r="P793" t="n">
        <v>0</v>
      </c>
      <c r="Q793" t="n">
        <v>1</v>
      </c>
      <c r="R793" s="2" t="inlineStr">
        <is>
          <t>Dropptaggsvamp</t>
        </is>
      </c>
      <c r="S793">
        <f>HYPERLINK("https://klasma.github.io/Logging_2061/artfynd/A 41870-2022 artfynd.xlsx", "A 41870-2022")</f>
        <v/>
      </c>
      <c r="T793">
        <f>HYPERLINK("https://klasma.github.io/Logging_2061/kartor/A 41870-2022 karta.png", "A 41870-2022")</f>
        <v/>
      </c>
      <c r="V793">
        <f>HYPERLINK("https://klasma.github.io/Logging_2061/klagomål/A 41870-2022 FSC-klagomål.docx", "A 41870-2022")</f>
        <v/>
      </c>
      <c r="W793">
        <f>HYPERLINK("https://klasma.github.io/Logging_2061/klagomålsmail/A 41870-2022 FSC-klagomål mail.docx", "A 41870-2022")</f>
        <v/>
      </c>
      <c r="X793">
        <f>HYPERLINK("https://klasma.github.io/Logging_2061/tillsyn/A 41870-2022 tillsynsbegäran.docx", "A 41870-2022")</f>
        <v/>
      </c>
      <c r="Y793">
        <f>HYPERLINK("https://klasma.github.io/Logging_2061/tillsynsmail/A 41870-2022 tillsynsbegäran mail.docx", "A 41870-2022")</f>
        <v/>
      </c>
    </row>
    <row r="794" ht="15" customHeight="1">
      <c r="A794" t="inlineStr">
        <is>
          <t>A 23137-2022</t>
        </is>
      </c>
      <c r="B794" s="1" t="n">
        <v>44719</v>
      </c>
      <c r="C794" s="1" t="n">
        <v>46114</v>
      </c>
      <c r="D794" t="inlineStr">
        <is>
          <t>DALARNAS LÄN</t>
        </is>
      </c>
      <c r="E794" t="inlineStr">
        <is>
          <t>LEKSAND</t>
        </is>
      </c>
      <c r="G794" t="n">
        <v>3</v>
      </c>
      <c r="H794" t="n">
        <v>0</v>
      </c>
      <c r="I794" t="n">
        <v>0</v>
      </c>
      <c r="J794" t="n">
        <v>0</v>
      </c>
      <c r="K794" t="n">
        <v>1</v>
      </c>
      <c r="L794" t="n">
        <v>0</v>
      </c>
      <c r="M794" t="n">
        <v>0</v>
      </c>
      <c r="N794" t="n">
        <v>0</v>
      </c>
      <c r="O794" t="n">
        <v>1</v>
      </c>
      <c r="P794" t="n">
        <v>1</v>
      </c>
      <c r="Q794" t="n">
        <v>1</v>
      </c>
      <c r="R794" s="2" t="inlineStr">
        <is>
          <t>Koppartaggsvamp</t>
        </is>
      </c>
      <c r="S794">
        <f>HYPERLINK("https://klasma.github.io/Logging_2029/artfynd/A 23137-2022 artfynd.xlsx", "A 23137-2022")</f>
        <v/>
      </c>
      <c r="T794">
        <f>HYPERLINK("https://klasma.github.io/Logging_2029/kartor/A 23137-2022 karta.png", "A 23137-2022")</f>
        <v/>
      </c>
      <c r="V794">
        <f>HYPERLINK("https://klasma.github.io/Logging_2029/klagomål/A 23137-2022 FSC-klagomål.docx", "A 23137-2022")</f>
        <v/>
      </c>
      <c r="W794">
        <f>HYPERLINK("https://klasma.github.io/Logging_2029/klagomålsmail/A 23137-2022 FSC-klagomål mail.docx", "A 23137-2022")</f>
        <v/>
      </c>
      <c r="X794">
        <f>HYPERLINK("https://klasma.github.io/Logging_2029/tillsyn/A 23137-2022 tillsynsbegäran.docx", "A 23137-2022")</f>
        <v/>
      </c>
      <c r="Y794">
        <f>HYPERLINK("https://klasma.github.io/Logging_2029/tillsynsmail/A 23137-2022 tillsynsbegäran mail.docx", "A 23137-2022")</f>
        <v/>
      </c>
    </row>
    <row r="795" ht="15" customHeight="1">
      <c r="A795" t="inlineStr">
        <is>
          <t>A 18020-2024</t>
        </is>
      </c>
      <c r="B795" s="1" t="n">
        <v>45420.29810185185</v>
      </c>
      <c r="C795" s="1" t="n">
        <v>46114</v>
      </c>
      <c r="D795" t="inlineStr">
        <is>
          <t>DALARNAS LÄN</t>
        </is>
      </c>
      <c r="E795" t="inlineStr">
        <is>
          <t>SMEDJEBACKEN</t>
        </is>
      </c>
      <c r="F795" t="inlineStr">
        <is>
          <t>Sveaskog</t>
        </is>
      </c>
      <c r="G795" t="n">
        <v>2.1</v>
      </c>
      <c r="H795" t="n">
        <v>0</v>
      </c>
      <c r="I795" t="n">
        <v>1</v>
      </c>
      <c r="J795" t="n">
        <v>0</v>
      </c>
      <c r="K795" t="n">
        <v>0</v>
      </c>
      <c r="L795" t="n">
        <v>0</v>
      </c>
      <c r="M795" t="n">
        <v>0</v>
      </c>
      <c r="N795" t="n">
        <v>0</v>
      </c>
      <c r="O795" t="n">
        <v>0</v>
      </c>
      <c r="P795" t="n">
        <v>0</v>
      </c>
      <c r="Q795" t="n">
        <v>1</v>
      </c>
      <c r="R795" s="2" t="inlineStr">
        <is>
          <t>Svavelriska</t>
        </is>
      </c>
      <c r="S795">
        <f>HYPERLINK("https://klasma.github.io/Logging_2061/artfynd/A 18020-2024 artfynd.xlsx", "A 18020-2024")</f>
        <v/>
      </c>
      <c r="T795">
        <f>HYPERLINK("https://klasma.github.io/Logging_2061/kartor/A 18020-2024 karta.png", "A 18020-2024")</f>
        <v/>
      </c>
      <c r="V795">
        <f>HYPERLINK("https://klasma.github.io/Logging_2061/klagomål/A 18020-2024 FSC-klagomål.docx", "A 18020-2024")</f>
        <v/>
      </c>
      <c r="W795">
        <f>HYPERLINK("https://klasma.github.io/Logging_2061/klagomålsmail/A 18020-2024 FSC-klagomål mail.docx", "A 18020-2024")</f>
        <v/>
      </c>
      <c r="X795">
        <f>HYPERLINK("https://klasma.github.io/Logging_2061/tillsyn/A 18020-2024 tillsynsbegäran.docx", "A 18020-2024")</f>
        <v/>
      </c>
      <c r="Y795">
        <f>HYPERLINK("https://klasma.github.io/Logging_2061/tillsynsmail/A 18020-2024 tillsynsbegäran mail.docx", "A 18020-2024")</f>
        <v/>
      </c>
    </row>
    <row r="796" ht="15" customHeight="1">
      <c r="A796" t="inlineStr">
        <is>
          <t>A 42614-2024</t>
        </is>
      </c>
      <c r="B796" s="1" t="n">
        <v>45565</v>
      </c>
      <c r="C796" s="1" t="n">
        <v>46114</v>
      </c>
      <c r="D796" t="inlineStr">
        <is>
          <t>DALARNAS LÄN</t>
        </is>
      </c>
      <c r="E796" t="inlineStr">
        <is>
          <t>HEDEMORA</t>
        </is>
      </c>
      <c r="F796" t="inlineStr">
        <is>
          <t>Sveaskog</t>
        </is>
      </c>
      <c r="G796" t="n">
        <v>3</v>
      </c>
      <c r="H796" t="n">
        <v>1</v>
      </c>
      <c r="I796" t="n">
        <v>0</v>
      </c>
      <c r="J796" t="n">
        <v>1</v>
      </c>
      <c r="K796" t="n">
        <v>0</v>
      </c>
      <c r="L796" t="n">
        <v>0</v>
      </c>
      <c r="M796" t="n">
        <v>0</v>
      </c>
      <c r="N796" t="n">
        <v>0</v>
      </c>
      <c r="O796" t="n">
        <v>1</v>
      </c>
      <c r="P796" t="n">
        <v>0</v>
      </c>
      <c r="Q796" t="n">
        <v>1</v>
      </c>
      <c r="R796" s="2" t="inlineStr">
        <is>
          <t>Talltita</t>
        </is>
      </c>
      <c r="S796">
        <f>HYPERLINK("https://klasma.github.io/Logging_2083/artfynd/A 42614-2024 artfynd.xlsx", "A 42614-2024")</f>
        <v/>
      </c>
      <c r="T796">
        <f>HYPERLINK("https://klasma.github.io/Logging_2083/kartor/A 42614-2024 karta.png", "A 42614-2024")</f>
        <v/>
      </c>
      <c r="V796">
        <f>HYPERLINK("https://klasma.github.io/Logging_2083/klagomål/A 42614-2024 FSC-klagomål.docx", "A 42614-2024")</f>
        <v/>
      </c>
      <c r="W796">
        <f>HYPERLINK("https://klasma.github.io/Logging_2083/klagomålsmail/A 42614-2024 FSC-klagomål mail.docx", "A 42614-2024")</f>
        <v/>
      </c>
      <c r="X796">
        <f>HYPERLINK("https://klasma.github.io/Logging_2083/tillsyn/A 42614-2024 tillsynsbegäran.docx", "A 42614-2024")</f>
        <v/>
      </c>
      <c r="Y796">
        <f>HYPERLINK("https://klasma.github.io/Logging_2083/tillsynsmail/A 42614-2024 tillsynsbegäran mail.docx", "A 42614-2024")</f>
        <v/>
      </c>
      <c r="Z796">
        <f>HYPERLINK("https://klasma.github.io/Logging_2083/fåglar/A 42614-2024 prioriterade fågelarter.docx", "A 42614-2024")</f>
        <v/>
      </c>
    </row>
    <row r="797" ht="15" customHeight="1">
      <c r="A797" t="inlineStr">
        <is>
          <t>A 60150-2023</t>
        </is>
      </c>
      <c r="B797" s="1" t="n">
        <v>45258</v>
      </c>
      <c r="C797" s="1" t="n">
        <v>46114</v>
      </c>
      <c r="D797" t="inlineStr">
        <is>
          <t>DALARNAS LÄN</t>
        </is>
      </c>
      <c r="E797" t="inlineStr">
        <is>
          <t>BORLÄNGE</t>
        </is>
      </c>
      <c r="G797" t="n">
        <v>2.7</v>
      </c>
      <c r="H797" t="n">
        <v>0</v>
      </c>
      <c r="I797" t="n">
        <v>1</v>
      </c>
      <c r="J797" t="n">
        <v>0</v>
      </c>
      <c r="K797" t="n">
        <v>0</v>
      </c>
      <c r="L797" t="n">
        <v>0</v>
      </c>
      <c r="M797" t="n">
        <v>0</v>
      </c>
      <c r="N797" t="n">
        <v>0</v>
      </c>
      <c r="O797" t="n">
        <v>0</v>
      </c>
      <c r="P797" t="n">
        <v>0</v>
      </c>
      <c r="Q797" t="n">
        <v>1</v>
      </c>
      <c r="R797" s="2" t="inlineStr">
        <is>
          <t>Trådticka</t>
        </is>
      </c>
      <c r="S797">
        <f>HYPERLINK("https://klasma.github.io/Logging_2081/artfynd/A 60150-2023 artfynd.xlsx", "A 60150-2023")</f>
        <v/>
      </c>
      <c r="T797">
        <f>HYPERLINK("https://klasma.github.io/Logging_2081/kartor/A 60150-2023 karta.png", "A 60150-2023")</f>
        <v/>
      </c>
      <c r="V797">
        <f>HYPERLINK("https://klasma.github.io/Logging_2081/klagomål/A 60150-2023 FSC-klagomål.docx", "A 60150-2023")</f>
        <v/>
      </c>
      <c r="W797">
        <f>HYPERLINK("https://klasma.github.io/Logging_2081/klagomålsmail/A 60150-2023 FSC-klagomål mail.docx", "A 60150-2023")</f>
        <v/>
      </c>
      <c r="X797">
        <f>HYPERLINK("https://klasma.github.io/Logging_2081/tillsyn/A 60150-2023 tillsynsbegäran.docx", "A 60150-2023")</f>
        <v/>
      </c>
      <c r="Y797">
        <f>HYPERLINK("https://klasma.github.io/Logging_2081/tillsynsmail/A 60150-2023 tillsynsbegäran mail.docx", "A 60150-2023")</f>
        <v/>
      </c>
    </row>
    <row r="798" ht="15" customHeight="1">
      <c r="A798" t="inlineStr">
        <is>
          <t>A 27715-2023</t>
        </is>
      </c>
      <c r="B798" s="1" t="n">
        <v>45098</v>
      </c>
      <c r="C798" s="1" t="n">
        <v>46114</v>
      </c>
      <c r="D798" t="inlineStr">
        <is>
          <t>DALARNAS LÄN</t>
        </is>
      </c>
      <c r="E798" t="inlineStr">
        <is>
          <t>SÄTER</t>
        </is>
      </c>
      <c r="G798" t="n">
        <v>1.4</v>
      </c>
      <c r="H798" t="n">
        <v>1</v>
      </c>
      <c r="I798" t="n">
        <v>0</v>
      </c>
      <c r="J798" t="n">
        <v>0</v>
      </c>
      <c r="K798" t="n">
        <v>0</v>
      </c>
      <c r="L798" t="n">
        <v>0</v>
      </c>
      <c r="M798" t="n">
        <v>0</v>
      </c>
      <c r="N798" t="n">
        <v>0</v>
      </c>
      <c r="O798" t="n">
        <v>0</v>
      </c>
      <c r="P798" t="n">
        <v>0</v>
      </c>
      <c r="Q798" t="n">
        <v>1</v>
      </c>
      <c r="R798" s="2" t="inlineStr">
        <is>
          <t>Mattlummer</t>
        </is>
      </c>
      <c r="S798">
        <f>HYPERLINK("https://klasma.github.io/Logging_2082/artfynd/A 27715-2023 artfynd.xlsx", "A 27715-2023")</f>
        <v/>
      </c>
      <c r="T798">
        <f>HYPERLINK("https://klasma.github.io/Logging_2082/kartor/A 27715-2023 karta.png", "A 27715-2023")</f>
        <v/>
      </c>
      <c r="V798">
        <f>HYPERLINK("https://klasma.github.io/Logging_2082/klagomål/A 27715-2023 FSC-klagomål.docx", "A 27715-2023")</f>
        <v/>
      </c>
      <c r="W798">
        <f>HYPERLINK("https://klasma.github.io/Logging_2082/klagomålsmail/A 27715-2023 FSC-klagomål mail.docx", "A 27715-2023")</f>
        <v/>
      </c>
      <c r="X798">
        <f>HYPERLINK("https://klasma.github.io/Logging_2082/tillsyn/A 27715-2023 tillsynsbegäran.docx", "A 27715-2023")</f>
        <v/>
      </c>
      <c r="Y798">
        <f>HYPERLINK("https://klasma.github.io/Logging_2082/tillsynsmail/A 27715-2023 tillsynsbegäran mail.docx", "A 27715-2023")</f>
        <v/>
      </c>
    </row>
    <row r="799" ht="15" customHeight="1">
      <c r="A799" t="inlineStr">
        <is>
          <t>A 33079-2024</t>
        </is>
      </c>
      <c r="B799" s="1" t="n">
        <v>45517</v>
      </c>
      <c r="C799" s="1" t="n">
        <v>46114</v>
      </c>
      <c r="D799" t="inlineStr">
        <is>
          <t>DALARNAS LÄN</t>
        </is>
      </c>
      <c r="E799" t="inlineStr">
        <is>
          <t>RÄTTVIK</t>
        </is>
      </c>
      <c r="F799" t="inlineStr">
        <is>
          <t>Övriga statliga verk och myndigheter</t>
        </is>
      </c>
      <c r="G799" t="n">
        <v>1.1</v>
      </c>
      <c r="H799" t="n">
        <v>0</v>
      </c>
      <c r="I799" t="n">
        <v>1</v>
      </c>
      <c r="J799" t="n">
        <v>0</v>
      </c>
      <c r="K799" t="n">
        <v>0</v>
      </c>
      <c r="L799" t="n">
        <v>0</v>
      </c>
      <c r="M799" t="n">
        <v>0</v>
      </c>
      <c r="N799" t="n">
        <v>0</v>
      </c>
      <c r="O799" t="n">
        <v>0</v>
      </c>
      <c r="P799" t="n">
        <v>0</v>
      </c>
      <c r="Q799" t="n">
        <v>1</v>
      </c>
      <c r="R799" s="2" t="inlineStr">
        <is>
          <t>Mindre märgborre</t>
        </is>
      </c>
      <c r="S799">
        <f>HYPERLINK("https://klasma.github.io/Logging_2031/artfynd/A 33079-2024 artfynd.xlsx", "A 33079-2024")</f>
        <v/>
      </c>
      <c r="T799">
        <f>HYPERLINK("https://klasma.github.io/Logging_2031/kartor/A 33079-2024 karta.png", "A 33079-2024")</f>
        <v/>
      </c>
      <c r="V799">
        <f>HYPERLINK("https://klasma.github.io/Logging_2031/klagomål/A 33079-2024 FSC-klagomål.docx", "A 33079-2024")</f>
        <v/>
      </c>
      <c r="W799">
        <f>HYPERLINK("https://klasma.github.io/Logging_2031/klagomålsmail/A 33079-2024 FSC-klagomål mail.docx", "A 33079-2024")</f>
        <v/>
      </c>
      <c r="X799">
        <f>HYPERLINK("https://klasma.github.io/Logging_2031/tillsyn/A 33079-2024 tillsynsbegäran.docx", "A 33079-2024")</f>
        <v/>
      </c>
      <c r="Y799">
        <f>HYPERLINK("https://klasma.github.io/Logging_2031/tillsynsmail/A 33079-2024 tillsynsbegäran mail.docx", "A 33079-2024")</f>
        <v/>
      </c>
    </row>
    <row r="800" ht="15" customHeight="1">
      <c r="A800" t="inlineStr">
        <is>
          <t>A 36058-2024</t>
        </is>
      </c>
      <c r="B800" s="1" t="n">
        <v>45533</v>
      </c>
      <c r="C800" s="1" t="n">
        <v>46114</v>
      </c>
      <c r="D800" t="inlineStr">
        <is>
          <t>DALARNAS LÄN</t>
        </is>
      </c>
      <c r="E800" t="inlineStr">
        <is>
          <t>MORA</t>
        </is>
      </c>
      <c r="G800" t="n">
        <v>1</v>
      </c>
      <c r="H800" t="n">
        <v>0</v>
      </c>
      <c r="I800" t="n">
        <v>0</v>
      </c>
      <c r="J800" t="n">
        <v>1</v>
      </c>
      <c r="K800" t="n">
        <v>0</v>
      </c>
      <c r="L800" t="n">
        <v>0</v>
      </c>
      <c r="M800" t="n">
        <v>0</v>
      </c>
      <c r="N800" t="n">
        <v>0</v>
      </c>
      <c r="O800" t="n">
        <v>1</v>
      </c>
      <c r="P800" t="n">
        <v>0</v>
      </c>
      <c r="Q800" t="n">
        <v>1</v>
      </c>
      <c r="R800" s="2" t="inlineStr">
        <is>
          <t>Garnlav</t>
        </is>
      </c>
      <c r="S800">
        <f>HYPERLINK("https://klasma.github.io/Logging_2062/artfynd/A 36058-2024 artfynd.xlsx", "A 36058-2024")</f>
        <v/>
      </c>
      <c r="T800">
        <f>HYPERLINK("https://klasma.github.io/Logging_2062/kartor/A 36058-2024 karta.png", "A 36058-2024")</f>
        <v/>
      </c>
      <c r="V800">
        <f>HYPERLINK("https://klasma.github.io/Logging_2062/klagomål/A 36058-2024 FSC-klagomål.docx", "A 36058-2024")</f>
        <v/>
      </c>
      <c r="W800">
        <f>HYPERLINK("https://klasma.github.io/Logging_2062/klagomålsmail/A 36058-2024 FSC-klagomål mail.docx", "A 36058-2024")</f>
        <v/>
      </c>
      <c r="X800">
        <f>HYPERLINK("https://klasma.github.io/Logging_2062/tillsyn/A 36058-2024 tillsynsbegäran.docx", "A 36058-2024")</f>
        <v/>
      </c>
      <c r="Y800">
        <f>HYPERLINK("https://klasma.github.io/Logging_2062/tillsynsmail/A 36058-2024 tillsynsbegäran mail.docx", "A 36058-2024")</f>
        <v/>
      </c>
    </row>
    <row r="801" ht="15" customHeight="1">
      <c r="A801" t="inlineStr">
        <is>
          <t>A 47620-2024</t>
        </is>
      </c>
      <c r="B801" s="1" t="n">
        <v>45588.32491898148</v>
      </c>
      <c r="C801" s="1" t="n">
        <v>46114</v>
      </c>
      <c r="D801" t="inlineStr">
        <is>
          <t>DALARNAS LÄN</t>
        </is>
      </c>
      <c r="E801" t="inlineStr">
        <is>
          <t>RÄTTVIK</t>
        </is>
      </c>
      <c r="G801" t="n">
        <v>1.1</v>
      </c>
      <c r="H801" t="n">
        <v>0</v>
      </c>
      <c r="I801" t="n">
        <v>0</v>
      </c>
      <c r="J801" t="n">
        <v>1</v>
      </c>
      <c r="K801" t="n">
        <v>0</v>
      </c>
      <c r="L801" t="n">
        <v>0</v>
      </c>
      <c r="M801" t="n">
        <v>0</v>
      </c>
      <c r="N801" t="n">
        <v>0</v>
      </c>
      <c r="O801" t="n">
        <v>1</v>
      </c>
      <c r="P801" t="n">
        <v>0</v>
      </c>
      <c r="Q801" t="n">
        <v>1</v>
      </c>
      <c r="R801" s="2" t="inlineStr">
        <is>
          <t>Lunglav</t>
        </is>
      </c>
      <c r="S801">
        <f>HYPERLINK("https://klasma.github.io/Logging_2031/artfynd/A 47620-2024 artfynd.xlsx", "A 47620-2024")</f>
        <v/>
      </c>
      <c r="T801">
        <f>HYPERLINK("https://klasma.github.io/Logging_2031/kartor/A 47620-2024 karta.png", "A 47620-2024")</f>
        <v/>
      </c>
      <c r="V801">
        <f>HYPERLINK("https://klasma.github.io/Logging_2031/klagomål/A 47620-2024 FSC-klagomål.docx", "A 47620-2024")</f>
        <v/>
      </c>
      <c r="W801">
        <f>HYPERLINK("https://klasma.github.io/Logging_2031/klagomålsmail/A 47620-2024 FSC-klagomål mail.docx", "A 47620-2024")</f>
        <v/>
      </c>
      <c r="X801">
        <f>HYPERLINK("https://klasma.github.io/Logging_2031/tillsyn/A 47620-2024 tillsynsbegäran.docx", "A 47620-2024")</f>
        <v/>
      </c>
      <c r="Y801">
        <f>HYPERLINK("https://klasma.github.io/Logging_2031/tillsynsmail/A 47620-2024 tillsynsbegäran mail.docx", "A 47620-2024")</f>
        <v/>
      </c>
    </row>
    <row r="802" ht="15" customHeight="1">
      <c r="A802" t="inlineStr">
        <is>
          <t>A 33318-2023</t>
        </is>
      </c>
      <c r="B802" s="1" t="n">
        <v>45127</v>
      </c>
      <c r="C802" s="1" t="n">
        <v>46114</v>
      </c>
      <c r="D802" t="inlineStr">
        <is>
          <t>DALARNAS LÄN</t>
        </is>
      </c>
      <c r="E802" t="inlineStr">
        <is>
          <t>LEKSAND</t>
        </is>
      </c>
      <c r="G802" t="n">
        <v>5.5</v>
      </c>
      <c r="H802" t="n">
        <v>1</v>
      </c>
      <c r="I802" t="n">
        <v>0</v>
      </c>
      <c r="J802" t="n">
        <v>0</v>
      </c>
      <c r="K802" t="n">
        <v>0</v>
      </c>
      <c r="L802" t="n">
        <v>0</v>
      </c>
      <c r="M802" t="n">
        <v>0</v>
      </c>
      <c r="N802" t="n">
        <v>0</v>
      </c>
      <c r="O802" t="n">
        <v>0</v>
      </c>
      <c r="P802" t="n">
        <v>0</v>
      </c>
      <c r="Q802" t="n">
        <v>1</v>
      </c>
      <c r="R802" s="2" t="inlineStr">
        <is>
          <t>Sparvuggla</t>
        </is>
      </c>
      <c r="S802">
        <f>HYPERLINK("https://klasma.github.io/Logging_2029/artfynd/A 33318-2023 artfynd.xlsx", "A 33318-2023")</f>
        <v/>
      </c>
      <c r="T802">
        <f>HYPERLINK("https://klasma.github.io/Logging_2029/kartor/A 33318-2023 karta.png", "A 33318-2023")</f>
        <v/>
      </c>
      <c r="V802">
        <f>HYPERLINK("https://klasma.github.io/Logging_2029/klagomål/A 33318-2023 FSC-klagomål.docx", "A 33318-2023")</f>
        <v/>
      </c>
      <c r="W802">
        <f>HYPERLINK("https://klasma.github.io/Logging_2029/klagomålsmail/A 33318-2023 FSC-klagomål mail.docx", "A 33318-2023")</f>
        <v/>
      </c>
      <c r="X802">
        <f>HYPERLINK("https://klasma.github.io/Logging_2029/tillsyn/A 33318-2023 tillsynsbegäran.docx", "A 33318-2023")</f>
        <v/>
      </c>
      <c r="Y802">
        <f>HYPERLINK("https://klasma.github.io/Logging_2029/tillsynsmail/A 33318-2023 tillsynsbegäran mail.docx", "A 33318-2023")</f>
        <v/>
      </c>
      <c r="Z802">
        <f>HYPERLINK("https://klasma.github.io/Logging_2029/fåglar/A 33318-2023 prioriterade fågelarter.docx", "A 33318-2023")</f>
        <v/>
      </c>
    </row>
    <row r="803" ht="15" customHeight="1">
      <c r="A803" t="inlineStr">
        <is>
          <t>A 23707-2023</t>
        </is>
      </c>
      <c r="B803" s="1" t="n">
        <v>45077</v>
      </c>
      <c r="C803" s="1" t="n">
        <v>46114</v>
      </c>
      <c r="D803" t="inlineStr">
        <is>
          <t>DALARNAS LÄN</t>
        </is>
      </c>
      <c r="E803" t="inlineStr">
        <is>
          <t>RÄTTVIK</t>
        </is>
      </c>
      <c r="G803" t="n">
        <v>3.4</v>
      </c>
      <c r="H803" t="n">
        <v>0</v>
      </c>
      <c r="I803" t="n">
        <v>1</v>
      </c>
      <c r="J803" t="n">
        <v>0</v>
      </c>
      <c r="K803" t="n">
        <v>0</v>
      </c>
      <c r="L803" t="n">
        <v>0</v>
      </c>
      <c r="M803" t="n">
        <v>0</v>
      </c>
      <c r="N803" t="n">
        <v>0</v>
      </c>
      <c r="O803" t="n">
        <v>0</v>
      </c>
      <c r="P803" t="n">
        <v>0</v>
      </c>
      <c r="Q803" t="n">
        <v>1</v>
      </c>
      <c r="R803" s="2" t="inlineStr">
        <is>
          <t>Vedticka</t>
        </is>
      </c>
      <c r="S803">
        <f>HYPERLINK("https://klasma.github.io/Logging_2031/artfynd/A 23707-2023 artfynd.xlsx", "A 23707-2023")</f>
        <v/>
      </c>
      <c r="T803">
        <f>HYPERLINK("https://klasma.github.io/Logging_2031/kartor/A 23707-2023 karta.png", "A 23707-2023")</f>
        <v/>
      </c>
      <c r="V803">
        <f>HYPERLINK("https://klasma.github.io/Logging_2031/klagomål/A 23707-2023 FSC-klagomål.docx", "A 23707-2023")</f>
        <v/>
      </c>
      <c r="W803">
        <f>HYPERLINK("https://klasma.github.io/Logging_2031/klagomålsmail/A 23707-2023 FSC-klagomål mail.docx", "A 23707-2023")</f>
        <v/>
      </c>
      <c r="X803">
        <f>HYPERLINK("https://klasma.github.io/Logging_2031/tillsyn/A 23707-2023 tillsynsbegäran.docx", "A 23707-2023")</f>
        <v/>
      </c>
      <c r="Y803">
        <f>HYPERLINK("https://klasma.github.io/Logging_2031/tillsynsmail/A 23707-2023 tillsynsbegäran mail.docx", "A 23707-2023")</f>
        <v/>
      </c>
    </row>
    <row r="804" ht="15" customHeight="1">
      <c r="A804" t="inlineStr">
        <is>
          <t>A 18189-2025</t>
        </is>
      </c>
      <c r="B804" s="1" t="n">
        <v>45761.67243055555</v>
      </c>
      <c r="C804" s="1" t="n">
        <v>46114</v>
      </c>
      <c r="D804" t="inlineStr">
        <is>
          <t>DALARNAS LÄN</t>
        </is>
      </c>
      <c r="E804" t="inlineStr">
        <is>
          <t>LUDVIKA</t>
        </is>
      </c>
      <c r="G804" t="n">
        <v>0.9</v>
      </c>
      <c r="H804" t="n">
        <v>1</v>
      </c>
      <c r="I804" t="n">
        <v>0</v>
      </c>
      <c r="J804" t="n">
        <v>0</v>
      </c>
      <c r="K804" t="n">
        <v>0</v>
      </c>
      <c r="L804" t="n">
        <v>0</v>
      </c>
      <c r="M804" t="n">
        <v>0</v>
      </c>
      <c r="N804" t="n">
        <v>0</v>
      </c>
      <c r="O804" t="n">
        <v>0</v>
      </c>
      <c r="P804" t="n">
        <v>0</v>
      </c>
      <c r="Q804" t="n">
        <v>1</v>
      </c>
      <c r="R804" s="2" t="inlineStr">
        <is>
          <t>Fläcknycklar</t>
        </is>
      </c>
      <c r="S804">
        <f>HYPERLINK("https://klasma.github.io/Logging_2085/artfynd/A 18189-2025 artfynd.xlsx", "A 18189-2025")</f>
        <v/>
      </c>
      <c r="T804">
        <f>HYPERLINK("https://klasma.github.io/Logging_2085/kartor/A 18189-2025 karta.png", "A 18189-2025")</f>
        <v/>
      </c>
      <c r="V804">
        <f>HYPERLINK("https://klasma.github.io/Logging_2085/klagomål/A 18189-2025 FSC-klagomål.docx", "A 18189-2025")</f>
        <v/>
      </c>
      <c r="W804">
        <f>HYPERLINK("https://klasma.github.io/Logging_2085/klagomålsmail/A 18189-2025 FSC-klagomål mail.docx", "A 18189-2025")</f>
        <v/>
      </c>
      <c r="X804">
        <f>HYPERLINK("https://klasma.github.io/Logging_2085/tillsyn/A 18189-2025 tillsynsbegäran.docx", "A 18189-2025")</f>
        <v/>
      </c>
      <c r="Y804">
        <f>HYPERLINK("https://klasma.github.io/Logging_2085/tillsynsmail/A 18189-2025 tillsynsbegäran mail.docx", "A 18189-2025")</f>
        <v/>
      </c>
    </row>
    <row r="805" ht="15" customHeight="1">
      <c r="A805" t="inlineStr">
        <is>
          <t>A 44578-2023</t>
        </is>
      </c>
      <c r="B805" s="1" t="n">
        <v>45189</v>
      </c>
      <c r="C805" s="1" t="n">
        <v>46114</v>
      </c>
      <c r="D805" t="inlineStr">
        <is>
          <t>DALARNAS LÄN</t>
        </is>
      </c>
      <c r="E805" t="inlineStr">
        <is>
          <t>LUDVIKA</t>
        </is>
      </c>
      <c r="F805" t="inlineStr">
        <is>
          <t>Övriga Aktiebolag</t>
        </is>
      </c>
      <c r="G805" t="n">
        <v>12</v>
      </c>
      <c r="H805" t="n">
        <v>0</v>
      </c>
      <c r="I805" t="n">
        <v>0</v>
      </c>
      <c r="J805" t="n">
        <v>1</v>
      </c>
      <c r="K805" t="n">
        <v>0</v>
      </c>
      <c r="L805" t="n">
        <v>0</v>
      </c>
      <c r="M805" t="n">
        <v>0</v>
      </c>
      <c r="N805" t="n">
        <v>0</v>
      </c>
      <c r="O805" t="n">
        <v>1</v>
      </c>
      <c r="P805" t="n">
        <v>0</v>
      </c>
      <c r="Q805" t="n">
        <v>1</v>
      </c>
      <c r="R805" s="2" t="inlineStr">
        <is>
          <t>Dofttaggsvamp</t>
        </is>
      </c>
      <c r="S805">
        <f>HYPERLINK("https://klasma.github.io/Logging_2085/artfynd/A 44578-2023 artfynd.xlsx", "A 44578-2023")</f>
        <v/>
      </c>
      <c r="T805">
        <f>HYPERLINK("https://klasma.github.io/Logging_2085/kartor/A 44578-2023 karta.png", "A 44578-2023")</f>
        <v/>
      </c>
      <c r="V805">
        <f>HYPERLINK("https://klasma.github.io/Logging_2085/klagomål/A 44578-2023 FSC-klagomål.docx", "A 44578-2023")</f>
        <v/>
      </c>
      <c r="W805">
        <f>HYPERLINK("https://klasma.github.io/Logging_2085/klagomålsmail/A 44578-2023 FSC-klagomål mail.docx", "A 44578-2023")</f>
        <v/>
      </c>
      <c r="X805">
        <f>HYPERLINK("https://klasma.github.io/Logging_2085/tillsyn/A 44578-2023 tillsynsbegäran.docx", "A 44578-2023")</f>
        <v/>
      </c>
      <c r="Y805">
        <f>HYPERLINK("https://klasma.github.io/Logging_2085/tillsynsmail/A 44578-2023 tillsynsbegäran mail.docx", "A 44578-2023")</f>
        <v/>
      </c>
    </row>
    <row r="806" ht="15" customHeight="1">
      <c r="A806" t="inlineStr">
        <is>
          <t>A 55268-2023</t>
        </is>
      </c>
      <c r="B806" s="1" t="n">
        <v>45231</v>
      </c>
      <c r="C806" s="1" t="n">
        <v>46114</v>
      </c>
      <c r="D806" t="inlineStr">
        <is>
          <t>DALARNAS LÄN</t>
        </is>
      </c>
      <c r="E806" t="inlineStr">
        <is>
          <t>RÄTTVIK</t>
        </is>
      </c>
      <c r="G806" t="n">
        <v>1.4</v>
      </c>
      <c r="H806" t="n">
        <v>1</v>
      </c>
      <c r="I806" t="n">
        <v>0</v>
      </c>
      <c r="J806" t="n">
        <v>1</v>
      </c>
      <c r="K806" t="n">
        <v>0</v>
      </c>
      <c r="L806" t="n">
        <v>0</v>
      </c>
      <c r="M806" t="n">
        <v>0</v>
      </c>
      <c r="N806" t="n">
        <v>0</v>
      </c>
      <c r="O806" t="n">
        <v>1</v>
      </c>
      <c r="P806" t="n">
        <v>0</v>
      </c>
      <c r="Q806" t="n">
        <v>1</v>
      </c>
      <c r="R806" s="2" t="inlineStr">
        <is>
          <t>Utter</t>
        </is>
      </c>
      <c r="S806">
        <f>HYPERLINK("https://klasma.github.io/Logging_2031/artfynd/A 55268-2023 artfynd.xlsx", "A 55268-2023")</f>
        <v/>
      </c>
      <c r="T806">
        <f>HYPERLINK("https://klasma.github.io/Logging_2031/kartor/A 55268-2023 karta.png", "A 55268-2023")</f>
        <v/>
      </c>
      <c r="V806">
        <f>HYPERLINK("https://klasma.github.io/Logging_2031/klagomål/A 55268-2023 FSC-klagomål.docx", "A 55268-2023")</f>
        <v/>
      </c>
      <c r="W806">
        <f>HYPERLINK("https://klasma.github.io/Logging_2031/klagomålsmail/A 55268-2023 FSC-klagomål mail.docx", "A 55268-2023")</f>
        <v/>
      </c>
      <c r="X806">
        <f>HYPERLINK("https://klasma.github.io/Logging_2031/tillsyn/A 55268-2023 tillsynsbegäran.docx", "A 55268-2023")</f>
        <v/>
      </c>
      <c r="Y806">
        <f>HYPERLINK("https://klasma.github.io/Logging_2031/tillsynsmail/A 55268-2023 tillsynsbegäran mail.docx", "A 55268-2023")</f>
        <v/>
      </c>
    </row>
    <row r="807" ht="15" customHeight="1">
      <c r="A807" t="inlineStr">
        <is>
          <t>A 16094-2024</t>
        </is>
      </c>
      <c r="B807" s="1" t="n">
        <v>45406.41648148148</v>
      </c>
      <c r="C807" s="1" t="n">
        <v>46114</v>
      </c>
      <c r="D807" t="inlineStr">
        <is>
          <t>DALARNAS LÄN</t>
        </is>
      </c>
      <c r="E807" t="inlineStr">
        <is>
          <t>MORA</t>
        </is>
      </c>
      <c r="F807" t="inlineStr">
        <is>
          <t>Bergvik skog väst AB</t>
        </is>
      </c>
      <c r="G807" t="n">
        <v>22.6</v>
      </c>
      <c r="H807" t="n">
        <v>0</v>
      </c>
      <c r="I807" t="n">
        <v>0</v>
      </c>
      <c r="J807" t="n">
        <v>1</v>
      </c>
      <c r="K807" t="n">
        <v>0</v>
      </c>
      <c r="L807" t="n">
        <v>0</v>
      </c>
      <c r="M807" t="n">
        <v>0</v>
      </c>
      <c r="N807" t="n">
        <v>0</v>
      </c>
      <c r="O807" t="n">
        <v>1</v>
      </c>
      <c r="P807" t="n">
        <v>0</v>
      </c>
      <c r="Q807" t="n">
        <v>1</v>
      </c>
      <c r="R807" s="2" t="inlineStr">
        <is>
          <t>Reliktbock</t>
        </is>
      </c>
      <c r="S807">
        <f>HYPERLINK("https://klasma.github.io/Logging_2062/artfynd/A 16094-2024 artfynd.xlsx", "A 16094-2024")</f>
        <v/>
      </c>
      <c r="T807">
        <f>HYPERLINK("https://klasma.github.io/Logging_2062/kartor/A 16094-2024 karta.png", "A 16094-2024")</f>
        <v/>
      </c>
      <c r="V807">
        <f>HYPERLINK("https://klasma.github.io/Logging_2062/klagomål/A 16094-2024 FSC-klagomål.docx", "A 16094-2024")</f>
        <v/>
      </c>
      <c r="W807">
        <f>HYPERLINK("https://klasma.github.io/Logging_2062/klagomålsmail/A 16094-2024 FSC-klagomål mail.docx", "A 16094-2024")</f>
        <v/>
      </c>
      <c r="X807">
        <f>HYPERLINK("https://klasma.github.io/Logging_2062/tillsyn/A 16094-2024 tillsynsbegäran.docx", "A 16094-2024")</f>
        <v/>
      </c>
      <c r="Y807">
        <f>HYPERLINK("https://klasma.github.io/Logging_2062/tillsynsmail/A 16094-2024 tillsynsbegäran mail.docx", "A 16094-2024")</f>
        <v/>
      </c>
    </row>
    <row r="808" ht="15" customHeight="1">
      <c r="A808" t="inlineStr">
        <is>
          <t>A 30691-2024</t>
        </is>
      </c>
      <c r="B808" s="1" t="n">
        <v>45496.26998842593</v>
      </c>
      <c r="C808" s="1" t="n">
        <v>46114</v>
      </c>
      <c r="D808" t="inlineStr">
        <is>
          <t>DALARNAS LÄN</t>
        </is>
      </c>
      <c r="E808" t="inlineStr">
        <is>
          <t>ÄLVDALEN</t>
        </is>
      </c>
      <c r="G808" t="n">
        <v>2.9</v>
      </c>
      <c r="H808" t="n">
        <v>0</v>
      </c>
      <c r="I808" t="n">
        <v>1</v>
      </c>
      <c r="J808" t="n">
        <v>0</v>
      </c>
      <c r="K808" t="n">
        <v>0</v>
      </c>
      <c r="L808" t="n">
        <v>0</v>
      </c>
      <c r="M808" t="n">
        <v>0</v>
      </c>
      <c r="N808" t="n">
        <v>0</v>
      </c>
      <c r="O808" t="n">
        <v>0</v>
      </c>
      <c r="P808" t="n">
        <v>0</v>
      </c>
      <c r="Q808" t="n">
        <v>1</v>
      </c>
      <c r="R808" s="2" t="inlineStr">
        <is>
          <t>Dropptaggsvamp</t>
        </is>
      </c>
      <c r="S808">
        <f>HYPERLINK("https://klasma.github.io/Logging_2039/artfynd/A 30691-2024 artfynd.xlsx", "A 30691-2024")</f>
        <v/>
      </c>
      <c r="T808">
        <f>HYPERLINK("https://klasma.github.io/Logging_2039/kartor/A 30691-2024 karta.png", "A 30691-2024")</f>
        <v/>
      </c>
      <c r="V808">
        <f>HYPERLINK("https://klasma.github.io/Logging_2039/klagomål/A 30691-2024 FSC-klagomål.docx", "A 30691-2024")</f>
        <v/>
      </c>
      <c r="W808">
        <f>HYPERLINK("https://klasma.github.io/Logging_2039/klagomålsmail/A 30691-2024 FSC-klagomål mail.docx", "A 30691-2024")</f>
        <v/>
      </c>
      <c r="X808">
        <f>HYPERLINK("https://klasma.github.io/Logging_2039/tillsyn/A 30691-2024 tillsynsbegäran.docx", "A 30691-2024")</f>
        <v/>
      </c>
      <c r="Y808">
        <f>HYPERLINK("https://klasma.github.io/Logging_2039/tillsynsmail/A 30691-2024 tillsynsbegäran mail.docx", "A 30691-2024")</f>
        <v/>
      </c>
    </row>
    <row r="809" ht="15" customHeight="1">
      <c r="A809" t="inlineStr">
        <is>
          <t>A 23872-2023</t>
        </is>
      </c>
      <c r="B809" s="1" t="n">
        <v>45078</v>
      </c>
      <c r="C809" s="1" t="n">
        <v>46114</v>
      </c>
      <c r="D809" t="inlineStr">
        <is>
          <t>DALARNAS LÄN</t>
        </is>
      </c>
      <c r="E809" t="inlineStr">
        <is>
          <t>ÄLVDALEN</t>
        </is>
      </c>
      <c r="F809" t="inlineStr">
        <is>
          <t>Allmännings- och besparingsskogar</t>
        </is>
      </c>
      <c r="G809" t="n">
        <v>79.5</v>
      </c>
      <c r="H809" t="n">
        <v>1</v>
      </c>
      <c r="I809" t="n">
        <v>0</v>
      </c>
      <c r="J809" t="n">
        <v>0</v>
      </c>
      <c r="K809" t="n">
        <v>0</v>
      </c>
      <c r="L809" t="n">
        <v>0</v>
      </c>
      <c r="M809" t="n">
        <v>0</v>
      </c>
      <c r="N809" t="n">
        <v>0</v>
      </c>
      <c r="O809" t="n">
        <v>0</v>
      </c>
      <c r="P809" t="n">
        <v>0</v>
      </c>
      <c r="Q809" t="n">
        <v>1</v>
      </c>
      <c r="R809" s="2" t="inlineStr">
        <is>
          <t>Vanlig groda</t>
        </is>
      </c>
      <c r="S809">
        <f>HYPERLINK("https://klasma.github.io/Logging_2039/artfynd/A 23872-2023 artfynd.xlsx", "A 23872-2023")</f>
        <v/>
      </c>
      <c r="T809">
        <f>HYPERLINK("https://klasma.github.io/Logging_2039/kartor/A 23872-2023 karta.png", "A 23872-2023")</f>
        <v/>
      </c>
      <c r="V809">
        <f>HYPERLINK("https://klasma.github.io/Logging_2039/klagomål/A 23872-2023 FSC-klagomål.docx", "A 23872-2023")</f>
        <v/>
      </c>
      <c r="W809">
        <f>HYPERLINK("https://klasma.github.io/Logging_2039/klagomålsmail/A 23872-2023 FSC-klagomål mail.docx", "A 23872-2023")</f>
        <v/>
      </c>
      <c r="X809">
        <f>HYPERLINK("https://klasma.github.io/Logging_2039/tillsyn/A 23872-2023 tillsynsbegäran.docx", "A 23872-2023")</f>
        <v/>
      </c>
      <c r="Y809">
        <f>HYPERLINK("https://klasma.github.io/Logging_2039/tillsynsmail/A 23872-2023 tillsynsbegäran mail.docx", "A 23872-2023")</f>
        <v/>
      </c>
    </row>
    <row r="810" ht="15" customHeight="1">
      <c r="A810" t="inlineStr">
        <is>
          <t>A 37313-2024</t>
        </is>
      </c>
      <c r="B810" s="1" t="n">
        <v>45540</v>
      </c>
      <c r="C810" s="1" t="n">
        <v>46114</v>
      </c>
      <c r="D810" t="inlineStr">
        <is>
          <t>DALARNAS LÄN</t>
        </is>
      </c>
      <c r="E810" t="inlineStr">
        <is>
          <t>SMEDJEBACKEN</t>
        </is>
      </c>
      <c r="F810" t="inlineStr">
        <is>
          <t>Bergvik skog väst AB</t>
        </is>
      </c>
      <c r="G810" t="n">
        <v>46.5</v>
      </c>
      <c r="H810" t="n">
        <v>0</v>
      </c>
      <c r="I810" t="n">
        <v>1</v>
      </c>
      <c r="J810" t="n">
        <v>0</v>
      </c>
      <c r="K810" t="n">
        <v>0</v>
      </c>
      <c r="L810" t="n">
        <v>0</v>
      </c>
      <c r="M810" t="n">
        <v>0</v>
      </c>
      <c r="N810" t="n">
        <v>0</v>
      </c>
      <c r="O810" t="n">
        <v>0</v>
      </c>
      <c r="P810" t="n">
        <v>0</v>
      </c>
      <c r="Q810" t="n">
        <v>1</v>
      </c>
      <c r="R810" s="2" t="inlineStr">
        <is>
          <t>Fjällig taggsvamp s.str.</t>
        </is>
      </c>
      <c r="S810">
        <f>HYPERLINK("https://klasma.github.io/Logging_2061/artfynd/A 37313-2024 artfynd.xlsx", "A 37313-2024")</f>
        <v/>
      </c>
      <c r="T810">
        <f>HYPERLINK("https://klasma.github.io/Logging_2061/kartor/A 37313-2024 karta.png", "A 37313-2024")</f>
        <v/>
      </c>
      <c r="V810">
        <f>HYPERLINK("https://klasma.github.io/Logging_2061/klagomål/A 37313-2024 FSC-klagomål.docx", "A 37313-2024")</f>
        <v/>
      </c>
      <c r="W810">
        <f>HYPERLINK("https://klasma.github.io/Logging_2061/klagomålsmail/A 37313-2024 FSC-klagomål mail.docx", "A 37313-2024")</f>
        <v/>
      </c>
      <c r="X810">
        <f>HYPERLINK("https://klasma.github.io/Logging_2061/tillsyn/A 37313-2024 tillsynsbegäran.docx", "A 37313-2024")</f>
        <v/>
      </c>
      <c r="Y810">
        <f>HYPERLINK("https://klasma.github.io/Logging_2061/tillsynsmail/A 37313-2024 tillsynsbegäran mail.docx", "A 37313-2024")</f>
        <v/>
      </c>
    </row>
    <row r="811" ht="15" customHeight="1">
      <c r="A811" t="inlineStr">
        <is>
          <t>A 19614-2024</t>
        </is>
      </c>
      <c r="B811" s="1" t="n">
        <v>45432.30798611111</v>
      </c>
      <c r="C811" s="1" t="n">
        <v>46114</v>
      </c>
      <c r="D811" t="inlineStr">
        <is>
          <t>DALARNAS LÄN</t>
        </is>
      </c>
      <c r="E811" t="inlineStr">
        <is>
          <t>ÄLVDALEN</t>
        </is>
      </c>
      <c r="F811" t="inlineStr">
        <is>
          <t>Sveaskog</t>
        </is>
      </c>
      <c r="G811" t="n">
        <v>2.9</v>
      </c>
      <c r="H811" t="n">
        <v>0</v>
      </c>
      <c r="I811" t="n">
        <v>0</v>
      </c>
      <c r="J811" t="n">
        <v>1</v>
      </c>
      <c r="K811" t="n">
        <v>0</v>
      </c>
      <c r="L811" t="n">
        <v>0</v>
      </c>
      <c r="M811" t="n">
        <v>0</v>
      </c>
      <c r="N811" t="n">
        <v>0</v>
      </c>
      <c r="O811" t="n">
        <v>1</v>
      </c>
      <c r="P811" t="n">
        <v>0</v>
      </c>
      <c r="Q811" t="n">
        <v>1</v>
      </c>
      <c r="R811" s="2" t="inlineStr">
        <is>
          <t>Mörk kolflarnlav</t>
        </is>
      </c>
      <c r="S811">
        <f>HYPERLINK("https://klasma.github.io/Logging_2039/artfynd/A 19614-2024 artfynd.xlsx", "A 19614-2024")</f>
        <v/>
      </c>
      <c r="T811">
        <f>HYPERLINK("https://klasma.github.io/Logging_2039/kartor/A 19614-2024 karta.png", "A 19614-2024")</f>
        <v/>
      </c>
      <c r="V811">
        <f>HYPERLINK("https://klasma.github.io/Logging_2039/klagomål/A 19614-2024 FSC-klagomål.docx", "A 19614-2024")</f>
        <v/>
      </c>
      <c r="W811">
        <f>HYPERLINK("https://klasma.github.io/Logging_2039/klagomålsmail/A 19614-2024 FSC-klagomål mail.docx", "A 19614-2024")</f>
        <v/>
      </c>
      <c r="X811">
        <f>HYPERLINK("https://klasma.github.io/Logging_2039/tillsyn/A 19614-2024 tillsynsbegäran.docx", "A 19614-2024")</f>
        <v/>
      </c>
      <c r="Y811">
        <f>HYPERLINK("https://klasma.github.io/Logging_2039/tillsynsmail/A 19614-2024 tillsynsbegäran mail.docx", "A 19614-2024")</f>
        <v/>
      </c>
    </row>
    <row r="812" ht="15" customHeight="1">
      <c r="A812" t="inlineStr">
        <is>
          <t>A 46963-2023</t>
        </is>
      </c>
      <c r="B812" s="1" t="n">
        <v>45201</v>
      </c>
      <c r="C812" s="1" t="n">
        <v>46114</v>
      </c>
      <c r="D812" t="inlineStr">
        <is>
          <t>DALARNAS LÄN</t>
        </is>
      </c>
      <c r="E812" t="inlineStr">
        <is>
          <t>FALUN</t>
        </is>
      </c>
      <c r="G812" t="n">
        <v>13.6</v>
      </c>
      <c r="H812" t="n">
        <v>1</v>
      </c>
      <c r="I812" t="n">
        <v>0</v>
      </c>
      <c r="J812" t="n">
        <v>1</v>
      </c>
      <c r="K812" t="n">
        <v>0</v>
      </c>
      <c r="L812" t="n">
        <v>0</v>
      </c>
      <c r="M812" t="n">
        <v>0</v>
      </c>
      <c r="N812" t="n">
        <v>0</v>
      </c>
      <c r="O812" t="n">
        <v>1</v>
      </c>
      <c r="P812" t="n">
        <v>0</v>
      </c>
      <c r="Q812" t="n">
        <v>1</v>
      </c>
      <c r="R812" s="2" t="inlineStr">
        <is>
          <t>Talltita</t>
        </is>
      </c>
      <c r="S812">
        <f>HYPERLINK("https://klasma.github.io/Logging_2080/artfynd/A 46963-2023 artfynd.xlsx", "A 46963-2023")</f>
        <v/>
      </c>
      <c r="T812">
        <f>HYPERLINK("https://klasma.github.io/Logging_2080/kartor/A 46963-2023 karta.png", "A 46963-2023")</f>
        <v/>
      </c>
      <c r="V812">
        <f>HYPERLINK("https://klasma.github.io/Logging_2080/klagomål/A 46963-2023 FSC-klagomål.docx", "A 46963-2023")</f>
        <v/>
      </c>
      <c r="W812">
        <f>HYPERLINK("https://klasma.github.io/Logging_2080/klagomålsmail/A 46963-2023 FSC-klagomål mail.docx", "A 46963-2023")</f>
        <v/>
      </c>
      <c r="X812">
        <f>HYPERLINK("https://klasma.github.io/Logging_2080/tillsyn/A 46963-2023 tillsynsbegäran.docx", "A 46963-2023")</f>
        <v/>
      </c>
      <c r="Y812">
        <f>HYPERLINK("https://klasma.github.io/Logging_2080/tillsynsmail/A 46963-2023 tillsynsbegäran mail.docx", "A 46963-2023")</f>
        <v/>
      </c>
      <c r="Z812">
        <f>HYPERLINK("https://klasma.github.io/Logging_2080/fåglar/A 46963-2023 prioriterade fågelarter.docx", "A 46963-2023")</f>
        <v/>
      </c>
    </row>
    <row r="813" ht="15" customHeight="1">
      <c r="A813" t="inlineStr">
        <is>
          <t>A 4974-2025</t>
        </is>
      </c>
      <c r="B813" s="1" t="n">
        <v>45690.8478587963</v>
      </c>
      <c r="C813" s="1" t="n">
        <v>46114</v>
      </c>
      <c r="D813" t="inlineStr">
        <is>
          <t>DALARNAS LÄN</t>
        </is>
      </c>
      <c r="E813" t="inlineStr">
        <is>
          <t>LEKSAND</t>
        </is>
      </c>
      <c r="G813" t="n">
        <v>0.9</v>
      </c>
      <c r="H813" t="n">
        <v>1</v>
      </c>
      <c r="I813" t="n">
        <v>0</v>
      </c>
      <c r="J813" t="n">
        <v>1</v>
      </c>
      <c r="K813" t="n">
        <v>0</v>
      </c>
      <c r="L813" t="n">
        <v>0</v>
      </c>
      <c r="M813" t="n">
        <v>0</v>
      </c>
      <c r="N813" t="n">
        <v>0</v>
      </c>
      <c r="O813" t="n">
        <v>1</v>
      </c>
      <c r="P813" t="n">
        <v>0</v>
      </c>
      <c r="Q813" t="n">
        <v>1</v>
      </c>
      <c r="R813" s="2" t="inlineStr">
        <is>
          <t>Spillkråka</t>
        </is>
      </c>
      <c r="S813">
        <f>HYPERLINK("https://klasma.github.io/Logging_2029/artfynd/A 4974-2025 artfynd.xlsx", "A 4974-2025")</f>
        <v/>
      </c>
      <c r="T813">
        <f>HYPERLINK("https://klasma.github.io/Logging_2029/kartor/A 4974-2025 karta.png", "A 4974-2025")</f>
        <v/>
      </c>
      <c r="V813">
        <f>HYPERLINK("https://klasma.github.io/Logging_2029/klagomål/A 4974-2025 FSC-klagomål.docx", "A 4974-2025")</f>
        <v/>
      </c>
      <c r="W813">
        <f>HYPERLINK("https://klasma.github.io/Logging_2029/klagomålsmail/A 4974-2025 FSC-klagomål mail.docx", "A 4974-2025")</f>
        <v/>
      </c>
      <c r="X813">
        <f>HYPERLINK("https://klasma.github.io/Logging_2029/tillsyn/A 4974-2025 tillsynsbegäran.docx", "A 4974-2025")</f>
        <v/>
      </c>
      <c r="Y813">
        <f>HYPERLINK("https://klasma.github.io/Logging_2029/tillsynsmail/A 4974-2025 tillsynsbegäran mail.docx", "A 4974-2025")</f>
        <v/>
      </c>
      <c r="Z813">
        <f>HYPERLINK("https://klasma.github.io/Logging_2029/fåglar/A 4974-2025 prioriterade fågelarter.docx", "A 4974-2025")</f>
        <v/>
      </c>
    </row>
    <row r="814" ht="15" customHeight="1">
      <c r="A814" t="inlineStr">
        <is>
          <t>A 55550-2022</t>
        </is>
      </c>
      <c r="B814" s="1" t="n">
        <v>44888</v>
      </c>
      <c r="C814" s="1" t="n">
        <v>46114</v>
      </c>
      <c r="D814" t="inlineStr">
        <is>
          <t>DALARNAS LÄN</t>
        </is>
      </c>
      <c r="E814" t="inlineStr">
        <is>
          <t>LUDVIKA</t>
        </is>
      </c>
      <c r="F814" t="inlineStr">
        <is>
          <t>Bergvik skog väst AB</t>
        </is>
      </c>
      <c r="G814" t="n">
        <v>1.1</v>
      </c>
      <c r="H814" t="n">
        <v>0</v>
      </c>
      <c r="I814" t="n">
        <v>1</v>
      </c>
      <c r="J814" t="n">
        <v>0</v>
      </c>
      <c r="K814" t="n">
        <v>0</v>
      </c>
      <c r="L814" t="n">
        <v>0</v>
      </c>
      <c r="M814" t="n">
        <v>0</v>
      </c>
      <c r="N814" t="n">
        <v>0</v>
      </c>
      <c r="O814" t="n">
        <v>0</v>
      </c>
      <c r="P814" t="n">
        <v>0</v>
      </c>
      <c r="Q814" t="n">
        <v>1</v>
      </c>
      <c r="R814" s="2" t="inlineStr">
        <is>
          <t>Ögonpyrola</t>
        </is>
      </c>
      <c r="S814">
        <f>HYPERLINK("https://klasma.github.io/Logging_2085/artfynd/A 55550-2022 artfynd.xlsx", "A 55550-2022")</f>
        <v/>
      </c>
      <c r="T814">
        <f>HYPERLINK("https://klasma.github.io/Logging_2085/kartor/A 55550-2022 karta.png", "A 55550-2022")</f>
        <v/>
      </c>
      <c r="V814">
        <f>HYPERLINK("https://klasma.github.io/Logging_2085/klagomål/A 55550-2022 FSC-klagomål.docx", "A 55550-2022")</f>
        <v/>
      </c>
      <c r="W814">
        <f>HYPERLINK("https://klasma.github.io/Logging_2085/klagomålsmail/A 55550-2022 FSC-klagomål mail.docx", "A 55550-2022")</f>
        <v/>
      </c>
      <c r="X814">
        <f>HYPERLINK("https://klasma.github.io/Logging_2085/tillsyn/A 55550-2022 tillsynsbegäran.docx", "A 55550-2022")</f>
        <v/>
      </c>
      <c r="Y814">
        <f>HYPERLINK("https://klasma.github.io/Logging_2085/tillsynsmail/A 55550-2022 tillsynsbegäran mail.docx", "A 55550-2022")</f>
        <v/>
      </c>
    </row>
    <row r="815" ht="15" customHeight="1">
      <c r="A815" t="inlineStr">
        <is>
          <t>A 53977-2023</t>
        </is>
      </c>
      <c r="B815" s="1" t="n">
        <v>45225</v>
      </c>
      <c r="C815" s="1" t="n">
        <v>46114</v>
      </c>
      <c r="D815" t="inlineStr">
        <is>
          <t>DALARNAS LÄN</t>
        </is>
      </c>
      <c r="E815" t="inlineStr">
        <is>
          <t>SMEDJEBACKEN</t>
        </is>
      </c>
      <c r="F815" t="inlineStr">
        <is>
          <t>Bergvik skog väst AB</t>
        </is>
      </c>
      <c r="G815" t="n">
        <v>7.1</v>
      </c>
      <c r="H815" t="n">
        <v>1</v>
      </c>
      <c r="I815" t="n">
        <v>0</v>
      </c>
      <c r="J815" t="n">
        <v>0</v>
      </c>
      <c r="K815" t="n">
        <v>0</v>
      </c>
      <c r="L815" t="n">
        <v>0</v>
      </c>
      <c r="M815" t="n">
        <v>0</v>
      </c>
      <c r="N815" t="n">
        <v>0</v>
      </c>
      <c r="O815" t="n">
        <v>0</v>
      </c>
      <c r="P815" t="n">
        <v>0</v>
      </c>
      <c r="Q815" t="n">
        <v>1</v>
      </c>
      <c r="R815" s="2" t="inlineStr">
        <is>
          <t>Nattskärra</t>
        </is>
      </c>
      <c r="S815">
        <f>HYPERLINK("https://klasma.github.io/Logging_2061/artfynd/A 53977-2023 artfynd.xlsx", "A 53977-2023")</f>
        <v/>
      </c>
      <c r="T815">
        <f>HYPERLINK("https://klasma.github.io/Logging_2061/kartor/A 53977-2023 karta.png", "A 53977-2023")</f>
        <v/>
      </c>
      <c r="V815">
        <f>HYPERLINK("https://klasma.github.io/Logging_2061/klagomål/A 53977-2023 FSC-klagomål.docx", "A 53977-2023")</f>
        <v/>
      </c>
      <c r="W815">
        <f>HYPERLINK("https://klasma.github.io/Logging_2061/klagomålsmail/A 53977-2023 FSC-klagomål mail.docx", "A 53977-2023")</f>
        <v/>
      </c>
      <c r="X815">
        <f>HYPERLINK("https://klasma.github.io/Logging_2061/tillsyn/A 53977-2023 tillsynsbegäran.docx", "A 53977-2023")</f>
        <v/>
      </c>
      <c r="Y815">
        <f>HYPERLINK("https://klasma.github.io/Logging_2061/tillsynsmail/A 53977-2023 tillsynsbegäran mail.docx", "A 53977-2023")</f>
        <v/>
      </c>
      <c r="Z815">
        <f>HYPERLINK("https://klasma.github.io/Logging_2061/fåglar/A 53977-2023 prioriterade fågelarter.docx", "A 53977-2023")</f>
        <v/>
      </c>
    </row>
    <row r="816" ht="15" customHeight="1">
      <c r="A816" t="inlineStr">
        <is>
          <t>A 37639-2024</t>
        </is>
      </c>
      <c r="B816" s="1" t="n">
        <v>45541.54527777778</v>
      </c>
      <c r="C816" s="1" t="n">
        <v>46114</v>
      </c>
      <c r="D816" t="inlineStr">
        <is>
          <t>DALARNAS LÄN</t>
        </is>
      </c>
      <c r="E816" t="inlineStr">
        <is>
          <t>LUDVIKA</t>
        </is>
      </c>
      <c r="F816" t="inlineStr">
        <is>
          <t>Bergvik skog väst AB</t>
        </is>
      </c>
      <c r="G816" t="n">
        <v>1.6</v>
      </c>
      <c r="H816" t="n">
        <v>0</v>
      </c>
      <c r="I816" t="n">
        <v>1</v>
      </c>
      <c r="J816" t="n">
        <v>0</v>
      </c>
      <c r="K816" t="n">
        <v>0</v>
      </c>
      <c r="L816" t="n">
        <v>0</v>
      </c>
      <c r="M816" t="n">
        <v>0</v>
      </c>
      <c r="N816" t="n">
        <v>0</v>
      </c>
      <c r="O816" t="n">
        <v>0</v>
      </c>
      <c r="P816" t="n">
        <v>0</v>
      </c>
      <c r="Q816" t="n">
        <v>1</v>
      </c>
      <c r="R816" s="2" t="inlineStr">
        <is>
          <t>Gulnål</t>
        </is>
      </c>
      <c r="S816">
        <f>HYPERLINK("https://klasma.github.io/Logging_2085/artfynd/A 37639-2024 artfynd.xlsx", "A 37639-2024")</f>
        <v/>
      </c>
      <c r="T816">
        <f>HYPERLINK("https://klasma.github.io/Logging_2085/kartor/A 37639-2024 karta.png", "A 37639-2024")</f>
        <v/>
      </c>
      <c r="V816">
        <f>HYPERLINK("https://klasma.github.io/Logging_2085/klagomål/A 37639-2024 FSC-klagomål.docx", "A 37639-2024")</f>
        <v/>
      </c>
      <c r="W816">
        <f>HYPERLINK("https://klasma.github.io/Logging_2085/klagomålsmail/A 37639-2024 FSC-klagomål mail.docx", "A 37639-2024")</f>
        <v/>
      </c>
      <c r="X816">
        <f>HYPERLINK("https://klasma.github.io/Logging_2085/tillsyn/A 37639-2024 tillsynsbegäran.docx", "A 37639-2024")</f>
        <v/>
      </c>
      <c r="Y816">
        <f>HYPERLINK("https://klasma.github.io/Logging_2085/tillsynsmail/A 37639-2024 tillsynsbegäran mail.docx", "A 37639-2024")</f>
        <v/>
      </c>
    </row>
    <row r="817" ht="15" customHeight="1">
      <c r="A817" t="inlineStr">
        <is>
          <t>A 33155-2024</t>
        </is>
      </c>
      <c r="B817" s="1" t="n">
        <v>45518.38504629629</v>
      </c>
      <c r="C817" s="1" t="n">
        <v>46114</v>
      </c>
      <c r="D817" t="inlineStr">
        <is>
          <t>DALARNAS LÄN</t>
        </is>
      </c>
      <c r="E817" t="inlineStr">
        <is>
          <t>LUDVIKA</t>
        </is>
      </c>
      <c r="G817" t="n">
        <v>2.9</v>
      </c>
      <c r="H817" t="n">
        <v>0</v>
      </c>
      <c r="I817" t="n">
        <v>0</v>
      </c>
      <c r="J817" t="n">
        <v>1</v>
      </c>
      <c r="K817" t="n">
        <v>0</v>
      </c>
      <c r="L817" t="n">
        <v>0</v>
      </c>
      <c r="M817" t="n">
        <v>0</v>
      </c>
      <c r="N817" t="n">
        <v>0</v>
      </c>
      <c r="O817" t="n">
        <v>1</v>
      </c>
      <c r="P817" t="n">
        <v>0</v>
      </c>
      <c r="Q817" t="n">
        <v>1</v>
      </c>
      <c r="R817" s="2" t="inlineStr">
        <is>
          <t>Brunpudrad nållav</t>
        </is>
      </c>
      <c r="S817">
        <f>HYPERLINK("https://klasma.github.io/Logging_2085/artfynd/A 33155-2024 artfynd.xlsx", "A 33155-2024")</f>
        <v/>
      </c>
      <c r="T817">
        <f>HYPERLINK("https://klasma.github.io/Logging_2085/kartor/A 33155-2024 karta.png", "A 33155-2024")</f>
        <v/>
      </c>
      <c r="V817">
        <f>HYPERLINK("https://klasma.github.io/Logging_2085/klagomål/A 33155-2024 FSC-klagomål.docx", "A 33155-2024")</f>
        <v/>
      </c>
      <c r="W817">
        <f>HYPERLINK("https://klasma.github.io/Logging_2085/klagomålsmail/A 33155-2024 FSC-klagomål mail.docx", "A 33155-2024")</f>
        <v/>
      </c>
      <c r="X817">
        <f>HYPERLINK("https://klasma.github.io/Logging_2085/tillsyn/A 33155-2024 tillsynsbegäran.docx", "A 33155-2024")</f>
        <v/>
      </c>
      <c r="Y817">
        <f>HYPERLINK("https://klasma.github.io/Logging_2085/tillsynsmail/A 33155-2024 tillsynsbegäran mail.docx", "A 33155-2024")</f>
        <v/>
      </c>
    </row>
    <row r="818" ht="15" customHeight="1">
      <c r="A818" t="inlineStr">
        <is>
          <t>A 45516-2023</t>
        </is>
      </c>
      <c r="B818" s="1" t="n">
        <v>45194</v>
      </c>
      <c r="C818" s="1" t="n">
        <v>46114</v>
      </c>
      <c r="D818" t="inlineStr">
        <is>
          <t>DALARNAS LÄN</t>
        </is>
      </c>
      <c r="E818" t="inlineStr">
        <is>
          <t>RÄTTVIK</t>
        </is>
      </c>
      <c r="G818" t="n">
        <v>20.3</v>
      </c>
      <c r="H818" t="n">
        <v>0</v>
      </c>
      <c r="I818" t="n">
        <v>0</v>
      </c>
      <c r="J818" t="n">
        <v>1</v>
      </c>
      <c r="K818" t="n">
        <v>0</v>
      </c>
      <c r="L818" t="n">
        <v>0</v>
      </c>
      <c r="M818" t="n">
        <v>0</v>
      </c>
      <c r="N818" t="n">
        <v>0</v>
      </c>
      <c r="O818" t="n">
        <v>1</v>
      </c>
      <c r="P818" t="n">
        <v>0</v>
      </c>
      <c r="Q818" t="n">
        <v>1</v>
      </c>
      <c r="R818" s="2" t="inlineStr">
        <is>
          <t>Mörk kolflarnlav</t>
        </is>
      </c>
      <c r="S818">
        <f>HYPERLINK("https://klasma.github.io/Logging_2031/artfynd/A 45516-2023 artfynd.xlsx", "A 45516-2023")</f>
        <v/>
      </c>
      <c r="T818">
        <f>HYPERLINK("https://klasma.github.io/Logging_2031/kartor/A 45516-2023 karta.png", "A 45516-2023")</f>
        <v/>
      </c>
      <c r="V818">
        <f>HYPERLINK("https://klasma.github.io/Logging_2031/klagomål/A 45516-2023 FSC-klagomål.docx", "A 45516-2023")</f>
        <v/>
      </c>
      <c r="W818">
        <f>HYPERLINK("https://klasma.github.io/Logging_2031/klagomålsmail/A 45516-2023 FSC-klagomål mail.docx", "A 45516-2023")</f>
        <v/>
      </c>
      <c r="X818">
        <f>HYPERLINK("https://klasma.github.io/Logging_2031/tillsyn/A 45516-2023 tillsynsbegäran.docx", "A 45516-2023")</f>
        <v/>
      </c>
      <c r="Y818">
        <f>HYPERLINK("https://klasma.github.io/Logging_2031/tillsynsmail/A 45516-2023 tillsynsbegäran mail.docx", "A 45516-2023")</f>
        <v/>
      </c>
    </row>
    <row r="819" ht="15" customHeight="1">
      <c r="A819" t="inlineStr">
        <is>
          <t>A 68448-2021</t>
        </is>
      </c>
      <c r="B819" s="1" t="n">
        <v>44529</v>
      </c>
      <c r="C819" s="1" t="n">
        <v>46114</v>
      </c>
      <c r="D819" t="inlineStr">
        <is>
          <t>DALARNAS LÄN</t>
        </is>
      </c>
      <c r="E819" t="inlineStr">
        <is>
          <t>SÄTER</t>
        </is>
      </c>
      <c r="G819" t="n">
        <v>1.4</v>
      </c>
      <c r="H819" t="n">
        <v>1</v>
      </c>
      <c r="I819" t="n">
        <v>0</v>
      </c>
      <c r="J819" t="n">
        <v>0</v>
      </c>
      <c r="K819" t="n">
        <v>1</v>
      </c>
      <c r="L819" t="n">
        <v>0</v>
      </c>
      <c r="M819" t="n">
        <v>0</v>
      </c>
      <c r="N819" t="n">
        <v>0</v>
      </c>
      <c r="O819" t="n">
        <v>1</v>
      </c>
      <c r="P819" t="n">
        <v>1</v>
      </c>
      <c r="Q819" t="n">
        <v>1</v>
      </c>
      <c r="R819" s="2" t="inlineStr">
        <is>
          <t>Knärot</t>
        </is>
      </c>
      <c r="S819">
        <f>HYPERLINK("https://klasma.github.io/Logging_2082/artfynd/A 68448-2021 artfynd.xlsx", "A 68448-2021")</f>
        <v/>
      </c>
      <c r="T819">
        <f>HYPERLINK("https://klasma.github.io/Logging_2082/kartor/A 68448-2021 karta.png", "A 68448-2021")</f>
        <v/>
      </c>
      <c r="U819">
        <f>HYPERLINK("https://klasma.github.io/Logging_2082/knärot/A 68448-2021 karta knärot.png", "A 68448-2021")</f>
        <v/>
      </c>
      <c r="V819">
        <f>HYPERLINK("https://klasma.github.io/Logging_2082/klagomål/A 68448-2021 FSC-klagomål.docx", "A 68448-2021")</f>
        <v/>
      </c>
      <c r="W819">
        <f>HYPERLINK("https://klasma.github.io/Logging_2082/klagomålsmail/A 68448-2021 FSC-klagomål mail.docx", "A 68448-2021")</f>
        <v/>
      </c>
      <c r="X819">
        <f>HYPERLINK("https://klasma.github.io/Logging_2082/tillsyn/A 68448-2021 tillsynsbegäran.docx", "A 68448-2021")</f>
        <v/>
      </c>
      <c r="Y819">
        <f>HYPERLINK("https://klasma.github.io/Logging_2082/tillsynsmail/A 68448-2021 tillsynsbegäran mail.docx", "A 68448-2021")</f>
        <v/>
      </c>
    </row>
    <row r="820" ht="15" customHeight="1">
      <c r="A820" t="inlineStr">
        <is>
          <t>A 34506-2024</t>
        </is>
      </c>
      <c r="B820" s="1" t="n">
        <v>45525.64815972222</v>
      </c>
      <c r="C820" s="1" t="n">
        <v>46114</v>
      </c>
      <c r="D820" t="inlineStr">
        <is>
          <t>DALARNAS LÄN</t>
        </is>
      </c>
      <c r="E820" t="inlineStr">
        <is>
          <t>FALUN</t>
        </is>
      </c>
      <c r="F820" t="inlineStr">
        <is>
          <t>Bergvik skog väst AB</t>
        </is>
      </c>
      <c r="G820" t="n">
        <v>12.5</v>
      </c>
      <c r="H820" t="n">
        <v>1</v>
      </c>
      <c r="I820" t="n">
        <v>0</v>
      </c>
      <c r="J820" t="n">
        <v>0</v>
      </c>
      <c r="K820" t="n">
        <v>1</v>
      </c>
      <c r="L820" t="n">
        <v>0</v>
      </c>
      <c r="M820" t="n">
        <v>0</v>
      </c>
      <c r="N820" t="n">
        <v>0</v>
      </c>
      <c r="O820" t="n">
        <v>1</v>
      </c>
      <c r="P820" t="n">
        <v>1</v>
      </c>
      <c r="Q820" t="n">
        <v>1</v>
      </c>
      <c r="R820" s="2" t="inlineStr">
        <is>
          <t>Knärot</t>
        </is>
      </c>
      <c r="S820">
        <f>HYPERLINK("https://klasma.github.io/Logging_2080/artfynd/A 34506-2024 artfynd.xlsx", "A 34506-2024")</f>
        <v/>
      </c>
      <c r="T820">
        <f>HYPERLINK("https://klasma.github.io/Logging_2080/kartor/A 34506-2024 karta.png", "A 34506-2024")</f>
        <v/>
      </c>
      <c r="U820">
        <f>HYPERLINK("https://klasma.github.io/Logging_2080/knärot/A 34506-2024 karta knärot.png", "A 34506-2024")</f>
        <v/>
      </c>
      <c r="V820">
        <f>HYPERLINK("https://klasma.github.io/Logging_2080/klagomål/A 34506-2024 FSC-klagomål.docx", "A 34506-2024")</f>
        <v/>
      </c>
      <c r="W820">
        <f>HYPERLINK("https://klasma.github.io/Logging_2080/klagomålsmail/A 34506-2024 FSC-klagomål mail.docx", "A 34506-2024")</f>
        <v/>
      </c>
      <c r="X820">
        <f>HYPERLINK("https://klasma.github.io/Logging_2080/tillsyn/A 34506-2024 tillsynsbegäran.docx", "A 34506-2024")</f>
        <v/>
      </c>
      <c r="Y820">
        <f>HYPERLINK("https://klasma.github.io/Logging_2080/tillsynsmail/A 34506-2024 tillsynsbegäran mail.docx", "A 34506-2024")</f>
        <v/>
      </c>
    </row>
    <row r="821" ht="15" customHeight="1">
      <c r="A821" t="inlineStr">
        <is>
          <t>A 42040-2023</t>
        </is>
      </c>
      <c r="B821" s="1" t="n">
        <v>45177</v>
      </c>
      <c r="C821" s="1" t="n">
        <v>46114</v>
      </c>
      <c r="D821" t="inlineStr">
        <is>
          <t>DALARNAS LÄN</t>
        </is>
      </c>
      <c r="E821" t="inlineStr">
        <is>
          <t>BORLÄNGE</t>
        </is>
      </c>
      <c r="G821" t="n">
        <v>4.7</v>
      </c>
      <c r="H821" t="n">
        <v>0</v>
      </c>
      <c r="I821" t="n">
        <v>1</v>
      </c>
      <c r="J821" t="n">
        <v>0</v>
      </c>
      <c r="K821" t="n">
        <v>0</v>
      </c>
      <c r="L821" t="n">
        <v>0</v>
      </c>
      <c r="M821" t="n">
        <v>0</v>
      </c>
      <c r="N821" t="n">
        <v>0</v>
      </c>
      <c r="O821" t="n">
        <v>0</v>
      </c>
      <c r="P821" t="n">
        <v>0</v>
      </c>
      <c r="Q821" t="n">
        <v>1</v>
      </c>
      <c r="R821" s="2" t="inlineStr">
        <is>
          <t>Rödgul trumpetsvamp</t>
        </is>
      </c>
      <c r="S821">
        <f>HYPERLINK("https://klasma.github.io/Logging_2081/artfynd/A 42040-2023 artfynd.xlsx", "A 42040-2023")</f>
        <v/>
      </c>
      <c r="T821">
        <f>HYPERLINK("https://klasma.github.io/Logging_2081/kartor/A 42040-2023 karta.png", "A 42040-2023")</f>
        <v/>
      </c>
      <c r="U821">
        <f>HYPERLINK("https://klasma.github.io/Logging_2081/knärot/A 42040-2023 karta knärot.png", "A 42040-2023")</f>
        <v/>
      </c>
      <c r="V821">
        <f>HYPERLINK("https://klasma.github.io/Logging_2081/klagomål/A 42040-2023 FSC-klagomål.docx", "A 42040-2023")</f>
        <v/>
      </c>
      <c r="W821">
        <f>HYPERLINK("https://klasma.github.io/Logging_2081/klagomålsmail/A 42040-2023 FSC-klagomål mail.docx", "A 42040-2023")</f>
        <v/>
      </c>
      <c r="X821">
        <f>HYPERLINK("https://klasma.github.io/Logging_2081/tillsyn/A 42040-2023 tillsynsbegäran.docx", "A 42040-2023")</f>
        <v/>
      </c>
      <c r="Y821">
        <f>HYPERLINK("https://klasma.github.io/Logging_2081/tillsynsmail/A 42040-2023 tillsynsbegäran mail.docx", "A 42040-2023")</f>
        <v/>
      </c>
    </row>
    <row r="822" ht="15" customHeight="1">
      <c r="A822" t="inlineStr">
        <is>
          <t>A 58609-2023</t>
        </is>
      </c>
      <c r="B822" s="1" t="n">
        <v>45251</v>
      </c>
      <c r="C822" s="1" t="n">
        <v>46114</v>
      </c>
      <c r="D822" t="inlineStr">
        <is>
          <t>DALARNAS LÄN</t>
        </is>
      </c>
      <c r="E822" t="inlineStr">
        <is>
          <t>BORLÄNGE</t>
        </is>
      </c>
      <c r="G822" t="n">
        <v>1.9</v>
      </c>
      <c r="H822" t="n">
        <v>0</v>
      </c>
      <c r="I822" t="n">
        <v>0</v>
      </c>
      <c r="J822" t="n">
        <v>1</v>
      </c>
      <c r="K822" t="n">
        <v>0</v>
      </c>
      <c r="L822" t="n">
        <v>0</v>
      </c>
      <c r="M822" t="n">
        <v>0</v>
      </c>
      <c r="N822" t="n">
        <v>0</v>
      </c>
      <c r="O822" t="n">
        <v>1</v>
      </c>
      <c r="P822" t="n">
        <v>0</v>
      </c>
      <c r="Q822" t="n">
        <v>1</v>
      </c>
      <c r="R822" s="2" t="inlineStr">
        <is>
          <t>Ullticka</t>
        </is>
      </c>
      <c r="S822">
        <f>HYPERLINK("https://klasma.github.io/Logging_2081/artfynd/A 58609-2023 artfynd.xlsx", "A 58609-2023")</f>
        <v/>
      </c>
      <c r="T822">
        <f>HYPERLINK("https://klasma.github.io/Logging_2081/kartor/A 58609-2023 karta.png", "A 58609-2023")</f>
        <v/>
      </c>
      <c r="V822">
        <f>HYPERLINK("https://klasma.github.io/Logging_2081/klagomål/A 58609-2023 FSC-klagomål.docx", "A 58609-2023")</f>
        <v/>
      </c>
      <c r="W822">
        <f>HYPERLINK("https://klasma.github.io/Logging_2081/klagomålsmail/A 58609-2023 FSC-klagomål mail.docx", "A 58609-2023")</f>
        <v/>
      </c>
      <c r="X822">
        <f>HYPERLINK("https://klasma.github.io/Logging_2081/tillsyn/A 58609-2023 tillsynsbegäran.docx", "A 58609-2023")</f>
        <v/>
      </c>
      <c r="Y822">
        <f>HYPERLINK("https://klasma.github.io/Logging_2081/tillsynsmail/A 58609-2023 tillsynsbegäran mail.docx", "A 58609-2023")</f>
        <v/>
      </c>
    </row>
    <row r="823" ht="15" customHeight="1">
      <c r="A823" t="inlineStr">
        <is>
          <t>A 55914-2024</t>
        </is>
      </c>
      <c r="B823" s="1" t="n">
        <v>45623.59393518518</v>
      </c>
      <c r="C823" s="1" t="n">
        <v>46114</v>
      </c>
      <c r="D823" t="inlineStr">
        <is>
          <t>DALARNAS LÄN</t>
        </is>
      </c>
      <c r="E823" t="inlineStr">
        <is>
          <t>MALUNG-SÄLEN</t>
        </is>
      </c>
      <c r="G823" t="n">
        <v>1.3</v>
      </c>
      <c r="H823" t="n">
        <v>0</v>
      </c>
      <c r="I823" t="n">
        <v>0</v>
      </c>
      <c r="J823" t="n">
        <v>1</v>
      </c>
      <c r="K823" t="n">
        <v>0</v>
      </c>
      <c r="L823" t="n">
        <v>0</v>
      </c>
      <c r="M823" t="n">
        <v>0</v>
      </c>
      <c r="N823" t="n">
        <v>0</v>
      </c>
      <c r="O823" t="n">
        <v>1</v>
      </c>
      <c r="P823" t="n">
        <v>0</v>
      </c>
      <c r="Q823" t="n">
        <v>1</v>
      </c>
      <c r="R823" s="2" t="inlineStr">
        <is>
          <t>Lunglav</t>
        </is>
      </c>
      <c r="S823">
        <f>HYPERLINK("https://klasma.github.io/Logging_2023/artfynd/A 55914-2024 artfynd.xlsx", "A 55914-2024")</f>
        <v/>
      </c>
      <c r="T823">
        <f>HYPERLINK("https://klasma.github.io/Logging_2023/kartor/A 55914-2024 karta.png", "A 55914-2024")</f>
        <v/>
      </c>
      <c r="V823">
        <f>HYPERLINK("https://klasma.github.io/Logging_2023/klagomål/A 55914-2024 FSC-klagomål.docx", "A 55914-2024")</f>
        <v/>
      </c>
      <c r="W823">
        <f>HYPERLINK("https://klasma.github.io/Logging_2023/klagomålsmail/A 55914-2024 FSC-klagomål mail.docx", "A 55914-2024")</f>
        <v/>
      </c>
      <c r="X823">
        <f>HYPERLINK("https://klasma.github.io/Logging_2023/tillsyn/A 55914-2024 tillsynsbegäran.docx", "A 55914-2024")</f>
        <v/>
      </c>
      <c r="Y823">
        <f>HYPERLINK("https://klasma.github.io/Logging_2023/tillsynsmail/A 55914-2024 tillsynsbegäran mail.docx", "A 55914-2024")</f>
        <v/>
      </c>
    </row>
    <row r="824" ht="15" customHeight="1">
      <c r="A824" t="inlineStr">
        <is>
          <t>A 17698-2025</t>
        </is>
      </c>
      <c r="B824" s="1" t="n">
        <v>45758</v>
      </c>
      <c r="C824" s="1" t="n">
        <v>46114</v>
      </c>
      <c r="D824" t="inlineStr">
        <is>
          <t>DALARNAS LÄN</t>
        </is>
      </c>
      <c r="E824" t="inlineStr">
        <is>
          <t>RÄTTVIK</t>
        </is>
      </c>
      <c r="F824" t="inlineStr">
        <is>
          <t>Bergvik skog väst AB</t>
        </is>
      </c>
      <c r="G824" t="n">
        <v>10.8</v>
      </c>
      <c r="H824" t="n">
        <v>0</v>
      </c>
      <c r="I824" t="n">
        <v>1</v>
      </c>
      <c r="J824" t="n">
        <v>0</v>
      </c>
      <c r="K824" t="n">
        <v>0</v>
      </c>
      <c r="L824" t="n">
        <v>0</v>
      </c>
      <c r="M824" t="n">
        <v>0</v>
      </c>
      <c r="N824" t="n">
        <v>0</v>
      </c>
      <c r="O824" t="n">
        <v>0</v>
      </c>
      <c r="P824" t="n">
        <v>0</v>
      </c>
      <c r="Q824" t="n">
        <v>1</v>
      </c>
      <c r="R824" s="2" t="inlineStr">
        <is>
          <t>Fjällig taggsvamp s.str.</t>
        </is>
      </c>
      <c r="S824">
        <f>HYPERLINK("https://klasma.github.io/Logging_2031/artfynd/A 17698-2025 artfynd.xlsx", "A 17698-2025")</f>
        <v/>
      </c>
      <c r="T824">
        <f>HYPERLINK("https://klasma.github.io/Logging_2031/kartor/A 17698-2025 karta.png", "A 17698-2025")</f>
        <v/>
      </c>
      <c r="V824">
        <f>HYPERLINK("https://klasma.github.io/Logging_2031/klagomål/A 17698-2025 FSC-klagomål.docx", "A 17698-2025")</f>
        <v/>
      </c>
      <c r="W824">
        <f>HYPERLINK("https://klasma.github.io/Logging_2031/klagomålsmail/A 17698-2025 FSC-klagomål mail.docx", "A 17698-2025")</f>
        <v/>
      </c>
      <c r="X824">
        <f>HYPERLINK("https://klasma.github.io/Logging_2031/tillsyn/A 17698-2025 tillsynsbegäran.docx", "A 17698-2025")</f>
        <v/>
      </c>
      <c r="Y824">
        <f>HYPERLINK("https://klasma.github.io/Logging_2031/tillsynsmail/A 17698-2025 tillsynsbegäran mail.docx", "A 17698-2025")</f>
        <v/>
      </c>
    </row>
    <row r="825" ht="15" customHeight="1">
      <c r="A825" t="inlineStr">
        <is>
          <t>A 50960-2024</t>
        </is>
      </c>
      <c r="B825" s="1" t="n">
        <v>45603.3166550926</v>
      </c>
      <c r="C825" s="1" t="n">
        <v>46114</v>
      </c>
      <c r="D825" t="inlineStr">
        <is>
          <t>DALARNAS LÄN</t>
        </is>
      </c>
      <c r="E825" t="inlineStr">
        <is>
          <t>FALUN</t>
        </is>
      </c>
      <c r="G825" t="n">
        <v>4.1</v>
      </c>
      <c r="H825" t="n">
        <v>1</v>
      </c>
      <c r="I825" t="n">
        <v>0</v>
      </c>
      <c r="J825" t="n">
        <v>0</v>
      </c>
      <c r="K825" t="n">
        <v>0</v>
      </c>
      <c r="L825" t="n">
        <v>0</v>
      </c>
      <c r="M825" t="n">
        <v>0</v>
      </c>
      <c r="N825" t="n">
        <v>0</v>
      </c>
      <c r="O825" t="n">
        <v>0</v>
      </c>
      <c r="P825" t="n">
        <v>0</v>
      </c>
      <c r="Q825" t="n">
        <v>1</v>
      </c>
      <c r="R825" s="2" t="inlineStr">
        <is>
          <t>Tjäder</t>
        </is>
      </c>
      <c r="S825">
        <f>HYPERLINK("https://klasma.github.io/Logging_2080/artfynd/A 50960-2024 artfynd.xlsx", "A 50960-2024")</f>
        <v/>
      </c>
      <c r="T825">
        <f>HYPERLINK("https://klasma.github.io/Logging_2080/kartor/A 50960-2024 karta.png", "A 50960-2024")</f>
        <v/>
      </c>
      <c r="V825">
        <f>HYPERLINK("https://klasma.github.io/Logging_2080/klagomål/A 50960-2024 FSC-klagomål.docx", "A 50960-2024")</f>
        <v/>
      </c>
      <c r="W825">
        <f>HYPERLINK("https://klasma.github.io/Logging_2080/klagomålsmail/A 50960-2024 FSC-klagomål mail.docx", "A 50960-2024")</f>
        <v/>
      </c>
      <c r="X825">
        <f>HYPERLINK("https://klasma.github.io/Logging_2080/tillsyn/A 50960-2024 tillsynsbegäran.docx", "A 50960-2024")</f>
        <v/>
      </c>
      <c r="Y825">
        <f>HYPERLINK("https://klasma.github.io/Logging_2080/tillsynsmail/A 50960-2024 tillsynsbegäran mail.docx", "A 50960-2024")</f>
        <v/>
      </c>
      <c r="Z825">
        <f>HYPERLINK("https://klasma.github.io/Logging_2080/fåglar/A 50960-2024 prioriterade fågelarter.docx", "A 50960-2024")</f>
        <v/>
      </c>
    </row>
    <row r="826" ht="15" customHeight="1">
      <c r="A826" t="inlineStr">
        <is>
          <t>A 60017-2024</t>
        </is>
      </c>
      <c r="B826" s="1" t="n">
        <v>45642</v>
      </c>
      <c r="C826" s="1" t="n">
        <v>46114</v>
      </c>
      <c r="D826" t="inlineStr">
        <is>
          <t>DALARNAS LÄN</t>
        </is>
      </c>
      <c r="E826" t="inlineStr">
        <is>
          <t>HEDEMORA</t>
        </is>
      </c>
      <c r="F826" t="inlineStr">
        <is>
          <t>Sveaskog</t>
        </is>
      </c>
      <c r="G826" t="n">
        <v>0.5</v>
      </c>
      <c r="H826" t="n">
        <v>1</v>
      </c>
      <c r="I826" t="n">
        <v>0</v>
      </c>
      <c r="J826" t="n">
        <v>0</v>
      </c>
      <c r="K826" t="n">
        <v>1</v>
      </c>
      <c r="L826" t="n">
        <v>0</v>
      </c>
      <c r="M826" t="n">
        <v>0</v>
      </c>
      <c r="N826" t="n">
        <v>0</v>
      </c>
      <c r="O826" t="n">
        <v>1</v>
      </c>
      <c r="P826" t="n">
        <v>1</v>
      </c>
      <c r="Q826" t="n">
        <v>1</v>
      </c>
      <c r="R826" s="2" t="inlineStr">
        <is>
          <t>Knärot</t>
        </is>
      </c>
      <c r="S826">
        <f>HYPERLINK("https://klasma.github.io/Logging_2083/artfynd/A 60017-2024 artfynd.xlsx", "A 60017-2024")</f>
        <v/>
      </c>
      <c r="T826">
        <f>HYPERLINK("https://klasma.github.io/Logging_2083/kartor/A 60017-2024 karta.png", "A 60017-2024")</f>
        <v/>
      </c>
      <c r="U826">
        <f>HYPERLINK("https://klasma.github.io/Logging_2083/knärot/A 60017-2024 karta knärot.png", "A 60017-2024")</f>
        <v/>
      </c>
      <c r="V826">
        <f>HYPERLINK("https://klasma.github.io/Logging_2083/klagomål/A 60017-2024 FSC-klagomål.docx", "A 60017-2024")</f>
        <v/>
      </c>
      <c r="W826">
        <f>HYPERLINK("https://klasma.github.io/Logging_2083/klagomålsmail/A 60017-2024 FSC-klagomål mail.docx", "A 60017-2024")</f>
        <v/>
      </c>
      <c r="X826">
        <f>HYPERLINK("https://klasma.github.io/Logging_2083/tillsyn/A 60017-2024 tillsynsbegäran.docx", "A 60017-2024")</f>
        <v/>
      </c>
      <c r="Y826">
        <f>HYPERLINK("https://klasma.github.io/Logging_2083/tillsynsmail/A 60017-2024 tillsynsbegäran mail.docx", "A 60017-2024")</f>
        <v/>
      </c>
    </row>
    <row r="827" ht="15" customHeight="1">
      <c r="A827" t="inlineStr">
        <is>
          <t>A 30870-2024</t>
        </is>
      </c>
      <c r="B827" s="1" t="n">
        <v>45497.8249074074</v>
      </c>
      <c r="C827" s="1" t="n">
        <v>46114</v>
      </c>
      <c r="D827" t="inlineStr">
        <is>
          <t>DALARNAS LÄN</t>
        </is>
      </c>
      <c r="E827" t="inlineStr">
        <is>
          <t>BORLÄNGE</t>
        </is>
      </c>
      <c r="G827" t="n">
        <v>1.8</v>
      </c>
      <c r="H827" t="n">
        <v>1</v>
      </c>
      <c r="I827" t="n">
        <v>0</v>
      </c>
      <c r="J827" t="n">
        <v>0</v>
      </c>
      <c r="K827" t="n">
        <v>1</v>
      </c>
      <c r="L827" t="n">
        <v>0</v>
      </c>
      <c r="M827" t="n">
        <v>0</v>
      </c>
      <c r="N827" t="n">
        <v>0</v>
      </c>
      <c r="O827" t="n">
        <v>1</v>
      </c>
      <c r="P827" t="n">
        <v>1</v>
      </c>
      <c r="Q827" t="n">
        <v>1</v>
      </c>
      <c r="R827" s="2" t="inlineStr">
        <is>
          <t>Knärot</t>
        </is>
      </c>
      <c r="S827">
        <f>HYPERLINK("https://klasma.github.io/Logging_2081/artfynd/A 30870-2024 artfynd.xlsx", "A 30870-2024")</f>
        <v/>
      </c>
      <c r="T827">
        <f>HYPERLINK("https://klasma.github.io/Logging_2081/kartor/A 30870-2024 karta.png", "A 30870-2024")</f>
        <v/>
      </c>
      <c r="U827">
        <f>HYPERLINK("https://klasma.github.io/Logging_2081/knärot/A 30870-2024 karta knärot.png", "A 30870-2024")</f>
        <v/>
      </c>
      <c r="V827">
        <f>HYPERLINK("https://klasma.github.io/Logging_2081/klagomål/A 30870-2024 FSC-klagomål.docx", "A 30870-2024")</f>
        <v/>
      </c>
      <c r="W827">
        <f>HYPERLINK("https://klasma.github.io/Logging_2081/klagomålsmail/A 30870-2024 FSC-klagomål mail.docx", "A 30870-2024")</f>
        <v/>
      </c>
      <c r="X827">
        <f>HYPERLINK("https://klasma.github.io/Logging_2081/tillsyn/A 30870-2024 tillsynsbegäran.docx", "A 30870-2024")</f>
        <v/>
      </c>
      <c r="Y827">
        <f>HYPERLINK("https://klasma.github.io/Logging_2081/tillsynsmail/A 30870-2024 tillsynsbegäran mail.docx", "A 30870-2024")</f>
        <v/>
      </c>
    </row>
    <row r="828" ht="15" customHeight="1">
      <c r="A828" t="inlineStr">
        <is>
          <t>A 54156-2023</t>
        </is>
      </c>
      <c r="B828" s="1" t="n">
        <v>45225</v>
      </c>
      <c r="C828" s="1" t="n">
        <v>46114</v>
      </c>
      <c r="D828" t="inlineStr">
        <is>
          <t>DALARNAS LÄN</t>
        </is>
      </c>
      <c r="E828" t="inlineStr">
        <is>
          <t>SMEDJEBACKEN</t>
        </is>
      </c>
      <c r="F828" t="inlineStr">
        <is>
          <t>Bergvik skog väst AB</t>
        </is>
      </c>
      <c r="G828" t="n">
        <v>26.3</v>
      </c>
      <c r="H828" t="n">
        <v>1</v>
      </c>
      <c r="I828" t="n">
        <v>0</v>
      </c>
      <c r="J828" t="n">
        <v>0</v>
      </c>
      <c r="K828" t="n">
        <v>0</v>
      </c>
      <c r="L828" t="n">
        <v>0</v>
      </c>
      <c r="M828" t="n">
        <v>0</v>
      </c>
      <c r="N828" t="n">
        <v>0</v>
      </c>
      <c r="O828" t="n">
        <v>0</v>
      </c>
      <c r="P828" t="n">
        <v>0</v>
      </c>
      <c r="Q828" t="n">
        <v>1</v>
      </c>
      <c r="R828" s="2" t="inlineStr">
        <is>
          <t>Revlummer</t>
        </is>
      </c>
      <c r="S828">
        <f>HYPERLINK("https://klasma.github.io/Logging_2061/artfynd/A 54156-2023 artfynd.xlsx", "A 54156-2023")</f>
        <v/>
      </c>
      <c r="T828">
        <f>HYPERLINK("https://klasma.github.io/Logging_2061/kartor/A 54156-2023 karta.png", "A 54156-2023")</f>
        <v/>
      </c>
      <c r="V828">
        <f>HYPERLINK("https://klasma.github.io/Logging_2061/klagomål/A 54156-2023 FSC-klagomål.docx", "A 54156-2023")</f>
        <v/>
      </c>
      <c r="W828">
        <f>HYPERLINK("https://klasma.github.io/Logging_2061/klagomålsmail/A 54156-2023 FSC-klagomål mail.docx", "A 54156-2023")</f>
        <v/>
      </c>
      <c r="X828">
        <f>HYPERLINK("https://klasma.github.io/Logging_2061/tillsyn/A 54156-2023 tillsynsbegäran.docx", "A 54156-2023")</f>
        <v/>
      </c>
      <c r="Y828">
        <f>HYPERLINK("https://klasma.github.io/Logging_2061/tillsynsmail/A 54156-2023 tillsynsbegäran mail.docx", "A 54156-2023")</f>
        <v/>
      </c>
    </row>
    <row r="829" ht="15" customHeight="1">
      <c r="A829" t="inlineStr">
        <is>
          <t>A 41873-2022</t>
        </is>
      </c>
      <c r="B829" s="1" t="n">
        <v>44829</v>
      </c>
      <c r="C829" s="1" t="n">
        <v>46114</v>
      </c>
      <c r="D829" t="inlineStr">
        <is>
          <t>DALARNAS LÄN</t>
        </is>
      </c>
      <c r="E829" t="inlineStr">
        <is>
          <t>LEKSAND</t>
        </is>
      </c>
      <c r="G829" t="n">
        <v>2.1</v>
      </c>
      <c r="H829" t="n">
        <v>1</v>
      </c>
      <c r="I829" t="n">
        <v>0</v>
      </c>
      <c r="J829" t="n">
        <v>1</v>
      </c>
      <c r="K829" t="n">
        <v>0</v>
      </c>
      <c r="L829" t="n">
        <v>0</v>
      </c>
      <c r="M829" t="n">
        <v>0</v>
      </c>
      <c r="N829" t="n">
        <v>0</v>
      </c>
      <c r="O829" t="n">
        <v>1</v>
      </c>
      <c r="P829" t="n">
        <v>0</v>
      </c>
      <c r="Q829" t="n">
        <v>1</v>
      </c>
      <c r="R829" s="2" t="inlineStr">
        <is>
          <t>Spillkråka</t>
        </is>
      </c>
      <c r="S829">
        <f>HYPERLINK("https://klasma.github.io/Logging_2029/artfynd/A 41873-2022 artfynd.xlsx", "A 41873-2022")</f>
        <v/>
      </c>
      <c r="T829">
        <f>HYPERLINK("https://klasma.github.io/Logging_2029/kartor/A 41873-2022 karta.png", "A 41873-2022")</f>
        <v/>
      </c>
      <c r="V829">
        <f>HYPERLINK("https://klasma.github.io/Logging_2029/klagomål/A 41873-2022 FSC-klagomål.docx", "A 41873-2022")</f>
        <v/>
      </c>
      <c r="W829">
        <f>HYPERLINK("https://klasma.github.io/Logging_2029/klagomålsmail/A 41873-2022 FSC-klagomål mail.docx", "A 41873-2022")</f>
        <v/>
      </c>
      <c r="X829">
        <f>HYPERLINK("https://klasma.github.io/Logging_2029/tillsyn/A 41873-2022 tillsynsbegäran.docx", "A 41873-2022")</f>
        <v/>
      </c>
      <c r="Y829">
        <f>HYPERLINK("https://klasma.github.io/Logging_2029/tillsynsmail/A 41873-2022 tillsynsbegäran mail.docx", "A 41873-2022")</f>
        <v/>
      </c>
      <c r="Z829">
        <f>HYPERLINK("https://klasma.github.io/Logging_2029/fåglar/A 41873-2022 prioriterade fågelarter.docx", "A 41873-2022")</f>
        <v/>
      </c>
    </row>
    <row r="830" ht="15" customHeight="1">
      <c r="A830" t="inlineStr">
        <is>
          <t>A 25763-2023</t>
        </is>
      </c>
      <c r="B830" s="1" t="n">
        <v>45090</v>
      </c>
      <c r="C830" s="1" t="n">
        <v>46114</v>
      </c>
      <c r="D830" t="inlineStr">
        <is>
          <t>DALARNAS LÄN</t>
        </is>
      </c>
      <c r="E830" t="inlineStr">
        <is>
          <t>BORLÄNGE</t>
        </is>
      </c>
      <c r="G830" t="n">
        <v>2.9</v>
      </c>
      <c r="H830" t="n">
        <v>1</v>
      </c>
      <c r="I830" t="n">
        <v>0</v>
      </c>
      <c r="J830" t="n">
        <v>0</v>
      </c>
      <c r="K830" t="n">
        <v>0</v>
      </c>
      <c r="L830" t="n">
        <v>0</v>
      </c>
      <c r="M830" t="n">
        <v>0</v>
      </c>
      <c r="N830" t="n">
        <v>0</v>
      </c>
      <c r="O830" t="n">
        <v>0</v>
      </c>
      <c r="P830" t="n">
        <v>0</v>
      </c>
      <c r="Q830" t="n">
        <v>1</v>
      </c>
      <c r="R830" s="2" t="inlineStr">
        <is>
          <t>Fläcknycklar</t>
        </is>
      </c>
      <c r="S830">
        <f>HYPERLINK("https://klasma.github.io/Logging_2081/artfynd/A 25763-2023 artfynd.xlsx", "A 25763-2023")</f>
        <v/>
      </c>
      <c r="T830">
        <f>HYPERLINK("https://klasma.github.io/Logging_2081/kartor/A 25763-2023 karta.png", "A 25763-2023")</f>
        <v/>
      </c>
      <c r="V830">
        <f>HYPERLINK("https://klasma.github.io/Logging_2081/klagomål/A 25763-2023 FSC-klagomål.docx", "A 25763-2023")</f>
        <v/>
      </c>
      <c r="W830">
        <f>HYPERLINK("https://klasma.github.io/Logging_2081/klagomålsmail/A 25763-2023 FSC-klagomål mail.docx", "A 25763-2023")</f>
        <v/>
      </c>
      <c r="X830">
        <f>HYPERLINK("https://klasma.github.io/Logging_2081/tillsyn/A 25763-2023 tillsynsbegäran.docx", "A 25763-2023")</f>
        <v/>
      </c>
      <c r="Y830">
        <f>HYPERLINK("https://klasma.github.io/Logging_2081/tillsynsmail/A 25763-2023 tillsynsbegäran mail.docx", "A 25763-2023")</f>
        <v/>
      </c>
    </row>
    <row r="831" ht="15" customHeight="1">
      <c r="A831" t="inlineStr">
        <is>
          <t>A 31145-2024</t>
        </is>
      </c>
      <c r="B831" s="1" t="n">
        <v>45502.85956018518</v>
      </c>
      <c r="C831" s="1" t="n">
        <v>46114</v>
      </c>
      <c r="D831" t="inlineStr">
        <is>
          <t>DALARNAS LÄN</t>
        </is>
      </c>
      <c r="E831" t="inlineStr">
        <is>
          <t>ÄLVDALEN</t>
        </is>
      </c>
      <c r="G831" t="n">
        <v>1.2</v>
      </c>
      <c r="H831" t="n">
        <v>1</v>
      </c>
      <c r="I831" t="n">
        <v>0</v>
      </c>
      <c r="J831" t="n">
        <v>1</v>
      </c>
      <c r="K831" t="n">
        <v>0</v>
      </c>
      <c r="L831" t="n">
        <v>0</v>
      </c>
      <c r="M831" t="n">
        <v>0</v>
      </c>
      <c r="N831" t="n">
        <v>0</v>
      </c>
      <c r="O831" t="n">
        <v>1</v>
      </c>
      <c r="P831" t="n">
        <v>0</v>
      </c>
      <c r="Q831" t="n">
        <v>1</v>
      </c>
      <c r="R831" s="2" t="inlineStr">
        <is>
          <t>Tretåig hackspett</t>
        </is>
      </c>
      <c r="S831">
        <f>HYPERLINK("https://klasma.github.io/Logging_2039/artfynd/A 31145-2024 artfynd.xlsx", "A 31145-2024")</f>
        <v/>
      </c>
      <c r="T831">
        <f>HYPERLINK("https://klasma.github.io/Logging_2039/kartor/A 31145-2024 karta.png", "A 31145-2024")</f>
        <v/>
      </c>
      <c r="V831">
        <f>HYPERLINK("https://klasma.github.io/Logging_2039/klagomål/A 31145-2024 FSC-klagomål.docx", "A 31145-2024")</f>
        <v/>
      </c>
      <c r="W831">
        <f>HYPERLINK("https://klasma.github.io/Logging_2039/klagomålsmail/A 31145-2024 FSC-klagomål mail.docx", "A 31145-2024")</f>
        <v/>
      </c>
      <c r="X831">
        <f>HYPERLINK("https://klasma.github.io/Logging_2039/tillsyn/A 31145-2024 tillsynsbegäran.docx", "A 31145-2024")</f>
        <v/>
      </c>
      <c r="Y831">
        <f>HYPERLINK("https://klasma.github.io/Logging_2039/tillsynsmail/A 31145-2024 tillsynsbegäran mail.docx", "A 31145-2024")</f>
        <v/>
      </c>
      <c r="Z831">
        <f>HYPERLINK("https://klasma.github.io/Logging_2039/fåglar/A 31145-2024 prioriterade fågelarter.docx", "A 31145-2024")</f>
        <v/>
      </c>
    </row>
    <row r="832" ht="15" customHeight="1">
      <c r="A832" t="inlineStr">
        <is>
          <t>A 35352-2025</t>
        </is>
      </c>
      <c r="B832" s="1" t="n">
        <v>45853</v>
      </c>
      <c r="C832" s="1" t="n">
        <v>46114</v>
      </c>
      <c r="D832" t="inlineStr">
        <is>
          <t>DALARNAS LÄN</t>
        </is>
      </c>
      <c r="E832" t="inlineStr">
        <is>
          <t>ÄLVDALEN</t>
        </is>
      </c>
      <c r="F832" t="inlineStr">
        <is>
          <t>Sveaskog</t>
        </is>
      </c>
      <c r="G832" t="n">
        <v>0.7</v>
      </c>
      <c r="H832" t="n">
        <v>0</v>
      </c>
      <c r="I832" t="n">
        <v>0</v>
      </c>
      <c r="J832" t="n">
        <v>0</v>
      </c>
      <c r="K832" t="n">
        <v>1</v>
      </c>
      <c r="L832" t="n">
        <v>0</v>
      </c>
      <c r="M832" t="n">
        <v>0</v>
      </c>
      <c r="N832" t="n">
        <v>0</v>
      </c>
      <c r="O832" t="n">
        <v>1</v>
      </c>
      <c r="P832" t="n">
        <v>1</v>
      </c>
      <c r="Q832" t="n">
        <v>1</v>
      </c>
      <c r="R832" s="2" t="inlineStr">
        <is>
          <t>Gräddporing</t>
        </is>
      </c>
      <c r="S832">
        <f>HYPERLINK("https://klasma.github.io/Logging_2039/artfynd/A 35352-2025 artfynd.xlsx", "A 35352-2025")</f>
        <v/>
      </c>
      <c r="T832">
        <f>HYPERLINK("https://klasma.github.io/Logging_2039/kartor/A 35352-2025 karta.png", "A 35352-2025")</f>
        <v/>
      </c>
      <c r="V832">
        <f>HYPERLINK("https://klasma.github.io/Logging_2039/klagomål/A 35352-2025 FSC-klagomål.docx", "A 35352-2025")</f>
        <v/>
      </c>
      <c r="W832">
        <f>HYPERLINK("https://klasma.github.io/Logging_2039/klagomålsmail/A 35352-2025 FSC-klagomål mail.docx", "A 35352-2025")</f>
        <v/>
      </c>
      <c r="X832">
        <f>HYPERLINK("https://klasma.github.io/Logging_2039/tillsyn/A 35352-2025 tillsynsbegäran.docx", "A 35352-2025")</f>
        <v/>
      </c>
      <c r="Y832">
        <f>HYPERLINK("https://klasma.github.io/Logging_2039/tillsynsmail/A 35352-2025 tillsynsbegäran mail.docx", "A 35352-2025")</f>
        <v/>
      </c>
    </row>
    <row r="833" ht="15" customHeight="1">
      <c r="A833" t="inlineStr">
        <is>
          <t>A 34993-2025</t>
        </is>
      </c>
      <c r="B833" s="1" t="n">
        <v>45849.82383101852</v>
      </c>
      <c r="C833" s="1" t="n">
        <v>46114</v>
      </c>
      <c r="D833" t="inlineStr">
        <is>
          <t>DALARNAS LÄN</t>
        </is>
      </c>
      <c r="E833" t="inlineStr">
        <is>
          <t>LEKSAND</t>
        </is>
      </c>
      <c r="F833" t="inlineStr">
        <is>
          <t>Bergvik skog väst AB</t>
        </is>
      </c>
      <c r="G833" t="n">
        <v>4.6</v>
      </c>
      <c r="H833" t="n">
        <v>0</v>
      </c>
      <c r="I833" t="n">
        <v>1</v>
      </c>
      <c r="J833" t="n">
        <v>0</v>
      </c>
      <c r="K833" t="n">
        <v>0</v>
      </c>
      <c r="L833" t="n">
        <v>0</v>
      </c>
      <c r="M833" t="n">
        <v>0</v>
      </c>
      <c r="N833" t="n">
        <v>0</v>
      </c>
      <c r="O833" t="n">
        <v>0</v>
      </c>
      <c r="P833" t="n">
        <v>0</v>
      </c>
      <c r="Q833" t="n">
        <v>1</v>
      </c>
      <c r="R833" s="2" t="inlineStr">
        <is>
          <t>Mindre märgborre</t>
        </is>
      </c>
      <c r="S833">
        <f>HYPERLINK("https://klasma.github.io/Logging_2029/artfynd/A 34993-2025 artfynd.xlsx", "A 34993-2025")</f>
        <v/>
      </c>
      <c r="T833">
        <f>HYPERLINK("https://klasma.github.io/Logging_2029/kartor/A 34993-2025 karta.png", "A 34993-2025")</f>
        <v/>
      </c>
      <c r="V833">
        <f>HYPERLINK("https://klasma.github.io/Logging_2029/klagomål/A 34993-2025 FSC-klagomål.docx", "A 34993-2025")</f>
        <v/>
      </c>
      <c r="W833">
        <f>HYPERLINK("https://klasma.github.io/Logging_2029/klagomålsmail/A 34993-2025 FSC-klagomål mail.docx", "A 34993-2025")</f>
        <v/>
      </c>
      <c r="X833">
        <f>HYPERLINK("https://klasma.github.io/Logging_2029/tillsyn/A 34993-2025 tillsynsbegäran.docx", "A 34993-2025")</f>
        <v/>
      </c>
      <c r="Y833">
        <f>HYPERLINK("https://klasma.github.io/Logging_2029/tillsynsmail/A 34993-2025 tillsynsbegäran mail.docx", "A 34993-2025")</f>
        <v/>
      </c>
    </row>
    <row r="834" ht="15" customHeight="1">
      <c r="A834" t="inlineStr">
        <is>
          <t>A 34996-2025</t>
        </is>
      </c>
      <c r="B834" s="1" t="n">
        <v>45849.82798611111</v>
      </c>
      <c r="C834" s="1" t="n">
        <v>46114</v>
      </c>
      <c r="D834" t="inlineStr">
        <is>
          <t>DALARNAS LÄN</t>
        </is>
      </c>
      <c r="E834" t="inlineStr">
        <is>
          <t>LEKSAND</t>
        </is>
      </c>
      <c r="G834" t="n">
        <v>1.1</v>
      </c>
      <c r="H834" t="n">
        <v>0</v>
      </c>
      <c r="I834" t="n">
        <v>0</v>
      </c>
      <c r="J834" t="n">
        <v>1</v>
      </c>
      <c r="K834" t="n">
        <v>0</v>
      </c>
      <c r="L834" t="n">
        <v>0</v>
      </c>
      <c r="M834" t="n">
        <v>0</v>
      </c>
      <c r="N834" t="n">
        <v>0</v>
      </c>
      <c r="O834" t="n">
        <v>1</v>
      </c>
      <c r="P834" t="n">
        <v>0</v>
      </c>
      <c r="Q834" t="n">
        <v>1</v>
      </c>
      <c r="R834" s="2" t="inlineStr">
        <is>
          <t>Garnlav</t>
        </is>
      </c>
      <c r="S834">
        <f>HYPERLINK("https://klasma.github.io/Logging_2029/artfynd/A 34996-2025 artfynd.xlsx", "A 34996-2025")</f>
        <v/>
      </c>
      <c r="T834">
        <f>HYPERLINK("https://klasma.github.io/Logging_2029/kartor/A 34996-2025 karta.png", "A 34996-2025")</f>
        <v/>
      </c>
      <c r="V834">
        <f>HYPERLINK("https://klasma.github.io/Logging_2029/klagomål/A 34996-2025 FSC-klagomål.docx", "A 34996-2025")</f>
        <v/>
      </c>
      <c r="W834">
        <f>HYPERLINK("https://klasma.github.io/Logging_2029/klagomålsmail/A 34996-2025 FSC-klagomål mail.docx", "A 34996-2025")</f>
        <v/>
      </c>
      <c r="X834">
        <f>HYPERLINK("https://klasma.github.io/Logging_2029/tillsyn/A 34996-2025 tillsynsbegäran.docx", "A 34996-2025")</f>
        <v/>
      </c>
      <c r="Y834">
        <f>HYPERLINK("https://klasma.github.io/Logging_2029/tillsynsmail/A 34996-2025 tillsynsbegäran mail.docx", "A 34996-2025")</f>
        <v/>
      </c>
    </row>
    <row r="835" ht="15" customHeight="1">
      <c r="A835" t="inlineStr">
        <is>
          <t>A 39396-2025</t>
        </is>
      </c>
      <c r="B835" s="1" t="n">
        <v>45889.63289351852</v>
      </c>
      <c r="C835" s="1" t="n">
        <v>46114</v>
      </c>
      <c r="D835" t="inlineStr">
        <is>
          <t>DALARNAS LÄN</t>
        </is>
      </c>
      <c r="E835" t="inlineStr">
        <is>
          <t>HEDEMORA</t>
        </is>
      </c>
      <c r="F835" t="inlineStr">
        <is>
          <t>Sveaskog</t>
        </is>
      </c>
      <c r="G835" t="n">
        <v>4.3</v>
      </c>
      <c r="H835" t="n">
        <v>1</v>
      </c>
      <c r="I835" t="n">
        <v>0</v>
      </c>
      <c r="J835" t="n">
        <v>0</v>
      </c>
      <c r="K835" t="n">
        <v>1</v>
      </c>
      <c r="L835" t="n">
        <v>0</v>
      </c>
      <c r="M835" t="n">
        <v>0</v>
      </c>
      <c r="N835" t="n">
        <v>0</v>
      </c>
      <c r="O835" t="n">
        <v>1</v>
      </c>
      <c r="P835" t="n">
        <v>1</v>
      </c>
      <c r="Q835" t="n">
        <v>1</v>
      </c>
      <c r="R835" s="2" t="inlineStr">
        <is>
          <t>Knärot</t>
        </is>
      </c>
      <c r="S835">
        <f>HYPERLINK("https://klasma.github.io/Logging_2083/artfynd/A 39396-2025 artfynd.xlsx", "A 39396-2025")</f>
        <v/>
      </c>
      <c r="T835">
        <f>HYPERLINK("https://klasma.github.io/Logging_2083/kartor/A 39396-2025 karta.png", "A 39396-2025")</f>
        <v/>
      </c>
      <c r="U835">
        <f>HYPERLINK("https://klasma.github.io/Logging_2083/knärot/A 39396-2025 karta knärot.png", "A 39396-2025")</f>
        <v/>
      </c>
      <c r="V835">
        <f>HYPERLINK("https://klasma.github.io/Logging_2083/klagomål/A 39396-2025 FSC-klagomål.docx", "A 39396-2025")</f>
        <v/>
      </c>
      <c r="W835">
        <f>HYPERLINK("https://klasma.github.io/Logging_2083/klagomålsmail/A 39396-2025 FSC-klagomål mail.docx", "A 39396-2025")</f>
        <v/>
      </c>
      <c r="X835">
        <f>HYPERLINK("https://klasma.github.io/Logging_2083/tillsyn/A 39396-2025 tillsynsbegäran.docx", "A 39396-2025")</f>
        <v/>
      </c>
      <c r="Y835">
        <f>HYPERLINK("https://klasma.github.io/Logging_2083/tillsynsmail/A 39396-2025 tillsynsbegäran mail.docx", "A 39396-2025")</f>
        <v/>
      </c>
    </row>
    <row r="836" ht="15" customHeight="1">
      <c r="A836" t="inlineStr">
        <is>
          <t>A 831-2025</t>
        </is>
      </c>
      <c r="B836" s="1" t="n">
        <v>45665.58001157407</v>
      </c>
      <c r="C836" s="1" t="n">
        <v>46114</v>
      </c>
      <c r="D836" t="inlineStr">
        <is>
          <t>DALARNAS LÄN</t>
        </is>
      </c>
      <c r="E836" t="inlineStr">
        <is>
          <t>MORA</t>
        </is>
      </c>
      <c r="G836" t="n">
        <v>2.5</v>
      </c>
      <c r="H836" t="n">
        <v>0</v>
      </c>
      <c r="I836" t="n">
        <v>1</v>
      </c>
      <c r="J836" t="n">
        <v>0</v>
      </c>
      <c r="K836" t="n">
        <v>0</v>
      </c>
      <c r="L836" t="n">
        <v>0</v>
      </c>
      <c r="M836" t="n">
        <v>0</v>
      </c>
      <c r="N836" t="n">
        <v>0</v>
      </c>
      <c r="O836" t="n">
        <v>0</v>
      </c>
      <c r="P836" t="n">
        <v>0</v>
      </c>
      <c r="Q836" t="n">
        <v>1</v>
      </c>
      <c r="R836" s="2" t="inlineStr">
        <is>
          <t>Stekelbock</t>
        </is>
      </c>
      <c r="S836">
        <f>HYPERLINK("https://klasma.github.io/Logging_2062/artfynd/A 831-2025 artfynd.xlsx", "A 831-2025")</f>
        <v/>
      </c>
      <c r="T836">
        <f>HYPERLINK("https://klasma.github.io/Logging_2062/kartor/A 831-2025 karta.png", "A 831-2025")</f>
        <v/>
      </c>
      <c r="V836">
        <f>HYPERLINK("https://klasma.github.io/Logging_2062/klagomål/A 831-2025 FSC-klagomål.docx", "A 831-2025")</f>
        <v/>
      </c>
      <c r="W836">
        <f>HYPERLINK("https://klasma.github.io/Logging_2062/klagomålsmail/A 831-2025 FSC-klagomål mail.docx", "A 831-2025")</f>
        <v/>
      </c>
      <c r="X836">
        <f>HYPERLINK("https://klasma.github.io/Logging_2062/tillsyn/A 831-2025 tillsynsbegäran.docx", "A 831-2025")</f>
        <v/>
      </c>
      <c r="Y836">
        <f>HYPERLINK("https://klasma.github.io/Logging_2062/tillsynsmail/A 831-2025 tillsynsbegäran mail.docx", "A 831-2025")</f>
        <v/>
      </c>
    </row>
    <row r="837" ht="15" customHeight="1">
      <c r="A837" t="inlineStr">
        <is>
          <t>A 35221-2025</t>
        </is>
      </c>
      <c r="B837" s="1" t="n">
        <v>45853</v>
      </c>
      <c r="C837" s="1" t="n">
        <v>46114</v>
      </c>
      <c r="D837" t="inlineStr">
        <is>
          <t>DALARNAS LÄN</t>
        </is>
      </c>
      <c r="E837" t="inlineStr">
        <is>
          <t>SÄTER</t>
        </is>
      </c>
      <c r="G837" t="n">
        <v>9.5</v>
      </c>
      <c r="H837" t="n">
        <v>0</v>
      </c>
      <c r="I837" t="n">
        <v>0</v>
      </c>
      <c r="J837" t="n">
        <v>1</v>
      </c>
      <c r="K837" t="n">
        <v>0</v>
      </c>
      <c r="L837" t="n">
        <v>0</v>
      </c>
      <c r="M837" t="n">
        <v>0</v>
      </c>
      <c r="N837" t="n">
        <v>0</v>
      </c>
      <c r="O837" t="n">
        <v>1</v>
      </c>
      <c r="P837" t="n">
        <v>0</v>
      </c>
      <c r="Q837" t="n">
        <v>1</v>
      </c>
      <c r="R837" s="2" t="inlineStr">
        <is>
          <t>Vedskivlav</t>
        </is>
      </c>
      <c r="S837">
        <f>HYPERLINK("https://klasma.github.io/Logging_2082/artfynd/A 35221-2025 artfynd.xlsx", "A 35221-2025")</f>
        <v/>
      </c>
      <c r="T837">
        <f>HYPERLINK("https://klasma.github.io/Logging_2082/kartor/A 35221-2025 karta.png", "A 35221-2025")</f>
        <v/>
      </c>
      <c r="V837">
        <f>HYPERLINK("https://klasma.github.io/Logging_2082/klagomål/A 35221-2025 FSC-klagomål.docx", "A 35221-2025")</f>
        <v/>
      </c>
      <c r="W837">
        <f>HYPERLINK("https://klasma.github.io/Logging_2082/klagomålsmail/A 35221-2025 FSC-klagomål mail.docx", "A 35221-2025")</f>
        <v/>
      </c>
      <c r="X837">
        <f>HYPERLINK("https://klasma.github.io/Logging_2082/tillsyn/A 35221-2025 tillsynsbegäran.docx", "A 35221-2025")</f>
        <v/>
      </c>
      <c r="Y837">
        <f>HYPERLINK("https://klasma.github.io/Logging_2082/tillsynsmail/A 35221-2025 tillsynsbegäran mail.docx", "A 35221-2025")</f>
        <v/>
      </c>
    </row>
    <row r="838" ht="15" customHeight="1">
      <c r="A838" t="inlineStr">
        <is>
          <t>A 29733-2025</t>
        </is>
      </c>
      <c r="B838" s="1" t="n">
        <v>45825</v>
      </c>
      <c r="C838" s="1" t="n">
        <v>46114</v>
      </c>
      <c r="D838" t="inlineStr">
        <is>
          <t>DALARNAS LÄN</t>
        </is>
      </c>
      <c r="E838" t="inlineStr">
        <is>
          <t>LUDVIKA</t>
        </is>
      </c>
      <c r="F838" t="inlineStr">
        <is>
          <t>Bergvik skog väst AB</t>
        </is>
      </c>
      <c r="G838" t="n">
        <v>10.4</v>
      </c>
      <c r="H838" t="n">
        <v>0</v>
      </c>
      <c r="I838" t="n">
        <v>1</v>
      </c>
      <c r="J838" t="n">
        <v>0</v>
      </c>
      <c r="K838" t="n">
        <v>0</v>
      </c>
      <c r="L838" t="n">
        <v>0</v>
      </c>
      <c r="M838" t="n">
        <v>0</v>
      </c>
      <c r="N838" t="n">
        <v>0</v>
      </c>
      <c r="O838" t="n">
        <v>0</v>
      </c>
      <c r="P838" t="n">
        <v>0</v>
      </c>
      <c r="Q838" t="n">
        <v>1</v>
      </c>
      <c r="R838" s="2" t="inlineStr">
        <is>
          <t>Stuplav</t>
        </is>
      </c>
      <c r="S838">
        <f>HYPERLINK("https://klasma.github.io/Logging_2085/artfynd/A 29733-2025 artfynd.xlsx", "A 29733-2025")</f>
        <v/>
      </c>
      <c r="T838">
        <f>HYPERLINK("https://klasma.github.io/Logging_2085/kartor/A 29733-2025 karta.png", "A 29733-2025")</f>
        <v/>
      </c>
      <c r="V838">
        <f>HYPERLINK("https://klasma.github.io/Logging_2085/klagomål/A 29733-2025 FSC-klagomål.docx", "A 29733-2025")</f>
        <v/>
      </c>
      <c r="W838">
        <f>HYPERLINK("https://klasma.github.io/Logging_2085/klagomålsmail/A 29733-2025 FSC-klagomål mail.docx", "A 29733-2025")</f>
        <v/>
      </c>
      <c r="X838">
        <f>HYPERLINK("https://klasma.github.io/Logging_2085/tillsyn/A 29733-2025 tillsynsbegäran.docx", "A 29733-2025")</f>
        <v/>
      </c>
      <c r="Y838">
        <f>HYPERLINK("https://klasma.github.io/Logging_2085/tillsynsmail/A 29733-2025 tillsynsbegäran mail.docx", "A 29733-2025")</f>
        <v/>
      </c>
    </row>
    <row r="839" ht="15" customHeight="1">
      <c r="A839" t="inlineStr">
        <is>
          <t>A 15058-2025</t>
        </is>
      </c>
      <c r="B839" s="1" t="n">
        <v>45743.70716435185</v>
      </c>
      <c r="C839" s="1" t="n">
        <v>46114</v>
      </c>
      <c r="D839" t="inlineStr">
        <is>
          <t>DALARNAS LÄN</t>
        </is>
      </c>
      <c r="E839" t="inlineStr">
        <is>
          <t>HEDEMORA</t>
        </is>
      </c>
      <c r="F839" t="inlineStr">
        <is>
          <t>Sveaskog</t>
        </is>
      </c>
      <c r="G839" t="n">
        <v>4.2</v>
      </c>
      <c r="H839" t="n">
        <v>0</v>
      </c>
      <c r="I839" t="n">
        <v>1</v>
      </c>
      <c r="J839" t="n">
        <v>0</v>
      </c>
      <c r="K839" t="n">
        <v>0</v>
      </c>
      <c r="L839" t="n">
        <v>0</v>
      </c>
      <c r="M839" t="n">
        <v>0</v>
      </c>
      <c r="N839" t="n">
        <v>0</v>
      </c>
      <c r="O839" t="n">
        <v>0</v>
      </c>
      <c r="P839" t="n">
        <v>0</v>
      </c>
      <c r="Q839" t="n">
        <v>1</v>
      </c>
      <c r="R839" s="2" t="inlineStr">
        <is>
          <t>Dropptaggsvamp</t>
        </is>
      </c>
      <c r="S839">
        <f>HYPERLINK("https://klasma.github.io/Logging_2083/artfynd/A 15058-2025 artfynd.xlsx", "A 15058-2025")</f>
        <v/>
      </c>
      <c r="T839">
        <f>HYPERLINK("https://klasma.github.io/Logging_2083/kartor/A 15058-2025 karta.png", "A 15058-2025")</f>
        <v/>
      </c>
      <c r="V839">
        <f>HYPERLINK("https://klasma.github.io/Logging_2083/klagomål/A 15058-2025 FSC-klagomål.docx", "A 15058-2025")</f>
        <v/>
      </c>
      <c r="W839">
        <f>HYPERLINK("https://klasma.github.io/Logging_2083/klagomålsmail/A 15058-2025 FSC-klagomål mail.docx", "A 15058-2025")</f>
        <v/>
      </c>
      <c r="X839">
        <f>HYPERLINK("https://klasma.github.io/Logging_2083/tillsyn/A 15058-2025 tillsynsbegäran.docx", "A 15058-2025")</f>
        <v/>
      </c>
      <c r="Y839">
        <f>HYPERLINK("https://klasma.github.io/Logging_2083/tillsynsmail/A 15058-2025 tillsynsbegäran mail.docx", "A 15058-2025")</f>
        <v/>
      </c>
    </row>
    <row r="840" ht="15" customHeight="1">
      <c r="A840" t="inlineStr">
        <is>
          <t>A 40405-2025</t>
        </is>
      </c>
      <c r="B840" s="1" t="n">
        <v>45895</v>
      </c>
      <c r="C840" s="1" t="n">
        <v>46114</v>
      </c>
      <c r="D840" t="inlineStr">
        <is>
          <t>DALARNAS LÄN</t>
        </is>
      </c>
      <c r="E840" t="inlineStr">
        <is>
          <t>RÄTTVIK</t>
        </is>
      </c>
      <c r="G840" t="n">
        <v>3.4</v>
      </c>
      <c r="H840" t="n">
        <v>0</v>
      </c>
      <c r="I840" t="n">
        <v>0</v>
      </c>
      <c r="J840" t="n">
        <v>1</v>
      </c>
      <c r="K840" t="n">
        <v>0</v>
      </c>
      <c r="L840" t="n">
        <v>0</v>
      </c>
      <c r="M840" t="n">
        <v>0</v>
      </c>
      <c r="N840" t="n">
        <v>0</v>
      </c>
      <c r="O840" t="n">
        <v>1</v>
      </c>
      <c r="P840" t="n">
        <v>0</v>
      </c>
      <c r="Q840" t="n">
        <v>1</v>
      </c>
      <c r="R840" s="2" t="inlineStr">
        <is>
          <t>Garnlav</t>
        </is>
      </c>
      <c r="S840">
        <f>HYPERLINK("https://klasma.github.io/Logging_2031/artfynd/A 40405-2025 artfynd.xlsx", "A 40405-2025")</f>
        <v/>
      </c>
      <c r="T840">
        <f>HYPERLINK("https://klasma.github.io/Logging_2031/kartor/A 40405-2025 karta.png", "A 40405-2025")</f>
        <v/>
      </c>
      <c r="V840">
        <f>HYPERLINK("https://klasma.github.io/Logging_2031/klagomål/A 40405-2025 FSC-klagomål.docx", "A 40405-2025")</f>
        <v/>
      </c>
      <c r="W840">
        <f>HYPERLINK("https://klasma.github.io/Logging_2031/klagomålsmail/A 40405-2025 FSC-klagomål mail.docx", "A 40405-2025")</f>
        <v/>
      </c>
      <c r="X840">
        <f>HYPERLINK("https://klasma.github.io/Logging_2031/tillsyn/A 40405-2025 tillsynsbegäran.docx", "A 40405-2025")</f>
        <v/>
      </c>
      <c r="Y840">
        <f>HYPERLINK("https://klasma.github.io/Logging_2031/tillsynsmail/A 40405-2025 tillsynsbegäran mail.docx", "A 40405-2025")</f>
        <v/>
      </c>
    </row>
    <row r="841" ht="15" customHeight="1">
      <c r="A841" t="inlineStr">
        <is>
          <t>A 40354-2025</t>
        </is>
      </c>
      <c r="B841" s="1" t="n">
        <v>45895.48694444444</v>
      </c>
      <c r="C841" s="1" t="n">
        <v>46114</v>
      </c>
      <c r="D841" t="inlineStr">
        <is>
          <t>DALARNAS LÄN</t>
        </is>
      </c>
      <c r="E841" t="inlineStr">
        <is>
          <t>MALUNG-SÄLEN</t>
        </is>
      </c>
      <c r="F841" t="inlineStr">
        <is>
          <t>Bergvik skog öst AB</t>
        </is>
      </c>
      <c r="G841" t="n">
        <v>0.7</v>
      </c>
      <c r="H841" t="n">
        <v>0</v>
      </c>
      <c r="I841" t="n">
        <v>0</v>
      </c>
      <c r="J841" t="n">
        <v>1</v>
      </c>
      <c r="K841" t="n">
        <v>0</v>
      </c>
      <c r="L841" t="n">
        <v>0</v>
      </c>
      <c r="M841" t="n">
        <v>0</v>
      </c>
      <c r="N841" t="n">
        <v>0</v>
      </c>
      <c r="O841" t="n">
        <v>1</v>
      </c>
      <c r="P841" t="n">
        <v>0</v>
      </c>
      <c r="Q841" t="n">
        <v>1</v>
      </c>
      <c r="R841" s="2" t="inlineStr">
        <is>
          <t>Garnlav</t>
        </is>
      </c>
      <c r="S841">
        <f>HYPERLINK("https://klasma.github.io/Logging_2023/artfynd/A 40354-2025 artfynd.xlsx", "A 40354-2025")</f>
        <v/>
      </c>
      <c r="T841">
        <f>HYPERLINK("https://klasma.github.io/Logging_2023/kartor/A 40354-2025 karta.png", "A 40354-2025")</f>
        <v/>
      </c>
      <c r="U841">
        <f>HYPERLINK("https://klasma.github.io/Logging_2023/knärot/A 40354-2025 karta knärot.png", "A 40354-2025")</f>
        <v/>
      </c>
      <c r="V841">
        <f>HYPERLINK("https://klasma.github.io/Logging_2023/klagomål/A 40354-2025 FSC-klagomål.docx", "A 40354-2025")</f>
        <v/>
      </c>
      <c r="W841">
        <f>HYPERLINK("https://klasma.github.io/Logging_2023/klagomålsmail/A 40354-2025 FSC-klagomål mail.docx", "A 40354-2025")</f>
        <v/>
      </c>
      <c r="X841">
        <f>HYPERLINK("https://klasma.github.io/Logging_2023/tillsyn/A 40354-2025 tillsynsbegäran.docx", "A 40354-2025")</f>
        <v/>
      </c>
      <c r="Y841">
        <f>HYPERLINK("https://klasma.github.io/Logging_2023/tillsynsmail/A 40354-2025 tillsynsbegäran mail.docx", "A 40354-2025")</f>
        <v/>
      </c>
    </row>
    <row r="842" ht="15" customHeight="1">
      <c r="A842" t="inlineStr">
        <is>
          <t>A 23800-2025</t>
        </is>
      </c>
      <c r="B842" s="1" t="n">
        <v>45793</v>
      </c>
      <c r="C842" s="1" t="n">
        <v>46114</v>
      </c>
      <c r="D842" t="inlineStr">
        <is>
          <t>DALARNAS LÄN</t>
        </is>
      </c>
      <c r="E842" t="inlineStr">
        <is>
          <t>BORLÄNGE</t>
        </is>
      </c>
      <c r="G842" t="n">
        <v>4.5</v>
      </c>
      <c r="H842" t="n">
        <v>0</v>
      </c>
      <c r="I842" t="n">
        <v>1</v>
      </c>
      <c r="J842" t="n">
        <v>0</v>
      </c>
      <c r="K842" t="n">
        <v>0</v>
      </c>
      <c r="L842" t="n">
        <v>0</v>
      </c>
      <c r="M842" t="n">
        <v>0</v>
      </c>
      <c r="N842" t="n">
        <v>0</v>
      </c>
      <c r="O842" t="n">
        <v>0</v>
      </c>
      <c r="P842" t="n">
        <v>0</v>
      </c>
      <c r="Q842" t="n">
        <v>1</v>
      </c>
      <c r="R842" s="2" t="inlineStr">
        <is>
          <t>Sotriska</t>
        </is>
      </c>
      <c r="S842">
        <f>HYPERLINK("https://klasma.github.io/Logging_2081/artfynd/A 23800-2025 artfynd.xlsx", "A 23800-2025")</f>
        <v/>
      </c>
      <c r="T842">
        <f>HYPERLINK("https://klasma.github.io/Logging_2081/kartor/A 23800-2025 karta.png", "A 23800-2025")</f>
        <v/>
      </c>
      <c r="V842">
        <f>HYPERLINK("https://klasma.github.io/Logging_2081/klagomål/A 23800-2025 FSC-klagomål.docx", "A 23800-2025")</f>
        <v/>
      </c>
      <c r="W842">
        <f>HYPERLINK("https://klasma.github.io/Logging_2081/klagomålsmail/A 23800-2025 FSC-klagomål mail.docx", "A 23800-2025")</f>
        <v/>
      </c>
      <c r="X842">
        <f>HYPERLINK("https://klasma.github.io/Logging_2081/tillsyn/A 23800-2025 tillsynsbegäran.docx", "A 23800-2025")</f>
        <v/>
      </c>
      <c r="Y842">
        <f>HYPERLINK("https://klasma.github.io/Logging_2081/tillsynsmail/A 23800-2025 tillsynsbegäran mail.docx", "A 23800-2025")</f>
        <v/>
      </c>
    </row>
    <row r="843" ht="15" customHeight="1">
      <c r="A843" t="inlineStr">
        <is>
          <t>A 61916-2024</t>
        </is>
      </c>
      <c r="B843" s="1" t="n">
        <v>45653.4256712963</v>
      </c>
      <c r="C843" s="1" t="n">
        <v>46114</v>
      </c>
      <c r="D843" t="inlineStr">
        <is>
          <t>DALARNAS LÄN</t>
        </is>
      </c>
      <c r="E843" t="inlineStr">
        <is>
          <t>SMEDJEBACKEN</t>
        </is>
      </c>
      <c r="G843" t="n">
        <v>11.1</v>
      </c>
      <c r="H843" t="n">
        <v>1</v>
      </c>
      <c r="I843" t="n">
        <v>0</v>
      </c>
      <c r="J843" t="n">
        <v>0</v>
      </c>
      <c r="K843" t="n">
        <v>0</v>
      </c>
      <c r="L843" t="n">
        <v>0</v>
      </c>
      <c r="M843" t="n">
        <v>0</v>
      </c>
      <c r="N843" t="n">
        <v>0</v>
      </c>
      <c r="O843" t="n">
        <v>0</v>
      </c>
      <c r="P843" t="n">
        <v>0</v>
      </c>
      <c r="Q843" t="n">
        <v>1</v>
      </c>
      <c r="R843" s="2" t="inlineStr">
        <is>
          <t>Mattlummer</t>
        </is>
      </c>
      <c r="S843">
        <f>HYPERLINK("https://klasma.github.io/Logging_2061/artfynd/A 61916-2024 artfynd.xlsx", "A 61916-2024")</f>
        <v/>
      </c>
      <c r="T843">
        <f>HYPERLINK("https://klasma.github.io/Logging_2061/kartor/A 61916-2024 karta.png", "A 61916-2024")</f>
        <v/>
      </c>
      <c r="V843">
        <f>HYPERLINK("https://klasma.github.io/Logging_2061/klagomål/A 61916-2024 FSC-klagomål.docx", "A 61916-2024")</f>
        <v/>
      </c>
      <c r="W843">
        <f>HYPERLINK("https://klasma.github.io/Logging_2061/klagomålsmail/A 61916-2024 FSC-klagomål mail.docx", "A 61916-2024")</f>
        <v/>
      </c>
      <c r="X843">
        <f>HYPERLINK("https://klasma.github.io/Logging_2061/tillsyn/A 61916-2024 tillsynsbegäran.docx", "A 61916-2024")</f>
        <v/>
      </c>
      <c r="Y843">
        <f>HYPERLINK("https://klasma.github.io/Logging_2061/tillsynsmail/A 61916-2024 tillsynsbegäran mail.docx", "A 61916-2024")</f>
        <v/>
      </c>
    </row>
    <row r="844" ht="15" customHeight="1">
      <c r="A844" t="inlineStr">
        <is>
          <t>A 36007-2025</t>
        </is>
      </c>
      <c r="B844" s="1" t="n">
        <v>45863.56149305555</v>
      </c>
      <c r="C844" s="1" t="n">
        <v>46114</v>
      </c>
      <c r="D844" t="inlineStr">
        <is>
          <t>DALARNAS LÄN</t>
        </is>
      </c>
      <c r="E844" t="inlineStr">
        <is>
          <t>AVESTA</t>
        </is>
      </c>
      <c r="F844" t="inlineStr">
        <is>
          <t>Sveaskog</t>
        </is>
      </c>
      <c r="G844" t="n">
        <v>15</v>
      </c>
      <c r="H844" t="n">
        <v>1</v>
      </c>
      <c r="I844" t="n">
        <v>0</v>
      </c>
      <c r="J844" t="n">
        <v>0</v>
      </c>
      <c r="K844" t="n">
        <v>0</v>
      </c>
      <c r="L844" t="n">
        <v>0</v>
      </c>
      <c r="M844" t="n">
        <v>0</v>
      </c>
      <c r="N844" t="n">
        <v>0</v>
      </c>
      <c r="O844" t="n">
        <v>0</v>
      </c>
      <c r="P844" t="n">
        <v>0</v>
      </c>
      <c r="Q844" t="n">
        <v>1</v>
      </c>
      <c r="R844" s="2" t="inlineStr">
        <is>
          <t>Fläcknycklar</t>
        </is>
      </c>
      <c r="S844">
        <f>HYPERLINK("https://klasma.github.io/Logging_2084/artfynd/A 36007-2025 artfynd.xlsx", "A 36007-2025")</f>
        <v/>
      </c>
      <c r="T844">
        <f>HYPERLINK("https://klasma.github.io/Logging_2084/kartor/A 36007-2025 karta.png", "A 36007-2025")</f>
        <v/>
      </c>
      <c r="V844">
        <f>HYPERLINK("https://klasma.github.io/Logging_2084/klagomål/A 36007-2025 FSC-klagomål.docx", "A 36007-2025")</f>
        <v/>
      </c>
      <c r="W844">
        <f>HYPERLINK("https://klasma.github.io/Logging_2084/klagomålsmail/A 36007-2025 FSC-klagomål mail.docx", "A 36007-2025")</f>
        <v/>
      </c>
      <c r="X844">
        <f>HYPERLINK("https://klasma.github.io/Logging_2084/tillsyn/A 36007-2025 tillsynsbegäran.docx", "A 36007-2025")</f>
        <v/>
      </c>
      <c r="Y844">
        <f>HYPERLINK("https://klasma.github.io/Logging_2084/tillsynsmail/A 36007-2025 tillsynsbegäran mail.docx", "A 36007-2025")</f>
        <v/>
      </c>
    </row>
    <row r="845" ht="15" customHeight="1">
      <c r="A845" t="inlineStr">
        <is>
          <t>A 36002-2025</t>
        </is>
      </c>
      <c r="B845" s="1" t="n">
        <v>45863.54122685185</v>
      </c>
      <c r="C845" s="1" t="n">
        <v>46114</v>
      </c>
      <c r="D845" t="inlineStr">
        <is>
          <t>DALARNAS LÄN</t>
        </is>
      </c>
      <c r="E845" t="inlineStr">
        <is>
          <t>AVESTA</t>
        </is>
      </c>
      <c r="F845" t="inlineStr">
        <is>
          <t>Sveaskog</t>
        </is>
      </c>
      <c r="G845" t="n">
        <v>14</v>
      </c>
      <c r="H845" t="n">
        <v>1</v>
      </c>
      <c r="I845" t="n">
        <v>0</v>
      </c>
      <c r="J845" t="n">
        <v>0</v>
      </c>
      <c r="K845" t="n">
        <v>0</v>
      </c>
      <c r="L845" t="n">
        <v>0</v>
      </c>
      <c r="M845" t="n">
        <v>0</v>
      </c>
      <c r="N845" t="n">
        <v>0</v>
      </c>
      <c r="O845" t="n">
        <v>0</v>
      </c>
      <c r="P845" t="n">
        <v>0</v>
      </c>
      <c r="Q845" t="n">
        <v>1</v>
      </c>
      <c r="R845" s="2" t="inlineStr">
        <is>
          <t>Fläcknycklar</t>
        </is>
      </c>
      <c r="S845">
        <f>HYPERLINK("https://klasma.github.io/Logging_2084/artfynd/A 36002-2025 artfynd.xlsx", "A 36002-2025")</f>
        <v/>
      </c>
      <c r="T845">
        <f>HYPERLINK("https://klasma.github.io/Logging_2084/kartor/A 36002-2025 karta.png", "A 36002-2025")</f>
        <v/>
      </c>
      <c r="V845">
        <f>HYPERLINK("https://klasma.github.io/Logging_2084/klagomål/A 36002-2025 FSC-klagomål.docx", "A 36002-2025")</f>
        <v/>
      </c>
      <c r="W845">
        <f>HYPERLINK("https://klasma.github.io/Logging_2084/klagomålsmail/A 36002-2025 FSC-klagomål mail.docx", "A 36002-2025")</f>
        <v/>
      </c>
      <c r="X845">
        <f>HYPERLINK("https://klasma.github.io/Logging_2084/tillsyn/A 36002-2025 tillsynsbegäran.docx", "A 36002-2025")</f>
        <v/>
      </c>
      <c r="Y845">
        <f>HYPERLINK("https://klasma.github.io/Logging_2084/tillsynsmail/A 36002-2025 tillsynsbegäran mail.docx", "A 36002-2025")</f>
        <v/>
      </c>
    </row>
    <row r="846" ht="15" customHeight="1">
      <c r="A846" t="inlineStr">
        <is>
          <t>A 17913-2025</t>
        </is>
      </c>
      <c r="B846" s="1" t="n">
        <v>45758.76966435185</v>
      </c>
      <c r="C846" s="1" t="n">
        <v>46114</v>
      </c>
      <c r="D846" t="inlineStr">
        <is>
          <t>DALARNAS LÄN</t>
        </is>
      </c>
      <c r="E846" t="inlineStr">
        <is>
          <t>AVESTA</t>
        </is>
      </c>
      <c r="G846" t="n">
        <v>10.2</v>
      </c>
      <c r="H846" t="n">
        <v>1</v>
      </c>
      <c r="I846" t="n">
        <v>0</v>
      </c>
      <c r="J846" t="n">
        <v>0</v>
      </c>
      <c r="K846" t="n">
        <v>1</v>
      </c>
      <c r="L846" t="n">
        <v>0</v>
      </c>
      <c r="M846" t="n">
        <v>0</v>
      </c>
      <c r="N846" t="n">
        <v>0</v>
      </c>
      <c r="O846" t="n">
        <v>1</v>
      </c>
      <c r="P846" t="n">
        <v>1</v>
      </c>
      <c r="Q846" t="n">
        <v>1</v>
      </c>
      <c r="R846" s="2" t="inlineStr">
        <is>
          <t>Knärot</t>
        </is>
      </c>
      <c r="S846">
        <f>HYPERLINK("https://klasma.github.io/Logging_2084/artfynd/A 17913-2025 artfynd.xlsx", "A 17913-2025")</f>
        <v/>
      </c>
      <c r="T846">
        <f>HYPERLINK("https://klasma.github.io/Logging_2084/kartor/A 17913-2025 karta.png", "A 17913-2025")</f>
        <v/>
      </c>
      <c r="U846">
        <f>HYPERLINK("https://klasma.github.io/Logging_2084/knärot/A 17913-2025 karta knärot.png", "A 17913-2025")</f>
        <v/>
      </c>
      <c r="V846">
        <f>HYPERLINK("https://klasma.github.io/Logging_2084/klagomål/A 17913-2025 FSC-klagomål.docx", "A 17913-2025")</f>
        <v/>
      </c>
      <c r="W846">
        <f>HYPERLINK("https://klasma.github.io/Logging_2084/klagomålsmail/A 17913-2025 FSC-klagomål mail.docx", "A 17913-2025")</f>
        <v/>
      </c>
      <c r="X846">
        <f>HYPERLINK("https://klasma.github.io/Logging_2084/tillsyn/A 17913-2025 tillsynsbegäran.docx", "A 17913-2025")</f>
        <v/>
      </c>
      <c r="Y846">
        <f>HYPERLINK("https://klasma.github.io/Logging_2084/tillsynsmail/A 17913-2025 tillsynsbegäran mail.docx", "A 17913-2025")</f>
        <v/>
      </c>
    </row>
    <row r="847" ht="15" customHeight="1">
      <c r="A847" t="inlineStr">
        <is>
          <t>A 33162-2025</t>
        </is>
      </c>
      <c r="B847" s="1" t="n">
        <v>45840</v>
      </c>
      <c r="C847" s="1" t="n">
        <v>46114</v>
      </c>
      <c r="D847" t="inlineStr">
        <is>
          <t>DALARNAS LÄN</t>
        </is>
      </c>
      <c r="E847" t="inlineStr">
        <is>
          <t>LUDVIKA</t>
        </is>
      </c>
      <c r="F847" t="inlineStr">
        <is>
          <t>Bergvik skog väst AB</t>
        </is>
      </c>
      <c r="G847" t="n">
        <v>2.3</v>
      </c>
      <c r="H847" t="n">
        <v>0</v>
      </c>
      <c r="I847" t="n">
        <v>0</v>
      </c>
      <c r="J847" t="n">
        <v>1</v>
      </c>
      <c r="K847" t="n">
        <v>0</v>
      </c>
      <c r="L847" t="n">
        <v>0</v>
      </c>
      <c r="M847" t="n">
        <v>0</v>
      </c>
      <c r="N847" t="n">
        <v>0</v>
      </c>
      <c r="O847" t="n">
        <v>1</v>
      </c>
      <c r="P847" t="n">
        <v>0</v>
      </c>
      <c r="Q847" t="n">
        <v>1</v>
      </c>
      <c r="R847" s="2" t="inlineStr">
        <is>
          <t>Kandelabersvamp</t>
        </is>
      </c>
      <c r="S847">
        <f>HYPERLINK("https://klasma.github.io/Logging_2085/artfynd/A 33162-2025 artfynd.xlsx", "A 33162-2025")</f>
        <v/>
      </c>
      <c r="T847">
        <f>HYPERLINK("https://klasma.github.io/Logging_2085/kartor/A 33162-2025 karta.png", "A 33162-2025")</f>
        <v/>
      </c>
      <c r="V847">
        <f>HYPERLINK("https://klasma.github.io/Logging_2085/klagomål/A 33162-2025 FSC-klagomål.docx", "A 33162-2025")</f>
        <v/>
      </c>
      <c r="W847">
        <f>HYPERLINK("https://klasma.github.io/Logging_2085/klagomålsmail/A 33162-2025 FSC-klagomål mail.docx", "A 33162-2025")</f>
        <v/>
      </c>
      <c r="X847">
        <f>HYPERLINK("https://klasma.github.io/Logging_2085/tillsyn/A 33162-2025 tillsynsbegäran.docx", "A 33162-2025")</f>
        <v/>
      </c>
      <c r="Y847">
        <f>HYPERLINK("https://klasma.github.io/Logging_2085/tillsynsmail/A 33162-2025 tillsynsbegäran mail.docx", "A 33162-2025")</f>
        <v/>
      </c>
    </row>
    <row r="848" ht="15" customHeight="1">
      <c r="A848" t="inlineStr">
        <is>
          <t>A 28550-2024</t>
        </is>
      </c>
      <c r="B848" s="1" t="n">
        <v>45478.37068287037</v>
      </c>
      <c r="C848" s="1" t="n">
        <v>46114</v>
      </c>
      <c r="D848" t="inlineStr">
        <is>
          <t>DALARNAS LÄN</t>
        </is>
      </c>
      <c r="E848" t="inlineStr">
        <is>
          <t>GAGNEF</t>
        </is>
      </c>
      <c r="F848" t="inlineStr">
        <is>
          <t>Bergvik skog väst AB</t>
        </is>
      </c>
      <c r="G848" t="n">
        <v>2.6</v>
      </c>
      <c r="H848" t="n">
        <v>0</v>
      </c>
      <c r="I848" t="n">
        <v>0</v>
      </c>
      <c r="J848" t="n">
        <v>0</v>
      </c>
      <c r="K848" t="n">
        <v>0</v>
      </c>
      <c r="L848" t="n">
        <v>0</v>
      </c>
      <c r="M848" t="n">
        <v>1</v>
      </c>
      <c r="N848" t="n">
        <v>0</v>
      </c>
      <c r="O848" t="n">
        <v>1</v>
      </c>
      <c r="P848" t="n">
        <v>1</v>
      </c>
      <c r="Q848" t="n">
        <v>1</v>
      </c>
      <c r="R848" s="2" t="inlineStr">
        <is>
          <t>Citronporing</t>
        </is>
      </c>
      <c r="S848">
        <f>HYPERLINK("https://klasma.github.io/Logging_2026/artfynd/A 28550-2024 artfynd.xlsx", "A 28550-2024")</f>
        <v/>
      </c>
      <c r="T848">
        <f>HYPERLINK("https://klasma.github.io/Logging_2026/kartor/A 28550-2024 karta.png", "A 28550-2024")</f>
        <v/>
      </c>
      <c r="V848">
        <f>HYPERLINK("https://klasma.github.io/Logging_2026/klagomål/A 28550-2024 FSC-klagomål.docx", "A 28550-2024")</f>
        <v/>
      </c>
      <c r="W848">
        <f>HYPERLINK("https://klasma.github.io/Logging_2026/klagomålsmail/A 28550-2024 FSC-klagomål mail.docx", "A 28550-2024")</f>
        <v/>
      </c>
      <c r="X848">
        <f>HYPERLINK("https://klasma.github.io/Logging_2026/tillsyn/A 28550-2024 tillsynsbegäran.docx", "A 28550-2024")</f>
        <v/>
      </c>
      <c r="Y848">
        <f>HYPERLINK("https://klasma.github.io/Logging_2026/tillsynsmail/A 28550-2024 tillsynsbegäran mail.docx", "A 28550-2024")</f>
        <v/>
      </c>
    </row>
    <row r="849" ht="15" customHeight="1">
      <c r="A849" t="inlineStr">
        <is>
          <t>A 19094-2025</t>
        </is>
      </c>
      <c r="B849" s="1" t="n">
        <v>45767.54942129629</v>
      </c>
      <c r="C849" s="1" t="n">
        <v>46114</v>
      </c>
      <c r="D849" t="inlineStr">
        <is>
          <t>DALARNAS LÄN</t>
        </is>
      </c>
      <c r="E849" t="inlineStr">
        <is>
          <t>HEDEMORA</t>
        </is>
      </c>
      <c r="F849" t="inlineStr">
        <is>
          <t>Sveaskog</t>
        </is>
      </c>
      <c r="G849" t="n">
        <v>16.9</v>
      </c>
      <c r="H849" t="n">
        <v>1</v>
      </c>
      <c r="I849" t="n">
        <v>1</v>
      </c>
      <c r="J849" t="n">
        <v>0</v>
      </c>
      <c r="K849" t="n">
        <v>0</v>
      </c>
      <c r="L849" t="n">
        <v>0</v>
      </c>
      <c r="M849" t="n">
        <v>0</v>
      </c>
      <c r="N849" t="n">
        <v>0</v>
      </c>
      <c r="O849" t="n">
        <v>0</v>
      </c>
      <c r="P849" t="n">
        <v>0</v>
      </c>
      <c r="Q849" t="n">
        <v>1</v>
      </c>
      <c r="R849" s="2" t="inlineStr">
        <is>
          <t>Plattlummer</t>
        </is>
      </c>
      <c r="S849">
        <f>HYPERLINK("https://klasma.github.io/Logging_2083/artfynd/A 19094-2025 artfynd.xlsx", "A 19094-2025")</f>
        <v/>
      </c>
      <c r="T849">
        <f>HYPERLINK("https://klasma.github.io/Logging_2083/kartor/A 19094-2025 karta.png", "A 19094-2025")</f>
        <v/>
      </c>
      <c r="V849">
        <f>HYPERLINK("https://klasma.github.io/Logging_2083/klagomål/A 19094-2025 FSC-klagomål.docx", "A 19094-2025")</f>
        <v/>
      </c>
      <c r="W849">
        <f>HYPERLINK("https://klasma.github.io/Logging_2083/klagomålsmail/A 19094-2025 FSC-klagomål mail.docx", "A 19094-2025")</f>
        <v/>
      </c>
      <c r="X849">
        <f>HYPERLINK("https://klasma.github.io/Logging_2083/tillsyn/A 19094-2025 tillsynsbegäran.docx", "A 19094-2025")</f>
        <v/>
      </c>
      <c r="Y849">
        <f>HYPERLINK("https://klasma.github.io/Logging_2083/tillsynsmail/A 19094-2025 tillsynsbegäran mail.docx", "A 19094-2025")</f>
        <v/>
      </c>
    </row>
    <row r="850" ht="15" customHeight="1">
      <c r="A850" t="inlineStr">
        <is>
          <t>A 36510-2025</t>
        </is>
      </c>
      <c r="B850" s="1" t="n">
        <v>45869</v>
      </c>
      <c r="C850" s="1" t="n">
        <v>46114</v>
      </c>
      <c r="D850" t="inlineStr">
        <is>
          <t>DALARNAS LÄN</t>
        </is>
      </c>
      <c r="E850" t="inlineStr">
        <is>
          <t>GAGNEF</t>
        </is>
      </c>
      <c r="G850" t="n">
        <v>3.3</v>
      </c>
      <c r="H850" t="n">
        <v>1</v>
      </c>
      <c r="I850" t="n">
        <v>0</v>
      </c>
      <c r="J850" t="n">
        <v>0</v>
      </c>
      <c r="K850" t="n">
        <v>0</v>
      </c>
      <c r="L850" t="n">
        <v>0</v>
      </c>
      <c r="M850" t="n">
        <v>0</v>
      </c>
      <c r="N850" t="n">
        <v>0</v>
      </c>
      <c r="O850" t="n">
        <v>0</v>
      </c>
      <c r="P850" t="n">
        <v>0</v>
      </c>
      <c r="Q850" t="n">
        <v>1</v>
      </c>
      <c r="R850" s="2" t="inlineStr">
        <is>
          <t>Nattviol</t>
        </is>
      </c>
      <c r="S850">
        <f>HYPERLINK("https://klasma.github.io/Logging_2026/artfynd/A 36510-2025 artfynd.xlsx", "A 36510-2025")</f>
        <v/>
      </c>
      <c r="T850">
        <f>HYPERLINK("https://klasma.github.io/Logging_2026/kartor/A 36510-2025 karta.png", "A 36510-2025")</f>
        <v/>
      </c>
      <c r="V850">
        <f>HYPERLINK("https://klasma.github.io/Logging_2026/klagomål/A 36510-2025 FSC-klagomål.docx", "A 36510-2025")</f>
        <v/>
      </c>
      <c r="W850">
        <f>HYPERLINK("https://klasma.github.io/Logging_2026/klagomålsmail/A 36510-2025 FSC-klagomål mail.docx", "A 36510-2025")</f>
        <v/>
      </c>
      <c r="X850">
        <f>HYPERLINK("https://klasma.github.io/Logging_2026/tillsyn/A 36510-2025 tillsynsbegäran.docx", "A 36510-2025")</f>
        <v/>
      </c>
      <c r="Y850">
        <f>HYPERLINK("https://klasma.github.io/Logging_2026/tillsynsmail/A 36510-2025 tillsynsbegäran mail.docx", "A 36510-2025")</f>
        <v/>
      </c>
    </row>
    <row r="851" ht="15" customHeight="1">
      <c r="A851" t="inlineStr">
        <is>
          <t>A 41553-2025</t>
        </is>
      </c>
      <c r="B851" s="1" t="n">
        <v>45901.59108796297</v>
      </c>
      <c r="C851" s="1" t="n">
        <v>46114</v>
      </c>
      <c r="D851" t="inlineStr">
        <is>
          <t>DALARNAS LÄN</t>
        </is>
      </c>
      <c r="E851" t="inlineStr">
        <is>
          <t>ORSA</t>
        </is>
      </c>
      <c r="F851" t="inlineStr">
        <is>
          <t>Bergvik skog väst AB</t>
        </is>
      </c>
      <c r="G851" t="n">
        <v>2.2</v>
      </c>
      <c r="H851" t="n">
        <v>0</v>
      </c>
      <c r="I851" t="n">
        <v>0</v>
      </c>
      <c r="J851" t="n">
        <v>0</v>
      </c>
      <c r="K851" t="n">
        <v>1</v>
      </c>
      <c r="L851" t="n">
        <v>0</v>
      </c>
      <c r="M851" t="n">
        <v>0</v>
      </c>
      <c r="N851" t="n">
        <v>0</v>
      </c>
      <c r="O851" t="n">
        <v>1</v>
      </c>
      <c r="P851" t="n">
        <v>1</v>
      </c>
      <c r="Q851" t="n">
        <v>1</v>
      </c>
      <c r="R851" s="2" t="inlineStr">
        <is>
          <t>Honungsticka</t>
        </is>
      </c>
      <c r="S851">
        <f>HYPERLINK("https://klasma.github.io/Logging_2034/artfynd/A 41553-2025 artfynd.xlsx", "A 41553-2025")</f>
        <v/>
      </c>
      <c r="T851">
        <f>HYPERLINK("https://klasma.github.io/Logging_2034/kartor/A 41553-2025 karta.png", "A 41553-2025")</f>
        <v/>
      </c>
      <c r="V851">
        <f>HYPERLINK("https://klasma.github.io/Logging_2034/klagomål/A 41553-2025 FSC-klagomål.docx", "A 41553-2025")</f>
        <v/>
      </c>
      <c r="W851">
        <f>HYPERLINK("https://klasma.github.io/Logging_2034/klagomålsmail/A 41553-2025 FSC-klagomål mail.docx", "A 41553-2025")</f>
        <v/>
      </c>
      <c r="X851">
        <f>HYPERLINK("https://klasma.github.io/Logging_2034/tillsyn/A 41553-2025 tillsynsbegäran.docx", "A 41553-2025")</f>
        <v/>
      </c>
      <c r="Y851">
        <f>HYPERLINK("https://klasma.github.io/Logging_2034/tillsynsmail/A 41553-2025 tillsynsbegäran mail.docx", "A 41553-2025")</f>
        <v/>
      </c>
    </row>
    <row r="852" ht="15" customHeight="1">
      <c r="A852" t="inlineStr">
        <is>
          <t>A 33512-2025</t>
        </is>
      </c>
      <c r="B852" s="1" t="n">
        <v>45841</v>
      </c>
      <c r="C852" s="1" t="n">
        <v>46114</v>
      </c>
      <c r="D852" t="inlineStr">
        <is>
          <t>DALARNAS LÄN</t>
        </is>
      </c>
      <c r="E852" t="inlineStr">
        <is>
          <t>BORLÄNGE</t>
        </is>
      </c>
      <c r="F852" t="inlineStr">
        <is>
          <t>Bergvik skog väst AB</t>
        </is>
      </c>
      <c r="G852" t="n">
        <v>4.5</v>
      </c>
      <c r="H852" t="n">
        <v>1</v>
      </c>
      <c r="I852" t="n">
        <v>0</v>
      </c>
      <c r="J852" t="n">
        <v>0</v>
      </c>
      <c r="K852" t="n">
        <v>1</v>
      </c>
      <c r="L852" t="n">
        <v>0</v>
      </c>
      <c r="M852" t="n">
        <v>0</v>
      </c>
      <c r="N852" t="n">
        <v>0</v>
      </c>
      <c r="O852" t="n">
        <v>1</v>
      </c>
      <c r="P852" t="n">
        <v>1</v>
      </c>
      <c r="Q852" t="n">
        <v>1</v>
      </c>
      <c r="R852" s="2" t="inlineStr">
        <is>
          <t>Knärot</t>
        </is>
      </c>
      <c r="S852">
        <f>HYPERLINK("https://klasma.github.io/Logging_2081/artfynd/A 33512-2025 artfynd.xlsx", "A 33512-2025")</f>
        <v/>
      </c>
      <c r="T852">
        <f>HYPERLINK("https://klasma.github.io/Logging_2081/kartor/A 33512-2025 karta.png", "A 33512-2025")</f>
        <v/>
      </c>
      <c r="U852">
        <f>HYPERLINK("https://klasma.github.io/Logging_2081/knärot/A 33512-2025 karta knärot.png", "A 33512-2025")</f>
        <v/>
      </c>
      <c r="V852">
        <f>HYPERLINK("https://klasma.github.io/Logging_2081/klagomål/A 33512-2025 FSC-klagomål.docx", "A 33512-2025")</f>
        <v/>
      </c>
      <c r="W852">
        <f>HYPERLINK("https://klasma.github.io/Logging_2081/klagomålsmail/A 33512-2025 FSC-klagomål mail.docx", "A 33512-2025")</f>
        <v/>
      </c>
      <c r="X852">
        <f>HYPERLINK("https://klasma.github.io/Logging_2081/tillsyn/A 33512-2025 tillsynsbegäran.docx", "A 33512-2025")</f>
        <v/>
      </c>
      <c r="Y852">
        <f>HYPERLINK("https://klasma.github.io/Logging_2081/tillsynsmail/A 33512-2025 tillsynsbegäran mail.docx", "A 33512-2025")</f>
        <v/>
      </c>
    </row>
    <row r="853" ht="15" customHeight="1">
      <c r="A853" t="inlineStr">
        <is>
          <t>A 42709-2024</t>
        </is>
      </c>
      <c r="B853" s="1" t="n">
        <v>45566</v>
      </c>
      <c r="C853" s="1" t="n">
        <v>46114</v>
      </c>
      <c r="D853" t="inlineStr">
        <is>
          <t>DALARNAS LÄN</t>
        </is>
      </c>
      <c r="E853" t="inlineStr">
        <is>
          <t>GAGNEF</t>
        </is>
      </c>
      <c r="G853" t="n">
        <v>4</v>
      </c>
      <c r="H853" t="n">
        <v>0</v>
      </c>
      <c r="I853" t="n">
        <v>0</v>
      </c>
      <c r="J853" t="n">
        <v>1</v>
      </c>
      <c r="K853" t="n">
        <v>0</v>
      </c>
      <c r="L853" t="n">
        <v>0</v>
      </c>
      <c r="M853" t="n">
        <v>0</v>
      </c>
      <c r="N853" t="n">
        <v>0</v>
      </c>
      <c r="O853" t="n">
        <v>1</v>
      </c>
      <c r="P853" t="n">
        <v>0</v>
      </c>
      <c r="Q853" t="n">
        <v>1</v>
      </c>
      <c r="R853" s="2" t="inlineStr">
        <is>
          <t>Garnlav</t>
        </is>
      </c>
      <c r="S853">
        <f>HYPERLINK("https://klasma.github.io/Logging_2026/artfynd/A 42709-2024 artfynd.xlsx", "A 42709-2024")</f>
        <v/>
      </c>
      <c r="T853">
        <f>HYPERLINK("https://klasma.github.io/Logging_2026/kartor/A 42709-2024 karta.png", "A 42709-2024")</f>
        <v/>
      </c>
      <c r="U853">
        <f>HYPERLINK("https://klasma.github.io/Logging_2026/knärot/A 42709-2024 karta knärot.png", "A 42709-2024")</f>
        <v/>
      </c>
      <c r="V853">
        <f>HYPERLINK("https://klasma.github.io/Logging_2026/klagomål/A 42709-2024 FSC-klagomål.docx", "A 42709-2024")</f>
        <v/>
      </c>
      <c r="W853">
        <f>HYPERLINK("https://klasma.github.io/Logging_2026/klagomålsmail/A 42709-2024 FSC-klagomål mail.docx", "A 42709-2024")</f>
        <v/>
      </c>
      <c r="X853">
        <f>HYPERLINK("https://klasma.github.io/Logging_2026/tillsyn/A 42709-2024 tillsynsbegäran.docx", "A 42709-2024")</f>
        <v/>
      </c>
      <c r="Y853">
        <f>HYPERLINK("https://klasma.github.io/Logging_2026/tillsynsmail/A 42709-2024 tillsynsbegäran mail.docx", "A 42709-2024")</f>
        <v/>
      </c>
    </row>
    <row r="854" ht="15" customHeight="1">
      <c r="A854" t="inlineStr">
        <is>
          <t>A 55633-2024</t>
        </is>
      </c>
      <c r="B854" s="1" t="n">
        <v>45621</v>
      </c>
      <c r="C854" s="1" t="n">
        <v>46114</v>
      </c>
      <c r="D854" t="inlineStr">
        <is>
          <t>DALARNAS LÄN</t>
        </is>
      </c>
      <c r="E854" t="inlineStr">
        <is>
          <t>LEKSAND</t>
        </is>
      </c>
      <c r="G854" t="n">
        <v>7.8</v>
      </c>
      <c r="H854" t="n">
        <v>0</v>
      </c>
      <c r="I854" t="n">
        <v>0</v>
      </c>
      <c r="J854" t="n">
        <v>1</v>
      </c>
      <c r="K854" t="n">
        <v>0</v>
      </c>
      <c r="L854" t="n">
        <v>0</v>
      </c>
      <c r="M854" t="n">
        <v>0</v>
      </c>
      <c r="N854" t="n">
        <v>0</v>
      </c>
      <c r="O854" t="n">
        <v>1</v>
      </c>
      <c r="P854" t="n">
        <v>0</v>
      </c>
      <c r="Q854" t="n">
        <v>1</v>
      </c>
      <c r="R854" s="2" t="inlineStr">
        <is>
          <t>Ullticka</t>
        </is>
      </c>
      <c r="S854">
        <f>HYPERLINK("https://klasma.github.io/Logging_2029/artfynd/A 55633-2024 artfynd.xlsx", "A 55633-2024")</f>
        <v/>
      </c>
      <c r="T854">
        <f>HYPERLINK("https://klasma.github.io/Logging_2029/kartor/A 55633-2024 karta.png", "A 55633-2024")</f>
        <v/>
      </c>
      <c r="V854">
        <f>HYPERLINK("https://klasma.github.io/Logging_2029/klagomål/A 55633-2024 FSC-klagomål.docx", "A 55633-2024")</f>
        <v/>
      </c>
      <c r="W854">
        <f>HYPERLINK("https://klasma.github.io/Logging_2029/klagomålsmail/A 55633-2024 FSC-klagomål mail.docx", "A 55633-2024")</f>
        <v/>
      </c>
      <c r="X854">
        <f>HYPERLINK("https://klasma.github.io/Logging_2029/tillsyn/A 55633-2024 tillsynsbegäran.docx", "A 55633-2024")</f>
        <v/>
      </c>
      <c r="Y854">
        <f>HYPERLINK("https://klasma.github.io/Logging_2029/tillsynsmail/A 55633-2024 tillsynsbegäran mail.docx", "A 55633-2024")</f>
        <v/>
      </c>
    </row>
    <row r="855" ht="15" customHeight="1">
      <c r="A855" t="inlineStr">
        <is>
          <t>A 41050-2025</t>
        </is>
      </c>
      <c r="B855" s="1" t="n">
        <v>45898.40256944444</v>
      </c>
      <c r="C855" s="1" t="n">
        <v>46114</v>
      </c>
      <c r="D855" t="inlineStr">
        <is>
          <t>DALARNAS LÄN</t>
        </is>
      </c>
      <c r="E855" t="inlineStr">
        <is>
          <t>FALUN</t>
        </is>
      </c>
      <c r="G855" t="n">
        <v>4.7</v>
      </c>
      <c r="H855" t="n">
        <v>0</v>
      </c>
      <c r="I855" t="n">
        <v>0</v>
      </c>
      <c r="J855" t="n">
        <v>1</v>
      </c>
      <c r="K855" t="n">
        <v>0</v>
      </c>
      <c r="L855" t="n">
        <v>0</v>
      </c>
      <c r="M855" t="n">
        <v>0</v>
      </c>
      <c r="N855" t="n">
        <v>0</v>
      </c>
      <c r="O855" t="n">
        <v>1</v>
      </c>
      <c r="P855" t="n">
        <v>0</v>
      </c>
      <c r="Q855" t="n">
        <v>1</v>
      </c>
      <c r="R855" s="2" t="inlineStr">
        <is>
          <t>Motaggsvamp</t>
        </is>
      </c>
      <c r="S855">
        <f>HYPERLINK("https://klasma.github.io/Logging_2080/artfynd/A 41050-2025 artfynd.xlsx", "A 41050-2025")</f>
        <v/>
      </c>
      <c r="T855">
        <f>HYPERLINK("https://klasma.github.io/Logging_2080/kartor/A 41050-2025 karta.png", "A 41050-2025")</f>
        <v/>
      </c>
      <c r="U855">
        <f>HYPERLINK("https://klasma.github.io/Logging_2080/knärot/A 41050-2025 karta knärot.png", "A 41050-2025")</f>
        <v/>
      </c>
      <c r="V855">
        <f>HYPERLINK("https://klasma.github.io/Logging_2080/klagomål/A 41050-2025 FSC-klagomål.docx", "A 41050-2025")</f>
        <v/>
      </c>
      <c r="W855">
        <f>HYPERLINK("https://klasma.github.io/Logging_2080/klagomålsmail/A 41050-2025 FSC-klagomål mail.docx", "A 41050-2025")</f>
        <v/>
      </c>
      <c r="X855">
        <f>HYPERLINK("https://klasma.github.io/Logging_2080/tillsyn/A 41050-2025 tillsynsbegäran.docx", "A 41050-2025")</f>
        <v/>
      </c>
      <c r="Y855">
        <f>HYPERLINK("https://klasma.github.io/Logging_2080/tillsynsmail/A 41050-2025 tillsynsbegäran mail.docx", "A 41050-2025")</f>
        <v/>
      </c>
    </row>
    <row r="856" ht="15" customHeight="1">
      <c r="A856" t="inlineStr">
        <is>
          <t>A 61661-2024</t>
        </is>
      </c>
      <c r="B856" s="1" t="n">
        <v>45646.84287037037</v>
      </c>
      <c r="C856" s="1" t="n">
        <v>46114</v>
      </c>
      <c r="D856" t="inlineStr">
        <is>
          <t>DALARNAS LÄN</t>
        </is>
      </c>
      <c r="E856" t="inlineStr">
        <is>
          <t>FALUN</t>
        </is>
      </c>
      <c r="G856" t="n">
        <v>9.300000000000001</v>
      </c>
      <c r="H856" t="n">
        <v>0</v>
      </c>
      <c r="I856" t="n">
        <v>1</v>
      </c>
      <c r="J856" t="n">
        <v>0</v>
      </c>
      <c r="K856" t="n">
        <v>0</v>
      </c>
      <c r="L856" t="n">
        <v>0</v>
      </c>
      <c r="M856" t="n">
        <v>0</v>
      </c>
      <c r="N856" t="n">
        <v>0</v>
      </c>
      <c r="O856" t="n">
        <v>0</v>
      </c>
      <c r="P856" t="n">
        <v>0</v>
      </c>
      <c r="Q856" t="n">
        <v>1</v>
      </c>
      <c r="R856" s="2" t="inlineStr">
        <is>
          <t>Dropptaggsvamp</t>
        </is>
      </c>
      <c r="S856">
        <f>HYPERLINK("https://klasma.github.io/Logging_2080/artfynd/A 61661-2024 artfynd.xlsx", "A 61661-2024")</f>
        <v/>
      </c>
      <c r="T856">
        <f>HYPERLINK("https://klasma.github.io/Logging_2080/kartor/A 61661-2024 karta.png", "A 61661-2024")</f>
        <v/>
      </c>
      <c r="V856">
        <f>HYPERLINK("https://klasma.github.io/Logging_2080/klagomål/A 61661-2024 FSC-klagomål.docx", "A 61661-2024")</f>
        <v/>
      </c>
      <c r="W856">
        <f>HYPERLINK("https://klasma.github.io/Logging_2080/klagomålsmail/A 61661-2024 FSC-klagomål mail.docx", "A 61661-2024")</f>
        <v/>
      </c>
      <c r="X856">
        <f>HYPERLINK("https://klasma.github.io/Logging_2080/tillsyn/A 61661-2024 tillsynsbegäran.docx", "A 61661-2024")</f>
        <v/>
      </c>
      <c r="Y856">
        <f>HYPERLINK("https://klasma.github.io/Logging_2080/tillsynsmail/A 61661-2024 tillsynsbegäran mail.docx", "A 61661-2024")</f>
        <v/>
      </c>
    </row>
    <row r="857" ht="15" customHeight="1">
      <c r="A857" t="inlineStr">
        <is>
          <t>A 41336-2022</t>
        </is>
      </c>
      <c r="B857" s="1" t="n">
        <v>44826</v>
      </c>
      <c r="C857" s="1" t="n">
        <v>46114</v>
      </c>
      <c r="D857" t="inlineStr">
        <is>
          <t>DALARNAS LÄN</t>
        </is>
      </c>
      <c r="E857" t="inlineStr">
        <is>
          <t>SMEDJEBACKEN</t>
        </is>
      </c>
      <c r="G857" t="n">
        <v>2.3</v>
      </c>
      <c r="H857" t="n">
        <v>1</v>
      </c>
      <c r="I857" t="n">
        <v>0</v>
      </c>
      <c r="J857" t="n">
        <v>1</v>
      </c>
      <c r="K857" t="n">
        <v>0</v>
      </c>
      <c r="L857" t="n">
        <v>0</v>
      </c>
      <c r="M857" t="n">
        <v>0</v>
      </c>
      <c r="N857" t="n">
        <v>0</v>
      </c>
      <c r="O857" t="n">
        <v>1</v>
      </c>
      <c r="P857" t="n">
        <v>0</v>
      </c>
      <c r="Q857" t="n">
        <v>1</v>
      </c>
      <c r="R857" s="2" t="inlineStr">
        <is>
          <t>Spillkråka</t>
        </is>
      </c>
      <c r="S857">
        <f>HYPERLINK("https://klasma.github.io/Logging_2061/artfynd/A 41336-2022 artfynd.xlsx", "A 41336-2022")</f>
        <v/>
      </c>
      <c r="T857">
        <f>HYPERLINK("https://klasma.github.io/Logging_2061/kartor/A 41336-2022 karta.png", "A 41336-2022")</f>
        <v/>
      </c>
      <c r="V857">
        <f>HYPERLINK("https://klasma.github.io/Logging_2061/klagomål/A 41336-2022 FSC-klagomål.docx", "A 41336-2022")</f>
        <v/>
      </c>
      <c r="W857">
        <f>HYPERLINK("https://klasma.github.io/Logging_2061/klagomålsmail/A 41336-2022 FSC-klagomål mail.docx", "A 41336-2022")</f>
        <v/>
      </c>
      <c r="X857">
        <f>HYPERLINK("https://klasma.github.io/Logging_2061/tillsyn/A 41336-2022 tillsynsbegäran.docx", "A 41336-2022")</f>
        <v/>
      </c>
      <c r="Y857">
        <f>HYPERLINK("https://klasma.github.io/Logging_2061/tillsynsmail/A 41336-2022 tillsynsbegäran mail.docx", "A 41336-2022")</f>
        <v/>
      </c>
      <c r="Z857">
        <f>HYPERLINK("https://klasma.github.io/Logging_2061/fåglar/A 41336-2022 prioriterade fågelarter.docx", "A 41336-2022")</f>
        <v/>
      </c>
    </row>
    <row r="858" ht="15" customHeight="1">
      <c r="A858" t="inlineStr">
        <is>
          <t>A 74401-2021</t>
        </is>
      </c>
      <c r="B858" s="1" t="n">
        <v>44560</v>
      </c>
      <c r="C858" s="1" t="n">
        <v>46114</v>
      </c>
      <c r="D858" t="inlineStr">
        <is>
          <t>DALARNAS LÄN</t>
        </is>
      </c>
      <c r="E858" t="inlineStr">
        <is>
          <t>LUDVIKA</t>
        </is>
      </c>
      <c r="F858" t="inlineStr">
        <is>
          <t>Kommuner</t>
        </is>
      </c>
      <c r="G858" t="n">
        <v>0.6</v>
      </c>
      <c r="H858" t="n">
        <v>0</v>
      </c>
      <c r="I858" t="n">
        <v>1</v>
      </c>
      <c r="J858" t="n">
        <v>0</v>
      </c>
      <c r="K858" t="n">
        <v>0</v>
      </c>
      <c r="L858" t="n">
        <v>0</v>
      </c>
      <c r="M858" t="n">
        <v>0</v>
      </c>
      <c r="N858" t="n">
        <v>0</v>
      </c>
      <c r="O858" t="n">
        <v>0</v>
      </c>
      <c r="P858" t="n">
        <v>0</v>
      </c>
      <c r="Q858" t="n">
        <v>1</v>
      </c>
      <c r="R858" s="2" t="inlineStr">
        <is>
          <t>Gullgröppa</t>
        </is>
      </c>
      <c r="S858">
        <f>HYPERLINK("https://klasma.github.io/Logging_2085/artfynd/A 74401-2021 artfynd.xlsx", "A 74401-2021")</f>
        <v/>
      </c>
      <c r="T858">
        <f>HYPERLINK("https://klasma.github.io/Logging_2085/kartor/A 74401-2021 karta.png", "A 74401-2021")</f>
        <v/>
      </c>
      <c r="V858">
        <f>HYPERLINK("https://klasma.github.io/Logging_2085/klagomål/A 74401-2021 FSC-klagomål.docx", "A 74401-2021")</f>
        <v/>
      </c>
      <c r="W858">
        <f>HYPERLINK("https://klasma.github.io/Logging_2085/klagomålsmail/A 74401-2021 FSC-klagomål mail.docx", "A 74401-2021")</f>
        <v/>
      </c>
      <c r="X858">
        <f>HYPERLINK("https://klasma.github.io/Logging_2085/tillsyn/A 74401-2021 tillsynsbegäran.docx", "A 74401-2021")</f>
        <v/>
      </c>
      <c r="Y858">
        <f>HYPERLINK("https://klasma.github.io/Logging_2085/tillsynsmail/A 74401-2021 tillsynsbegäran mail.docx", "A 74401-2021")</f>
        <v/>
      </c>
    </row>
    <row r="859" ht="15" customHeight="1">
      <c r="A859" t="inlineStr">
        <is>
          <t>A 29792-2025</t>
        </is>
      </c>
      <c r="B859" s="1" t="n">
        <v>45825.66416666667</v>
      </c>
      <c r="C859" s="1" t="n">
        <v>46114</v>
      </c>
      <c r="D859" t="inlineStr">
        <is>
          <t>DALARNAS LÄN</t>
        </is>
      </c>
      <c r="E859" t="inlineStr">
        <is>
          <t>HEDEMORA</t>
        </is>
      </c>
      <c r="F859" t="inlineStr">
        <is>
          <t>Sveaskog</t>
        </is>
      </c>
      <c r="G859" t="n">
        <v>26.3</v>
      </c>
      <c r="H859" t="n">
        <v>1</v>
      </c>
      <c r="I859" t="n">
        <v>0</v>
      </c>
      <c r="J859" t="n">
        <v>0</v>
      </c>
      <c r="K859" t="n">
        <v>0</v>
      </c>
      <c r="L859" t="n">
        <v>0</v>
      </c>
      <c r="M859" t="n">
        <v>0</v>
      </c>
      <c r="N859" t="n">
        <v>0</v>
      </c>
      <c r="O859" t="n">
        <v>0</v>
      </c>
      <c r="P859" t="n">
        <v>0</v>
      </c>
      <c r="Q859" t="n">
        <v>1</v>
      </c>
      <c r="R859" s="2" t="inlineStr">
        <is>
          <t>Tjäder</t>
        </is>
      </c>
      <c r="S859">
        <f>HYPERLINK("https://klasma.github.io/Logging_2083/artfynd/A 29792-2025 artfynd.xlsx", "A 29792-2025")</f>
        <v/>
      </c>
      <c r="T859">
        <f>HYPERLINK("https://klasma.github.io/Logging_2083/kartor/A 29792-2025 karta.png", "A 29792-2025")</f>
        <v/>
      </c>
      <c r="V859">
        <f>HYPERLINK("https://klasma.github.io/Logging_2083/klagomål/A 29792-2025 FSC-klagomål.docx", "A 29792-2025")</f>
        <v/>
      </c>
      <c r="W859">
        <f>HYPERLINK("https://klasma.github.io/Logging_2083/klagomålsmail/A 29792-2025 FSC-klagomål mail.docx", "A 29792-2025")</f>
        <v/>
      </c>
      <c r="X859">
        <f>HYPERLINK("https://klasma.github.io/Logging_2083/tillsyn/A 29792-2025 tillsynsbegäran.docx", "A 29792-2025")</f>
        <v/>
      </c>
      <c r="Y859">
        <f>HYPERLINK("https://klasma.github.io/Logging_2083/tillsynsmail/A 29792-2025 tillsynsbegäran mail.docx", "A 29792-2025")</f>
        <v/>
      </c>
      <c r="Z859">
        <f>HYPERLINK("https://klasma.github.io/Logging_2083/fåglar/A 29792-2025 prioriterade fågelarter.docx", "A 29792-2025")</f>
        <v/>
      </c>
    </row>
    <row r="860" ht="15" customHeight="1">
      <c r="A860" t="inlineStr">
        <is>
          <t>A 41932-2025</t>
        </is>
      </c>
      <c r="B860" s="1" t="n">
        <v>45903.43458333334</v>
      </c>
      <c r="C860" s="1" t="n">
        <v>46114</v>
      </c>
      <c r="D860" t="inlineStr">
        <is>
          <t>DALARNAS LÄN</t>
        </is>
      </c>
      <c r="E860" t="inlineStr">
        <is>
          <t>ÄLVDALEN</t>
        </is>
      </c>
      <c r="F860" t="inlineStr">
        <is>
          <t>Sveaskog</t>
        </is>
      </c>
      <c r="G860" t="n">
        <v>5.5</v>
      </c>
      <c r="H860" t="n">
        <v>0</v>
      </c>
      <c r="I860" t="n">
        <v>1</v>
      </c>
      <c r="J860" t="n">
        <v>0</v>
      </c>
      <c r="K860" t="n">
        <v>0</v>
      </c>
      <c r="L860" t="n">
        <v>0</v>
      </c>
      <c r="M860" t="n">
        <v>0</v>
      </c>
      <c r="N860" t="n">
        <v>0</v>
      </c>
      <c r="O860" t="n">
        <v>0</v>
      </c>
      <c r="P860" t="n">
        <v>0</v>
      </c>
      <c r="Q860" t="n">
        <v>1</v>
      </c>
      <c r="R860" s="2" t="inlineStr">
        <is>
          <t>Dropptaggsvamp</t>
        </is>
      </c>
      <c r="S860">
        <f>HYPERLINK("https://klasma.github.io/Logging_2039/artfynd/A 41932-2025 artfynd.xlsx", "A 41932-2025")</f>
        <v/>
      </c>
      <c r="T860">
        <f>HYPERLINK("https://klasma.github.io/Logging_2039/kartor/A 41932-2025 karta.png", "A 41932-2025")</f>
        <v/>
      </c>
      <c r="V860">
        <f>HYPERLINK("https://klasma.github.io/Logging_2039/klagomål/A 41932-2025 FSC-klagomål.docx", "A 41932-2025")</f>
        <v/>
      </c>
      <c r="W860">
        <f>HYPERLINK("https://klasma.github.io/Logging_2039/klagomålsmail/A 41932-2025 FSC-klagomål mail.docx", "A 41932-2025")</f>
        <v/>
      </c>
      <c r="X860">
        <f>HYPERLINK("https://klasma.github.io/Logging_2039/tillsyn/A 41932-2025 tillsynsbegäran.docx", "A 41932-2025")</f>
        <v/>
      </c>
      <c r="Y860">
        <f>HYPERLINK("https://klasma.github.io/Logging_2039/tillsynsmail/A 41932-2025 tillsynsbegäran mail.docx", "A 41932-2025")</f>
        <v/>
      </c>
    </row>
    <row r="861" ht="15" customHeight="1">
      <c r="A861" t="inlineStr">
        <is>
          <t>A 41728-2025</t>
        </is>
      </c>
      <c r="B861" s="1" t="n">
        <v>45902.45748842593</v>
      </c>
      <c r="C861" s="1" t="n">
        <v>46114</v>
      </c>
      <c r="D861" t="inlineStr">
        <is>
          <t>DALARNAS LÄN</t>
        </is>
      </c>
      <c r="E861" t="inlineStr">
        <is>
          <t>ÄLVDALEN</t>
        </is>
      </c>
      <c r="F861" t="inlineStr">
        <is>
          <t>Sveaskog</t>
        </is>
      </c>
      <c r="G861" t="n">
        <v>0.9</v>
      </c>
      <c r="H861" t="n">
        <v>0</v>
      </c>
      <c r="I861" t="n">
        <v>1</v>
      </c>
      <c r="J861" t="n">
        <v>0</v>
      </c>
      <c r="K861" t="n">
        <v>0</v>
      </c>
      <c r="L861" t="n">
        <v>0</v>
      </c>
      <c r="M861" t="n">
        <v>0</v>
      </c>
      <c r="N861" t="n">
        <v>0</v>
      </c>
      <c r="O861" t="n">
        <v>0</v>
      </c>
      <c r="P861" t="n">
        <v>0</v>
      </c>
      <c r="Q861" t="n">
        <v>1</v>
      </c>
      <c r="R861" s="2" t="inlineStr">
        <is>
          <t>Dropptaggsvamp</t>
        </is>
      </c>
      <c r="S861">
        <f>HYPERLINK("https://klasma.github.io/Logging_2039/artfynd/A 41728-2025 artfynd.xlsx", "A 41728-2025")</f>
        <v/>
      </c>
      <c r="T861">
        <f>HYPERLINK("https://klasma.github.io/Logging_2039/kartor/A 41728-2025 karta.png", "A 41728-2025")</f>
        <v/>
      </c>
      <c r="V861">
        <f>HYPERLINK("https://klasma.github.io/Logging_2039/klagomål/A 41728-2025 FSC-klagomål.docx", "A 41728-2025")</f>
        <v/>
      </c>
      <c r="W861">
        <f>HYPERLINK("https://klasma.github.io/Logging_2039/klagomålsmail/A 41728-2025 FSC-klagomål mail.docx", "A 41728-2025")</f>
        <v/>
      </c>
      <c r="X861">
        <f>HYPERLINK("https://klasma.github.io/Logging_2039/tillsyn/A 41728-2025 tillsynsbegäran.docx", "A 41728-2025")</f>
        <v/>
      </c>
      <c r="Y861">
        <f>HYPERLINK("https://klasma.github.io/Logging_2039/tillsynsmail/A 41728-2025 tillsynsbegäran mail.docx", "A 41728-2025")</f>
        <v/>
      </c>
    </row>
    <row r="862" ht="15" customHeight="1">
      <c r="A862" t="inlineStr">
        <is>
          <t>A 35389-2022</t>
        </is>
      </c>
      <c r="B862" s="1" t="n">
        <v>44798</v>
      </c>
      <c r="C862" s="1" t="n">
        <v>46114</v>
      </c>
      <c r="D862" t="inlineStr">
        <is>
          <t>DALARNAS LÄN</t>
        </is>
      </c>
      <c r="E862" t="inlineStr">
        <is>
          <t>BORLÄNGE</t>
        </is>
      </c>
      <c r="G862" t="n">
        <v>0.5</v>
      </c>
      <c r="H862" t="n">
        <v>0</v>
      </c>
      <c r="I862" t="n">
        <v>0</v>
      </c>
      <c r="J862" t="n">
        <v>1</v>
      </c>
      <c r="K862" t="n">
        <v>0</v>
      </c>
      <c r="L862" t="n">
        <v>0</v>
      </c>
      <c r="M862" t="n">
        <v>0</v>
      </c>
      <c r="N862" t="n">
        <v>0</v>
      </c>
      <c r="O862" t="n">
        <v>1</v>
      </c>
      <c r="P862" t="n">
        <v>0</v>
      </c>
      <c r="Q862" t="n">
        <v>1</v>
      </c>
      <c r="R862" s="2" t="inlineStr">
        <is>
          <t>Garnlav</t>
        </is>
      </c>
      <c r="S862">
        <f>HYPERLINK("https://klasma.github.io/Logging_2081/artfynd/A 35389-2022 artfynd.xlsx", "A 35389-2022")</f>
        <v/>
      </c>
      <c r="T862">
        <f>HYPERLINK("https://klasma.github.io/Logging_2081/kartor/A 35389-2022 karta.png", "A 35389-2022")</f>
        <v/>
      </c>
      <c r="V862">
        <f>HYPERLINK("https://klasma.github.io/Logging_2081/klagomål/A 35389-2022 FSC-klagomål.docx", "A 35389-2022")</f>
        <v/>
      </c>
      <c r="W862">
        <f>HYPERLINK("https://klasma.github.io/Logging_2081/klagomålsmail/A 35389-2022 FSC-klagomål mail.docx", "A 35389-2022")</f>
        <v/>
      </c>
      <c r="X862">
        <f>HYPERLINK("https://klasma.github.io/Logging_2081/tillsyn/A 35389-2022 tillsynsbegäran.docx", "A 35389-2022")</f>
        <v/>
      </c>
      <c r="Y862">
        <f>HYPERLINK("https://klasma.github.io/Logging_2081/tillsynsmail/A 35389-2022 tillsynsbegäran mail.docx", "A 35389-2022")</f>
        <v/>
      </c>
    </row>
    <row r="863" ht="15" customHeight="1">
      <c r="A863" t="inlineStr">
        <is>
          <t>A 41799-2025</t>
        </is>
      </c>
      <c r="B863" s="1" t="n">
        <v>45902.6065162037</v>
      </c>
      <c r="C863" s="1" t="n">
        <v>46114</v>
      </c>
      <c r="D863" t="inlineStr">
        <is>
          <t>DALARNAS LÄN</t>
        </is>
      </c>
      <c r="E863" t="inlineStr">
        <is>
          <t>ORSA</t>
        </is>
      </c>
      <c r="G863" t="n">
        <v>4</v>
      </c>
      <c r="H863" t="n">
        <v>0</v>
      </c>
      <c r="I863" t="n">
        <v>0</v>
      </c>
      <c r="J863" t="n">
        <v>1</v>
      </c>
      <c r="K863" t="n">
        <v>0</v>
      </c>
      <c r="L863" t="n">
        <v>0</v>
      </c>
      <c r="M863" t="n">
        <v>0</v>
      </c>
      <c r="N863" t="n">
        <v>0</v>
      </c>
      <c r="O863" t="n">
        <v>1</v>
      </c>
      <c r="P863" t="n">
        <v>0</v>
      </c>
      <c r="Q863" t="n">
        <v>1</v>
      </c>
      <c r="R863" s="2" t="inlineStr">
        <is>
          <t>Blå taggsvamp</t>
        </is>
      </c>
      <c r="S863">
        <f>HYPERLINK("https://klasma.github.io/Logging_2034/artfynd/A 41799-2025 artfynd.xlsx", "A 41799-2025")</f>
        <v/>
      </c>
      <c r="T863">
        <f>HYPERLINK("https://klasma.github.io/Logging_2034/kartor/A 41799-2025 karta.png", "A 41799-2025")</f>
        <v/>
      </c>
      <c r="V863">
        <f>HYPERLINK("https://klasma.github.io/Logging_2034/klagomål/A 41799-2025 FSC-klagomål.docx", "A 41799-2025")</f>
        <v/>
      </c>
      <c r="W863">
        <f>HYPERLINK("https://klasma.github.io/Logging_2034/klagomålsmail/A 41799-2025 FSC-klagomål mail.docx", "A 41799-2025")</f>
        <v/>
      </c>
      <c r="X863">
        <f>HYPERLINK("https://klasma.github.io/Logging_2034/tillsyn/A 41799-2025 tillsynsbegäran.docx", "A 41799-2025")</f>
        <v/>
      </c>
      <c r="Y863">
        <f>HYPERLINK("https://klasma.github.io/Logging_2034/tillsynsmail/A 41799-2025 tillsynsbegäran mail.docx", "A 41799-2025")</f>
        <v/>
      </c>
    </row>
    <row r="864" ht="15" customHeight="1">
      <c r="A864" t="inlineStr">
        <is>
          <t>A 32068-2023</t>
        </is>
      </c>
      <c r="B864" s="1" t="n">
        <v>45119.57550925926</v>
      </c>
      <c r="C864" s="1" t="n">
        <v>46114</v>
      </c>
      <c r="D864" t="inlineStr">
        <is>
          <t>DALARNAS LÄN</t>
        </is>
      </c>
      <c r="E864" t="inlineStr">
        <is>
          <t>MALUNG-SÄLEN</t>
        </is>
      </c>
      <c r="F864" t="inlineStr">
        <is>
          <t>Bergvik skog öst AB</t>
        </is>
      </c>
      <c r="G864" t="n">
        <v>1.6</v>
      </c>
      <c r="H864" t="n">
        <v>1</v>
      </c>
      <c r="I864" t="n">
        <v>0</v>
      </c>
      <c r="J864" t="n">
        <v>1</v>
      </c>
      <c r="K864" t="n">
        <v>0</v>
      </c>
      <c r="L864" t="n">
        <v>0</v>
      </c>
      <c r="M864" t="n">
        <v>0</v>
      </c>
      <c r="N864" t="n">
        <v>0</v>
      </c>
      <c r="O864" t="n">
        <v>1</v>
      </c>
      <c r="P864" t="n">
        <v>0</v>
      </c>
      <c r="Q864" t="n">
        <v>1</v>
      </c>
      <c r="R864" s="2" t="inlineStr">
        <is>
          <t>Kungsörn</t>
        </is>
      </c>
      <c r="S864">
        <f>HYPERLINK("https://klasma.github.io/Logging_2023/artfynd/A 32068-2023 artfynd.xlsx", "A 32068-2023")</f>
        <v/>
      </c>
      <c r="T864">
        <f>HYPERLINK("https://klasma.github.io/Logging_2023/kartor/A 32068-2023 karta.png", "A 32068-2023")</f>
        <v/>
      </c>
      <c r="V864">
        <f>HYPERLINK("https://klasma.github.io/Logging_2023/klagomål/A 32068-2023 FSC-klagomål.docx", "A 32068-2023")</f>
        <v/>
      </c>
      <c r="W864">
        <f>HYPERLINK("https://klasma.github.io/Logging_2023/klagomålsmail/A 32068-2023 FSC-klagomål mail.docx", "A 32068-2023")</f>
        <v/>
      </c>
      <c r="X864">
        <f>HYPERLINK("https://klasma.github.io/Logging_2023/tillsyn/A 32068-2023 tillsynsbegäran.docx", "A 32068-2023")</f>
        <v/>
      </c>
      <c r="Y864">
        <f>HYPERLINK("https://klasma.github.io/Logging_2023/tillsynsmail/A 32068-2023 tillsynsbegäran mail.docx", "A 32068-2023")</f>
        <v/>
      </c>
      <c r="Z864">
        <f>HYPERLINK("https://klasma.github.io/Logging_2023/fåglar/A 32068-2023 prioriterade fågelarter.docx", "A 32068-2023")</f>
        <v/>
      </c>
    </row>
    <row r="865" ht="15" customHeight="1">
      <c r="A865" t="inlineStr">
        <is>
          <t>A 26850-2023</t>
        </is>
      </c>
      <c r="B865" s="1" t="n">
        <v>45093</v>
      </c>
      <c r="C865" s="1" t="n">
        <v>46114</v>
      </c>
      <c r="D865" t="inlineStr">
        <is>
          <t>DALARNAS LÄN</t>
        </is>
      </c>
      <c r="E865" t="inlineStr">
        <is>
          <t>LUDVIKA</t>
        </is>
      </c>
      <c r="F865" t="inlineStr">
        <is>
          <t>Naturvårdsverket</t>
        </is>
      </c>
      <c r="G865" t="n">
        <v>2.7</v>
      </c>
      <c r="H865" t="n">
        <v>0</v>
      </c>
      <c r="I865" t="n">
        <v>0</v>
      </c>
      <c r="J865" t="n">
        <v>1</v>
      </c>
      <c r="K865" t="n">
        <v>0</v>
      </c>
      <c r="L865" t="n">
        <v>0</v>
      </c>
      <c r="M865" t="n">
        <v>0</v>
      </c>
      <c r="N865" t="n">
        <v>0</v>
      </c>
      <c r="O865" t="n">
        <v>1</v>
      </c>
      <c r="P865" t="n">
        <v>0</v>
      </c>
      <c r="Q865" t="n">
        <v>1</v>
      </c>
      <c r="R865" s="2" t="inlineStr">
        <is>
          <t>Motaggsvamp</t>
        </is>
      </c>
      <c r="S865">
        <f>HYPERLINK("https://klasma.github.io/Logging_2085/artfynd/A 26850-2023 artfynd.xlsx", "A 26850-2023")</f>
        <v/>
      </c>
      <c r="T865">
        <f>HYPERLINK("https://klasma.github.io/Logging_2085/kartor/A 26850-2023 karta.png", "A 26850-2023")</f>
        <v/>
      </c>
      <c r="V865">
        <f>HYPERLINK("https://klasma.github.io/Logging_2085/klagomål/A 26850-2023 FSC-klagomål.docx", "A 26850-2023")</f>
        <v/>
      </c>
      <c r="W865">
        <f>HYPERLINK("https://klasma.github.io/Logging_2085/klagomålsmail/A 26850-2023 FSC-klagomål mail.docx", "A 26850-2023")</f>
        <v/>
      </c>
      <c r="X865">
        <f>HYPERLINK("https://klasma.github.io/Logging_2085/tillsyn/A 26850-2023 tillsynsbegäran.docx", "A 26850-2023")</f>
        <v/>
      </c>
      <c r="Y865">
        <f>HYPERLINK("https://klasma.github.io/Logging_2085/tillsynsmail/A 26850-2023 tillsynsbegäran mail.docx", "A 26850-2023")</f>
        <v/>
      </c>
    </row>
    <row r="866" ht="15" customHeight="1">
      <c r="A866" t="inlineStr">
        <is>
          <t>A 42327-2025</t>
        </is>
      </c>
      <c r="B866" s="1" t="n">
        <v>45904.68600694444</v>
      </c>
      <c r="C866" s="1" t="n">
        <v>46114</v>
      </c>
      <c r="D866" t="inlineStr">
        <is>
          <t>DALARNAS LÄN</t>
        </is>
      </c>
      <c r="E866" t="inlineStr">
        <is>
          <t>ORSA</t>
        </is>
      </c>
      <c r="G866" t="n">
        <v>1.6</v>
      </c>
      <c r="H866" t="n">
        <v>1</v>
      </c>
      <c r="I866" t="n">
        <v>0</v>
      </c>
      <c r="J866" t="n">
        <v>1</v>
      </c>
      <c r="K866" t="n">
        <v>0</v>
      </c>
      <c r="L866" t="n">
        <v>0</v>
      </c>
      <c r="M866" t="n">
        <v>0</v>
      </c>
      <c r="N866" t="n">
        <v>0</v>
      </c>
      <c r="O866" t="n">
        <v>1</v>
      </c>
      <c r="P866" t="n">
        <v>0</v>
      </c>
      <c r="Q866" t="n">
        <v>1</v>
      </c>
      <c r="R866" s="2" t="inlineStr">
        <is>
          <t>Grönsångare</t>
        </is>
      </c>
      <c r="S866">
        <f>HYPERLINK("https://klasma.github.io/Logging_2034/artfynd/A 42327-2025 artfynd.xlsx", "A 42327-2025")</f>
        <v/>
      </c>
      <c r="T866">
        <f>HYPERLINK("https://klasma.github.io/Logging_2034/kartor/A 42327-2025 karta.png", "A 42327-2025")</f>
        <v/>
      </c>
      <c r="V866">
        <f>HYPERLINK("https://klasma.github.io/Logging_2034/klagomål/A 42327-2025 FSC-klagomål.docx", "A 42327-2025")</f>
        <v/>
      </c>
      <c r="W866">
        <f>HYPERLINK("https://klasma.github.io/Logging_2034/klagomålsmail/A 42327-2025 FSC-klagomål mail.docx", "A 42327-2025")</f>
        <v/>
      </c>
      <c r="X866">
        <f>HYPERLINK("https://klasma.github.io/Logging_2034/tillsyn/A 42327-2025 tillsynsbegäran.docx", "A 42327-2025")</f>
        <v/>
      </c>
      <c r="Y866">
        <f>HYPERLINK("https://klasma.github.io/Logging_2034/tillsynsmail/A 42327-2025 tillsynsbegäran mail.docx", "A 42327-2025")</f>
        <v/>
      </c>
      <c r="Z866">
        <f>HYPERLINK("https://klasma.github.io/Logging_2034/fåglar/A 42327-2025 prioriterade fågelarter.docx", "A 42327-2025")</f>
        <v/>
      </c>
    </row>
    <row r="867" ht="15" customHeight="1">
      <c r="A867" t="inlineStr">
        <is>
          <t>A 11320-2025</t>
        </is>
      </c>
      <c r="B867" s="1" t="n">
        <v>45726.46378472223</v>
      </c>
      <c r="C867" s="1" t="n">
        <v>46114</v>
      </c>
      <c r="D867" t="inlineStr">
        <is>
          <t>DALARNAS LÄN</t>
        </is>
      </c>
      <c r="E867" t="inlineStr">
        <is>
          <t>RÄTTVIK</t>
        </is>
      </c>
      <c r="G867" t="n">
        <v>3.3</v>
      </c>
      <c r="H867" t="n">
        <v>0</v>
      </c>
      <c r="I867" t="n">
        <v>0</v>
      </c>
      <c r="J867" t="n">
        <v>1</v>
      </c>
      <c r="K867" t="n">
        <v>0</v>
      </c>
      <c r="L867" t="n">
        <v>0</v>
      </c>
      <c r="M867" t="n">
        <v>0</v>
      </c>
      <c r="N867" t="n">
        <v>0</v>
      </c>
      <c r="O867" t="n">
        <v>1</v>
      </c>
      <c r="P867" t="n">
        <v>0</v>
      </c>
      <c r="Q867" t="n">
        <v>1</v>
      </c>
      <c r="R867" s="2" t="inlineStr">
        <is>
          <t>Garnlav</t>
        </is>
      </c>
      <c r="S867">
        <f>HYPERLINK("https://klasma.github.io/Logging_2031/artfynd/A 11320-2025 artfynd.xlsx", "A 11320-2025")</f>
        <v/>
      </c>
      <c r="T867">
        <f>HYPERLINK("https://klasma.github.io/Logging_2031/kartor/A 11320-2025 karta.png", "A 11320-2025")</f>
        <v/>
      </c>
      <c r="V867">
        <f>HYPERLINK("https://klasma.github.io/Logging_2031/klagomål/A 11320-2025 FSC-klagomål.docx", "A 11320-2025")</f>
        <v/>
      </c>
      <c r="W867">
        <f>HYPERLINK("https://klasma.github.io/Logging_2031/klagomålsmail/A 11320-2025 FSC-klagomål mail.docx", "A 11320-2025")</f>
        <v/>
      </c>
      <c r="X867">
        <f>HYPERLINK("https://klasma.github.io/Logging_2031/tillsyn/A 11320-2025 tillsynsbegäran.docx", "A 11320-2025")</f>
        <v/>
      </c>
      <c r="Y867">
        <f>HYPERLINK("https://klasma.github.io/Logging_2031/tillsynsmail/A 11320-2025 tillsynsbegäran mail.docx", "A 11320-2025")</f>
        <v/>
      </c>
    </row>
    <row r="868" ht="15" customHeight="1">
      <c r="A868" t="inlineStr">
        <is>
          <t>A 42492-2025</t>
        </is>
      </c>
      <c r="B868" s="1" t="n">
        <v>45904</v>
      </c>
      <c r="C868" s="1" t="n">
        <v>46114</v>
      </c>
      <c r="D868" t="inlineStr">
        <is>
          <t>DALARNAS LÄN</t>
        </is>
      </c>
      <c r="E868" t="inlineStr">
        <is>
          <t>SÄTER</t>
        </is>
      </c>
      <c r="F868" t="inlineStr">
        <is>
          <t>Bergvik skog väst AB</t>
        </is>
      </c>
      <c r="G868" t="n">
        <v>14.9</v>
      </c>
      <c r="H868" t="n">
        <v>1</v>
      </c>
      <c r="I868" t="n">
        <v>0</v>
      </c>
      <c r="J868" t="n">
        <v>0</v>
      </c>
      <c r="K868" t="n">
        <v>0</v>
      </c>
      <c r="L868" t="n">
        <v>0</v>
      </c>
      <c r="M868" t="n">
        <v>0</v>
      </c>
      <c r="N868" t="n">
        <v>0</v>
      </c>
      <c r="O868" t="n">
        <v>0</v>
      </c>
      <c r="P868" t="n">
        <v>0</v>
      </c>
      <c r="Q868" t="n">
        <v>1</v>
      </c>
      <c r="R868" s="2" t="inlineStr">
        <is>
          <t>Kungsfågel</t>
        </is>
      </c>
      <c r="S868">
        <f>HYPERLINK("https://klasma.github.io/Logging_2082/artfynd/A 42492-2025 artfynd.xlsx", "A 42492-2025")</f>
        <v/>
      </c>
      <c r="T868">
        <f>HYPERLINK("https://klasma.github.io/Logging_2082/kartor/A 42492-2025 karta.png", "A 42492-2025")</f>
        <v/>
      </c>
      <c r="V868">
        <f>HYPERLINK("https://klasma.github.io/Logging_2082/klagomål/A 42492-2025 FSC-klagomål.docx", "A 42492-2025")</f>
        <v/>
      </c>
      <c r="W868">
        <f>HYPERLINK("https://klasma.github.io/Logging_2082/klagomålsmail/A 42492-2025 FSC-klagomål mail.docx", "A 42492-2025")</f>
        <v/>
      </c>
      <c r="X868">
        <f>HYPERLINK("https://klasma.github.io/Logging_2082/tillsyn/A 42492-2025 tillsynsbegäran.docx", "A 42492-2025")</f>
        <v/>
      </c>
      <c r="Y868">
        <f>HYPERLINK("https://klasma.github.io/Logging_2082/tillsynsmail/A 42492-2025 tillsynsbegäran mail.docx", "A 42492-2025")</f>
        <v/>
      </c>
      <c r="Z868">
        <f>HYPERLINK("https://klasma.github.io/Logging_2082/fåglar/A 42492-2025 prioriterade fågelarter.docx", "A 42492-2025")</f>
        <v/>
      </c>
    </row>
    <row r="869" ht="15" customHeight="1">
      <c r="A869" t="inlineStr">
        <is>
          <t>A 36574-2021</t>
        </is>
      </c>
      <c r="B869" s="1" t="n">
        <v>44391</v>
      </c>
      <c r="C869" s="1" t="n">
        <v>46114</v>
      </c>
      <c r="D869" t="inlineStr">
        <is>
          <t>DALARNAS LÄN</t>
        </is>
      </c>
      <c r="E869" t="inlineStr">
        <is>
          <t>ÄLVDALEN</t>
        </is>
      </c>
      <c r="F869" t="inlineStr">
        <is>
          <t>Sveaskog</t>
        </is>
      </c>
      <c r="G869" t="n">
        <v>26.2</v>
      </c>
      <c r="H869" t="n">
        <v>1</v>
      </c>
      <c r="I869" t="n">
        <v>0</v>
      </c>
      <c r="J869" t="n">
        <v>0</v>
      </c>
      <c r="K869" t="n">
        <v>0</v>
      </c>
      <c r="L869" t="n">
        <v>0</v>
      </c>
      <c r="M869" t="n">
        <v>0</v>
      </c>
      <c r="N869" t="n">
        <v>0</v>
      </c>
      <c r="O869" t="n">
        <v>0</v>
      </c>
      <c r="P869" t="n">
        <v>0</v>
      </c>
      <c r="Q869" t="n">
        <v>1</v>
      </c>
      <c r="R869" s="2" t="inlineStr">
        <is>
          <t>Lavskrika</t>
        </is>
      </c>
      <c r="S869">
        <f>HYPERLINK("https://klasma.github.io/Logging_2039/artfynd/A 36574-2021 artfynd.xlsx", "A 36574-2021")</f>
        <v/>
      </c>
      <c r="T869">
        <f>HYPERLINK("https://klasma.github.io/Logging_2039/kartor/A 36574-2021 karta.png", "A 36574-2021")</f>
        <v/>
      </c>
      <c r="V869">
        <f>HYPERLINK("https://klasma.github.io/Logging_2039/klagomål/A 36574-2021 FSC-klagomål.docx", "A 36574-2021")</f>
        <v/>
      </c>
      <c r="W869">
        <f>HYPERLINK("https://klasma.github.io/Logging_2039/klagomålsmail/A 36574-2021 FSC-klagomål mail.docx", "A 36574-2021")</f>
        <v/>
      </c>
      <c r="X869">
        <f>HYPERLINK("https://klasma.github.io/Logging_2039/tillsyn/A 36574-2021 tillsynsbegäran.docx", "A 36574-2021")</f>
        <v/>
      </c>
      <c r="Y869">
        <f>HYPERLINK("https://klasma.github.io/Logging_2039/tillsynsmail/A 36574-2021 tillsynsbegäran mail.docx", "A 36574-2021")</f>
        <v/>
      </c>
      <c r="Z869">
        <f>HYPERLINK("https://klasma.github.io/Logging_2039/fåglar/A 36574-2021 prioriterade fågelarter.docx", "A 36574-2021")</f>
        <v/>
      </c>
    </row>
    <row r="870" ht="15" customHeight="1">
      <c r="A870" t="inlineStr">
        <is>
          <t>A 43052-2025</t>
        </is>
      </c>
      <c r="B870" s="1" t="n">
        <v>45909.56905092593</v>
      </c>
      <c r="C870" s="1" t="n">
        <v>46114</v>
      </c>
      <c r="D870" t="inlineStr">
        <is>
          <t>DALARNAS LÄN</t>
        </is>
      </c>
      <c r="E870" t="inlineStr">
        <is>
          <t>FALUN</t>
        </is>
      </c>
      <c r="G870" t="n">
        <v>10.3</v>
      </c>
      <c r="H870" t="n">
        <v>0</v>
      </c>
      <c r="I870" t="n">
        <v>1</v>
      </c>
      <c r="J870" t="n">
        <v>0</v>
      </c>
      <c r="K870" t="n">
        <v>0</v>
      </c>
      <c r="L870" t="n">
        <v>0</v>
      </c>
      <c r="M870" t="n">
        <v>0</v>
      </c>
      <c r="N870" t="n">
        <v>0</v>
      </c>
      <c r="O870" t="n">
        <v>0</v>
      </c>
      <c r="P870" t="n">
        <v>0</v>
      </c>
      <c r="Q870" t="n">
        <v>1</v>
      </c>
      <c r="R870" s="2" t="inlineStr">
        <is>
          <t>Bronshjon</t>
        </is>
      </c>
      <c r="S870">
        <f>HYPERLINK("https://klasma.github.io/Logging_2080/artfynd/A 43052-2025 artfynd.xlsx", "A 43052-2025")</f>
        <v/>
      </c>
      <c r="T870">
        <f>HYPERLINK("https://klasma.github.io/Logging_2080/kartor/A 43052-2025 karta.png", "A 43052-2025")</f>
        <v/>
      </c>
      <c r="V870">
        <f>HYPERLINK("https://klasma.github.io/Logging_2080/klagomål/A 43052-2025 FSC-klagomål.docx", "A 43052-2025")</f>
        <v/>
      </c>
      <c r="W870">
        <f>HYPERLINK("https://klasma.github.io/Logging_2080/klagomålsmail/A 43052-2025 FSC-klagomål mail.docx", "A 43052-2025")</f>
        <v/>
      </c>
      <c r="X870">
        <f>HYPERLINK("https://klasma.github.io/Logging_2080/tillsyn/A 43052-2025 tillsynsbegäran.docx", "A 43052-2025")</f>
        <v/>
      </c>
      <c r="Y870">
        <f>HYPERLINK("https://klasma.github.io/Logging_2080/tillsynsmail/A 43052-2025 tillsynsbegäran mail.docx", "A 43052-2025")</f>
        <v/>
      </c>
    </row>
    <row r="871" ht="15" customHeight="1">
      <c r="A871" t="inlineStr">
        <is>
          <t>A 43501-2025</t>
        </is>
      </c>
      <c r="B871" s="1" t="n">
        <v>45911</v>
      </c>
      <c r="C871" s="1" t="n">
        <v>46114</v>
      </c>
      <c r="D871" t="inlineStr">
        <is>
          <t>DALARNAS LÄN</t>
        </is>
      </c>
      <c r="E871" t="inlineStr">
        <is>
          <t>LUDVIKA</t>
        </is>
      </c>
      <c r="F871" t="inlineStr">
        <is>
          <t>Bergvik skog väst AB</t>
        </is>
      </c>
      <c r="G871" t="n">
        <v>4.9</v>
      </c>
      <c r="H871" t="n">
        <v>0</v>
      </c>
      <c r="I871" t="n">
        <v>0</v>
      </c>
      <c r="J871" t="n">
        <v>1</v>
      </c>
      <c r="K871" t="n">
        <v>0</v>
      </c>
      <c r="L871" t="n">
        <v>0</v>
      </c>
      <c r="M871" t="n">
        <v>0</v>
      </c>
      <c r="N871" t="n">
        <v>0</v>
      </c>
      <c r="O871" t="n">
        <v>1</v>
      </c>
      <c r="P871" t="n">
        <v>0</v>
      </c>
      <c r="Q871" t="n">
        <v>1</v>
      </c>
      <c r="R871" s="2" t="inlineStr">
        <is>
          <t>Vedskivlav</t>
        </is>
      </c>
      <c r="S871">
        <f>HYPERLINK("https://klasma.github.io/Logging_2085/artfynd/A 43501-2025 artfynd.xlsx", "A 43501-2025")</f>
        <v/>
      </c>
      <c r="T871">
        <f>HYPERLINK("https://klasma.github.io/Logging_2085/kartor/A 43501-2025 karta.png", "A 43501-2025")</f>
        <v/>
      </c>
      <c r="V871">
        <f>HYPERLINK("https://klasma.github.io/Logging_2085/klagomål/A 43501-2025 FSC-klagomål.docx", "A 43501-2025")</f>
        <v/>
      </c>
      <c r="W871">
        <f>HYPERLINK("https://klasma.github.io/Logging_2085/klagomålsmail/A 43501-2025 FSC-klagomål mail.docx", "A 43501-2025")</f>
        <v/>
      </c>
      <c r="X871">
        <f>HYPERLINK("https://klasma.github.io/Logging_2085/tillsyn/A 43501-2025 tillsynsbegäran.docx", "A 43501-2025")</f>
        <v/>
      </c>
      <c r="Y871">
        <f>HYPERLINK("https://klasma.github.io/Logging_2085/tillsynsmail/A 43501-2025 tillsynsbegäran mail.docx", "A 43501-2025")</f>
        <v/>
      </c>
    </row>
    <row r="872" ht="15" customHeight="1">
      <c r="A872" t="inlineStr">
        <is>
          <t>A 164-2024</t>
        </is>
      </c>
      <c r="B872" s="1" t="n">
        <v>45294.49954861111</v>
      </c>
      <c r="C872" s="1" t="n">
        <v>46114</v>
      </c>
      <c r="D872" t="inlineStr">
        <is>
          <t>DALARNAS LÄN</t>
        </is>
      </c>
      <c r="E872" t="inlineStr">
        <is>
          <t>LEKSAND</t>
        </is>
      </c>
      <c r="G872" t="n">
        <v>3.7</v>
      </c>
      <c r="H872" t="n">
        <v>1</v>
      </c>
      <c r="I872" t="n">
        <v>0</v>
      </c>
      <c r="J872" t="n">
        <v>1</v>
      </c>
      <c r="K872" t="n">
        <v>0</v>
      </c>
      <c r="L872" t="n">
        <v>0</v>
      </c>
      <c r="M872" t="n">
        <v>0</v>
      </c>
      <c r="N872" t="n">
        <v>0</v>
      </c>
      <c r="O872" t="n">
        <v>1</v>
      </c>
      <c r="P872" t="n">
        <v>0</v>
      </c>
      <c r="Q872" t="n">
        <v>1</v>
      </c>
      <c r="R872" s="2" t="inlineStr">
        <is>
          <t>Järpe</t>
        </is>
      </c>
      <c r="S872">
        <f>HYPERLINK("https://klasma.github.io/Logging_2029/artfynd/A 164-2024 artfynd.xlsx", "A 164-2024")</f>
        <v/>
      </c>
      <c r="T872">
        <f>HYPERLINK("https://klasma.github.io/Logging_2029/kartor/A 164-2024 karta.png", "A 164-2024")</f>
        <v/>
      </c>
      <c r="V872">
        <f>HYPERLINK("https://klasma.github.io/Logging_2029/klagomål/A 164-2024 FSC-klagomål.docx", "A 164-2024")</f>
        <v/>
      </c>
      <c r="W872">
        <f>HYPERLINK("https://klasma.github.io/Logging_2029/klagomålsmail/A 164-2024 FSC-klagomål mail.docx", "A 164-2024")</f>
        <v/>
      </c>
      <c r="X872">
        <f>HYPERLINK("https://klasma.github.io/Logging_2029/tillsyn/A 164-2024 tillsynsbegäran.docx", "A 164-2024")</f>
        <v/>
      </c>
      <c r="Y872">
        <f>HYPERLINK("https://klasma.github.io/Logging_2029/tillsynsmail/A 164-2024 tillsynsbegäran mail.docx", "A 164-2024")</f>
        <v/>
      </c>
      <c r="Z872">
        <f>HYPERLINK("https://klasma.github.io/Logging_2029/fåglar/A 164-2024 prioriterade fågelarter.docx", "A 164-2024")</f>
        <v/>
      </c>
    </row>
    <row r="873" ht="15" customHeight="1">
      <c r="A873" t="inlineStr">
        <is>
          <t>A 33694-2022</t>
        </is>
      </c>
      <c r="B873" s="1" t="n">
        <v>44789.67186342592</v>
      </c>
      <c r="C873" s="1" t="n">
        <v>46114</v>
      </c>
      <c r="D873" t="inlineStr">
        <is>
          <t>DALARNAS LÄN</t>
        </is>
      </c>
      <c r="E873" t="inlineStr">
        <is>
          <t>BORLÄNGE</t>
        </is>
      </c>
      <c r="G873" t="n">
        <v>1.2</v>
      </c>
      <c r="H873" t="n">
        <v>1</v>
      </c>
      <c r="I873" t="n">
        <v>0</v>
      </c>
      <c r="J873" t="n">
        <v>0</v>
      </c>
      <c r="K873" t="n">
        <v>1</v>
      </c>
      <c r="L873" t="n">
        <v>0</v>
      </c>
      <c r="M873" t="n">
        <v>0</v>
      </c>
      <c r="N873" t="n">
        <v>0</v>
      </c>
      <c r="O873" t="n">
        <v>1</v>
      </c>
      <c r="P873" t="n">
        <v>1</v>
      </c>
      <c r="Q873" t="n">
        <v>1</v>
      </c>
      <c r="R873" s="2" t="inlineStr">
        <is>
          <t>Knärot</t>
        </is>
      </c>
      <c r="S873">
        <f>HYPERLINK("https://klasma.github.io/Logging_2081/artfynd/A 33694-2022 artfynd.xlsx", "A 33694-2022")</f>
        <v/>
      </c>
      <c r="T873">
        <f>HYPERLINK("https://klasma.github.io/Logging_2081/kartor/A 33694-2022 karta.png", "A 33694-2022")</f>
        <v/>
      </c>
      <c r="U873">
        <f>HYPERLINK("https://klasma.github.io/Logging_2081/knärot/A 33694-2022 karta knärot.png", "A 33694-2022")</f>
        <v/>
      </c>
      <c r="V873">
        <f>HYPERLINK("https://klasma.github.io/Logging_2081/klagomål/A 33694-2022 FSC-klagomål.docx", "A 33694-2022")</f>
        <v/>
      </c>
      <c r="W873">
        <f>HYPERLINK("https://klasma.github.io/Logging_2081/klagomålsmail/A 33694-2022 FSC-klagomål mail.docx", "A 33694-2022")</f>
        <v/>
      </c>
      <c r="X873">
        <f>HYPERLINK("https://klasma.github.io/Logging_2081/tillsyn/A 33694-2022 tillsynsbegäran.docx", "A 33694-2022")</f>
        <v/>
      </c>
      <c r="Y873">
        <f>HYPERLINK("https://klasma.github.io/Logging_2081/tillsynsmail/A 33694-2022 tillsynsbegäran mail.docx", "A 33694-2022")</f>
        <v/>
      </c>
    </row>
    <row r="874" ht="15" customHeight="1">
      <c r="A874" t="inlineStr">
        <is>
          <t>A 44598-2025</t>
        </is>
      </c>
      <c r="B874" s="1" t="n">
        <v>45917.43056712963</v>
      </c>
      <c r="C874" s="1" t="n">
        <v>46114</v>
      </c>
      <c r="D874" t="inlineStr">
        <is>
          <t>DALARNAS LÄN</t>
        </is>
      </c>
      <c r="E874" t="inlineStr">
        <is>
          <t>HEDEMORA</t>
        </is>
      </c>
      <c r="F874" t="inlineStr">
        <is>
          <t>Sveaskog</t>
        </is>
      </c>
      <c r="G874" t="n">
        <v>3.5</v>
      </c>
      <c r="H874" t="n">
        <v>1</v>
      </c>
      <c r="I874" t="n">
        <v>0</v>
      </c>
      <c r="J874" t="n">
        <v>0</v>
      </c>
      <c r="K874" t="n">
        <v>0</v>
      </c>
      <c r="L874" t="n">
        <v>0</v>
      </c>
      <c r="M874" t="n">
        <v>0</v>
      </c>
      <c r="N874" t="n">
        <v>0</v>
      </c>
      <c r="O874" t="n">
        <v>0</v>
      </c>
      <c r="P874" t="n">
        <v>0</v>
      </c>
      <c r="Q874" t="n">
        <v>1</v>
      </c>
      <c r="R874" s="2" t="inlineStr">
        <is>
          <t>Orre</t>
        </is>
      </c>
      <c r="S874">
        <f>HYPERLINK("https://klasma.github.io/Logging_2083/artfynd/A 44598-2025 artfynd.xlsx", "A 44598-2025")</f>
        <v/>
      </c>
      <c r="T874">
        <f>HYPERLINK("https://klasma.github.io/Logging_2083/kartor/A 44598-2025 karta.png", "A 44598-2025")</f>
        <v/>
      </c>
      <c r="V874">
        <f>HYPERLINK("https://klasma.github.io/Logging_2083/klagomål/A 44598-2025 FSC-klagomål.docx", "A 44598-2025")</f>
        <v/>
      </c>
      <c r="W874">
        <f>HYPERLINK("https://klasma.github.io/Logging_2083/klagomålsmail/A 44598-2025 FSC-klagomål mail.docx", "A 44598-2025")</f>
        <v/>
      </c>
      <c r="X874">
        <f>HYPERLINK("https://klasma.github.io/Logging_2083/tillsyn/A 44598-2025 tillsynsbegäran.docx", "A 44598-2025")</f>
        <v/>
      </c>
      <c r="Y874">
        <f>HYPERLINK("https://klasma.github.io/Logging_2083/tillsynsmail/A 44598-2025 tillsynsbegäran mail.docx", "A 44598-2025")</f>
        <v/>
      </c>
      <c r="Z874">
        <f>HYPERLINK("https://klasma.github.io/Logging_2083/fåglar/A 44598-2025 prioriterade fågelarter.docx", "A 44598-2025")</f>
        <v/>
      </c>
    </row>
    <row r="875" ht="15" customHeight="1">
      <c r="A875" t="inlineStr">
        <is>
          <t>A 56085-2023</t>
        </is>
      </c>
      <c r="B875" s="1" t="n">
        <v>45240</v>
      </c>
      <c r="C875" s="1" t="n">
        <v>46114</v>
      </c>
      <c r="D875" t="inlineStr">
        <is>
          <t>DALARNAS LÄN</t>
        </is>
      </c>
      <c r="E875" t="inlineStr">
        <is>
          <t>AVESTA</t>
        </is>
      </c>
      <c r="G875" t="n">
        <v>2.7</v>
      </c>
      <c r="H875" t="n">
        <v>0</v>
      </c>
      <c r="I875" t="n">
        <v>1</v>
      </c>
      <c r="J875" t="n">
        <v>0</v>
      </c>
      <c r="K875" t="n">
        <v>0</v>
      </c>
      <c r="L875" t="n">
        <v>0</v>
      </c>
      <c r="M875" t="n">
        <v>0</v>
      </c>
      <c r="N875" t="n">
        <v>0</v>
      </c>
      <c r="O875" t="n">
        <v>0</v>
      </c>
      <c r="P875" t="n">
        <v>0</v>
      </c>
      <c r="Q875" t="n">
        <v>1</v>
      </c>
      <c r="R875" s="2" t="inlineStr">
        <is>
          <t>Rostfläck</t>
        </is>
      </c>
      <c r="S875">
        <f>HYPERLINK("https://klasma.github.io/Logging_2084/artfynd/A 56085-2023 artfynd.xlsx", "A 56085-2023")</f>
        <v/>
      </c>
      <c r="T875">
        <f>HYPERLINK("https://klasma.github.io/Logging_2084/kartor/A 56085-2023 karta.png", "A 56085-2023")</f>
        <v/>
      </c>
      <c r="V875">
        <f>HYPERLINK("https://klasma.github.io/Logging_2084/klagomål/A 56085-2023 FSC-klagomål.docx", "A 56085-2023")</f>
        <v/>
      </c>
      <c r="W875">
        <f>HYPERLINK("https://klasma.github.io/Logging_2084/klagomålsmail/A 56085-2023 FSC-klagomål mail.docx", "A 56085-2023")</f>
        <v/>
      </c>
      <c r="X875">
        <f>HYPERLINK("https://klasma.github.io/Logging_2084/tillsyn/A 56085-2023 tillsynsbegäran.docx", "A 56085-2023")</f>
        <v/>
      </c>
      <c r="Y875">
        <f>HYPERLINK("https://klasma.github.io/Logging_2084/tillsynsmail/A 56085-2023 tillsynsbegäran mail.docx", "A 56085-2023")</f>
        <v/>
      </c>
    </row>
    <row r="876" ht="15" customHeight="1">
      <c r="A876" t="inlineStr">
        <is>
          <t>A 45029-2025</t>
        </is>
      </c>
      <c r="B876" s="1" t="n">
        <v>45918.69835648148</v>
      </c>
      <c r="C876" s="1" t="n">
        <v>46114</v>
      </c>
      <c r="D876" t="inlineStr">
        <is>
          <t>DALARNAS LÄN</t>
        </is>
      </c>
      <c r="E876" t="inlineStr">
        <is>
          <t>ORSA</t>
        </is>
      </c>
      <c r="G876" t="n">
        <v>1.4</v>
      </c>
      <c r="H876" t="n">
        <v>1</v>
      </c>
      <c r="I876" t="n">
        <v>0</v>
      </c>
      <c r="J876" t="n">
        <v>1</v>
      </c>
      <c r="K876" t="n">
        <v>0</v>
      </c>
      <c r="L876" t="n">
        <v>0</v>
      </c>
      <c r="M876" t="n">
        <v>0</v>
      </c>
      <c r="N876" t="n">
        <v>0</v>
      </c>
      <c r="O876" t="n">
        <v>1</v>
      </c>
      <c r="P876" t="n">
        <v>0</v>
      </c>
      <c r="Q876" t="n">
        <v>1</v>
      </c>
      <c r="R876" s="2" t="inlineStr">
        <is>
          <t>Spillkråka</t>
        </is>
      </c>
      <c r="S876">
        <f>HYPERLINK("https://klasma.github.io/Logging_2034/artfynd/A 45029-2025 artfynd.xlsx", "A 45029-2025")</f>
        <v/>
      </c>
      <c r="T876">
        <f>HYPERLINK("https://klasma.github.io/Logging_2034/kartor/A 45029-2025 karta.png", "A 45029-2025")</f>
        <v/>
      </c>
      <c r="V876">
        <f>HYPERLINK("https://klasma.github.io/Logging_2034/klagomål/A 45029-2025 FSC-klagomål.docx", "A 45029-2025")</f>
        <v/>
      </c>
      <c r="W876">
        <f>HYPERLINK("https://klasma.github.io/Logging_2034/klagomålsmail/A 45029-2025 FSC-klagomål mail.docx", "A 45029-2025")</f>
        <v/>
      </c>
      <c r="X876">
        <f>HYPERLINK("https://klasma.github.io/Logging_2034/tillsyn/A 45029-2025 tillsynsbegäran.docx", "A 45029-2025")</f>
        <v/>
      </c>
      <c r="Y876">
        <f>HYPERLINK("https://klasma.github.io/Logging_2034/tillsynsmail/A 45029-2025 tillsynsbegäran mail.docx", "A 45029-2025")</f>
        <v/>
      </c>
      <c r="Z876">
        <f>HYPERLINK("https://klasma.github.io/Logging_2034/fåglar/A 45029-2025 prioriterade fågelarter.docx", "A 45029-2025")</f>
        <v/>
      </c>
    </row>
    <row r="877" ht="15" customHeight="1">
      <c r="A877" t="inlineStr">
        <is>
          <t>A 45151-2025</t>
        </is>
      </c>
      <c r="B877" s="1" t="n">
        <v>45919</v>
      </c>
      <c r="C877" s="1" t="n">
        <v>46114</v>
      </c>
      <c r="D877" t="inlineStr">
        <is>
          <t>DALARNAS LÄN</t>
        </is>
      </c>
      <c r="E877" t="inlineStr">
        <is>
          <t>LUDVIKA</t>
        </is>
      </c>
      <c r="F877" t="inlineStr">
        <is>
          <t>Bergvik skog väst AB</t>
        </is>
      </c>
      <c r="G877" t="n">
        <v>5.4</v>
      </c>
      <c r="H877" t="n">
        <v>0</v>
      </c>
      <c r="I877" t="n">
        <v>0</v>
      </c>
      <c r="J877" t="n">
        <v>1</v>
      </c>
      <c r="K877" t="n">
        <v>0</v>
      </c>
      <c r="L877" t="n">
        <v>0</v>
      </c>
      <c r="M877" t="n">
        <v>0</v>
      </c>
      <c r="N877" t="n">
        <v>0</v>
      </c>
      <c r="O877" t="n">
        <v>1</v>
      </c>
      <c r="P877" t="n">
        <v>0</v>
      </c>
      <c r="Q877" t="n">
        <v>1</v>
      </c>
      <c r="R877" s="2" t="inlineStr">
        <is>
          <t>Garnlav</t>
        </is>
      </c>
      <c r="S877">
        <f>HYPERLINK("https://klasma.github.io/Logging_2085/artfynd/A 45151-2025 artfynd.xlsx", "A 45151-2025")</f>
        <v/>
      </c>
      <c r="T877">
        <f>HYPERLINK("https://klasma.github.io/Logging_2085/kartor/A 45151-2025 karta.png", "A 45151-2025")</f>
        <v/>
      </c>
      <c r="V877">
        <f>HYPERLINK("https://klasma.github.io/Logging_2085/klagomål/A 45151-2025 FSC-klagomål.docx", "A 45151-2025")</f>
        <v/>
      </c>
      <c r="W877">
        <f>HYPERLINK("https://klasma.github.io/Logging_2085/klagomålsmail/A 45151-2025 FSC-klagomål mail.docx", "A 45151-2025")</f>
        <v/>
      </c>
      <c r="X877">
        <f>HYPERLINK("https://klasma.github.io/Logging_2085/tillsyn/A 45151-2025 tillsynsbegäran.docx", "A 45151-2025")</f>
        <v/>
      </c>
      <c r="Y877">
        <f>HYPERLINK("https://klasma.github.io/Logging_2085/tillsynsmail/A 45151-2025 tillsynsbegäran mail.docx", "A 45151-2025")</f>
        <v/>
      </c>
    </row>
    <row r="878" ht="15" customHeight="1">
      <c r="A878" t="inlineStr">
        <is>
          <t>A 15036-2025</t>
        </is>
      </c>
      <c r="B878" s="1" t="n">
        <v>45743.68125</v>
      </c>
      <c r="C878" s="1" t="n">
        <v>46114</v>
      </c>
      <c r="D878" t="inlineStr">
        <is>
          <t>DALARNAS LÄN</t>
        </is>
      </c>
      <c r="E878" t="inlineStr">
        <is>
          <t>HEDEMORA</t>
        </is>
      </c>
      <c r="F878" t="inlineStr">
        <is>
          <t>Sveaskog</t>
        </is>
      </c>
      <c r="G878" t="n">
        <v>20.4</v>
      </c>
      <c r="H878" t="n">
        <v>0</v>
      </c>
      <c r="I878" t="n">
        <v>0</v>
      </c>
      <c r="J878" t="n">
        <v>1</v>
      </c>
      <c r="K878" t="n">
        <v>0</v>
      </c>
      <c r="L878" t="n">
        <v>0</v>
      </c>
      <c r="M878" t="n">
        <v>0</v>
      </c>
      <c r="N878" t="n">
        <v>0</v>
      </c>
      <c r="O878" t="n">
        <v>1</v>
      </c>
      <c r="P878" t="n">
        <v>0</v>
      </c>
      <c r="Q878" t="n">
        <v>1</v>
      </c>
      <c r="R878" s="2" t="inlineStr">
        <is>
          <t>Kolflarnlav</t>
        </is>
      </c>
      <c r="S878">
        <f>HYPERLINK("https://klasma.github.io/Logging_2083/artfynd/A 15036-2025 artfynd.xlsx", "A 15036-2025")</f>
        <v/>
      </c>
      <c r="T878">
        <f>HYPERLINK("https://klasma.github.io/Logging_2083/kartor/A 15036-2025 karta.png", "A 15036-2025")</f>
        <v/>
      </c>
      <c r="V878">
        <f>HYPERLINK("https://klasma.github.io/Logging_2083/klagomål/A 15036-2025 FSC-klagomål.docx", "A 15036-2025")</f>
        <v/>
      </c>
      <c r="W878">
        <f>HYPERLINK("https://klasma.github.io/Logging_2083/klagomålsmail/A 15036-2025 FSC-klagomål mail.docx", "A 15036-2025")</f>
        <v/>
      </c>
      <c r="X878">
        <f>HYPERLINK("https://klasma.github.io/Logging_2083/tillsyn/A 15036-2025 tillsynsbegäran.docx", "A 15036-2025")</f>
        <v/>
      </c>
      <c r="Y878">
        <f>HYPERLINK("https://klasma.github.io/Logging_2083/tillsynsmail/A 15036-2025 tillsynsbegäran mail.docx", "A 15036-2025")</f>
        <v/>
      </c>
    </row>
    <row r="879" ht="15" customHeight="1">
      <c r="A879" t="inlineStr">
        <is>
          <t>A 45225-2024</t>
        </is>
      </c>
      <c r="B879" s="1" t="n">
        <v>45575.77649305556</v>
      </c>
      <c r="C879" s="1" t="n">
        <v>46114</v>
      </c>
      <c r="D879" t="inlineStr">
        <is>
          <t>DALARNAS LÄN</t>
        </is>
      </c>
      <c r="E879" t="inlineStr">
        <is>
          <t>LUDVIKA</t>
        </is>
      </c>
      <c r="G879" t="n">
        <v>1.1</v>
      </c>
      <c r="H879" t="n">
        <v>1</v>
      </c>
      <c r="I879" t="n">
        <v>0</v>
      </c>
      <c r="J879" t="n">
        <v>1</v>
      </c>
      <c r="K879" t="n">
        <v>0</v>
      </c>
      <c r="L879" t="n">
        <v>0</v>
      </c>
      <c r="M879" t="n">
        <v>0</v>
      </c>
      <c r="N879" t="n">
        <v>0</v>
      </c>
      <c r="O879" t="n">
        <v>1</v>
      </c>
      <c r="P879" t="n">
        <v>0</v>
      </c>
      <c r="Q879" t="n">
        <v>1</v>
      </c>
      <c r="R879" s="2" t="inlineStr">
        <is>
          <t>Ärtsångare</t>
        </is>
      </c>
      <c r="S879">
        <f>HYPERLINK("https://klasma.github.io/Logging_2085/artfynd/A 45225-2024 artfynd.xlsx", "A 45225-2024")</f>
        <v/>
      </c>
      <c r="T879">
        <f>HYPERLINK("https://klasma.github.io/Logging_2085/kartor/A 45225-2024 karta.png", "A 45225-2024")</f>
        <v/>
      </c>
      <c r="V879">
        <f>HYPERLINK("https://klasma.github.io/Logging_2085/klagomål/A 45225-2024 FSC-klagomål.docx", "A 45225-2024")</f>
        <v/>
      </c>
      <c r="W879">
        <f>HYPERLINK("https://klasma.github.io/Logging_2085/klagomålsmail/A 45225-2024 FSC-klagomål mail.docx", "A 45225-2024")</f>
        <v/>
      </c>
      <c r="X879">
        <f>HYPERLINK("https://klasma.github.io/Logging_2085/tillsyn/A 45225-2024 tillsynsbegäran.docx", "A 45225-2024")</f>
        <v/>
      </c>
      <c r="Y879">
        <f>HYPERLINK("https://klasma.github.io/Logging_2085/tillsynsmail/A 45225-2024 tillsynsbegäran mail.docx", "A 45225-2024")</f>
        <v/>
      </c>
      <c r="Z879">
        <f>HYPERLINK("https://klasma.github.io/Logging_2085/fåglar/A 45225-2024 prioriterade fågelarter.docx", "A 45225-2024")</f>
        <v/>
      </c>
    </row>
    <row r="880" ht="15" customHeight="1">
      <c r="A880" t="inlineStr">
        <is>
          <t>A 10943-2024</t>
        </is>
      </c>
      <c r="B880" s="1" t="n">
        <v>45370.46076388889</v>
      </c>
      <c r="C880" s="1" t="n">
        <v>46114</v>
      </c>
      <c r="D880" t="inlineStr">
        <is>
          <t>DALARNAS LÄN</t>
        </is>
      </c>
      <c r="E880" t="inlineStr">
        <is>
          <t>AVESTA</t>
        </is>
      </c>
      <c r="G880" t="n">
        <v>8.5</v>
      </c>
      <c r="H880" t="n">
        <v>1</v>
      </c>
      <c r="I880" t="n">
        <v>0</v>
      </c>
      <c r="J880" t="n">
        <v>1</v>
      </c>
      <c r="K880" t="n">
        <v>0</v>
      </c>
      <c r="L880" t="n">
        <v>0</v>
      </c>
      <c r="M880" t="n">
        <v>0</v>
      </c>
      <c r="N880" t="n">
        <v>0</v>
      </c>
      <c r="O880" t="n">
        <v>1</v>
      </c>
      <c r="P880" t="n">
        <v>0</v>
      </c>
      <c r="Q880" t="n">
        <v>1</v>
      </c>
      <c r="R880" s="2" t="inlineStr">
        <is>
          <t>Havsörn</t>
        </is>
      </c>
      <c r="S880">
        <f>HYPERLINK("https://klasma.github.io/Logging_2084/artfynd/A 10943-2024 artfynd.xlsx", "A 10943-2024")</f>
        <v/>
      </c>
      <c r="T880">
        <f>HYPERLINK("https://klasma.github.io/Logging_2084/kartor/A 10943-2024 karta.png", "A 10943-2024")</f>
        <v/>
      </c>
      <c r="V880">
        <f>HYPERLINK("https://klasma.github.io/Logging_2084/klagomål/A 10943-2024 FSC-klagomål.docx", "A 10943-2024")</f>
        <v/>
      </c>
      <c r="W880">
        <f>HYPERLINK("https://klasma.github.io/Logging_2084/klagomålsmail/A 10943-2024 FSC-klagomål mail.docx", "A 10943-2024")</f>
        <v/>
      </c>
      <c r="X880">
        <f>HYPERLINK("https://klasma.github.io/Logging_2084/tillsyn/A 10943-2024 tillsynsbegäran.docx", "A 10943-2024")</f>
        <v/>
      </c>
      <c r="Y880">
        <f>HYPERLINK("https://klasma.github.io/Logging_2084/tillsynsmail/A 10943-2024 tillsynsbegäran mail.docx", "A 10943-2024")</f>
        <v/>
      </c>
      <c r="Z880">
        <f>HYPERLINK("https://klasma.github.io/Logging_2084/fåglar/A 10943-2024 prioriterade fågelarter.docx", "A 10943-2024")</f>
        <v/>
      </c>
    </row>
    <row r="881" ht="15" customHeight="1">
      <c r="A881" t="inlineStr">
        <is>
          <t>A 62275-2022</t>
        </is>
      </c>
      <c r="B881" s="1" t="n">
        <v>44923.35560185185</v>
      </c>
      <c r="C881" s="1" t="n">
        <v>46114</v>
      </c>
      <c r="D881" t="inlineStr">
        <is>
          <t>DALARNAS LÄN</t>
        </is>
      </c>
      <c r="E881" t="inlineStr">
        <is>
          <t>LUDVIKA</t>
        </is>
      </c>
      <c r="G881" t="n">
        <v>4.6</v>
      </c>
      <c r="H881" t="n">
        <v>1</v>
      </c>
      <c r="I881" t="n">
        <v>0</v>
      </c>
      <c r="J881" t="n">
        <v>0</v>
      </c>
      <c r="K881" t="n">
        <v>1</v>
      </c>
      <c r="L881" t="n">
        <v>0</v>
      </c>
      <c r="M881" t="n">
        <v>0</v>
      </c>
      <c r="N881" t="n">
        <v>0</v>
      </c>
      <c r="O881" t="n">
        <v>1</v>
      </c>
      <c r="P881" t="n">
        <v>1</v>
      </c>
      <c r="Q881" t="n">
        <v>1</v>
      </c>
      <c r="R881" s="2" t="inlineStr">
        <is>
          <t>Knärot</t>
        </is>
      </c>
      <c r="S881">
        <f>HYPERLINK("https://klasma.github.io/Logging_2085/artfynd/A 62275-2022 artfynd.xlsx", "A 62275-2022")</f>
        <v/>
      </c>
      <c r="T881">
        <f>HYPERLINK("https://klasma.github.io/Logging_2085/kartor/A 62275-2022 karta.png", "A 62275-2022")</f>
        <v/>
      </c>
      <c r="U881">
        <f>HYPERLINK("https://klasma.github.io/Logging_2085/knärot/A 62275-2022 karta knärot.png", "A 62275-2022")</f>
        <v/>
      </c>
      <c r="V881">
        <f>HYPERLINK("https://klasma.github.io/Logging_2085/klagomål/A 62275-2022 FSC-klagomål.docx", "A 62275-2022")</f>
        <v/>
      </c>
      <c r="W881">
        <f>HYPERLINK("https://klasma.github.io/Logging_2085/klagomålsmail/A 62275-2022 FSC-klagomål mail.docx", "A 62275-2022")</f>
        <v/>
      </c>
      <c r="X881">
        <f>HYPERLINK("https://klasma.github.io/Logging_2085/tillsyn/A 62275-2022 tillsynsbegäran.docx", "A 62275-2022")</f>
        <v/>
      </c>
      <c r="Y881">
        <f>HYPERLINK("https://klasma.github.io/Logging_2085/tillsynsmail/A 62275-2022 tillsynsbegäran mail.docx", "A 62275-2022")</f>
        <v/>
      </c>
    </row>
    <row r="882" ht="15" customHeight="1">
      <c r="A882" t="inlineStr">
        <is>
          <t>A 45375-2025</t>
        </is>
      </c>
      <c r="B882" s="1" t="n">
        <v>45922.39347222223</v>
      </c>
      <c r="C882" s="1" t="n">
        <v>46114</v>
      </c>
      <c r="D882" t="inlineStr">
        <is>
          <t>DALARNAS LÄN</t>
        </is>
      </c>
      <c r="E882" t="inlineStr">
        <is>
          <t>LEKSAND</t>
        </is>
      </c>
      <c r="G882" t="n">
        <v>4.3</v>
      </c>
      <c r="H882" t="n">
        <v>1</v>
      </c>
      <c r="I882" t="n">
        <v>0</v>
      </c>
      <c r="J882" t="n">
        <v>0</v>
      </c>
      <c r="K882" t="n">
        <v>0</v>
      </c>
      <c r="L882" t="n">
        <v>1</v>
      </c>
      <c r="M882" t="n">
        <v>0</v>
      </c>
      <c r="N882" t="n">
        <v>0</v>
      </c>
      <c r="O882" t="n">
        <v>1</v>
      </c>
      <c r="P882" t="n">
        <v>1</v>
      </c>
      <c r="Q882" t="n">
        <v>1</v>
      </c>
      <c r="R882" s="2" t="inlineStr">
        <is>
          <t>Mosippa</t>
        </is>
      </c>
      <c r="S882">
        <f>HYPERLINK("https://klasma.github.io/Logging_2029/artfynd/A 45375-2025 artfynd.xlsx", "A 45375-2025")</f>
        <v/>
      </c>
      <c r="T882">
        <f>HYPERLINK("https://klasma.github.io/Logging_2029/kartor/A 45375-2025 karta.png", "A 45375-2025")</f>
        <v/>
      </c>
      <c r="V882">
        <f>HYPERLINK("https://klasma.github.io/Logging_2029/klagomål/A 45375-2025 FSC-klagomål.docx", "A 45375-2025")</f>
        <v/>
      </c>
      <c r="W882">
        <f>HYPERLINK("https://klasma.github.io/Logging_2029/klagomålsmail/A 45375-2025 FSC-klagomål mail.docx", "A 45375-2025")</f>
        <v/>
      </c>
      <c r="X882">
        <f>HYPERLINK("https://klasma.github.io/Logging_2029/tillsyn/A 45375-2025 tillsynsbegäran.docx", "A 45375-2025")</f>
        <v/>
      </c>
      <c r="Y882">
        <f>HYPERLINK("https://klasma.github.io/Logging_2029/tillsynsmail/A 45375-2025 tillsynsbegäran mail.docx", "A 45375-2025")</f>
        <v/>
      </c>
    </row>
    <row r="883" ht="15" customHeight="1">
      <c r="A883" t="inlineStr">
        <is>
          <t>A 25588-2023</t>
        </is>
      </c>
      <c r="B883" s="1" t="n">
        <v>45089</v>
      </c>
      <c r="C883" s="1" t="n">
        <v>46114</v>
      </c>
      <c r="D883" t="inlineStr">
        <is>
          <t>DALARNAS LÄN</t>
        </is>
      </c>
      <c r="E883" t="inlineStr">
        <is>
          <t>LUDVIKA</t>
        </is>
      </c>
      <c r="G883" t="n">
        <v>9.4</v>
      </c>
      <c r="H883" t="n">
        <v>0</v>
      </c>
      <c r="I883" t="n">
        <v>0</v>
      </c>
      <c r="J883" t="n">
        <v>1</v>
      </c>
      <c r="K883" t="n">
        <v>0</v>
      </c>
      <c r="L883" t="n">
        <v>0</v>
      </c>
      <c r="M883" t="n">
        <v>0</v>
      </c>
      <c r="N883" t="n">
        <v>0</v>
      </c>
      <c r="O883" t="n">
        <v>1</v>
      </c>
      <c r="P883" t="n">
        <v>0</v>
      </c>
      <c r="Q883" t="n">
        <v>1</v>
      </c>
      <c r="R883" s="2" t="inlineStr">
        <is>
          <t>Garnlav</t>
        </is>
      </c>
      <c r="S883">
        <f>HYPERLINK("https://klasma.github.io/Logging_2085/artfynd/A 25588-2023 artfynd.xlsx", "A 25588-2023")</f>
        <v/>
      </c>
      <c r="T883">
        <f>HYPERLINK("https://klasma.github.io/Logging_2085/kartor/A 25588-2023 karta.png", "A 25588-2023")</f>
        <v/>
      </c>
      <c r="V883">
        <f>HYPERLINK("https://klasma.github.io/Logging_2085/klagomål/A 25588-2023 FSC-klagomål.docx", "A 25588-2023")</f>
        <v/>
      </c>
      <c r="W883">
        <f>HYPERLINK("https://klasma.github.io/Logging_2085/klagomålsmail/A 25588-2023 FSC-klagomål mail.docx", "A 25588-2023")</f>
        <v/>
      </c>
      <c r="X883">
        <f>HYPERLINK("https://klasma.github.io/Logging_2085/tillsyn/A 25588-2023 tillsynsbegäran.docx", "A 25588-2023")</f>
        <v/>
      </c>
      <c r="Y883">
        <f>HYPERLINK("https://klasma.github.io/Logging_2085/tillsynsmail/A 25588-2023 tillsynsbegäran mail.docx", "A 25588-2023")</f>
        <v/>
      </c>
    </row>
    <row r="884" ht="15" customHeight="1">
      <c r="A884" t="inlineStr">
        <is>
          <t>A 64510-2021</t>
        </is>
      </c>
      <c r="B884" s="1" t="n">
        <v>44511</v>
      </c>
      <c r="C884" s="1" t="n">
        <v>46114</v>
      </c>
      <c r="D884" t="inlineStr">
        <is>
          <t>DALARNAS LÄN</t>
        </is>
      </c>
      <c r="E884" t="inlineStr">
        <is>
          <t>GAGNEF</t>
        </is>
      </c>
      <c r="G884" t="n">
        <v>2.7</v>
      </c>
      <c r="H884" t="n">
        <v>0</v>
      </c>
      <c r="I884" t="n">
        <v>0</v>
      </c>
      <c r="J884" t="n">
        <v>1</v>
      </c>
      <c r="K884" t="n">
        <v>0</v>
      </c>
      <c r="L884" t="n">
        <v>0</v>
      </c>
      <c r="M884" t="n">
        <v>0</v>
      </c>
      <c r="N884" t="n">
        <v>0</v>
      </c>
      <c r="O884" t="n">
        <v>1</v>
      </c>
      <c r="P884" t="n">
        <v>0</v>
      </c>
      <c r="Q884" t="n">
        <v>1</v>
      </c>
      <c r="R884" s="2" t="inlineStr">
        <is>
          <t>Grönhjon</t>
        </is>
      </c>
      <c r="S884">
        <f>HYPERLINK("https://klasma.github.io/Logging_2026/artfynd/A 64510-2021 artfynd.xlsx", "A 64510-2021")</f>
        <v/>
      </c>
      <c r="T884">
        <f>HYPERLINK("https://klasma.github.io/Logging_2026/kartor/A 64510-2021 karta.png", "A 64510-2021")</f>
        <v/>
      </c>
      <c r="V884">
        <f>HYPERLINK("https://klasma.github.io/Logging_2026/klagomål/A 64510-2021 FSC-klagomål.docx", "A 64510-2021")</f>
        <v/>
      </c>
      <c r="W884">
        <f>HYPERLINK("https://klasma.github.io/Logging_2026/klagomålsmail/A 64510-2021 FSC-klagomål mail.docx", "A 64510-2021")</f>
        <v/>
      </c>
      <c r="X884">
        <f>HYPERLINK("https://klasma.github.io/Logging_2026/tillsyn/A 64510-2021 tillsynsbegäran.docx", "A 64510-2021")</f>
        <v/>
      </c>
      <c r="Y884">
        <f>HYPERLINK("https://klasma.github.io/Logging_2026/tillsynsmail/A 64510-2021 tillsynsbegäran mail.docx", "A 64510-2021")</f>
        <v/>
      </c>
    </row>
    <row r="885" ht="15" customHeight="1">
      <c r="A885" t="inlineStr">
        <is>
          <t>A 6029-2025</t>
        </is>
      </c>
      <c r="B885" s="1" t="n">
        <v>45695</v>
      </c>
      <c r="C885" s="1" t="n">
        <v>46114</v>
      </c>
      <c r="D885" t="inlineStr">
        <is>
          <t>DALARNAS LÄN</t>
        </is>
      </c>
      <c r="E885" t="inlineStr">
        <is>
          <t>LEKSAND</t>
        </is>
      </c>
      <c r="G885" t="n">
        <v>3.5</v>
      </c>
      <c r="H885" t="n">
        <v>1</v>
      </c>
      <c r="I885" t="n">
        <v>0</v>
      </c>
      <c r="J885" t="n">
        <v>1</v>
      </c>
      <c r="K885" t="n">
        <v>0</v>
      </c>
      <c r="L885" t="n">
        <v>0</v>
      </c>
      <c r="M885" t="n">
        <v>0</v>
      </c>
      <c r="N885" t="n">
        <v>0</v>
      </c>
      <c r="O885" t="n">
        <v>1</v>
      </c>
      <c r="P885" t="n">
        <v>0</v>
      </c>
      <c r="Q885" t="n">
        <v>1</v>
      </c>
      <c r="R885" s="2" t="inlineStr">
        <is>
          <t>Spillkråka</t>
        </is>
      </c>
      <c r="S885">
        <f>HYPERLINK("https://klasma.github.io/Logging_2029/artfynd/A 6029-2025 artfynd.xlsx", "A 6029-2025")</f>
        <v/>
      </c>
      <c r="T885">
        <f>HYPERLINK("https://klasma.github.io/Logging_2029/kartor/A 6029-2025 karta.png", "A 6029-2025")</f>
        <v/>
      </c>
      <c r="V885">
        <f>HYPERLINK("https://klasma.github.io/Logging_2029/klagomål/A 6029-2025 FSC-klagomål.docx", "A 6029-2025")</f>
        <v/>
      </c>
      <c r="W885">
        <f>HYPERLINK("https://klasma.github.io/Logging_2029/klagomålsmail/A 6029-2025 FSC-klagomål mail.docx", "A 6029-2025")</f>
        <v/>
      </c>
      <c r="X885">
        <f>HYPERLINK("https://klasma.github.io/Logging_2029/tillsyn/A 6029-2025 tillsynsbegäran.docx", "A 6029-2025")</f>
        <v/>
      </c>
      <c r="Y885">
        <f>HYPERLINK("https://klasma.github.io/Logging_2029/tillsynsmail/A 6029-2025 tillsynsbegäran mail.docx", "A 6029-2025")</f>
        <v/>
      </c>
      <c r="Z885">
        <f>HYPERLINK("https://klasma.github.io/Logging_2029/fåglar/A 6029-2025 prioriterade fågelarter.docx", "A 6029-2025")</f>
        <v/>
      </c>
    </row>
    <row r="886" ht="15" customHeight="1">
      <c r="A886" t="inlineStr">
        <is>
          <t>A 26586-2023</t>
        </is>
      </c>
      <c r="B886" s="1" t="n">
        <v>45092</v>
      </c>
      <c r="C886" s="1" t="n">
        <v>46114</v>
      </c>
      <c r="D886" t="inlineStr">
        <is>
          <t>DALARNAS LÄN</t>
        </is>
      </c>
      <c r="E886" t="inlineStr">
        <is>
          <t>FALUN</t>
        </is>
      </c>
      <c r="G886" t="n">
        <v>6.1</v>
      </c>
      <c r="H886" t="n">
        <v>1</v>
      </c>
      <c r="I886" t="n">
        <v>0</v>
      </c>
      <c r="J886" t="n">
        <v>1</v>
      </c>
      <c r="K886" t="n">
        <v>0</v>
      </c>
      <c r="L886" t="n">
        <v>0</v>
      </c>
      <c r="M886" t="n">
        <v>0</v>
      </c>
      <c r="N886" t="n">
        <v>0</v>
      </c>
      <c r="O886" t="n">
        <v>1</v>
      </c>
      <c r="P886" t="n">
        <v>0</v>
      </c>
      <c r="Q886" t="n">
        <v>1</v>
      </c>
      <c r="R886" s="2" t="inlineStr">
        <is>
          <t>Spillkråka</t>
        </is>
      </c>
      <c r="S886">
        <f>HYPERLINK("https://klasma.github.io/Logging_2080/artfynd/A 26586-2023 artfynd.xlsx", "A 26586-2023")</f>
        <v/>
      </c>
      <c r="T886">
        <f>HYPERLINK("https://klasma.github.io/Logging_2080/kartor/A 26586-2023 karta.png", "A 26586-2023")</f>
        <v/>
      </c>
      <c r="V886">
        <f>HYPERLINK("https://klasma.github.io/Logging_2080/klagomål/A 26586-2023 FSC-klagomål.docx", "A 26586-2023")</f>
        <v/>
      </c>
      <c r="W886">
        <f>HYPERLINK("https://klasma.github.io/Logging_2080/klagomålsmail/A 26586-2023 FSC-klagomål mail.docx", "A 26586-2023")</f>
        <v/>
      </c>
      <c r="X886">
        <f>HYPERLINK("https://klasma.github.io/Logging_2080/tillsyn/A 26586-2023 tillsynsbegäran.docx", "A 26586-2023")</f>
        <v/>
      </c>
      <c r="Y886">
        <f>HYPERLINK("https://klasma.github.io/Logging_2080/tillsynsmail/A 26586-2023 tillsynsbegäran mail.docx", "A 26586-2023")</f>
        <v/>
      </c>
      <c r="Z886">
        <f>HYPERLINK("https://klasma.github.io/Logging_2080/fåglar/A 26586-2023 prioriterade fågelarter.docx", "A 26586-2023")</f>
        <v/>
      </c>
    </row>
    <row r="887" ht="15" customHeight="1">
      <c r="A887" t="inlineStr">
        <is>
          <t>A 46912-2025</t>
        </is>
      </c>
      <c r="B887" s="1" t="n">
        <v>45929</v>
      </c>
      <c r="C887" s="1" t="n">
        <v>46114</v>
      </c>
      <c r="D887" t="inlineStr">
        <is>
          <t>DALARNAS LÄN</t>
        </is>
      </c>
      <c r="E887" t="inlineStr">
        <is>
          <t>LUDVIKA</t>
        </is>
      </c>
      <c r="F887" t="inlineStr">
        <is>
          <t>Bergvik skog väst AB</t>
        </is>
      </c>
      <c r="G887" t="n">
        <v>5.6</v>
      </c>
      <c r="H887" t="n">
        <v>0</v>
      </c>
      <c r="I887" t="n">
        <v>0</v>
      </c>
      <c r="J887" t="n">
        <v>1</v>
      </c>
      <c r="K887" t="n">
        <v>0</v>
      </c>
      <c r="L887" t="n">
        <v>0</v>
      </c>
      <c r="M887" t="n">
        <v>0</v>
      </c>
      <c r="N887" t="n">
        <v>0</v>
      </c>
      <c r="O887" t="n">
        <v>1</v>
      </c>
      <c r="P887" t="n">
        <v>0</v>
      </c>
      <c r="Q887" t="n">
        <v>1</v>
      </c>
      <c r="R887" s="2" t="inlineStr">
        <is>
          <t>Garnlav</t>
        </is>
      </c>
      <c r="S887">
        <f>HYPERLINK("https://klasma.github.io/Logging_2085/artfynd/A 46912-2025 artfynd.xlsx", "A 46912-2025")</f>
        <v/>
      </c>
      <c r="T887">
        <f>HYPERLINK("https://klasma.github.io/Logging_2085/kartor/A 46912-2025 karta.png", "A 46912-2025")</f>
        <v/>
      </c>
      <c r="V887">
        <f>HYPERLINK("https://klasma.github.io/Logging_2085/klagomål/A 46912-2025 FSC-klagomål.docx", "A 46912-2025")</f>
        <v/>
      </c>
      <c r="W887">
        <f>HYPERLINK("https://klasma.github.io/Logging_2085/klagomålsmail/A 46912-2025 FSC-klagomål mail.docx", "A 46912-2025")</f>
        <v/>
      </c>
      <c r="X887">
        <f>HYPERLINK("https://klasma.github.io/Logging_2085/tillsyn/A 46912-2025 tillsynsbegäran.docx", "A 46912-2025")</f>
        <v/>
      </c>
      <c r="Y887">
        <f>HYPERLINK("https://klasma.github.io/Logging_2085/tillsynsmail/A 46912-2025 tillsynsbegäran mail.docx", "A 46912-2025")</f>
        <v/>
      </c>
    </row>
    <row r="888" ht="15" customHeight="1">
      <c r="A888" t="inlineStr">
        <is>
          <t>A 60556-2022</t>
        </is>
      </c>
      <c r="B888" s="1" t="n">
        <v>44911</v>
      </c>
      <c r="C888" s="1" t="n">
        <v>46114</v>
      </c>
      <c r="D888" t="inlineStr">
        <is>
          <t>DALARNAS LÄN</t>
        </is>
      </c>
      <c r="E888" t="inlineStr">
        <is>
          <t>RÄTTVIK</t>
        </is>
      </c>
      <c r="G888" t="n">
        <v>7.4</v>
      </c>
      <c r="H888" t="n">
        <v>0</v>
      </c>
      <c r="I888" t="n">
        <v>1</v>
      </c>
      <c r="J888" t="n">
        <v>0</v>
      </c>
      <c r="K888" t="n">
        <v>0</v>
      </c>
      <c r="L888" t="n">
        <v>0</v>
      </c>
      <c r="M888" t="n">
        <v>0</v>
      </c>
      <c r="N888" t="n">
        <v>0</v>
      </c>
      <c r="O888" t="n">
        <v>0</v>
      </c>
      <c r="P888" t="n">
        <v>0</v>
      </c>
      <c r="Q888" t="n">
        <v>1</v>
      </c>
      <c r="R888" s="2" t="inlineStr">
        <is>
          <t>Scharlakansvårskål agg.</t>
        </is>
      </c>
      <c r="S888">
        <f>HYPERLINK("https://klasma.github.io/Logging_2031/artfynd/A 60556-2022 artfynd.xlsx", "A 60556-2022")</f>
        <v/>
      </c>
      <c r="T888">
        <f>HYPERLINK("https://klasma.github.io/Logging_2031/kartor/A 60556-2022 karta.png", "A 60556-2022")</f>
        <v/>
      </c>
      <c r="V888">
        <f>HYPERLINK("https://klasma.github.io/Logging_2031/klagomål/A 60556-2022 FSC-klagomål.docx", "A 60556-2022")</f>
        <v/>
      </c>
      <c r="W888">
        <f>HYPERLINK("https://klasma.github.io/Logging_2031/klagomålsmail/A 60556-2022 FSC-klagomål mail.docx", "A 60556-2022")</f>
        <v/>
      </c>
      <c r="X888">
        <f>HYPERLINK("https://klasma.github.io/Logging_2031/tillsyn/A 60556-2022 tillsynsbegäran.docx", "A 60556-2022")</f>
        <v/>
      </c>
      <c r="Y888">
        <f>HYPERLINK("https://klasma.github.io/Logging_2031/tillsynsmail/A 60556-2022 tillsynsbegäran mail.docx", "A 60556-2022")</f>
        <v/>
      </c>
    </row>
    <row r="889" ht="15" customHeight="1">
      <c r="A889" t="inlineStr">
        <is>
          <t>A 30493-2024</t>
        </is>
      </c>
      <c r="B889" s="1" t="n">
        <v>45492.34811342593</v>
      </c>
      <c r="C889" s="1" t="n">
        <v>46114</v>
      </c>
      <c r="D889" t="inlineStr">
        <is>
          <t>DALARNAS LÄN</t>
        </is>
      </c>
      <c r="E889" t="inlineStr">
        <is>
          <t>ORSA</t>
        </is>
      </c>
      <c r="F889" t="inlineStr">
        <is>
          <t>Övriga statliga verk och myndigheter</t>
        </is>
      </c>
      <c r="G889" t="n">
        <v>2.2</v>
      </c>
      <c r="H889" t="n">
        <v>0</v>
      </c>
      <c r="I889" t="n">
        <v>0</v>
      </c>
      <c r="J889" t="n">
        <v>1</v>
      </c>
      <c r="K889" t="n">
        <v>0</v>
      </c>
      <c r="L889" t="n">
        <v>0</v>
      </c>
      <c r="M889" t="n">
        <v>0</v>
      </c>
      <c r="N889" t="n">
        <v>0</v>
      </c>
      <c r="O889" t="n">
        <v>1</v>
      </c>
      <c r="P889" t="n">
        <v>0</v>
      </c>
      <c r="Q889" t="n">
        <v>1</v>
      </c>
      <c r="R889" s="2" t="inlineStr">
        <is>
          <t>Garnlav</t>
        </is>
      </c>
      <c r="S889">
        <f>HYPERLINK("https://klasma.github.io/Logging_2034/artfynd/A 30493-2024 artfynd.xlsx", "A 30493-2024")</f>
        <v/>
      </c>
      <c r="T889">
        <f>HYPERLINK("https://klasma.github.io/Logging_2034/kartor/A 30493-2024 karta.png", "A 30493-2024")</f>
        <v/>
      </c>
      <c r="V889">
        <f>HYPERLINK("https://klasma.github.io/Logging_2034/klagomål/A 30493-2024 FSC-klagomål.docx", "A 30493-2024")</f>
        <v/>
      </c>
      <c r="W889">
        <f>HYPERLINK("https://klasma.github.io/Logging_2034/klagomålsmail/A 30493-2024 FSC-klagomål mail.docx", "A 30493-2024")</f>
        <v/>
      </c>
      <c r="X889">
        <f>HYPERLINK("https://klasma.github.io/Logging_2034/tillsyn/A 30493-2024 tillsynsbegäran.docx", "A 30493-2024")</f>
        <v/>
      </c>
      <c r="Y889">
        <f>HYPERLINK("https://klasma.github.io/Logging_2034/tillsynsmail/A 30493-2024 tillsynsbegäran mail.docx", "A 30493-2024")</f>
        <v/>
      </c>
    </row>
    <row r="890" ht="15" customHeight="1">
      <c r="A890" t="inlineStr">
        <is>
          <t>A 47601-2025</t>
        </is>
      </c>
      <c r="B890" s="1" t="n">
        <v>45931.46008101852</v>
      </c>
      <c r="C890" s="1" t="n">
        <v>46114</v>
      </c>
      <c r="D890" t="inlineStr">
        <is>
          <t>DALARNAS LÄN</t>
        </is>
      </c>
      <c r="E890" t="inlineStr">
        <is>
          <t>LEKSAND</t>
        </is>
      </c>
      <c r="G890" t="n">
        <v>1.9</v>
      </c>
      <c r="H890" t="n">
        <v>0</v>
      </c>
      <c r="I890" t="n">
        <v>1</v>
      </c>
      <c r="J890" t="n">
        <v>0</v>
      </c>
      <c r="K890" t="n">
        <v>0</v>
      </c>
      <c r="L890" t="n">
        <v>0</v>
      </c>
      <c r="M890" t="n">
        <v>0</v>
      </c>
      <c r="N890" t="n">
        <v>0</v>
      </c>
      <c r="O890" t="n">
        <v>0</v>
      </c>
      <c r="P890" t="n">
        <v>0</v>
      </c>
      <c r="Q890" t="n">
        <v>1</v>
      </c>
      <c r="R890" s="2" t="inlineStr">
        <is>
          <t>Vågbandad barkbock</t>
        </is>
      </c>
      <c r="S890">
        <f>HYPERLINK("https://klasma.github.io/Logging_2029/artfynd/A 47601-2025 artfynd.xlsx", "A 47601-2025")</f>
        <v/>
      </c>
      <c r="T890">
        <f>HYPERLINK("https://klasma.github.io/Logging_2029/kartor/A 47601-2025 karta.png", "A 47601-2025")</f>
        <v/>
      </c>
      <c r="V890">
        <f>HYPERLINK("https://klasma.github.io/Logging_2029/klagomål/A 47601-2025 FSC-klagomål.docx", "A 47601-2025")</f>
        <v/>
      </c>
      <c r="W890">
        <f>HYPERLINK("https://klasma.github.io/Logging_2029/klagomålsmail/A 47601-2025 FSC-klagomål mail.docx", "A 47601-2025")</f>
        <v/>
      </c>
      <c r="X890">
        <f>HYPERLINK("https://klasma.github.io/Logging_2029/tillsyn/A 47601-2025 tillsynsbegäran.docx", "A 47601-2025")</f>
        <v/>
      </c>
      <c r="Y890">
        <f>HYPERLINK("https://klasma.github.io/Logging_2029/tillsynsmail/A 47601-2025 tillsynsbegäran mail.docx", "A 47601-2025")</f>
        <v/>
      </c>
    </row>
    <row r="891" ht="15" customHeight="1">
      <c r="A891" t="inlineStr">
        <is>
          <t>A 20186-2024</t>
        </is>
      </c>
      <c r="B891" s="1" t="n">
        <v>45434.62578703704</v>
      </c>
      <c r="C891" s="1" t="n">
        <v>46114</v>
      </c>
      <c r="D891" t="inlineStr">
        <is>
          <t>DALARNAS LÄN</t>
        </is>
      </c>
      <c r="E891" t="inlineStr">
        <is>
          <t>FALUN</t>
        </is>
      </c>
      <c r="G891" t="n">
        <v>0.9</v>
      </c>
      <c r="H891" t="n">
        <v>1</v>
      </c>
      <c r="I891" t="n">
        <v>0</v>
      </c>
      <c r="J891" t="n">
        <v>0</v>
      </c>
      <c r="K891" t="n">
        <v>1</v>
      </c>
      <c r="L891" t="n">
        <v>0</v>
      </c>
      <c r="M891" t="n">
        <v>0</v>
      </c>
      <c r="N891" t="n">
        <v>0</v>
      </c>
      <c r="O891" t="n">
        <v>1</v>
      </c>
      <c r="P891" t="n">
        <v>1</v>
      </c>
      <c r="Q891" t="n">
        <v>1</v>
      </c>
      <c r="R891" s="2" t="inlineStr">
        <is>
          <t>Knärot</t>
        </is>
      </c>
      <c r="S891">
        <f>HYPERLINK("https://klasma.github.io/Logging_2080/artfynd/A 20186-2024 artfynd.xlsx", "A 20186-2024")</f>
        <v/>
      </c>
      <c r="T891">
        <f>HYPERLINK("https://klasma.github.io/Logging_2080/kartor/A 20186-2024 karta.png", "A 20186-2024")</f>
        <v/>
      </c>
      <c r="U891">
        <f>HYPERLINK("https://klasma.github.io/Logging_2080/knärot/A 20186-2024 karta knärot.png", "A 20186-2024")</f>
        <v/>
      </c>
      <c r="V891">
        <f>HYPERLINK("https://klasma.github.io/Logging_2080/klagomål/A 20186-2024 FSC-klagomål.docx", "A 20186-2024")</f>
        <v/>
      </c>
      <c r="W891">
        <f>HYPERLINK("https://klasma.github.io/Logging_2080/klagomålsmail/A 20186-2024 FSC-klagomål mail.docx", "A 20186-2024")</f>
        <v/>
      </c>
      <c r="X891">
        <f>HYPERLINK("https://klasma.github.io/Logging_2080/tillsyn/A 20186-2024 tillsynsbegäran.docx", "A 20186-2024")</f>
        <v/>
      </c>
      <c r="Y891">
        <f>HYPERLINK("https://klasma.github.io/Logging_2080/tillsynsmail/A 20186-2024 tillsynsbegäran mail.docx", "A 20186-2024")</f>
        <v/>
      </c>
    </row>
    <row r="892" ht="15" customHeight="1">
      <c r="A892" t="inlineStr">
        <is>
          <t>A 68415-2021</t>
        </is>
      </c>
      <c r="B892" s="1" t="n">
        <v>44529</v>
      </c>
      <c r="C892" s="1" t="n">
        <v>46114</v>
      </c>
      <c r="D892" t="inlineStr">
        <is>
          <t>DALARNAS LÄN</t>
        </is>
      </c>
      <c r="E892" t="inlineStr">
        <is>
          <t>MORA</t>
        </is>
      </c>
      <c r="G892" t="n">
        <v>1.2</v>
      </c>
      <c r="H892" t="n">
        <v>1</v>
      </c>
      <c r="I892" t="n">
        <v>0</v>
      </c>
      <c r="J892" t="n">
        <v>0</v>
      </c>
      <c r="K892" t="n">
        <v>0</v>
      </c>
      <c r="L892" t="n">
        <v>0</v>
      </c>
      <c r="M892" t="n">
        <v>0</v>
      </c>
      <c r="N892" t="n">
        <v>0</v>
      </c>
      <c r="O892" t="n">
        <v>0</v>
      </c>
      <c r="P892" t="n">
        <v>0</v>
      </c>
      <c r="Q892" t="n">
        <v>1</v>
      </c>
      <c r="R892" s="2" t="inlineStr">
        <is>
          <t>Sparvuggla</t>
        </is>
      </c>
      <c r="S892">
        <f>HYPERLINK("https://klasma.github.io/Logging_2062/artfynd/A 68415-2021 artfynd.xlsx", "A 68415-2021")</f>
        <v/>
      </c>
      <c r="T892">
        <f>HYPERLINK("https://klasma.github.io/Logging_2062/kartor/A 68415-2021 karta.png", "A 68415-2021")</f>
        <v/>
      </c>
      <c r="V892">
        <f>HYPERLINK("https://klasma.github.io/Logging_2062/klagomål/A 68415-2021 FSC-klagomål.docx", "A 68415-2021")</f>
        <v/>
      </c>
      <c r="W892">
        <f>HYPERLINK("https://klasma.github.io/Logging_2062/klagomålsmail/A 68415-2021 FSC-klagomål mail.docx", "A 68415-2021")</f>
        <v/>
      </c>
      <c r="X892">
        <f>HYPERLINK("https://klasma.github.io/Logging_2062/tillsyn/A 68415-2021 tillsynsbegäran.docx", "A 68415-2021")</f>
        <v/>
      </c>
      <c r="Y892">
        <f>HYPERLINK("https://klasma.github.io/Logging_2062/tillsynsmail/A 68415-2021 tillsynsbegäran mail.docx", "A 68415-2021")</f>
        <v/>
      </c>
      <c r="Z892">
        <f>HYPERLINK("https://klasma.github.io/Logging_2062/fåglar/A 68415-2021 prioriterade fågelarter.docx", "A 68415-2021")</f>
        <v/>
      </c>
    </row>
    <row r="893" ht="15" customHeight="1">
      <c r="A893" t="inlineStr">
        <is>
          <t>A 48382-2025</t>
        </is>
      </c>
      <c r="B893" s="1" t="n">
        <v>45933.82043981482</v>
      </c>
      <c r="C893" s="1" t="n">
        <v>46114</v>
      </c>
      <c r="D893" t="inlineStr">
        <is>
          <t>DALARNAS LÄN</t>
        </is>
      </c>
      <c r="E893" t="inlineStr">
        <is>
          <t>HEDEMORA</t>
        </is>
      </c>
      <c r="F893" t="inlineStr">
        <is>
          <t>Sveaskog</t>
        </is>
      </c>
      <c r="G893" t="n">
        <v>1.9</v>
      </c>
      <c r="H893" t="n">
        <v>1</v>
      </c>
      <c r="I893" t="n">
        <v>0</v>
      </c>
      <c r="J893" t="n">
        <v>1</v>
      </c>
      <c r="K893" t="n">
        <v>0</v>
      </c>
      <c r="L893" t="n">
        <v>0</v>
      </c>
      <c r="M893" t="n">
        <v>0</v>
      </c>
      <c r="N893" t="n">
        <v>0</v>
      </c>
      <c r="O893" t="n">
        <v>1</v>
      </c>
      <c r="P893" t="n">
        <v>0</v>
      </c>
      <c r="Q893" t="n">
        <v>1</v>
      </c>
      <c r="R893" s="2" t="inlineStr">
        <is>
          <t>Svartvit flugsnappare</t>
        </is>
      </c>
      <c r="S893">
        <f>HYPERLINK("https://klasma.github.io/Logging_2083/artfynd/A 48382-2025 artfynd.xlsx", "A 48382-2025")</f>
        <v/>
      </c>
      <c r="T893">
        <f>HYPERLINK("https://klasma.github.io/Logging_2083/kartor/A 48382-2025 karta.png", "A 48382-2025")</f>
        <v/>
      </c>
      <c r="U893">
        <f>HYPERLINK("https://klasma.github.io/Logging_2083/knärot/A 48382-2025 karta knärot.png", "A 48382-2025")</f>
        <v/>
      </c>
      <c r="V893">
        <f>HYPERLINK("https://klasma.github.io/Logging_2083/klagomål/A 48382-2025 FSC-klagomål.docx", "A 48382-2025")</f>
        <v/>
      </c>
      <c r="W893">
        <f>HYPERLINK("https://klasma.github.io/Logging_2083/klagomålsmail/A 48382-2025 FSC-klagomål mail.docx", "A 48382-2025")</f>
        <v/>
      </c>
      <c r="X893">
        <f>HYPERLINK("https://klasma.github.io/Logging_2083/tillsyn/A 48382-2025 tillsynsbegäran.docx", "A 48382-2025")</f>
        <v/>
      </c>
      <c r="Y893">
        <f>HYPERLINK("https://klasma.github.io/Logging_2083/tillsynsmail/A 48382-2025 tillsynsbegäran mail.docx", "A 48382-2025")</f>
        <v/>
      </c>
      <c r="Z893">
        <f>HYPERLINK("https://klasma.github.io/Logging_2083/fåglar/A 48382-2025 prioriterade fågelarter.docx", "A 48382-2025")</f>
        <v/>
      </c>
    </row>
    <row r="894" ht="15" customHeight="1">
      <c r="A894" t="inlineStr">
        <is>
          <t>A 48973-2025</t>
        </is>
      </c>
      <c r="B894" s="1" t="n">
        <v>45937.5655787037</v>
      </c>
      <c r="C894" s="1" t="n">
        <v>46114</v>
      </c>
      <c r="D894" t="inlineStr">
        <is>
          <t>DALARNAS LÄN</t>
        </is>
      </c>
      <c r="E894" t="inlineStr">
        <is>
          <t>ORSA</t>
        </is>
      </c>
      <c r="F894" t="inlineStr">
        <is>
          <t>Bergvik skog öst AB</t>
        </is>
      </c>
      <c r="G894" t="n">
        <v>5</v>
      </c>
      <c r="H894" t="n">
        <v>1</v>
      </c>
      <c r="I894" t="n">
        <v>0</v>
      </c>
      <c r="J894" t="n">
        <v>1</v>
      </c>
      <c r="K894" t="n">
        <v>0</v>
      </c>
      <c r="L894" t="n">
        <v>0</v>
      </c>
      <c r="M894" t="n">
        <v>0</v>
      </c>
      <c r="N894" t="n">
        <v>0</v>
      </c>
      <c r="O894" t="n">
        <v>1</v>
      </c>
      <c r="P894" t="n">
        <v>0</v>
      </c>
      <c r="Q894" t="n">
        <v>1</v>
      </c>
      <c r="R894" s="2" t="inlineStr">
        <is>
          <t>Tretåig hackspett</t>
        </is>
      </c>
      <c r="S894">
        <f>HYPERLINK("https://klasma.github.io/Logging_2034/artfynd/A 48973-2025 artfynd.xlsx", "A 48973-2025")</f>
        <v/>
      </c>
      <c r="T894">
        <f>HYPERLINK("https://klasma.github.io/Logging_2034/kartor/A 48973-2025 karta.png", "A 48973-2025")</f>
        <v/>
      </c>
      <c r="V894">
        <f>HYPERLINK("https://klasma.github.io/Logging_2034/klagomål/A 48973-2025 FSC-klagomål.docx", "A 48973-2025")</f>
        <v/>
      </c>
      <c r="W894">
        <f>HYPERLINK("https://klasma.github.io/Logging_2034/klagomålsmail/A 48973-2025 FSC-klagomål mail.docx", "A 48973-2025")</f>
        <v/>
      </c>
      <c r="X894">
        <f>HYPERLINK("https://klasma.github.io/Logging_2034/tillsyn/A 48973-2025 tillsynsbegäran.docx", "A 48973-2025")</f>
        <v/>
      </c>
      <c r="Y894">
        <f>HYPERLINK("https://klasma.github.io/Logging_2034/tillsynsmail/A 48973-2025 tillsynsbegäran mail.docx", "A 48973-2025")</f>
        <v/>
      </c>
      <c r="Z894">
        <f>HYPERLINK("https://klasma.github.io/Logging_2034/fåglar/A 48973-2025 prioriterade fågelarter.docx", "A 48973-2025")</f>
        <v/>
      </c>
    </row>
    <row r="895" ht="15" customHeight="1">
      <c r="A895" t="inlineStr">
        <is>
          <t>A 57669-2022</t>
        </is>
      </c>
      <c r="B895" s="1" t="n">
        <v>44897</v>
      </c>
      <c r="C895" s="1" t="n">
        <v>46114</v>
      </c>
      <c r="D895" t="inlineStr">
        <is>
          <t>DALARNAS LÄN</t>
        </is>
      </c>
      <c r="E895" t="inlineStr">
        <is>
          <t>MORA</t>
        </is>
      </c>
      <c r="G895" t="n">
        <v>4.1</v>
      </c>
      <c r="H895" t="n">
        <v>0</v>
      </c>
      <c r="I895" t="n">
        <v>0</v>
      </c>
      <c r="J895" t="n">
        <v>1</v>
      </c>
      <c r="K895" t="n">
        <v>0</v>
      </c>
      <c r="L895" t="n">
        <v>0</v>
      </c>
      <c r="M895" t="n">
        <v>0</v>
      </c>
      <c r="N895" t="n">
        <v>0</v>
      </c>
      <c r="O895" t="n">
        <v>1</v>
      </c>
      <c r="P895" t="n">
        <v>0</v>
      </c>
      <c r="Q895" t="n">
        <v>1</v>
      </c>
      <c r="R895" s="2" t="inlineStr">
        <is>
          <t>Igelkott</t>
        </is>
      </c>
      <c r="S895">
        <f>HYPERLINK("https://klasma.github.io/Logging_2062/artfynd/A 57669-2022 artfynd.xlsx", "A 57669-2022")</f>
        <v/>
      </c>
      <c r="T895">
        <f>HYPERLINK("https://klasma.github.io/Logging_2062/kartor/A 57669-2022 karta.png", "A 57669-2022")</f>
        <v/>
      </c>
      <c r="V895">
        <f>HYPERLINK("https://klasma.github.io/Logging_2062/klagomål/A 57669-2022 FSC-klagomål.docx", "A 57669-2022")</f>
        <v/>
      </c>
      <c r="W895">
        <f>HYPERLINK("https://klasma.github.io/Logging_2062/klagomålsmail/A 57669-2022 FSC-klagomål mail.docx", "A 57669-2022")</f>
        <v/>
      </c>
      <c r="X895">
        <f>HYPERLINK("https://klasma.github.io/Logging_2062/tillsyn/A 57669-2022 tillsynsbegäran.docx", "A 57669-2022")</f>
        <v/>
      </c>
      <c r="Y895">
        <f>HYPERLINK("https://klasma.github.io/Logging_2062/tillsynsmail/A 57669-2022 tillsynsbegäran mail.docx", "A 57669-2022")</f>
        <v/>
      </c>
    </row>
    <row r="896" ht="15" customHeight="1">
      <c r="A896" t="inlineStr">
        <is>
          <t>A 30378-2025</t>
        </is>
      </c>
      <c r="B896" s="1" t="n">
        <v>45827</v>
      </c>
      <c r="C896" s="1" t="n">
        <v>46114</v>
      </c>
      <c r="D896" t="inlineStr">
        <is>
          <t>DALARNAS LÄN</t>
        </is>
      </c>
      <c r="E896" t="inlineStr">
        <is>
          <t>FALUN</t>
        </is>
      </c>
      <c r="G896" t="n">
        <v>2</v>
      </c>
      <c r="H896" t="n">
        <v>0</v>
      </c>
      <c r="I896" t="n">
        <v>1</v>
      </c>
      <c r="J896" t="n">
        <v>0</v>
      </c>
      <c r="K896" t="n">
        <v>0</v>
      </c>
      <c r="L896" t="n">
        <v>0</v>
      </c>
      <c r="M896" t="n">
        <v>0</v>
      </c>
      <c r="N896" t="n">
        <v>0</v>
      </c>
      <c r="O896" t="n">
        <v>0</v>
      </c>
      <c r="P896" t="n">
        <v>0</v>
      </c>
      <c r="Q896" t="n">
        <v>1</v>
      </c>
      <c r="R896" s="2" t="inlineStr">
        <is>
          <t>Dropptaggsvamp</t>
        </is>
      </c>
      <c r="S896">
        <f>HYPERLINK("https://klasma.github.io/Logging_2080/artfynd/A 30378-2025 artfynd.xlsx", "A 30378-2025")</f>
        <v/>
      </c>
      <c r="T896">
        <f>HYPERLINK("https://klasma.github.io/Logging_2080/kartor/A 30378-2025 karta.png", "A 30378-2025")</f>
        <v/>
      </c>
      <c r="V896">
        <f>HYPERLINK("https://klasma.github.io/Logging_2080/klagomål/A 30378-2025 FSC-klagomål.docx", "A 30378-2025")</f>
        <v/>
      </c>
      <c r="W896">
        <f>HYPERLINK("https://klasma.github.io/Logging_2080/klagomålsmail/A 30378-2025 FSC-klagomål mail.docx", "A 30378-2025")</f>
        <v/>
      </c>
      <c r="X896">
        <f>HYPERLINK("https://klasma.github.io/Logging_2080/tillsyn/A 30378-2025 tillsynsbegäran.docx", "A 30378-2025")</f>
        <v/>
      </c>
      <c r="Y896">
        <f>HYPERLINK("https://klasma.github.io/Logging_2080/tillsynsmail/A 30378-2025 tillsynsbegäran mail.docx", "A 30378-2025")</f>
        <v/>
      </c>
    </row>
    <row r="897" ht="15" customHeight="1">
      <c r="A897" t="inlineStr">
        <is>
          <t>A 55062-2022</t>
        </is>
      </c>
      <c r="B897" s="1" t="n">
        <v>44881</v>
      </c>
      <c r="C897" s="1" t="n">
        <v>46114</v>
      </c>
      <c r="D897" t="inlineStr">
        <is>
          <t>DALARNAS LÄN</t>
        </is>
      </c>
      <c r="E897" t="inlineStr">
        <is>
          <t>ÄLVDALEN</t>
        </is>
      </c>
      <c r="F897" t="inlineStr">
        <is>
          <t>Övriga statliga verk och myndigheter</t>
        </is>
      </c>
      <c r="G897" t="n">
        <v>28.1</v>
      </c>
      <c r="H897" t="n">
        <v>1</v>
      </c>
      <c r="I897" t="n">
        <v>0</v>
      </c>
      <c r="J897" t="n">
        <v>1</v>
      </c>
      <c r="K897" t="n">
        <v>0</v>
      </c>
      <c r="L897" t="n">
        <v>0</v>
      </c>
      <c r="M897" t="n">
        <v>0</v>
      </c>
      <c r="N897" t="n">
        <v>0</v>
      </c>
      <c r="O897" t="n">
        <v>1</v>
      </c>
      <c r="P897" t="n">
        <v>0</v>
      </c>
      <c r="Q897" t="n">
        <v>1</v>
      </c>
      <c r="R897" s="2" t="inlineStr">
        <is>
          <t>Utter</t>
        </is>
      </c>
      <c r="S897">
        <f>HYPERLINK("https://klasma.github.io/Logging_2039/artfynd/A 55062-2022 artfynd.xlsx", "A 55062-2022")</f>
        <v/>
      </c>
      <c r="T897">
        <f>HYPERLINK("https://klasma.github.io/Logging_2039/kartor/A 55062-2022 karta.png", "A 55062-2022")</f>
        <v/>
      </c>
      <c r="V897">
        <f>HYPERLINK("https://klasma.github.io/Logging_2039/klagomål/A 55062-2022 FSC-klagomål.docx", "A 55062-2022")</f>
        <v/>
      </c>
      <c r="W897">
        <f>HYPERLINK("https://klasma.github.io/Logging_2039/klagomålsmail/A 55062-2022 FSC-klagomål mail.docx", "A 55062-2022")</f>
        <v/>
      </c>
      <c r="X897">
        <f>HYPERLINK("https://klasma.github.io/Logging_2039/tillsyn/A 55062-2022 tillsynsbegäran.docx", "A 55062-2022")</f>
        <v/>
      </c>
      <c r="Y897">
        <f>HYPERLINK("https://klasma.github.io/Logging_2039/tillsynsmail/A 55062-2022 tillsynsbegäran mail.docx", "A 55062-2022")</f>
        <v/>
      </c>
    </row>
    <row r="898" ht="15" customHeight="1">
      <c r="A898" t="inlineStr">
        <is>
          <t>A 49141-2025</t>
        </is>
      </c>
      <c r="B898" s="1" t="n">
        <v>45938.31905092593</v>
      </c>
      <c r="C898" s="1" t="n">
        <v>46114</v>
      </c>
      <c r="D898" t="inlineStr">
        <is>
          <t>DALARNAS LÄN</t>
        </is>
      </c>
      <c r="E898" t="inlineStr">
        <is>
          <t>ÄLVDALEN</t>
        </is>
      </c>
      <c r="F898" t="inlineStr">
        <is>
          <t>Allmännings- och besparingsskogar</t>
        </is>
      </c>
      <c r="G898" t="n">
        <v>0.8</v>
      </c>
      <c r="H898" t="n">
        <v>0</v>
      </c>
      <c r="I898" t="n">
        <v>0</v>
      </c>
      <c r="J898" t="n">
        <v>1</v>
      </c>
      <c r="K898" t="n">
        <v>0</v>
      </c>
      <c r="L898" t="n">
        <v>0</v>
      </c>
      <c r="M898" t="n">
        <v>0</v>
      </c>
      <c r="N898" t="n">
        <v>0</v>
      </c>
      <c r="O898" t="n">
        <v>1</v>
      </c>
      <c r="P898" t="n">
        <v>0</v>
      </c>
      <c r="Q898" t="n">
        <v>1</v>
      </c>
      <c r="R898" s="2" t="inlineStr">
        <is>
          <t>Garnlav</t>
        </is>
      </c>
      <c r="S898">
        <f>HYPERLINK("https://klasma.github.io/Logging_2039/artfynd/A 49141-2025 artfynd.xlsx", "A 49141-2025")</f>
        <v/>
      </c>
      <c r="T898">
        <f>HYPERLINK("https://klasma.github.io/Logging_2039/kartor/A 49141-2025 karta.png", "A 49141-2025")</f>
        <v/>
      </c>
      <c r="V898">
        <f>HYPERLINK("https://klasma.github.io/Logging_2039/klagomål/A 49141-2025 FSC-klagomål.docx", "A 49141-2025")</f>
        <v/>
      </c>
      <c r="W898">
        <f>HYPERLINK("https://klasma.github.io/Logging_2039/klagomålsmail/A 49141-2025 FSC-klagomål mail.docx", "A 49141-2025")</f>
        <v/>
      </c>
      <c r="X898">
        <f>HYPERLINK("https://klasma.github.io/Logging_2039/tillsyn/A 49141-2025 tillsynsbegäran.docx", "A 49141-2025")</f>
        <v/>
      </c>
      <c r="Y898">
        <f>HYPERLINK("https://klasma.github.io/Logging_2039/tillsynsmail/A 49141-2025 tillsynsbegäran mail.docx", "A 49141-2025")</f>
        <v/>
      </c>
    </row>
    <row r="899" ht="15" customHeight="1">
      <c r="A899" t="inlineStr">
        <is>
          <t>A 49374-2025</t>
        </is>
      </c>
      <c r="B899" s="1" t="n">
        <v>45938.6352662037</v>
      </c>
      <c r="C899" s="1" t="n">
        <v>46114</v>
      </c>
      <c r="D899" t="inlineStr">
        <is>
          <t>DALARNAS LÄN</t>
        </is>
      </c>
      <c r="E899" t="inlineStr">
        <is>
          <t>FALUN</t>
        </is>
      </c>
      <c r="G899" t="n">
        <v>1.1</v>
      </c>
      <c r="H899" t="n">
        <v>1</v>
      </c>
      <c r="I899" t="n">
        <v>0</v>
      </c>
      <c r="J899" t="n">
        <v>1</v>
      </c>
      <c r="K899" t="n">
        <v>0</v>
      </c>
      <c r="L899" t="n">
        <v>0</v>
      </c>
      <c r="M899" t="n">
        <v>0</v>
      </c>
      <c r="N899" t="n">
        <v>0</v>
      </c>
      <c r="O899" t="n">
        <v>1</v>
      </c>
      <c r="P899" t="n">
        <v>0</v>
      </c>
      <c r="Q899" t="n">
        <v>1</v>
      </c>
      <c r="R899" s="2" t="inlineStr">
        <is>
          <t>Brun gräsfjäril</t>
        </is>
      </c>
      <c r="S899">
        <f>HYPERLINK("https://klasma.github.io/Logging_2080/artfynd/A 49374-2025 artfynd.xlsx", "A 49374-2025")</f>
        <v/>
      </c>
      <c r="T899">
        <f>HYPERLINK("https://klasma.github.io/Logging_2080/kartor/A 49374-2025 karta.png", "A 49374-2025")</f>
        <v/>
      </c>
      <c r="V899">
        <f>HYPERLINK("https://klasma.github.io/Logging_2080/klagomål/A 49374-2025 FSC-klagomål.docx", "A 49374-2025")</f>
        <v/>
      </c>
      <c r="W899">
        <f>HYPERLINK("https://klasma.github.io/Logging_2080/klagomålsmail/A 49374-2025 FSC-klagomål mail.docx", "A 49374-2025")</f>
        <v/>
      </c>
      <c r="X899">
        <f>HYPERLINK("https://klasma.github.io/Logging_2080/tillsyn/A 49374-2025 tillsynsbegäran.docx", "A 49374-2025")</f>
        <v/>
      </c>
      <c r="Y899">
        <f>HYPERLINK("https://klasma.github.io/Logging_2080/tillsynsmail/A 49374-2025 tillsynsbegäran mail.docx", "A 49374-2025")</f>
        <v/>
      </c>
    </row>
    <row r="900" ht="15" customHeight="1">
      <c r="A900" t="inlineStr">
        <is>
          <t>A 9682-2025</t>
        </is>
      </c>
      <c r="B900" s="1" t="n">
        <v>45716.34917824074</v>
      </c>
      <c r="C900" s="1" t="n">
        <v>46114</v>
      </c>
      <c r="D900" t="inlineStr">
        <is>
          <t>DALARNAS LÄN</t>
        </is>
      </c>
      <c r="E900" t="inlineStr">
        <is>
          <t>SÄTER</t>
        </is>
      </c>
      <c r="G900" t="n">
        <v>6</v>
      </c>
      <c r="H900" t="n">
        <v>0</v>
      </c>
      <c r="I900" t="n">
        <v>1</v>
      </c>
      <c r="J900" t="n">
        <v>0</v>
      </c>
      <c r="K900" t="n">
        <v>0</v>
      </c>
      <c r="L900" t="n">
        <v>0</v>
      </c>
      <c r="M900" t="n">
        <v>0</v>
      </c>
      <c r="N900" t="n">
        <v>0</v>
      </c>
      <c r="O900" t="n">
        <v>0</v>
      </c>
      <c r="P900" t="n">
        <v>0</v>
      </c>
      <c r="Q900" t="n">
        <v>1</v>
      </c>
      <c r="R900" s="2" t="inlineStr">
        <is>
          <t>Ögonpyrola</t>
        </is>
      </c>
      <c r="S900">
        <f>HYPERLINK("https://klasma.github.io/Logging_2082/artfynd/A 9682-2025 artfynd.xlsx", "A 9682-2025")</f>
        <v/>
      </c>
      <c r="T900">
        <f>HYPERLINK("https://klasma.github.io/Logging_2082/kartor/A 9682-2025 karta.png", "A 9682-2025")</f>
        <v/>
      </c>
      <c r="V900">
        <f>HYPERLINK("https://klasma.github.io/Logging_2082/klagomål/A 9682-2025 FSC-klagomål.docx", "A 9682-2025")</f>
        <v/>
      </c>
      <c r="W900">
        <f>HYPERLINK("https://klasma.github.io/Logging_2082/klagomålsmail/A 9682-2025 FSC-klagomål mail.docx", "A 9682-2025")</f>
        <v/>
      </c>
      <c r="X900">
        <f>HYPERLINK("https://klasma.github.io/Logging_2082/tillsyn/A 9682-2025 tillsynsbegäran.docx", "A 9682-2025")</f>
        <v/>
      </c>
      <c r="Y900">
        <f>HYPERLINK("https://klasma.github.io/Logging_2082/tillsynsmail/A 9682-2025 tillsynsbegäran mail.docx", "A 9682-2025")</f>
        <v/>
      </c>
    </row>
    <row r="901" ht="15" customHeight="1">
      <c r="A901" t="inlineStr">
        <is>
          <t>A 57702-2023</t>
        </is>
      </c>
      <c r="B901" s="1" t="n">
        <v>45246</v>
      </c>
      <c r="C901" s="1" t="n">
        <v>46114</v>
      </c>
      <c r="D901" t="inlineStr">
        <is>
          <t>DALARNAS LÄN</t>
        </is>
      </c>
      <c r="E901" t="inlineStr">
        <is>
          <t>MALUNG-SÄLEN</t>
        </is>
      </c>
      <c r="G901" t="n">
        <v>1.5</v>
      </c>
      <c r="H901" t="n">
        <v>0</v>
      </c>
      <c r="I901" t="n">
        <v>1</v>
      </c>
      <c r="J901" t="n">
        <v>0</v>
      </c>
      <c r="K901" t="n">
        <v>0</v>
      </c>
      <c r="L901" t="n">
        <v>0</v>
      </c>
      <c r="M901" t="n">
        <v>0</v>
      </c>
      <c r="N901" t="n">
        <v>0</v>
      </c>
      <c r="O901" t="n">
        <v>0</v>
      </c>
      <c r="P901" t="n">
        <v>0</v>
      </c>
      <c r="Q901" t="n">
        <v>1</v>
      </c>
      <c r="R901" s="2" t="inlineStr">
        <is>
          <t>Brun nållav</t>
        </is>
      </c>
      <c r="S901">
        <f>HYPERLINK("https://klasma.github.io/Logging_2023/artfynd/A 57702-2023 artfynd.xlsx", "A 57702-2023")</f>
        <v/>
      </c>
      <c r="T901">
        <f>HYPERLINK("https://klasma.github.io/Logging_2023/kartor/A 57702-2023 karta.png", "A 57702-2023")</f>
        <v/>
      </c>
      <c r="V901">
        <f>HYPERLINK("https://klasma.github.io/Logging_2023/klagomål/A 57702-2023 FSC-klagomål.docx", "A 57702-2023")</f>
        <v/>
      </c>
      <c r="W901">
        <f>HYPERLINK("https://klasma.github.io/Logging_2023/klagomålsmail/A 57702-2023 FSC-klagomål mail.docx", "A 57702-2023")</f>
        <v/>
      </c>
      <c r="X901">
        <f>HYPERLINK("https://klasma.github.io/Logging_2023/tillsyn/A 57702-2023 tillsynsbegäran.docx", "A 57702-2023")</f>
        <v/>
      </c>
      <c r="Y901">
        <f>HYPERLINK("https://klasma.github.io/Logging_2023/tillsynsmail/A 57702-2023 tillsynsbegäran mail.docx", "A 57702-2023")</f>
        <v/>
      </c>
    </row>
    <row r="902" ht="15" customHeight="1">
      <c r="A902" t="inlineStr">
        <is>
          <t>A 11755-2023</t>
        </is>
      </c>
      <c r="B902" s="1" t="n">
        <v>44994</v>
      </c>
      <c r="C902" s="1" t="n">
        <v>46114</v>
      </c>
      <c r="D902" t="inlineStr">
        <is>
          <t>DALARNAS LÄN</t>
        </is>
      </c>
      <c r="E902" t="inlineStr">
        <is>
          <t>LUDVIKA</t>
        </is>
      </c>
      <c r="F902" t="inlineStr">
        <is>
          <t>Övriga Aktiebolag</t>
        </is>
      </c>
      <c r="G902" t="n">
        <v>7</v>
      </c>
      <c r="H902" t="n">
        <v>1</v>
      </c>
      <c r="I902" t="n">
        <v>0</v>
      </c>
      <c r="J902" t="n">
        <v>1</v>
      </c>
      <c r="K902" t="n">
        <v>0</v>
      </c>
      <c r="L902" t="n">
        <v>0</v>
      </c>
      <c r="M902" t="n">
        <v>0</v>
      </c>
      <c r="N902" t="n">
        <v>0</v>
      </c>
      <c r="O902" t="n">
        <v>1</v>
      </c>
      <c r="P902" t="n">
        <v>0</v>
      </c>
      <c r="Q902" t="n">
        <v>1</v>
      </c>
      <c r="R902" s="2" t="inlineStr">
        <is>
          <t>Spillkråka</t>
        </is>
      </c>
      <c r="S902">
        <f>HYPERLINK("https://klasma.github.io/Logging_2085/artfynd/A 11755-2023 artfynd.xlsx", "A 11755-2023")</f>
        <v/>
      </c>
      <c r="T902">
        <f>HYPERLINK("https://klasma.github.io/Logging_2085/kartor/A 11755-2023 karta.png", "A 11755-2023")</f>
        <v/>
      </c>
      <c r="V902">
        <f>HYPERLINK("https://klasma.github.io/Logging_2085/klagomål/A 11755-2023 FSC-klagomål.docx", "A 11755-2023")</f>
        <v/>
      </c>
      <c r="W902">
        <f>HYPERLINK("https://klasma.github.io/Logging_2085/klagomålsmail/A 11755-2023 FSC-klagomål mail.docx", "A 11755-2023")</f>
        <v/>
      </c>
      <c r="X902">
        <f>HYPERLINK("https://klasma.github.io/Logging_2085/tillsyn/A 11755-2023 tillsynsbegäran.docx", "A 11755-2023")</f>
        <v/>
      </c>
      <c r="Y902">
        <f>HYPERLINK("https://klasma.github.io/Logging_2085/tillsynsmail/A 11755-2023 tillsynsbegäran mail.docx", "A 11755-2023")</f>
        <v/>
      </c>
      <c r="Z902">
        <f>HYPERLINK("https://klasma.github.io/Logging_2085/fåglar/A 11755-2023 prioriterade fågelarter.docx", "A 11755-2023")</f>
        <v/>
      </c>
    </row>
    <row r="903" ht="15" customHeight="1">
      <c r="A903" t="inlineStr">
        <is>
          <t>A 16735-2025</t>
        </is>
      </c>
      <c r="B903" s="1" t="n">
        <v>45754.54314814815</v>
      </c>
      <c r="C903" s="1" t="n">
        <v>46114</v>
      </c>
      <c r="D903" t="inlineStr">
        <is>
          <t>DALARNAS LÄN</t>
        </is>
      </c>
      <c r="E903" t="inlineStr">
        <is>
          <t>LEKSAND</t>
        </is>
      </c>
      <c r="G903" t="n">
        <v>1.8</v>
      </c>
      <c r="H903" t="n">
        <v>1</v>
      </c>
      <c r="I903" t="n">
        <v>0</v>
      </c>
      <c r="J903" t="n">
        <v>0</v>
      </c>
      <c r="K903" t="n">
        <v>0</v>
      </c>
      <c r="L903" t="n">
        <v>0</v>
      </c>
      <c r="M903" t="n">
        <v>0</v>
      </c>
      <c r="N903" t="n">
        <v>0</v>
      </c>
      <c r="O903" t="n">
        <v>0</v>
      </c>
      <c r="P903" t="n">
        <v>0</v>
      </c>
      <c r="Q903" t="n">
        <v>1</v>
      </c>
      <c r="R903" s="2" t="inlineStr">
        <is>
          <t>Gröngöling</t>
        </is>
      </c>
      <c r="S903">
        <f>HYPERLINK("https://klasma.github.io/Logging_2029/artfynd/A 16735-2025 artfynd.xlsx", "A 16735-2025")</f>
        <v/>
      </c>
      <c r="T903">
        <f>HYPERLINK("https://klasma.github.io/Logging_2029/kartor/A 16735-2025 karta.png", "A 16735-2025")</f>
        <v/>
      </c>
      <c r="V903">
        <f>HYPERLINK("https://klasma.github.io/Logging_2029/klagomål/A 16735-2025 FSC-klagomål.docx", "A 16735-2025")</f>
        <v/>
      </c>
      <c r="W903">
        <f>HYPERLINK("https://klasma.github.io/Logging_2029/klagomålsmail/A 16735-2025 FSC-klagomål mail.docx", "A 16735-2025")</f>
        <v/>
      </c>
      <c r="X903">
        <f>HYPERLINK("https://klasma.github.io/Logging_2029/tillsyn/A 16735-2025 tillsynsbegäran.docx", "A 16735-2025")</f>
        <v/>
      </c>
      <c r="Y903">
        <f>HYPERLINK("https://klasma.github.io/Logging_2029/tillsynsmail/A 16735-2025 tillsynsbegäran mail.docx", "A 16735-2025")</f>
        <v/>
      </c>
      <c r="Z903">
        <f>HYPERLINK("https://klasma.github.io/Logging_2029/fåglar/A 16735-2025 prioriterade fågelarter.docx", "A 16735-2025")</f>
        <v/>
      </c>
    </row>
    <row r="904" ht="15" customHeight="1">
      <c r="A904" t="inlineStr">
        <is>
          <t>A 50681-2025</t>
        </is>
      </c>
      <c r="B904" s="1" t="n">
        <v>45945</v>
      </c>
      <c r="C904" s="1" t="n">
        <v>46114</v>
      </c>
      <c r="D904" t="inlineStr">
        <is>
          <t>DALARNAS LÄN</t>
        </is>
      </c>
      <c r="E904" t="inlineStr">
        <is>
          <t>SMEDJEBACKEN</t>
        </is>
      </c>
      <c r="F904" t="inlineStr">
        <is>
          <t>Bergvik skog väst AB</t>
        </is>
      </c>
      <c r="G904" t="n">
        <v>5.2</v>
      </c>
      <c r="H904" t="n">
        <v>0</v>
      </c>
      <c r="I904" t="n">
        <v>1</v>
      </c>
      <c r="J904" t="n">
        <v>0</v>
      </c>
      <c r="K904" t="n">
        <v>0</v>
      </c>
      <c r="L904" t="n">
        <v>0</v>
      </c>
      <c r="M904" t="n">
        <v>0</v>
      </c>
      <c r="N904" t="n">
        <v>0</v>
      </c>
      <c r="O904" t="n">
        <v>0</v>
      </c>
      <c r="P904" t="n">
        <v>0</v>
      </c>
      <c r="Q904" t="n">
        <v>1</v>
      </c>
      <c r="R904" s="2" t="inlineStr">
        <is>
          <t>Bollvitmossa</t>
        </is>
      </c>
      <c r="S904">
        <f>HYPERLINK("https://klasma.github.io/Logging_2061/artfynd/A 50681-2025 artfynd.xlsx", "A 50681-2025")</f>
        <v/>
      </c>
      <c r="T904">
        <f>HYPERLINK("https://klasma.github.io/Logging_2061/kartor/A 50681-2025 karta.png", "A 50681-2025")</f>
        <v/>
      </c>
      <c r="V904">
        <f>HYPERLINK("https://klasma.github.io/Logging_2061/klagomål/A 50681-2025 FSC-klagomål.docx", "A 50681-2025")</f>
        <v/>
      </c>
      <c r="W904">
        <f>HYPERLINK("https://klasma.github.io/Logging_2061/klagomålsmail/A 50681-2025 FSC-klagomål mail.docx", "A 50681-2025")</f>
        <v/>
      </c>
      <c r="X904">
        <f>HYPERLINK("https://klasma.github.io/Logging_2061/tillsyn/A 50681-2025 tillsynsbegäran.docx", "A 50681-2025")</f>
        <v/>
      </c>
      <c r="Y904">
        <f>HYPERLINK("https://klasma.github.io/Logging_2061/tillsynsmail/A 50681-2025 tillsynsbegäran mail.docx", "A 50681-2025")</f>
        <v/>
      </c>
    </row>
    <row r="905" ht="15" customHeight="1">
      <c r="A905" t="inlineStr">
        <is>
          <t>A 16333-2023</t>
        </is>
      </c>
      <c r="B905" s="1" t="n">
        <v>45028</v>
      </c>
      <c r="C905" s="1" t="n">
        <v>46114</v>
      </c>
      <c r="D905" t="inlineStr">
        <is>
          <t>DALARNAS LÄN</t>
        </is>
      </c>
      <c r="E905" t="inlineStr">
        <is>
          <t>LEKSAND</t>
        </is>
      </c>
      <c r="G905" t="n">
        <v>1.5</v>
      </c>
      <c r="H905" t="n">
        <v>0</v>
      </c>
      <c r="I905" t="n">
        <v>1</v>
      </c>
      <c r="J905" t="n">
        <v>0</v>
      </c>
      <c r="K905" t="n">
        <v>0</v>
      </c>
      <c r="L905" t="n">
        <v>0</v>
      </c>
      <c r="M905" t="n">
        <v>0</v>
      </c>
      <c r="N905" t="n">
        <v>0</v>
      </c>
      <c r="O905" t="n">
        <v>0</v>
      </c>
      <c r="P905" t="n">
        <v>0</v>
      </c>
      <c r="Q905" t="n">
        <v>1</v>
      </c>
      <c r="R905" s="2" t="inlineStr">
        <is>
          <t>Läderskål</t>
        </is>
      </c>
      <c r="S905">
        <f>HYPERLINK("https://klasma.github.io/Logging_2029/artfynd/A 16333-2023 artfynd.xlsx", "A 16333-2023")</f>
        <v/>
      </c>
      <c r="T905">
        <f>HYPERLINK("https://klasma.github.io/Logging_2029/kartor/A 16333-2023 karta.png", "A 16333-2023")</f>
        <v/>
      </c>
      <c r="V905">
        <f>HYPERLINK("https://klasma.github.io/Logging_2029/klagomål/A 16333-2023 FSC-klagomål.docx", "A 16333-2023")</f>
        <v/>
      </c>
      <c r="W905">
        <f>HYPERLINK("https://klasma.github.io/Logging_2029/klagomålsmail/A 16333-2023 FSC-klagomål mail.docx", "A 16333-2023")</f>
        <v/>
      </c>
      <c r="X905">
        <f>HYPERLINK("https://klasma.github.io/Logging_2029/tillsyn/A 16333-2023 tillsynsbegäran.docx", "A 16333-2023")</f>
        <v/>
      </c>
      <c r="Y905">
        <f>HYPERLINK("https://klasma.github.io/Logging_2029/tillsynsmail/A 16333-2023 tillsynsbegäran mail.docx", "A 16333-2023")</f>
        <v/>
      </c>
    </row>
    <row r="906" ht="15" customHeight="1">
      <c r="A906" t="inlineStr">
        <is>
          <t>A 50454-2025</t>
        </is>
      </c>
      <c r="B906" s="1" t="n">
        <v>45945</v>
      </c>
      <c r="C906" s="1" t="n">
        <v>46114</v>
      </c>
      <c r="D906" t="inlineStr">
        <is>
          <t>DALARNAS LÄN</t>
        </is>
      </c>
      <c r="E906" t="inlineStr">
        <is>
          <t>LUDVIKA</t>
        </is>
      </c>
      <c r="F906" t="inlineStr">
        <is>
          <t>Bergvik skog väst AB</t>
        </is>
      </c>
      <c r="G906" t="n">
        <v>3.3</v>
      </c>
      <c r="H906" t="n">
        <v>0</v>
      </c>
      <c r="I906" t="n">
        <v>0</v>
      </c>
      <c r="J906" t="n">
        <v>1</v>
      </c>
      <c r="K906" t="n">
        <v>0</v>
      </c>
      <c r="L906" t="n">
        <v>0</v>
      </c>
      <c r="M906" t="n">
        <v>0</v>
      </c>
      <c r="N906" t="n">
        <v>0</v>
      </c>
      <c r="O906" t="n">
        <v>1</v>
      </c>
      <c r="P906" t="n">
        <v>0</v>
      </c>
      <c r="Q906" t="n">
        <v>1</v>
      </c>
      <c r="R906" s="2" t="inlineStr">
        <is>
          <t>Brunpudrad nållav</t>
        </is>
      </c>
      <c r="S906">
        <f>HYPERLINK("https://klasma.github.io/Logging_2085/artfynd/A 50454-2025 artfynd.xlsx", "A 50454-2025")</f>
        <v/>
      </c>
      <c r="T906">
        <f>HYPERLINK("https://klasma.github.io/Logging_2085/kartor/A 50454-2025 karta.png", "A 50454-2025")</f>
        <v/>
      </c>
      <c r="V906">
        <f>HYPERLINK("https://klasma.github.io/Logging_2085/klagomål/A 50454-2025 FSC-klagomål.docx", "A 50454-2025")</f>
        <v/>
      </c>
      <c r="W906">
        <f>HYPERLINK("https://klasma.github.io/Logging_2085/klagomålsmail/A 50454-2025 FSC-klagomål mail.docx", "A 50454-2025")</f>
        <v/>
      </c>
      <c r="X906">
        <f>HYPERLINK("https://klasma.github.io/Logging_2085/tillsyn/A 50454-2025 tillsynsbegäran.docx", "A 50454-2025")</f>
        <v/>
      </c>
      <c r="Y906">
        <f>HYPERLINK("https://klasma.github.io/Logging_2085/tillsynsmail/A 50454-2025 tillsynsbegäran mail.docx", "A 50454-2025")</f>
        <v/>
      </c>
    </row>
    <row r="907" ht="15" customHeight="1">
      <c r="A907" t="inlineStr">
        <is>
          <t>A 23736-2023</t>
        </is>
      </c>
      <c r="B907" s="1" t="n">
        <v>45077</v>
      </c>
      <c r="C907" s="1" t="n">
        <v>46114</v>
      </c>
      <c r="D907" t="inlineStr">
        <is>
          <t>DALARNAS LÄN</t>
        </is>
      </c>
      <c r="E907" t="inlineStr">
        <is>
          <t>MORA</t>
        </is>
      </c>
      <c r="G907" t="n">
        <v>7.2</v>
      </c>
      <c r="H907" t="n">
        <v>0</v>
      </c>
      <c r="I907" t="n">
        <v>0</v>
      </c>
      <c r="J907" t="n">
        <v>1</v>
      </c>
      <c r="K907" t="n">
        <v>0</v>
      </c>
      <c r="L907" t="n">
        <v>0</v>
      </c>
      <c r="M907" t="n">
        <v>0</v>
      </c>
      <c r="N907" t="n">
        <v>0</v>
      </c>
      <c r="O907" t="n">
        <v>1</v>
      </c>
      <c r="P907" t="n">
        <v>0</v>
      </c>
      <c r="Q907" t="n">
        <v>1</v>
      </c>
      <c r="R907" s="2" t="inlineStr">
        <is>
          <t>Reliktbock</t>
        </is>
      </c>
      <c r="S907">
        <f>HYPERLINK("https://klasma.github.io/Logging_2062/artfynd/A 23736-2023 artfynd.xlsx", "A 23736-2023")</f>
        <v/>
      </c>
      <c r="T907">
        <f>HYPERLINK("https://klasma.github.io/Logging_2062/kartor/A 23736-2023 karta.png", "A 23736-2023")</f>
        <v/>
      </c>
      <c r="V907">
        <f>HYPERLINK("https://klasma.github.io/Logging_2062/klagomål/A 23736-2023 FSC-klagomål.docx", "A 23736-2023")</f>
        <v/>
      </c>
      <c r="W907">
        <f>HYPERLINK("https://klasma.github.io/Logging_2062/klagomålsmail/A 23736-2023 FSC-klagomål mail.docx", "A 23736-2023")</f>
        <v/>
      </c>
      <c r="X907">
        <f>HYPERLINK("https://klasma.github.io/Logging_2062/tillsyn/A 23736-2023 tillsynsbegäran.docx", "A 23736-2023")</f>
        <v/>
      </c>
      <c r="Y907">
        <f>HYPERLINK("https://klasma.github.io/Logging_2062/tillsynsmail/A 23736-2023 tillsynsbegäran mail.docx", "A 23736-2023")</f>
        <v/>
      </c>
    </row>
    <row r="908" ht="15" customHeight="1">
      <c r="A908" t="inlineStr">
        <is>
          <t>A 33968-2025</t>
        </is>
      </c>
      <c r="B908" s="1" t="n">
        <v>45842</v>
      </c>
      <c r="C908" s="1" t="n">
        <v>46114</v>
      </c>
      <c r="D908" t="inlineStr">
        <is>
          <t>DALARNAS LÄN</t>
        </is>
      </c>
      <c r="E908" t="inlineStr">
        <is>
          <t>HEDEMORA</t>
        </is>
      </c>
      <c r="F908" t="inlineStr">
        <is>
          <t>Sveaskog</t>
        </is>
      </c>
      <c r="G908" t="n">
        <v>1.6</v>
      </c>
      <c r="H908" t="n">
        <v>1</v>
      </c>
      <c r="I908" t="n">
        <v>1</v>
      </c>
      <c r="J908" t="n">
        <v>0</v>
      </c>
      <c r="K908" t="n">
        <v>0</v>
      </c>
      <c r="L908" t="n">
        <v>0</v>
      </c>
      <c r="M908" t="n">
        <v>0</v>
      </c>
      <c r="N908" t="n">
        <v>0</v>
      </c>
      <c r="O908" t="n">
        <v>0</v>
      </c>
      <c r="P908" t="n">
        <v>0</v>
      </c>
      <c r="Q908" t="n">
        <v>1</v>
      </c>
      <c r="R908" s="2" t="inlineStr">
        <is>
          <t>Plattlummer</t>
        </is>
      </c>
      <c r="S908">
        <f>HYPERLINK("https://klasma.github.io/Logging_2083/artfynd/A 33968-2025 artfynd.xlsx", "A 33968-2025")</f>
        <v/>
      </c>
      <c r="T908">
        <f>HYPERLINK("https://klasma.github.io/Logging_2083/kartor/A 33968-2025 karta.png", "A 33968-2025")</f>
        <v/>
      </c>
      <c r="V908">
        <f>HYPERLINK("https://klasma.github.io/Logging_2083/klagomål/A 33968-2025 FSC-klagomål.docx", "A 33968-2025")</f>
        <v/>
      </c>
      <c r="W908">
        <f>HYPERLINK("https://klasma.github.io/Logging_2083/klagomålsmail/A 33968-2025 FSC-klagomål mail.docx", "A 33968-2025")</f>
        <v/>
      </c>
      <c r="X908">
        <f>HYPERLINK("https://klasma.github.io/Logging_2083/tillsyn/A 33968-2025 tillsynsbegäran.docx", "A 33968-2025")</f>
        <v/>
      </c>
      <c r="Y908">
        <f>HYPERLINK("https://klasma.github.io/Logging_2083/tillsynsmail/A 33968-2025 tillsynsbegäran mail.docx", "A 33968-2025")</f>
        <v/>
      </c>
    </row>
    <row r="909" ht="15" customHeight="1">
      <c r="A909" t="inlineStr">
        <is>
          <t>A 51105-2025</t>
        </is>
      </c>
      <c r="B909" s="1" t="n">
        <v>45947</v>
      </c>
      <c r="C909" s="1" t="n">
        <v>46114</v>
      </c>
      <c r="D909" t="inlineStr">
        <is>
          <t>DALARNAS LÄN</t>
        </is>
      </c>
      <c r="E909" t="inlineStr">
        <is>
          <t>LUDVIKA</t>
        </is>
      </c>
      <c r="F909" t="inlineStr">
        <is>
          <t>Bergvik skog väst AB</t>
        </is>
      </c>
      <c r="G909" t="n">
        <v>5.6</v>
      </c>
      <c r="H909" t="n">
        <v>1</v>
      </c>
      <c r="I909" t="n">
        <v>0</v>
      </c>
      <c r="J909" t="n">
        <v>1</v>
      </c>
      <c r="K909" t="n">
        <v>0</v>
      </c>
      <c r="L909" t="n">
        <v>0</v>
      </c>
      <c r="M909" t="n">
        <v>0</v>
      </c>
      <c r="N909" t="n">
        <v>0</v>
      </c>
      <c r="O909" t="n">
        <v>1</v>
      </c>
      <c r="P909" t="n">
        <v>0</v>
      </c>
      <c r="Q909" t="n">
        <v>1</v>
      </c>
      <c r="R909" s="2" t="inlineStr">
        <is>
          <t>Mindre hackspett</t>
        </is>
      </c>
      <c r="S909">
        <f>HYPERLINK("https://klasma.github.io/Logging_2085/artfynd/A 51105-2025 artfynd.xlsx", "A 51105-2025")</f>
        <v/>
      </c>
      <c r="T909">
        <f>HYPERLINK("https://klasma.github.io/Logging_2085/kartor/A 51105-2025 karta.png", "A 51105-2025")</f>
        <v/>
      </c>
      <c r="V909">
        <f>HYPERLINK("https://klasma.github.io/Logging_2085/klagomål/A 51105-2025 FSC-klagomål.docx", "A 51105-2025")</f>
        <v/>
      </c>
      <c r="W909">
        <f>HYPERLINK("https://klasma.github.io/Logging_2085/klagomålsmail/A 51105-2025 FSC-klagomål mail.docx", "A 51105-2025")</f>
        <v/>
      </c>
      <c r="X909">
        <f>HYPERLINK("https://klasma.github.io/Logging_2085/tillsyn/A 51105-2025 tillsynsbegäran.docx", "A 51105-2025")</f>
        <v/>
      </c>
      <c r="Y909">
        <f>HYPERLINK("https://klasma.github.io/Logging_2085/tillsynsmail/A 51105-2025 tillsynsbegäran mail.docx", "A 51105-2025")</f>
        <v/>
      </c>
      <c r="Z909">
        <f>HYPERLINK("https://klasma.github.io/Logging_2085/fåglar/A 51105-2025 prioriterade fågelarter.docx", "A 51105-2025")</f>
        <v/>
      </c>
    </row>
    <row r="910" ht="15" customHeight="1">
      <c r="A910" t="inlineStr">
        <is>
          <t>A 64451-2021</t>
        </is>
      </c>
      <c r="B910" s="1" t="n">
        <v>44511</v>
      </c>
      <c r="C910" s="1" t="n">
        <v>46114</v>
      </c>
      <c r="D910" t="inlineStr">
        <is>
          <t>DALARNAS LÄN</t>
        </is>
      </c>
      <c r="E910" t="inlineStr">
        <is>
          <t>RÄTTVIK</t>
        </is>
      </c>
      <c r="G910" t="n">
        <v>1.3</v>
      </c>
      <c r="H910" t="n">
        <v>0</v>
      </c>
      <c r="I910" t="n">
        <v>0</v>
      </c>
      <c r="J910" t="n">
        <v>1</v>
      </c>
      <c r="K910" t="n">
        <v>0</v>
      </c>
      <c r="L910" t="n">
        <v>0</v>
      </c>
      <c r="M910" t="n">
        <v>0</v>
      </c>
      <c r="N910" t="n">
        <v>0</v>
      </c>
      <c r="O910" t="n">
        <v>1</v>
      </c>
      <c r="P910" t="n">
        <v>0</v>
      </c>
      <c r="Q910" t="n">
        <v>1</v>
      </c>
      <c r="R910" s="2" t="inlineStr">
        <is>
          <t>Kandelabersvamp</t>
        </is>
      </c>
      <c r="S910">
        <f>HYPERLINK("https://klasma.github.io/Logging_2031/artfynd/A 64451-2021 artfynd.xlsx", "A 64451-2021")</f>
        <v/>
      </c>
      <c r="T910">
        <f>HYPERLINK("https://klasma.github.io/Logging_2031/kartor/A 64451-2021 karta.png", "A 64451-2021")</f>
        <v/>
      </c>
      <c r="V910">
        <f>HYPERLINK("https://klasma.github.io/Logging_2031/klagomål/A 64451-2021 FSC-klagomål.docx", "A 64451-2021")</f>
        <v/>
      </c>
      <c r="W910">
        <f>HYPERLINK("https://klasma.github.io/Logging_2031/klagomålsmail/A 64451-2021 FSC-klagomål mail.docx", "A 64451-2021")</f>
        <v/>
      </c>
      <c r="X910">
        <f>HYPERLINK("https://klasma.github.io/Logging_2031/tillsyn/A 64451-2021 tillsynsbegäran.docx", "A 64451-2021")</f>
        <v/>
      </c>
      <c r="Y910">
        <f>HYPERLINK("https://klasma.github.io/Logging_2031/tillsynsmail/A 64451-2021 tillsynsbegäran mail.docx", "A 64451-2021")</f>
        <v/>
      </c>
    </row>
    <row r="911" ht="15" customHeight="1">
      <c r="A911" t="inlineStr">
        <is>
          <t>A 51417-2025</t>
        </is>
      </c>
      <c r="B911" s="1" t="n">
        <v>45950.51105324074</v>
      </c>
      <c r="C911" s="1" t="n">
        <v>46114</v>
      </c>
      <c r="D911" t="inlineStr">
        <is>
          <t>DALARNAS LÄN</t>
        </is>
      </c>
      <c r="E911" t="inlineStr">
        <is>
          <t>BORLÄNGE</t>
        </is>
      </c>
      <c r="F911" t="inlineStr">
        <is>
          <t>Bergvik skog väst AB</t>
        </is>
      </c>
      <c r="G911" t="n">
        <v>3</v>
      </c>
      <c r="H911" t="n">
        <v>0</v>
      </c>
      <c r="I911" t="n">
        <v>1</v>
      </c>
      <c r="J911" t="n">
        <v>0</v>
      </c>
      <c r="K911" t="n">
        <v>0</v>
      </c>
      <c r="L911" t="n">
        <v>0</v>
      </c>
      <c r="M911" t="n">
        <v>0</v>
      </c>
      <c r="N911" t="n">
        <v>0</v>
      </c>
      <c r="O911" t="n">
        <v>0</v>
      </c>
      <c r="P911" t="n">
        <v>0</v>
      </c>
      <c r="Q911" t="n">
        <v>1</v>
      </c>
      <c r="R911" s="2" t="inlineStr">
        <is>
          <t>Dolkstekelsglasvinge</t>
        </is>
      </c>
      <c r="S911">
        <f>HYPERLINK("https://klasma.github.io/Logging_2081/artfynd/A 51417-2025 artfynd.xlsx", "A 51417-2025")</f>
        <v/>
      </c>
      <c r="T911">
        <f>HYPERLINK("https://klasma.github.io/Logging_2081/kartor/A 51417-2025 karta.png", "A 51417-2025")</f>
        <v/>
      </c>
      <c r="V911">
        <f>HYPERLINK("https://klasma.github.io/Logging_2081/klagomål/A 51417-2025 FSC-klagomål.docx", "A 51417-2025")</f>
        <v/>
      </c>
      <c r="W911">
        <f>HYPERLINK("https://klasma.github.io/Logging_2081/klagomålsmail/A 51417-2025 FSC-klagomål mail.docx", "A 51417-2025")</f>
        <v/>
      </c>
      <c r="X911">
        <f>HYPERLINK("https://klasma.github.io/Logging_2081/tillsyn/A 51417-2025 tillsynsbegäran.docx", "A 51417-2025")</f>
        <v/>
      </c>
      <c r="Y911">
        <f>HYPERLINK("https://klasma.github.io/Logging_2081/tillsynsmail/A 51417-2025 tillsynsbegäran mail.docx", "A 51417-2025")</f>
        <v/>
      </c>
    </row>
    <row r="912" ht="15" customHeight="1">
      <c r="A912" t="inlineStr">
        <is>
          <t>A 11364-2025</t>
        </is>
      </c>
      <c r="B912" s="1" t="n">
        <v>45726</v>
      </c>
      <c r="C912" s="1" t="n">
        <v>46114</v>
      </c>
      <c r="D912" t="inlineStr">
        <is>
          <t>DALARNAS LÄN</t>
        </is>
      </c>
      <c r="E912" t="inlineStr">
        <is>
          <t>SMEDJEBACKEN</t>
        </is>
      </c>
      <c r="F912" t="inlineStr">
        <is>
          <t>Bergvik skog väst AB</t>
        </is>
      </c>
      <c r="G912" t="n">
        <v>3.5</v>
      </c>
      <c r="H912" t="n">
        <v>1</v>
      </c>
      <c r="I912" t="n">
        <v>0</v>
      </c>
      <c r="J912" t="n">
        <v>0</v>
      </c>
      <c r="K912" t="n">
        <v>0</v>
      </c>
      <c r="L912" t="n">
        <v>0</v>
      </c>
      <c r="M912" t="n">
        <v>0</v>
      </c>
      <c r="N912" t="n">
        <v>0</v>
      </c>
      <c r="O912" t="n">
        <v>0</v>
      </c>
      <c r="P912" t="n">
        <v>0</v>
      </c>
      <c r="Q912" t="n">
        <v>1</v>
      </c>
      <c r="R912" s="2" t="inlineStr">
        <is>
          <t>Blåsippa</t>
        </is>
      </c>
      <c r="S912">
        <f>HYPERLINK("https://klasma.github.io/Logging_2061/artfynd/A 11364-2025 artfynd.xlsx", "A 11364-2025")</f>
        <v/>
      </c>
      <c r="T912">
        <f>HYPERLINK("https://klasma.github.io/Logging_2061/kartor/A 11364-2025 karta.png", "A 11364-2025")</f>
        <v/>
      </c>
      <c r="V912">
        <f>HYPERLINK("https://klasma.github.io/Logging_2061/klagomål/A 11364-2025 FSC-klagomål.docx", "A 11364-2025")</f>
        <v/>
      </c>
      <c r="W912">
        <f>HYPERLINK("https://klasma.github.io/Logging_2061/klagomålsmail/A 11364-2025 FSC-klagomål mail.docx", "A 11364-2025")</f>
        <v/>
      </c>
      <c r="X912">
        <f>HYPERLINK("https://klasma.github.io/Logging_2061/tillsyn/A 11364-2025 tillsynsbegäran.docx", "A 11364-2025")</f>
        <v/>
      </c>
      <c r="Y912">
        <f>HYPERLINK("https://klasma.github.io/Logging_2061/tillsynsmail/A 11364-2025 tillsynsbegäran mail.docx", "A 11364-2025")</f>
        <v/>
      </c>
    </row>
    <row r="913" ht="15" customHeight="1">
      <c r="A913" t="inlineStr">
        <is>
          <t>A 15389-2024</t>
        </is>
      </c>
      <c r="B913" s="1" t="n">
        <v>45401.2678125</v>
      </c>
      <c r="C913" s="1" t="n">
        <v>46114</v>
      </c>
      <c r="D913" t="inlineStr">
        <is>
          <t>DALARNAS LÄN</t>
        </is>
      </c>
      <c r="E913" t="inlineStr">
        <is>
          <t>SMEDJEBACKEN</t>
        </is>
      </c>
      <c r="F913" t="inlineStr">
        <is>
          <t>Sveaskog</t>
        </is>
      </c>
      <c r="G913" t="n">
        <v>2.8</v>
      </c>
      <c r="H913" t="n">
        <v>0</v>
      </c>
      <c r="I913" t="n">
        <v>1</v>
      </c>
      <c r="J913" t="n">
        <v>0</v>
      </c>
      <c r="K913" t="n">
        <v>0</v>
      </c>
      <c r="L913" t="n">
        <v>0</v>
      </c>
      <c r="M913" t="n">
        <v>0</v>
      </c>
      <c r="N913" t="n">
        <v>0</v>
      </c>
      <c r="O913" t="n">
        <v>0</v>
      </c>
      <c r="P913" t="n">
        <v>0</v>
      </c>
      <c r="Q913" t="n">
        <v>1</v>
      </c>
      <c r="R913" s="2" t="inlineStr">
        <is>
          <t>Svavelriska</t>
        </is>
      </c>
      <c r="S913">
        <f>HYPERLINK("https://klasma.github.io/Logging_2061/artfynd/A 15389-2024 artfynd.xlsx", "A 15389-2024")</f>
        <v/>
      </c>
      <c r="T913">
        <f>HYPERLINK("https://klasma.github.io/Logging_2061/kartor/A 15389-2024 karta.png", "A 15389-2024")</f>
        <v/>
      </c>
      <c r="V913">
        <f>HYPERLINK("https://klasma.github.io/Logging_2061/klagomål/A 15389-2024 FSC-klagomål.docx", "A 15389-2024")</f>
        <v/>
      </c>
      <c r="W913">
        <f>HYPERLINK("https://klasma.github.io/Logging_2061/klagomålsmail/A 15389-2024 FSC-klagomål mail.docx", "A 15389-2024")</f>
        <v/>
      </c>
      <c r="X913">
        <f>HYPERLINK("https://klasma.github.io/Logging_2061/tillsyn/A 15389-2024 tillsynsbegäran.docx", "A 15389-2024")</f>
        <v/>
      </c>
      <c r="Y913">
        <f>HYPERLINK("https://klasma.github.io/Logging_2061/tillsynsmail/A 15389-2024 tillsynsbegäran mail.docx", "A 15389-2024")</f>
        <v/>
      </c>
    </row>
    <row r="914" ht="15" customHeight="1">
      <c r="A914" t="inlineStr">
        <is>
          <t>A 53633-2024</t>
        </is>
      </c>
      <c r="B914" s="1" t="n">
        <v>45614.83726851852</v>
      </c>
      <c r="C914" s="1" t="n">
        <v>46114</v>
      </c>
      <c r="D914" t="inlineStr">
        <is>
          <t>DALARNAS LÄN</t>
        </is>
      </c>
      <c r="E914" t="inlineStr">
        <is>
          <t>LEKSAND</t>
        </is>
      </c>
      <c r="G914" t="n">
        <v>1.6</v>
      </c>
      <c r="H914" t="n">
        <v>1</v>
      </c>
      <c r="I914" t="n">
        <v>0</v>
      </c>
      <c r="J914" t="n">
        <v>1</v>
      </c>
      <c r="K914" t="n">
        <v>0</v>
      </c>
      <c r="L914" t="n">
        <v>0</v>
      </c>
      <c r="M914" t="n">
        <v>0</v>
      </c>
      <c r="N914" t="n">
        <v>0</v>
      </c>
      <c r="O914" t="n">
        <v>1</v>
      </c>
      <c r="P914" t="n">
        <v>0</v>
      </c>
      <c r="Q914" t="n">
        <v>1</v>
      </c>
      <c r="R914" s="2" t="inlineStr">
        <is>
          <t>Tretåig hackspett</t>
        </is>
      </c>
      <c r="S914">
        <f>HYPERLINK("https://klasma.github.io/Logging_2029/artfynd/A 53633-2024 artfynd.xlsx", "A 53633-2024")</f>
        <v/>
      </c>
      <c r="T914">
        <f>HYPERLINK("https://klasma.github.io/Logging_2029/kartor/A 53633-2024 karta.png", "A 53633-2024")</f>
        <v/>
      </c>
      <c r="V914">
        <f>HYPERLINK("https://klasma.github.io/Logging_2029/klagomål/A 53633-2024 FSC-klagomål.docx", "A 53633-2024")</f>
        <v/>
      </c>
      <c r="W914">
        <f>HYPERLINK("https://klasma.github.io/Logging_2029/klagomålsmail/A 53633-2024 FSC-klagomål mail.docx", "A 53633-2024")</f>
        <v/>
      </c>
      <c r="X914">
        <f>HYPERLINK("https://klasma.github.io/Logging_2029/tillsyn/A 53633-2024 tillsynsbegäran.docx", "A 53633-2024")</f>
        <v/>
      </c>
      <c r="Y914">
        <f>HYPERLINK("https://klasma.github.io/Logging_2029/tillsynsmail/A 53633-2024 tillsynsbegäran mail.docx", "A 53633-2024")</f>
        <v/>
      </c>
      <c r="Z914">
        <f>HYPERLINK("https://klasma.github.io/Logging_2029/fåglar/A 53633-2024 prioriterade fågelarter.docx", "A 53633-2024")</f>
        <v/>
      </c>
    </row>
    <row r="915" ht="15" customHeight="1">
      <c r="A915" t="inlineStr">
        <is>
          <t>A 52613-2025</t>
        </is>
      </c>
      <c r="B915" s="1" t="n">
        <v>45954.67348379629</v>
      </c>
      <c r="C915" s="1" t="n">
        <v>46114</v>
      </c>
      <c r="D915" t="inlineStr">
        <is>
          <t>DALARNAS LÄN</t>
        </is>
      </c>
      <c r="E915" t="inlineStr">
        <is>
          <t>BORLÄNGE</t>
        </is>
      </c>
      <c r="F915" t="inlineStr">
        <is>
          <t>Bergvik skog väst AB</t>
        </is>
      </c>
      <c r="G915" t="n">
        <v>2.2</v>
      </c>
      <c r="H915" t="n">
        <v>1</v>
      </c>
      <c r="I915" t="n">
        <v>0</v>
      </c>
      <c r="J915" t="n">
        <v>0</v>
      </c>
      <c r="K915" t="n">
        <v>1</v>
      </c>
      <c r="L915" t="n">
        <v>0</v>
      </c>
      <c r="M915" t="n">
        <v>0</v>
      </c>
      <c r="N915" t="n">
        <v>0</v>
      </c>
      <c r="O915" t="n">
        <v>1</v>
      </c>
      <c r="P915" t="n">
        <v>1</v>
      </c>
      <c r="Q915" t="n">
        <v>1</v>
      </c>
      <c r="R915" s="2" t="inlineStr">
        <is>
          <t>Knärot</t>
        </is>
      </c>
      <c r="S915">
        <f>HYPERLINK("https://klasma.github.io/Logging_2081/artfynd/A 52613-2025 artfynd.xlsx", "A 52613-2025")</f>
        <v/>
      </c>
      <c r="T915">
        <f>HYPERLINK("https://klasma.github.io/Logging_2081/kartor/A 52613-2025 karta.png", "A 52613-2025")</f>
        <v/>
      </c>
      <c r="U915">
        <f>HYPERLINK("https://klasma.github.io/Logging_2081/knärot/A 52613-2025 karta knärot.png", "A 52613-2025")</f>
        <v/>
      </c>
      <c r="V915">
        <f>HYPERLINK("https://klasma.github.io/Logging_2081/klagomål/A 52613-2025 FSC-klagomål.docx", "A 52613-2025")</f>
        <v/>
      </c>
      <c r="W915">
        <f>HYPERLINK("https://klasma.github.io/Logging_2081/klagomålsmail/A 52613-2025 FSC-klagomål mail.docx", "A 52613-2025")</f>
        <v/>
      </c>
      <c r="X915">
        <f>HYPERLINK("https://klasma.github.io/Logging_2081/tillsyn/A 52613-2025 tillsynsbegäran.docx", "A 52613-2025")</f>
        <v/>
      </c>
      <c r="Y915">
        <f>HYPERLINK("https://klasma.github.io/Logging_2081/tillsynsmail/A 52613-2025 tillsynsbegäran mail.docx", "A 52613-2025")</f>
        <v/>
      </c>
    </row>
    <row r="916" ht="15" customHeight="1">
      <c r="A916" t="inlineStr">
        <is>
          <t>A 52675-2025</t>
        </is>
      </c>
      <c r="B916" s="1" t="n">
        <v>45956.10560185185</v>
      </c>
      <c r="C916" s="1" t="n">
        <v>46114</v>
      </c>
      <c r="D916" t="inlineStr">
        <is>
          <t>DALARNAS LÄN</t>
        </is>
      </c>
      <c r="E916" t="inlineStr">
        <is>
          <t>VANSBRO</t>
        </is>
      </c>
      <c r="F916" t="inlineStr">
        <is>
          <t>Bergvik skog väst AB</t>
        </is>
      </c>
      <c r="G916" t="n">
        <v>4.5</v>
      </c>
      <c r="H916" t="n">
        <v>0</v>
      </c>
      <c r="I916" t="n">
        <v>0</v>
      </c>
      <c r="J916" t="n">
        <v>1</v>
      </c>
      <c r="K916" t="n">
        <v>0</v>
      </c>
      <c r="L916" t="n">
        <v>0</v>
      </c>
      <c r="M916" t="n">
        <v>0</v>
      </c>
      <c r="N916" t="n">
        <v>0</v>
      </c>
      <c r="O916" t="n">
        <v>1</v>
      </c>
      <c r="P916" t="n">
        <v>0</v>
      </c>
      <c r="Q916" t="n">
        <v>1</v>
      </c>
      <c r="R916" s="2" t="inlineStr">
        <is>
          <t>Motaggsvamp</t>
        </is>
      </c>
      <c r="S916">
        <f>HYPERLINK("https://klasma.github.io/Logging_2021/artfynd/A 52675-2025 artfynd.xlsx", "A 52675-2025")</f>
        <v/>
      </c>
      <c r="T916">
        <f>HYPERLINK("https://klasma.github.io/Logging_2021/kartor/A 52675-2025 karta.png", "A 52675-2025")</f>
        <v/>
      </c>
      <c r="V916">
        <f>HYPERLINK("https://klasma.github.io/Logging_2021/klagomål/A 52675-2025 FSC-klagomål.docx", "A 52675-2025")</f>
        <v/>
      </c>
      <c r="W916">
        <f>HYPERLINK("https://klasma.github.io/Logging_2021/klagomålsmail/A 52675-2025 FSC-klagomål mail.docx", "A 52675-2025")</f>
        <v/>
      </c>
      <c r="X916">
        <f>HYPERLINK("https://klasma.github.io/Logging_2021/tillsyn/A 52675-2025 tillsynsbegäran.docx", "A 52675-2025")</f>
        <v/>
      </c>
      <c r="Y916">
        <f>HYPERLINK("https://klasma.github.io/Logging_2021/tillsynsmail/A 52675-2025 tillsynsbegäran mail.docx", "A 52675-2025")</f>
        <v/>
      </c>
    </row>
    <row r="917" ht="15" customHeight="1">
      <c r="A917" t="inlineStr">
        <is>
          <t>A 51953-2025</t>
        </is>
      </c>
      <c r="B917" s="1" t="n">
        <v>45952</v>
      </c>
      <c r="C917" s="1" t="n">
        <v>46114</v>
      </c>
      <c r="D917" t="inlineStr">
        <is>
          <t>DALARNAS LÄN</t>
        </is>
      </c>
      <c r="E917" t="inlineStr">
        <is>
          <t>BORLÄNGE</t>
        </is>
      </c>
      <c r="G917" t="n">
        <v>2.2</v>
      </c>
      <c r="H917" t="n">
        <v>0</v>
      </c>
      <c r="I917" t="n">
        <v>0</v>
      </c>
      <c r="J917" t="n">
        <v>1</v>
      </c>
      <c r="K917" t="n">
        <v>0</v>
      </c>
      <c r="L917" t="n">
        <v>0</v>
      </c>
      <c r="M917" t="n">
        <v>0</v>
      </c>
      <c r="N917" t="n">
        <v>0</v>
      </c>
      <c r="O917" t="n">
        <v>1</v>
      </c>
      <c r="P917" t="n">
        <v>0</v>
      </c>
      <c r="Q917" t="n">
        <v>1</v>
      </c>
      <c r="R917" s="2" t="inlineStr">
        <is>
          <t>Skrovlig taggsvamp</t>
        </is>
      </c>
      <c r="S917">
        <f>HYPERLINK("https://klasma.github.io/Logging_2081/artfynd/A 51953-2025 artfynd.xlsx", "A 51953-2025")</f>
        <v/>
      </c>
      <c r="T917">
        <f>HYPERLINK("https://klasma.github.io/Logging_2081/kartor/A 51953-2025 karta.png", "A 51953-2025")</f>
        <v/>
      </c>
      <c r="V917">
        <f>HYPERLINK("https://klasma.github.io/Logging_2081/klagomål/A 51953-2025 FSC-klagomål.docx", "A 51953-2025")</f>
        <v/>
      </c>
      <c r="W917">
        <f>HYPERLINK("https://klasma.github.io/Logging_2081/klagomålsmail/A 51953-2025 FSC-klagomål mail.docx", "A 51953-2025")</f>
        <v/>
      </c>
      <c r="X917">
        <f>HYPERLINK("https://klasma.github.io/Logging_2081/tillsyn/A 51953-2025 tillsynsbegäran.docx", "A 51953-2025")</f>
        <v/>
      </c>
      <c r="Y917">
        <f>HYPERLINK("https://klasma.github.io/Logging_2081/tillsynsmail/A 51953-2025 tillsynsbegäran mail.docx", "A 51953-2025")</f>
        <v/>
      </c>
    </row>
    <row r="918" ht="15" customHeight="1">
      <c r="A918" t="inlineStr">
        <is>
          <t>A 3809-2024</t>
        </is>
      </c>
      <c r="B918" s="1" t="n">
        <v>45321</v>
      </c>
      <c r="C918" s="1" t="n">
        <v>46114</v>
      </c>
      <c r="D918" t="inlineStr">
        <is>
          <t>DALARNAS LÄN</t>
        </is>
      </c>
      <c r="E918" t="inlineStr">
        <is>
          <t>LUDVIKA</t>
        </is>
      </c>
      <c r="G918" t="n">
        <v>0.5</v>
      </c>
      <c r="H918" t="n">
        <v>1</v>
      </c>
      <c r="I918" t="n">
        <v>0</v>
      </c>
      <c r="J918" t="n">
        <v>0</v>
      </c>
      <c r="K918" t="n">
        <v>0</v>
      </c>
      <c r="L918" t="n">
        <v>0</v>
      </c>
      <c r="M918" t="n">
        <v>0</v>
      </c>
      <c r="N918" t="n">
        <v>0</v>
      </c>
      <c r="O918" t="n">
        <v>0</v>
      </c>
      <c r="P918" t="n">
        <v>0</v>
      </c>
      <c r="Q918" t="n">
        <v>1</v>
      </c>
      <c r="R918" s="2" t="inlineStr">
        <is>
          <t>Fläcknycklar</t>
        </is>
      </c>
      <c r="S918">
        <f>HYPERLINK("https://klasma.github.io/Logging_2085/artfynd/A 3809-2024 artfynd.xlsx", "A 3809-2024")</f>
        <v/>
      </c>
      <c r="T918">
        <f>HYPERLINK("https://klasma.github.io/Logging_2085/kartor/A 3809-2024 karta.png", "A 3809-2024")</f>
        <v/>
      </c>
      <c r="V918">
        <f>HYPERLINK("https://klasma.github.io/Logging_2085/klagomål/A 3809-2024 FSC-klagomål.docx", "A 3809-2024")</f>
        <v/>
      </c>
      <c r="W918">
        <f>HYPERLINK("https://klasma.github.io/Logging_2085/klagomålsmail/A 3809-2024 FSC-klagomål mail.docx", "A 3809-2024")</f>
        <v/>
      </c>
      <c r="X918">
        <f>HYPERLINK("https://klasma.github.io/Logging_2085/tillsyn/A 3809-2024 tillsynsbegäran.docx", "A 3809-2024")</f>
        <v/>
      </c>
      <c r="Y918">
        <f>HYPERLINK("https://klasma.github.io/Logging_2085/tillsynsmail/A 3809-2024 tillsynsbegäran mail.docx", "A 3809-2024")</f>
        <v/>
      </c>
    </row>
    <row r="919" ht="15" customHeight="1">
      <c r="A919" t="inlineStr">
        <is>
          <t>A 53707-2025</t>
        </is>
      </c>
      <c r="B919" s="1" t="n">
        <v>45960.60822916667</v>
      </c>
      <c r="C919" s="1" t="n">
        <v>46114</v>
      </c>
      <c r="D919" t="inlineStr">
        <is>
          <t>DALARNAS LÄN</t>
        </is>
      </c>
      <c r="E919" t="inlineStr">
        <is>
          <t>ORSA</t>
        </is>
      </c>
      <c r="G919" t="n">
        <v>2.1</v>
      </c>
      <c r="H919" t="n">
        <v>0</v>
      </c>
      <c r="I919" t="n">
        <v>1</v>
      </c>
      <c r="J919" t="n">
        <v>0</v>
      </c>
      <c r="K919" t="n">
        <v>0</v>
      </c>
      <c r="L919" t="n">
        <v>0</v>
      </c>
      <c r="M919" t="n">
        <v>0</v>
      </c>
      <c r="N919" t="n">
        <v>0</v>
      </c>
      <c r="O919" t="n">
        <v>0</v>
      </c>
      <c r="P919" t="n">
        <v>0</v>
      </c>
      <c r="Q919" t="n">
        <v>1</v>
      </c>
      <c r="R919" s="2" t="inlineStr">
        <is>
          <t>Björksplintborre</t>
        </is>
      </c>
      <c r="S919">
        <f>HYPERLINK("https://klasma.github.io/Logging_2034/artfynd/A 53707-2025 artfynd.xlsx", "A 53707-2025")</f>
        <v/>
      </c>
      <c r="T919">
        <f>HYPERLINK("https://klasma.github.io/Logging_2034/kartor/A 53707-2025 karta.png", "A 53707-2025")</f>
        <v/>
      </c>
      <c r="V919">
        <f>HYPERLINK("https://klasma.github.io/Logging_2034/klagomål/A 53707-2025 FSC-klagomål.docx", "A 53707-2025")</f>
        <v/>
      </c>
      <c r="W919">
        <f>HYPERLINK("https://klasma.github.io/Logging_2034/klagomålsmail/A 53707-2025 FSC-klagomål mail.docx", "A 53707-2025")</f>
        <v/>
      </c>
      <c r="X919">
        <f>HYPERLINK("https://klasma.github.io/Logging_2034/tillsyn/A 53707-2025 tillsynsbegäran.docx", "A 53707-2025")</f>
        <v/>
      </c>
      <c r="Y919">
        <f>HYPERLINK("https://klasma.github.io/Logging_2034/tillsynsmail/A 53707-2025 tillsynsbegäran mail.docx", "A 53707-2025")</f>
        <v/>
      </c>
    </row>
    <row r="920" ht="15" customHeight="1">
      <c r="A920" t="inlineStr">
        <is>
          <t>A 14724-2025</t>
        </is>
      </c>
      <c r="B920" s="1" t="n">
        <v>45742.62967592593</v>
      </c>
      <c r="C920" s="1" t="n">
        <v>46114</v>
      </c>
      <c r="D920" t="inlineStr">
        <is>
          <t>DALARNAS LÄN</t>
        </is>
      </c>
      <c r="E920" t="inlineStr">
        <is>
          <t>BORLÄNGE</t>
        </is>
      </c>
      <c r="F920" t="inlineStr">
        <is>
          <t>Bergvik skog väst AB</t>
        </is>
      </c>
      <c r="G920" t="n">
        <v>2.2</v>
      </c>
      <c r="H920" t="n">
        <v>0</v>
      </c>
      <c r="I920" t="n">
        <v>0</v>
      </c>
      <c r="J920" t="n">
        <v>1</v>
      </c>
      <c r="K920" t="n">
        <v>0</v>
      </c>
      <c r="L920" t="n">
        <v>0</v>
      </c>
      <c r="M920" t="n">
        <v>0</v>
      </c>
      <c r="N920" t="n">
        <v>0</v>
      </c>
      <c r="O920" t="n">
        <v>1</v>
      </c>
      <c r="P920" t="n">
        <v>0</v>
      </c>
      <c r="Q920" t="n">
        <v>1</v>
      </c>
      <c r="R920" s="2" t="inlineStr">
        <is>
          <t>Violettgrå tagellav</t>
        </is>
      </c>
      <c r="S920">
        <f>HYPERLINK("https://klasma.github.io/Logging_2081/artfynd/A 14724-2025 artfynd.xlsx", "A 14724-2025")</f>
        <v/>
      </c>
      <c r="T920">
        <f>HYPERLINK("https://klasma.github.io/Logging_2081/kartor/A 14724-2025 karta.png", "A 14724-2025")</f>
        <v/>
      </c>
      <c r="V920">
        <f>HYPERLINK("https://klasma.github.io/Logging_2081/klagomål/A 14724-2025 FSC-klagomål.docx", "A 14724-2025")</f>
        <v/>
      </c>
      <c r="W920">
        <f>HYPERLINK("https://klasma.github.io/Logging_2081/klagomålsmail/A 14724-2025 FSC-klagomål mail.docx", "A 14724-2025")</f>
        <v/>
      </c>
      <c r="X920">
        <f>HYPERLINK("https://klasma.github.io/Logging_2081/tillsyn/A 14724-2025 tillsynsbegäran.docx", "A 14724-2025")</f>
        <v/>
      </c>
      <c r="Y920">
        <f>HYPERLINK("https://klasma.github.io/Logging_2081/tillsynsmail/A 14724-2025 tillsynsbegäran mail.docx", "A 14724-2025")</f>
        <v/>
      </c>
    </row>
    <row r="921" ht="15" customHeight="1">
      <c r="A921" t="inlineStr">
        <is>
          <t>A 36050-2025</t>
        </is>
      </c>
      <c r="B921" s="1" t="n">
        <v>45866</v>
      </c>
      <c r="C921" s="1" t="n">
        <v>46114</v>
      </c>
      <c r="D921" t="inlineStr">
        <is>
          <t>DALARNAS LÄN</t>
        </is>
      </c>
      <c r="E921" t="inlineStr">
        <is>
          <t>LUDVIKA</t>
        </is>
      </c>
      <c r="G921" t="n">
        <v>1.4</v>
      </c>
      <c r="H921" t="n">
        <v>1</v>
      </c>
      <c r="I921" t="n">
        <v>0</v>
      </c>
      <c r="J921" t="n">
        <v>1</v>
      </c>
      <c r="K921" t="n">
        <v>0</v>
      </c>
      <c r="L921" t="n">
        <v>0</v>
      </c>
      <c r="M921" t="n">
        <v>0</v>
      </c>
      <c r="N921" t="n">
        <v>0</v>
      </c>
      <c r="O921" t="n">
        <v>1</v>
      </c>
      <c r="P921" t="n">
        <v>0</v>
      </c>
      <c r="Q921" t="n">
        <v>1</v>
      </c>
      <c r="R921" s="2" t="inlineStr">
        <is>
          <t>Mindre hackspett</t>
        </is>
      </c>
      <c r="S921">
        <f>HYPERLINK("https://klasma.github.io/Logging_2085/artfynd/A 36050-2025 artfynd.xlsx", "A 36050-2025")</f>
        <v/>
      </c>
      <c r="T921">
        <f>HYPERLINK("https://klasma.github.io/Logging_2085/kartor/A 36050-2025 karta.png", "A 36050-2025")</f>
        <v/>
      </c>
      <c r="V921">
        <f>HYPERLINK("https://klasma.github.io/Logging_2085/klagomål/A 36050-2025 FSC-klagomål.docx", "A 36050-2025")</f>
        <v/>
      </c>
      <c r="W921">
        <f>HYPERLINK("https://klasma.github.io/Logging_2085/klagomålsmail/A 36050-2025 FSC-klagomål mail.docx", "A 36050-2025")</f>
        <v/>
      </c>
      <c r="X921">
        <f>HYPERLINK("https://klasma.github.io/Logging_2085/tillsyn/A 36050-2025 tillsynsbegäran.docx", "A 36050-2025")</f>
        <v/>
      </c>
      <c r="Y921">
        <f>HYPERLINK("https://klasma.github.io/Logging_2085/tillsynsmail/A 36050-2025 tillsynsbegäran mail.docx", "A 36050-2025")</f>
        <v/>
      </c>
      <c r="Z921">
        <f>HYPERLINK("https://klasma.github.io/Logging_2085/fåglar/A 36050-2025 prioriterade fågelarter.docx", "A 36050-2025")</f>
        <v/>
      </c>
    </row>
    <row r="922" ht="15" customHeight="1">
      <c r="A922" t="inlineStr">
        <is>
          <t>A 41477-2023</t>
        </is>
      </c>
      <c r="B922" s="1" t="n">
        <v>45171</v>
      </c>
      <c r="C922" s="1" t="n">
        <v>46114</v>
      </c>
      <c r="D922" t="inlineStr">
        <is>
          <t>DALARNAS LÄN</t>
        </is>
      </c>
      <c r="E922" t="inlineStr">
        <is>
          <t>HEDEMORA</t>
        </is>
      </c>
      <c r="F922" t="inlineStr">
        <is>
          <t>Bergvik skog väst AB</t>
        </is>
      </c>
      <c r="G922" t="n">
        <v>9.1</v>
      </c>
      <c r="H922" t="n">
        <v>0</v>
      </c>
      <c r="I922" t="n">
        <v>1</v>
      </c>
      <c r="J922" t="n">
        <v>0</v>
      </c>
      <c r="K922" t="n">
        <v>0</v>
      </c>
      <c r="L922" t="n">
        <v>0</v>
      </c>
      <c r="M922" t="n">
        <v>0</v>
      </c>
      <c r="N922" t="n">
        <v>0</v>
      </c>
      <c r="O922" t="n">
        <v>0</v>
      </c>
      <c r="P922" t="n">
        <v>0</v>
      </c>
      <c r="Q922" t="n">
        <v>1</v>
      </c>
      <c r="R922" s="2" t="inlineStr">
        <is>
          <t>Ögonpyrola</t>
        </is>
      </c>
      <c r="S922">
        <f>HYPERLINK("https://klasma.github.io/Logging_2083/artfynd/A 41477-2023 artfynd.xlsx", "A 41477-2023")</f>
        <v/>
      </c>
      <c r="T922">
        <f>HYPERLINK("https://klasma.github.io/Logging_2083/kartor/A 41477-2023 karta.png", "A 41477-2023")</f>
        <v/>
      </c>
      <c r="V922">
        <f>HYPERLINK("https://klasma.github.io/Logging_2083/klagomål/A 41477-2023 FSC-klagomål.docx", "A 41477-2023")</f>
        <v/>
      </c>
      <c r="W922">
        <f>HYPERLINK("https://klasma.github.io/Logging_2083/klagomålsmail/A 41477-2023 FSC-klagomål mail.docx", "A 41477-2023")</f>
        <v/>
      </c>
      <c r="X922">
        <f>HYPERLINK("https://klasma.github.io/Logging_2083/tillsyn/A 41477-2023 tillsynsbegäran.docx", "A 41477-2023")</f>
        <v/>
      </c>
      <c r="Y922">
        <f>HYPERLINK("https://klasma.github.io/Logging_2083/tillsynsmail/A 41477-2023 tillsynsbegäran mail.docx", "A 41477-2023")</f>
        <v/>
      </c>
    </row>
    <row r="923" ht="15" customHeight="1">
      <c r="A923" t="inlineStr">
        <is>
          <t>A 50170-2025</t>
        </is>
      </c>
      <c r="B923" s="1" t="n">
        <v>45943</v>
      </c>
      <c r="C923" s="1" t="n">
        <v>46114</v>
      </c>
      <c r="D923" t="inlineStr">
        <is>
          <t>DALARNAS LÄN</t>
        </is>
      </c>
      <c r="E923" t="inlineStr">
        <is>
          <t>LUDVIKA</t>
        </is>
      </c>
      <c r="F923" t="inlineStr">
        <is>
          <t>Bergvik skog väst AB</t>
        </is>
      </c>
      <c r="G923" t="n">
        <v>2.5</v>
      </c>
      <c r="H923" t="n">
        <v>0</v>
      </c>
      <c r="I923" t="n">
        <v>1</v>
      </c>
      <c r="J923" t="n">
        <v>0</v>
      </c>
      <c r="K923" t="n">
        <v>0</v>
      </c>
      <c r="L923" t="n">
        <v>0</v>
      </c>
      <c r="M923" t="n">
        <v>0</v>
      </c>
      <c r="N923" t="n">
        <v>0</v>
      </c>
      <c r="O923" t="n">
        <v>0</v>
      </c>
      <c r="P923" t="n">
        <v>0</v>
      </c>
      <c r="Q923" t="n">
        <v>1</v>
      </c>
      <c r="R923" s="2" t="inlineStr">
        <is>
          <t>Gulnål</t>
        </is>
      </c>
      <c r="S923">
        <f>HYPERLINK("https://klasma.github.io/Logging_2085/artfynd/A 50170-2025 artfynd.xlsx", "A 50170-2025")</f>
        <v/>
      </c>
      <c r="T923">
        <f>HYPERLINK("https://klasma.github.io/Logging_2085/kartor/A 50170-2025 karta.png", "A 50170-2025")</f>
        <v/>
      </c>
      <c r="V923">
        <f>HYPERLINK("https://klasma.github.io/Logging_2085/klagomål/A 50170-2025 FSC-klagomål.docx", "A 50170-2025")</f>
        <v/>
      </c>
      <c r="W923">
        <f>HYPERLINK("https://klasma.github.io/Logging_2085/klagomålsmail/A 50170-2025 FSC-klagomål mail.docx", "A 50170-2025")</f>
        <v/>
      </c>
      <c r="X923">
        <f>HYPERLINK("https://klasma.github.io/Logging_2085/tillsyn/A 50170-2025 tillsynsbegäran.docx", "A 50170-2025")</f>
        <v/>
      </c>
      <c r="Y923">
        <f>HYPERLINK("https://klasma.github.io/Logging_2085/tillsynsmail/A 50170-2025 tillsynsbegäran mail.docx", "A 50170-2025")</f>
        <v/>
      </c>
    </row>
    <row r="924" ht="15" customHeight="1">
      <c r="A924" t="inlineStr">
        <is>
          <t>A 45291-2025</t>
        </is>
      </c>
      <c r="B924" s="1" t="n">
        <v>45920.3734837963</v>
      </c>
      <c r="C924" s="1" t="n">
        <v>46114</v>
      </c>
      <c r="D924" t="inlineStr">
        <is>
          <t>DALARNAS LÄN</t>
        </is>
      </c>
      <c r="E924" t="inlineStr">
        <is>
          <t>HEDEMORA</t>
        </is>
      </c>
      <c r="F924" t="inlineStr">
        <is>
          <t>Sveaskog</t>
        </is>
      </c>
      <c r="G924" t="n">
        <v>1.2</v>
      </c>
      <c r="H924" t="n">
        <v>1</v>
      </c>
      <c r="I924" t="n">
        <v>1</v>
      </c>
      <c r="J924" t="n">
        <v>0</v>
      </c>
      <c r="K924" t="n">
        <v>0</v>
      </c>
      <c r="L924" t="n">
        <v>0</v>
      </c>
      <c r="M924" t="n">
        <v>0</v>
      </c>
      <c r="N924" t="n">
        <v>0</v>
      </c>
      <c r="O924" t="n">
        <v>0</v>
      </c>
      <c r="P924" t="n">
        <v>0</v>
      </c>
      <c r="Q924" t="n">
        <v>1</v>
      </c>
      <c r="R924" s="2" t="inlineStr">
        <is>
          <t>Plattlummer</t>
        </is>
      </c>
      <c r="S924">
        <f>HYPERLINK("https://klasma.github.io/Logging_2083/artfynd/A 45291-2025 artfynd.xlsx", "A 45291-2025")</f>
        <v/>
      </c>
      <c r="T924">
        <f>HYPERLINK("https://klasma.github.io/Logging_2083/kartor/A 45291-2025 karta.png", "A 45291-2025")</f>
        <v/>
      </c>
      <c r="V924">
        <f>HYPERLINK("https://klasma.github.io/Logging_2083/klagomål/A 45291-2025 FSC-klagomål.docx", "A 45291-2025")</f>
        <v/>
      </c>
      <c r="W924">
        <f>HYPERLINK("https://klasma.github.io/Logging_2083/klagomålsmail/A 45291-2025 FSC-klagomål mail.docx", "A 45291-2025")</f>
        <v/>
      </c>
      <c r="X924">
        <f>HYPERLINK("https://klasma.github.io/Logging_2083/tillsyn/A 45291-2025 tillsynsbegäran.docx", "A 45291-2025")</f>
        <v/>
      </c>
      <c r="Y924">
        <f>HYPERLINK("https://klasma.github.io/Logging_2083/tillsynsmail/A 45291-2025 tillsynsbegäran mail.docx", "A 45291-2025")</f>
        <v/>
      </c>
    </row>
    <row r="925" ht="15" customHeight="1">
      <c r="A925" t="inlineStr">
        <is>
          <t>A 36778-2025</t>
        </is>
      </c>
      <c r="B925" s="1" t="n">
        <v>45873</v>
      </c>
      <c r="C925" s="1" t="n">
        <v>46114</v>
      </c>
      <c r="D925" t="inlineStr">
        <is>
          <t>DALARNAS LÄN</t>
        </is>
      </c>
      <c r="E925" t="inlineStr">
        <is>
          <t>LEKSAND</t>
        </is>
      </c>
      <c r="F925" t="inlineStr">
        <is>
          <t>Övriga statliga verk och myndigheter</t>
        </is>
      </c>
      <c r="G925" t="n">
        <v>0.6</v>
      </c>
      <c r="H925" t="n">
        <v>1</v>
      </c>
      <c r="I925" t="n">
        <v>0</v>
      </c>
      <c r="J925" t="n">
        <v>1</v>
      </c>
      <c r="K925" t="n">
        <v>0</v>
      </c>
      <c r="L925" t="n">
        <v>0</v>
      </c>
      <c r="M925" t="n">
        <v>0</v>
      </c>
      <c r="N925" t="n">
        <v>0</v>
      </c>
      <c r="O925" t="n">
        <v>1</v>
      </c>
      <c r="P925" t="n">
        <v>0</v>
      </c>
      <c r="Q925" t="n">
        <v>1</v>
      </c>
      <c r="R925" s="2" t="inlineStr">
        <is>
          <t>Tretåig hackspett</t>
        </is>
      </c>
      <c r="S925">
        <f>HYPERLINK("https://klasma.github.io/Logging_2029/artfynd/A 36778-2025 artfynd.xlsx", "A 36778-2025")</f>
        <v/>
      </c>
      <c r="T925">
        <f>HYPERLINK("https://klasma.github.io/Logging_2029/kartor/A 36778-2025 karta.png", "A 36778-2025")</f>
        <v/>
      </c>
      <c r="V925">
        <f>HYPERLINK("https://klasma.github.io/Logging_2029/klagomål/A 36778-2025 FSC-klagomål.docx", "A 36778-2025")</f>
        <v/>
      </c>
      <c r="W925">
        <f>HYPERLINK("https://klasma.github.io/Logging_2029/klagomålsmail/A 36778-2025 FSC-klagomål mail.docx", "A 36778-2025")</f>
        <v/>
      </c>
      <c r="X925">
        <f>HYPERLINK("https://klasma.github.io/Logging_2029/tillsyn/A 36778-2025 tillsynsbegäran.docx", "A 36778-2025")</f>
        <v/>
      </c>
      <c r="Y925">
        <f>HYPERLINK("https://klasma.github.io/Logging_2029/tillsynsmail/A 36778-2025 tillsynsbegäran mail.docx", "A 36778-2025")</f>
        <v/>
      </c>
      <c r="Z925">
        <f>HYPERLINK("https://klasma.github.io/Logging_2029/fåglar/A 36778-2025 prioriterade fågelarter.docx", "A 36778-2025")</f>
        <v/>
      </c>
    </row>
    <row r="926" ht="15" customHeight="1">
      <c r="A926" t="inlineStr">
        <is>
          <t>A 12905-2025</t>
        </is>
      </c>
      <c r="B926" s="1" t="n">
        <v>45733</v>
      </c>
      <c r="C926" s="1" t="n">
        <v>46114</v>
      </c>
      <c r="D926" t="inlineStr">
        <is>
          <t>DALARNAS LÄN</t>
        </is>
      </c>
      <c r="E926" t="inlineStr">
        <is>
          <t>HEDEMORA</t>
        </is>
      </c>
      <c r="G926" t="n">
        <v>3.1</v>
      </c>
      <c r="H926" t="n">
        <v>1</v>
      </c>
      <c r="I926" t="n">
        <v>0</v>
      </c>
      <c r="J926" t="n">
        <v>0</v>
      </c>
      <c r="K926" t="n">
        <v>1</v>
      </c>
      <c r="L926" t="n">
        <v>0</v>
      </c>
      <c r="M926" t="n">
        <v>0</v>
      </c>
      <c r="N926" t="n">
        <v>0</v>
      </c>
      <c r="O926" t="n">
        <v>1</v>
      </c>
      <c r="P926" t="n">
        <v>1</v>
      </c>
      <c r="Q926" t="n">
        <v>1</v>
      </c>
      <c r="R926" s="2" t="inlineStr">
        <is>
          <t>Knärot</t>
        </is>
      </c>
      <c r="S926">
        <f>HYPERLINK("https://klasma.github.io/Logging_2083/artfynd/A 12905-2025 artfynd.xlsx", "A 12905-2025")</f>
        <v/>
      </c>
      <c r="T926">
        <f>HYPERLINK("https://klasma.github.io/Logging_2083/kartor/A 12905-2025 karta.png", "A 12905-2025")</f>
        <v/>
      </c>
      <c r="U926">
        <f>HYPERLINK("https://klasma.github.io/Logging_2083/knärot/A 12905-2025 karta knärot.png", "A 12905-2025")</f>
        <v/>
      </c>
      <c r="V926">
        <f>HYPERLINK("https://klasma.github.io/Logging_2083/klagomål/A 12905-2025 FSC-klagomål.docx", "A 12905-2025")</f>
        <v/>
      </c>
      <c r="W926">
        <f>HYPERLINK("https://klasma.github.io/Logging_2083/klagomålsmail/A 12905-2025 FSC-klagomål mail.docx", "A 12905-2025")</f>
        <v/>
      </c>
      <c r="X926">
        <f>HYPERLINK("https://klasma.github.io/Logging_2083/tillsyn/A 12905-2025 tillsynsbegäran.docx", "A 12905-2025")</f>
        <v/>
      </c>
      <c r="Y926">
        <f>HYPERLINK("https://klasma.github.io/Logging_2083/tillsynsmail/A 12905-2025 tillsynsbegäran mail.docx", "A 12905-2025")</f>
        <v/>
      </c>
    </row>
    <row r="927" ht="15" customHeight="1">
      <c r="A927" t="inlineStr">
        <is>
          <t>A 54687-2025</t>
        </is>
      </c>
      <c r="B927" s="1" t="n">
        <v>45966.45024305556</v>
      </c>
      <c r="C927" s="1" t="n">
        <v>46114</v>
      </c>
      <c r="D927" t="inlineStr">
        <is>
          <t>DALARNAS LÄN</t>
        </is>
      </c>
      <c r="E927" t="inlineStr">
        <is>
          <t>ORSA</t>
        </is>
      </c>
      <c r="F927" t="inlineStr">
        <is>
          <t>Allmännings- och besparingsskogar</t>
        </is>
      </c>
      <c r="G927" t="n">
        <v>2</v>
      </c>
      <c r="H927" t="n">
        <v>0</v>
      </c>
      <c r="I927" t="n">
        <v>0</v>
      </c>
      <c r="J927" t="n">
        <v>1</v>
      </c>
      <c r="K927" t="n">
        <v>0</v>
      </c>
      <c r="L927" t="n">
        <v>0</v>
      </c>
      <c r="M927" t="n">
        <v>0</v>
      </c>
      <c r="N927" t="n">
        <v>0</v>
      </c>
      <c r="O927" t="n">
        <v>1</v>
      </c>
      <c r="P927" t="n">
        <v>0</v>
      </c>
      <c r="Q927" t="n">
        <v>1</v>
      </c>
      <c r="R927" s="2" t="inlineStr">
        <is>
          <t>Garnlav</t>
        </is>
      </c>
      <c r="S927">
        <f>HYPERLINK("https://klasma.github.io/Logging_2034/artfynd/A 54687-2025 artfynd.xlsx", "A 54687-2025")</f>
        <v/>
      </c>
      <c r="T927">
        <f>HYPERLINK("https://klasma.github.io/Logging_2034/kartor/A 54687-2025 karta.png", "A 54687-2025")</f>
        <v/>
      </c>
      <c r="V927">
        <f>HYPERLINK("https://klasma.github.io/Logging_2034/klagomål/A 54687-2025 FSC-klagomål.docx", "A 54687-2025")</f>
        <v/>
      </c>
      <c r="W927">
        <f>HYPERLINK("https://klasma.github.io/Logging_2034/klagomålsmail/A 54687-2025 FSC-klagomål mail.docx", "A 54687-2025")</f>
        <v/>
      </c>
      <c r="X927">
        <f>HYPERLINK("https://klasma.github.io/Logging_2034/tillsyn/A 54687-2025 tillsynsbegäran.docx", "A 54687-2025")</f>
        <v/>
      </c>
      <c r="Y927">
        <f>HYPERLINK("https://klasma.github.io/Logging_2034/tillsynsmail/A 54687-2025 tillsynsbegäran mail.docx", "A 54687-2025")</f>
        <v/>
      </c>
    </row>
    <row r="928" ht="15" customHeight="1">
      <c r="A928" t="inlineStr">
        <is>
          <t>A 55056-2025</t>
        </is>
      </c>
      <c r="B928" s="1" t="n">
        <v>45967.67916666667</v>
      </c>
      <c r="C928" s="1" t="n">
        <v>46114</v>
      </c>
      <c r="D928" t="inlineStr">
        <is>
          <t>DALARNAS LÄN</t>
        </is>
      </c>
      <c r="E928" t="inlineStr">
        <is>
          <t>BORLÄNGE</t>
        </is>
      </c>
      <c r="G928" t="n">
        <v>0.9</v>
      </c>
      <c r="H928" t="n">
        <v>1</v>
      </c>
      <c r="I928" t="n">
        <v>0</v>
      </c>
      <c r="J928" t="n">
        <v>1</v>
      </c>
      <c r="K928" t="n">
        <v>0</v>
      </c>
      <c r="L928" t="n">
        <v>0</v>
      </c>
      <c r="M928" t="n">
        <v>0</v>
      </c>
      <c r="N928" t="n">
        <v>0</v>
      </c>
      <c r="O928" t="n">
        <v>1</v>
      </c>
      <c r="P928" t="n">
        <v>0</v>
      </c>
      <c r="Q928" t="n">
        <v>1</v>
      </c>
      <c r="R928" s="2" t="inlineStr">
        <is>
          <t>Spillkråka</t>
        </is>
      </c>
      <c r="S928">
        <f>HYPERLINK("https://klasma.github.io/Logging_2081/artfynd/A 55056-2025 artfynd.xlsx", "A 55056-2025")</f>
        <v/>
      </c>
      <c r="T928">
        <f>HYPERLINK("https://klasma.github.io/Logging_2081/kartor/A 55056-2025 karta.png", "A 55056-2025")</f>
        <v/>
      </c>
      <c r="V928">
        <f>HYPERLINK("https://klasma.github.io/Logging_2081/klagomål/A 55056-2025 FSC-klagomål.docx", "A 55056-2025")</f>
        <v/>
      </c>
      <c r="W928">
        <f>HYPERLINK("https://klasma.github.io/Logging_2081/klagomålsmail/A 55056-2025 FSC-klagomål mail.docx", "A 55056-2025")</f>
        <v/>
      </c>
      <c r="X928">
        <f>HYPERLINK("https://klasma.github.io/Logging_2081/tillsyn/A 55056-2025 tillsynsbegäran.docx", "A 55056-2025")</f>
        <v/>
      </c>
      <c r="Y928">
        <f>HYPERLINK("https://klasma.github.io/Logging_2081/tillsynsmail/A 55056-2025 tillsynsbegäran mail.docx", "A 55056-2025")</f>
        <v/>
      </c>
      <c r="Z928">
        <f>HYPERLINK("https://klasma.github.io/Logging_2081/fåglar/A 55056-2025 prioriterade fågelarter.docx", "A 55056-2025")</f>
        <v/>
      </c>
    </row>
    <row r="929" ht="15" customHeight="1">
      <c r="A929" t="inlineStr">
        <is>
          <t>A 55410-2025</t>
        </is>
      </c>
      <c r="B929" s="1" t="n">
        <v>45971</v>
      </c>
      <c r="C929" s="1" t="n">
        <v>46114</v>
      </c>
      <c r="D929" t="inlineStr">
        <is>
          <t>DALARNAS LÄN</t>
        </is>
      </c>
      <c r="E929" t="inlineStr">
        <is>
          <t>LUDVIKA</t>
        </is>
      </c>
      <c r="F929" t="inlineStr">
        <is>
          <t>Bergvik skog väst AB</t>
        </is>
      </c>
      <c r="G929" t="n">
        <v>2.7</v>
      </c>
      <c r="H929" t="n">
        <v>1</v>
      </c>
      <c r="I929" t="n">
        <v>0</v>
      </c>
      <c r="J929" t="n">
        <v>1</v>
      </c>
      <c r="K929" t="n">
        <v>0</v>
      </c>
      <c r="L929" t="n">
        <v>0</v>
      </c>
      <c r="M929" t="n">
        <v>0</v>
      </c>
      <c r="N929" t="n">
        <v>0</v>
      </c>
      <c r="O929" t="n">
        <v>1</v>
      </c>
      <c r="P929" t="n">
        <v>0</v>
      </c>
      <c r="Q929" t="n">
        <v>1</v>
      </c>
      <c r="R929" s="2" t="inlineStr">
        <is>
          <t>Järpe</t>
        </is>
      </c>
      <c r="S929">
        <f>HYPERLINK("https://klasma.github.io/Logging_2085/artfynd/A 55410-2025 artfynd.xlsx", "A 55410-2025")</f>
        <v/>
      </c>
      <c r="T929">
        <f>HYPERLINK("https://klasma.github.io/Logging_2085/kartor/A 55410-2025 karta.png", "A 55410-2025")</f>
        <v/>
      </c>
      <c r="V929">
        <f>HYPERLINK("https://klasma.github.io/Logging_2085/klagomål/A 55410-2025 FSC-klagomål.docx", "A 55410-2025")</f>
        <v/>
      </c>
      <c r="W929">
        <f>HYPERLINK("https://klasma.github.io/Logging_2085/klagomålsmail/A 55410-2025 FSC-klagomål mail.docx", "A 55410-2025")</f>
        <v/>
      </c>
      <c r="X929">
        <f>HYPERLINK("https://klasma.github.io/Logging_2085/tillsyn/A 55410-2025 tillsynsbegäran.docx", "A 55410-2025")</f>
        <v/>
      </c>
      <c r="Y929">
        <f>HYPERLINK("https://klasma.github.io/Logging_2085/tillsynsmail/A 55410-2025 tillsynsbegäran mail.docx", "A 55410-2025")</f>
        <v/>
      </c>
      <c r="Z929">
        <f>HYPERLINK("https://klasma.github.io/Logging_2085/fåglar/A 55410-2025 prioriterade fågelarter.docx", "A 55410-2025")</f>
        <v/>
      </c>
    </row>
    <row r="930" ht="15" customHeight="1">
      <c r="A930" t="inlineStr">
        <is>
          <t>A 51111-2021</t>
        </is>
      </c>
      <c r="B930" s="1" t="n">
        <v>44461</v>
      </c>
      <c r="C930" s="1" t="n">
        <v>46114</v>
      </c>
      <c r="D930" t="inlineStr">
        <is>
          <t>DALARNAS LÄN</t>
        </is>
      </c>
      <c r="E930" t="inlineStr">
        <is>
          <t>HEDEMORA</t>
        </is>
      </c>
      <c r="G930" t="n">
        <v>0.9</v>
      </c>
      <c r="H930" t="n">
        <v>1</v>
      </c>
      <c r="I930" t="n">
        <v>0</v>
      </c>
      <c r="J930" t="n">
        <v>0</v>
      </c>
      <c r="K930" t="n">
        <v>1</v>
      </c>
      <c r="L930" t="n">
        <v>0</v>
      </c>
      <c r="M930" t="n">
        <v>0</v>
      </c>
      <c r="N930" t="n">
        <v>0</v>
      </c>
      <c r="O930" t="n">
        <v>1</v>
      </c>
      <c r="P930" t="n">
        <v>1</v>
      </c>
      <c r="Q930" t="n">
        <v>1</v>
      </c>
      <c r="R930" s="2" t="inlineStr">
        <is>
          <t>Knärot</t>
        </is>
      </c>
      <c r="S930">
        <f>HYPERLINK("https://klasma.github.io/Logging_2083/artfynd/A 51111-2021 artfynd.xlsx", "A 51111-2021")</f>
        <v/>
      </c>
      <c r="T930">
        <f>HYPERLINK("https://klasma.github.io/Logging_2083/kartor/A 51111-2021 karta.png", "A 51111-2021")</f>
        <v/>
      </c>
      <c r="U930">
        <f>HYPERLINK("https://klasma.github.io/Logging_2083/knärot/A 51111-2021 karta knärot.png", "A 51111-2021")</f>
        <v/>
      </c>
      <c r="V930">
        <f>HYPERLINK("https://klasma.github.io/Logging_2083/klagomål/A 51111-2021 FSC-klagomål.docx", "A 51111-2021")</f>
        <v/>
      </c>
      <c r="W930">
        <f>HYPERLINK("https://klasma.github.io/Logging_2083/klagomålsmail/A 51111-2021 FSC-klagomål mail.docx", "A 51111-2021")</f>
        <v/>
      </c>
      <c r="X930">
        <f>HYPERLINK("https://klasma.github.io/Logging_2083/tillsyn/A 51111-2021 tillsynsbegäran.docx", "A 51111-2021")</f>
        <v/>
      </c>
      <c r="Y930">
        <f>HYPERLINK("https://klasma.github.io/Logging_2083/tillsynsmail/A 51111-2021 tillsynsbegäran mail.docx", "A 51111-2021")</f>
        <v/>
      </c>
    </row>
    <row r="931" ht="15" customHeight="1">
      <c r="A931" t="inlineStr">
        <is>
          <t>A 24549-2022</t>
        </is>
      </c>
      <c r="B931" s="1" t="n">
        <v>44727</v>
      </c>
      <c r="C931" s="1" t="n">
        <v>46114</v>
      </c>
      <c r="D931" t="inlineStr">
        <is>
          <t>DALARNAS LÄN</t>
        </is>
      </c>
      <c r="E931" t="inlineStr">
        <is>
          <t>SMEDJEBACKEN</t>
        </is>
      </c>
      <c r="F931" t="inlineStr">
        <is>
          <t>Bergvik skog väst AB</t>
        </is>
      </c>
      <c r="G931" t="n">
        <v>3.3</v>
      </c>
      <c r="H931" t="n">
        <v>1</v>
      </c>
      <c r="I931" t="n">
        <v>0</v>
      </c>
      <c r="J931" t="n">
        <v>0</v>
      </c>
      <c r="K931" t="n">
        <v>0</v>
      </c>
      <c r="L931" t="n">
        <v>0</v>
      </c>
      <c r="M931" t="n">
        <v>0</v>
      </c>
      <c r="N931" t="n">
        <v>0</v>
      </c>
      <c r="O931" t="n">
        <v>0</v>
      </c>
      <c r="P931" t="n">
        <v>0</v>
      </c>
      <c r="Q931" t="n">
        <v>1</v>
      </c>
      <c r="R931" s="2" t="inlineStr">
        <is>
          <t>Blåsippa</t>
        </is>
      </c>
      <c r="S931">
        <f>HYPERLINK("https://klasma.github.io/Logging_2061/artfynd/A 24549-2022 artfynd.xlsx", "A 24549-2022")</f>
        <v/>
      </c>
      <c r="T931">
        <f>HYPERLINK("https://klasma.github.io/Logging_2061/kartor/A 24549-2022 karta.png", "A 24549-2022")</f>
        <v/>
      </c>
      <c r="V931">
        <f>HYPERLINK("https://klasma.github.io/Logging_2061/klagomål/A 24549-2022 FSC-klagomål.docx", "A 24549-2022")</f>
        <v/>
      </c>
      <c r="W931">
        <f>HYPERLINK("https://klasma.github.io/Logging_2061/klagomålsmail/A 24549-2022 FSC-klagomål mail.docx", "A 24549-2022")</f>
        <v/>
      </c>
      <c r="X931">
        <f>HYPERLINK("https://klasma.github.io/Logging_2061/tillsyn/A 24549-2022 tillsynsbegäran.docx", "A 24549-2022")</f>
        <v/>
      </c>
      <c r="Y931">
        <f>HYPERLINK("https://klasma.github.io/Logging_2061/tillsynsmail/A 24549-2022 tillsynsbegäran mail.docx", "A 24549-2022")</f>
        <v/>
      </c>
    </row>
    <row r="932" ht="15" customHeight="1">
      <c r="A932" t="inlineStr">
        <is>
          <t>A 17987-2025</t>
        </is>
      </c>
      <c r="B932" s="1" t="n">
        <v>45761.39600694444</v>
      </c>
      <c r="C932" s="1" t="n">
        <v>46114</v>
      </c>
      <c r="D932" t="inlineStr">
        <is>
          <t>DALARNAS LÄN</t>
        </is>
      </c>
      <c r="E932" t="inlineStr">
        <is>
          <t>LUDVIKA</t>
        </is>
      </c>
      <c r="G932" t="n">
        <v>0.5</v>
      </c>
      <c r="H932" t="n">
        <v>1</v>
      </c>
      <c r="I932" t="n">
        <v>0</v>
      </c>
      <c r="J932" t="n">
        <v>1</v>
      </c>
      <c r="K932" t="n">
        <v>0</v>
      </c>
      <c r="L932" t="n">
        <v>0</v>
      </c>
      <c r="M932" t="n">
        <v>0</v>
      </c>
      <c r="N932" t="n">
        <v>0</v>
      </c>
      <c r="O932" t="n">
        <v>1</v>
      </c>
      <c r="P932" t="n">
        <v>0</v>
      </c>
      <c r="Q932" t="n">
        <v>1</v>
      </c>
      <c r="R932" s="2" t="inlineStr">
        <is>
          <t>Talltita</t>
        </is>
      </c>
      <c r="S932">
        <f>HYPERLINK("https://klasma.github.io/Logging_2085/artfynd/A 17987-2025 artfynd.xlsx", "A 17987-2025")</f>
        <v/>
      </c>
      <c r="T932">
        <f>HYPERLINK("https://klasma.github.io/Logging_2085/kartor/A 17987-2025 karta.png", "A 17987-2025")</f>
        <v/>
      </c>
      <c r="V932">
        <f>HYPERLINK("https://klasma.github.io/Logging_2085/klagomål/A 17987-2025 FSC-klagomål.docx", "A 17987-2025")</f>
        <v/>
      </c>
      <c r="W932">
        <f>HYPERLINK("https://klasma.github.io/Logging_2085/klagomålsmail/A 17987-2025 FSC-klagomål mail.docx", "A 17987-2025")</f>
        <v/>
      </c>
      <c r="X932">
        <f>HYPERLINK("https://klasma.github.io/Logging_2085/tillsyn/A 17987-2025 tillsynsbegäran.docx", "A 17987-2025")</f>
        <v/>
      </c>
      <c r="Y932">
        <f>HYPERLINK("https://klasma.github.io/Logging_2085/tillsynsmail/A 17987-2025 tillsynsbegäran mail.docx", "A 17987-2025")</f>
        <v/>
      </c>
      <c r="Z932">
        <f>HYPERLINK("https://klasma.github.io/Logging_2085/fåglar/A 17987-2025 prioriterade fågelarter.docx", "A 17987-2025")</f>
        <v/>
      </c>
    </row>
    <row r="933" ht="15" customHeight="1">
      <c r="A933" t="inlineStr">
        <is>
          <t>A 46332-2025</t>
        </is>
      </c>
      <c r="B933" s="1" t="n">
        <v>45925.45873842593</v>
      </c>
      <c r="C933" s="1" t="n">
        <v>46114</v>
      </c>
      <c r="D933" t="inlineStr">
        <is>
          <t>DALARNAS LÄN</t>
        </is>
      </c>
      <c r="E933" t="inlineStr">
        <is>
          <t>AVESTA</t>
        </is>
      </c>
      <c r="G933" t="n">
        <v>3.6</v>
      </c>
      <c r="H933" t="n">
        <v>1</v>
      </c>
      <c r="I933" t="n">
        <v>0</v>
      </c>
      <c r="J933" t="n">
        <v>0</v>
      </c>
      <c r="K933" t="n">
        <v>1</v>
      </c>
      <c r="L933" t="n">
        <v>0</v>
      </c>
      <c r="M933" t="n">
        <v>0</v>
      </c>
      <c r="N933" t="n">
        <v>0</v>
      </c>
      <c r="O933" t="n">
        <v>1</v>
      </c>
      <c r="P933" t="n">
        <v>1</v>
      </c>
      <c r="Q933" t="n">
        <v>1</v>
      </c>
      <c r="R933" s="2" t="inlineStr">
        <is>
          <t>Knärot</t>
        </is>
      </c>
      <c r="S933">
        <f>HYPERLINK("https://klasma.github.io/Logging_2084/artfynd/A 46332-2025 artfynd.xlsx", "A 46332-2025")</f>
        <v/>
      </c>
      <c r="T933">
        <f>HYPERLINK("https://klasma.github.io/Logging_2084/kartor/A 46332-2025 karta.png", "A 46332-2025")</f>
        <v/>
      </c>
      <c r="U933">
        <f>HYPERLINK("https://klasma.github.io/Logging_2084/knärot/A 46332-2025 karta knärot.png", "A 46332-2025")</f>
        <v/>
      </c>
      <c r="V933">
        <f>HYPERLINK("https://klasma.github.io/Logging_2084/klagomål/A 46332-2025 FSC-klagomål.docx", "A 46332-2025")</f>
        <v/>
      </c>
      <c r="W933">
        <f>HYPERLINK("https://klasma.github.io/Logging_2084/klagomålsmail/A 46332-2025 FSC-klagomål mail.docx", "A 46332-2025")</f>
        <v/>
      </c>
      <c r="X933">
        <f>HYPERLINK("https://klasma.github.io/Logging_2084/tillsyn/A 46332-2025 tillsynsbegäran.docx", "A 46332-2025")</f>
        <v/>
      </c>
      <c r="Y933">
        <f>HYPERLINK("https://klasma.github.io/Logging_2084/tillsynsmail/A 46332-2025 tillsynsbegäran mail.docx", "A 46332-2025")</f>
        <v/>
      </c>
    </row>
    <row r="934" ht="15" customHeight="1">
      <c r="A934" t="inlineStr">
        <is>
          <t>A 21499-2022</t>
        </is>
      </c>
      <c r="B934" s="1" t="n">
        <v>44706</v>
      </c>
      <c r="C934" s="1" t="n">
        <v>46114</v>
      </c>
      <c r="D934" t="inlineStr">
        <is>
          <t>DALARNAS LÄN</t>
        </is>
      </c>
      <c r="E934" t="inlineStr">
        <is>
          <t>LUDVIKA</t>
        </is>
      </c>
      <c r="G934" t="n">
        <v>4.3</v>
      </c>
      <c r="H934" t="n">
        <v>0</v>
      </c>
      <c r="I934" t="n">
        <v>1</v>
      </c>
      <c r="J934" t="n">
        <v>0</v>
      </c>
      <c r="K934" t="n">
        <v>0</v>
      </c>
      <c r="L934" t="n">
        <v>0</v>
      </c>
      <c r="M934" t="n">
        <v>0</v>
      </c>
      <c r="N934" t="n">
        <v>0</v>
      </c>
      <c r="O934" t="n">
        <v>0</v>
      </c>
      <c r="P934" t="n">
        <v>0</v>
      </c>
      <c r="Q934" t="n">
        <v>1</v>
      </c>
      <c r="R934" s="2" t="inlineStr">
        <is>
          <t>Strimspindling</t>
        </is>
      </c>
      <c r="S934">
        <f>HYPERLINK("https://klasma.github.io/Logging_2085/artfynd/A 21499-2022 artfynd.xlsx", "A 21499-2022")</f>
        <v/>
      </c>
      <c r="T934">
        <f>HYPERLINK("https://klasma.github.io/Logging_2085/kartor/A 21499-2022 karta.png", "A 21499-2022")</f>
        <v/>
      </c>
      <c r="V934">
        <f>HYPERLINK("https://klasma.github.io/Logging_2085/klagomål/A 21499-2022 FSC-klagomål.docx", "A 21499-2022")</f>
        <v/>
      </c>
      <c r="W934">
        <f>HYPERLINK("https://klasma.github.io/Logging_2085/klagomålsmail/A 21499-2022 FSC-klagomål mail.docx", "A 21499-2022")</f>
        <v/>
      </c>
      <c r="X934">
        <f>HYPERLINK("https://klasma.github.io/Logging_2085/tillsyn/A 21499-2022 tillsynsbegäran.docx", "A 21499-2022")</f>
        <v/>
      </c>
      <c r="Y934">
        <f>HYPERLINK("https://klasma.github.io/Logging_2085/tillsynsmail/A 21499-2022 tillsynsbegäran mail.docx", "A 21499-2022")</f>
        <v/>
      </c>
    </row>
    <row r="935" ht="15" customHeight="1">
      <c r="A935" t="inlineStr">
        <is>
          <t>A 18971-2024</t>
        </is>
      </c>
      <c r="B935" s="1" t="n">
        <v>45427.56424768519</v>
      </c>
      <c r="C935" s="1" t="n">
        <v>46114</v>
      </c>
      <c r="D935" t="inlineStr">
        <is>
          <t>DALARNAS LÄN</t>
        </is>
      </c>
      <c r="E935" t="inlineStr">
        <is>
          <t>BORLÄNGE</t>
        </is>
      </c>
      <c r="F935" t="inlineStr">
        <is>
          <t>Bergvik skog väst AB</t>
        </is>
      </c>
      <c r="G935" t="n">
        <v>2.7</v>
      </c>
      <c r="H935" t="n">
        <v>1</v>
      </c>
      <c r="I935" t="n">
        <v>0</v>
      </c>
      <c r="J935" t="n">
        <v>0</v>
      </c>
      <c r="K935" t="n">
        <v>1</v>
      </c>
      <c r="L935" t="n">
        <v>0</v>
      </c>
      <c r="M935" t="n">
        <v>0</v>
      </c>
      <c r="N935" t="n">
        <v>0</v>
      </c>
      <c r="O935" t="n">
        <v>1</v>
      </c>
      <c r="P935" t="n">
        <v>1</v>
      </c>
      <c r="Q935" t="n">
        <v>1</v>
      </c>
      <c r="R935" s="2" t="inlineStr">
        <is>
          <t>Knärot</t>
        </is>
      </c>
      <c r="S935">
        <f>HYPERLINK("https://klasma.github.io/Logging_2081/artfynd/A 18971-2024 artfynd.xlsx", "A 18971-2024")</f>
        <v/>
      </c>
      <c r="T935">
        <f>HYPERLINK("https://klasma.github.io/Logging_2081/kartor/A 18971-2024 karta.png", "A 18971-2024")</f>
        <v/>
      </c>
      <c r="U935">
        <f>HYPERLINK("https://klasma.github.io/Logging_2081/knärot/A 18971-2024 karta knärot.png", "A 18971-2024")</f>
        <v/>
      </c>
      <c r="V935">
        <f>HYPERLINK("https://klasma.github.io/Logging_2081/klagomål/A 18971-2024 FSC-klagomål.docx", "A 18971-2024")</f>
        <v/>
      </c>
      <c r="W935">
        <f>HYPERLINK("https://klasma.github.io/Logging_2081/klagomålsmail/A 18971-2024 FSC-klagomål mail.docx", "A 18971-2024")</f>
        <v/>
      </c>
      <c r="X935">
        <f>HYPERLINK("https://klasma.github.io/Logging_2081/tillsyn/A 18971-2024 tillsynsbegäran.docx", "A 18971-2024")</f>
        <v/>
      </c>
      <c r="Y935">
        <f>HYPERLINK("https://klasma.github.io/Logging_2081/tillsynsmail/A 18971-2024 tillsynsbegäran mail.docx", "A 18971-2024")</f>
        <v/>
      </c>
    </row>
    <row r="936" ht="15" customHeight="1">
      <c r="A936" t="inlineStr">
        <is>
          <t>A 56613-2025</t>
        </is>
      </c>
      <c r="B936" s="1" t="n">
        <v>45975.59050925926</v>
      </c>
      <c r="C936" s="1" t="n">
        <v>46114</v>
      </c>
      <c r="D936" t="inlineStr">
        <is>
          <t>DALARNAS LÄN</t>
        </is>
      </c>
      <c r="E936" t="inlineStr">
        <is>
          <t>RÄTTVIK</t>
        </is>
      </c>
      <c r="F936" t="inlineStr">
        <is>
          <t>Bergvik skog väst AB</t>
        </is>
      </c>
      <c r="G936" t="n">
        <v>25.7</v>
      </c>
      <c r="H936" t="n">
        <v>1</v>
      </c>
      <c r="I936" t="n">
        <v>0</v>
      </c>
      <c r="J936" t="n">
        <v>0</v>
      </c>
      <c r="K936" t="n">
        <v>0</v>
      </c>
      <c r="L936" t="n">
        <v>0</v>
      </c>
      <c r="M936" t="n">
        <v>0</v>
      </c>
      <c r="N936" t="n">
        <v>0</v>
      </c>
      <c r="O936" t="n">
        <v>0</v>
      </c>
      <c r="P936" t="n">
        <v>0</v>
      </c>
      <c r="Q936" t="n">
        <v>1</v>
      </c>
      <c r="R936" s="2" t="inlineStr">
        <is>
          <t>Nattviol</t>
        </is>
      </c>
      <c r="S936">
        <f>HYPERLINK("https://klasma.github.io/Logging_2031/artfynd/A 56613-2025 artfynd.xlsx", "A 56613-2025")</f>
        <v/>
      </c>
      <c r="T936">
        <f>HYPERLINK("https://klasma.github.io/Logging_2031/kartor/A 56613-2025 karta.png", "A 56613-2025")</f>
        <v/>
      </c>
      <c r="V936">
        <f>HYPERLINK("https://klasma.github.io/Logging_2031/klagomål/A 56613-2025 FSC-klagomål.docx", "A 56613-2025")</f>
        <v/>
      </c>
      <c r="W936">
        <f>HYPERLINK("https://klasma.github.io/Logging_2031/klagomålsmail/A 56613-2025 FSC-klagomål mail.docx", "A 56613-2025")</f>
        <v/>
      </c>
      <c r="X936">
        <f>HYPERLINK("https://klasma.github.io/Logging_2031/tillsyn/A 56613-2025 tillsynsbegäran.docx", "A 56613-2025")</f>
        <v/>
      </c>
      <c r="Y936">
        <f>HYPERLINK("https://klasma.github.io/Logging_2031/tillsynsmail/A 56613-2025 tillsynsbegäran mail.docx", "A 56613-2025")</f>
        <v/>
      </c>
    </row>
    <row r="937" ht="15" customHeight="1">
      <c r="A937" t="inlineStr">
        <is>
          <t>A 56179-2025</t>
        </is>
      </c>
      <c r="B937" s="1" t="n">
        <v>45974</v>
      </c>
      <c r="C937" s="1" t="n">
        <v>46114</v>
      </c>
      <c r="D937" t="inlineStr">
        <is>
          <t>DALARNAS LÄN</t>
        </is>
      </c>
      <c r="E937" t="inlineStr">
        <is>
          <t>LUDVIKA</t>
        </is>
      </c>
      <c r="F937" t="inlineStr">
        <is>
          <t>Bergvik skog väst AB</t>
        </is>
      </c>
      <c r="G937" t="n">
        <v>2.8</v>
      </c>
      <c r="H937" t="n">
        <v>0</v>
      </c>
      <c r="I937" t="n">
        <v>0</v>
      </c>
      <c r="J937" t="n">
        <v>1</v>
      </c>
      <c r="K937" t="n">
        <v>0</v>
      </c>
      <c r="L937" t="n">
        <v>0</v>
      </c>
      <c r="M937" t="n">
        <v>0</v>
      </c>
      <c r="N937" t="n">
        <v>0</v>
      </c>
      <c r="O937" t="n">
        <v>1</v>
      </c>
      <c r="P937" t="n">
        <v>0</v>
      </c>
      <c r="Q937" t="n">
        <v>1</v>
      </c>
      <c r="R937" s="2" t="inlineStr">
        <is>
          <t>Gultoppig fingersvamp</t>
        </is>
      </c>
      <c r="S937">
        <f>HYPERLINK("https://klasma.github.io/Logging_2085/artfynd/A 56179-2025 artfynd.xlsx", "A 56179-2025")</f>
        <v/>
      </c>
      <c r="T937">
        <f>HYPERLINK("https://klasma.github.io/Logging_2085/kartor/A 56179-2025 karta.png", "A 56179-2025")</f>
        <v/>
      </c>
      <c r="U937">
        <f>HYPERLINK("https://klasma.github.io/Logging_2085/knärot/A 56179-2025 karta knärot.png", "A 56179-2025")</f>
        <v/>
      </c>
      <c r="V937">
        <f>HYPERLINK("https://klasma.github.io/Logging_2085/klagomål/A 56179-2025 FSC-klagomål.docx", "A 56179-2025")</f>
        <v/>
      </c>
      <c r="W937">
        <f>HYPERLINK("https://klasma.github.io/Logging_2085/klagomålsmail/A 56179-2025 FSC-klagomål mail.docx", "A 56179-2025")</f>
        <v/>
      </c>
      <c r="X937">
        <f>HYPERLINK("https://klasma.github.io/Logging_2085/tillsyn/A 56179-2025 tillsynsbegäran.docx", "A 56179-2025")</f>
        <v/>
      </c>
      <c r="Y937">
        <f>HYPERLINK("https://klasma.github.io/Logging_2085/tillsynsmail/A 56179-2025 tillsynsbegäran mail.docx", "A 56179-2025")</f>
        <v/>
      </c>
    </row>
    <row r="938" ht="15" customHeight="1">
      <c r="A938" t="inlineStr">
        <is>
          <t>A 35539-2024</t>
        </is>
      </c>
      <c r="B938" s="1" t="n">
        <v>45531.6003125</v>
      </c>
      <c r="C938" s="1" t="n">
        <v>46114</v>
      </c>
      <c r="D938" t="inlineStr">
        <is>
          <t>DALARNAS LÄN</t>
        </is>
      </c>
      <c r="E938" t="inlineStr">
        <is>
          <t>RÄTTVIK</t>
        </is>
      </c>
      <c r="G938" t="n">
        <v>2</v>
      </c>
      <c r="H938" t="n">
        <v>1</v>
      </c>
      <c r="I938" t="n">
        <v>0</v>
      </c>
      <c r="J938" t="n">
        <v>0</v>
      </c>
      <c r="K938" t="n">
        <v>0</v>
      </c>
      <c r="L938" t="n">
        <v>0</v>
      </c>
      <c r="M938" t="n">
        <v>0</v>
      </c>
      <c r="N938" t="n">
        <v>0</v>
      </c>
      <c r="O938" t="n">
        <v>0</v>
      </c>
      <c r="P938" t="n">
        <v>0</v>
      </c>
      <c r="Q938" t="n">
        <v>1</v>
      </c>
      <c r="R938" s="2" t="inlineStr">
        <is>
          <t>Nattviol</t>
        </is>
      </c>
      <c r="S938">
        <f>HYPERLINK("https://klasma.github.io/Logging_2031/artfynd/A 35539-2024 artfynd.xlsx", "A 35539-2024")</f>
        <v/>
      </c>
      <c r="T938">
        <f>HYPERLINK("https://klasma.github.io/Logging_2031/kartor/A 35539-2024 karta.png", "A 35539-2024")</f>
        <v/>
      </c>
      <c r="V938">
        <f>HYPERLINK("https://klasma.github.io/Logging_2031/klagomål/A 35539-2024 FSC-klagomål.docx", "A 35539-2024")</f>
        <v/>
      </c>
      <c r="W938">
        <f>HYPERLINK("https://klasma.github.io/Logging_2031/klagomålsmail/A 35539-2024 FSC-klagomål mail.docx", "A 35539-2024")</f>
        <v/>
      </c>
      <c r="X938">
        <f>HYPERLINK("https://klasma.github.io/Logging_2031/tillsyn/A 35539-2024 tillsynsbegäran.docx", "A 35539-2024")</f>
        <v/>
      </c>
      <c r="Y938">
        <f>HYPERLINK("https://klasma.github.io/Logging_2031/tillsynsmail/A 35539-2024 tillsynsbegäran mail.docx", "A 35539-2024")</f>
        <v/>
      </c>
    </row>
    <row r="939" ht="15" customHeight="1">
      <c r="A939" t="inlineStr">
        <is>
          <t>A 57760-2025</t>
        </is>
      </c>
      <c r="B939" s="1" t="n">
        <v>45981</v>
      </c>
      <c r="C939" s="1" t="n">
        <v>46114</v>
      </c>
      <c r="D939" t="inlineStr">
        <is>
          <t>DALARNAS LÄN</t>
        </is>
      </c>
      <c r="E939" t="inlineStr">
        <is>
          <t>LEKSAND</t>
        </is>
      </c>
      <c r="G939" t="n">
        <v>3.9</v>
      </c>
      <c r="H939" t="n">
        <v>1</v>
      </c>
      <c r="I939" t="n">
        <v>0</v>
      </c>
      <c r="J939" t="n">
        <v>1</v>
      </c>
      <c r="K939" t="n">
        <v>0</v>
      </c>
      <c r="L939" t="n">
        <v>0</v>
      </c>
      <c r="M939" t="n">
        <v>0</v>
      </c>
      <c r="N939" t="n">
        <v>0</v>
      </c>
      <c r="O939" t="n">
        <v>1</v>
      </c>
      <c r="P939" t="n">
        <v>0</v>
      </c>
      <c r="Q939" t="n">
        <v>1</v>
      </c>
      <c r="R939" s="2" t="inlineStr">
        <is>
          <t>Duvhök</t>
        </is>
      </c>
      <c r="S939">
        <f>HYPERLINK("https://klasma.github.io/Logging_2029/artfynd/A 57760-2025 artfynd.xlsx", "A 57760-2025")</f>
        <v/>
      </c>
      <c r="T939">
        <f>HYPERLINK("https://klasma.github.io/Logging_2029/kartor/A 57760-2025 karta.png", "A 57760-2025")</f>
        <v/>
      </c>
      <c r="V939">
        <f>HYPERLINK("https://klasma.github.io/Logging_2029/klagomål/A 57760-2025 FSC-klagomål.docx", "A 57760-2025")</f>
        <v/>
      </c>
      <c r="W939">
        <f>HYPERLINK("https://klasma.github.io/Logging_2029/klagomålsmail/A 57760-2025 FSC-klagomål mail.docx", "A 57760-2025")</f>
        <v/>
      </c>
      <c r="X939">
        <f>HYPERLINK("https://klasma.github.io/Logging_2029/tillsyn/A 57760-2025 tillsynsbegäran.docx", "A 57760-2025")</f>
        <v/>
      </c>
      <c r="Y939">
        <f>HYPERLINK("https://klasma.github.io/Logging_2029/tillsynsmail/A 57760-2025 tillsynsbegäran mail.docx", "A 57760-2025")</f>
        <v/>
      </c>
      <c r="Z939">
        <f>HYPERLINK("https://klasma.github.io/Logging_2029/fåglar/A 57760-2025 prioriterade fågelarter.docx", "A 57760-2025")</f>
        <v/>
      </c>
    </row>
    <row r="940" ht="15" customHeight="1">
      <c r="A940" t="inlineStr">
        <is>
          <t>A 57979-2025</t>
        </is>
      </c>
      <c r="B940" s="1" t="n">
        <v>45982.39892361111</v>
      </c>
      <c r="C940" s="1" t="n">
        <v>46114</v>
      </c>
      <c r="D940" t="inlineStr">
        <is>
          <t>DALARNAS LÄN</t>
        </is>
      </c>
      <c r="E940" t="inlineStr">
        <is>
          <t>VANSBRO</t>
        </is>
      </c>
      <c r="G940" t="n">
        <v>1</v>
      </c>
      <c r="H940" t="n">
        <v>0</v>
      </c>
      <c r="I940" t="n">
        <v>1</v>
      </c>
      <c r="J940" t="n">
        <v>0</v>
      </c>
      <c r="K940" t="n">
        <v>0</v>
      </c>
      <c r="L940" t="n">
        <v>0</v>
      </c>
      <c r="M940" t="n">
        <v>0</v>
      </c>
      <c r="N940" t="n">
        <v>0</v>
      </c>
      <c r="O940" t="n">
        <v>0</v>
      </c>
      <c r="P940" t="n">
        <v>0</v>
      </c>
      <c r="Q940" t="n">
        <v>1</v>
      </c>
      <c r="R940" s="2" t="inlineStr">
        <is>
          <t>Blodvaxing</t>
        </is>
      </c>
      <c r="S940">
        <f>HYPERLINK("https://klasma.github.io/Logging_2021/artfynd/A 57979-2025 artfynd.xlsx", "A 57979-2025")</f>
        <v/>
      </c>
      <c r="T940">
        <f>HYPERLINK("https://klasma.github.io/Logging_2021/kartor/A 57979-2025 karta.png", "A 57979-2025")</f>
        <v/>
      </c>
      <c r="V940">
        <f>HYPERLINK("https://klasma.github.io/Logging_2021/klagomål/A 57979-2025 FSC-klagomål.docx", "A 57979-2025")</f>
        <v/>
      </c>
      <c r="W940">
        <f>HYPERLINK("https://klasma.github.io/Logging_2021/klagomålsmail/A 57979-2025 FSC-klagomål mail.docx", "A 57979-2025")</f>
        <v/>
      </c>
      <c r="X940">
        <f>HYPERLINK("https://klasma.github.io/Logging_2021/tillsyn/A 57979-2025 tillsynsbegäran.docx", "A 57979-2025")</f>
        <v/>
      </c>
      <c r="Y940">
        <f>HYPERLINK("https://klasma.github.io/Logging_2021/tillsynsmail/A 57979-2025 tillsynsbegäran mail.docx", "A 57979-2025")</f>
        <v/>
      </c>
    </row>
    <row r="941" ht="15" customHeight="1">
      <c r="A941" t="inlineStr">
        <is>
          <t>A 58675-2025</t>
        </is>
      </c>
      <c r="B941" s="1" t="n">
        <v>45986.55873842593</v>
      </c>
      <c r="C941" s="1" t="n">
        <v>46114</v>
      </c>
      <c r="D941" t="inlineStr">
        <is>
          <t>DALARNAS LÄN</t>
        </is>
      </c>
      <c r="E941" t="inlineStr">
        <is>
          <t>RÄTTVIK</t>
        </is>
      </c>
      <c r="F941" t="inlineStr">
        <is>
          <t>Bergvik skog väst AB</t>
        </is>
      </c>
      <c r="G941" t="n">
        <v>18.1</v>
      </c>
      <c r="H941" t="n">
        <v>0</v>
      </c>
      <c r="I941" t="n">
        <v>0</v>
      </c>
      <c r="J941" t="n">
        <v>1</v>
      </c>
      <c r="K941" t="n">
        <v>0</v>
      </c>
      <c r="L941" t="n">
        <v>0</v>
      </c>
      <c r="M941" t="n">
        <v>0</v>
      </c>
      <c r="N941" t="n">
        <v>0</v>
      </c>
      <c r="O941" t="n">
        <v>1</v>
      </c>
      <c r="P941" t="n">
        <v>0</v>
      </c>
      <c r="Q941" t="n">
        <v>1</v>
      </c>
      <c r="R941" s="2" t="inlineStr">
        <is>
          <t>Vedskivlav</t>
        </is>
      </c>
      <c r="S941">
        <f>HYPERLINK("https://klasma.github.io/Logging_2031/artfynd/A 58675-2025 artfynd.xlsx", "A 58675-2025")</f>
        <v/>
      </c>
      <c r="T941">
        <f>HYPERLINK("https://klasma.github.io/Logging_2031/kartor/A 58675-2025 karta.png", "A 58675-2025")</f>
        <v/>
      </c>
      <c r="U941">
        <f>HYPERLINK("https://klasma.github.io/Logging_2031/knärot/A 58675-2025 karta knärot.png", "A 58675-2025")</f>
        <v/>
      </c>
      <c r="V941">
        <f>HYPERLINK("https://klasma.github.io/Logging_2031/klagomål/A 58675-2025 FSC-klagomål.docx", "A 58675-2025")</f>
        <v/>
      </c>
      <c r="W941">
        <f>HYPERLINK("https://klasma.github.io/Logging_2031/klagomålsmail/A 58675-2025 FSC-klagomål mail.docx", "A 58675-2025")</f>
        <v/>
      </c>
      <c r="X941">
        <f>HYPERLINK("https://klasma.github.io/Logging_2031/tillsyn/A 58675-2025 tillsynsbegäran.docx", "A 58675-2025")</f>
        <v/>
      </c>
      <c r="Y941">
        <f>HYPERLINK("https://klasma.github.io/Logging_2031/tillsynsmail/A 58675-2025 tillsynsbegäran mail.docx", "A 58675-2025")</f>
        <v/>
      </c>
    </row>
    <row r="942" ht="15" customHeight="1">
      <c r="A942" t="inlineStr">
        <is>
          <t>A 41333-2025</t>
        </is>
      </c>
      <c r="B942" s="1" t="n">
        <v>45899.35854166667</v>
      </c>
      <c r="C942" s="1" t="n">
        <v>46114</v>
      </c>
      <c r="D942" t="inlineStr">
        <is>
          <t>DALARNAS LÄN</t>
        </is>
      </c>
      <c r="E942" t="inlineStr">
        <is>
          <t>HEDEMORA</t>
        </is>
      </c>
      <c r="F942" t="inlineStr">
        <is>
          <t>Sveaskog</t>
        </is>
      </c>
      <c r="G942" t="n">
        <v>4.6</v>
      </c>
      <c r="H942" t="n">
        <v>1</v>
      </c>
      <c r="I942" t="n">
        <v>0</v>
      </c>
      <c r="J942" t="n">
        <v>0</v>
      </c>
      <c r="K942" t="n">
        <v>0</v>
      </c>
      <c r="L942" t="n">
        <v>0</v>
      </c>
      <c r="M942" t="n">
        <v>0</v>
      </c>
      <c r="N942" t="n">
        <v>0</v>
      </c>
      <c r="O942" t="n">
        <v>0</v>
      </c>
      <c r="P942" t="n">
        <v>0</v>
      </c>
      <c r="Q942" t="n">
        <v>1</v>
      </c>
      <c r="R942" s="2" t="inlineStr">
        <is>
          <t>Tjäder</t>
        </is>
      </c>
      <c r="S942">
        <f>HYPERLINK("https://klasma.github.io/Logging_2083/artfynd/A 41333-2025 artfynd.xlsx", "A 41333-2025")</f>
        <v/>
      </c>
      <c r="T942">
        <f>HYPERLINK("https://klasma.github.io/Logging_2083/kartor/A 41333-2025 karta.png", "A 41333-2025")</f>
        <v/>
      </c>
      <c r="V942">
        <f>HYPERLINK("https://klasma.github.io/Logging_2083/klagomål/A 41333-2025 FSC-klagomål.docx", "A 41333-2025")</f>
        <v/>
      </c>
      <c r="W942">
        <f>HYPERLINK("https://klasma.github.io/Logging_2083/klagomålsmail/A 41333-2025 FSC-klagomål mail.docx", "A 41333-2025")</f>
        <v/>
      </c>
      <c r="X942">
        <f>HYPERLINK("https://klasma.github.io/Logging_2083/tillsyn/A 41333-2025 tillsynsbegäran.docx", "A 41333-2025")</f>
        <v/>
      </c>
      <c r="Y942">
        <f>HYPERLINK("https://klasma.github.io/Logging_2083/tillsynsmail/A 41333-2025 tillsynsbegäran mail.docx", "A 41333-2025")</f>
        <v/>
      </c>
      <c r="Z942">
        <f>HYPERLINK("https://klasma.github.io/Logging_2083/fåglar/A 41333-2025 prioriterade fågelarter.docx", "A 41333-2025")</f>
        <v/>
      </c>
    </row>
    <row r="943" ht="15" customHeight="1">
      <c r="A943" t="inlineStr">
        <is>
          <t>A 59380-2025</t>
        </is>
      </c>
      <c r="B943" s="1" t="n">
        <v>45989.4540625</v>
      </c>
      <c r="C943" s="1" t="n">
        <v>46114</v>
      </c>
      <c r="D943" t="inlineStr">
        <is>
          <t>DALARNAS LÄN</t>
        </is>
      </c>
      <c r="E943" t="inlineStr">
        <is>
          <t>ÄLVDALEN</t>
        </is>
      </c>
      <c r="F943" t="inlineStr">
        <is>
          <t>Sveaskog</t>
        </is>
      </c>
      <c r="G943" t="n">
        <v>1.1</v>
      </c>
      <c r="H943" t="n">
        <v>0</v>
      </c>
      <c r="I943" t="n">
        <v>0</v>
      </c>
      <c r="J943" t="n">
        <v>1</v>
      </c>
      <c r="K943" t="n">
        <v>0</v>
      </c>
      <c r="L943" t="n">
        <v>0</v>
      </c>
      <c r="M943" t="n">
        <v>0</v>
      </c>
      <c r="N943" t="n">
        <v>0</v>
      </c>
      <c r="O943" t="n">
        <v>1</v>
      </c>
      <c r="P943" t="n">
        <v>0</v>
      </c>
      <c r="Q943" t="n">
        <v>1</v>
      </c>
      <c r="R943" s="2" t="inlineStr">
        <is>
          <t>Lunglav</t>
        </is>
      </c>
      <c r="S943">
        <f>HYPERLINK("https://klasma.github.io/Logging_2039/artfynd/A 59380-2025 artfynd.xlsx", "A 59380-2025")</f>
        <v/>
      </c>
      <c r="T943">
        <f>HYPERLINK("https://klasma.github.io/Logging_2039/kartor/A 59380-2025 karta.png", "A 59380-2025")</f>
        <v/>
      </c>
      <c r="V943">
        <f>HYPERLINK("https://klasma.github.io/Logging_2039/klagomål/A 59380-2025 FSC-klagomål.docx", "A 59380-2025")</f>
        <v/>
      </c>
      <c r="W943">
        <f>HYPERLINK("https://klasma.github.io/Logging_2039/klagomålsmail/A 59380-2025 FSC-klagomål mail.docx", "A 59380-2025")</f>
        <v/>
      </c>
      <c r="X943">
        <f>HYPERLINK("https://klasma.github.io/Logging_2039/tillsyn/A 59380-2025 tillsynsbegäran.docx", "A 59380-2025")</f>
        <v/>
      </c>
      <c r="Y943">
        <f>HYPERLINK("https://klasma.github.io/Logging_2039/tillsynsmail/A 59380-2025 tillsynsbegäran mail.docx", "A 59380-2025")</f>
        <v/>
      </c>
    </row>
    <row r="944" ht="15" customHeight="1">
      <c r="A944" t="inlineStr">
        <is>
          <t>A 60082-2025</t>
        </is>
      </c>
      <c r="B944" s="1" t="n">
        <v>45993</v>
      </c>
      <c r="C944" s="1" t="n">
        <v>46114</v>
      </c>
      <c r="D944" t="inlineStr">
        <is>
          <t>DALARNAS LÄN</t>
        </is>
      </c>
      <c r="E944" t="inlineStr">
        <is>
          <t>ÄLVDALEN</t>
        </is>
      </c>
      <c r="G944" t="n">
        <v>7.5</v>
      </c>
      <c r="H944" t="n">
        <v>1</v>
      </c>
      <c r="I944" t="n">
        <v>0</v>
      </c>
      <c r="J944" t="n">
        <v>0</v>
      </c>
      <c r="K944" t="n">
        <v>0</v>
      </c>
      <c r="L944" t="n">
        <v>0</v>
      </c>
      <c r="M944" t="n">
        <v>0</v>
      </c>
      <c r="N944" t="n">
        <v>0</v>
      </c>
      <c r="O944" t="n">
        <v>0</v>
      </c>
      <c r="P944" t="n">
        <v>0</v>
      </c>
      <c r="Q944" t="n">
        <v>1</v>
      </c>
      <c r="R944" s="2" t="inlineStr">
        <is>
          <t>Revlummer</t>
        </is>
      </c>
      <c r="S944">
        <f>HYPERLINK("https://klasma.github.io/Logging_2039/artfynd/A 60082-2025 artfynd.xlsx", "A 60082-2025")</f>
        <v/>
      </c>
      <c r="T944">
        <f>HYPERLINK("https://klasma.github.io/Logging_2039/kartor/A 60082-2025 karta.png", "A 60082-2025")</f>
        <v/>
      </c>
      <c r="V944">
        <f>HYPERLINK("https://klasma.github.io/Logging_2039/klagomål/A 60082-2025 FSC-klagomål.docx", "A 60082-2025")</f>
        <v/>
      </c>
      <c r="W944">
        <f>HYPERLINK("https://klasma.github.io/Logging_2039/klagomålsmail/A 60082-2025 FSC-klagomål mail.docx", "A 60082-2025")</f>
        <v/>
      </c>
      <c r="X944">
        <f>HYPERLINK("https://klasma.github.io/Logging_2039/tillsyn/A 60082-2025 tillsynsbegäran.docx", "A 60082-2025")</f>
        <v/>
      </c>
      <c r="Y944">
        <f>HYPERLINK("https://klasma.github.io/Logging_2039/tillsynsmail/A 60082-2025 tillsynsbegäran mail.docx", "A 60082-2025")</f>
        <v/>
      </c>
    </row>
    <row r="945" ht="15" customHeight="1">
      <c r="A945" t="inlineStr">
        <is>
          <t>A 59873-2025</t>
        </is>
      </c>
      <c r="B945" s="1" t="n">
        <v>45992.950625</v>
      </c>
      <c r="C945" s="1" t="n">
        <v>46114</v>
      </c>
      <c r="D945" t="inlineStr">
        <is>
          <t>DALARNAS LÄN</t>
        </is>
      </c>
      <c r="E945" t="inlineStr">
        <is>
          <t>LUDVIKA</t>
        </is>
      </c>
      <c r="G945" t="n">
        <v>3.7</v>
      </c>
      <c r="H945" t="n">
        <v>0</v>
      </c>
      <c r="I945" t="n">
        <v>0</v>
      </c>
      <c r="J945" t="n">
        <v>0</v>
      </c>
      <c r="K945" t="n">
        <v>1</v>
      </c>
      <c r="L945" t="n">
        <v>0</v>
      </c>
      <c r="M945" t="n">
        <v>0</v>
      </c>
      <c r="N945" t="n">
        <v>0</v>
      </c>
      <c r="O945" t="n">
        <v>1</v>
      </c>
      <c r="P945" t="n">
        <v>1</v>
      </c>
      <c r="Q945" t="n">
        <v>1</v>
      </c>
      <c r="R945" s="2" t="inlineStr">
        <is>
          <t>Lateritticka</t>
        </is>
      </c>
      <c r="S945">
        <f>HYPERLINK("https://klasma.github.io/Logging_2085/artfynd/A 59873-2025 artfynd.xlsx", "A 59873-2025")</f>
        <v/>
      </c>
      <c r="T945">
        <f>HYPERLINK("https://klasma.github.io/Logging_2085/kartor/A 59873-2025 karta.png", "A 59873-2025")</f>
        <v/>
      </c>
      <c r="V945">
        <f>HYPERLINK("https://klasma.github.io/Logging_2085/klagomål/A 59873-2025 FSC-klagomål.docx", "A 59873-2025")</f>
        <v/>
      </c>
      <c r="W945">
        <f>HYPERLINK("https://klasma.github.io/Logging_2085/klagomålsmail/A 59873-2025 FSC-klagomål mail.docx", "A 59873-2025")</f>
        <v/>
      </c>
      <c r="X945">
        <f>HYPERLINK("https://klasma.github.io/Logging_2085/tillsyn/A 59873-2025 tillsynsbegäran.docx", "A 59873-2025")</f>
        <v/>
      </c>
      <c r="Y945">
        <f>HYPERLINK("https://klasma.github.io/Logging_2085/tillsynsmail/A 59873-2025 tillsynsbegäran mail.docx", "A 59873-2025")</f>
        <v/>
      </c>
    </row>
    <row r="946" ht="15" customHeight="1">
      <c r="A946" t="inlineStr">
        <is>
          <t>A 60446-2025</t>
        </is>
      </c>
      <c r="B946" s="1" t="n">
        <v>45995.49295138889</v>
      </c>
      <c r="C946" s="1" t="n">
        <v>46114</v>
      </c>
      <c r="D946" t="inlineStr">
        <is>
          <t>DALARNAS LÄN</t>
        </is>
      </c>
      <c r="E946" t="inlineStr">
        <is>
          <t>AVESTA</t>
        </is>
      </c>
      <c r="F946" t="inlineStr">
        <is>
          <t>Sveaskog</t>
        </is>
      </c>
      <c r="G946" t="n">
        <v>1.9</v>
      </c>
      <c r="H946" t="n">
        <v>0</v>
      </c>
      <c r="I946" t="n">
        <v>0</v>
      </c>
      <c r="J946" t="n">
        <v>1</v>
      </c>
      <c r="K946" t="n">
        <v>0</v>
      </c>
      <c r="L946" t="n">
        <v>0</v>
      </c>
      <c r="M946" t="n">
        <v>0</v>
      </c>
      <c r="N946" t="n">
        <v>0</v>
      </c>
      <c r="O946" t="n">
        <v>1</v>
      </c>
      <c r="P946" t="n">
        <v>0</v>
      </c>
      <c r="Q946" t="n">
        <v>1</v>
      </c>
      <c r="R946" s="2" t="inlineStr">
        <is>
          <t>Ullticka</t>
        </is>
      </c>
      <c r="S946">
        <f>HYPERLINK("https://klasma.github.io/Logging_2084/artfynd/A 60446-2025 artfynd.xlsx", "A 60446-2025")</f>
        <v/>
      </c>
      <c r="T946">
        <f>HYPERLINK("https://klasma.github.io/Logging_2084/kartor/A 60446-2025 karta.png", "A 60446-2025")</f>
        <v/>
      </c>
      <c r="V946">
        <f>HYPERLINK("https://klasma.github.io/Logging_2084/klagomål/A 60446-2025 FSC-klagomål.docx", "A 60446-2025")</f>
        <v/>
      </c>
      <c r="W946">
        <f>HYPERLINK("https://klasma.github.io/Logging_2084/klagomålsmail/A 60446-2025 FSC-klagomål mail.docx", "A 60446-2025")</f>
        <v/>
      </c>
      <c r="X946">
        <f>HYPERLINK("https://klasma.github.io/Logging_2084/tillsyn/A 60446-2025 tillsynsbegäran.docx", "A 60446-2025")</f>
        <v/>
      </c>
      <c r="Y946">
        <f>HYPERLINK("https://klasma.github.io/Logging_2084/tillsynsmail/A 60446-2025 tillsynsbegäran mail.docx", "A 60446-2025")</f>
        <v/>
      </c>
    </row>
    <row r="947" ht="15" customHeight="1">
      <c r="A947" t="inlineStr">
        <is>
          <t>A 60816-2025</t>
        </is>
      </c>
      <c r="B947" s="1" t="n">
        <v>45999.44971064815</v>
      </c>
      <c r="C947" s="1" t="n">
        <v>46114</v>
      </c>
      <c r="D947" t="inlineStr">
        <is>
          <t>DALARNAS LÄN</t>
        </is>
      </c>
      <c r="E947" t="inlineStr">
        <is>
          <t>SMEDJEBACKEN</t>
        </is>
      </c>
      <c r="G947" t="n">
        <v>2.3</v>
      </c>
      <c r="H947" t="n">
        <v>0</v>
      </c>
      <c r="I947" t="n">
        <v>1</v>
      </c>
      <c r="J947" t="n">
        <v>0</v>
      </c>
      <c r="K947" t="n">
        <v>0</v>
      </c>
      <c r="L947" t="n">
        <v>0</v>
      </c>
      <c r="M947" t="n">
        <v>0</v>
      </c>
      <c r="N947" t="n">
        <v>0</v>
      </c>
      <c r="O947" t="n">
        <v>0</v>
      </c>
      <c r="P947" t="n">
        <v>0</v>
      </c>
      <c r="Q947" t="n">
        <v>1</v>
      </c>
      <c r="R947" s="2" t="inlineStr">
        <is>
          <t>Jättesvampmal</t>
        </is>
      </c>
      <c r="S947">
        <f>HYPERLINK("https://klasma.github.io/Logging_2061/artfynd/A 60816-2025 artfynd.xlsx", "A 60816-2025")</f>
        <v/>
      </c>
      <c r="T947">
        <f>HYPERLINK("https://klasma.github.io/Logging_2061/kartor/A 60816-2025 karta.png", "A 60816-2025")</f>
        <v/>
      </c>
      <c r="V947">
        <f>HYPERLINK("https://klasma.github.io/Logging_2061/klagomål/A 60816-2025 FSC-klagomål.docx", "A 60816-2025")</f>
        <v/>
      </c>
      <c r="W947">
        <f>HYPERLINK("https://klasma.github.io/Logging_2061/klagomålsmail/A 60816-2025 FSC-klagomål mail.docx", "A 60816-2025")</f>
        <v/>
      </c>
      <c r="X947">
        <f>HYPERLINK("https://klasma.github.io/Logging_2061/tillsyn/A 60816-2025 tillsynsbegäran.docx", "A 60816-2025")</f>
        <v/>
      </c>
      <c r="Y947">
        <f>HYPERLINK("https://klasma.github.io/Logging_2061/tillsynsmail/A 60816-2025 tillsynsbegäran mail.docx", "A 60816-2025")</f>
        <v/>
      </c>
    </row>
    <row r="948" ht="15" customHeight="1">
      <c r="A948" t="inlineStr">
        <is>
          <t>A 60710-2025</t>
        </is>
      </c>
      <c r="B948" s="1" t="n">
        <v>45996.62631944445</v>
      </c>
      <c r="C948" s="1" t="n">
        <v>46114</v>
      </c>
      <c r="D948" t="inlineStr">
        <is>
          <t>DALARNAS LÄN</t>
        </is>
      </c>
      <c r="E948" t="inlineStr">
        <is>
          <t>RÄTTVIK</t>
        </is>
      </c>
      <c r="G948" t="n">
        <v>1.2</v>
      </c>
      <c r="H948" t="n">
        <v>0</v>
      </c>
      <c r="I948" t="n">
        <v>0</v>
      </c>
      <c r="J948" t="n">
        <v>1</v>
      </c>
      <c r="K948" t="n">
        <v>0</v>
      </c>
      <c r="L948" t="n">
        <v>0</v>
      </c>
      <c r="M948" t="n">
        <v>0</v>
      </c>
      <c r="N948" t="n">
        <v>0</v>
      </c>
      <c r="O948" t="n">
        <v>1</v>
      </c>
      <c r="P948" t="n">
        <v>0</v>
      </c>
      <c r="Q948" t="n">
        <v>1</v>
      </c>
      <c r="R948" s="2" t="inlineStr">
        <is>
          <t>Garnlav</t>
        </is>
      </c>
      <c r="S948">
        <f>HYPERLINK("https://klasma.github.io/Logging_2031/artfynd/A 60710-2025 artfynd.xlsx", "A 60710-2025")</f>
        <v/>
      </c>
      <c r="T948">
        <f>HYPERLINK("https://klasma.github.io/Logging_2031/kartor/A 60710-2025 karta.png", "A 60710-2025")</f>
        <v/>
      </c>
      <c r="V948">
        <f>HYPERLINK("https://klasma.github.io/Logging_2031/klagomål/A 60710-2025 FSC-klagomål.docx", "A 60710-2025")</f>
        <v/>
      </c>
      <c r="W948">
        <f>HYPERLINK("https://klasma.github.io/Logging_2031/klagomålsmail/A 60710-2025 FSC-klagomål mail.docx", "A 60710-2025")</f>
        <v/>
      </c>
      <c r="X948">
        <f>HYPERLINK("https://klasma.github.io/Logging_2031/tillsyn/A 60710-2025 tillsynsbegäran.docx", "A 60710-2025")</f>
        <v/>
      </c>
      <c r="Y948">
        <f>HYPERLINK("https://klasma.github.io/Logging_2031/tillsynsmail/A 60710-2025 tillsynsbegäran mail.docx", "A 60710-2025")</f>
        <v/>
      </c>
    </row>
    <row r="949" ht="15" customHeight="1">
      <c r="A949" t="inlineStr">
        <is>
          <t>A 53814-2025</t>
        </is>
      </c>
      <c r="B949" s="1" t="n">
        <v>45961</v>
      </c>
      <c r="C949" s="1" t="n">
        <v>46114</v>
      </c>
      <c r="D949" t="inlineStr">
        <is>
          <t>DALARNAS LÄN</t>
        </is>
      </c>
      <c r="E949" t="inlineStr">
        <is>
          <t>AVESTA</t>
        </is>
      </c>
      <c r="G949" t="n">
        <v>2.1</v>
      </c>
      <c r="H949" t="n">
        <v>1</v>
      </c>
      <c r="I949" t="n">
        <v>0</v>
      </c>
      <c r="J949" t="n">
        <v>0</v>
      </c>
      <c r="K949" t="n">
        <v>0</v>
      </c>
      <c r="L949" t="n">
        <v>0</v>
      </c>
      <c r="M949" t="n">
        <v>0</v>
      </c>
      <c r="N949" t="n">
        <v>0</v>
      </c>
      <c r="O949" t="n">
        <v>0</v>
      </c>
      <c r="P949" t="n">
        <v>0</v>
      </c>
      <c r="Q949" t="n">
        <v>1</v>
      </c>
      <c r="R949" s="2" t="inlineStr">
        <is>
          <t>Mattlummer</t>
        </is>
      </c>
      <c r="S949">
        <f>HYPERLINK("https://klasma.github.io/Logging_2084/artfynd/A 53814-2025 artfynd.xlsx", "A 53814-2025")</f>
        <v/>
      </c>
      <c r="T949">
        <f>HYPERLINK("https://klasma.github.io/Logging_2084/kartor/A 53814-2025 karta.png", "A 53814-2025")</f>
        <v/>
      </c>
      <c r="V949">
        <f>HYPERLINK("https://klasma.github.io/Logging_2084/klagomål/A 53814-2025 FSC-klagomål.docx", "A 53814-2025")</f>
        <v/>
      </c>
      <c r="W949">
        <f>HYPERLINK("https://klasma.github.io/Logging_2084/klagomålsmail/A 53814-2025 FSC-klagomål mail.docx", "A 53814-2025")</f>
        <v/>
      </c>
      <c r="X949">
        <f>HYPERLINK("https://klasma.github.io/Logging_2084/tillsyn/A 53814-2025 tillsynsbegäran.docx", "A 53814-2025")</f>
        <v/>
      </c>
      <c r="Y949">
        <f>HYPERLINK("https://klasma.github.io/Logging_2084/tillsynsmail/A 53814-2025 tillsynsbegäran mail.docx", "A 53814-2025")</f>
        <v/>
      </c>
    </row>
    <row r="950" ht="15" customHeight="1">
      <c r="A950" t="inlineStr">
        <is>
          <t>A 61316-2025</t>
        </is>
      </c>
      <c r="B950" s="1" t="n">
        <v>46000.93822916667</v>
      </c>
      <c r="C950" s="1" t="n">
        <v>46114</v>
      </c>
      <c r="D950" t="inlineStr">
        <is>
          <t>DALARNAS LÄN</t>
        </is>
      </c>
      <c r="E950" t="inlineStr">
        <is>
          <t>GAGNEF</t>
        </is>
      </c>
      <c r="G950" t="n">
        <v>1.1</v>
      </c>
      <c r="H950" t="n">
        <v>0</v>
      </c>
      <c r="I950" t="n">
        <v>0</v>
      </c>
      <c r="J950" t="n">
        <v>1</v>
      </c>
      <c r="K950" t="n">
        <v>0</v>
      </c>
      <c r="L950" t="n">
        <v>0</v>
      </c>
      <c r="M950" t="n">
        <v>0</v>
      </c>
      <c r="N950" t="n">
        <v>0</v>
      </c>
      <c r="O950" t="n">
        <v>1</v>
      </c>
      <c r="P950" t="n">
        <v>0</v>
      </c>
      <c r="Q950" t="n">
        <v>1</v>
      </c>
      <c r="R950" s="2" t="inlineStr">
        <is>
          <t>Lunglav</t>
        </is>
      </c>
      <c r="S950">
        <f>HYPERLINK("https://klasma.github.io/Logging_2026/artfynd/A 61316-2025 artfynd.xlsx", "A 61316-2025")</f>
        <v/>
      </c>
      <c r="T950">
        <f>HYPERLINK("https://klasma.github.io/Logging_2026/kartor/A 61316-2025 karta.png", "A 61316-2025")</f>
        <v/>
      </c>
      <c r="V950">
        <f>HYPERLINK("https://klasma.github.io/Logging_2026/klagomål/A 61316-2025 FSC-klagomål.docx", "A 61316-2025")</f>
        <v/>
      </c>
      <c r="W950">
        <f>HYPERLINK("https://klasma.github.io/Logging_2026/klagomålsmail/A 61316-2025 FSC-klagomål mail.docx", "A 61316-2025")</f>
        <v/>
      </c>
      <c r="X950">
        <f>HYPERLINK("https://klasma.github.io/Logging_2026/tillsyn/A 61316-2025 tillsynsbegäran.docx", "A 61316-2025")</f>
        <v/>
      </c>
      <c r="Y950">
        <f>HYPERLINK("https://klasma.github.io/Logging_2026/tillsynsmail/A 61316-2025 tillsynsbegäran mail.docx", "A 61316-2025")</f>
        <v/>
      </c>
    </row>
    <row r="951" ht="15" customHeight="1">
      <c r="A951" t="inlineStr">
        <is>
          <t>A 61197-2025</t>
        </is>
      </c>
      <c r="B951" s="1" t="n">
        <v>46000.60429398148</v>
      </c>
      <c r="C951" s="1" t="n">
        <v>46114</v>
      </c>
      <c r="D951" t="inlineStr">
        <is>
          <t>DALARNAS LÄN</t>
        </is>
      </c>
      <c r="E951" t="inlineStr">
        <is>
          <t>SÄTER</t>
        </is>
      </c>
      <c r="G951" t="n">
        <v>4.1</v>
      </c>
      <c r="H951" t="n">
        <v>1</v>
      </c>
      <c r="I951" t="n">
        <v>0</v>
      </c>
      <c r="J951" t="n">
        <v>0</v>
      </c>
      <c r="K951" t="n">
        <v>1</v>
      </c>
      <c r="L951" t="n">
        <v>0</v>
      </c>
      <c r="M951" t="n">
        <v>0</v>
      </c>
      <c r="N951" t="n">
        <v>0</v>
      </c>
      <c r="O951" t="n">
        <v>1</v>
      </c>
      <c r="P951" t="n">
        <v>1</v>
      </c>
      <c r="Q951" t="n">
        <v>1</v>
      </c>
      <c r="R951" s="2" t="inlineStr">
        <is>
          <t>Knärot</t>
        </is>
      </c>
      <c r="S951">
        <f>HYPERLINK("https://klasma.github.io/Logging_2082/artfynd/A 61197-2025 artfynd.xlsx", "A 61197-2025")</f>
        <v/>
      </c>
      <c r="T951">
        <f>HYPERLINK("https://klasma.github.io/Logging_2082/kartor/A 61197-2025 karta.png", "A 61197-2025")</f>
        <v/>
      </c>
      <c r="U951">
        <f>HYPERLINK("https://klasma.github.io/Logging_2082/knärot/A 61197-2025 karta knärot.png", "A 61197-2025")</f>
        <v/>
      </c>
      <c r="V951">
        <f>HYPERLINK("https://klasma.github.io/Logging_2082/klagomål/A 61197-2025 FSC-klagomål.docx", "A 61197-2025")</f>
        <v/>
      </c>
      <c r="W951">
        <f>HYPERLINK("https://klasma.github.io/Logging_2082/klagomålsmail/A 61197-2025 FSC-klagomål mail.docx", "A 61197-2025")</f>
        <v/>
      </c>
      <c r="X951">
        <f>HYPERLINK("https://klasma.github.io/Logging_2082/tillsyn/A 61197-2025 tillsynsbegäran.docx", "A 61197-2025")</f>
        <v/>
      </c>
      <c r="Y951">
        <f>HYPERLINK("https://klasma.github.io/Logging_2082/tillsynsmail/A 61197-2025 tillsynsbegäran mail.docx", "A 61197-2025")</f>
        <v/>
      </c>
    </row>
    <row r="952" ht="15" customHeight="1">
      <c r="A952" t="inlineStr">
        <is>
          <t>A 52242-2024</t>
        </is>
      </c>
      <c r="B952" s="1" t="n">
        <v>45607</v>
      </c>
      <c r="C952" s="1" t="n">
        <v>46114</v>
      </c>
      <c r="D952" t="inlineStr">
        <is>
          <t>DALARNAS LÄN</t>
        </is>
      </c>
      <c r="E952" t="inlineStr">
        <is>
          <t>SMEDJEBACKEN</t>
        </is>
      </c>
      <c r="F952" t="inlineStr">
        <is>
          <t>Bergvik skog väst AB</t>
        </is>
      </c>
      <c r="G952" t="n">
        <v>26.2</v>
      </c>
      <c r="H952" t="n">
        <v>1</v>
      </c>
      <c r="I952" t="n">
        <v>0</v>
      </c>
      <c r="J952" t="n">
        <v>1</v>
      </c>
      <c r="K952" t="n">
        <v>0</v>
      </c>
      <c r="L952" t="n">
        <v>0</v>
      </c>
      <c r="M952" t="n">
        <v>0</v>
      </c>
      <c r="N952" t="n">
        <v>0</v>
      </c>
      <c r="O952" t="n">
        <v>1</v>
      </c>
      <c r="P952" t="n">
        <v>0</v>
      </c>
      <c r="Q952" t="n">
        <v>1</v>
      </c>
      <c r="R952" s="2" t="inlineStr">
        <is>
          <t>Havsörn</t>
        </is>
      </c>
      <c r="S952">
        <f>HYPERLINK("https://klasma.github.io/Logging_2061/artfynd/A 52242-2024 artfynd.xlsx", "A 52242-2024")</f>
        <v/>
      </c>
      <c r="T952">
        <f>HYPERLINK("https://klasma.github.io/Logging_2061/kartor/A 52242-2024 karta.png", "A 52242-2024")</f>
        <v/>
      </c>
      <c r="V952">
        <f>HYPERLINK("https://klasma.github.io/Logging_2061/klagomål/A 52242-2024 FSC-klagomål.docx", "A 52242-2024")</f>
        <v/>
      </c>
      <c r="W952">
        <f>HYPERLINK("https://klasma.github.io/Logging_2061/klagomålsmail/A 52242-2024 FSC-klagomål mail.docx", "A 52242-2024")</f>
        <v/>
      </c>
      <c r="X952">
        <f>HYPERLINK("https://klasma.github.io/Logging_2061/tillsyn/A 52242-2024 tillsynsbegäran.docx", "A 52242-2024")</f>
        <v/>
      </c>
      <c r="Y952">
        <f>HYPERLINK("https://klasma.github.io/Logging_2061/tillsynsmail/A 52242-2024 tillsynsbegäran mail.docx", "A 52242-2024")</f>
        <v/>
      </c>
      <c r="Z952">
        <f>HYPERLINK("https://klasma.github.io/Logging_2061/fåglar/A 52242-2024 prioriterade fågelarter.docx", "A 52242-2024")</f>
        <v/>
      </c>
    </row>
    <row r="953" ht="15" customHeight="1">
      <c r="A953" t="inlineStr">
        <is>
          <t>A 3006-2025</t>
        </is>
      </c>
      <c r="B953" s="1" t="n">
        <v>45678.55945601852</v>
      </c>
      <c r="C953" s="1" t="n">
        <v>46114</v>
      </c>
      <c r="D953" t="inlineStr">
        <is>
          <t>DALARNAS LÄN</t>
        </is>
      </c>
      <c r="E953" t="inlineStr">
        <is>
          <t>BORLÄNGE</t>
        </is>
      </c>
      <c r="F953" t="inlineStr">
        <is>
          <t>Kommuner</t>
        </is>
      </c>
      <c r="G953" t="n">
        <v>5.8</v>
      </c>
      <c r="H953" t="n">
        <v>1</v>
      </c>
      <c r="I953" t="n">
        <v>0</v>
      </c>
      <c r="J953" t="n">
        <v>0</v>
      </c>
      <c r="K953" t="n">
        <v>0</v>
      </c>
      <c r="L953" t="n">
        <v>0</v>
      </c>
      <c r="M953" t="n">
        <v>0</v>
      </c>
      <c r="N953" t="n">
        <v>0</v>
      </c>
      <c r="O953" t="n">
        <v>0</v>
      </c>
      <c r="P953" t="n">
        <v>0</v>
      </c>
      <c r="Q953" t="n">
        <v>1</v>
      </c>
      <c r="R953" s="2" t="inlineStr">
        <is>
          <t>Vanlig groda</t>
        </is>
      </c>
      <c r="S953">
        <f>HYPERLINK("https://klasma.github.io/Logging_2081/artfynd/A 3006-2025 artfynd.xlsx", "A 3006-2025")</f>
        <v/>
      </c>
      <c r="T953">
        <f>HYPERLINK("https://klasma.github.io/Logging_2081/kartor/A 3006-2025 karta.png", "A 3006-2025")</f>
        <v/>
      </c>
      <c r="V953">
        <f>HYPERLINK("https://klasma.github.io/Logging_2081/klagomål/A 3006-2025 FSC-klagomål.docx", "A 3006-2025")</f>
        <v/>
      </c>
      <c r="W953">
        <f>HYPERLINK("https://klasma.github.io/Logging_2081/klagomålsmail/A 3006-2025 FSC-klagomål mail.docx", "A 3006-2025")</f>
        <v/>
      </c>
      <c r="X953">
        <f>HYPERLINK("https://klasma.github.io/Logging_2081/tillsyn/A 3006-2025 tillsynsbegäran.docx", "A 3006-2025")</f>
        <v/>
      </c>
      <c r="Y953">
        <f>HYPERLINK("https://klasma.github.io/Logging_2081/tillsynsmail/A 3006-2025 tillsynsbegäran mail.docx", "A 3006-2025")</f>
        <v/>
      </c>
    </row>
    <row r="954" ht="15" customHeight="1">
      <c r="A954" t="inlineStr">
        <is>
          <t>A 62009-2025</t>
        </is>
      </c>
      <c r="B954" s="1" t="n">
        <v>46003.67215277778</v>
      </c>
      <c r="C954" s="1" t="n">
        <v>46114</v>
      </c>
      <c r="D954" t="inlineStr">
        <is>
          <t>DALARNAS LÄN</t>
        </is>
      </c>
      <c r="E954" t="inlineStr">
        <is>
          <t>ORSA</t>
        </is>
      </c>
      <c r="G954" t="n">
        <v>7.6</v>
      </c>
      <c r="H954" t="n">
        <v>0</v>
      </c>
      <c r="I954" t="n">
        <v>0</v>
      </c>
      <c r="J954" t="n">
        <v>1</v>
      </c>
      <c r="K954" t="n">
        <v>0</v>
      </c>
      <c r="L954" t="n">
        <v>0</v>
      </c>
      <c r="M954" t="n">
        <v>0</v>
      </c>
      <c r="N954" t="n">
        <v>0</v>
      </c>
      <c r="O954" t="n">
        <v>1</v>
      </c>
      <c r="P954" t="n">
        <v>0</v>
      </c>
      <c r="Q954" t="n">
        <v>1</v>
      </c>
      <c r="R954" s="2" t="inlineStr">
        <is>
          <t>Garnlav</t>
        </is>
      </c>
      <c r="S954">
        <f>HYPERLINK("https://klasma.github.io/Logging_2034/artfynd/A 62009-2025 artfynd.xlsx", "A 62009-2025")</f>
        <v/>
      </c>
      <c r="T954">
        <f>HYPERLINK("https://klasma.github.io/Logging_2034/kartor/A 62009-2025 karta.png", "A 62009-2025")</f>
        <v/>
      </c>
      <c r="V954">
        <f>HYPERLINK("https://klasma.github.io/Logging_2034/klagomål/A 62009-2025 FSC-klagomål.docx", "A 62009-2025")</f>
        <v/>
      </c>
      <c r="W954">
        <f>HYPERLINK("https://klasma.github.io/Logging_2034/klagomålsmail/A 62009-2025 FSC-klagomål mail.docx", "A 62009-2025")</f>
        <v/>
      </c>
      <c r="X954">
        <f>HYPERLINK("https://klasma.github.io/Logging_2034/tillsyn/A 62009-2025 tillsynsbegäran.docx", "A 62009-2025")</f>
        <v/>
      </c>
      <c r="Y954">
        <f>HYPERLINK("https://klasma.github.io/Logging_2034/tillsynsmail/A 62009-2025 tillsynsbegäran mail.docx", "A 62009-2025")</f>
        <v/>
      </c>
    </row>
    <row r="955" ht="15" customHeight="1">
      <c r="A955" t="inlineStr">
        <is>
          <t>A 44727-2025</t>
        </is>
      </c>
      <c r="B955" s="1" t="n">
        <v>45917.64488425926</v>
      </c>
      <c r="C955" s="1" t="n">
        <v>46114</v>
      </c>
      <c r="D955" t="inlineStr">
        <is>
          <t>DALARNAS LÄN</t>
        </is>
      </c>
      <c r="E955" t="inlineStr">
        <is>
          <t>FALUN</t>
        </is>
      </c>
      <c r="G955" t="n">
        <v>1.7</v>
      </c>
      <c r="H955" t="n">
        <v>1</v>
      </c>
      <c r="I955" t="n">
        <v>0</v>
      </c>
      <c r="J955" t="n">
        <v>0</v>
      </c>
      <c r="K955" t="n">
        <v>1</v>
      </c>
      <c r="L955" t="n">
        <v>0</v>
      </c>
      <c r="M955" t="n">
        <v>0</v>
      </c>
      <c r="N955" t="n">
        <v>0</v>
      </c>
      <c r="O955" t="n">
        <v>1</v>
      </c>
      <c r="P955" t="n">
        <v>1</v>
      </c>
      <c r="Q955" t="n">
        <v>1</v>
      </c>
      <c r="R955" s="2" t="inlineStr">
        <is>
          <t>Knärot</t>
        </is>
      </c>
      <c r="S955">
        <f>HYPERLINK("https://klasma.github.io/Logging_2080/artfynd/A 44727-2025 artfynd.xlsx", "A 44727-2025")</f>
        <v/>
      </c>
      <c r="T955">
        <f>HYPERLINK("https://klasma.github.io/Logging_2080/kartor/A 44727-2025 karta.png", "A 44727-2025")</f>
        <v/>
      </c>
      <c r="U955">
        <f>HYPERLINK("https://klasma.github.io/Logging_2080/knärot/A 44727-2025 karta knärot.png", "A 44727-2025")</f>
        <v/>
      </c>
      <c r="V955">
        <f>HYPERLINK("https://klasma.github.io/Logging_2080/klagomål/A 44727-2025 FSC-klagomål.docx", "A 44727-2025")</f>
        <v/>
      </c>
      <c r="W955">
        <f>HYPERLINK("https://klasma.github.io/Logging_2080/klagomålsmail/A 44727-2025 FSC-klagomål mail.docx", "A 44727-2025")</f>
        <v/>
      </c>
      <c r="X955">
        <f>HYPERLINK("https://klasma.github.io/Logging_2080/tillsyn/A 44727-2025 tillsynsbegäran.docx", "A 44727-2025")</f>
        <v/>
      </c>
      <c r="Y955">
        <f>HYPERLINK("https://klasma.github.io/Logging_2080/tillsynsmail/A 44727-2025 tillsynsbegäran mail.docx", "A 44727-2025")</f>
        <v/>
      </c>
    </row>
    <row r="956" ht="15" customHeight="1">
      <c r="A956" t="inlineStr">
        <is>
          <t>A 62096-2025</t>
        </is>
      </c>
      <c r="B956" s="1" t="n">
        <v>46006.38961805555</v>
      </c>
      <c r="C956" s="1" t="n">
        <v>46114</v>
      </c>
      <c r="D956" t="inlineStr">
        <is>
          <t>DALARNAS LÄN</t>
        </is>
      </c>
      <c r="E956" t="inlineStr">
        <is>
          <t>MORA</t>
        </is>
      </c>
      <c r="G956" t="n">
        <v>4.1</v>
      </c>
      <c r="H956" t="n">
        <v>0</v>
      </c>
      <c r="I956" t="n">
        <v>0</v>
      </c>
      <c r="J956" t="n">
        <v>1</v>
      </c>
      <c r="K956" t="n">
        <v>0</v>
      </c>
      <c r="L956" t="n">
        <v>0</v>
      </c>
      <c r="M956" t="n">
        <v>0</v>
      </c>
      <c r="N956" t="n">
        <v>0</v>
      </c>
      <c r="O956" t="n">
        <v>1</v>
      </c>
      <c r="P956" t="n">
        <v>0</v>
      </c>
      <c r="Q956" t="n">
        <v>1</v>
      </c>
      <c r="R956" s="2" t="inlineStr">
        <is>
          <t>Garnlav</t>
        </is>
      </c>
      <c r="S956">
        <f>HYPERLINK("https://klasma.github.io/Logging_2062/artfynd/A 62096-2025 artfynd.xlsx", "A 62096-2025")</f>
        <v/>
      </c>
      <c r="T956">
        <f>HYPERLINK("https://klasma.github.io/Logging_2062/kartor/A 62096-2025 karta.png", "A 62096-2025")</f>
        <v/>
      </c>
      <c r="V956">
        <f>HYPERLINK("https://klasma.github.io/Logging_2062/klagomål/A 62096-2025 FSC-klagomål.docx", "A 62096-2025")</f>
        <v/>
      </c>
      <c r="W956">
        <f>HYPERLINK("https://klasma.github.io/Logging_2062/klagomålsmail/A 62096-2025 FSC-klagomål mail.docx", "A 62096-2025")</f>
        <v/>
      </c>
      <c r="X956">
        <f>HYPERLINK("https://klasma.github.io/Logging_2062/tillsyn/A 62096-2025 tillsynsbegäran.docx", "A 62096-2025")</f>
        <v/>
      </c>
      <c r="Y956">
        <f>HYPERLINK("https://klasma.github.io/Logging_2062/tillsynsmail/A 62096-2025 tillsynsbegäran mail.docx", "A 62096-2025")</f>
        <v/>
      </c>
    </row>
    <row r="957" ht="15" customHeight="1">
      <c r="A957" t="inlineStr">
        <is>
          <t>A 63048-2025</t>
        </is>
      </c>
      <c r="B957" s="1" t="n">
        <v>46009.62458333333</v>
      </c>
      <c r="C957" s="1" t="n">
        <v>46114</v>
      </c>
      <c r="D957" t="inlineStr">
        <is>
          <t>DALARNAS LÄN</t>
        </is>
      </c>
      <c r="E957" t="inlineStr">
        <is>
          <t>SMEDJEBACKEN</t>
        </is>
      </c>
      <c r="F957" t="inlineStr">
        <is>
          <t>Övriga Aktiebolag</t>
        </is>
      </c>
      <c r="G957" t="n">
        <v>1.4</v>
      </c>
      <c r="H957" t="n">
        <v>1</v>
      </c>
      <c r="I957" t="n">
        <v>0</v>
      </c>
      <c r="J957" t="n">
        <v>0</v>
      </c>
      <c r="K957" t="n">
        <v>0</v>
      </c>
      <c r="L957" t="n">
        <v>0</v>
      </c>
      <c r="M957" t="n">
        <v>0</v>
      </c>
      <c r="N957" t="n">
        <v>0</v>
      </c>
      <c r="O957" t="n">
        <v>0</v>
      </c>
      <c r="P957" t="n">
        <v>0</v>
      </c>
      <c r="Q957" t="n">
        <v>1</v>
      </c>
      <c r="R957" s="2" t="inlineStr">
        <is>
          <t>Blåsippa</t>
        </is>
      </c>
      <c r="S957">
        <f>HYPERLINK("https://klasma.github.io/Logging_2061/artfynd/A 63048-2025 artfynd.xlsx", "A 63048-2025")</f>
        <v/>
      </c>
      <c r="T957">
        <f>HYPERLINK("https://klasma.github.io/Logging_2061/kartor/A 63048-2025 karta.png", "A 63048-2025")</f>
        <v/>
      </c>
      <c r="V957">
        <f>HYPERLINK("https://klasma.github.io/Logging_2061/klagomål/A 63048-2025 FSC-klagomål.docx", "A 63048-2025")</f>
        <v/>
      </c>
      <c r="W957">
        <f>HYPERLINK("https://klasma.github.io/Logging_2061/klagomålsmail/A 63048-2025 FSC-klagomål mail.docx", "A 63048-2025")</f>
        <v/>
      </c>
      <c r="X957">
        <f>HYPERLINK("https://klasma.github.io/Logging_2061/tillsyn/A 63048-2025 tillsynsbegäran.docx", "A 63048-2025")</f>
        <v/>
      </c>
      <c r="Y957">
        <f>HYPERLINK("https://klasma.github.io/Logging_2061/tillsynsmail/A 63048-2025 tillsynsbegäran mail.docx", "A 63048-2025")</f>
        <v/>
      </c>
    </row>
    <row r="958" ht="15" customHeight="1">
      <c r="A958" t="inlineStr">
        <is>
          <t>A 50079-2023</t>
        </is>
      </c>
      <c r="B958" s="1" t="n">
        <v>45215</v>
      </c>
      <c r="C958" s="1" t="n">
        <v>46114</v>
      </c>
      <c r="D958" t="inlineStr">
        <is>
          <t>DALARNAS LÄN</t>
        </is>
      </c>
      <c r="E958" t="inlineStr">
        <is>
          <t>SÄTER</t>
        </is>
      </c>
      <c r="G958" t="n">
        <v>3.8</v>
      </c>
      <c r="H958" t="n">
        <v>1</v>
      </c>
      <c r="I958" t="n">
        <v>0</v>
      </c>
      <c r="J958" t="n">
        <v>0</v>
      </c>
      <c r="K958" t="n">
        <v>0</v>
      </c>
      <c r="L958" t="n">
        <v>0</v>
      </c>
      <c r="M958" t="n">
        <v>0</v>
      </c>
      <c r="N958" t="n">
        <v>0</v>
      </c>
      <c r="O958" t="n">
        <v>0</v>
      </c>
      <c r="P958" t="n">
        <v>0</v>
      </c>
      <c r="Q958" t="n">
        <v>1</v>
      </c>
      <c r="R958" s="2" t="inlineStr">
        <is>
          <t>Blåsippa</t>
        </is>
      </c>
      <c r="S958">
        <f>HYPERLINK("https://klasma.github.io/Logging_2082/artfynd/A 50079-2023 artfynd.xlsx", "A 50079-2023")</f>
        <v/>
      </c>
      <c r="T958">
        <f>HYPERLINK("https://klasma.github.io/Logging_2082/kartor/A 50079-2023 karta.png", "A 50079-2023")</f>
        <v/>
      </c>
      <c r="V958">
        <f>HYPERLINK("https://klasma.github.io/Logging_2082/klagomål/A 50079-2023 FSC-klagomål.docx", "A 50079-2023")</f>
        <v/>
      </c>
      <c r="W958">
        <f>HYPERLINK("https://klasma.github.io/Logging_2082/klagomålsmail/A 50079-2023 FSC-klagomål mail.docx", "A 50079-2023")</f>
        <v/>
      </c>
      <c r="X958">
        <f>HYPERLINK("https://klasma.github.io/Logging_2082/tillsyn/A 50079-2023 tillsynsbegäran.docx", "A 50079-2023")</f>
        <v/>
      </c>
      <c r="Y958">
        <f>HYPERLINK("https://klasma.github.io/Logging_2082/tillsynsmail/A 50079-2023 tillsynsbegäran mail.docx", "A 50079-2023")</f>
        <v/>
      </c>
    </row>
    <row r="959" ht="15" customHeight="1">
      <c r="A959" t="inlineStr">
        <is>
          <t>A 38708-2021</t>
        </is>
      </c>
      <c r="B959" s="1" t="n">
        <v>44410</v>
      </c>
      <c r="C959" s="1" t="n">
        <v>46114</v>
      </c>
      <c r="D959" t="inlineStr">
        <is>
          <t>DALARNAS LÄN</t>
        </is>
      </c>
      <c r="E959" t="inlineStr">
        <is>
          <t>BORLÄNGE</t>
        </is>
      </c>
      <c r="G959" t="n">
        <v>1.1</v>
      </c>
      <c r="H959" t="n">
        <v>0</v>
      </c>
      <c r="I959" t="n">
        <v>0</v>
      </c>
      <c r="J959" t="n">
        <v>1</v>
      </c>
      <c r="K959" t="n">
        <v>0</v>
      </c>
      <c r="L959" t="n">
        <v>0</v>
      </c>
      <c r="M959" t="n">
        <v>0</v>
      </c>
      <c r="N959" t="n">
        <v>0</v>
      </c>
      <c r="O959" t="n">
        <v>1</v>
      </c>
      <c r="P959" t="n">
        <v>0</v>
      </c>
      <c r="Q959" t="n">
        <v>1</v>
      </c>
      <c r="R959" s="2" t="inlineStr">
        <is>
          <t>Äggvaxskivling</t>
        </is>
      </c>
      <c r="S959">
        <f>HYPERLINK("https://klasma.github.io/Logging_2081/artfynd/A 38708-2021 artfynd.xlsx", "A 38708-2021")</f>
        <v/>
      </c>
      <c r="T959">
        <f>HYPERLINK("https://klasma.github.io/Logging_2081/kartor/A 38708-2021 karta.png", "A 38708-2021")</f>
        <v/>
      </c>
      <c r="V959">
        <f>HYPERLINK("https://klasma.github.io/Logging_2081/klagomål/A 38708-2021 FSC-klagomål.docx", "A 38708-2021")</f>
        <v/>
      </c>
      <c r="W959">
        <f>HYPERLINK("https://klasma.github.io/Logging_2081/klagomålsmail/A 38708-2021 FSC-klagomål mail.docx", "A 38708-2021")</f>
        <v/>
      </c>
      <c r="X959">
        <f>HYPERLINK("https://klasma.github.io/Logging_2081/tillsyn/A 38708-2021 tillsynsbegäran.docx", "A 38708-2021")</f>
        <v/>
      </c>
      <c r="Y959">
        <f>HYPERLINK("https://klasma.github.io/Logging_2081/tillsynsmail/A 38708-2021 tillsynsbegäran mail.docx", "A 38708-2021")</f>
        <v/>
      </c>
    </row>
    <row r="960" ht="15" customHeight="1">
      <c r="A960" t="inlineStr">
        <is>
          <t>A 62676-2025</t>
        </is>
      </c>
      <c r="B960" s="1" t="n">
        <v>46008</v>
      </c>
      <c r="C960" s="1" t="n">
        <v>46114</v>
      </c>
      <c r="D960" t="inlineStr">
        <is>
          <t>DALARNAS LÄN</t>
        </is>
      </c>
      <c r="E960" t="inlineStr">
        <is>
          <t>LUDVIKA</t>
        </is>
      </c>
      <c r="F960" t="inlineStr">
        <is>
          <t>Bergvik skog väst AB</t>
        </is>
      </c>
      <c r="G960" t="n">
        <v>4.2</v>
      </c>
      <c r="H960" t="n">
        <v>0</v>
      </c>
      <c r="I960" t="n">
        <v>0</v>
      </c>
      <c r="J960" t="n">
        <v>1</v>
      </c>
      <c r="K960" t="n">
        <v>0</v>
      </c>
      <c r="L960" t="n">
        <v>0</v>
      </c>
      <c r="M960" t="n">
        <v>0</v>
      </c>
      <c r="N960" t="n">
        <v>0</v>
      </c>
      <c r="O960" t="n">
        <v>1</v>
      </c>
      <c r="P960" t="n">
        <v>0</v>
      </c>
      <c r="Q960" t="n">
        <v>1</v>
      </c>
      <c r="R960" s="2" t="inlineStr">
        <is>
          <t>Kolflarnlav</t>
        </is>
      </c>
      <c r="S960">
        <f>HYPERLINK("https://klasma.github.io/Logging_2085/artfynd/A 62676-2025 artfynd.xlsx", "A 62676-2025")</f>
        <v/>
      </c>
      <c r="T960">
        <f>HYPERLINK("https://klasma.github.io/Logging_2085/kartor/A 62676-2025 karta.png", "A 62676-2025")</f>
        <v/>
      </c>
      <c r="V960">
        <f>HYPERLINK("https://klasma.github.io/Logging_2085/klagomål/A 62676-2025 FSC-klagomål.docx", "A 62676-2025")</f>
        <v/>
      </c>
      <c r="W960">
        <f>HYPERLINK("https://klasma.github.io/Logging_2085/klagomålsmail/A 62676-2025 FSC-klagomål mail.docx", "A 62676-2025")</f>
        <v/>
      </c>
      <c r="X960">
        <f>HYPERLINK("https://klasma.github.io/Logging_2085/tillsyn/A 62676-2025 tillsynsbegäran.docx", "A 62676-2025")</f>
        <v/>
      </c>
      <c r="Y960">
        <f>HYPERLINK("https://klasma.github.io/Logging_2085/tillsynsmail/A 62676-2025 tillsynsbegäran mail.docx", "A 62676-2025")</f>
        <v/>
      </c>
    </row>
    <row r="961" ht="15" customHeight="1">
      <c r="A961" t="inlineStr">
        <is>
          <t>A 63005-2025</t>
        </is>
      </c>
      <c r="B961" s="1" t="n">
        <v>46009.56876157408</v>
      </c>
      <c r="C961" s="1" t="n">
        <v>46114</v>
      </c>
      <c r="D961" t="inlineStr">
        <is>
          <t>DALARNAS LÄN</t>
        </is>
      </c>
      <c r="E961" t="inlineStr">
        <is>
          <t>LUDVIKA</t>
        </is>
      </c>
      <c r="G961" t="n">
        <v>4.4</v>
      </c>
      <c r="H961" t="n">
        <v>1</v>
      </c>
      <c r="I961" t="n">
        <v>0</v>
      </c>
      <c r="J961" t="n">
        <v>1</v>
      </c>
      <c r="K961" t="n">
        <v>0</v>
      </c>
      <c r="L961" t="n">
        <v>0</v>
      </c>
      <c r="M961" t="n">
        <v>0</v>
      </c>
      <c r="N961" t="n">
        <v>0</v>
      </c>
      <c r="O961" t="n">
        <v>1</v>
      </c>
      <c r="P961" t="n">
        <v>0</v>
      </c>
      <c r="Q961" t="n">
        <v>1</v>
      </c>
      <c r="R961" s="2" t="inlineStr">
        <is>
          <t>Spillkråka</t>
        </is>
      </c>
      <c r="S961">
        <f>HYPERLINK("https://klasma.github.io/Logging_2085/artfynd/A 63005-2025 artfynd.xlsx", "A 63005-2025")</f>
        <v/>
      </c>
      <c r="T961">
        <f>HYPERLINK("https://klasma.github.io/Logging_2085/kartor/A 63005-2025 karta.png", "A 63005-2025")</f>
        <v/>
      </c>
      <c r="V961">
        <f>HYPERLINK("https://klasma.github.io/Logging_2085/klagomål/A 63005-2025 FSC-klagomål.docx", "A 63005-2025")</f>
        <v/>
      </c>
      <c r="W961">
        <f>HYPERLINK("https://klasma.github.io/Logging_2085/klagomålsmail/A 63005-2025 FSC-klagomål mail.docx", "A 63005-2025")</f>
        <v/>
      </c>
      <c r="X961">
        <f>HYPERLINK("https://klasma.github.io/Logging_2085/tillsyn/A 63005-2025 tillsynsbegäran.docx", "A 63005-2025")</f>
        <v/>
      </c>
      <c r="Y961">
        <f>HYPERLINK("https://klasma.github.io/Logging_2085/tillsynsmail/A 63005-2025 tillsynsbegäran mail.docx", "A 63005-2025")</f>
        <v/>
      </c>
      <c r="Z961">
        <f>HYPERLINK("https://klasma.github.io/Logging_2085/fåglar/A 63005-2025 prioriterade fågelarter.docx", "A 63005-2025")</f>
        <v/>
      </c>
    </row>
    <row r="962" ht="15" customHeight="1">
      <c r="A962" t="inlineStr">
        <is>
          <t>A 49656-2025</t>
        </is>
      </c>
      <c r="B962" s="1" t="n">
        <v>45939</v>
      </c>
      <c r="C962" s="1" t="n">
        <v>46114</v>
      </c>
      <c r="D962" t="inlineStr">
        <is>
          <t>DALARNAS LÄN</t>
        </is>
      </c>
      <c r="E962" t="inlineStr">
        <is>
          <t>SÄTER</t>
        </is>
      </c>
      <c r="G962" t="n">
        <v>0.6</v>
      </c>
      <c r="H962" t="n">
        <v>0</v>
      </c>
      <c r="I962" t="n">
        <v>0</v>
      </c>
      <c r="J962" t="n">
        <v>1</v>
      </c>
      <c r="K962" t="n">
        <v>0</v>
      </c>
      <c r="L962" t="n">
        <v>0</v>
      </c>
      <c r="M962" t="n">
        <v>0</v>
      </c>
      <c r="N962" t="n">
        <v>0</v>
      </c>
      <c r="O962" t="n">
        <v>1</v>
      </c>
      <c r="P962" t="n">
        <v>0</v>
      </c>
      <c r="Q962" t="n">
        <v>1</v>
      </c>
      <c r="R962" s="2" t="inlineStr">
        <is>
          <t>Motaggsvamp</t>
        </is>
      </c>
      <c r="S962">
        <f>HYPERLINK("https://klasma.github.io/Logging_2082/artfynd/A 49656-2025 artfynd.xlsx", "A 49656-2025")</f>
        <v/>
      </c>
      <c r="T962">
        <f>HYPERLINK("https://klasma.github.io/Logging_2082/kartor/A 49656-2025 karta.png", "A 49656-2025")</f>
        <v/>
      </c>
      <c r="U962">
        <f>HYPERLINK("https://klasma.github.io/Logging_2082/knärot/A 49656-2025 karta knärot.png", "A 49656-2025")</f>
        <v/>
      </c>
      <c r="V962">
        <f>HYPERLINK("https://klasma.github.io/Logging_2082/klagomål/A 49656-2025 FSC-klagomål.docx", "A 49656-2025")</f>
        <v/>
      </c>
      <c r="W962">
        <f>HYPERLINK("https://klasma.github.io/Logging_2082/klagomålsmail/A 49656-2025 FSC-klagomål mail.docx", "A 49656-2025")</f>
        <v/>
      </c>
      <c r="X962">
        <f>HYPERLINK("https://klasma.github.io/Logging_2082/tillsyn/A 49656-2025 tillsynsbegäran.docx", "A 49656-2025")</f>
        <v/>
      </c>
      <c r="Y962">
        <f>HYPERLINK("https://klasma.github.io/Logging_2082/tillsynsmail/A 49656-2025 tillsynsbegäran mail.docx", "A 49656-2025")</f>
        <v/>
      </c>
    </row>
    <row r="963" ht="15" customHeight="1">
      <c r="A963" t="inlineStr">
        <is>
          <t>A 55851-2021</t>
        </is>
      </c>
      <c r="B963" s="1" t="n">
        <v>44476</v>
      </c>
      <c r="C963" s="1" t="n">
        <v>46114</v>
      </c>
      <c r="D963" t="inlineStr">
        <is>
          <t>DALARNAS LÄN</t>
        </is>
      </c>
      <c r="E963" t="inlineStr">
        <is>
          <t>SMEDJEBACKEN</t>
        </is>
      </c>
      <c r="F963" t="inlineStr">
        <is>
          <t>Övriga Aktiebolag</t>
        </is>
      </c>
      <c r="G963" t="n">
        <v>2.6</v>
      </c>
      <c r="H963" t="n">
        <v>1</v>
      </c>
      <c r="I963" t="n">
        <v>0</v>
      </c>
      <c r="J963" t="n">
        <v>1</v>
      </c>
      <c r="K963" t="n">
        <v>0</v>
      </c>
      <c r="L963" t="n">
        <v>0</v>
      </c>
      <c r="M963" t="n">
        <v>0</v>
      </c>
      <c r="N963" t="n">
        <v>0</v>
      </c>
      <c r="O963" t="n">
        <v>1</v>
      </c>
      <c r="P963" t="n">
        <v>0</v>
      </c>
      <c r="Q963" t="n">
        <v>1</v>
      </c>
      <c r="R963" s="2" t="inlineStr">
        <is>
          <t>Talltita</t>
        </is>
      </c>
      <c r="S963">
        <f>HYPERLINK("https://klasma.github.io/Logging_2061/artfynd/A 55851-2021 artfynd.xlsx", "A 55851-2021")</f>
        <v/>
      </c>
      <c r="T963">
        <f>HYPERLINK("https://klasma.github.io/Logging_2061/kartor/A 55851-2021 karta.png", "A 55851-2021")</f>
        <v/>
      </c>
      <c r="V963">
        <f>HYPERLINK("https://klasma.github.io/Logging_2061/klagomål/A 55851-2021 FSC-klagomål.docx", "A 55851-2021")</f>
        <v/>
      </c>
      <c r="W963">
        <f>HYPERLINK("https://klasma.github.io/Logging_2061/klagomålsmail/A 55851-2021 FSC-klagomål mail.docx", "A 55851-2021")</f>
        <v/>
      </c>
      <c r="X963">
        <f>HYPERLINK("https://klasma.github.io/Logging_2061/tillsyn/A 55851-2021 tillsynsbegäran.docx", "A 55851-2021")</f>
        <v/>
      </c>
      <c r="Y963">
        <f>HYPERLINK("https://klasma.github.io/Logging_2061/tillsynsmail/A 55851-2021 tillsynsbegäran mail.docx", "A 55851-2021")</f>
        <v/>
      </c>
      <c r="Z963">
        <f>HYPERLINK("https://klasma.github.io/Logging_2061/fåglar/A 55851-2021 prioriterade fågelarter.docx", "A 55851-2021")</f>
        <v/>
      </c>
    </row>
    <row r="964" ht="15" customHeight="1">
      <c r="A964" t="inlineStr">
        <is>
          <t>A 63542-2023</t>
        </is>
      </c>
      <c r="B964" s="1" t="n">
        <v>45275.32708333333</v>
      </c>
      <c r="C964" s="1" t="n">
        <v>46114</v>
      </c>
      <c r="D964" t="inlineStr">
        <is>
          <t>DALARNAS LÄN</t>
        </is>
      </c>
      <c r="E964" t="inlineStr">
        <is>
          <t>HEDEMORA</t>
        </is>
      </c>
      <c r="G964" t="n">
        <v>2.1</v>
      </c>
      <c r="H964" t="n">
        <v>1</v>
      </c>
      <c r="I964" t="n">
        <v>0</v>
      </c>
      <c r="J964" t="n">
        <v>1</v>
      </c>
      <c r="K964" t="n">
        <v>0</v>
      </c>
      <c r="L964" t="n">
        <v>0</v>
      </c>
      <c r="M964" t="n">
        <v>0</v>
      </c>
      <c r="N964" t="n">
        <v>0</v>
      </c>
      <c r="O964" t="n">
        <v>1</v>
      </c>
      <c r="P964" t="n">
        <v>0</v>
      </c>
      <c r="Q964" t="n">
        <v>1</v>
      </c>
      <c r="R964" s="2" t="inlineStr">
        <is>
          <t>Spillkråka</t>
        </is>
      </c>
      <c r="S964">
        <f>HYPERLINK("https://klasma.github.io/Logging_2083/artfynd/A 63542-2023 artfynd.xlsx", "A 63542-2023")</f>
        <v/>
      </c>
      <c r="T964">
        <f>HYPERLINK("https://klasma.github.io/Logging_2083/kartor/A 63542-2023 karta.png", "A 63542-2023")</f>
        <v/>
      </c>
      <c r="V964">
        <f>HYPERLINK("https://klasma.github.io/Logging_2083/klagomål/A 63542-2023 FSC-klagomål.docx", "A 63542-2023")</f>
        <v/>
      </c>
      <c r="W964">
        <f>HYPERLINK("https://klasma.github.io/Logging_2083/klagomålsmail/A 63542-2023 FSC-klagomål mail.docx", "A 63542-2023")</f>
        <v/>
      </c>
      <c r="X964">
        <f>HYPERLINK("https://klasma.github.io/Logging_2083/tillsyn/A 63542-2023 tillsynsbegäran.docx", "A 63542-2023")</f>
        <v/>
      </c>
      <c r="Y964">
        <f>HYPERLINK("https://klasma.github.io/Logging_2083/tillsynsmail/A 63542-2023 tillsynsbegäran mail.docx", "A 63542-2023")</f>
        <v/>
      </c>
      <c r="Z964">
        <f>HYPERLINK("https://klasma.github.io/Logging_2083/fåglar/A 63542-2023 prioriterade fågelarter.docx", "A 63542-2023")</f>
        <v/>
      </c>
    </row>
    <row r="965" ht="15" customHeight="1">
      <c r="A965" t="inlineStr">
        <is>
          <t>A 52941-2024</t>
        </is>
      </c>
      <c r="B965" s="1" t="n">
        <v>45610.80650462963</v>
      </c>
      <c r="C965" s="1" t="n">
        <v>46114</v>
      </c>
      <c r="D965" t="inlineStr">
        <is>
          <t>DALARNAS LÄN</t>
        </is>
      </c>
      <c r="E965" t="inlineStr">
        <is>
          <t>HEDEMORA</t>
        </is>
      </c>
      <c r="F965" t="inlineStr">
        <is>
          <t>Sveaskog</t>
        </is>
      </c>
      <c r="G965" t="n">
        <v>18.3</v>
      </c>
      <c r="H965" t="n">
        <v>1</v>
      </c>
      <c r="I965" t="n">
        <v>0</v>
      </c>
      <c r="J965" t="n">
        <v>0</v>
      </c>
      <c r="K965" t="n">
        <v>1</v>
      </c>
      <c r="L965" t="n">
        <v>0</v>
      </c>
      <c r="M965" t="n">
        <v>0</v>
      </c>
      <c r="N965" t="n">
        <v>0</v>
      </c>
      <c r="O965" t="n">
        <v>1</v>
      </c>
      <c r="P965" t="n">
        <v>1</v>
      </c>
      <c r="Q965" t="n">
        <v>1</v>
      </c>
      <c r="R965" s="2" t="inlineStr">
        <is>
          <t>Knärot</t>
        </is>
      </c>
      <c r="S965">
        <f>HYPERLINK("https://klasma.github.io/Logging_2083/artfynd/A 52941-2024 artfynd.xlsx", "A 52941-2024")</f>
        <v/>
      </c>
      <c r="T965">
        <f>HYPERLINK("https://klasma.github.io/Logging_2083/kartor/A 52941-2024 karta.png", "A 52941-2024")</f>
        <v/>
      </c>
      <c r="U965">
        <f>HYPERLINK("https://klasma.github.io/Logging_2083/knärot/A 52941-2024 karta knärot.png", "A 52941-2024")</f>
        <v/>
      </c>
      <c r="V965">
        <f>HYPERLINK("https://klasma.github.io/Logging_2083/klagomål/A 52941-2024 FSC-klagomål.docx", "A 52941-2024")</f>
        <v/>
      </c>
      <c r="W965">
        <f>HYPERLINK("https://klasma.github.io/Logging_2083/klagomålsmail/A 52941-2024 FSC-klagomål mail.docx", "A 52941-2024")</f>
        <v/>
      </c>
      <c r="X965">
        <f>HYPERLINK("https://klasma.github.io/Logging_2083/tillsyn/A 52941-2024 tillsynsbegäran.docx", "A 52941-2024")</f>
        <v/>
      </c>
      <c r="Y965">
        <f>HYPERLINK("https://klasma.github.io/Logging_2083/tillsynsmail/A 52941-2024 tillsynsbegäran mail.docx", "A 52941-2024")</f>
        <v/>
      </c>
    </row>
    <row r="966" ht="15" customHeight="1">
      <c r="A966" t="inlineStr">
        <is>
          <t>A 63899-2025</t>
        </is>
      </c>
      <c r="B966" s="1" t="n">
        <v>46020</v>
      </c>
      <c r="C966" s="1" t="n">
        <v>46114</v>
      </c>
      <c r="D966" t="inlineStr">
        <is>
          <t>DALARNAS LÄN</t>
        </is>
      </c>
      <c r="E966" t="inlineStr">
        <is>
          <t>HEDEMORA</t>
        </is>
      </c>
      <c r="G966" t="n">
        <v>6.5</v>
      </c>
      <c r="H966" t="n">
        <v>1</v>
      </c>
      <c r="I966" t="n">
        <v>0</v>
      </c>
      <c r="J966" t="n">
        <v>0</v>
      </c>
      <c r="K966" t="n">
        <v>1</v>
      </c>
      <c r="L966" t="n">
        <v>0</v>
      </c>
      <c r="M966" t="n">
        <v>0</v>
      </c>
      <c r="N966" t="n">
        <v>0</v>
      </c>
      <c r="O966" t="n">
        <v>1</v>
      </c>
      <c r="P966" t="n">
        <v>1</v>
      </c>
      <c r="Q966" t="n">
        <v>1</v>
      </c>
      <c r="R966" s="2" t="inlineStr">
        <is>
          <t>Knärot</t>
        </is>
      </c>
      <c r="S966">
        <f>HYPERLINK("https://klasma.github.io/Logging_2083/artfynd/A 63899-2025 artfynd.xlsx", "A 63899-2025")</f>
        <v/>
      </c>
      <c r="T966">
        <f>HYPERLINK("https://klasma.github.io/Logging_2083/kartor/A 63899-2025 karta.png", "A 63899-2025")</f>
        <v/>
      </c>
      <c r="U966">
        <f>HYPERLINK("https://klasma.github.io/Logging_2083/knärot/A 63899-2025 karta knärot.png", "A 63899-2025")</f>
        <v/>
      </c>
      <c r="V966">
        <f>HYPERLINK("https://klasma.github.io/Logging_2083/klagomål/A 63899-2025 FSC-klagomål.docx", "A 63899-2025")</f>
        <v/>
      </c>
      <c r="W966">
        <f>HYPERLINK("https://klasma.github.io/Logging_2083/klagomålsmail/A 63899-2025 FSC-klagomål mail.docx", "A 63899-2025")</f>
        <v/>
      </c>
      <c r="X966">
        <f>HYPERLINK("https://klasma.github.io/Logging_2083/tillsyn/A 63899-2025 tillsynsbegäran.docx", "A 63899-2025")</f>
        <v/>
      </c>
      <c r="Y966">
        <f>HYPERLINK("https://klasma.github.io/Logging_2083/tillsynsmail/A 63899-2025 tillsynsbegäran mail.docx", "A 63899-2025")</f>
        <v/>
      </c>
    </row>
    <row r="967" ht="15" customHeight="1">
      <c r="A967" t="inlineStr">
        <is>
          <t>A 63962-2025</t>
        </is>
      </c>
      <c r="B967" s="1" t="n">
        <v>46020</v>
      </c>
      <c r="C967" s="1" t="n">
        <v>46114</v>
      </c>
      <c r="D967" t="inlineStr">
        <is>
          <t>DALARNAS LÄN</t>
        </is>
      </c>
      <c r="E967" t="inlineStr">
        <is>
          <t>BORLÄNGE</t>
        </is>
      </c>
      <c r="G967" t="n">
        <v>48.9</v>
      </c>
      <c r="H967" t="n">
        <v>0</v>
      </c>
      <c r="I967" t="n">
        <v>0</v>
      </c>
      <c r="J967" t="n">
        <v>1</v>
      </c>
      <c r="K967" t="n">
        <v>0</v>
      </c>
      <c r="L967" t="n">
        <v>0</v>
      </c>
      <c r="M967" t="n">
        <v>0</v>
      </c>
      <c r="N967" t="n">
        <v>0</v>
      </c>
      <c r="O967" t="n">
        <v>1</v>
      </c>
      <c r="P967" t="n">
        <v>0</v>
      </c>
      <c r="Q967" t="n">
        <v>1</v>
      </c>
      <c r="R967" s="2" t="inlineStr">
        <is>
          <t>Motaggsvamp</t>
        </is>
      </c>
      <c r="S967">
        <f>HYPERLINK("https://klasma.github.io/Logging_2081/artfynd/A 63962-2025 artfynd.xlsx", "A 63962-2025")</f>
        <v/>
      </c>
      <c r="T967">
        <f>HYPERLINK("https://klasma.github.io/Logging_2081/kartor/A 63962-2025 karta.png", "A 63962-2025")</f>
        <v/>
      </c>
      <c r="V967">
        <f>HYPERLINK("https://klasma.github.io/Logging_2081/klagomål/A 63962-2025 FSC-klagomål.docx", "A 63962-2025")</f>
        <v/>
      </c>
      <c r="W967">
        <f>HYPERLINK("https://klasma.github.io/Logging_2081/klagomålsmail/A 63962-2025 FSC-klagomål mail.docx", "A 63962-2025")</f>
        <v/>
      </c>
      <c r="X967">
        <f>HYPERLINK("https://klasma.github.io/Logging_2081/tillsyn/A 63962-2025 tillsynsbegäran.docx", "A 63962-2025")</f>
        <v/>
      </c>
      <c r="Y967">
        <f>HYPERLINK("https://klasma.github.io/Logging_2081/tillsynsmail/A 63962-2025 tillsynsbegäran mail.docx", "A 63962-2025")</f>
        <v/>
      </c>
    </row>
    <row r="968" ht="15" customHeight="1">
      <c r="A968" t="inlineStr">
        <is>
          <t>A 63851-2025</t>
        </is>
      </c>
      <c r="B968" s="1" t="n">
        <v>46020</v>
      </c>
      <c r="C968" s="1" t="n">
        <v>46114</v>
      </c>
      <c r="D968" t="inlineStr">
        <is>
          <t>DALARNAS LÄN</t>
        </is>
      </c>
      <c r="E968" t="inlineStr">
        <is>
          <t>HEDEMORA</t>
        </is>
      </c>
      <c r="G968" t="n">
        <v>9.800000000000001</v>
      </c>
      <c r="H968" t="n">
        <v>1</v>
      </c>
      <c r="I968" t="n">
        <v>0</v>
      </c>
      <c r="J968" t="n">
        <v>0</v>
      </c>
      <c r="K968" t="n">
        <v>1</v>
      </c>
      <c r="L968" t="n">
        <v>0</v>
      </c>
      <c r="M968" t="n">
        <v>0</v>
      </c>
      <c r="N968" t="n">
        <v>0</v>
      </c>
      <c r="O968" t="n">
        <v>1</v>
      </c>
      <c r="P968" t="n">
        <v>1</v>
      </c>
      <c r="Q968" t="n">
        <v>1</v>
      </c>
      <c r="R968" s="2" t="inlineStr">
        <is>
          <t>Knärot</t>
        </is>
      </c>
      <c r="S968">
        <f>HYPERLINK("https://klasma.github.io/Logging_2083/artfynd/A 63851-2025 artfynd.xlsx", "A 63851-2025")</f>
        <v/>
      </c>
      <c r="T968">
        <f>HYPERLINK("https://klasma.github.io/Logging_2083/kartor/A 63851-2025 karta.png", "A 63851-2025")</f>
        <v/>
      </c>
      <c r="U968">
        <f>HYPERLINK("https://klasma.github.io/Logging_2083/knärot/A 63851-2025 karta knärot.png", "A 63851-2025")</f>
        <v/>
      </c>
      <c r="V968">
        <f>HYPERLINK("https://klasma.github.io/Logging_2083/klagomål/A 63851-2025 FSC-klagomål.docx", "A 63851-2025")</f>
        <v/>
      </c>
      <c r="W968">
        <f>HYPERLINK("https://klasma.github.io/Logging_2083/klagomålsmail/A 63851-2025 FSC-klagomål mail.docx", "A 63851-2025")</f>
        <v/>
      </c>
      <c r="X968">
        <f>HYPERLINK("https://klasma.github.io/Logging_2083/tillsyn/A 63851-2025 tillsynsbegäran.docx", "A 63851-2025")</f>
        <v/>
      </c>
      <c r="Y968">
        <f>HYPERLINK("https://klasma.github.io/Logging_2083/tillsynsmail/A 63851-2025 tillsynsbegäran mail.docx", "A 63851-2025")</f>
        <v/>
      </c>
    </row>
    <row r="969" ht="15" customHeight="1">
      <c r="A969" t="inlineStr">
        <is>
          <t>A 61983-2022</t>
        </is>
      </c>
      <c r="B969" s="1" t="n">
        <v>44918</v>
      </c>
      <c r="C969" s="1" t="n">
        <v>46114</v>
      </c>
      <c r="D969" t="inlineStr">
        <is>
          <t>DALARNAS LÄN</t>
        </is>
      </c>
      <c r="E969" t="inlineStr">
        <is>
          <t>RÄTTVIK</t>
        </is>
      </c>
      <c r="F969" t="inlineStr">
        <is>
          <t>Sveaskog</t>
        </is>
      </c>
      <c r="G969" t="n">
        <v>1.1</v>
      </c>
      <c r="H969" t="n">
        <v>0</v>
      </c>
      <c r="I969" t="n">
        <v>1</v>
      </c>
      <c r="J969" t="n">
        <v>0</v>
      </c>
      <c r="K969" t="n">
        <v>0</v>
      </c>
      <c r="L969" t="n">
        <v>0</v>
      </c>
      <c r="M969" t="n">
        <v>0</v>
      </c>
      <c r="N969" t="n">
        <v>0</v>
      </c>
      <c r="O969" t="n">
        <v>0</v>
      </c>
      <c r="P969" t="n">
        <v>0</v>
      </c>
      <c r="Q969" t="n">
        <v>1</v>
      </c>
      <c r="R969" s="2" t="inlineStr">
        <is>
          <t>Bronshjon</t>
        </is>
      </c>
      <c r="S969">
        <f>HYPERLINK("https://klasma.github.io/Logging_2031/artfynd/A 61983-2022 artfynd.xlsx", "A 61983-2022")</f>
        <v/>
      </c>
      <c r="T969">
        <f>HYPERLINK("https://klasma.github.io/Logging_2031/kartor/A 61983-2022 karta.png", "A 61983-2022")</f>
        <v/>
      </c>
      <c r="V969">
        <f>HYPERLINK("https://klasma.github.io/Logging_2031/klagomål/A 61983-2022 FSC-klagomål.docx", "A 61983-2022")</f>
        <v/>
      </c>
      <c r="W969">
        <f>HYPERLINK("https://klasma.github.io/Logging_2031/klagomålsmail/A 61983-2022 FSC-klagomål mail.docx", "A 61983-2022")</f>
        <v/>
      </c>
      <c r="X969">
        <f>HYPERLINK("https://klasma.github.io/Logging_2031/tillsyn/A 61983-2022 tillsynsbegäran.docx", "A 61983-2022")</f>
        <v/>
      </c>
      <c r="Y969">
        <f>HYPERLINK("https://klasma.github.io/Logging_2031/tillsynsmail/A 61983-2022 tillsynsbegäran mail.docx", "A 61983-2022")</f>
        <v/>
      </c>
    </row>
    <row r="970" ht="15" customHeight="1">
      <c r="A970" t="inlineStr">
        <is>
          <t>A 64097-2025</t>
        </is>
      </c>
      <c r="B970" s="1" t="n">
        <v>46021</v>
      </c>
      <c r="C970" s="1" t="n">
        <v>46114</v>
      </c>
      <c r="D970" t="inlineStr">
        <is>
          <t>DALARNAS LÄN</t>
        </is>
      </c>
      <c r="E970" t="inlineStr">
        <is>
          <t>LUDVIKA</t>
        </is>
      </c>
      <c r="G970" t="n">
        <v>4.1</v>
      </c>
      <c r="H970" t="n">
        <v>0</v>
      </c>
      <c r="I970" t="n">
        <v>1</v>
      </c>
      <c r="J970" t="n">
        <v>0</v>
      </c>
      <c r="K970" t="n">
        <v>0</v>
      </c>
      <c r="L970" t="n">
        <v>0</v>
      </c>
      <c r="M970" t="n">
        <v>0</v>
      </c>
      <c r="N970" t="n">
        <v>0</v>
      </c>
      <c r="O970" t="n">
        <v>0</v>
      </c>
      <c r="P970" t="n">
        <v>0</v>
      </c>
      <c r="Q970" t="n">
        <v>1</v>
      </c>
      <c r="R970" s="2" t="inlineStr">
        <is>
          <t>Svavelriska</t>
        </is>
      </c>
      <c r="S970">
        <f>HYPERLINK("https://klasma.github.io/Logging_2085/artfynd/A 64097-2025 artfynd.xlsx", "A 64097-2025")</f>
        <v/>
      </c>
      <c r="T970">
        <f>HYPERLINK("https://klasma.github.io/Logging_2085/kartor/A 64097-2025 karta.png", "A 64097-2025")</f>
        <v/>
      </c>
      <c r="V970">
        <f>HYPERLINK("https://klasma.github.io/Logging_2085/klagomål/A 64097-2025 FSC-klagomål.docx", "A 64097-2025")</f>
        <v/>
      </c>
      <c r="W970">
        <f>HYPERLINK("https://klasma.github.io/Logging_2085/klagomålsmail/A 64097-2025 FSC-klagomål mail.docx", "A 64097-2025")</f>
        <v/>
      </c>
      <c r="X970">
        <f>HYPERLINK("https://klasma.github.io/Logging_2085/tillsyn/A 64097-2025 tillsynsbegäran.docx", "A 64097-2025")</f>
        <v/>
      </c>
      <c r="Y970">
        <f>HYPERLINK("https://klasma.github.io/Logging_2085/tillsynsmail/A 64097-2025 tillsynsbegäran mail.docx", "A 64097-2025")</f>
        <v/>
      </c>
    </row>
    <row r="971" ht="15" customHeight="1">
      <c r="A971" t="inlineStr">
        <is>
          <t>A 17316-2021</t>
        </is>
      </c>
      <c r="B971" s="1" t="n">
        <v>44298.62740740741</v>
      </c>
      <c r="C971" s="1" t="n">
        <v>46114</v>
      </c>
      <c r="D971" t="inlineStr">
        <is>
          <t>DALARNAS LÄN</t>
        </is>
      </c>
      <c r="E971" t="inlineStr">
        <is>
          <t>AVESTA</t>
        </is>
      </c>
      <c r="G971" t="n">
        <v>4.9</v>
      </c>
      <c r="H971" t="n">
        <v>1</v>
      </c>
      <c r="I971" t="n">
        <v>0</v>
      </c>
      <c r="J971" t="n">
        <v>0</v>
      </c>
      <c r="K971" t="n">
        <v>1</v>
      </c>
      <c r="L971" t="n">
        <v>0</v>
      </c>
      <c r="M971" t="n">
        <v>0</v>
      </c>
      <c r="N971" t="n">
        <v>0</v>
      </c>
      <c r="O971" t="n">
        <v>1</v>
      </c>
      <c r="P971" t="n">
        <v>1</v>
      </c>
      <c r="Q971" t="n">
        <v>1</v>
      </c>
      <c r="R971" s="2" t="inlineStr">
        <is>
          <t>Knärot</t>
        </is>
      </c>
      <c r="S971">
        <f>HYPERLINK("https://klasma.github.io/Logging_2084/artfynd/A 17316-2021 artfynd.xlsx", "A 17316-2021")</f>
        <v/>
      </c>
      <c r="T971">
        <f>HYPERLINK("https://klasma.github.io/Logging_2084/kartor/A 17316-2021 karta.png", "A 17316-2021")</f>
        <v/>
      </c>
      <c r="U971">
        <f>HYPERLINK("https://klasma.github.io/Logging_2084/knärot/A 17316-2021 karta knärot.png", "A 17316-2021")</f>
        <v/>
      </c>
      <c r="V971">
        <f>HYPERLINK("https://klasma.github.io/Logging_2084/klagomål/A 17316-2021 FSC-klagomål.docx", "A 17316-2021")</f>
        <v/>
      </c>
      <c r="W971">
        <f>HYPERLINK("https://klasma.github.io/Logging_2084/klagomålsmail/A 17316-2021 FSC-klagomål mail.docx", "A 17316-2021")</f>
        <v/>
      </c>
      <c r="X971">
        <f>HYPERLINK("https://klasma.github.io/Logging_2084/tillsyn/A 17316-2021 tillsynsbegäran.docx", "A 17316-2021")</f>
        <v/>
      </c>
      <c r="Y971">
        <f>HYPERLINK("https://klasma.github.io/Logging_2084/tillsynsmail/A 17316-2021 tillsynsbegäran mail.docx", "A 17316-2021")</f>
        <v/>
      </c>
    </row>
    <row r="972" ht="15" customHeight="1">
      <c r="A972" t="inlineStr">
        <is>
          <t>A 52205-2021</t>
        </is>
      </c>
      <c r="B972" s="1" t="n">
        <v>44462</v>
      </c>
      <c r="C972" s="1" t="n">
        <v>46114</v>
      </c>
      <c r="D972" t="inlineStr">
        <is>
          <t>DALARNAS LÄN</t>
        </is>
      </c>
      <c r="E972" t="inlineStr">
        <is>
          <t>SÄTER</t>
        </is>
      </c>
      <c r="F972" t="inlineStr">
        <is>
          <t>Bergvik skog väst AB</t>
        </is>
      </c>
      <c r="G972" t="n">
        <v>8.6</v>
      </c>
      <c r="H972" t="n">
        <v>0</v>
      </c>
      <c r="I972" t="n">
        <v>0</v>
      </c>
      <c r="J972" t="n">
        <v>1</v>
      </c>
      <c r="K972" t="n">
        <v>0</v>
      </c>
      <c r="L972" t="n">
        <v>0</v>
      </c>
      <c r="M972" t="n">
        <v>0</v>
      </c>
      <c r="N972" t="n">
        <v>0</v>
      </c>
      <c r="O972" t="n">
        <v>1</v>
      </c>
      <c r="P972" t="n">
        <v>0</v>
      </c>
      <c r="Q972" t="n">
        <v>1</v>
      </c>
      <c r="R972" s="2" t="inlineStr">
        <is>
          <t>Klasefibbla</t>
        </is>
      </c>
      <c r="S972">
        <f>HYPERLINK("https://klasma.github.io/Logging_2082/artfynd/A 52205-2021 artfynd.xlsx", "A 52205-2021")</f>
        <v/>
      </c>
      <c r="T972">
        <f>HYPERLINK("https://klasma.github.io/Logging_2082/kartor/A 52205-2021 karta.png", "A 52205-2021")</f>
        <v/>
      </c>
      <c r="V972">
        <f>HYPERLINK("https://klasma.github.io/Logging_2082/klagomål/A 52205-2021 FSC-klagomål.docx", "A 52205-2021")</f>
        <v/>
      </c>
      <c r="W972">
        <f>HYPERLINK("https://klasma.github.io/Logging_2082/klagomålsmail/A 52205-2021 FSC-klagomål mail.docx", "A 52205-2021")</f>
        <v/>
      </c>
      <c r="X972">
        <f>HYPERLINK("https://klasma.github.io/Logging_2082/tillsyn/A 52205-2021 tillsynsbegäran.docx", "A 52205-2021")</f>
        <v/>
      </c>
      <c r="Y972">
        <f>HYPERLINK("https://klasma.github.io/Logging_2082/tillsynsmail/A 52205-2021 tillsynsbegäran mail.docx", "A 52205-2021")</f>
        <v/>
      </c>
    </row>
    <row r="973" ht="15" customHeight="1">
      <c r="A973" t="inlineStr">
        <is>
          <t>A 352-2026</t>
        </is>
      </c>
      <c r="B973" s="1" t="n">
        <v>46027.63283564815</v>
      </c>
      <c r="C973" s="1" t="n">
        <v>46114</v>
      </c>
      <c r="D973" t="inlineStr">
        <is>
          <t>DALARNAS LÄN</t>
        </is>
      </c>
      <c r="E973" t="inlineStr">
        <is>
          <t>RÄTTVIK</t>
        </is>
      </c>
      <c r="G973" t="n">
        <v>3.7</v>
      </c>
      <c r="H973" t="n">
        <v>1</v>
      </c>
      <c r="I973" t="n">
        <v>0</v>
      </c>
      <c r="J973" t="n">
        <v>0</v>
      </c>
      <c r="K973" t="n">
        <v>1</v>
      </c>
      <c r="L973" t="n">
        <v>0</v>
      </c>
      <c r="M973" t="n">
        <v>0</v>
      </c>
      <c r="N973" t="n">
        <v>0</v>
      </c>
      <c r="O973" t="n">
        <v>1</v>
      </c>
      <c r="P973" t="n">
        <v>1</v>
      </c>
      <c r="Q973" t="n">
        <v>1</v>
      </c>
      <c r="R973" s="2" t="inlineStr">
        <is>
          <t>Väddnätfjäril</t>
        </is>
      </c>
      <c r="S973">
        <f>HYPERLINK("https://klasma.github.io/Logging_2031/artfynd/A 352-2026 artfynd.xlsx", "A 352-2026")</f>
        <v/>
      </c>
      <c r="T973">
        <f>HYPERLINK("https://klasma.github.io/Logging_2031/kartor/A 352-2026 karta.png", "A 352-2026")</f>
        <v/>
      </c>
      <c r="V973">
        <f>HYPERLINK("https://klasma.github.io/Logging_2031/klagomål/A 352-2026 FSC-klagomål.docx", "A 352-2026")</f>
        <v/>
      </c>
      <c r="W973">
        <f>HYPERLINK("https://klasma.github.io/Logging_2031/klagomålsmail/A 352-2026 FSC-klagomål mail.docx", "A 352-2026")</f>
        <v/>
      </c>
      <c r="X973">
        <f>HYPERLINK("https://klasma.github.io/Logging_2031/tillsyn/A 352-2026 tillsynsbegäran.docx", "A 352-2026")</f>
        <v/>
      </c>
      <c r="Y973">
        <f>HYPERLINK("https://klasma.github.io/Logging_2031/tillsynsmail/A 352-2026 tillsynsbegäran mail.docx", "A 352-2026")</f>
        <v/>
      </c>
    </row>
    <row r="974" ht="15" customHeight="1">
      <c r="A974" t="inlineStr">
        <is>
          <t>A 90-2026</t>
        </is>
      </c>
      <c r="B974" s="1" t="n">
        <v>46024</v>
      </c>
      <c r="C974" s="1" t="n">
        <v>46114</v>
      </c>
      <c r="D974" t="inlineStr">
        <is>
          <t>DALARNAS LÄN</t>
        </is>
      </c>
      <c r="E974" t="inlineStr">
        <is>
          <t>BORLÄNGE</t>
        </is>
      </c>
      <c r="G974" t="n">
        <v>8</v>
      </c>
      <c r="H974" t="n">
        <v>1</v>
      </c>
      <c r="I974" t="n">
        <v>0</v>
      </c>
      <c r="J974" t="n">
        <v>0</v>
      </c>
      <c r="K974" t="n">
        <v>0</v>
      </c>
      <c r="L974" t="n">
        <v>0</v>
      </c>
      <c r="M974" t="n">
        <v>0</v>
      </c>
      <c r="N974" t="n">
        <v>0</v>
      </c>
      <c r="O974" t="n">
        <v>0</v>
      </c>
      <c r="P974" t="n">
        <v>0</v>
      </c>
      <c r="Q974" t="n">
        <v>1</v>
      </c>
      <c r="R974" s="2" t="inlineStr">
        <is>
          <t>Fläcknycklar</t>
        </is>
      </c>
      <c r="S974">
        <f>HYPERLINK("https://klasma.github.io/Logging_2081/artfynd/A 90-2026 artfynd.xlsx", "A 90-2026")</f>
        <v/>
      </c>
      <c r="T974">
        <f>HYPERLINK("https://klasma.github.io/Logging_2081/kartor/A 90-2026 karta.png", "A 90-2026")</f>
        <v/>
      </c>
      <c r="V974">
        <f>HYPERLINK("https://klasma.github.io/Logging_2081/klagomål/A 90-2026 FSC-klagomål.docx", "A 90-2026")</f>
        <v/>
      </c>
      <c r="W974">
        <f>HYPERLINK("https://klasma.github.io/Logging_2081/klagomålsmail/A 90-2026 FSC-klagomål mail.docx", "A 90-2026")</f>
        <v/>
      </c>
      <c r="X974">
        <f>HYPERLINK("https://klasma.github.io/Logging_2081/tillsyn/A 90-2026 tillsynsbegäran.docx", "A 90-2026")</f>
        <v/>
      </c>
      <c r="Y974">
        <f>HYPERLINK("https://klasma.github.io/Logging_2081/tillsynsmail/A 90-2026 tillsynsbegäran mail.docx", "A 90-2026")</f>
        <v/>
      </c>
    </row>
    <row r="975" ht="15" customHeight="1">
      <c r="A975" t="inlineStr">
        <is>
          <t>A 56138-2024</t>
        </is>
      </c>
      <c r="B975" s="1" t="n">
        <v>45624.48862268519</v>
      </c>
      <c r="C975" s="1" t="n">
        <v>46114</v>
      </c>
      <c r="D975" t="inlineStr">
        <is>
          <t>DALARNAS LÄN</t>
        </is>
      </c>
      <c r="E975" t="inlineStr">
        <is>
          <t>FALUN</t>
        </is>
      </c>
      <c r="G975" t="n">
        <v>0.8</v>
      </c>
      <c r="H975" t="n">
        <v>0</v>
      </c>
      <c r="I975" t="n">
        <v>0</v>
      </c>
      <c r="J975" t="n">
        <v>0</v>
      </c>
      <c r="K975" t="n">
        <v>0</v>
      </c>
      <c r="L975" t="n">
        <v>0</v>
      </c>
      <c r="M975" t="n">
        <v>1</v>
      </c>
      <c r="N975" t="n">
        <v>0</v>
      </c>
      <c r="O975" t="n">
        <v>1</v>
      </c>
      <c r="P975" t="n">
        <v>1</v>
      </c>
      <c r="Q975" t="n">
        <v>1</v>
      </c>
      <c r="R975" s="2" t="inlineStr">
        <is>
          <t>Citronporing</t>
        </is>
      </c>
      <c r="S975">
        <f>HYPERLINK("https://klasma.github.io/Logging_2080/artfynd/A 56138-2024 artfynd.xlsx", "A 56138-2024")</f>
        <v/>
      </c>
      <c r="T975">
        <f>HYPERLINK("https://klasma.github.io/Logging_2080/kartor/A 56138-2024 karta.png", "A 56138-2024")</f>
        <v/>
      </c>
      <c r="V975">
        <f>HYPERLINK("https://klasma.github.io/Logging_2080/klagomål/A 56138-2024 FSC-klagomål.docx", "A 56138-2024")</f>
        <v/>
      </c>
      <c r="W975">
        <f>HYPERLINK("https://klasma.github.io/Logging_2080/klagomålsmail/A 56138-2024 FSC-klagomål mail.docx", "A 56138-2024")</f>
        <v/>
      </c>
      <c r="X975">
        <f>HYPERLINK("https://klasma.github.io/Logging_2080/tillsyn/A 56138-2024 tillsynsbegäran.docx", "A 56138-2024")</f>
        <v/>
      </c>
      <c r="Y975">
        <f>HYPERLINK("https://klasma.github.io/Logging_2080/tillsynsmail/A 56138-2024 tillsynsbegäran mail.docx", "A 56138-2024")</f>
        <v/>
      </c>
    </row>
    <row r="976" ht="15" customHeight="1">
      <c r="A976" t="inlineStr">
        <is>
          <t>A 650-2026</t>
        </is>
      </c>
      <c r="B976" s="1" t="n">
        <v>46029</v>
      </c>
      <c r="C976" s="1" t="n">
        <v>46114</v>
      </c>
      <c r="D976" t="inlineStr">
        <is>
          <t>DALARNAS LÄN</t>
        </is>
      </c>
      <c r="E976" t="inlineStr">
        <is>
          <t>SÄTER</t>
        </is>
      </c>
      <c r="G976" t="n">
        <v>5.9</v>
      </c>
      <c r="H976" t="n">
        <v>0</v>
      </c>
      <c r="I976" t="n">
        <v>0</v>
      </c>
      <c r="J976" t="n">
        <v>1</v>
      </c>
      <c r="K976" t="n">
        <v>0</v>
      </c>
      <c r="L976" t="n">
        <v>0</v>
      </c>
      <c r="M976" t="n">
        <v>0</v>
      </c>
      <c r="N976" t="n">
        <v>0</v>
      </c>
      <c r="O976" t="n">
        <v>1</v>
      </c>
      <c r="P976" t="n">
        <v>0</v>
      </c>
      <c r="Q976" t="n">
        <v>1</v>
      </c>
      <c r="R976" s="2" t="inlineStr">
        <is>
          <t>Rosenticka</t>
        </is>
      </c>
      <c r="S976">
        <f>HYPERLINK("https://klasma.github.io/Logging_2082/artfynd/A 650-2026 artfynd.xlsx", "A 650-2026")</f>
        <v/>
      </c>
      <c r="T976">
        <f>HYPERLINK("https://klasma.github.io/Logging_2082/kartor/A 650-2026 karta.png", "A 650-2026")</f>
        <v/>
      </c>
      <c r="V976">
        <f>HYPERLINK("https://klasma.github.io/Logging_2082/klagomål/A 650-2026 FSC-klagomål.docx", "A 650-2026")</f>
        <v/>
      </c>
      <c r="W976">
        <f>HYPERLINK("https://klasma.github.io/Logging_2082/klagomålsmail/A 650-2026 FSC-klagomål mail.docx", "A 650-2026")</f>
        <v/>
      </c>
      <c r="X976">
        <f>HYPERLINK("https://klasma.github.io/Logging_2082/tillsyn/A 650-2026 tillsynsbegäran.docx", "A 650-2026")</f>
        <v/>
      </c>
      <c r="Y976">
        <f>HYPERLINK("https://klasma.github.io/Logging_2082/tillsynsmail/A 650-2026 tillsynsbegäran mail.docx", "A 650-2026")</f>
        <v/>
      </c>
    </row>
    <row r="977" ht="15" customHeight="1">
      <c r="A977" t="inlineStr">
        <is>
          <t>A 755-2026</t>
        </is>
      </c>
      <c r="B977" s="1" t="n">
        <v>46029.68619212963</v>
      </c>
      <c r="C977" s="1" t="n">
        <v>46114</v>
      </c>
      <c r="D977" t="inlineStr">
        <is>
          <t>DALARNAS LÄN</t>
        </is>
      </c>
      <c r="E977" t="inlineStr">
        <is>
          <t>BORLÄNGE</t>
        </is>
      </c>
      <c r="G977" t="n">
        <v>6.7</v>
      </c>
      <c r="H977" t="n">
        <v>1</v>
      </c>
      <c r="I977" t="n">
        <v>0</v>
      </c>
      <c r="J977" t="n">
        <v>0</v>
      </c>
      <c r="K977" t="n">
        <v>1</v>
      </c>
      <c r="L977" t="n">
        <v>0</v>
      </c>
      <c r="M977" t="n">
        <v>0</v>
      </c>
      <c r="N977" t="n">
        <v>0</v>
      </c>
      <c r="O977" t="n">
        <v>1</v>
      </c>
      <c r="P977" t="n">
        <v>1</v>
      </c>
      <c r="Q977" t="n">
        <v>1</v>
      </c>
      <c r="R977" s="2" t="inlineStr">
        <is>
          <t>Knärot</t>
        </is>
      </c>
      <c r="S977">
        <f>HYPERLINK("https://klasma.github.io/Logging_2081/artfynd/A 755-2026 artfynd.xlsx", "A 755-2026")</f>
        <v/>
      </c>
      <c r="T977">
        <f>HYPERLINK("https://klasma.github.io/Logging_2081/kartor/A 755-2026 karta.png", "A 755-2026")</f>
        <v/>
      </c>
      <c r="U977">
        <f>HYPERLINK("https://klasma.github.io/Logging_2081/knärot/A 755-2026 karta knärot.png", "A 755-2026")</f>
        <v/>
      </c>
      <c r="V977">
        <f>HYPERLINK("https://klasma.github.io/Logging_2081/klagomål/A 755-2026 FSC-klagomål.docx", "A 755-2026")</f>
        <v/>
      </c>
      <c r="W977">
        <f>HYPERLINK("https://klasma.github.io/Logging_2081/klagomålsmail/A 755-2026 FSC-klagomål mail.docx", "A 755-2026")</f>
        <v/>
      </c>
      <c r="X977">
        <f>HYPERLINK("https://klasma.github.io/Logging_2081/tillsyn/A 755-2026 tillsynsbegäran.docx", "A 755-2026")</f>
        <v/>
      </c>
      <c r="Y977">
        <f>HYPERLINK("https://klasma.github.io/Logging_2081/tillsynsmail/A 755-2026 tillsynsbegäran mail.docx", "A 755-2026")</f>
        <v/>
      </c>
    </row>
    <row r="978" ht="15" customHeight="1">
      <c r="A978" t="inlineStr">
        <is>
          <t>A 1342-2026</t>
        </is>
      </c>
      <c r="B978" s="1" t="n">
        <v>46031</v>
      </c>
      <c r="C978" s="1" t="n">
        <v>46114</v>
      </c>
      <c r="D978" t="inlineStr">
        <is>
          <t>DALARNAS LÄN</t>
        </is>
      </c>
      <c r="E978" t="inlineStr">
        <is>
          <t>FALUN</t>
        </is>
      </c>
      <c r="G978" t="n">
        <v>14.9</v>
      </c>
      <c r="H978" t="n">
        <v>1</v>
      </c>
      <c r="I978" t="n">
        <v>0</v>
      </c>
      <c r="J978" t="n">
        <v>1</v>
      </c>
      <c r="K978" t="n">
        <v>0</v>
      </c>
      <c r="L978" t="n">
        <v>0</v>
      </c>
      <c r="M978" t="n">
        <v>0</v>
      </c>
      <c r="N978" t="n">
        <v>0</v>
      </c>
      <c r="O978" t="n">
        <v>1</v>
      </c>
      <c r="P978" t="n">
        <v>0</v>
      </c>
      <c r="Q978" t="n">
        <v>1</v>
      </c>
      <c r="R978" s="2" t="inlineStr">
        <is>
          <t>Hornuggla</t>
        </is>
      </c>
      <c r="S978">
        <f>HYPERLINK("https://klasma.github.io/Logging_2080/artfynd/A 1342-2026 artfynd.xlsx", "A 1342-2026")</f>
        <v/>
      </c>
      <c r="T978">
        <f>HYPERLINK("https://klasma.github.io/Logging_2080/kartor/A 1342-2026 karta.png", "A 1342-2026")</f>
        <v/>
      </c>
      <c r="V978">
        <f>HYPERLINK("https://klasma.github.io/Logging_2080/klagomål/A 1342-2026 FSC-klagomål.docx", "A 1342-2026")</f>
        <v/>
      </c>
      <c r="W978">
        <f>HYPERLINK("https://klasma.github.io/Logging_2080/klagomålsmail/A 1342-2026 FSC-klagomål mail.docx", "A 1342-2026")</f>
        <v/>
      </c>
      <c r="X978">
        <f>HYPERLINK("https://klasma.github.io/Logging_2080/tillsyn/A 1342-2026 tillsynsbegäran.docx", "A 1342-2026")</f>
        <v/>
      </c>
      <c r="Y978">
        <f>HYPERLINK("https://klasma.github.io/Logging_2080/tillsynsmail/A 1342-2026 tillsynsbegäran mail.docx", "A 1342-2026")</f>
        <v/>
      </c>
      <c r="Z978">
        <f>HYPERLINK("https://klasma.github.io/Logging_2080/fåglar/A 1342-2026 prioriterade fågelarter.docx", "A 1342-2026")</f>
        <v/>
      </c>
    </row>
    <row r="979" ht="15" customHeight="1">
      <c r="A979" t="inlineStr">
        <is>
          <t>A 835-2026</t>
        </is>
      </c>
      <c r="B979" s="1" t="n">
        <v>46030</v>
      </c>
      <c r="C979" s="1" t="n">
        <v>46114</v>
      </c>
      <c r="D979" t="inlineStr">
        <is>
          <t>DALARNAS LÄN</t>
        </is>
      </c>
      <c r="E979" t="inlineStr">
        <is>
          <t>SÄTER</t>
        </is>
      </c>
      <c r="G979" t="n">
        <v>9.4</v>
      </c>
      <c r="H979" t="n">
        <v>0</v>
      </c>
      <c r="I979" t="n">
        <v>0</v>
      </c>
      <c r="J979" t="n">
        <v>1</v>
      </c>
      <c r="K979" t="n">
        <v>0</v>
      </c>
      <c r="L979" t="n">
        <v>0</v>
      </c>
      <c r="M979" t="n">
        <v>0</v>
      </c>
      <c r="N979" t="n">
        <v>0</v>
      </c>
      <c r="O979" t="n">
        <v>1</v>
      </c>
      <c r="P979" t="n">
        <v>0</v>
      </c>
      <c r="Q979" t="n">
        <v>1</v>
      </c>
      <c r="R979" s="2" t="inlineStr">
        <is>
          <t>Ullticka</t>
        </is>
      </c>
      <c r="S979">
        <f>HYPERLINK("https://klasma.github.io/Logging_2082/artfynd/A 835-2026 artfynd.xlsx", "A 835-2026")</f>
        <v/>
      </c>
      <c r="T979">
        <f>HYPERLINK("https://klasma.github.io/Logging_2082/kartor/A 835-2026 karta.png", "A 835-2026")</f>
        <v/>
      </c>
      <c r="V979">
        <f>HYPERLINK("https://klasma.github.io/Logging_2082/klagomål/A 835-2026 FSC-klagomål.docx", "A 835-2026")</f>
        <v/>
      </c>
      <c r="W979">
        <f>HYPERLINK("https://klasma.github.io/Logging_2082/klagomålsmail/A 835-2026 FSC-klagomål mail.docx", "A 835-2026")</f>
        <v/>
      </c>
      <c r="X979">
        <f>HYPERLINK("https://klasma.github.io/Logging_2082/tillsyn/A 835-2026 tillsynsbegäran.docx", "A 835-2026")</f>
        <v/>
      </c>
      <c r="Y979">
        <f>HYPERLINK("https://klasma.github.io/Logging_2082/tillsynsmail/A 835-2026 tillsynsbegäran mail.docx", "A 835-2026")</f>
        <v/>
      </c>
    </row>
    <row r="980" ht="15" customHeight="1">
      <c r="A980" t="inlineStr">
        <is>
          <t>A 1237-2026</t>
        </is>
      </c>
      <c r="B980" s="1" t="n">
        <v>46031.41959490741</v>
      </c>
      <c r="C980" s="1" t="n">
        <v>46114</v>
      </c>
      <c r="D980" t="inlineStr">
        <is>
          <t>DALARNAS LÄN</t>
        </is>
      </c>
      <c r="E980" t="inlineStr">
        <is>
          <t>LUDVIKA</t>
        </is>
      </c>
      <c r="G980" t="n">
        <v>5.9</v>
      </c>
      <c r="H980" t="n">
        <v>1</v>
      </c>
      <c r="I980" t="n">
        <v>0</v>
      </c>
      <c r="J980" t="n">
        <v>0</v>
      </c>
      <c r="K980" t="n">
        <v>0</v>
      </c>
      <c r="L980" t="n">
        <v>0</v>
      </c>
      <c r="M980" t="n">
        <v>0</v>
      </c>
      <c r="N980" t="n">
        <v>0</v>
      </c>
      <c r="O980" t="n">
        <v>0</v>
      </c>
      <c r="P980" t="n">
        <v>0</v>
      </c>
      <c r="Q980" t="n">
        <v>1</v>
      </c>
      <c r="R980" s="2" t="inlineStr">
        <is>
          <t>Fläcknycklar</t>
        </is>
      </c>
      <c r="S980">
        <f>HYPERLINK("https://klasma.github.io/Logging_2085/artfynd/A 1237-2026 artfynd.xlsx", "A 1237-2026")</f>
        <v/>
      </c>
      <c r="T980">
        <f>HYPERLINK("https://klasma.github.io/Logging_2085/kartor/A 1237-2026 karta.png", "A 1237-2026")</f>
        <v/>
      </c>
      <c r="V980">
        <f>HYPERLINK("https://klasma.github.io/Logging_2085/klagomål/A 1237-2026 FSC-klagomål.docx", "A 1237-2026")</f>
        <v/>
      </c>
      <c r="W980">
        <f>HYPERLINK("https://klasma.github.io/Logging_2085/klagomålsmail/A 1237-2026 FSC-klagomål mail.docx", "A 1237-2026")</f>
        <v/>
      </c>
      <c r="X980">
        <f>HYPERLINK("https://klasma.github.io/Logging_2085/tillsyn/A 1237-2026 tillsynsbegäran.docx", "A 1237-2026")</f>
        <v/>
      </c>
      <c r="Y980">
        <f>HYPERLINK("https://klasma.github.io/Logging_2085/tillsynsmail/A 1237-2026 tillsynsbegäran mail.docx", "A 1237-2026")</f>
        <v/>
      </c>
    </row>
    <row r="981" ht="15" customHeight="1">
      <c r="A981" t="inlineStr">
        <is>
          <t>A 1317-2026</t>
        </is>
      </c>
      <c r="B981" s="1" t="n">
        <v>46031.54094907407</v>
      </c>
      <c r="C981" s="1" t="n">
        <v>46114</v>
      </c>
      <c r="D981" t="inlineStr">
        <is>
          <t>DALARNAS LÄN</t>
        </is>
      </c>
      <c r="E981" t="inlineStr">
        <is>
          <t>FALUN</t>
        </is>
      </c>
      <c r="G981" t="n">
        <v>27.3</v>
      </c>
      <c r="H981" t="n">
        <v>1</v>
      </c>
      <c r="I981" t="n">
        <v>0</v>
      </c>
      <c r="J981" t="n">
        <v>0</v>
      </c>
      <c r="K981" t="n">
        <v>0</v>
      </c>
      <c r="L981" t="n">
        <v>0</v>
      </c>
      <c r="M981" t="n">
        <v>0</v>
      </c>
      <c r="N981" t="n">
        <v>0</v>
      </c>
      <c r="O981" t="n">
        <v>0</v>
      </c>
      <c r="P981" t="n">
        <v>0</v>
      </c>
      <c r="Q981" t="n">
        <v>1</v>
      </c>
      <c r="R981" s="2" t="inlineStr">
        <is>
          <t>Gul groddlummer</t>
        </is>
      </c>
      <c r="S981">
        <f>HYPERLINK("https://klasma.github.io/Logging_2080/artfynd/A 1317-2026 artfynd.xlsx", "A 1317-2026")</f>
        <v/>
      </c>
      <c r="T981">
        <f>HYPERLINK("https://klasma.github.io/Logging_2080/kartor/A 1317-2026 karta.png", "A 1317-2026")</f>
        <v/>
      </c>
      <c r="V981">
        <f>HYPERLINK("https://klasma.github.io/Logging_2080/klagomål/A 1317-2026 FSC-klagomål.docx", "A 1317-2026")</f>
        <v/>
      </c>
      <c r="W981">
        <f>HYPERLINK("https://klasma.github.io/Logging_2080/klagomålsmail/A 1317-2026 FSC-klagomål mail.docx", "A 1317-2026")</f>
        <v/>
      </c>
      <c r="X981">
        <f>HYPERLINK("https://klasma.github.io/Logging_2080/tillsyn/A 1317-2026 tillsynsbegäran.docx", "A 1317-2026")</f>
        <v/>
      </c>
      <c r="Y981">
        <f>HYPERLINK("https://klasma.github.io/Logging_2080/tillsynsmail/A 1317-2026 tillsynsbegäran mail.docx", "A 1317-2026")</f>
        <v/>
      </c>
    </row>
    <row r="982" ht="15" customHeight="1">
      <c r="A982" t="inlineStr">
        <is>
          <t>A 777-2026</t>
        </is>
      </c>
      <c r="B982" s="1" t="n">
        <v>46029.77950231481</v>
      </c>
      <c r="C982" s="1" t="n">
        <v>46114</v>
      </c>
      <c r="D982" t="inlineStr">
        <is>
          <t>DALARNAS LÄN</t>
        </is>
      </c>
      <c r="E982" t="inlineStr">
        <is>
          <t>MALUNG-SÄLEN</t>
        </is>
      </c>
      <c r="F982" t="inlineStr">
        <is>
          <t>Bergvik skog väst AB</t>
        </is>
      </c>
      <c r="G982" t="n">
        <v>27</v>
      </c>
      <c r="H982" t="n">
        <v>1</v>
      </c>
      <c r="I982" t="n">
        <v>0</v>
      </c>
      <c r="J982" t="n">
        <v>1</v>
      </c>
      <c r="K982" t="n">
        <v>0</v>
      </c>
      <c r="L982" t="n">
        <v>0</v>
      </c>
      <c r="M982" t="n">
        <v>0</v>
      </c>
      <c r="N982" t="n">
        <v>0</v>
      </c>
      <c r="O982" t="n">
        <v>1</v>
      </c>
      <c r="P982" t="n">
        <v>0</v>
      </c>
      <c r="Q982" t="n">
        <v>1</v>
      </c>
      <c r="R982" s="2" t="inlineStr">
        <is>
          <t>Kungsörn</t>
        </is>
      </c>
      <c r="S982">
        <f>HYPERLINK("https://klasma.github.io/Logging_2023/artfynd/A 777-2026 artfynd.xlsx", "A 777-2026")</f>
        <v/>
      </c>
      <c r="T982">
        <f>HYPERLINK("https://klasma.github.io/Logging_2023/kartor/A 777-2026 karta.png", "A 777-2026")</f>
        <v/>
      </c>
      <c r="V982">
        <f>HYPERLINK("https://klasma.github.io/Logging_2023/klagomål/A 777-2026 FSC-klagomål.docx", "A 777-2026")</f>
        <v/>
      </c>
      <c r="W982">
        <f>HYPERLINK("https://klasma.github.io/Logging_2023/klagomålsmail/A 777-2026 FSC-klagomål mail.docx", "A 777-2026")</f>
        <v/>
      </c>
      <c r="X982">
        <f>HYPERLINK("https://klasma.github.io/Logging_2023/tillsyn/A 777-2026 tillsynsbegäran.docx", "A 777-2026")</f>
        <v/>
      </c>
      <c r="Y982">
        <f>HYPERLINK("https://klasma.github.io/Logging_2023/tillsynsmail/A 777-2026 tillsynsbegäran mail.docx", "A 777-2026")</f>
        <v/>
      </c>
      <c r="Z982">
        <f>HYPERLINK("https://klasma.github.io/Logging_2023/fåglar/A 777-2026 prioriterade fågelarter.docx", "A 777-2026")</f>
        <v/>
      </c>
    </row>
    <row r="983" ht="15" customHeight="1">
      <c r="A983" t="inlineStr">
        <is>
          <t>A 1993-2026</t>
        </is>
      </c>
      <c r="B983" s="1" t="n">
        <v>46035.67405092593</v>
      </c>
      <c r="C983" s="1" t="n">
        <v>46114</v>
      </c>
      <c r="D983" t="inlineStr">
        <is>
          <t>DALARNAS LÄN</t>
        </is>
      </c>
      <c r="E983" t="inlineStr">
        <is>
          <t>AVESTA</t>
        </is>
      </c>
      <c r="G983" t="n">
        <v>4</v>
      </c>
      <c r="H983" t="n">
        <v>1</v>
      </c>
      <c r="I983" t="n">
        <v>0</v>
      </c>
      <c r="J983" t="n">
        <v>0</v>
      </c>
      <c r="K983" t="n">
        <v>0</v>
      </c>
      <c r="L983" t="n">
        <v>0</v>
      </c>
      <c r="M983" t="n">
        <v>0</v>
      </c>
      <c r="N983" t="n">
        <v>0</v>
      </c>
      <c r="O983" t="n">
        <v>0</v>
      </c>
      <c r="P983" t="n">
        <v>0</v>
      </c>
      <c r="Q983" t="n">
        <v>1</v>
      </c>
      <c r="R983" s="2" t="inlineStr">
        <is>
          <t>Fläcknycklar</t>
        </is>
      </c>
      <c r="S983">
        <f>HYPERLINK("https://klasma.github.io/Logging_2084/artfynd/A 1993-2026 artfynd.xlsx", "A 1993-2026")</f>
        <v/>
      </c>
      <c r="T983">
        <f>HYPERLINK("https://klasma.github.io/Logging_2084/kartor/A 1993-2026 karta.png", "A 1993-2026")</f>
        <v/>
      </c>
      <c r="V983">
        <f>HYPERLINK("https://klasma.github.io/Logging_2084/klagomål/A 1993-2026 FSC-klagomål.docx", "A 1993-2026")</f>
        <v/>
      </c>
      <c r="W983">
        <f>HYPERLINK("https://klasma.github.io/Logging_2084/klagomålsmail/A 1993-2026 FSC-klagomål mail.docx", "A 1993-2026")</f>
        <v/>
      </c>
      <c r="X983">
        <f>HYPERLINK("https://klasma.github.io/Logging_2084/tillsyn/A 1993-2026 tillsynsbegäran.docx", "A 1993-2026")</f>
        <v/>
      </c>
      <c r="Y983">
        <f>HYPERLINK("https://klasma.github.io/Logging_2084/tillsynsmail/A 1993-2026 tillsynsbegäran mail.docx", "A 1993-2026")</f>
        <v/>
      </c>
    </row>
    <row r="984" ht="15" customHeight="1">
      <c r="A984" t="inlineStr">
        <is>
          <t>A 45362-2024</t>
        </is>
      </c>
      <c r="B984" s="1" t="n">
        <v>45576</v>
      </c>
      <c r="C984" s="1" t="n">
        <v>46114</v>
      </c>
      <c r="D984" t="inlineStr">
        <is>
          <t>DALARNAS LÄN</t>
        </is>
      </c>
      <c r="E984" t="inlineStr">
        <is>
          <t>VANSBRO</t>
        </is>
      </c>
      <c r="G984" t="n">
        <v>4.2</v>
      </c>
      <c r="H984" t="n">
        <v>0</v>
      </c>
      <c r="I984" t="n">
        <v>1</v>
      </c>
      <c r="J984" t="n">
        <v>0</v>
      </c>
      <c r="K984" t="n">
        <v>0</v>
      </c>
      <c r="L984" t="n">
        <v>0</v>
      </c>
      <c r="M984" t="n">
        <v>0</v>
      </c>
      <c r="N984" t="n">
        <v>0</v>
      </c>
      <c r="O984" t="n">
        <v>0</v>
      </c>
      <c r="P984" t="n">
        <v>0</v>
      </c>
      <c r="Q984" t="n">
        <v>1</v>
      </c>
      <c r="R984" s="2" t="inlineStr">
        <is>
          <t>Bollvitmossa</t>
        </is>
      </c>
      <c r="S984">
        <f>HYPERLINK("https://klasma.github.io/Logging_2021/artfynd/A 45362-2024 artfynd.xlsx", "A 45362-2024")</f>
        <v/>
      </c>
      <c r="T984">
        <f>HYPERLINK("https://klasma.github.io/Logging_2021/kartor/A 45362-2024 karta.png", "A 45362-2024")</f>
        <v/>
      </c>
      <c r="V984">
        <f>HYPERLINK("https://klasma.github.io/Logging_2021/klagomål/A 45362-2024 FSC-klagomål.docx", "A 45362-2024")</f>
        <v/>
      </c>
      <c r="W984">
        <f>HYPERLINK("https://klasma.github.io/Logging_2021/klagomålsmail/A 45362-2024 FSC-klagomål mail.docx", "A 45362-2024")</f>
        <v/>
      </c>
      <c r="X984">
        <f>HYPERLINK("https://klasma.github.io/Logging_2021/tillsyn/A 45362-2024 tillsynsbegäran.docx", "A 45362-2024")</f>
        <v/>
      </c>
      <c r="Y984">
        <f>HYPERLINK("https://klasma.github.io/Logging_2021/tillsynsmail/A 45362-2024 tillsynsbegäran mail.docx", "A 45362-2024")</f>
        <v/>
      </c>
    </row>
    <row r="985" ht="15" customHeight="1">
      <c r="A985" t="inlineStr">
        <is>
          <t>A 366-2026</t>
        </is>
      </c>
      <c r="B985" s="1" t="n">
        <v>46027</v>
      </c>
      <c r="C985" s="1" t="n">
        <v>46114</v>
      </c>
      <c r="D985" t="inlineStr">
        <is>
          <t>DALARNAS LÄN</t>
        </is>
      </c>
      <c r="E985" t="inlineStr">
        <is>
          <t>LEKSAND</t>
        </is>
      </c>
      <c r="G985" t="n">
        <v>21.7</v>
      </c>
      <c r="H985" t="n">
        <v>0</v>
      </c>
      <c r="I985" t="n">
        <v>0</v>
      </c>
      <c r="J985" t="n">
        <v>1</v>
      </c>
      <c r="K985" t="n">
        <v>0</v>
      </c>
      <c r="L985" t="n">
        <v>0</v>
      </c>
      <c r="M985" t="n">
        <v>0</v>
      </c>
      <c r="N985" t="n">
        <v>0</v>
      </c>
      <c r="O985" t="n">
        <v>1</v>
      </c>
      <c r="P985" t="n">
        <v>0</v>
      </c>
      <c r="Q985" t="n">
        <v>1</v>
      </c>
      <c r="R985" s="2" t="inlineStr">
        <is>
          <t>Ullticka</t>
        </is>
      </c>
      <c r="S985">
        <f>HYPERLINK("https://klasma.github.io/Logging_2029/artfynd/A 366-2026 artfynd.xlsx", "A 366-2026")</f>
        <v/>
      </c>
      <c r="T985">
        <f>HYPERLINK("https://klasma.github.io/Logging_2029/kartor/A 366-2026 karta.png", "A 366-2026")</f>
        <v/>
      </c>
      <c r="V985">
        <f>HYPERLINK("https://klasma.github.io/Logging_2029/klagomål/A 366-2026 FSC-klagomål.docx", "A 366-2026")</f>
        <v/>
      </c>
      <c r="W985">
        <f>HYPERLINK("https://klasma.github.io/Logging_2029/klagomålsmail/A 366-2026 FSC-klagomål mail.docx", "A 366-2026")</f>
        <v/>
      </c>
      <c r="X985">
        <f>HYPERLINK("https://klasma.github.io/Logging_2029/tillsyn/A 366-2026 tillsynsbegäran.docx", "A 366-2026")</f>
        <v/>
      </c>
      <c r="Y985">
        <f>HYPERLINK("https://klasma.github.io/Logging_2029/tillsynsmail/A 366-2026 tillsynsbegäran mail.docx", "A 366-2026")</f>
        <v/>
      </c>
    </row>
    <row r="986" ht="15" customHeight="1">
      <c r="A986" t="inlineStr">
        <is>
          <t>A 45201-2024</t>
        </is>
      </c>
      <c r="B986" s="1" t="n">
        <v>45575</v>
      </c>
      <c r="C986" s="1" t="n">
        <v>46114</v>
      </c>
      <c r="D986" t="inlineStr">
        <is>
          <t>DALARNAS LÄN</t>
        </is>
      </c>
      <c r="E986" t="inlineStr">
        <is>
          <t>ÄLVDALEN</t>
        </is>
      </c>
      <c r="G986" t="n">
        <v>24.5</v>
      </c>
      <c r="H986" t="n">
        <v>1</v>
      </c>
      <c r="I986" t="n">
        <v>0</v>
      </c>
      <c r="J986" t="n">
        <v>1</v>
      </c>
      <c r="K986" t="n">
        <v>0</v>
      </c>
      <c r="L986" t="n">
        <v>0</v>
      </c>
      <c r="M986" t="n">
        <v>0</v>
      </c>
      <c r="N986" t="n">
        <v>0</v>
      </c>
      <c r="O986" t="n">
        <v>1</v>
      </c>
      <c r="P986" t="n">
        <v>0</v>
      </c>
      <c r="Q986" t="n">
        <v>1</v>
      </c>
      <c r="R986" s="2" t="inlineStr">
        <is>
          <t>Varglav</t>
        </is>
      </c>
      <c r="S986">
        <f>HYPERLINK("https://klasma.github.io/Logging_2039/artfynd/A 45201-2024 artfynd.xlsx", "A 45201-2024")</f>
        <v/>
      </c>
      <c r="T986">
        <f>HYPERLINK("https://klasma.github.io/Logging_2039/kartor/A 45201-2024 karta.png", "A 45201-2024")</f>
        <v/>
      </c>
      <c r="V986">
        <f>HYPERLINK("https://klasma.github.io/Logging_2039/klagomål/A 45201-2024 FSC-klagomål.docx", "A 45201-2024")</f>
        <v/>
      </c>
      <c r="W986">
        <f>HYPERLINK("https://klasma.github.io/Logging_2039/klagomålsmail/A 45201-2024 FSC-klagomål mail.docx", "A 45201-2024")</f>
        <v/>
      </c>
      <c r="X986">
        <f>HYPERLINK("https://klasma.github.io/Logging_2039/tillsyn/A 45201-2024 tillsynsbegäran.docx", "A 45201-2024")</f>
        <v/>
      </c>
      <c r="Y986">
        <f>HYPERLINK("https://klasma.github.io/Logging_2039/tillsynsmail/A 45201-2024 tillsynsbegäran mail.docx", "A 45201-2024")</f>
        <v/>
      </c>
    </row>
    <row r="987" ht="15" customHeight="1">
      <c r="A987" t="inlineStr">
        <is>
          <t>A 2112-2026</t>
        </is>
      </c>
      <c r="B987" s="1" t="n">
        <v>46036</v>
      </c>
      <c r="C987" s="1" t="n">
        <v>46114</v>
      </c>
      <c r="D987" t="inlineStr">
        <is>
          <t>DALARNAS LÄN</t>
        </is>
      </c>
      <c r="E987" t="inlineStr">
        <is>
          <t>RÄTTVIK</t>
        </is>
      </c>
      <c r="G987" t="n">
        <v>8.6</v>
      </c>
      <c r="H987" t="n">
        <v>0</v>
      </c>
      <c r="I987" t="n">
        <v>1</v>
      </c>
      <c r="J987" t="n">
        <v>0</v>
      </c>
      <c r="K987" t="n">
        <v>0</v>
      </c>
      <c r="L987" t="n">
        <v>0</v>
      </c>
      <c r="M987" t="n">
        <v>0</v>
      </c>
      <c r="N987" t="n">
        <v>0</v>
      </c>
      <c r="O987" t="n">
        <v>0</v>
      </c>
      <c r="P987" t="n">
        <v>0</v>
      </c>
      <c r="Q987" t="n">
        <v>1</v>
      </c>
      <c r="R987" s="2" t="inlineStr">
        <is>
          <t>Axag</t>
        </is>
      </c>
      <c r="S987">
        <f>HYPERLINK("https://klasma.github.io/Logging_2031/artfynd/A 2112-2026 artfynd.xlsx", "A 2112-2026")</f>
        <v/>
      </c>
      <c r="T987">
        <f>HYPERLINK("https://klasma.github.io/Logging_2031/kartor/A 2112-2026 karta.png", "A 2112-2026")</f>
        <v/>
      </c>
      <c r="V987">
        <f>HYPERLINK("https://klasma.github.io/Logging_2031/klagomål/A 2112-2026 FSC-klagomål.docx", "A 2112-2026")</f>
        <v/>
      </c>
      <c r="W987">
        <f>HYPERLINK("https://klasma.github.io/Logging_2031/klagomålsmail/A 2112-2026 FSC-klagomål mail.docx", "A 2112-2026")</f>
        <v/>
      </c>
      <c r="X987">
        <f>HYPERLINK("https://klasma.github.io/Logging_2031/tillsyn/A 2112-2026 tillsynsbegäran.docx", "A 2112-2026")</f>
        <v/>
      </c>
      <c r="Y987">
        <f>HYPERLINK("https://klasma.github.io/Logging_2031/tillsynsmail/A 2112-2026 tillsynsbegäran mail.docx", "A 2112-2026")</f>
        <v/>
      </c>
    </row>
    <row r="988" ht="15" customHeight="1">
      <c r="A988" t="inlineStr">
        <is>
          <t>A 2164-2026</t>
        </is>
      </c>
      <c r="B988" s="1" t="n">
        <v>46036.43939814815</v>
      </c>
      <c r="C988" s="1" t="n">
        <v>46114</v>
      </c>
      <c r="D988" t="inlineStr">
        <is>
          <t>DALARNAS LÄN</t>
        </is>
      </c>
      <c r="E988" t="inlineStr">
        <is>
          <t>HEDEMORA</t>
        </is>
      </c>
      <c r="F988" t="inlineStr">
        <is>
          <t>Kyrkan</t>
        </is>
      </c>
      <c r="G988" t="n">
        <v>4.9</v>
      </c>
      <c r="H988" t="n">
        <v>1</v>
      </c>
      <c r="I988" t="n">
        <v>0</v>
      </c>
      <c r="J988" t="n">
        <v>0</v>
      </c>
      <c r="K988" t="n">
        <v>1</v>
      </c>
      <c r="L988" t="n">
        <v>0</v>
      </c>
      <c r="M988" t="n">
        <v>0</v>
      </c>
      <c r="N988" t="n">
        <v>0</v>
      </c>
      <c r="O988" t="n">
        <v>1</v>
      </c>
      <c r="P988" t="n">
        <v>1</v>
      </c>
      <c r="Q988" t="n">
        <v>1</v>
      </c>
      <c r="R988" s="2" t="inlineStr">
        <is>
          <t>Knärot</t>
        </is>
      </c>
      <c r="S988">
        <f>HYPERLINK("https://klasma.github.io/Logging_2083/artfynd/A 2164-2026 artfynd.xlsx", "A 2164-2026")</f>
        <v/>
      </c>
      <c r="T988">
        <f>HYPERLINK("https://klasma.github.io/Logging_2083/kartor/A 2164-2026 karta.png", "A 2164-2026")</f>
        <v/>
      </c>
      <c r="U988">
        <f>HYPERLINK("https://klasma.github.io/Logging_2083/knärot/A 2164-2026 karta knärot.png", "A 2164-2026")</f>
        <v/>
      </c>
      <c r="V988">
        <f>HYPERLINK("https://klasma.github.io/Logging_2083/klagomål/A 2164-2026 FSC-klagomål.docx", "A 2164-2026")</f>
        <v/>
      </c>
      <c r="W988">
        <f>HYPERLINK("https://klasma.github.io/Logging_2083/klagomålsmail/A 2164-2026 FSC-klagomål mail.docx", "A 2164-2026")</f>
        <v/>
      </c>
      <c r="X988">
        <f>HYPERLINK("https://klasma.github.io/Logging_2083/tillsyn/A 2164-2026 tillsynsbegäran.docx", "A 2164-2026")</f>
        <v/>
      </c>
      <c r="Y988">
        <f>HYPERLINK("https://klasma.github.io/Logging_2083/tillsynsmail/A 2164-2026 tillsynsbegäran mail.docx", "A 2164-2026")</f>
        <v/>
      </c>
    </row>
    <row r="989" ht="15" customHeight="1">
      <c r="A989" t="inlineStr">
        <is>
          <t>A 2303-2026</t>
        </is>
      </c>
      <c r="B989" s="1" t="n">
        <v>46036.59011574074</v>
      </c>
      <c r="C989" s="1" t="n">
        <v>46114</v>
      </c>
      <c r="D989" t="inlineStr">
        <is>
          <t>DALARNAS LÄN</t>
        </is>
      </c>
      <c r="E989" t="inlineStr">
        <is>
          <t>BORLÄNGE</t>
        </is>
      </c>
      <c r="G989" t="n">
        <v>6.8</v>
      </c>
      <c r="H989" t="n">
        <v>0</v>
      </c>
      <c r="I989" t="n">
        <v>1</v>
      </c>
      <c r="J989" t="n">
        <v>0</v>
      </c>
      <c r="K989" t="n">
        <v>0</v>
      </c>
      <c r="L989" t="n">
        <v>0</v>
      </c>
      <c r="M989" t="n">
        <v>0</v>
      </c>
      <c r="N989" t="n">
        <v>0</v>
      </c>
      <c r="O989" t="n">
        <v>0</v>
      </c>
      <c r="P989" t="n">
        <v>0</v>
      </c>
      <c r="Q989" t="n">
        <v>1</v>
      </c>
      <c r="R989" s="2" t="inlineStr">
        <is>
          <t>Skarp dropptaggsvamp</t>
        </is>
      </c>
      <c r="S989">
        <f>HYPERLINK("https://klasma.github.io/Logging_2081/artfynd/A 2303-2026 artfynd.xlsx", "A 2303-2026")</f>
        <v/>
      </c>
      <c r="T989">
        <f>HYPERLINK("https://klasma.github.io/Logging_2081/kartor/A 2303-2026 karta.png", "A 2303-2026")</f>
        <v/>
      </c>
      <c r="V989">
        <f>HYPERLINK("https://klasma.github.io/Logging_2081/klagomål/A 2303-2026 FSC-klagomål.docx", "A 2303-2026")</f>
        <v/>
      </c>
      <c r="W989">
        <f>HYPERLINK("https://klasma.github.io/Logging_2081/klagomålsmail/A 2303-2026 FSC-klagomål mail.docx", "A 2303-2026")</f>
        <v/>
      </c>
      <c r="X989">
        <f>HYPERLINK("https://klasma.github.io/Logging_2081/tillsyn/A 2303-2026 tillsynsbegäran.docx", "A 2303-2026")</f>
        <v/>
      </c>
      <c r="Y989">
        <f>HYPERLINK("https://klasma.github.io/Logging_2081/tillsynsmail/A 2303-2026 tillsynsbegäran mail.docx", "A 2303-2026")</f>
        <v/>
      </c>
    </row>
    <row r="990" ht="15" customHeight="1">
      <c r="A990" t="inlineStr">
        <is>
          <t>A 2342-2026</t>
        </is>
      </c>
      <c r="B990" s="1" t="n">
        <v>46036.62027777778</v>
      </c>
      <c r="C990" s="1" t="n">
        <v>46114</v>
      </c>
      <c r="D990" t="inlineStr">
        <is>
          <t>DALARNAS LÄN</t>
        </is>
      </c>
      <c r="E990" t="inlineStr">
        <is>
          <t>BORLÄNGE</t>
        </is>
      </c>
      <c r="G990" t="n">
        <v>1.6</v>
      </c>
      <c r="H990" t="n">
        <v>1</v>
      </c>
      <c r="I990" t="n">
        <v>0</v>
      </c>
      <c r="J990" t="n">
        <v>0</v>
      </c>
      <c r="K990" t="n">
        <v>1</v>
      </c>
      <c r="L990" t="n">
        <v>0</v>
      </c>
      <c r="M990" t="n">
        <v>0</v>
      </c>
      <c r="N990" t="n">
        <v>0</v>
      </c>
      <c r="O990" t="n">
        <v>1</v>
      </c>
      <c r="P990" t="n">
        <v>1</v>
      </c>
      <c r="Q990" t="n">
        <v>1</v>
      </c>
      <c r="R990" s="2" t="inlineStr">
        <is>
          <t>Knärot</t>
        </is>
      </c>
      <c r="S990">
        <f>HYPERLINK("https://klasma.github.io/Logging_2081/artfynd/A 2342-2026 artfynd.xlsx", "A 2342-2026")</f>
        <v/>
      </c>
      <c r="T990">
        <f>HYPERLINK("https://klasma.github.io/Logging_2081/kartor/A 2342-2026 karta.png", "A 2342-2026")</f>
        <v/>
      </c>
      <c r="U990">
        <f>HYPERLINK("https://klasma.github.io/Logging_2081/knärot/A 2342-2026 karta knärot.png", "A 2342-2026")</f>
        <v/>
      </c>
      <c r="V990">
        <f>HYPERLINK("https://klasma.github.io/Logging_2081/klagomål/A 2342-2026 FSC-klagomål.docx", "A 2342-2026")</f>
        <v/>
      </c>
      <c r="W990">
        <f>HYPERLINK("https://klasma.github.io/Logging_2081/klagomålsmail/A 2342-2026 FSC-klagomål mail.docx", "A 2342-2026")</f>
        <v/>
      </c>
      <c r="X990">
        <f>HYPERLINK("https://klasma.github.io/Logging_2081/tillsyn/A 2342-2026 tillsynsbegäran.docx", "A 2342-2026")</f>
        <v/>
      </c>
      <c r="Y990">
        <f>HYPERLINK("https://klasma.github.io/Logging_2081/tillsynsmail/A 2342-2026 tillsynsbegäran mail.docx", "A 2342-2026")</f>
        <v/>
      </c>
    </row>
    <row r="991" ht="15" customHeight="1">
      <c r="A991" t="inlineStr">
        <is>
          <t>A 20207-2025</t>
        </is>
      </c>
      <c r="B991" s="1" t="n">
        <v>45772.61609953704</v>
      </c>
      <c r="C991" s="1" t="n">
        <v>46114</v>
      </c>
      <c r="D991" t="inlineStr">
        <is>
          <t>DALARNAS LÄN</t>
        </is>
      </c>
      <c r="E991" t="inlineStr">
        <is>
          <t>RÄTTVIK</t>
        </is>
      </c>
      <c r="F991" t="inlineStr">
        <is>
          <t>Sveaskog</t>
        </is>
      </c>
      <c r="G991" t="n">
        <v>13.6</v>
      </c>
      <c r="H991" t="n">
        <v>1</v>
      </c>
      <c r="I991" t="n">
        <v>0</v>
      </c>
      <c r="J991" t="n">
        <v>1</v>
      </c>
      <c r="K991" t="n">
        <v>0</v>
      </c>
      <c r="L991" t="n">
        <v>0</v>
      </c>
      <c r="M991" t="n">
        <v>0</v>
      </c>
      <c r="N991" t="n">
        <v>0</v>
      </c>
      <c r="O991" t="n">
        <v>1</v>
      </c>
      <c r="P991" t="n">
        <v>0</v>
      </c>
      <c r="Q991" t="n">
        <v>1</v>
      </c>
      <c r="R991" s="2" t="inlineStr">
        <is>
          <t>Talltita</t>
        </is>
      </c>
      <c r="S991">
        <f>HYPERLINK("https://klasma.github.io/Logging_2031/artfynd/A 20207-2025 artfynd.xlsx", "A 20207-2025")</f>
        <v/>
      </c>
      <c r="T991">
        <f>HYPERLINK("https://klasma.github.io/Logging_2031/kartor/A 20207-2025 karta.png", "A 20207-2025")</f>
        <v/>
      </c>
      <c r="V991">
        <f>HYPERLINK("https://klasma.github.io/Logging_2031/klagomål/A 20207-2025 FSC-klagomål.docx", "A 20207-2025")</f>
        <v/>
      </c>
      <c r="W991">
        <f>HYPERLINK("https://klasma.github.io/Logging_2031/klagomålsmail/A 20207-2025 FSC-klagomål mail.docx", "A 20207-2025")</f>
        <v/>
      </c>
      <c r="X991">
        <f>HYPERLINK("https://klasma.github.io/Logging_2031/tillsyn/A 20207-2025 tillsynsbegäran.docx", "A 20207-2025")</f>
        <v/>
      </c>
      <c r="Y991">
        <f>HYPERLINK("https://klasma.github.io/Logging_2031/tillsynsmail/A 20207-2025 tillsynsbegäran mail.docx", "A 20207-2025")</f>
        <v/>
      </c>
      <c r="Z991">
        <f>HYPERLINK("https://klasma.github.io/Logging_2031/fåglar/A 20207-2025 prioriterade fågelarter.docx", "A 20207-2025")</f>
        <v/>
      </c>
    </row>
    <row r="992" ht="15" customHeight="1">
      <c r="A992" t="inlineStr">
        <is>
          <t>A 3172-2026</t>
        </is>
      </c>
      <c r="B992" s="1" t="n">
        <v>46041.44265046297</v>
      </c>
      <c r="C992" s="1" t="n">
        <v>46114</v>
      </c>
      <c r="D992" t="inlineStr">
        <is>
          <t>DALARNAS LÄN</t>
        </is>
      </c>
      <c r="E992" t="inlineStr">
        <is>
          <t>FALUN</t>
        </is>
      </c>
      <c r="G992" t="n">
        <v>1.9</v>
      </c>
      <c r="H992" t="n">
        <v>1</v>
      </c>
      <c r="I992" t="n">
        <v>0</v>
      </c>
      <c r="J992" t="n">
        <v>0</v>
      </c>
      <c r="K992" t="n">
        <v>1</v>
      </c>
      <c r="L992" t="n">
        <v>0</v>
      </c>
      <c r="M992" t="n">
        <v>0</v>
      </c>
      <c r="N992" t="n">
        <v>0</v>
      </c>
      <c r="O992" t="n">
        <v>1</v>
      </c>
      <c r="P992" t="n">
        <v>1</v>
      </c>
      <c r="Q992" t="n">
        <v>1</v>
      </c>
      <c r="R992" s="2" t="inlineStr">
        <is>
          <t>Knärot</t>
        </is>
      </c>
      <c r="S992">
        <f>HYPERLINK("https://klasma.github.io/Logging_2080/artfynd/A 3172-2026 artfynd.xlsx", "A 3172-2026")</f>
        <v/>
      </c>
      <c r="T992">
        <f>HYPERLINK("https://klasma.github.io/Logging_2080/kartor/A 3172-2026 karta.png", "A 3172-2026")</f>
        <v/>
      </c>
      <c r="U992">
        <f>HYPERLINK("https://klasma.github.io/Logging_2080/knärot/A 3172-2026 karta knärot.png", "A 3172-2026")</f>
        <v/>
      </c>
      <c r="V992">
        <f>HYPERLINK("https://klasma.github.io/Logging_2080/klagomål/A 3172-2026 FSC-klagomål.docx", "A 3172-2026")</f>
        <v/>
      </c>
      <c r="W992">
        <f>HYPERLINK("https://klasma.github.io/Logging_2080/klagomålsmail/A 3172-2026 FSC-klagomål mail.docx", "A 3172-2026")</f>
        <v/>
      </c>
      <c r="X992">
        <f>HYPERLINK("https://klasma.github.io/Logging_2080/tillsyn/A 3172-2026 tillsynsbegäran.docx", "A 3172-2026")</f>
        <v/>
      </c>
      <c r="Y992">
        <f>HYPERLINK("https://klasma.github.io/Logging_2080/tillsynsmail/A 3172-2026 tillsynsbegäran mail.docx", "A 3172-2026")</f>
        <v/>
      </c>
    </row>
    <row r="993" ht="15" customHeight="1">
      <c r="A993" t="inlineStr">
        <is>
          <t>A 59947-2025</t>
        </is>
      </c>
      <c r="B993" s="1" t="n">
        <v>45993</v>
      </c>
      <c r="C993" s="1" t="n">
        <v>46114</v>
      </c>
      <c r="D993" t="inlineStr">
        <is>
          <t>DALARNAS LÄN</t>
        </is>
      </c>
      <c r="E993" t="inlineStr">
        <is>
          <t>LUDVIKA</t>
        </is>
      </c>
      <c r="F993" t="inlineStr">
        <is>
          <t>Bergvik skog väst AB</t>
        </is>
      </c>
      <c r="G993" t="n">
        <v>0.5</v>
      </c>
      <c r="H993" t="n">
        <v>1</v>
      </c>
      <c r="I993" t="n">
        <v>0</v>
      </c>
      <c r="J993" t="n">
        <v>0</v>
      </c>
      <c r="K993" t="n">
        <v>0</v>
      </c>
      <c r="L993" t="n">
        <v>0</v>
      </c>
      <c r="M993" t="n">
        <v>0</v>
      </c>
      <c r="N993" t="n">
        <v>0</v>
      </c>
      <c r="O993" t="n">
        <v>0</v>
      </c>
      <c r="P993" t="n">
        <v>0</v>
      </c>
      <c r="Q993" t="n">
        <v>1</v>
      </c>
      <c r="R993" s="2" t="inlineStr">
        <is>
          <t>Tjäder</t>
        </is>
      </c>
      <c r="S993">
        <f>HYPERLINK("https://klasma.github.io/Logging_2085/artfynd/A 59947-2025 artfynd.xlsx", "A 59947-2025")</f>
        <v/>
      </c>
      <c r="T993">
        <f>HYPERLINK("https://klasma.github.io/Logging_2085/kartor/A 59947-2025 karta.png", "A 59947-2025")</f>
        <v/>
      </c>
      <c r="V993">
        <f>HYPERLINK("https://klasma.github.io/Logging_2085/klagomål/A 59947-2025 FSC-klagomål.docx", "A 59947-2025")</f>
        <v/>
      </c>
      <c r="W993">
        <f>HYPERLINK("https://klasma.github.io/Logging_2085/klagomålsmail/A 59947-2025 FSC-klagomål mail.docx", "A 59947-2025")</f>
        <v/>
      </c>
      <c r="X993">
        <f>HYPERLINK("https://klasma.github.io/Logging_2085/tillsyn/A 59947-2025 tillsynsbegäran.docx", "A 59947-2025")</f>
        <v/>
      </c>
      <c r="Y993">
        <f>HYPERLINK("https://klasma.github.io/Logging_2085/tillsynsmail/A 59947-2025 tillsynsbegäran mail.docx", "A 59947-2025")</f>
        <v/>
      </c>
      <c r="Z993">
        <f>HYPERLINK("https://klasma.github.io/Logging_2085/fåglar/A 59947-2025 prioriterade fågelarter.docx", "A 59947-2025")</f>
        <v/>
      </c>
    </row>
    <row r="994" ht="15" customHeight="1">
      <c r="A994" t="inlineStr">
        <is>
          <t>A 22069-2023</t>
        </is>
      </c>
      <c r="B994" s="1" t="n">
        <v>45069</v>
      </c>
      <c r="C994" s="1" t="n">
        <v>46114</v>
      </c>
      <c r="D994" t="inlineStr">
        <is>
          <t>DALARNAS LÄN</t>
        </is>
      </c>
      <c r="E994" t="inlineStr">
        <is>
          <t>FALUN</t>
        </is>
      </c>
      <c r="G994" t="n">
        <v>3</v>
      </c>
      <c r="H994" t="n">
        <v>1</v>
      </c>
      <c r="I994" t="n">
        <v>0</v>
      </c>
      <c r="J994" t="n">
        <v>1</v>
      </c>
      <c r="K994" t="n">
        <v>0</v>
      </c>
      <c r="L994" t="n">
        <v>0</v>
      </c>
      <c r="M994" t="n">
        <v>0</v>
      </c>
      <c r="N994" t="n">
        <v>0</v>
      </c>
      <c r="O994" t="n">
        <v>1</v>
      </c>
      <c r="P994" t="n">
        <v>0</v>
      </c>
      <c r="Q994" t="n">
        <v>1</v>
      </c>
      <c r="R994" s="2" t="inlineStr">
        <is>
          <t>Brun gräsfjäril</t>
        </is>
      </c>
      <c r="S994">
        <f>HYPERLINK("https://klasma.github.io/Logging_2080/artfynd/A 22069-2023 artfynd.xlsx", "A 22069-2023")</f>
        <v/>
      </c>
      <c r="T994">
        <f>HYPERLINK("https://klasma.github.io/Logging_2080/kartor/A 22069-2023 karta.png", "A 22069-2023")</f>
        <v/>
      </c>
      <c r="V994">
        <f>HYPERLINK("https://klasma.github.io/Logging_2080/klagomål/A 22069-2023 FSC-klagomål.docx", "A 22069-2023")</f>
        <v/>
      </c>
      <c r="W994">
        <f>HYPERLINK("https://klasma.github.io/Logging_2080/klagomålsmail/A 22069-2023 FSC-klagomål mail.docx", "A 22069-2023")</f>
        <v/>
      </c>
      <c r="X994">
        <f>HYPERLINK("https://klasma.github.io/Logging_2080/tillsyn/A 22069-2023 tillsynsbegäran.docx", "A 22069-2023")</f>
        <v/>
      </c>
      <c r="Y994">
        <f>HYPERLINK("https://klasma.github.io/Logging_2080/tillsynsmail/A 22069-2023 tillsynsbegäran mail.docx", "A 22069-2023")</f>
        <v/>
      </c>
    </row>
    <row r="995" ht="15" customHeight="1">
      <c r="A995" t="inlineStr">
        <is>
          <t>A 3061-2026</t>
        </is>
      </c>
      <c r="B995" s="1" t="n">
        <v>46039.95699074074</v>
      </c>
      <c r="C995" s="1" t="n">
        <v>46114</v>
      </c>
      <c r="D995" t="inlineStr">
        <is>
          <t>DALARNAS LÄN</t>
        </is>
      </c>
      <c r="E995" t="inlineStr">
        <is>
          <t>LEKSAND</t>
        </is>
      </c>
      <c r="G995" t="n">
        <v>1.1</v>
      </c>
      <c r="H995" t="n">
        <v>0</v>
      </c>
      <c r="I995" t="n">
        <v>0</v>
      </c>
      <c r="J995" t="n">
        <v>1</v>
      </c>
      <c r="K995" t="n">
        <v>0</v>
      </c>
      <c r="L995" t="n">
        <v>0</v>
      </c>
      <c r="M995" t="n">
        <v>0</v>
      </c>
      <c r="N995" t="n">
        <v>0</v>
      </c>
      <c r="O995" t="n">
        <v>1</v>
      </c>
      <c r="P995" t="n">
        <v>0</v>
      </c>
      <c r="Q995" t="n">
        <v>1</v>
      </c>
      <c r="R995" s="2" t="inlineStr">
        <is>
          <t>Garnlav</t>
        </is>
      </c>
      <c r="S995">
        <f>HYPERLINK("https://klasma.github.io/Logging_2029/artfynd/A 3061-2026 artfynd.xlsx", "A 3061-2026")</f>
        <v/>
      </c>
      <c r="T995">
        <f>HYPERLINK("https://klasma.github.io/Logging_2029/kartor/A 3061-2026 karta.png", "A 3061-2026")</f>
        <v/>
      </c>
      <c r="V995">
        <f>HYPERLINK("https://klasma.github.io/Logging_2029/klagomål/A 3061-2026 FSC-klagomål.docx", "A 3061-2026")</f>
        <v/>
      </c>
      <c r="W995">
        <f>HYPERLINK("https://klasma.github.io/Logging_2029/klagomålsmail/A 3061-2026 FSC-klagomål mail.docx", "A 3061-2026")</f>
        <v/>
      </c>
      <c r="X995">
        <f>HYPERLINK("https://klasma.github.io/Logging_2029/tillsyn/A 3061-2026 tillsynsbegäran.docx", "A 3061-2026")</f>
        <v/>
      </c>
      <c r="Y995">
        <f>HYPERLINK("https://klasma.github.io/Logging_2029/tillsynsmail/A 3061-2026 tillsynsbegäran mail.docx", "A 3061-2026")</f>
        <v/>
      </c>
    </row>
    <row r="996" ht="15" customHeight="1">
      <c r="A996" t="inlineStr">
        <is>
          <t>A 29144-2023</t>
        </is>
      </c>
      <c r="B996" s="1" t="n">
        <v>45105</v>
      </c>
      <c r="C996" s="1" t="n">
        <v>46114</v>
      </c>
      <c r="D996" t="inlineStr">
        <is>
          <t>DALARNAS LÄN</t>
        </is>
      </c>
      <c r="E996" t="inlineStr">
        <is>
          <t>LUDVIKA</t>
        </is>
      </c>
      <c r="F996" t="inlineStr">
        <is>
          <t>Allmännings- och besparingsskogar</t>
        </is>
      </c>
      <c r="G996" t="n">
        <v>6.2</v>
      </c>
      <c r="H996" t="n">
        <v>1</v>
      </c>
      <c r="I996" t="n">
        <v>0</v>
      </c>
      <c r="J996" t="n">
        <v>0</v>
      </c>
      <c r="K996" t="n">
        <v>1</v>
      </c>
      <c r="L996" t="n">
        <v>0</v>
      </c>
      <c r="M996" t="n">
        <v>0</v>
      </c>
      <c r="N996" t="n">
        <v>0</v>
      </c>
      <c r="O996" t="n">
        <v>1</v>
      </c>
      <c r="P996" t="n">
        <v>1</v>
      </c>
      <c r="Q996" t="n">
        <v>1</v>
      </c>
      <c r="R996" s="2" t="inlineStr">
        <is>
          <t>Knärot</t>
        </is>
      </c>
      <c r="S996">
        <f>HYPERLINK("https://klasma.github.io/Logging_2085/artfynd/A 29144-2023 artfynd.xlsx", "A 29144-2023")</f>
        <v/>
      </c>
      <c r="T996">
        <f>HYPERLINK("https://klasma.github.io/Logging_2085/kartor/A 29144-2023 karta.png", "A 29144-2023")</f>
        <v/>
      </c>
      <c r="U996">
        <f>HYPERLINK("https://klasma.github.io/Logging_2085/knärot/A 29144-2023 karta knärot.png", "A 29144-2023")</f>
        <v/>
      </c>
      <c r="V996">
        <f>HYPERLINK("https://klasma.github.io/Logging_2085/klagomål/A 29144-2023 FSC-klagomål.docx", "A 29144-2023")</f>
        <v/>
      </c>
      <c r="W996">
        <f>HYPERLINK("https://klasma.github.io/Logging_2085/klagomålsmail/A 29144-2023 FSC-klagomål mail.docx", "A 29144-2023")</f>
        <v/>
      </c>
      <c r="X996">
        <f>HYPERLINK("https://klasma.github.io/Logging_2085/tillsyn/A 29144-2023 tillsynsbegäran.docx", "A 29144-2023")</f>
        <v/>
      </c>
      <c r="Y996">
        <f>HYPERLINK("https://klasma.github.io/Logging_2085/tillsynsmail/A 29144-2023 tillsynsbegäran mail.docx", "A 29144-2023")</f>
        <v/>
      </c>
    </row>
    <row r="997" ht="15" customHeight="1">
      <c r="A997" t="inlineStr">
        <is>
          <t>A 11477-2026</t>
        </is>
      </c>
      <c r="B997" s="1" t="n">
        <v>46083.59899305556</v>
      </c>
      <c r="C997" s="1" t="n">
        <v>46114</v>
      </c>
      <c r="D997" t="inlineStr">
        <is>
          <t>DALARNAS LÄN</t>
        </is>
      </c>
      <c r="E997" t="inlineStr">
        <is>
          <t>VANSBRO</t>
        </is>
      </c>
      <c r="G997" t="n">
        <v>14.5</v>
      </c>
      <c r="H997" t="n">
        <v>0</v>
      </c>
      <c r="I997" t="n">
        <v>0</v>
      </c>
      <c r="J997" t="n">
        <v>1</v>
      </c>
      <c r="K997" t="n">
        <v>0</v>
      </c>
      <c r="L997" t="n">
        <v>0</v>
      </c>
      <c r="M997" t="n">
        <v>0</v>
      </c>
      <c r="N997" t="n">
        <v>0</v>
      </c>
      <c r="O997" t="n">
        <v>1</v>
      </c>
      <c r="P997" t="n">
        <v>0</v>
      </c>
      <c r="Q997" t="n">
        <v>1</v>
      </c>
      <c r="R997" s="2" t="inlineStr">
        <is>
          <t>Nordtagging</t>
        </is>
      </c>
      <c r="S997">
        <f>HYPERLINK("https://klasma.github.io/Logging_2021/artfynd/A 11477-2026 artfynd.xlsx", "A 11477-2026")</f>
        <v/>
      </c>
      <c r="T997">
        <f>HYPERLINK("https://klasma.github.io/Logging_2021/kartor/A 11477-2026 karta.png", "A 11477-2026")</f>
        <v/>
      </c>
      <c r="V997">
        <f>HYPERLINK("https://klasma.github.io/Logging_2021/klagomål/A 11477-2026 FSC-klagomål.docx", "A 11477-2026")</f>
        <v/>
      </c>
      <c r="W997">
        <f>HYPERLINK("https://klasma.github.io/Logging_2021/klagomålsmail/A 11477-2026 FSC-klagomål mail.docx", "A 11477-2026")</f>
        <v/>
      </c>
      <c r="X997">
        <f>HYPERLINK("https://klasma.github.io/Logging_2021/tillsyn/A 11477-2026 tillsynsbegäran.docx", "A 11477-2026")</f>
        <v/>
      </c>
      <c r="Y997">
        <f>HYPERLINK("https://klasma.github.io/Logging_2021/tillsynsmail/A 11477-2026 tillsynsbegäran mail.docx", "A 11477-2026")</f>
        <v/>
      </c>
    </row>
    <row r="998" ht="15" customHeight="1">
      <c r="A998" t="inlineStr">
        <is>
          <t>A 3208-2026</t>
        </is>
      </c>
      <c r="B998" s="1" t="n">
        <v>46041</v>
      </c>
      <c r="C998" s="1" t="n">
        <v>46114</v>
      </c>
      <c r="D998" t="inlineStr">
        <is>
          <t>DALARNAS LÄN</t>
        </is>
      </c>
      <c r="E998" t="inlineStr">
        <is>
          <t>FALUN</t>
        </is>
      </c>
      <c r="G998" t="n">
        <v>5.3</v>
      </c>
      <c r="H998" t="n">
        <v>0</v>
      </c>
      <c r="I998" t="n">
        <v>0</v>
      </c>
      <c r="J998" t="n">
        <v>1</v>
      </c>
      <c r="K998" t="n">
        <v>0</v>
      </c>
      <c r="L998" t="n">
        <v>0</v>
      </c>
      <c r="M998" t="n">
        <v>0</v>
      </c>
      <c r="N998" t="n">
        <v>0</v>
      </c>
      <c r="O998" t="n">
        <v>1</v>
      </c>
      <c r="P998" t="n">
        <v>0</v>
      </c>
      <c r="Q998" t="n">
        <v>1</v>
      </c>
      <c r="R998" s="2" t="inlineStr">
        <is>
          <t>Garnlav</t>
        </is>
      </c>
      <c r="S998">
        <f>HYPERLINK("https://klasma.github.io/Logging_2080/artfynd/A 3208-2026 artfynd.xlsx", "A 3208-2026")</f>
        <v/>
      </c>
      <c r="T998">
        <f>HYPERLINK("https://klasma.github.io/Logging_2080/kartor/A 3208-2026 karta.png", "A 3208-2026")</f>
        <v/>
      </c>
      <c r="V998">
        <f>HYPERLINK("https://klasma.github.io/Logging_2080/klagomål/A 3208-2026 FSC-klagomål.docx", "A 3208-2026")</f>
        <v/>
      </c>
      <c r="W998">
        <f>HYPERLINK("https://klasma.github.io/Logging_2080/klagomålsmail/A 3208-2026 FSC-klagomål mail.docx", "A 3208-2026")</f>
        <v/>
      </c>
      <c r="X998">
        <f>HYPERLINK("https://klasma.github.io/Logging_2080/tillsyn/A 3208-2026 tillsynsbegäran.docx", "A 3208-2026")</f>
        <v/>
      </c>
      <c r="Y998">
        <f>HYPERLINK("https://klasma.github.io/Logging_2080/tillsynsmail/A 3208-2026 tillsynsbegäran mail.docx", "A 3208-2026")</f>
        <v/>
      </c>
    </row>
    <row r="999" ht="15" customHeight="1">
      <c r="A999" t="inlineStr">
        <is>
          <t>A 570-2024</t>
        </is>
      </c>
      <c r="B999" s="1" t="n">
        <v>45299</v>
      </c>
      <c r="C999" s="1" t="n">
        <v>46114</v>
      </c>
      <c r="D999" t="inlineStr">
        <is>
          <t>DALARNAS LÄN</t>
        </is>
      </c>
      <c r="E999" t="inlineStr">
        <is>
          <t>SÄTER</t>
        </is>
      </c>
      <c r="F999" t="inlineStr">
        <is>
          <t>Kommuner</t>
        </is>
      </c>
      <c r="G999" t="n">
        <v>2.8</v>
      </c>
      <c r="H999" t="n">
        <v>0</v>
      </c>
      <c r="I999" t="n">
        <v>1</v>
      </c>
      <c r="J999" t="n">
        <v>0</v>
      </c>
      <c r="K999" t="n">
        <v>0</v>
      </c>
      <c r="L999" t="n">
        <v>0</v>
      </c>
      <c r="M999" t="n">
        <v>0</v>
      </c>
      <c r="N999" t="n">
        <v>0</v>
      </c>
      <c r="O999" t="n">
        <v>0</v>
      </c>
      <c r="P999" t="n">
        <v>0</v>
      </c>
      <c r="Q999" t="n">
        <v>1</v>
      </c>
      <c r="R999" s="2" t="inlineStr">
        <is>
          <t>Svavelriska</t>
        </is>
      </c>
      <c r="S999">
        <f>HYPERLINK("https://klasma.github.io/Logging_2082/artfynd/A 570-2024 artfynd.xlsx", "A 570-2024")</f>
        <v/>
      </c>
      <c r="T999">
        <f>HYPERLINK("https://klasma.github.io/Logging_2082/kartor/A 570-2024 karta.png", "A 570-2024")</f>
        <v/>
      </c>
      <c r="V999">
        <f>HYPERLINK("https://klasma.github.io/Logging_2082/klagomål/A 570-2024 FSC-klagomål.docx", "A 570-2024")</f>
        <v/>
      </c>
      <c r="W999">
        <f>HYPERLINK("https://klasma.github.io/Logging_2082/klagomålsmail/A 570-2024 FSC-klagomål mail.docx", "A 570-2024")</f>
        <v/>
      </c>
      <c r="X999">
        <f>HYPERLINK("https://klasma.github.io/Logging_2082/tillsyn/A 570-2024 tillsynsbegäran.docx", "A 570-2024")</f>
        <v/>
      </c>
      <c r="Y999">
        <f>HYPERLINK("https://klasma.github.io/Logging_2082/tillsynsmail/A 570-2024 tillsynsbegäran mail.docx", "A 570-2024")</f>
        <v/>
      </c>
    </row>
    <row r="1000" ht="15" customHeight="1">
      <c r="A1000" t="inlineStr">
        <is>
          <t>A 3143-2026</t>
        </is>
      </c>
      <c r="B1000" s="1" t="n">
        <v>46041.40795138889</v>
      </c>
      <c r="C1000" s="1" t="n">
        <v>46114</v>
      </c>
      <c r="D1000" t="inlineStr">
        <is>
          <t>DALARNAS LÄN</t>
        </is>
      </c>
      <c r="E1000" t="inlineStr">
        <is>
          <t>ORSA</t>
        </is>
      </c>
      <c r="G1000" t="n">
        <v>1.5</v>
      </c>
      <c r="H1000" t="n">
        <v>1</v>
      </c>
      <c r="I1000" t="n">
        <v>1</v>
      </c>
      <c r="J1000" t="n">
        <v>0</v>
      </c>
      <c r="K1000" t="n">
        <v>0</v>
      </c>
      <c r="L1000" t="n">
        <v>0</v>
      </c>
      <c r="M1000" t="n">
        <v>0</v>
      </c>
      <c r="N1000" t="n">
        <v>0</v>
      </c>
      <c r="O1000" t="n">
        <v>0</v>
      </c>
      <c r="P1000" t="n">
        <v>0</v>
      </c>
      <c r="Q1000" t="n">
        <v>1</v>
      </c>
      <c r="R1000" s="2" t="inlineStr">
        <is>
          <t>Guckusko</t>
        </is>
      </c>
      <c r="S1000">
        <f>HYPERLINK("https://klasma.github.io/Logging_2034/artfynd/A 3143-2026 artfynd.xlsx", "A 3143-2026")</f>
        <v/>
      </c>
      <c r="T1000">
        <f>HYPERLINK("https://klasma.github.io/Logging_2034/kartor/A 3143-2026 karta.png", "A 3143-2026")</f>
        <v/>
      </c>
      <c r="V1000">
        <f>HYPERLINK("https://klasma.github.io/Logging_2034/klagomål/A 3143-2026 FSC-klagomål.docx", "A 3143-2026")</f>
        <v/>
      </c>
      <c r="W1000">
        <f>HYPERLINK("https://klasma.github.io/Logging_2034/klagomålsmail/A 3143-2026 FSC-klagomål mail.docx", "A 3143-2026")</f>
        <v/>
      </c>
      <c r="X1000">
        <f>HYPERLINK("https://klasma.github.io/Logging_2034/tillsyn/A 3143-2026 tillsynsbegäran.docx", "A 3143-2026")</f>
        <v/>
      </c>
      <c r="Y1000">
        <f>HYPERLINK("https://klasma.github.io/Logging_2034/tillsynsmail/A 3143-2026 tillsynsbegäran mail.docx", "A 3143-2026")</f>
        <v/>
      </c>
    </row>
    <row r="1001" ht="15" customHeight="1">
      <c r="A1001" t="inlineStr">
        <is>
          <t>A 31620-2023</t>
        </is>
      </c>
      <c r="B1001" s="1" t="n">
        <v>45117</v>
      </c>
      <c r="C1001" s="1" t="n">
        <v>46114</v>
      </c>
      <c r="D1001" t="inlineStr">
        <is>
          <t>DALARNAS LÄN</t>
        </is>
      </c>
      <c r="E1001" t="inlineStr">
        <is>
          <t>FALUN</t>
        </is>
      </c>
      <c r="F1001" t="inlineStr">
        <is>
          <t>Bergvik skog väst AB</t>
        </is>
      </c>
      <c r="G1001" t="n">
        <v>4.6</v>
      </c>
      <c r="H1001" t="n">
        <v>1</v>
      </c>
      <c r="I1001" t="n">
        <v>0</v>
      </c>
      <c r="J1001" t="n">
        <v>0</v>
      </c>
      <c r="K1001" t="n">
        <v>1</v>
      </c>
      <c r="L1001" t="n">
        <v>0</v>
      </c>
      <c r="M1001" t="n">
        <v>0</v>
      </c>
      <c r="N1001" t="n">
        <v>0</v>
      </c>
      <c r="O1001" t="n">
        <v>1</v>
      </c>
      <c r="P1001" t="n">
        <v>1</v>
      </c>
      <c r="Q1001" t="n">
        <v>1</v>
      </c>
      <c r="R1001" s="2" t="inlineStr">
        <is>
          <t>Knärot</t>
        </is>
      </c>
      <c r="S1001">
        <f>HYPERLINK("https://klasma.github.io/Logging_2080/artfynd/A 31620-2023 artfynd.xlsx", "A 31620-2023")</f>
        <v/>
      </c>
      <c r="T1001">
        <f>HYPERLINK("https://klasma.github.io/Logging_2080/kartor/A 31620-2023 karta.png", "A 31620-2023")</f>
        <v/>
      </c>
      <c r="U1001">
        <f>HYPERLINK("https://klasma.github.io/Logging_2080/knärot/A 31620-2023 karta knärot.png", "A 31620-2023")</f>
        <v/>
      </c>
      <c r="V1001">
        <f>HYPERLINK("https://klasma.github.io/Logging_2080/klagomål/A 31620-2023 FSC-klagomål.docx", "A 31620-2023")</f>
        <v/>
      </c>
      <c r="W1001">
        <f>HYPERLINK("https://klasma.github.io/Logging_2080/klagomålsmail/A 31620-2023 FSC-klagomål mail.docx", "A 31620-2023")</f>
        <v/>
      </c>
      <c r="X1001">
        <f>HYPERLINK("https://klasma.github.io/Logging_2080/tillsyn/A 31620-2023 tillsynsbegäran.docx", "A 31620-2023")</f>
        <v/>
      </c>
      <c r="Y1001">
        <f>HYPERLINK("https://klasma.github.io/Logging_2080/tillsynsmail/A 31620-2023 tillsynsbegäran mail.docx", "A 31620-2023")</f>
        <v/>
      </c>
    </row>
    <row r="1002" ht="15" customHeight="1">
      <c r="A1002" t="inlineStr">
        <is>
          <t>A 3670-2026</t>
        </is>
      </c>
      <c r="B1002" s="1" t="n">
        <v>46043</v>
      </c>
      <c r="C1002" s="1" t="n">
        <v>46114</v>
      </c>
      <c r="D1002" t="inlineStr">
        <is>
          <t>DALARNAS LÄN</t>
        </is>
      </c>
      <c r="E1002" t="inlineStr">
        <is>
          <t>FALUN</t>
        </is>
      </c>
      <c r="G1002" t="n">
        <v>3</v>
      </c>
      <c r="H1002" t="n">
        <v>1</v>
      </c>
      <c r="I1002" t="n">
        <v>0</v>
      </c>
      <c r="J1002" t="n">
        <v>0</v>
      </c>
      <c r="K1002" t="n">
        <v>0</v>
      </c>
      <c r="L1002" t="n">
        <v>0</v>
      </c>
      <c r="M1002" t="n">
        <v>0</v>
      </c>
      <c r="N1002" t="n">
        <v>0</v>
      </c>
      <c r="O1002" t="n">
        <v>0</v>
      </c>
      <c r="P1002" t="n">
        <v>0</v>
      </c>
      <c r="Q1002" t="n">
        <v>1</v>
      </c>
      <c r="R1002" s="2" t="inlineStr">
        <is>
          <t>Vattenfladdermus</t>
        </is>
      </c>
      <c r="S1002">
        <f>HYPERLINK("https://klasma.github.io/Logging_2080/artfynd/A 3670-2026 artfynd.xlsx", "A 3670-2026")</f>
        <v/>
      </c>
      <c r="T1002">
        <f>HYPERLINK("https://klasma.github.io/Logging_2080/kartor/A 3670-2026 karta.png", "A 3670-2026")</f>
        <v/>
      </c>
      <c r="V1002">
        <f>HYPERLINK("https://klasma.github.io/Logging_2080/klagomål/A 3670-2026 FSC-klagomål.docx", "A 3670-2026")</f>
        <v/>
      </c>
      <c r="W1002">
        <f>HYPERLINK("https://klasma.github.io/Logging_2080/klagomålsmail/A 3670-2026 FSC-klagomål mail.docx", "A 3670-2026")</f>
        <v/>
      </c>
      <c r="X1002">
        <f>HYPERLINK("https://klasma.github.io/Logging_2080/tillsyn/A 3670-2026 tillsynsbegäran.docx", "A 3670-2026")</f>
        <v/>
      </c>
      <c r="Y1002">
        <f>HYPERLINK("https://klasma.github.io/Logging_2080/tillsynsmail/A 3670-2026 tillsynsbegäran mail.docx", "A 3670-2026")</f>
        <v/>
      </c>
    </row>
    <row r="1003" ht="15" customHeight="1">
      <c r="A1003" t="inlineStr">
        <is>
          <t>A 1452-2026</t>
        </is>
      </c>
      <c r="B1003" s="1" t="n">
        <v>46033</v>
      </c>
      <c r="C1003" s="1" t="n">
        <v>46114</v>
      </c>
      <c r="D1003" t="inlineStr">
        <is>
          <t>DALARNAS LÄN</t>
        </is>
      </c>
      <c r="E1003" t="inlineStr">
        <is>
          <t>HEDEMORA</t>
        </is>
      </c>
      <c r="G1003" t="n">
        <v>11.1</v>
      </c>
      <c r="H1003" t="n">
        <v>1</v>
      </c>
      <c r="I1003" t="n">
        <v>0</v>
      </c>
      <c r="J1003" t="n">
        <v>1</v>
      </c>
      <c r="K1003" t="n">
        <v>0</v>
      </c>
      <c r="L1003" t="n">
        <v>0</v>
      </c>
      <c r="M1003" t="n">
        <v>0</v>
      </c>
      <c r="N1003" t="n">
        <v>0</v>
      </c>
      <c r="O1003" t="n">
        <v>1</v>
      </c>
      <c r="P1003" t="n">
        <v>0</v>
      </c>
      <c r="Q1003" t="n">
        <v>1</v>
      </c>
      <c r="R1003" s="2" t="inlineStr">
        <is>
          <t>Slaguggla</t>
        </is>
      </c>
      <c r="S1003">
        <f>HYPERLINK("https://klasma.github.io/Logging_2083/artfynd/A 1452-2026 artfynd.xlsx", "A 1452-2026")</f>
        <v/>
      </c>
      <c r="T1003">
        <f>HYPERLINK("https://klasma.github.io/Logging_2083/kartor/A 1452-2026 karta.png", "A 1452-2026")</f>
        <v/>
      </c>
      <c r="U1003">
        <f>HYPERLINK("https://klasma.github.io/Logging_2083/knärot/A 1452-2026 karta knärot.png", "A 1452-2026")</f>
        <v/>
      </c>
      <c r="V1003">
        <f>HYPERLINK("https://klasma.github.io/Logging_2083/klagomål/A 1452-2026 FSC-klagomål.docx", "A 1452-2026")</f>
        <v/>
      </c>
      <c r="W1003">
        <f>HYPERLINK("https://klasma.github.io/Logging_2083/klagomålsmail/A 1452-2026 FSC-klagomål mail.docx", "A 1452-2026")</f>
        <v/>
      </c>
      <c r="X1003">
        <f>HYPERLINK("https://klasma.github.io/Logging_2083/tillsyn/A 1452-2026 tillsynsbegäran.docx", "A 1452-2026")</f>
        <v/>
      </c>
      <c r="Y1003">
        <f>HYPERLINK("https://klasma.github.io/Logging_2083/tillsynsmail/A 1452-2026 tillsynsbegäran mail.docx", "A 1452-2026")</f>
        <v/>
      </c>
      <c r="Z1003">
        <f>HYPERLINK("https://klasma.github.io/Logging_2083/fåglar/A 1452-2026 prioriterade fågelarter.docx", "A 1452-2026")</f>
        <v/>
      </c>
    </row>
    <row r="1004" ht="15" customHeight="1">
      <c r="A1004" t="inlineStr">
        <is>
          <t>A 3472-2026</t>
        </is>
      </c>
      <c r="B1004" s="1" t="n">
        <v>46042.54230324074</v>
      </c>
      <c r="C1004" s="1" t="n">
        <v>46114</v>
      </c>
      <c r="D1004" t="inlineStr">
        <is>
          <t>DALARNAS LÄN</t>
        </is>
      </c>
      <c r="E1004" t="inlineStr">
        <is>
          <t>RÄTTVIK</t>
        </is>
      </c>
      <c r="G1004" t="n">
        <v>7.4</v>
      </c>
      <c r="H1004" t="n">
        <v>0</v>
      </c>
      <c r="I1004" t="n">
        <v>0</v>
      </c>
      <c r="J1004" t="n">
        <v>1</v>
      </c>
      <c r="K1004" t="n">
        <v>0</v>
      </c>
      <c r="L1004" t="n">
        <v>0</v>
      </c>
      <c r="M1004" t="n">
        <v>0</v>
      </c>
      <c r="N1004" t="n">
        <v>0</v>
      </c>
      <c r="O1004" t="n">
        <v>1</v>
      </c>
      <c r="P1004" t="n">
        <v>0</v>
      </c>
      <c r="Q1004" t="n">
        <v>1</v>
      </c>
      <c r="R1004" s="2" t="inlineStr">
        <is>
          <t>Ullticka</t>
        </is>
      </c>
      <c r="S1004">
        <f>HYPERLINK("https://klasma.github.io/Logging_2031/artfynd/A 3472-2026 artfynd.xlsx", "A 3472-2026")</f>
        <v/>
      </c>
      <c r="T1004">
        <f>HYPERLINK("https://klasma.github.io/Logging_2031/kartor/A 3472-2026 karta.png", "A 3472-2026")</f>
        <v/>
      </c>
      <c r="V1004">
        <f>HYPERLINK("https://klasma.github.io/Logging_2031/klagomål/A 3472-2026 FSC-klagomål.docx", "A 3472-2026")</f>
        <v/>
      </c>
      <c r="W1004">
        <f>HYPERLINK("https://klasma.github.io/Logging_2031/klagomålsmail/A 3472-2026 FSC-klagomål mail.docx", "A 3472-2026")</f>
        <v/>
      </c>
      <c r="X1004">
        <f>HYPERLINK("https://klasma.github.io/Logging_2031/tillsyn/A 3472-2026 tillsynsbegäran.docx", "A 3472-2026")</f>
        <v/>
      </c>
      <c r="Y1004">
        <f>HYPERLINK("https://klasma.github.io/Logging_2031/tillsynsmail/A 3472-2026 tillsynsbegäran mail.docx", "A 3472-2026")</f>
        <v/>
      </c>
    </row>
    <row r="1005" ht="15" customHeight="1">
      <c r="A1005" t="inlineStr">
        <is>
          <t>A 11838-2026</t>
        </is>
      </c>
      <c r="B1005" s="1" t="n">
        <v>46085.43697916667</v>
      </c>
      <c r="C1005" s="1" t="n">
        <v>46114</v>
      </c>
      <c r="D1005" t="inlineStr">
        <is>
          <t>DALARNAS LÄN</t>
        </is>
      </c>
      <c r="E1005" t="inlineStr">
        <is>
          <t>FALUN</t>
        </is>
      </c>
      <c r="G1005" t="n">
        <v>13.8</v>
      </c>
      <c r="H1005" t="n">
        <v>0</v>
      </c>
      <c r="I1005" t="n">
        <v>0</v>
      </c>
      <c r="J1005" t="n">
        <v>1</v>
      </c>
      <c r="K1005" t="n">
        <v>0</v>
      </c>
      <c r="L1005" t="n">
        <v>0</v>
      </c>
      <c r="M1005" t="n">
        <v>0</v>
      </c>
      <c r="N1005" t="n">
        <v>0</v>
      </c>
      <c r="O1005" t="n">
        <v>1</v>
      </c>
      <c r="P1005" t="n">
        <v>0</v>
      </c>
      <c r="Q1005" t="n">
        <v>1</v>
      </c>
      <c r="R1005" s="2" t="inlineStr">
        <is>
          <t>Garnlav</t>
        </is>
      </c>
      <c r="S1005">
        <f>HYPERLINK("https://klasma.github.io/Logging_2080/artfynd/A 11838-2026 artfynd.xlsx", "A 11838-2026")</f>
        <v/>
      </c>
      <c r="T1005">
        <f>HYPERLINK("https://klasma.github.io/Logging_2080/kartor/A 11838-2026 karta.png", "A 11838-2026")</f>
        <v/>
      </c>
      <c r="V1005">
        <f>HYPERLINK("https://klasma.github.io/Logging_2080/klagomål/A 11838-2026 FSC-klagomål.docx", "A 11838-2026")</f>
        <v/>
      </c>
      <c r="W1005">
        <f>HYPERLINK("https://klasma.github.io/Logging_2080/klagomålsmail/A 11838-2026 FSC-klagomål mail.docx", "A 11838-2026")</f>
        <v/>
      </c>
      <c r="X1005">
        <f>HYPERLINK("https://klasma.github.io/Logging_2080/tillsyn/A 11838-2026 tillsynsbegäran.docx", "A 11838-2026")</f>
        <v/>
      </c>
      <c r="Y1005">
        <f>HYPERLINK("https://klasma.github.io/Logging_2080/tillsynsmail/A 11838-2026 tillsynsbegäran mail.docx", "A 11838-2026")</f>
        <v/>
      </c>
    </row>
    <row r="1006" ht="15" customHeight="1">
      <c r="A1006" t="inlineStr">
        <is>
          <t>A 11812-2026</t>
        </is>
      </c>
      <c r="B1006" s="1" t="n">
        <v>46085.37966435185</v>
      </c>
      <c r="C1006" s="1" t="n">
        <v>46114</v>
      </c>
      <c r="D1006" t="inlineStr">
        <is>
          <t>DALARNAS LÄN</t>
        </is>
      </c>
      <c r="E1006" t="inlineStr">
        <is>
          <t>ORSA</t>
        </is>
      </c>
      <c r="F1006" t="inlineStr">
        <is>
          <t>Kyrkan</t>
        </is>
      </c>
      <c r="G1006" t="n">
        <v>2</v>
      </c>
      <c r="H1006" t="n">
        <v>1</v>
      </c>
      <c r="I1006" t="n">
        <v>0</v>
      </c>
      <c r="J1006" t="n">
        <v>0</v>
      </c>
      <c r="K1006" t="n">
        <v>0</v>
      </c>
      <c r="L1006" t="n">
        <v>0</v>
      </c>
      <c r="M1006" t="n">
        <v>0</v>
      </c>
      <c r="N1006" t="n">
        <v>0</v>
      </c>
      <c r="O1006" t="n">
        <v>0</v>
      </c>
      <c r="P1006" t="n">
        <v>0</v>
      </c>
      <c r="Q1006" t="n">
        <v>1</v>
      </c>
      <c r="R1006" s="2" t="inlineStr">
        <is>
          <t>Tjäder</t>
        </is>
      </c>
      <c r="S1006">
        <f>HYPERLINK("https://klasma.github.io/Logging_2034/artfynd/A 11812-2026 artfynd.xlsx", "A 11812-2026")</f>
        <v/>
      </c>
      <c r="T1006">
        <f>HYPERLINK("https://klasma.github.io/Logging_2034/kartor/A 11812-2026 karta.png", "A 11812-2026")</f>
        <v/>
      </c>
      <c r="V1006">
        <f>HYPERLINK("https://klasma.github.io/Logging_2034/klagomål/A 11812-2026 FSC-klagomål.docx", "A 11812-2026")</f>
        <v/>
      </c>
      <c r="W1006">
        <f>HYPERLINK("https://klasma.github.io/Logging_2034/klagomålsmail/A 11812-2026 FSC-klagomål mail.docx", "A 11812-2026")</f>
        <v/>
      </c>
      <c r="X1006">
        <f>HYPERLINK("https://klasma.github.io/Logging_2034/tillsyn/A 11812-2026 tillsynsbegäran.docx", "A 11812-2026")</f>
        <v/>
      </c>
      <c r="Y1006">
        <f>HYPERLINK("https://klasma.github.io/Logging_2034/tillsynsmail/A 11812-2026 tillsynsbegäran mail.docx", "A 11812-2026")</f>
        <v/>
      </c>
      <c r="Z1006">
        <f>HYPERLINK("https://klasma.github.io/Logging_2034/fåglar/A 11812-2026 prioriterade fågelarter.docx", "A 11812-2026")</f>
        <v/>
      </c>
    </row>
    <row r="1007" ht="15" customHeight="1">
      <c r="A1007" t="inlineStr">
        <is>
          <t>A 10371-2026</t>
        </is>
      </c>
      <c r="B1007" s="1" t="n">
        <v>46072</v>
      </c>
      <c r="C1007" s="1" t="n">
        <v>46114</v>
      </c>
      <c r="D1007" t="inlineStr">
        <is>
          <t>DALARNAS LÄN</t>
        </is>
      </c>
      <c r="E1007" t="inlineStr">
        <is>
          <t>HEDEMORA</t>
        </is>
      </c>
      <c r="G1007" t="n">
        <v>1.1</v>
      </c>
      <c r="H1007" t="n">
        <v>1</v>
      </c>
      <c r="I1007" t="n">
        <v>0</v>
      </c>
      <c r="J1007" t="n">
        <v>0</v>
      </c>
      <c r="K1007" t="n">
        <v>1</v>
      </c>
      <c r="L1007" t="n">
        <v>0</v>
      </c>
      <c r="M1007" t="n">
        <v>0</v>
      </c>
      <c r="N1007" t="n">
        <v>0</v>
      </c>
      <c r="O1007" t="n">
        <v>1</v>
      </c>
      <c r="P1007" t="n">
        <v>1</v>
      </c>
      <c r="Q1007" t="n">
        <v>1</v>
      </c>
      <c r="R1007" s="2" t="inlineStr">
        <is>
          <t>Knärot</t>
        </is>
      </c>
      <c r="S1007">
        <f>HYPERLINK("https://klasma.github.io/Logging_2083/artfynd/A 10371-2026 artfynd.xlsx", "A 10371-2026")</f>
        <v/>
      </c>
      <c r="T1007">
        <f>HYPERLINK("https://klasma.github.io/Logging_2083/kartor/A 10371-2026 karta.png", "A 10371-2026")</f>
        <v/>
      </c>
      <c r="U1007">
        <f>HYPERLINK("https://klasma.github.io/Logging_2083/knärot/A 10371-2026 karta knärot.png", "A 10371-2026")</f>
        <v/>
      </c>
      <c r="V1007">
        <f>HYPERLINK("https://klasma.github.io/Logging_2083/klagomål/A 10371-2026 FSC-klagomål.docx", "A 10371-2026")</f>
        <v/>
      </c>
      <c r="W1007">
        <f>HYPERLINK("https://klasma.github.io/Logging_2083/klagomålsmail/A 10371-2026 FSC-klagomål mail.docx", "A 10371-2026")</f>
        <v/>
      </c>
      <c r="X1007">
        <f>HYPERLINK("https://klasma.github.io/Logging_2083/tillsyn/A 10371-2026 tillsynsbegäran.docx", "A 10371-2026")</f>
        <v/>
      </c>
      <c r="Y1007">
        <f>HYPERLINK("https://klasma.github.io/Logging_2083/tillsynsmail/A 10371-2026 tillsynsbegäran mail.docx", "A 10371-2026")</f>
        <v/>
      </c>
    </row>
    <row r="1008" ht="15" customHeight="1">
      <c r="A1008" t="inlineStr">
        <is>
          <t>A 1843-2026</t>
        </is>
      </c>
      <c r="B1008" s="1" t="n">
        <v>46035.40274305556</v>
      </c>
      <c r="C1008" s="1" t="n">
        <v>46114</v>
      </c>
      <c r="D1008" t="inlineStr">
        <is>
          <t>DALARNAS LÄN</t>
        </is>
      </c>
      <c r="E1008" t="inlineStr">
        <is>
          <t>BORLÄNGE</t>
        </is>
      </c>
      <c r="F1008" t="inlineStr">
        <is>
          <t>Kommuner</t>
        </is>
      </c>
      <c r="G1008" t="n">
        <v>4</v>
      </c>
      <c r="H1008" t="n">
        <v>0</v>
      </c>
      <c r="I1008" t="n">
        <v>1</v>
      </c>
      <c r="J1008" t="n">
        <v>0</v>
      </c>
      <c r="K1008" t="n">
        <v>0</v>
      </c>
      <c r="L1008" t="n">
        <v>0</v>
      </c>
      <c r="M1008" t="n">
        <v>0</v>
      </c>
      <c r="N1008" t="n">
        <v>0</v>
      </c>
      <c r="O1008" t="n">
        <v>0</v>
      </c>
      <c r="P1008" t="n">
        <v>0</v>
      </c>
      <c r="Q1008" t="n">
        <v>1</v>
      </c>
      <c r="R1008" s="2" t="inlineStr">
        <is>
          <t>Gullgröppa</t>
        </is>
      </c>
      <c r="S1008">
        <f>HYPERLINK("https://klasma.github.io/Logging_2081/artfynd/A 1843-2026 artfynd.xlsx", "A 1843-2026")</f>
        <v/>
      </c>
      <c r="T1008">
        <f>HYPERLINK("https://klasma.github.io/Logging_2081/kartor/A 1843-2026 karta.png", "A 1843-2026")</f>
        <v/>
      </c>
      <c r="V1008">
        <f>HYPERLINK("https://klasma.github.io/Logging_2081/klagomål/A 1843-2026 FSC-klagomål.docx", "A 1843-2026")</f>
        <v/>
      </c>
      <c r="W1008">
        <f>HYPERLINK("https://klasma.github.io/Logging_2081/klagomålsmail/A 1843-2026 FSC-klagomål mail.docx", "A 1843-2026")</f>
        <v/>
      </c>
      <c r="X1008">
        <f>HYPERLINK("https://klasma.github.io/Logging_2081/tillsyn/A 1843-2026 tillsynsbegäran.docx", "A 1843-2026")</f>
        <v/>
      </c>
      <c r="Y1008">
        <f>HYPERLINK("https://klasma.github.io/Logging_2081/tillsynsmail/A 1843-2026 tillsynsbegäran mail.docx", "A 1843-2026")</f>
        <v/>
      </c>
    </row>
    <row r="1009" ht="15" customHeight="1">
      <c r="A1009" t="inlineStr">
        <is>
          <t>A 4389-2026</t>
        </is>
      </c>
      <c r="B1009" s="1" t="n">
        <v>46045.57248842593</v>
      </c>
      <c r="C1009" s="1" t="n">
        <v>46114</v>
      </c>
      <c r="D1009" t="inlineStr">
        <is>
          <t>DALARNAS LÄN</t>
        </is>
      </c>
      <c r="E1009" t="inlineStr">
        <is>
          <t>GAGNEF</t>
        </is>
      </c>
      <c r="G1009" t="n">
        <v>11.2</v>
      </c>
      <c r="H1009" t="n">
        <v>1</v>
      </c>
      <c r="I1009" t="n">
        <v>0</v>
      </c>
      <c r="J1009" t="n">
        <v>0</v>
      </c>
      <c r="K1009" t="n">
        <v>1</v>
      </c>
      <c r="L1009" t="n">
        <v>0</v>
      </c>
      <c r="M1009" t="n">
        <v>0</v>
      </c>
      <c r="N1009" t="n">
        <v>0</v>
      </c>
      <c r="O1009" t="n">
        <v>1</v>
      </c>
      <c r="P1009" t="n">
        <v>1</v>
      </c>
      <c r="Q1009" t="n">
        <v>1</v>
      </c>
      <c r="R1009" s="2" t="inlineStr">
        <is>
          <t>Knärot</t>
        </is>
      </c>
      <c r="S1009">
        <f>HYPERLINK("https://klasma.github.io/Logging_2026/artfynd/A 4389-2026 artfynd.xlsx", "A 4389-2026")</f>
        <v/>
      </c>
      <c r="T1009">
        <f>HYPERLINK("https://klasma.github.io/Logging_2026/kartor/A 4389-2026 karta.png", "A 4389-2026")</f>
        <v/>
      </c>
      <c r="U1009">
        <f>HYPERLINK("https://klasma.github.io/Logging_2026/knärot/A 4389-2026 karta knärot.png", "A 4389-2026")</f>
        <v/>
      </c>
      <c r="V1009">
        <f>HYPERLINK("https://klasma.github.io/Logging_2026/klagomål/A 4389-2026 FSC-klagomål.docx", "A 4389-2026")</f>
        <v/>
      </c>
      <c r="W1009">
        <f>HYPERLINK("https://klasma.github.io/Logging_2026/klagomålsmail/A 4389-2026 FSC-klagomål mail.docx", "A 4389-2026")</f>
        <v/>
      </c>
      <c r="X1009">
        <f>HYPERLINK("https://klasma.github.io/Logging_2026/tillsyn/A 4389-2026 tillsynsbegäran.docx", "A 4389-2026")</f>
        <v/>
      </c>
      <c r="Y1009">
        <f>HYPERLINK("https://klasma.github.io/Logging_2026/tillsynsmail/A 4389-2026 tillsynsbegäran mail.docx", "A 4389-2026")</f>
        <v/>
      </c>
    </row>
    <row r="1010" ht="15" customHeight="1">
      <c r="A1010" t="inlineStr">
        <is>
          <t>A 4393-2026</t>
        </is>
      </c>
      <c r="B1010" s="1" t="n">
        <v>46045.58086805556</v>
      </c>
      <c r="C1010" s="1" t="n">
        <v>46114</v>
      </c>
      <c r="D1010" t="inlineStr">
        <is>
          <t>DALARNAS LÄN</t>
        </is>
      </c>
      <c r="E1010" t="inlineStr">
        <is>
          <t>FALUN</t>
        </is>
      </c>
      <c r="G1010" t="n">
        <v>10.2</v>
      </c>
      <c r="H1010" t="n">
        <v>1</v>
      </c>
      <c r="I1010" t="n">
        <v>0</v>
      </c>
      <c r="J1010" t="n">
        <v>1</v>
      </c>
      <c r="K1010" t="n">
        <v>0</v>
      </c>
      <c r="L1010" t="n">
        <v>0</v>
      </c>
      <c r="M1010" t="n">
        <v>0</v>
      </c>
      <c r="N1010" t="n">
        <v>0</v>
      </c>
      <c r="O1010" t="n">
        <v>1</v>
      </c>
      <c r="P1010" t="n">
        <v>0</v>
      </c>
      <c r="Q1010" t="n">
        <v>1</v>
      </c>
      <c r="R1010" s="2" t="inlineStr">
        <is>
          <t>Järpe</t>
        </is>
      </c>
      <c r="S1010">
        <f>HYPERLINK("https://klasma.github.io/Logging_2080/artfynd/A 4393-2026 artfynd.xlsx", "A 4393-2026")</f>
        <v/>
      </c>
      <c r="T1010">
        <f>HYPERLINK("https://klasma.github.io/Logging_2080/kartor/A 4393-2026 karta.png", "A 4393-2026")</f>
        <v/>
      </c>
      <c r="V1010">
        <f>HYPERLINK("https://klasma.github.io/Logging_2080/klagomål/A 4393-2026 FSC-klagomål.docx", "A 4393-2026")</f>
        <v/>
      </c>
      <c r="W1010">
        <f>HYPERLINK("https://klasma.github.io/Logging_2080/klagomålsmail/A 4393-2026 FSC-klagomål mail.docx", "A 4393-2026")</f>
        <v/>
      </c>
      <c r="X1010">
        <f>HYPERLINK("https://klasma.github.io/Logging_2080/tillsyn/A 4393-2026 tillsynsbegäran.docx", "A 4393-2026")</f>
        <v/>
      </c>
      <c r="Y1010">
        <f>HYPERLINK("https://klasma.github.io/Logging_2080/tillsynsmail/A 4393-2026 tillsynsbegäran mail.docx", "A 4393-2026")</f>
        <v/>
      </c>
      <c r="Z1010">
        <f>HYPERLINK("https://klasma.github.io/Logging_2080/fåglar/A 4393-2026 prioriterade fågelarter.docx", "A 4393-2026")</f>
        <v/>
      </c>
    </row>
    <row r="1011" ht="15" customHeight="1">
      <c r="A1011" t="inlineStr">
        <is>
          <t>A 1591-2026</t>
        </is>
      </c>
      <c r="B1011" s="1" t="n">
        <v>46031</v>
      </c>
      <c r="C1011" s="1" t="n">
        <v>46114</v>
      </c>
      <c r="D1011" t="inlineStr">
        <is>
          <t>DALARNAS LÄN</t>
        </is>
      </c>
      <c r="E1011" t="inlineStr">
        <is>
          <t>BORLÄNGE</t>
        </is>
      </c>
      <c r="G1011" t="n">
        <v>15.6</v>
      </c>
      <c r="H1011" t="n">
        <v>0</v>
      </c>
      <c r="I1011" t="n">
        <v>0</v>
      </c>
      <c r="J1011" t="n">
        <v>1</v>
      </c>
      <c r="K1011" t="n">
        <v>0</v>
      </c>
      <c r="L1011" t="n">
        <v>0</v>
      </c>
      <c r="M1011" t="n">
        <v>0</v>
      </c>
      <c r="N1011" t="n">
        <v>0</v>
      </c>
      <c r="O1011" t="n">
        <v>1</v>
      </c>
      <c r="P1011" t="n">
        <v>0</v>
      </c>
      <c r="Q1011" t="n">
        <v>1</v>
      </c>
      <c r="R1011" s="2" t="inlineStr">
        <is>
          <t>Rosenticka</t>
        </is>
      </c>
      <c r="S1011">
        <f>HYPERLINK("https://klasma.github.io/Logging_2081/artfynd/A 1591-2026 artfynd.xlsx", "A 1591-2026")</f>
        <v/>
      </c>
      <c r="T1011">
        <f>HYPERLINK("https://klasma.github.io/Logging_2081/kartor/A 1591-2026 karta.png", "A 1591-2026")</f>
        <v/>
      </c>
      <c r="V1011">
        <f>HYPERLINK("https://klasma.github.io/Logging_2081/klagomål/A 1591-2026 FSC-klagomål.docx", "A 1591-2026")</f>
        <v/>
      </c>
      <c r="W1011">
        <f>HYPERLINK("https://klasma.github.io/Logging_2081/klagomålsmail/A 1591-2026 FSC-klagomål mail.docx", "A 1591-2026")</f>
        <v/>
      </c>
      <c r="X1011">
        <f>HYPERLINK("https://klasma.github.io/Logging_2081/tillsyn/A 1591-2026 tillsynsbegäran.docx", "A 1591-2026")</f>
        <v/>
      </c>
      <c r="Y1011">
        <f>HYPERLINK("https://klasma.github.io/Logging_2081/tillsynsmail/A 1591-2026 tillsynsbegäran mail.docx", "A 1591-2026")</f>
        <v/>
      </c>
    </row>
    <row r="1012" ht="15" customHeight="1">
      <c r="A1012" t="inlineStr">
        <is>
          <t>A 11956-2026</t>
        </is>
      </c>
      <c r="B1012" s="1" t="n">
        <v>46085</v>
      </c>
      <c r="C1012" s="1" t="n">
        <v>46114</v>
      </c>
      <c r="D1012" t="inlineStr">
        <is>
          <t>DALARNAS LÄN</t>
        </is>
      </c>
      <c r="E1012" t="inlineStr">
        <is>
          <t>RÄTTVIK</t>
        </is>
      </c>
      <c r="F1012" t="inlineStr">
        <is>
          <t>Bergvik skog väst AB</t>
        </is>
      </c>
      <c r="G1012" t="n">
        <v>48.8</v>
      </c>
      <c r="H1012" t="n">
        <v>0</v>
      </c>
      <c r="I1012" t="n">
        <v>1</v>
      </c>
      <c r="J1012" t="n">
        <v>0</v>
      </c>
      <c r="K1012" t="n">
        <v>0</v>
      </c>
      <c r="L1012" t="n">
        <v>0</v>
      </c>
      <c r="M1012" t="n">
        <v>0</v>
      </c>
      <c r="N1012" t="n">
        <v>0</v>
      </c>
      <c r="O1012" t="n">
        <v>0</v>
      </c>
      <c r="P1012" t="n">
        <v>0</v>
      </c>
      <c r="Q1012" t="n">
        <v>1</v>
      </c>
      <c r="R1012" s="2" t="inlineStr">
        <is>
          <t>Skarp dropptaggsvamp</t>
        </is>
      </c>
      <c r="S1012">
        <f>HYPERLINK("https://klasma.github.io/Logging_2031/artfynd/A 11956-2026 artfynd.xlsx", "A 11956-2026")</f>
        <v/>
      </c>
      <c r="T1012">
        <f>HYPERLINK("https://klasma.github.io/Logging_2031/kartor/A 11956-2026 karta.png", "A 11956-2026")</f>
        <v/>
      </c>
      <c r="V1012">
        <f>HYPERLINK("https://klasma.github.io/Logging_2031/klagomål/A 11956-2026 FSC-klagomål.docx", "A 11956-2026")</f>
        <v/>
      </c>
      <c r="W1012">
        <f>HYPERLINK("https://klasma.github.io/Logging_2031/klagomålsmail/A 11956-2026 FSC-klagomål mail.docx", "A 11956-2026")</f>
        <v/>
      </c>
      <c r="X1012">
        <f>HYPERLINK("https://klasma.github.io/Logging_2031/tillsyn/A 11956-2026 tillsynsbegäran.docx", "A 11956-2026")</f>
        <v/>
      </c>
      <c r="Y1012">
        <f>HYPERLINK("https://klasma.github.io/Logging_2031/tillsynsmail/A 11956-2026 tillsynsbegäran mail.docx", "A 11956-2026")</f>
        <v/>
      </c>
    </row>
    <row r="1013" ht="15" customHeight="1">
      <c r="A1013" t="inlineStr">
        <is>
          <t>A 45202-2024</t>
        </is>
      </c>
      <c r="B1013" s="1" t="n">
        <v>45575</v>
      </c>
      <c r="C1013" s="1" t="n">
        <v>46114</v>
      </c>
      <c r="D1013" t="inlineStr">
        <is>
          <t>DALARNAS LÄN</t>
        </is>
      </c>
      <c r="E1013" t="inlineStr">
        <is>
          <t>ÄLVDALEN</t>
        </is>
      </c>
      <c r="G1013" t="n">
        <v>183</v>
      </c>
      <c r="H1013" t="n">
        <v>1</v>
      </c>
      <c r="I1013" t="n">
        <v>0</v>
      </c>
      <c r="J1013" t="n">
        <v>0</v>
      </c>
      <c r="K1013" t="n">
        <v>0</v>
      </c>
      <c r="L1013" t="n">
        <v>0</v>
      </c>
      <c r="M1013" t="n">
        <v>0</v>
      </c>
      <c r="N1013" t="n">
        <v>0</v>
      </c>
      <c r="O1013" t="n">
        <v>0</v>
      </c>
      <c r="P1013" t="n">
        <v>0</v>
      </c>
      <c r="Q1013" t="n">
        <v>1</v>
      </c>
      <c r="R1013" s="2" t="inlineStr">
        <is>
          <t>Lavskrika</t>
        </is>
      </c>
      <c r="S1013">
        <f>HYPERLINK("https://klasma.github.io/Logging_2039/artfynd/A 45202-2024 artfynd.xlsx", "A 45202-2024")</f>
        <v/>
      </c>
      <c r="T1013">
        <f>HYPERLINK("https://klasma.github.io/Logging_2039/kartor/A 45202-2024 karta.png", "A 45202-2024")</f>
        <v/>
      </c>
      <c r="V1013">
        <f>HYPERLINK("https://klasma.github.io/Logging_2039/klagomål/A 45202-2024 FSC-klagomål.docx", "A 45202-2024")</f>
        <v/>
      </c>
      <c r="W1013">
        <f>HYPERLINK("https://klasma.github.io/Logging_2039/klagomålsmail/A 45202-2024 FSC-klagomål mail.docx", "A 45202-2024")</f>
        <v/>
      </c>
      <c r="X1013">
        <f>HYPERLINK("https://klasma.github.io/Logging_2039/tillsyn/A 45202-2024 tillsynsbegäran.docx", "A 45202-2024")</f>
        <v/>
      </c>
      <c r="Y1013">
        <f>HYPERLINK("https://klasma.github.io/Logging_2039/tillsynsmail/A 45202-2024 tillsynsbegäran mail.docx", "A 45202-2024")</f>
        <v/>
      </c>
      <c r="Z1013">
        <f>HYPERLINK("https://klasma.github.io/Logging_2039/fåglar/A 45202-2024 prioriterade fågelarter.docx", "A 45202-2024")</f>
        <v/>
      </c>
    </row>
    <row r="1014" ht="15" customHeight="1">
      <c r="A1014" t="inlineStr">
        <is>
          <t>A 12391-2026</t>
        </is>
      </c>
      <c r="B1014" s="1" t="n">
        <v>46090.37635416666</v>
      </c>
      <c r="C1014" s="1" t="n">
        <v>46114</v>
      </c>
      <c r="D1014" t="inlineStr">
        <is>
          <t>DALARNAS LÄN</t>
        </is>
      </c>
      <c r="E1014" t="inlineStr">
        <is>
          <t>RÄTTVIK</t>
        </is>
      </c>
      <c r="F1014" t="inlineStr">
        <is>
          <t>Sveaskog</t>
        </is>
      </c>
      <c r="G1014" t="n">
        <v>1.8</v>
      </c>
      <c r="H1014" t="n">
        <v>0</v>
      </c>
      <c r="I1014" t="n">
        <v>0</v>
      </c>
      <c r="J1014" t="n">
        <v>1</v>
      </c>
      <c r="K1014" t="n">
        <v>0</v>
      </c>
      <c r="L1014" t="n">
        <v>0</v>
      </c>
      <c r="M1014" t="n">
        <v>0</v>
      </c>
      <c r="N1014" t="n">
        <v>0</v>
      </c>
      <c r="O1014" t="n">
        <v>1</v>
      </c>
      <c r="P1014" t="n">
        <v>0</v>
      </c>
      <c r="Q1014" t="n">
        <v>1</v>
      </c>
      <c r="R1014" s="2" t="inlineStr">
        <is>
          <t>Vedflamlav</t>
        </is>
      </c>
      <c r="S1014">
        <f>HYPERLINK("https://klasma.github.io/Logging_2031/artfynd/A 12391-2026 artfynd.xlsx", "A 12391-2026")</f>
        <v/>
      </c>
      <c r="T1014">
        <f>HYPERLINK("https://klasma.github.io/Logging_2031/kartor/A 12391-2026 karta.png", "A 12391-2026")</f>
        <v/>
      </c>
      <c r="V1014">
        <f>HYPERLINK("https://klasma.github.io/Logging_2031/klagomål/A 12391-2026 FSC-klagomål.docx", "A 12391-2026")</f>
        <v/>
      </c>
      <c r="W1014">
        <f>HYPERLINK("https://klasma.github.io/Logging_2031/klagomålsmail/A 12391-2026 FSC-klagomål mail.docx", "A 12391-2026")</f>
        <v/>
      </c>
      <c r="X1014">
        <f>HYPERLINK("https://klasma.github.io/Logging_2031/tillsyn/A 12391-2026 tillsynsbegäran.docx", "A 12391-2026")</f>
        <v/>
      </c>
      <c r="Y1014">
        <f>HYPERLINK("https://klasma.github.io/Logging_2031/tillsynsmail/A 12391-2026 tillsynsbegäran mail.docx", "A 12391-2026")</f>
        <v/>
      </c>
    </row>
    <row r="1015" ht="15" customHeight="1">
      <c r="A1015" t="inlineStr">
        <is>
          <t>A 18067-2023</t>
        </is>
      </c>
      <c r="B1015" s="1" t="n">
        <v>45040</v>
      </c>
      <c r="C1015" s="1" t="n">
        <v>46114</v>
      </c>
      <c r="D1015" t="inlineStr">
        <is>
          <t>DALARNAS LÄN</t>
        </is>
      </c>
      <c r="E1015" t="inlineStr">
        <is>
          <t>FALUN</t>
        </is>
      </c>
      <c r="G1015" t="n">
        <v>7.7</v>
      </c>
      <c r="H1015" t="n">
        <v>0</v>
      </c>
      <c r="I1015" t="n">
        <v>1</v>
      </c>
      <c r="J1015" t="n">
        <v>0</v>
      </c>
      <c r="K1015" t="n">
        <v>0</v>
      </c>
      <c r="L1015" t="n">
        <v>0</v>
      </c>
      <c r="M1015" t="n">
        <v>0</v>
      </c>
      <c r="N1015" t="n">
        <v>0</v>
      </c>
      <c r="O1015" t="n">
        <v>0</v>
      </c>
      <c r="P1015" t="n">
        <v>0</v>
      </c>
      <c r="Q1015" t="n">
        <v>1</v>
      </c>
      <c r="R1015" s="2" t="inlineStr">
        <is>
          <t>Ögonpyrola</t>
        </is>
      </c>
      <c r="S1015">
        <f>HYPERLINK("https://klasma.github.io/Logging_2080/artfynd/A 18067-2023 artfynd.xlsx", "A 18067-2023")</f>
        <v/>
      </c>
      <c r="T1015">
        <f>HYPERLINK("https://klasma.github.io/Logging_2080/kartor/A 18067-2023 karta.png", "A 18067-2023")</f>
        <v/>
      </c>
      <c r="V1015">
        <f>HYPERLINK("https://klasma.github.io/Logging_2080/klagomål/A 18067-2023 FSC-klagomål.docx", "A 18067-2023")</f>
        <v/>
      </c>
      <c r="W1015">
        <f>HYPERLINK("https://klasma.github.io/Logging_2080/klagomålsmail/A 18067-2023 FSC-klagomål mail.docx", "A 18067-2023")</f>
        <v/>
      </c>
      <c r="X1015">
        <f>HYPERLINK("https://klasma.github.io/Logging_2080/tillsyn/A 18067-2023 tillsynsbegäran.docx", "A 18067-2023")</f>
        <v/>
      </c>
      <c r="Y1015">
        <f>HYPERLINK("https://klasma.github.io/Logging_2080/tillsynsmail/A 18067-2023 tillsynsbegäran mail.docx", "A 18067-2023")</f>
        <v/>
      </c>
    </row>
    <row r="1016" ht="15" customHeight="1">
      <c r="A1016" t="inlineStr">
        <is>
          <t>A 12786-2026</t>
        </is>
      </c>
      <c r="B1016" s="1" t="n">
        <v>46091.81521990741</v>
      </c>
      <c r="C1016" s="1" t="n">
        <v>46114</v>
      </c>
      <c r="D1016" t="inlineStr">
        <is>
          <t>DALARNAS LÄN</t>
        </is>
      </c>
      <c r="E1016" t="inlineStr">
        <is>
          <t>FALUN</t>
        </is>
      </c>
      <c r="F1016" t="inlineStr">
        <is>
          <t>Bergvik skog väst AB</t>
        </is>
      </c>
      <c r="G1016" t="n">
        <v>45.9</v>
      </c>
      <c r="H1016" t="n">
        <v>1</v>
      </c>
      <c r="I1016" t="n">
        <v>0</v>
      </c>
      <c r="J1016" t="n">
        <v>0</v>
      </c>
      <c r="K1016" t="n">
        <v>0</v>
      </c>
      <c r="L1016" t="n">
        <v>0</v>
      </c>
      <c r="M1016" t="n">
        <v>0</v>
      </c>
      <c r="N1016" t="n">
        <v>0</v>
      </c>
      <c r="O1016" t="n">
        <v>0</v>
      </c>
      <c r="P1016" t="n">
        <v>0</v>
      </c>
      <c r="Q1016" t="n">
        <v>1</v>
      </c>
      <c r="R1016" s="2" t="inlineStr">
        <is>
          <t>Tjäder</t>
        </is>
      </c>
      <c r="S1016">
        <f>HYPERLINK("https://klasma.github.io/Logging_2080/artfynd/A 12786-2026 artfynd.xlsx", "A 12786-2026")</f>
        <v/>
      </c>
      <c r="T1016">
        <f>HYPERLINK("https://klasma.github.io/Logging_2080/kartor/A 12786-2026 karta.png", "A 12786-2026")</f>
        <v/>
      </c>
      <c r="V1016">
        <f>HYPERLINK("https://klasma.github.io/Logging_2080/klagomål/A 12786-2026 FSC-klagomål.docx", "A 12786-2026")</f>
        <v/>
      </c>
      <c r="W1016">
        <f>HYPERLINK("https://klasma.github.io/Logging_2080/klagomålsmail/A 12786-2026 FSC-klagomål mail.docx", "A 12786-2026")</f>
        <v/>
      </c>
      <c r="X1016">
        <f>HYPERLINK("https://klasma.github.io/Logging_2080/tillsyn/A 12786-2026 tillsynsbegäran.docx", "A 12786-2026")</f>
        <v/>
      </c>
      <c r="Y1016">
        <f>HYPERLINK("https://klasma.github.io/Logging_2080/tillsynsmail/A 12786-2026 tillsynsbegäran mail.docx", "A 12786-2026")</f>
        <v/>
      </c>
      <c r="Z1016">
        <f>HYPERLINK("https://klasma.github.io/Logging_2080/fåglar/A 12786-2026 prioriterade fågelarter.docx", "A 12786-2026")</f>
        <v/>
      </c>
    </row>
    <row r="1017" ht="15" customHeight="1">
      <c r="A1017" t="inlineStr">
        <is>
          <t>A 5301-2026</t>
        </is>
      </c>
      <c r="B1017" s="1" t="n">
        <v>46050</v>
      </c>
      <c r="C1017" s="1" t="n">
        <v>46114</v>
      </c>
      <c r="D1017" t="inlineStr">
        <is>
          <t>DALARNAS LÄN</t>
        </is>
      </c>
      <c r="E1017" t="inlineStr">
        <is>
          <t>FALUN</t>
        </is>
      </c>
      <c r="F1017" t="inlineStr">
        <is>
          <t>Bergvik skog väst AB</t>
        </is>
      </c>
      <c r="G1017" t="n">
        <v>9.199999999999999</v>
      </c>
      <c r="H1017" t="n">
        <v>1</v>
      </c>
      <c r="I1017" t="n">
        <v>0</v>
      </c>
      <c r="J1017" t="n">
        <v>0</v>
      </c>
      <c r="K1017" t="n">
        <v>0</v>
      </c>
      <c r="L1017" t="n">
        <v>0</v>
      </c>
      <c r="M1017" t="n">
        <v>0</v>
      </c>
      <c r="N1017" t="n">
        <v>0</v>
      </c>
      <c r="O1017" t="n">
        <v>0</v>
      </c>
      <c r="P1017" t="n">
        <v>0</v>
      </c>
      <c r="Q1017" t="n">
        <v>1</v>
      </c>
      <c r="R1017" s="2" t="inlineStr">
        <is>
          <t>Tjäder</t>
        </is>
      </c>
      <c r="S1017">
        <f>HYPERLINK("https://klasma.github.io/Logging_2080/artfynd/A 5301-2026 artfynd.xlsx", "A 5301-2026")</f>
        <v/>
      </c>
      <c r="T1017">
        <f>HYPERLINK("https://klasma.github.io/Logging_2080/kartor/A 5301-2026 karta.png", "A 5301-2026")</f>
        <v/>
      </c>
      <c r="V1017">
        <f>HYPERLINK("https://klasma.github.io/Logging_2080/klagomål/A 5301-2026 FSC-klagomål.docx", "A 5301-2026")</f>
        <v/>
      </c>
      <c r="W1017">
        <f>HYPERLINK("https://klasma.github.io/Logging_2080/klagomålsmail/A 5301-2026 FSC-klagomål mail.docx", "A 5301-2026")</f>
        <v/>
      </c>
      <c r="X1017">
        <f>HYPERLINK("https://klasma.github.io/Logging_2080/tillsyn/A 5301-2026 tillsynsbegäran.docx", "A 5301-2026")</f>
        <v/>
      </c>
      <c r="Y1017">
        <f>HYPERLINK("https://klasma.github.io/Logging_2080/tillsynsmail/A 5301-2026 tillsynsbegäran mail.docx", "A 5301-2026")</f>
        <v/>
      </c>
      <c r="Z1017">
        <f>HYPERLINK("https://klasma.github.io/Logging_2080/fåglar/A 5301-2026 prioriterade fågelarter.docx", "A 5301-2026")</f>
        <v/>
      </c>
    </row>
    <row r="1018" ht="15" customHeight="1">
      <c r="A1018" t="inlineStr">
        <is>
          <t>A 21421-2023</t>
        </is>
      </c>
      <c r="B1018" s="1" t="n">
        <v>45063</v>
      </c>
      <c r="C1018" s="1" t="n">
        <v>46114</v>
      </c>
      <c r="D1018" t="inlineStr">
        <is>
          <t>DALARNAS LÄN</t>
        </is>
      </c>
      <c r="E1018" t="inlineStr">
        <is>
          <t>SMEDJEBACKEN</t>
        </is>
      </c>
      <c r="F1018" t="inlineStr">
        <is>
          <t>Bergvik skog väst AB</t>
        </is>
      </c>
      <c r="G1018" t="n">
        <v>0.5</v>
      </c>
      <c r="H1018" t="n">
        <v>0</v>
      </c>
      <c r="I1018" t="n">
        <v>0</v>
      </c>
      <c r="J1018" t="n">
        <v>1</v>
      </c>
      <c r="K1018" t="n">
        <v>0</v>
      </c>
      <c r="L1018" t="n">
        <v>0</v>
      </c>
      <c r="M1018" t="n">
        <v>0</v>
      </c>
      <c r="N1018" t="n">
        <v>0</v>
      </c>
      <c r="O1018" t="n">
        <v>1</v>
      </c>
      <c r="P1018" t="n">
        <v>0</v>
      </c>
      <c r="Q1018" t="n">
        <v>1</v>
      </c>
      <c r="R1018" s="2" t="inlineStr">
        <is>
          <t>Barrpraktbagge</t>
        </is>
      </c>
      <c r="S1018">
        <f>HYPERLINK("https://klasma.github.io/Logging_2061/artfynd/A 21421-2023 artfynd.xlsx", "A 21421-2023")</f>
        <v/>
      </c>
      <c r="T1018">
        <f>HYPERLINK("https://klasma.github.io/Logging_2061/kartor/A 21421-2023 karta.png", "A 21421-2023")</f>
        <v/>
      </c>
      <c r="V1018">
        <f>HYPERLINK("https://klasma.github.io/Logging_2061/klagomål/A 21421-2023 FSC-klagomål.docx", "A 21421-2023")</f>
        <v/>
      </c>
      <c r="W1018">
        <f>HYPERLINK("https://klasma.github.io/Logging_2061/klagomålsmail/A 21421-2023 FSC-klagomål mail.docx", "A 21421-2023")</f>
        <v/>
      </c>
      <c r="X1018">
        <f>HYPERLINK("https://klasma.github.io/Logging_2061/tillsyn/A 21421-2023 tillsynsbegäran.docx", "A 21421-2023")</f>
        <v/>
      </c>
      <c r="Y1018">
        <f>HYPERLINK("https://klasma.github.io/Logging_2061/tillsynsmail/A 21421-2023 tillsynsbegäran mail.docx", "A 21421-2023")</f>
        <v/>
      </c>
    </row>
    <row r="1019" ht="15" customHeight="1">
      <c r="A1019" t="inlineStr">
        <is>
          <t>A 5384-2026</t>
        </is>
      </c>
      <c r="B1019" s="1" t="n">
        <v>46050.46430555556</v>
      </c>
      <c r="C1019" s="1" t="n">
        <v>46114</v>
      </c>
      <c r="D1019" t="inlineStr">
        <is>
          <t>DALARNAS LÄN</t>
        </is>
      </c>
      <c r="E1019" t="inlineStr">
        <is>
          <t>BORLÄNGE</t>
        </is>
      </c>
      <c r="G1019" t="n">
        <v>1</v>
      </c>
      <c r="H1019" t="n">
        <v>0</v>
      </c>
      <c r="I1019" t="n">
        <v>0</v>
      </c>
      <c r="J1019" t="n">
        <v>1</v>
      </c>
      <c r="K1019" t="n">
        <v>0</v>
      </c>
      <c r="L1019" t="n">
        <v>0</v>
      </c>
      <c r="M1019" t="n">
        <v>0</v>
      </c>
      <c r="N1019" t="n">
        <v>0</v>
      </c>
      <c r="O1019" t="n">
        <v>1</v>
      </c>
      <c r="P1019" t="n">
        <v>0</v>
      </c>
      <c r="Q1019" t="n">
        <v>1</v>
      </c>
      <c r="R1019" s="2" t="inlineStr">
        <is>
          <t>Ullticka</t>
        </is>
      </c>
      <c r="S1019">
        <f>HYPERLINK("https://klasma.github.io/Logging_2081/artfynd/A 5384-2026 artfynd.xlsx", "A 5384-2026")</f>
        <v/>
      </c>
      <c r="T1019">
        <f>HYPERLINK("https://klasma.github.io/Logging_2081/kartor/A 5384-2026 karta.png", "A 5384-2026")</f>
        <v/>
      </c>
      <c r="V1019">
        <f>HYPERLINK("https://klasma.github.io/Logging_2081/klagomål/A 5384-2026 FSC-klagomål.docx", "A 5384-2026")</f>
        <v/>
      </c>
      <c r="W1019">
        <f>HYPERLINK("https://klasma.github.io/Logging_2081/klagomålsmail/A 5384-2026 FSC-klagomål mail.docx", "A 5384-2026")</f>
        <v/>
      </c>
      <c r="X1019">
        <f>HYPERLINK("https://klasma.github.io/Logging_2081/tillsyn/A 5384-2026 tillsynsbegäran.docx", "A 5384-2026")</f>
        <v/>
      </c>
      <c r="Y1019">
        <f>HYPERLINK("https://klasma.github.io/Logging_2081/tillsynsmail/A 5384-2026 tillsynsbegäran mail.docx", "A 5384-2026")</f>
        <v/>
      </c>
    </row>
    <row r="1020" ht="15" customHeight="1">
      <c r="A1020" t="inlineStr">
        <is>
          <t>A 5428-2026</t>
        </is>
      </c>
      <c r="B1020" s="1" t="n">
        <v>46050</v>
      </c>
      <c r="C1020" s="1" t="n">
        <v>46114</v>
      </c>
      <c r="D1020" t="inlineStr">
        <is>
          <t>DALARNAS LÄN</t>
        </is>
      </c>
      <c r="E1020" t="inlineStr">
        <is>
          <t>LEKSAND</t>
        </is>
      </c>
      <c r="F1020" t="inlineStr">
        <is>
          <t>Kommuner</t>
        </is>
      </c>
      <c r="G1020" t="n">
        <v>1.1</v>
      </c>
      <c r="H1020" t="n">
        <v>1</v>
      </c>
      <c r="I1020" t="n">
        <v>0</v>
      </c>
      <c r="J1020" t="n">
        <v>0</v>
      </c>
      <c r="K1020" t="n">
        <v>1</v>
      </c>
      <c r="L1020" t="n">
        <v>0</v>
      </c>
      <c r="M1020" t="n">
        <v>0</v>
      </c>
      <c r="N1020" t="n">
        <v>0</v>
      </c>
      <c r="O1020" t="n">
        <v>1</v>
      </c>
      <c r="P1020" t="n">
        <v>1</v>
      </c>
      <c r="Q1020" t="n">
        <v>1</v>
      </c>
      <c r="R1020" s="2" t="inlineStr">
        <is>
          <t>Knärot</t>
        </is>
      </c>
      <c r="S1020">
        <f>HYPERLINK("https://klasma.github.io/Logging_2029/artfynd/A 5428-2026 artfynd.xlsx", "A 5428-2026")</f>
        <v/>
      </c>
      <c r="T1020">
        <f>HYPERLINK("https://klasma.github.io/Logging_2029/kartor/A 5428-2026 karta.png", "A 5428-2026")</f>
        <v/>
      </c>
      <c r="U1020">
        <f>HYPERLINK("https://klasma.github.io/Logging_2029/knärot/A 5428-2026 karta knärot.png", "A 5428-2026")</f>
        <v/>
      </c>
      <c r="V1020">
        <f>HYPERLINK("https://klasma.github.io/Logging_2029/klagomål/A 5428-2026 FSC-klagomål.docx", "A 5428-2026")</f>
        <v/>
      </c>
      <c r="W1020">
        <f>HYPERLINK("https://klasma.github.io/Logging_2029/klagomålsmail/A 5428-2026 FSC-klagomål mail.docx", "A 5428-2026")</f>
        <v/>
      </c>
      <c r="X1020">
        <f>HYPERLINK("https://klasma.github.io/Logging_2029/tillsyn/A 5428-2026 tillsynsbegäran.docx", "A 5428-2026")</f>
        <v/>
      </c>
      <c r="Y1020">
        <f>HYPERLINK("https://klasma.github.io/Logging_2029/tillsynsmail/A 5428-2026 tillsynsbegäran mail.docx", "A 5428-2026")</f>
        <v/>
      </c>
    </row>
    <row r="1021" ht="15" customHeight="1">
      <c r="A1021" t="inlineStr">
        <is>
          <t>A 53031-2023</t>
        </is>
      </c>
      <c r="B1021" s="1" t="n">
        <v>45226</v>
      </c>
      <c r="C1021" s="1" t="n">
        <v>46114</v>
      </c>
      <c r="D1021" t="inlineStr">
        <is>
          <t>DALARNAS LÄN</t>
        </is>
      </c>
      <c r="E1021" t="inlineStr">
        <is>
          <t>HEDEMORA</t>
        </is>
      </c>
      <c r="F1021" t="inlineStr">
        <is>
          <t>Sveaskog</t>
        </is>
      </c>
      <c r="G1021" t="n">
        <v>6.9</v>
      </c>
      <c r="H1021" t="n">
        <v>1</v>
      </c>
      <c r="I1021" t="n">
        <v>0</v>
      </c>
      <c r="J1021" t="n">
        <v>1</v>
      </c>
      <c r="K1021" t="n">
        <v>0</v>
      </c>
      <c r="L1021" t="n">
        <v>0</v>
      </c>
      <c r="M1021" t="n">
        <v>0</v>
      </c>
      <c r="N1021" t="n">
        <v>0</v>
      </c>
      <c r="O1021" t="n">
        <v>1</v>
      </c>
      <c r="P1021" t="n">
        <v>0</v>
      </c>
      <c r="Q1021" t="n">
        <v>1</v>
      </c>
      <c r="R1021" s="2" t="inlineStr">
        <is>
          <t>Talltita</t>
        </is>
      </c>
      <c r="S1021">
        <f>HYPERLINK("https://klasma.github.io/Logging_2083/artfynd/A 53031-2023 artfynd.xlsx", "A 53031-2023")</f>
        <v/>
      </c>
      <c r="T1021">
        <f>HYPERLINK("https://klasma.github.io/Logging_2083/kartor/A 53031-2023 karta.png", "A 53031-2023")</f>
        <v/>
      </c>
      <c r="V1021">
        <f>HYPERLINK("https://klasma.github.io/Logging_2083/klagomål/A 53031-2023 FSC-klagomål.docx", "A 53031-2023")</f>
        <v/>
      </c>
      <c r="W1021">
        <f>HYPERLINK("https://klasma.github.io/Logging_2083/klagomålsmail/A 53031-2023 FSC-klagomål mail.docx", "A 53031-2023")</f>
        <v/>
      </c>
      <c r="X1021">
        <f>HYPERLINK("https://klasma.github.io/Logging_2083/tillsyn/A 53031-2023 tillsynsbegäran.docx", "A 53031-2023")</f>
        <v/>
      </c>
      <c r="Y1021">
        <f>HYPERLINK("https://klasma.github.io/Logging_2083/tillsynsmail/A 53031-2023 tillsynsbegäran mail.docx", "A 53031-2023")</f>
        <v/>
      </c>
      <c r="Z1021">
        <f>HYPERLINK("https://klasma.github.io/Logging_2083/fåglar/A 53031-2023 prioriterade fågelarter.docx", "A 53031-2023")</f>
        <v/>
      </c>
    </row>
    <row r="1022" ht="15" customHeight="1">
      <c r="A1022" t="inlineStr">
        <is>
          <t>A 53924-2024</t>
        </is>
      </c>
      <c r="B1022" s="1" t="n">
        <v>45615</v>
      </c>
      <c r="C1022" s="1" t="n">
        <v>46114</v>
      </c>
      <c r="D1022" t="inlineStr">
        <is>
          <t>DALARNAS LÄN</t>
        </is>
      </c>
      <c r="E1022" t="inlineStr">
        <is>
          <t>HEDEMORA</t>
        </is>
      </c>
      <c r="F1022" t="inlineStr">
        <is>
          <t>Sveaskog</t>
        </is>
      </c>
      <c r="G1022" t="n">
        <v>3.8</v>
      </c>
      <c r="H1022" t="n">
        <v>1</v>
      </c>
      <c r="I1022" t="n">
        <v>1</v>
      </c>
      <c r="J1022" t="n">
        <v>0</v>
      </c>
      <c r="K1022" t="n">
        <v>0</v>
      </c>
      <c r="L1022" t="n">
        <v>0</v>
      </c>
      <c r="M1022" t="n">
        <v>0</v>
      </c>
      <c r="N1022" t="n">
        <v>0</v>
      </c>
      <c r="O1022" t="n">
        <v>0</v>
      </c>
      <c r="P1022" t="n">
        <v>0</v>
      </c>
      <c r="Q1022" t="n">
        <v>1</v>
      </c>
      <c r="R1022" s="2" t="inlineStr">
        <is>
          <t>Plattlummer</t>
        </is>
      </c>
      <c r="S1022">
        <f>HYPERLINK("https://klasma.github.io/Logging_2083/artfynd/A 53924-2024 artfynd.xlsx", "A 53924-2024")</f>
        <v/>
      </c>
      <c r="T1022">
        <f>HYPERLINK("https://klasma.github.io/Logging_2083/kartor/A 53924-2024 karta.png", "A 53924-2024")</f>
        <v/>
      </c>
      <c r="V1022">
        <f>HYPERLINK("https://klasma.github.io/Logging_2083/klagomål/A 53924-2024 FSC-klagomål.docx", "A 53924-2024")</f>
        <v/>
      </c>
      <c r="W1022">
        <f>HYPERLINK("https://klasma.github.io/Logging_2083/klagomålsmail/A 53924-2024 FSC-klagomål mail.docx", "A 53924-2024")</f>
        <v/>
      </c>
      <c r="X1022">
        <f>HYPERLINK("https://klasma.github.io/Logging_2083/tillsyn/A 53924-2024 tillsynsbegäran.docx", "A 53924-2024")</f>
        <v/>
      </c>
      <c r="Y1022">
        <f>HYPERLINK("https://klasma.github.io/Logging_2083/tillsynsmail/A 53924-2024 tillsynsbegäran mail.docx", "A 53924-2024")</f>
        <v/>
      </c>
    </row>
    <row r="1023" ht="15" customHeight="1">
      <c r="A1023" t="inlineStr">
        <is>
          <t>A 5764-2026</t>
        </is>
      </c>
      <c r="B1023" s="1" t="n">
        <v>46051</v>
      </c>
      <c r="C1023" s="1" t="n">
        <v>46114</v>
      </c>
      <c r="D1023" t="inlineStr">
        <is>
          <t>DALARNAS LÄN</t>
        </is>
      </c>
      <c r="E1023" t="inlineStr">
        <is>
          <t>FALUN</t>
        </is>
      </c>
      <c r="G1023" t="n">
        <v>2.6</v>
      </c>
      <c r="H1023" t="n">
        <v>1</v>
      </c>
      <c r="I1023" t="n">
        <v>0</v>
      </c>
      <c r="J1023" t="n">
        <v>0</v>
      </c>
      <c r="K1023" t="n">
        <v>0</v>
      </c>
      <c r="L1023" t="n">
        <v>0</v>
      </c>
      <c r="M1023" t="n">
        <v>0</v>
      </c>
      <c r="N1023" t="n">
        <v>0</v>
      </c>
      <c r="O1023" t="n">
        <v>0</v>
      </c>
      <c r="P1023" t="n">
        <v>0</v>
      </c>
      <c r="Q1023" t="n">
        <v>1</v>
      </c>
      <c r="R1023" s="2" t="inlineStr">
        <is>
          <t>Nattviol</t>
        </is>
      </c>
      <c r="S1023">
        <f>HYPERLINK("https://klasma.github.io/Logging_2080/artfynd/A 5764-2026 artfynd.xlsx", "A 5764-2026")</f>
        <v/>
      </c>
      <c r="T1023">
        <f>HYPERLINK("https://klasma.github.io/Logging_2080/kartor/A 5764-2026 karta.png", "A 5764-2026")</f>
        <v/>
      </c>
      <c r="V1023">
        <f>HYPERLINK("https://klasma.github.io/Logging_2080/klagomål/A 5764-2026 FSC-klagomål.docx", "A 5764-2026")</f>
        <v/>
      </c>
      <c r="W1023">
        <f>HYPERLINK("https://klasma.github.io/Logging_2080/klagomålsmail/A 5764-2026 FSC-klagomål mail.docx", "A 5764-2026")</f>
        <v/>
      </c>
      <c r="X1023">
        <f>HYPERLINK("https://klasma.github.io/Logging_2080/tillsyn/A 5764-2026 tillsynsbegäran.docx", "A 5764-2026")</f>
        <v/>
      </c>
      <c r="Y1023">
        <f>HYPERLINK("https://klasma.github.io/Logging_2080/tillsynsmail/A 5764-2026 tillsynsbegäran mail.docx", "A 5764-2026")</f>
        <v/>
      </c>
    </row>
    <row r="1024" ht="15" customHeight="1">
      <c r="A1024" t="inlineStr">
        <is>
          <t>A 52953-2023</t>
        </is>
      </c>
      <c r="B1024" s="1" t="n">
        <v>45226.58356481481</v>
      </c>
      <c r="C1024" s="1" t="n">
        <v>46114</v>
      </c>
      <c r="D1024" t="inlineStr">
        <is>
          <t>DALARNAS LÄN</t>
        </is>
      </c>
      <c r="E1024" t="inlineStr">
        <is>
          <t>SMEDJEBACKEN</t>
        </is>
      </c>
      <c r="F1024" t="inlineStr">
        <is>
          <t>Sveaskog</t>
        </is>
      </c>
      <c r="G1024" t="n">
        <v>0.9</v>
      </c>
      <c r="H1024" t="n">
        <v>0</v>
      </c>
      <c r="I1024" t="n">
        <v>0</v>
      </c>
      <c r="J1024" t="n">
        <v>1</v>
      </c>
      <c r="K1024" t="n">
        <v>0</v>
      </c>
      <c r="L1024" t="n">
        <v>0</v>
      </c>
      <c r="M1024" t="n">
        <v>0</v>
      </c>
      <c r="N1024" t="n">
        <v>0</v>
      </c>
      <c r="O1024" t="n">
        <v>1</v>
      </c>
      <c r="P1024" t="n">
        <v>0</v>
      </c>
      <c r="Q1024" t="n">
        <v>1</v>
      </c>
      <c r="R1024" s="2" t="inlineStr">
        <is>
          <t>Motaggsvamp</t>
        </is>
      </c>
      <c r="S1024">
        <f>HYPERLINK("https://klasma.github.io/Logging_2061/artfynd/A 52953-2023 artfynd.xlsx", "A 52953-2023")</f>
        <v/>
      </c>
      <c r="T1024">
        <f>HYPERLINK("https://klasma.github.io/Logging_2061/kartor/A 52953-2023 karta.png", "A 52953-2023")</f>
        <v/>
      </c>
      <c r="V1024">
        <f>HYPERLINK("https://klasma.github.io/Logging_2061/klagomål/A 52953-2023 FSC-klagomål.docx", "A 52953-2023")</f>
        <v/>
      </c>
      <c r="W1024">
        <f>HYPERLINK("https://klasma.github.io/Logging_2061/klagomålsmail/A 52953-2023 FSC-klagomål mail.docx", "A 52953-2023")</f>
        <v/>
      </c>
      <c r="X1024">
        <f>HYPERLINK("https://klasma.github.io/Logging_2061/tillsyn/A 52953-2023 tillsynsbegäran.docx", "A 52953-2023")</f>
        <v/>
      </c>
      <c r="Y1024">
        <f>HYPERLINK("https://klasma.github.io/Logging_2061/tillsynsmail/A 52953-2023 tillsynsbegäran mail.docx", "A 52953-2023")</f>
        <v/>
      </c>
    </row>
    <row r="1025" ht="15" customHeight="1">
      <c r="A1025" t="inlineStr">
        <is>
          <t>A 37887-2023</t>
        </is>
      </c>
      <c r="B1025" s="1" t="n">
        <v>45160</v>
      </c>
      <c r="C1025" s="1" t="n">
        <v>46114</v>
      </c>
      <c r="D1025" t="inlineStr">
        <is>
          <t>DALARNAS LÄN</t>
        </is>
      </c>
      <c r="E1025" t="inlineStr">
        <is>
          <t>ORSA</t>
        </is>
      </c>
      <c r="F1025" t="inlineStr">
        <is>
          <t>Allmännings- och besparingsskogar</t>
        </is>
      </c>
      <c r="G1025" t="n">
        <v>20.5</v>
      </c>
      <c r="H1025" t="n">
        <v>1</v>
      </c>
      <c r="I1025" t="n">
        <v>0</v>
      </c>
      <c r="J1025" t="n">
        <v>1</v>
      </c>
      <c r="K1025" t="n">
        <v>0</v>
      </c>
      <c r="L1025" t="n">
        <v>0</v>
      </c>
      <c r="M1025" t="n">
        <v>0</v>
      </c>
      <c r="N1025" t="n">
        <v>0</v>
      </c>
      <c r="O1025" t="n">
        <v>1</v>
      </c>
      <c r="P1025" t="n">
        <v>0</v>
      </c>
      <c r="Q1025" t="n">
        <v>1</v>
      </c>
      <c r="R1025" s="2" t="inlineStr">
        <is>
          <t>Varglav</t>
        </is>
      </c>
      <c r="S1025">
        <f>HYPERLINK("https://klasma.github.io/Logging_2034/artfynd/A 37887-2023 artfynd.xlsx", "A 37887-2023")</f>
        <v/>
      </c>
      <c r="T1025">
        <f>HYPERLINK("https://klasma.github.io/Logging_2034/kartor/A 37887-2023 karta.png", "A 37887-2023")</f>
        <v/>
      </c>
      <c r="V1025">
        <f>HYPERLINK("https://klasma.github.io/Logging_2034/klagomål/A 37887-2023 FSC-klagomål.docx", "A 37887-2023")</f>
        <v/>
      </c>
      <c r="W1025">
        <f>HYPERLINK("https://klasma.github.io/Logging_2034/klagomålsmail/A 37887-2023 FSC-klagomål mail.docx", "A 37887-2023")</f>
        <v/>
      </c>
      <c r="X1025">
        <f>HYPERLINK("https://klasma.github.io/Logging_2034/tillsyn/A 37887-2023 tillsynsbegäran.docx", "A 37887-2023")</f>
        <v/>
      </c>
      <c r="Y1025">
        <f>HYPERLINK("https://klasma.github.io/Logging_2034/tillsynsmail/A 37887-2023 tillsynsbegäran mail.docx", "A 37887-2023")</f>
        <v/>
      </c>
    </row>
    <row r="1026" ht="15" customHeight="1">
      <c r="A1026" t="inlineStr">
        <is>
          <t>A 5890-2026</t>
        </is>
      </c>
      <c r="B1026" s="1" t="n">
        <v>46052</v>
      </c>
      <c r="C1026" s="1" t="n">
        <v>46114</v>
      </c>
      <c r="D1026" t="inlineStr">
        <is>
          <t>DALARNAS LÄN</t>
        </is>
      </c>
      <c r="E1026" t="inlineStr">
        <is>
          <t>RÄTTVIK</t>
        </is>
      </c>
      <c r="G1026" t="n">
        <v>3.1</v>
      </c>
      <c r="H1026" t="n">
        <v>0</v>
      </c>
      <c r="I1026" t="n">
        <v>1</v>
      </c>
      <c r="J1026" t="n">
        <v>0</v>
      </c>
      <c r="K1026" t="n">
        <v>0</v>
      </c>
      <c r="L1026" t="n">
        <v>0</v>
      </c>
      <c r="M1026" t="n">
        <v>0</v>
      </c>
      <c r="N1026" t="n">
        <v>0</v>
      </c>
      <c r="O1026" t="n">
        <v>0</v>
      </c>
      <c r="P1026" t="n">
        <v>0</v>
      </c>
      <c r="Q1026" t="n">
        <v>1</v>
      </c>
      <c r="R1026" s="2" t="inlineStr">
        <is>
          <t>Stor aspticka</t>
        </is>
      </c>
      <c r="S1026">
        <f>HYPERLINK("https://klasma.github.io/Logging_2031/artfynd/A 5890-2026 artfynd.xlsx", "A 5890-2026")</f>
        <v/>
      </c>
      <c r="T1026">
        <f>HYPERLINK("https://klasma.github.io/Logging_2031/kartor/A 5890-2026 karta.png", "A 5890-2026")</f>
        <v/>
      </c>
      <c r="V1026">
        <f>HYPERLINK("https://klasma.github.io/Logging_2031/klagomål/A 5890-2026 FSC-klagomål.docx", "A 5890-2026")</f>
        <v/>
      </c>
      <c r="W1026">
        <f>HYPERLINK("https://klasma.github.io/Logging_2031/klagomålsmail/A 5890-2026 FSC-klagomål mail.docx", "A 5890-2026")</f>
        <v/>
      </c>
      <c r="X1026">
        <f>HYPERLINK("https://klasma.github.io/Logging_2031/tillsyn/A 5890-2026 tillsynsbegäran.docx", "A 5890-2026")</f>
        <v/>
      </c>
      <c r="Y1026">
        <f>HYPERLINK("https://klasma.github.io/Logging_2031/tillsynsmail/A 5890-2026 tillsynsbegäran mail.docx", "A 5890-2026")</f>
        <v/>
      </c>
    </row>
    <row r="1027" ht="15" customHeight="1">
      <c r="A1027" t="inlineStr">
        <is>
          <t>A 61787-2024</t>
        </is>
      </c>
      <c r="B1027" s="1" t="n">
        <v>45649.48122685185</v>
      </c>
      <c r="C1027" s="1" t="n">
        <v>46114</v>
      </c>
      <c r="D1027" t="inlineStr">
        <is>
          <t>DALARNAS LÄN</t>
        </is>
      </c>
      <c r="E1027" t="inlineStr">
        <is>
          <t>GAGNEF</t>
        </is>
      </c>
      <c r="G1027" t="n">
        <v>1.6</v>
      </c>
      <c r="H1027" t="n">
        <v>0</v>
      </c>
      <c r="I1027" t="n">
        <v>0</v>
      </c>
      <c r="J1027" t="n">
        <v>1</v>
      </c>
      <c r="K1027" t="n">
        <v>0</v>
      </c>
      <c r="L1027" t="n">
        <v>0</v>
      </c>
      <c r="M1027" t="n">
        <v>0</v>
      </c>
      <c r="N1027" t="n">
        <v>0</v>
      </c>
      <c r="O1027" t="n">
        <v>1</v>
      </c>
      <c r="P1027" t="n">
        <v>0</v>
      </c>
      <c r="Q1027" t="n">
        <v>1</v>
      </c>
      <c r="R1027" s="2" t="inlineStr">
        <is>
          <t>Tallticka</t>
        </is>
      </c>
      <c r="S1027">
        <f>HYPERLINK("https://klasma.github.io/Logging_2026/artfynd/A 61787-2024 artfynd.xlsx", "A 61787-2024")</f>
        <v/>
      </c>
      <c r="T1027">
        <f>HYPERLINK("https://klasma.github.io/Logging_2026/kartor/A 61787-2024 karta.png", "A 61787-2024")</f>
        <v/>
      </c>
      <c r="V1027">
        <f>HYPERLINK("https://klasma.github.io/Logging_2026/klagomål/A 61787-2024 FSC-klagomål.docx", "A 61787-2024")</f>
        <v/>
      </c>
      <c r="W1027">
        <f>HYPERLINK("https://klasma.github.io/Logging_2026/klagomålsmail/A 61787-2024 FSC-klagomål mail.docx", "A 61787-2024")</f>
        <v/>
      </c>
      <c r="X1027">
        <f>HYPERLINK("https://klasma.github.io/Logging_2026/tillsyn/A 61787-2024 tillsynsbegäran.docx", "A 61787-2024")</f>
        <v/>
      </c>
      <c r="Y1027">
        <f>HYPERLINK("https://klasma.github.io/Logging_2026/tillsynsmail/A 61787-2024 tillsynsbegäran mail.docx", "A 61787-2024")</f>
        <v/>
      </c>
    </row>
    <row r="1028" ht="15" customHeight="1">
      <c r="A1028" t="inlineStr">
        <is>
          <t>A 5865-2026</t>
        </is>
      </c>
      <c r="B1028" s="1" t="n">
        <v>46052</v>
      </c>
      <c r="C1028" s="1" t="n">
        <v>46114</v>
      </c>
      <c r="D1028" t="inlineStr">
        <is>
          <t>DALARNAS LÄN</t>
        </is>
      </c>
      <c r="E1028" t="inlineStr">
        <is>
          <t>FALUN</t>
        </is>
      </c>
      <c r="G1028" t="n">
        <v>6.5</v>
      </c>
      <c r="H1028" t="n">
        <v>0</v>
      </c>
      <c r="I1028" t="n">
        <v>0</v>
      </c>
      <c r="J1028" t="n">
        <v>1</v>
      </c>
      <c r="K1028" t="n">
        <v>0</v>
      </c>
      <c r="L1028" t="n">
        <v>0</v>
      </c>
      <c r="M1028" t="n">
        <v>0</v>
      </c>
      <c r="N1028" t="n">
        <v>0</v>
      </c>
      <c r="O1028" t="n">
        <v>1</v>
      </c>
      <c r="P1028" t="n">
        <v>0</v>
      </c>
      <c r="Q1028" t="n">
        <v>1</v>
      </c>
      <c r="R1028" s="2" t="inlineStr">
        <is>
          <t>Igelkott</t>
        </is>
      </c>
      <c r="S1028">
        <f>HYPERLINK("https://klasma.github.io/Logging_2080/artfynd/A 5865-2026 artfynd.xlsx", "A 5865-2026")</f>
        <v/>
      </c>
      <c r="T1028">
        <f>HYPERLINK("https://klasma.github.io/Logging_2080/kartor/A 5865-2026 karta.png", "A 5865-2026")</f>
        <v/>
      </c>
      <c r="V1028">
        <f>HYPERLINK("https://klasma.github.io/Logging_2080/klagomål/A 5865-2026 FSC-klagomål.docx", "A 5865-2026")</f>
        <v/>
      </c>
      <c r="W1028">
        <f>HYPERLINK("https://klasma.github.io/Logging_2080/klagomålsmail/A 5865-2026 FSC-klagomål mail.docx", "A 5865-2026")</f>
        <v/>
      </c>
      <c r="X1028">
        <f>HYPERLINK("https://klasma.github.io/Logging_2080/tillsyn/A 5865-2026 tillsynsbegäran.docx", "A 5865-2026")</f>
        <v/>
      </c>
      <c r="Y1028">
        <f>HYPERLINK("https://klasma.github.io/Logging_2080/tillsynsmail/A 5865-2026 tillsynsbegäran mail.docx", "A 5865-2026")</f>
        <v/>
      </c>
    </row>
    <row r="1029" ht="15" customHeight="1">
      <c r="A1029" t="inlineStr">
        <is>
          <t>A 17590-2025</t>
        </is>
      </c>
      <c r="B1029" s="1" t="n">
        <v>45757.69396990741</v>
      </c>
      <c r="C1029" s="1" t="n">
        <v>46114</v>
      </c>
      <c r="D1029" t="inlineStr">
        <is>
          <t>DALARNAS LÄN</t>
        </is>
      </c>
      <c r="E1029" t="inlineStr">
        <is>
          <t>HEDEMORA</t>
        </is>
      </c>
      <c r="G1029" t="n">
        <v>0.6</v>
      </c>
      <c r="H1029" t="n">
        <v>0</v>
      </c>
      <c r="I1029" t="n">
        <v>0</v>
      </c>
      <c r="J1029" t="n">
        <v>1</v>
      </c>
      <c r="K1029" t="n">
        <v>0</v>
      </c>
      <c r="L1029" t="n">
        <v>0</v>
      </c>
      <c r="M1029" t="n">
        <v>0</v>
      </c>
      <c r="N1029" t="n">
        <v>0</v>
      </c>
      <c r="O1029" t="n">
        <v>1</v>
      </c>
      <c r="P1029" t="n">
        <v>0</v>
      </c>
      <c r="Q1029" t="n">
        <v>1</v>
      </c>
      <c r="R1029" s="2" t="inlineStr">
        <is>
          <t>Garnlav</t>
        </is>
      </c>
      <c r="S1029">
        <f>HYPERLINK("https://klasma.github.io/Logging_2083/artfynd/A 17590-2025 artfynd.xlsx", "A 17590-2025")</f>
        <v/>
      </c>
      <c r="T1029">
        <f>HYPERLINK("https://klasma.github.io/Logging_2083/kartor/A 17590-2025 karta.png", "A 17590-2025")</f>
        <v/>
      </c>
      <c r="V1029">
        <f>HYPERLINK("https://klasma.github.io/Logging_2083/klagomål/A 17590-2025 FSC-klagomål.docx", "A 17590-2025")</f>
        <v/>
      </c>
      <c r="W1029">
        <f>HYPERLINK("https://klasma.github.io/Logging_2083/klagomålsmail/A 17590-2025 FSC-klagomål mail.docx", "A 17590-2025")</f>
        <v/>
      </c>
      <c r="X1029">
        <f>HYPERLINK("https://klasma.github.io/Logging_2083/tillsyn/A 17590-2025 tillsynsbegäran.docx", "A 17590-2025")</f>
        <v/>
      </c>
      <c r="Y1029">
        <f>HYPERLINK("https://klasma.github.io/Logging_2083/tillsynsmail/A 17590-2025 tillsynsbegäran mail.docx", "A 17590-2025")</f>
        <v/>
      </c>
    </row>
    <row r="1030" ht="15" customHeight="1">
      <c r="A1030" t="inlineStr">
        <is>
          <t>A 6585-2026</t>
        </is>
      </c>
      <c r="B1030" s="1" t="n">
        <v>46052</v>
      </c>
      <c r="C1030" s="1" t="n">
        <v>46114</v>
      </c>
      <c r="D1030" t="inlineStr">
        <is>
          <t>DALARNAS LÄN</t>
        </is>
      </c>
      <c r="E1030" t="inlineStr">
        <is>
          <t>FALUN</t>
        </is>
      </c>
      <c r="G1030" t="n">
        <v>2.7</v>
      </c>
      <c r="H1030" t="n">
        <v>0</v>
      </c>
      <c r="I1030" t="n">
        <v>0</v>
      </c>
      <c r="J1030" t="n">
        <v>1</v>
      </c>
      <c r="K1030" t="n">
        <v>0</v>
      </c>
      <c r="L1030" t="n">
        <v>0</v>
      </c>
      <c r="M1030" t="n">
        <v>0</v>
      </c>
      <c r="N1030" t="n">
        <v>0</v>
      </c>
      <c r="O1030" t="n">
        <v>1</v>
      </c>
      <c r="P1030" t="n">
        <v>0</v>
      </c>
      <c r="Q1030" t="n">
        <v>1</v>
      </c>
      <c r="R1030" s="2" t="inlineStr">
        <is>
          <t>Tallticka</t>
        </is>
      </c>
      <c r="S1030">
        <f>HYPERLINK("https://klasma.github.io/Logging_2080/artfynd/A 6585-2026 artfynd.xlsx", "A 6585-2026")</f>
        <v/>
      </c>
      <c r="T1030">
        <f>HYPERLINK("https://klasma.github.io/Logging_2080/kartor/A 6585-2026 karta.png", "A 6585-2026")</f>
        <v/>
      </c>
      <c r="V1030">
        <f>HYPERLINK("https://klasma.github.io/Logging_2080/klagomål/A 6585-2026 FSC-klagomål.docx", "A 6585-2026")</f>
        <v/>
      </c>
      <c r="W1030">
        <f>HYPERLINK("https://klasma.github.io/Logging_2080/klagomålsmail/A 6585-2026 FSC-klagomål mail.docx", "A 6585-2026")</f>
        <v/>
      </c>
      <c r="X1030">
        <f>HYPERLINK("https://klasma.github.io/Logging_2080/tillsyn/A 6585-2026 tillsynsbegäran.docx", "A 6585-2026")</f>
        <v/>
      </c>
      <c r="Y1030">
        <f>HYPERLINK("https://klasma.github.io/Logging_2080/tillsynsmail/A 6585-2026 tillsynsbegäran mail.docx", "A 6585-2026")</f>
        <v/>
      </c>
    </row>
    <row r="1031" ht="15" customHeight="1">
      <c r="A1031" t="inlineStr">
        <is>
          <t>A 5988-2026</t>
        </is>
      </c>
      <c r="B1031" s="1" t="n">
        <v>46052.56299768519</v>
      </c>
      <c r="C1031" s="1" t="n">
        <v>46114</v>
      </c>
      <c r="D1031" t="inlineStr">
        <is>
          <t>DALARNAS LÄN</t>
        </is>
      </c>
      <c r="E1031" t="inlineStr">
        <is>
          <t>ORSA</t>
        </is>
      </c>
      <c r="G1031" t="n">
        <v>2.5</v>
      </c>
      <c r="H1031" t="n">
        <v>0</v>
      </c>
      <c r="I1031" t="n">
        <v>0</v>
      </c>
      <c r="J1031" t="n">
        <v>1</v>
      </c>
      <c r="K1031" t="n">
        <v>0</v>
      </c>
      <c r="L1031" t="n">
        <v>0</v>
      </c>
      <c r="M1031" t="n">
        <v>0</v>
      </c>
      <c r="N1031" t="n">
        <v>0</v>
      </c>
      <c r="O1031" t="n">
        <v>1</v>
      </c>
      <c r="P1031" t="n">
        <v>0</v>
      </c>
      <c r="Q1031" t="n">
        <v>1</v>
      </c>
      <c r="R1031" s="2" t="inlineStr">
        <is>
          <t>Dofttaggsvamp</t>
        </is>
      </c>
      <c r="S1031">
        <f>HYPERLINK("https://klasma.github.io/Logging_2034/artfynd/A 5988-2026 artfynd.xlsx", "A 5988-2026")</f>
        <v/>
      </c>
      <c r="T1031">
        <f>HYPERLINK("https://klasma.github.io/Logging_2034/kartor/A 5988-2026 karta.png", "A 5988-2026")</f>
        <v/>
      </c>
      <c r="V1031">
        <f>HYPERLINK("https://klasma.github.io/Logging_2034/klagomål/A 5988-2026 FSC-klagomål.docx", "A 5988-2026")</f>
        <v/>
      </c>
      <c r="W1031">
        <f>HYPERLINK("https://klasma.github.io/Logging_2034/klagomålsmail/A 5988-2026 FSC-klagomål mail.docx", "A 5988-2026")</f>
        <v/>
      </c>
      <c r="X1031">
        <f>HYPERLINK("https://klasma.github.io/Logging_2034/tillsyn/A 5988-2026 tillsynsbegäran.docx", "A 5988-2026")</f>
        <v/>
      </c>
      <c r="Y1031">
        <f>HYPERLINK("https://klasma.github.io/Logging_2034/tillsynsmail/A 5988-2026 tillsynsbegäran mail.docx", "A 5988-2026")</f>
        <v/>
      </c>
    </row>
    <row r="1032" ht="15" customHeight="1">
      <c r="A1032" t="inlineStr">
        <is>
          <t>A 662-2025</t>
        </is>
      </c>
      <c r="B1032" s="1" t="n">
        <v>45664</v>
      </c>
      <c r="C1032" s="1" t="n">
        <v>46114</v>
      </c>
      <c r="D1032" t="inlineStr">
        <is>
          <t>DALARNAS LÄN</t>
        </is>
      </c>
      <c r="E1032" t="inlineStr">
        <is>
          <t>ÄLVDALEN</t>
        </is>
      </c>
      <c r="G1032" t="n">
        <v>20</v>
      </c>
      <c r="H1032" t="n">
        <v>0</v>
      </c>
      <c r="I1032" t="n">
        <v>0</v>
      </c>
      <c r="J1032" t="n">
        <v>1</v>
      </c>
      <c r="K1032" t="n">
        <v>0</v>
      </c>
      <c r="L1032" t="n">
        <v>0</v>
      </c>
      <c r="M1032" t="n">
        <v>0</v>
      </c>
      <c r="N1032" t="n">
        <v>0</v>
      </c>
      <c r="O1032" t="n">
        <v>1</v>
      </c>
      <c r="P1032" t="n">
        <v>0</v>
      </c>
      <c r="Q1032" t="n">
        <v>1</v>
      </c>
      <c r="R1032" s="2" t="inlineStr">
        <is>
          <t>Garnlav</t>
        </is>
      </c>
      <c r="S1032">
        <f>HYPERLINK("https://klasma.github.io/Logging_2039/artfynd/A 662-2025 artfynd.xlsx", "A 662-2025")</f>
        <v/>
      </c>
      <c r="T1032">
        <f>HYPERLINK("https://klasma.github.io/Logging_2039/kartor/A 662-2025 karta.png", "A 662-2025")</f>
        <v/>
      </c>
      <c r="V1032">
        <f>HYPERLINK("https://klasma.github.io/Logging_2039/klagomål/A 662-2025 FSC-klagomål.docx", "A 662-2025")</f>
        <v/>
      </c>
      <c r="W1032">
        <f>HYPERLINK("https://klasma.github.io/Logging_2039/klagomålsmail/A 662-2025 FSC-klagomål mail.docx", "A 662-2025")</f>
        <v/>
      </c>
      <c r="X1032">
        <f>HYPERLINK("https://klasma.github.io/Logging_2039/tillsyn/A 662-2025 tillsynsbegäran.docx", "A 662-2025")</f>
        <v/>
      </c>
      <c r="Y1032">
        <f>HYPERLINK("https://klasma.github.io/Logging_2039/tillsynsmail/A 662-2025 tillsynsbegäran mail.docx", "A 662-2025")</f>
        <v/>
      </c>
    </row>
    <row r="1033" ht="15" customHeight="1">
      <c r="A1033" t="inlineStr">
        <is>
          <t>A 39832-2024</t>
        </is>
      </c>
      <c r="B1033" s="1" t="n">
        <v>45553.40890046296</v>
      </c>
      <c r="C1033" s="1" t="n">
        <v>46114</v>
      </c>
      <c r="D1033" t="inlineStr">
        <is>
          <t>DALARNAS LÄN</t>
        </is>
      </c>
      <c r="E1033" t="inlineStr">
        <is>
          <t>SMEDJEBACKEN</t>
        </is>
      </c>
      <c r="G1033" t="n">
        <v>2.4</v>
      </c>
      <c r="H1033" t="n">
        <v>1</v>
      </c>
      <c r="I1033" t="n">
        <v>0</v>
      </c>
      <c r="J1033" t="n">
        <v>0</v>
      </c>
      <c r="K1033" t="n">
        <v>0</v>
      </c>
      <c r="L1033" t="n">
        <v>0</v>
      </c>
      <c r="M1033" t="n">
        <v>0</v>
      </c>
      <c r="N1033" t="n">
        <v>0</v>
      </c>
      <c r="O1033" t="n">
        <v>0</v>
      </c>
      <c r="P1033" t="n">
        <v>0</v>
      </c>
      <c r="Q1033" t="n">
        <v>1</v>
      </c>
      <c r="R1033" s="2" t="inlineStr">
        <is>
          <t>Revlummer</t>
        </is>
      </c>
      <c r="S1033">
        <f>HYPERLINK("https://klasma.github.io/Logging_2061/artfynd/A 39832-2024 artfynd.xlsx", "A 39832-2024")</f>
        <v/>
      </c>
      <c r="T1033">
        <f>HYPERLINK("https://klasma.github.io/Logging_2061/kartor/A 39832-2024 karta.png", "A 39832-2024")</f>
        <v/>
      </c>
      <c r="V1033">
        <f>HYPERLINK("https://klasma.github.io/Logging_2061/klagomål/A 39832-2024 FSC-klagomål.docx", "A 39832-2024")</f>
        <v/>
      </c>
      <c r="W1033">
        <f>HYPERLINK("https://klasma.github.io/Logging_2061/klagomålsmail/A 39832-2024 FSC-klagomål mail.docx", "A 39832-2024")</f>
        <v/>
      </c>
      <c r="X1033">
        <f>HYPERLINK("https://klasma.github.io/Logging_2061/tillsyn/A 39832-2024 tillsynsbegäran.docx", "A 39832-2024")</f>
        <v/>
      </c>
      <c r="Y1033">
        <f>HYPERLINK("https://klasma.github.io/Logging_2061/tillsynsmail/A 39832-2024 tillsynsbegäran mail.docx", "A 39832-2024")</f>
        <v/>
      </c>
    </row>
    <row r="1034" ht="15" customHeight="1">
      <c r="A1034" t="inlineStr">
        <is>
          <t>A 6400-2026</t>
        </is>
      </c>
      <c r="B1034" s="1" t="n">
        <v>46055</v>
      </c>
      <c r="C1034" s="1" t="n">
        <v>46114</v>
      </c>
      <c r="D1034" t="inlineStr">
        <is>
          <t>DALARNAS LÄN</t>
        </is>
      </c>
      <c r="E1034" t="inlineStr">
        <is>
          <t>FALUN</t>
        </is>
      </c>
      <c r="G1034" t="n">
        <v>3.3</v>
      </c>
      <c r="H1034" t="n">
        <v>1</v>
      </c>
      <c r="I1034" t="n">
        <v>0</v>
      </c>
      <c r="J1034" t="n">
        <v>0</v>
      </c>
      <c r="K1034" t="n">
        <v>0</v>
      </c>
      <c r="L1034" t="n">
        <v>0</v>
      </c>
      <c r="M1034" t="n">
        <v>0</v>
      </c>
      <c r="N1034" t="n">
        <v>0</v>
      </c>
      <c r="O1034" t="n">
        <v>0</v>
      </c>
      <c r="P1034" t="n">
        <v>0</v>
      </c>
      <c r="Q1034" t="n">
        <v>1</v>
      </c>
      <c r="R1034" s="2" t="inlineStr">
        <is>
          <t>Revlummer</t>
        </is>
      </c>
      <c r="S1034">
        <f>HYPERLINK("https://klasma.github.io/Logging_2080/artfynd/A 6400-2026 artfynd.xlsx", "A 6400-2026")</f>
        <v/>
      </c>
      <c r="T1034">
        <f>HYPERLINK("https://klasma.github.io/Logging_2080/kartor/A 6400-2026 karta.png", "A 6400-2026")</f>
        <v/>
      </c>
      <c r="V1034">
        <f>HYPERLINK("https://klasma.github.io/Logging_2080/klagomål/A 6400-2026 FSC-klagomål.docx", "A 6400-2026")</f>
        <v/>
      </c>
      <c r="W1034">
        <f>HYPERLINK("https://klasma.github.io/Logging_2080/klagomålsmail/A 6400-2026 FSC-klagomål mail.docx", "A 6400-2026")</f>
        <v/>
      </c>
      <c r="X1034">
        <f>HYPERLINK("https://klasma.github.io/Logging_2080/tillsyn/A 6400-2026 tillsynsbegäran.docx", "A 6400-2026")</f>
        <v/>
      </c>
      <c r="Y1034">
        <f>HYPERLINK("https://klasma.github.io/Logging_2080/tillsynsmail/A 6400-2026 tillsynsbegäran mail.docx", "A 6400-2026")</f>
        <v/>
      </c>
    </row>
    <row r="1035" ht="15" customHeight="1">
      <c r="A1035" t="inlineStr">
        <is>
          <t>A 21507-2024</t>
        </is>
      </c>
      <c r="B1035" s="1" t="n">
        <v>45441.56653935185</v>
      </c>
      <c r="C1035" s="1" t="n">
        <v>46114</v>
      </c>
      <c r="D1035" t="inlineStr">
        <is>
          <t>DALARNAS LÄN</t>
        </is>
      </c>
      <c r="E1035" t="inlineStr">
        <is>
          <t>SMEDJEBACKEN</t>
        </is>
      </c>
      <c r="F1035" t="inlineStr">
        <is>
          <t>Sveaskog</t>
        </is>
      </c>
      <c r="G1035" t="n">
        <v>16</v>
      </c>
      <c r="H1035" t="n">
        <v>0</v>
      </c>
      <c r="I1035" t="n">
        <v>0</v>
      </c>
      <c r="J1035" t="n">
        <v>1</v>
      </c>
      <c r="K1035" t="n">
        <v>0</v>
      </c>
      <c r="L1035" t="n">
        <v>0</v>
      </c>
      <c r="M1035" t="n">
        <v>0</v>
      </c>
      <c r="N1035" t="n">
        <v>0</v>
      </c>
      <c r="O1035" t="n">
        <v>1</v>
      </c>
      <c r="P1035" t="n">
        <v>0</v>
      </c>
      <c r="Q1035" t="n">
        <v>1</v>
      </c>
      <c r="R1035" s="2" t="inlineStr">
        <is>
          <t>Ullticka</t>
        </is>
      </c>
      <c r="S1035">
        <f>HYPERLINK("https://klasma.github.io/Logging_2061/artfynd/A 21507-2024 artfynd.xlsx", "A 21507-2024")</f>
        <v/>
      </c>
      <c r="T1035">
        <f>HYPERLINK("https://klasma.github.io/Logging_2061/kartor/A 21507-2024 karta.png", "A 21507-2024")</f>
        <v/>
      </c>
      <c r="V1035">
        <f>HYPERLINK("https://klasma.github.io/Logging_2061/klagomål/A 21507-2024 FSC-klagomål.docx", "A 21507-2024")</f>
        <v/>
      </c>
      <c r="W1035">
        <f>HYPERLINK("https://klasma.github.io/Logging_2061/klagomålsmail/A 21507-2024 FSC-klagomål mail.docx", "A 21507-2024")</f>
        <v/>
      </c>
      <c r="X1035">
        <f>HYPERLINK("https://klasma.github.io/Logging_2061/tillsyn/A 21507-2024 tillsynsbegäran.docx", "A 21507-2024")</f>
        <v/>
      </c>
      <c r="Y1035">
        <f>HYPERLINK("https://klasma.github.io/Logging_2061/tillsynsmail/A 21507-2024 tillsynsbegäran mail.docx", "A 21507-2024")</f>
        <v/>
      </c>
    </row>
    <row r="1036" ht="15" customHeight="1">
      <c r="A1036" t="inlineStr">
        <is>
          <t>A 13205-2026</t>
        </is>
      </c>
      <c r="B1036" s="1" t="n">
        <v>46093</v>
      </c>
      <c r="C1036" s="1" t="n">
        <v>46114</v>
      </c>
      <c r="D1036" t="inlineStr">
        <is>
          <t>DALARNAS LÄN</t>
        </is>
      </c>
      <c r="E1036" t="inlineStr">
        <is>
          <t>FALUN</t>
        </is>
      </c>
      <c r="G1036" t="n">
        <v>4.6</v>
      </c>
      <c r="H1036" t="n">
        <v>0</v>
      </c>
      <c r="I1036" t="n">
        <v>1</v>
      </c>
      <c r="J1036" t="n">
        <v>0</v>
      </c>
      <c r="K1036" t="n">
        <v>0</v>
      </c>
      <c r="L1036" t="n">
        <v>0</v>
      </c>
      <c r="M1036" t="n">
        <v>0</v>
      </c>
      <c r="N1036" t="n">
        <v>0</v>
      </c>
      <c r="O1036" t="n">
        <v>0</v>
      </c>
      <c r="P1036" t="n">
        <v>0</v>
      </c>
      <c r="Q1036" t="n">
        <v>1</v>
      </c>
      <c r="R1036" s="2" t="inlineStr">
        <is>
          <t>Sotriska</t>
        </is>
      </c>
      <c r="S1036">
        <f>HYPERLINK("https://klasma.github.io/Logging_2080/artfynd/A 13205-2026 artfynd.xlsx", "A 13205-2026")</f>
        <v/>
      </c>
      <c r="T1036">
        <f>HYPERLINK("https://klasma.github.io/Logging_2080/kartor/A 13205-2026 karta.png", "A 13205-2026")</f>
        <v/>
      </c>
      <c r="V1036">
        <f>HYPERLINK("https://klasma.github.io/Logging_2080/klagomål/A 13205-2026 FSC-klagomål.docx", "A 13205-2026")</f>
        <v/>
      </c>
      <c r="W1036">
        <f>HYPERLINK("https://klasma.github.io/Logging_2080/klagomålsmail/A 13205-2026 FSC-klagomål mail.docx", "A 13205-2026")</f>
        <v/>
      </c>
      <c r="X1036">
        <f>HYPERLINK("https://klasma.github.io/Logging_2080/tillsyn/A 13205-2026 tillsynsbegäran.docx", "A 13205-2026")</f>
        <v/>
      </c>
      <c r="Y1036">
        <f>HYPERLINK("https://klasma.github.io/Logging_2080/tillsynsmail/A 13205-2026 tillsynsbegäran mail.docx", "A 13205-2026")</f>
        <v/>
      </c>
    </row>
    <row r="1037" ht="15" customHeight="1">
      <c r="A1037" t="inlineStr">
        <is>
          <t>A 6317-2023</t>
        </is>
      </c>
      <c r="B1037" s="1" t="n">
        <v>44965</v>
      </c>
      <c r="C1037" s="1" t="n">
        <v>46114</v>
      </c>
      <c r="D1037" t="inlineStr">
        <is>
          <t>DALARNAS LÄN</t>
        </is>
      </c>
      <c r="E1037" t="inlineStr">
        <is>
          <t>FALUN</t>
        </is>
      </c>
      <c r="G1037" t="n">
        <v>1.4</v>
      </c>
      <c r="H1037" t="n">
        <v>1</v>
      </c>
      <c r="I1037" t="n">
        <v>0</v>
      </c>
      <c r="J1037" t="n">
        <v>0</v>
      </c>
      <c r="K1037" t="n">
        <v>0</v>
      </c>
      <c r="L1037" t="n">
        <v>0</v>
      </c>
      <c r="M1037" t="n">
        <v>0</v>
      </c>
      <c r="N1037" t="n">
        <v>0</v>
      </c>
      <c r="O1037" t="n">
        <v>0</v>
      </c>
      <c r="P1037" t="n">
        <v>0</v>
      </c>
      <c r="Q1037" t="n">
        <v>1</v>
      </c>
      <c r="R1037" s="2" t="inlineStr">
        <is>
          <t>Sparvuggla</t>
        </is>
      </c>
      <c r="S1037">
        <f>HYPERLINK("https://klasma.github.io/Logging_2080/artfynd/A 6317-2023 artfynd.xlsx", "A 6317-2023")</f>
        <v/>
      </c>
      <c r="T1037">
        <f>HYPERLINK("https://klasma.github.io/Logging_2080/kartor/A 6317-2023 karta.png", "A 6317-2023")</f>
        <v/>
      </c>
      <c r="V1037">
        <f>HYPERLINK("https://klasma.github.io/Logging_2080/klagomål/A 6317-2023 FSC-klagomål.docx", "A 6317-2023")</f>
        <v/>
      </c>
      <c r="W1037">
        <f>HYPERLINK("https://klasma.github.io/Logging_2080/klagomålsmail/A 6317-2023 FSC-klagomål mail.docx", "A 6317-2023")</f>
        <v/>
      </c>
      <c r="X1037">
        <f>HYPERLINK("https://klasma.github.io/Logging_2080/tillsyn/A 6317-2023 tillsynsbegäran.docx", "A 6317-2023")</f>
        <v/>
      </c>
      <c r="Y1037">
        <f>HYPERLINK("https://klasma.github.io/Logging_2080/tillsynsmail/A 6317-2023 tillsynsbegäran mail.docx", "A 6317-2023")</f>
        <v/>
      </c>
      <c r="Z1037">
        <f>HYPERLINK("https://klasma.github.io/Logging_2080/fåglar/A 6317-2023 prioriterade fågelarter.docx", "A 6317-2023")</f>
        <v/>
      </c>
    </row>
    <row r="1038" ht="15" customHeight="1">
      <c r="A1038" t="inlineStr">
        <is>
          <t>A 60787-2024</t>
        </is>
      </c>
      <c r="B1038" s="1" t="n">
        <v>45644</v>
      </c>
      <c r="C1038" s="1" t="n">
        <v>46114</v>
      </c>
      <c r="D1038" t="inlineStr">
        <is>
          <t>DALARNAS LÄN</t>
        </is>
      </c>
      <c r="E1038" t="inlineStr">
        <is>
          <t>LUDVIKA</t>
        </is>
      </c>
      <c r="G1038" t="n">
        <v>1.9</v>
      </c>
      <c r="H1038" t="n">
        <v>1</v>
      </c>
      <c r="I1038" t="n">
        <v>0</v>
      </c>
      <c r="J1038" t="n">
        <v>1</v>
      </c>
      <c r="K1038" t="n">
        <v>0</v>
      </c>
      <c r="L1038" t="n">
        <v>0</v>
      </c>
      <c r="M1038" t="n">
        <v>0</v>
      </c>
      <c r="N1038" t="n">
        <v>0</v>
      </c>
      <c r="O1038" t="n">
        <v>1</v>
      </c>
      <c r="P1038" t="n">
        <v>0</v>
      </c>
      <c r="Q1038" t="n">
        <v>1</v>
      </c>
      <c r="R1038" s="2" t="inlineStr">
        <is>
          <t>Järpe</t>
        </is>
      </c>
      <c r="S1038">
        <f>HYPERLINK("https://klasma.github.io/Logging_2085/artfynd/A 60787-2024 artfynd.xlsx", "A 60787-2024")</f>
        <v/>
      </c>
      <c r="T1038">
        <f>HYPERLINK("https://klasma.github.io/Logging_2085/kartor/A 60787-2024 karta.png", "A 60787-2024")</f>
        <v/>
      </c>
      <c r="V1038">
        <f>HYPERLINK("https://klasma.github.io/Logging_2085/klagomål/A 60787-2024 FSC-klagomål.docx", "A 60787-2024")</f>
        <v/>
      </c>
      <c r="W1038">
        <f>HYPERLINK("https://klasma.github.io/Logging_2085/klagomålsmail/A 60787-2024 FSC-klagomål mail.docx", "A 60787-2024")</f>
        <v/>
      </c>
      <c r="X1038">
        <f>HYPERLINK("https://klasma.github.io/Logging_2085/tillsyn/A 60787-2024 tillsynsbegäran.docx", "A 60787-2024")</f>
        <v/>
      </c>
      <c r="Y1038">
        <f>HYPERLINK("https://klasma.github.io/Logging_2085/tillsynsmail/A 60787-2024 tillsynsbegäran mail.docx", "A 60787-2024")</f>
        <v/>
      </c>
      <c r="Z1038">
        <f>HYPERLINK("https://klasma.github.io/Logging_2085/fåglar/A 60787-2024 prioriterade fågelarter.docx", "A 60787-2024")</f>
        <v/>
      </c>
    </row>
    <row r="1039" ht="15" customHeight="1">
      <c r="A1039" t="inlineStr">
        <is>
          <t>A 6962-2026</t>
        </is>
      </c>
      <c r="B1039" s="1" t="n">
        <v>46056</v>
      </c>
      <c r="C1039" s="1" t="n">
        <v>46114</v>
      </c>
      <c r="D1039" t="inlineStr">
        <is>
          <t>DALARNAS LÄN</t>
        </is>
      </c>
      <c r="E1039" t="inlineStr">
        <is>
          <t>FALUN</t>
        </is>
      </c>
      <c r="F1039" t="inlineStr">
        <is>
          <t>Allmännings- och besparingsskogar</t>
        </is>
      </c>
      <c r="G1039" t="n">
        <v>20</v>
      </c>
      <c r="H1039" t="n">
        <v>0</v>
      </c>
      <c r="I1039" t="n">
        <v>0</v>
      </c>
      <c r="J1039" t="n">
        <v>1</v>
      </c>
      <c r="K1039" t="n">
        <v>0</v>
      </c>
      <c r="L1039" t="n">
        <v>0</v>
      </c>
      <c r="M1039" t="n">
        <v>0</v>
      </c>
      <c r="N1039" t="n">
        <v>0</v>
      </c>
      <c r="O1039" t="n">
        <v>1</v>
      </c>
      <c r="P1039" t="n">
        <v>0</v>
      </c>
      <c r="Q1039" t="n">
        <v>1</v>
      </c>
      <c r="R1039" s="2" t="inlineStr">
        <is>
          <t>Garnlav</t>
        </is>
      </c>
      <c r="S1039">
        <f>HYPERLINK("https://klasma.github.io/Logging_2080/artfynd/A 6962-2026 artfynd.xlsx", "A 6962-2026")</f>
        <v/>
      </c>
      <c r="T1039">
        <f>HYPERLINK("https://klasma.github.io/Logging_2080/kartor/A 6962-2026 karta.png", "A 6962-2026")</f>
        <v/>
      </c>
      <c r="V1039">
        <f>HYPERLINK("https://klasma.github.io/Logging_2080/klagomål/A 6962-2026 FSC-klagomål.docx", "A 6962-2026")</f>
        <v/>
      </c>
      <c r="W1039">
        <f>HYPERLINK("https://klasma.github.io/Logging_2080/klagomålsmail/A 6962-2026 FSC-klagomål mail.docx", "A 6962-2026")</f>
        <v/>
      </c>
      <c r="X1039">
        <f>HYPERLINK("https://klasma.github.io/Logging_2080/tillsyn/A 6962-2026 tillsynsbegäran.docx", "A 6962-2026")</f>
        <v/>
      </c>
      <c r="Y1039">
        <f>HYPERLINK("https://klasma.github.io/Logging_2080/tillsynsmail/A 6962-2026 tillsynsbegäran mail.docx", "A 6962-2026")</f>
        <v/>
      </c>
    </row>
    <row r="1040" ht="15" customHeight="1">
      <c r="A1040" t="inlineStr">
        <is>
          <t>A 30003-2023</t>
        </is>
      </c>
      <c r="B1040" s="1" t="n">
        <v>45109</v>
      </c>
      <c r="C1040" s="1" t="n">
        <v>46114</v>
      </c>
      <c r="D1040" t="inlineStr">
        <is>
          <t>DALARNAS LÄN</t>
        </is>
      </c>
      <c r="E1040" t="inlineStr">
        <is>
          <t>SMEDJEBACKEN</t>
        </is>
      </c>
      <c r="G1040" t="n">
        <v>1.6</v>
      </c>
      <c r="H1040" t="n">
        <v>1</v>
      </c>
      <c r="I1040" t="n">
        <v>0</v>
      </c>
      <c r="J1040" t="n">
        <v>0</v>
      </c>
      <c r="K1040" t="n">
        <v>0</v>
      </c>
      <c r="L1040" t="n">
        <v>0</v>
      </c>
      <c r="M1040" t="n">
        <v>0</v>
      </c>
      <c r="N1040" t="n">
        <v>0</v>
      </c>
      <c r="O1040" t="n">
        <v>0</v>
      </c>
      <c r="P1040" t="n">
        <v>0</v>
      </c>
      <c r="Q1040" t="n">
        <v>1</v>
      </c>
      <c r="R1040" s="2" t="inlineStr">
        <is>
          <t>Fläcknycklar</t>
        </is>
      </c>
      <c r="S1040">
        <f>HYPERLINK("https://klasma.github.io/Logging_2061/artfynd/A 30003-2023 artfynd.xlsx", "A 30003-2023")</f>
        <v/>
      </c>
      <c r="T1040">
        <f>HYPERLINK("https://klasma.github.io/Logging_2061/kartor/A 30003-2023 karta.png", "A 30003-2023")</f>
        <v/>
      </c>
      <c r="V1040">
        <f>HYPERLINK("https://klasma.github.io/Logging_2061/klagomål/A 30003-2023 FSC-klagomål.docx", "A 30003-2023")</f>
        <v/>
      </c>
      <c r="W1040">
        <f>HYPERLINK("https://klasma.github.io/Logging_2061/klagomålsmail/A 30003-2023 FSC-klagomål mail.docx", "A 30003-2023")</f>
        <v/>
      </c>
      <c r="X1040">
        <f>HYPERLINK("https://klasma.github.io/Logging_2061/tillsyn/A 30003-2023 tillsynsbegäran.docx", "A 30003-2023")</f>
        <v/>
      </c>
      <c r="Y1040">
        <f>HYPERLINK("https://klasma.github.io/Logging_2061/tillsynsmail/A 30003-2023 tillsynsbegäran mail.docx", "A 30003-2023")</f>
        <v/>
      </c>
    </row>
    <row r="1041" ht="15" customHeight="1">
      <c r="A1041" t="inlineStr">
        <is>
          <t>A 6636-2026</t>
        </is>
      </c>
      <c r="B1041" s="1" t="n">
        <v>46056.52956018518</v>
      </c>
      <c r="C1041" s="1" t="n">
        <v>46114</v>
      </c>
      <c r="D1041" t="inlineStr">
        <is>
          <t>DALARNAS LÄN</t>
        </is>
      </c>
      <c r="E1041" t="inlineStr">
        <is>
          <t>LEKSAND</t>
        </is>
      </c>
      <c r="G1041" t="n">
        <v>2.5</v>
      </c>
      <c r="H1041" t="n">
        <v>1</v>
      </c>
      <c r="I1041" t="n">
        <v>0</v>
      </c>
      <c r="J1041" t="n">
        <v>0</v>
      </c>
      <c r="K1041" t="n">
        <v>1</v>
      </c>
      <c r="L1041" t="n">
        <v>0</v>
      </c>
      <c r="M1041" t="n">
        <v>0</v>
      </c>
      <c r="N1041" t="n">
        <v>0</v>
      </c>
      <c r="O1041" t="n">
        <v>1</v>
      </c>
      <c r="P1041" t="n">
        <v>1</v>
      </c>
      <c r="Q1041" t="n">
        <v>1</v>
      </c>
      <c r="R1041" s="2" t="inlineStr">
        <is>
          <t>Knärot</t>
        </is>
      </c>
      <c r="S1041">
        <f>HYPERLINK("https://klasma.github.io/Logging_2029/artfynd/A 6636-2026 artfynd.xlsx", "A 6636-2026")</f>
        <v/>
      </c>
      <c r="T1041">
        <f>HYPERLINK("https://klasma.github.io/Logging_2029/kartor/A 6636-2026 karta.png", "A 6636-2026")</f>
        <v/>
      </c>
      <c r="U1041">
        <f>HYPERLINK("https://klasma.github.io/Logging_2029/knärot/A 6636-2026 karta knärot.png", "A 6636-2026")</f>
        <v/>
      </c>
      <c r="V1041">
        <f>HYPERLINK("https://klasma.github.io/Logging_2029/klagomål/A 6636-2026 FSC-klagomål.docx", "A 6636-2026")</f>
        <v/>
      </c>
      <c r="W1041">
        <f>HYPERLINK("https://klasma.github.io/Logging_2029/klagomålsmail/A 6636-2026 FSC-klagomål mail.docx", "A 6636-2026")</f>
        <v/>
      </c>
      <c r="X1041">
        <f>HYPERLINK("https://klasma.github.io/Logging_2029/tillsyn/A 6636-2026 tillsynsbegäran.docx", "A 6636-2026")</f>
        <v/>
      </c>
      <c r="Y1041">
        <f>HYPERLINK("https://klasma.github.io/Logging_2029/tillsynsmail/A 6636-2026 tillsynsbegäran mail.docx", "A 6636-2026")</f>
        <v/>
      </c>
    </row>
    <row r="1042" ht="15" customHeight="1">
      <c r="A1042" t="inlineStr">
        <is>
          <t>A 6968-2026</t>
        </is>
      </c>
      <c r="B1042" s="1" t="n">
        <v>46056</v>
      </c>
      <c r="C1042" s="1" t="n">
        <v>46114</v>
      </c>
      <c r="D1042" t="inlineStr">
        <is>
          <t>DALARNAS LÄN</t>
        </is>
      </c>
      <c r="E1042" t="inlineStr">
        <is>
          <t>FALUN</t>
        </is>
      </c>
      <c r="F1042" t="inlineStr">
        <is>
          <t>Allmännings- och besparingsskogar</t>
        </is>
      </c>
      <c r="G1042" t="n">
        <v>14</v>
      </c>
      <c r="H1042" t="n">
        <v>0</v>
      </c>
      <c r="I1042" t="n">
        <v>0</v>
      </c>
      <c r="J1042" t="n">
        <v>1</v>
      </c>
      <c r="K1042" t="n">
        <v>0</v>
      </c>
      <c r="L1042" t="n">
        <v>0</v>
      </c>
      <c r="M1042" t="n">
        <v>0</v>
      </c>
      <c r="N1042" t="n">
        <v>0</v>
      </c>
      <c r="O1042" t="n">
        <v>1</v>
      </c>
      <c r="P1042" t="n">
        <v>0</v>
      </c>
      <c r="Q1042" t="n">
        <v>1</v>
      </c>
      <c r="R1042" s="2" t="inlineStr">
        <is>
          <t>Garnlav</t>
        </is>
      </c>
      <c r="S1042">
        <f>HYPERLINK("https://klasma.github.io/Logging_2080/artfynd/A 6968-2026 artfynd.xlsx", "A 6968-2026")</f>
        <v/>
      </c>
      <c r="T1042">
        <f>HYPERLINK("https://klasma.github.io/Logging_2080/kartor/A 6968-2026 karta.png", "A 6968-2026")</f>
        <v/>
      </c>
      <c r="V1042">
        <f>HYPERLINK("https://klasma.github.io/Logging_2080/klagomål/A 6968-2026 FSC-klagomål.docx", "A 6968-2026")</f>
        <v/>
      </c>
      <c r="W1042">
        <f>HYPERLINK("https://klasma.github.io/Logging_2080/klagomålsmail/A 6968-2026 FSC-klagomål mail.docx", "A 6968-2026")</f>
        <v/>
      </c>
      <c r="X1042">
        <f>HYPERLINK("https://klasma.github.io/Logging_2080/tillsyn/A 6968-2026 tillsynsbegäran.docx", "A 6968-2026")</f>
        <v/>
      </c>
      <c r="Y1042">
        <f>HYPERLINK("https://klasma.github.io/Logging_2080/tillsynsmail/A 6968-2026 tillsynsbegäran mail.docx", "A 6968-2026")</f>
        <v/>
      </c>
    </row>
    <row r="1043" ht="15" customHeight="1">
      <c r="A1043" t="inlineStr">
        <is>
          <t>A 13226-2026</t>
        </is>
      </c>
      <c r="B1043" s="1" t="n">
        <v>46093</v>
      </c>
      <c r="C1043" s="1" t="n">
        <v>46114</v>
      </c>
      <c r="D1043" t="inlineStr">
        <is>
          <t>DALARNAS LÄN</t>
        </is>
      </c>
      <c r="E1043" t="inlineStr">
        <is>
          <t>FALUN</t>
        </is>
      </c>
      <c r="F1043" t="inlineStr">
        <is>
          <t>Bergvik skog väst AB</t>
        </is>
      </c>
      <c r="G1043" t="n">
        <v>5.3</v>
      </c>
      <c r="H1043" t="n">
        <v>1</v>
      </c>
      <c r="I1043" t="n">
        <v>0</v>
      </c>
      <c r="J1043" t="n">
        <v>0</v>
      </c>
      <c r="K1043" t="n">
        <v>0</v>
      </c>
      <c r="L1043" t="n">
        <v>0</v>
      </c>
      <c r="M1043" t="n">
        <v>0</v>
      </c>
      <c r="N1043" t="n">
        <v>0</v>
      </c>
      <c r="O1043" t="n">
        <v>0</v>
      </c>
      <c r="P1043" t="n">
        <v>0</v>
      </c>
      <c r="Q1043" t="n">
        <v>1</v>
      </c>
      <c r="R1043" s="2" t="inlineStr">
        <is>
          <t>Revlummer</t>
        </is>
      </c>
      <c r="S1043">
        <f>HYPERLINK("https://klasma.github.io/Logging_2080/artfynd/A 13226-2026 artfynd.xlsx", "A 13226-2026")</f>
        <v/>
      </c>
      <c r="T1043">
        <f>HYPERLINK("https://klasma.github.io/Logging_2080/kartor/A 13226-2026 karta.png", "A 13226-2026")</f>
        <v/>
      </c>
      <c r="V1043">
        <f>HYPERLINK("https://klasma.github.io/Logging_2080/klagomål/A 13226-2026 FSC-klagomål.docx", "A 13226-2026")</f>
        <v/>
      </c>
      <c r="W1043">
        <f>HYPERLINK("https://klasma.github.io/Logging_2080/klagomålsmail/A 13226-2026 FSC-klagomål mail.docx", "A 13226-2026")</f>
        <v/>
      </c>
      <c r="X1043">
        <f>HYPERLINK("https://klasma.github.io/Logging_2080/tillsyn/A 13226-2026 tillsynsbegäran.docx", "A 13226-2026")</f>
        <v/>
      </c>
      <c r="Y1043">
        <f>HYPERLINK("https://klasma.github.io/Logging_2080/tillsynsmail/A 13226-2026 tillsynsbegäran mail.docx", "A 13226-2026")</f>
        <v/>
      </c>
    </row>
    <row r="1044" ht="15" customHeight="1">
      <c r="A1044" t="inlineStr">
        <is>
          <t>A 7767-2026</t>
        </is>
      </c>
      <c r="B1044" s="1" t="n">
        <v>46059</v>
      </c>
      <c r="C1044" s="1" t="n">
        <v>46114</v>
      </c>
      <c r="D1044" t="inlineStr">
        <is>
          <t>DALARNAS LÄN</t>
        </is>
      </c>
      <c r="E1044" t="inlineStr">
        <is>
          <t>HEDEMORA</t>
        </is>
      </c>
      <c r="G1044" t="n">
        <v>2</v>
      </c>
      <c r="H1044" t="n">
        <v>1</v>
      </c>
      <c r="I1044" t="n">
        <v>0</v>
      </c>
      <c r="J1044" t="n">
        <v>0</v>
      </c>
      <c r="K1044" t="n">
        <v>0</v>
      </c>
      <c r="L1044" t="n">
        <v>0</v>
      </c>
      <c r="M1044" t="n">
        <v>0</v>
      </c>
      <c r="N1044" t="n">
        <v>0</v>
      </c>
      <c r="O1044" t="n">
        <v>0</v>
      </c>
      <c r="P1044" t="n">
        <v>0</v>
      </c>
      <c r="Q1044" t="n">
        <v>1</v>
      </c>
      <c r="R1044" s="2" t="inlineStr">
        <is>
          <t>Tjäder</t>
        </is>
      </c>
      <c r="S1044">
        <f>HYPERLINK("https://klasma.github.io/Logging_2083/artfynd/A 7767-2026 artfynd.xlsx", "A 7767-2026")</f>
        <v/>
      </c>
      <c r="T1044">
        <f>HYPERLINK("https://klasma.github.io/Logging_2083/kartor/A 7767-2026 karta.png", "A 7767-2026")</f>
        <v/>
      </c>
      <c r="V1044">
        <f>HYPERLINK("https://klasma.github.io/Logging_2083/klagomål/A 7767-2026 FSC-klagomål.docx", "A 7767-2026")</f>
        <v/>
      </c>
      <c r="W1044">
        <f>HYPERLINK("https://klasma.github.io/Logging_2083/klagomålsmail/A 7767-2026 FSC-klagomål mail.docx", "A 7767-2026")</f>
        <v/>
      </c>
      <c r="X1044">
        <f>HYPERLINK("https://klasma.github.io/Logging_2083/tillsyn/A 7767-2026 tillsynsbegäran.docx", "A 7767-2026")</f>
        <v/>
      </c>
      <c r="Y1044">
        <f>HYPERLINK("https://klasma.github.io/Logging_2083/tillsynsmail/A 7767-2026 tillsynsbegäran mail.docx", "A 7767-2026")</f>
        <v/>
      </c>
      <c r="Z1044">
        <f>HYPERLINK("https://klasma.github.io/Logging_2083/fåglar/A 7767-2026 prioriterade fågelarter.docx", "A 7767-2026")</f>
        <v/>
      </c>
    </row>
    <row r="1045" ht="15" customHeight="1">
      <c r="A1045" t="inlineStr">
        <is>
          <t>A 56786-2024</t>
        </is>
      </c>
      <c r="B1045" s="1" t="n">
        <v>45628</v>
      </c>
      <c r="C1045" s="1" t="n">
        <v>46114</v>
      </c>
      <c r="D1045" t="inlineStr">
        <is>
          <t>DALARNAS LÄN</t>
        </is>
      </c>
      <c r="E1045" t="inlineStr">
        <is>
          <t>AVESTA</t>
        </is>
      </c>
      <c r="G1045" t="n">
        <v>4.7</v>
      </c>
      <c r="H1045" t="n">
        <v>1</v>
      </c>
      <c r="I1045" t="n">
        <v>0</v>
      </c>
      <c r="J1045" t="n">
        <v>0</v>
      </c>
      <c r="K1045" t="n">
        <v>1</v>
      </c>
      <c r="L1045" t="n">
        <v>0</v>
      </c>
      <c r="M1045" t="n">
        <v>0</v>
      </c>
      <c r="N1045" t="n">
        <v>0</v>
      </c>
      <c r="O1045" t="n">
        <v>1</v>
      </c>
      <c r="P1045" t="n">
        <v>1</v>
      </c>
      <c r="Q1045" t="n">
        <v>1</v>
      </c>
      <c r="R1045" s="2" t="inlineStr">
        <is>
          <t>Knärot</t>
        </is>
      </c>
      <c r="S1045">
        <f>HYPERLINK("https://klasma.github.io/Logging_2084/artfynd/A 56786-2024 artfynd.xlsx", "A 56786-2024")</f>
        <v/>
      </c>
      <c r="T1045">
        <f>HYPERLINK("https://klasma.github.io/Logging_2084/kartor/A 56786-2024 karta.png", "A 56786-2024")</f>
        <v/>
      </c>
      <c r="U1045">
        <f>HYPERLINK("https://klasma.github.io/Logging_2084/knärot/A 56786-2024 karta knärot.png", "A 56786-2024")</f>
        <v/>
      </c>
      <c r="V1045">
        <f>HYPERLINK("https://klasma.github.io/Logging_2084/klagomål/A 56786-2024 FSC-klagomål.docx", "A 56786-2024")</f>
        <v/>
      </c>
      <c r="W1045">
        <f>HYPERLINK("https://klasma.github.io/Logging_2084/klagomålsmail/A 56786-2024 FSC-klagomål mail.docx", "A 56786-2024")</f>
        <v/>
      </c>
      <c r="X1045">
        <f>HYPERLINK("https://klasma.github.io/Logging_2084/tillsyn/A 56786-2024 tillsynsbegäran.docx", "A 56786-2024")</f>
        <v/>
      </c>
      <c r="Y1045">
        <f>HYPERLINK("https://klasma.github.io/Logging_2084/tillsynsmail/A 56786-2024 tillsynsbegäran mail.docx", "A 56786-2024")</f>
        <v/>
      </c>
    </row>
    <row r="1046" ht="15" customHeight="1">
      <c r="A1046" t="inlineStr">
        <is>
          <t>A 50981-2024</t>
        </is>
      </c>
      <c r="B1046" s="1" t="n">
        <v>45603.36233796296</v>
      </c>
      <c r="C1046" s="1" t="n">
        <v>46114</v>
      </c>
      <c r="D1046" t="inlineStr">
        <is>
          <t>DALARNAS LÄN</t>
        </is>
      </c>
      <c r="E1046" t="inlineStr">
        <is>
          <t>ÄLVDALEN</t>
        </is>
      </c>
      <c r="G1046" t="n">
        <v>5.1</v>
      </c>
      <c r="H1046" t="n">
        <v>0</v>
      </c>
      <c r="I1046" t="n">
        <v>0</v>
      </c>
      <c r="J1046" t="n">
        <v>1</v>
      </c>
      <c r="K1046" t="n">
        <v>0</v>
      </c>
      <c r="L1046" t="n">
        <v>0</v>
      </c>
      <c r="M1046" t="n">
        <v>0</v>
      </c>
      <c r="N1046" t="n">
        <v>0</v>
      </c>
      <c r="O1046" t="n">
        <v>1</v>
      </c>
      <c r="P1046" t="n">
        <v>0</v>
      </c>
      <c r="Q1046" t="n">
        <v>1</v>
      </c>
      <c r="R1046" s="2" t="inlineStr">
        <is>
          <t>Vedskivlav</t>
        </is>
      </c>
      <c r="S1046">
        <f>HYPERLINK("https://klasma.github.io/Logging_2039/artfynd/A 50981-2024 artfynd.xlsx", "A 50981-2024")</f>
        <v/>
      </c>
      <c r="T1046">
        <f>HYPERLINK("https://klasma.github.io/Logging_2039/kartor/A 50981-2024 karta.png", "A 50981-2024")</f>
        <v/>
      </c>
      <c r="V1046">
        <f>HYPERLINK("https://klasma.github.io/Logging_2039/klagomål/A 50981-2024 FSC-klagomål.docx", "A 50981-2024")</f>
        <v/>
      </c>
      <c r="W1046">
        <f>HYPERLINK("https://klasma.github.io/Logging_2039/klagomålsmail/A 50981-2024 FSC-klagomål mail.docx", "A 50981-2024")</f>
        <v/>
      </c>
      <c r="X1046">
        <f>HYPERLINK("https://klasma.github.io/Logging_2039/tillsyn/A 50981-2024 tillsynsbegäran.docx", "A 50981-2024")</f>
        <v/>
      </c>
      <c r="Y1046">
        <f>HYPERLINK("https://klasma.github.io/Logging_2039/tillsynsmail/A 50981-2024 tillsynsbegäran mail.docx", "A 50981-2024")</f>
        <v/>
      </c>
    </row>
    <row r="1047" ht="15" customHeight="1">
      <c r="A1047" t="inlineStr">
        <is>
          <t>A 11710-2026</t>
        </is>
      </c>
      <c r="B1047" s="1" t="n">
        <v>46084</v>
      </c>
      <c r="C1047" s="1" t="n">
        <v>46114</v>
      </c>
      <c r="D1047" t="inlineStr">
        <is>
          <t>DALARNAS LÄN</t>
        </is>
      </c>
      <c r="E1047" t="inlineStr">
        <is>
          <t>RÄTTVIK</t>
        </is>
      </c>
      <c r="F1047" t="inlineStr">
        <is>
          <t>Bergvik skog väst AB</t>
        </is>
      </c>
      <c r="G1047" t="n">
        <v>62.7</v>
      </c>
      <c r="H1047" t="n">
        <v>1</v>
      </c>
      <c r="I1047" t="n">
        <v>0</v>
      </c>
      <c r="J1047" t="n">
        <v>0</v>
      </c>
      <c r="K1047" t="n">
        <v>0</v>
      </c>
      <c r="L1047" t="n">
        <v>0</v>
      </c>
      <c r="M1047" t="n">
        <v>0</v>
      </c>
      <c r="N1047" t="n">
        <v>0</v>
      </c>
      <c r="O1047" t="n">
        <v>0</v>
      </c>
      <c r="P1047" t="n">
        <v>0</v>
      </c>
      <c r="Q1047" t="n">
        <v>1</v>
      </c>
      <c r="R1047" s="2" t="inlineStr">
        <is>
          <t>Lavskrika</t>
        </is>
      </c>
      <c r="S1047">
        <f>HYPERLINK("https://klasma.github.io/Logging_2031/artfynd/A 11710-2026 artfynd.xlsx", "A 11710-2026")</f>
        <v/>
      </c>
      <c r="T1047">
        <f>HYPERLINK("https://klasma.github.io/Logging_2031/kartor/A 11710-2026 karta.png", "A 11710-2026")</f>
        <v/>
      </c>
      <c r="V1047">
        <f>HYPERLINK("https://klasma.github.io/Logging_2031/klagomål/A 11710-2026 FSC-klagomål.docx", "A 11710-2026")</f>
        <v/>
      </c>
      <c r="W1047">
        <f>HYPERLINK("https://klasma.github.io/Logging_2031/klagomålsmail/A 11710-2026 FSC-klagomål mail.docx", "A 11710-2026")</f>
        <v/>
      </c>
      <c r="X1047">
        <f>HYPERLINK("https://klasma.github.io/Logging_2031/tillsyn/A 11710-2026 tillsynsbegäran.docx", "A 11710-2026")</f>
        <v/>
      </c>
      <c r="Y1047">
        <f>HYPERLINK("https://klasma.github.io/Logging_2031/tillsynsmail/A 11710-2026 tillsynsbegäran mail.docx", "A 11710-2026")</f>
        <v/>
      </c>
      <c r="Z1047">
        <f>HYPERLINK("https://klasma.github.io/Logging_2031/fåglar/A 11710-2026 prioriterade fågelarter.docx", "A 11710-2026")</f>
        <v/>
      </c>
    </row>
    <row r="1048" ht="15" customHeight="1">
      <c r="A1048" t="inlineStr">
        <is>
          <t>A 23815-2023</t>
        </is>
      </c>
      <c r="B1048" s="1" t="n">
        <v>45078</v>
      </c>
      <c r="C1048" s="1" t="n">
        <v>46114</v>
      </c>
      <c r="D1048" t="inlineStr">
        <is>
          <t>DALARNAS LÄN</t>
        </is>
      </c>
      <c r="E1048" t="inlineStr">
        <is>
          <t>HEDEMORA</t>
        </is>
      </c>
      <c r="G1048" t="n">
        <v>3.1</v>
      </c>
      <c r="H1048" t="n">
        <v>1</v>
      </c>
      <c r="I1048" t="n">
        <v>0</v>
      </c>
      <c r="J1048" t="n">
        <v>0</v>
      </c>
      <c r="K1048" t="n">
        <v>1</v>
      </c>
      <c r="L1048" t="n">
        <v>0</v>
      </c>
      <c r="M1048" t="n">
        <v>0</v>
      </c>
      <c r="N1048" t="n">
        <v>0</v>
      </c>
      <c r="O1048" t="n">
        <v>1</v>
      </c>
      <c r="P1048" t="n">
        <v>1</v>
      </c>
      <c r="Q1048" t="n">
        <v>1</v>
      </c>
      <c r="R1048" s="2" t="inlineStr">
        <is>
          <t>Knärot</t>
        </is>
      </c>
      <c r="S1048">
        <f>HYPERLINK("https://klasma.github.io/Logging_2083/artfynd/A 23815-2023 artfynd.xlsx", "A 23815-2023")</f>
        <v/>
      </c>
      <c r="T1048">
        <f>HYPERLINK("https://klasma.github.io/Logging_2083/kartor/A 23815-2023 karta.png", "A 23815-2023")</f>
        <v/>
      </c>
      <c r="U1048">
        <f>HYPERLINK("https://klasma.github.io/Logging_2083/knärot/A 23815-2023 karta knärot.png", "A 23815-2023")</f>
        <v/>
      </c>
      <c r="V1048">
        <f>HYPERLINK("https://klasma.github.io/Logging_2083/klagomål/A 23815-2023 FSC-klagomål.docx", "A 23815-2023")</f>
        <v/>
      </c>
      <c r="W1048">
        <f>HYPERLINK("https://klasma.github.io/Logging_2083/klagomålsmail/A 23815-2023 FSC-klagomål mail.docx", "A 23815-2023")</f>
        <v/>
      </c>
      <c r="X1048">
        <f>HYPERLINK("https://klasma.github.io/Logging_2083/tillsyn/A 23815-2023 tillsynsbegäran.docx", "A 23815-2023")</f>
        <v/>
      </c>
      <c r="Y1048">
        <f>HYPERLINK("https://klasma.github.io/Logging_2083/tillsynsmail/A 23815-2023 tillsynsbegäran mail.docx", "A 23815-2023")</f>
        <v/>
      </c>
    </row>
    <row r="1049" ht="15" customHeight="1">
      <c r="A1049" t="inlineStr">
        <is>
          <t>A 7273-2026</t>
        </is>
      </c>
      <c r="B1049" s="1" t="n">
        <v>46058</v>
      </c>
      <c r="C1049" s="1" t="n">
        <v>46114</v>
      </c>
      <c r="D1049" t="inlineStr">
        <is>
          <t>DALARNAS LÄN</t>
        </is>
      </c>
      <c r="E1049" t="inlineStr">
        <is>
          <t>ÄLVDALEN</t>
        </is>
      </c>
      <c r="G1049" t="n">
        <v>0.9</v>
      </c>
      <c r="H1049" t="n">
        <v>1</v>
      </c>
      <c r="I1049" t="n">
        <v>0</v>
      </c>
      <c r="J1049" t="n">
        <v>1</v>
      </c>
      <c r="K1049" t="n">
        <v>0</v>
      </c>
      <c r="L1049" t="n">
        <v>0</v>
      </c>
      <c r="M1049" t="n">
        <v>0</v>
      </c>
      <c r="N1049" t="n">
        <v>0</v>
      </c>
      <c r="O1049" t="n">
        <v>1</v>
      </c>
      <c r="P1049" t="n">
        <v>0</v>
      </c>
      <c r="Q1049" t="n">
        <v>1</v>
      </c>
      <c r="R1049" s="2" t="inlineStr">
        <is>
          <t>Spillkråka</t>
        </is>
      </c>
      <c r="S1049">
        <f>HYPERLINK("https://klasma.github.io/Logging_2039/artfynd/A 7273-2026 artfynd.xlsx", "A 7273-2026")</f>
        <v/>
      </c>
      <c r="T1049">
        <f>HYPERLINK("https://klasma.github.io/Logging_2039/kartor/A 7273-2026 karta.png", "A 7273-2026")</f>
        <v/>
      </c>
      <c r="V1049">
        <f>HYPERLINK("https://klasma.github.io/Logging_2039/klagomål/A 7273-2026 FSC-klagomål.docx", "A 7273-2026")</f>
        <v/>
      </c>
      <c r="W1049">
        <f>HYPERLINK("https://klasma.github.io/Logging_2039/klagomålsmail/A 7273-2026 FSC-klagomål mail.docx", "A 7273-2026")</f>
        <v/>
      </c>
      <c r="X1049">
        <f>HYPERLINK("https://klasma.github.io/Logging_2039/tillsyn/A 7273-2026 tillsynsbegäran.docx", "A 7273-2026")</f>
        <v/>
      </c>
      <c r="Y1049">
        <f>HYPERLINK("https://klasma.github.io/Logging_2039/tillsynsmail/A 7273-2026 tillsynsbegäran mail.docx", "A 7273-2026")</f>
        <v/>
      </c>
      <c r="Z1049">
        <f>HYPERLINK("https://klasma.github.io/Logging_2039/fåglar/A 7273-2026 prioriterade fågelarter.docx", "A 7273-2026")</f>
        <v/>
      </c>
    </row>
    <row r="1050" ht="15" customHeight="1">
      <c r="A1050" t="inlineStr">
        <is>
          <t>A 431-2026</t>
        </is>
      </c>
      <c r="B1050" s="1" t="n">
        <v>46029</v>
      </c>
      <c r="C1050" s="1" t="n">
        <v>46114</v>
      </c>
      <c r="D1050" t="inlineStr">
        <is>
          <t>DALARNAS LÄN</t>
        </is>
      </c>
      <c r="E1050" t="inlineStr">
        <is>
          <t>BORLÄNGE</t>
        </is>
      </c>
      <c r="F1050" t="inlineStr">
        <is>
          <t>Bergvik skog väst AB</t>
        </is>
      </c>
      <c r="G1050" t="n">
        <v>2.8</v>
      </c>
      <c r="H1050" t="n">
        <v>0</v>
      </c>
      <c r="I1050" t="n">
        <v>1</v>
      </c>
      <c r="J1050" t="n">
        <v>0</v>
      </c>
      <c r="K1050" t="n">
        <v>0</v>
      </c>
      <c r="L1050" t="n">
        <v>0</v>
      </c>
      <c r="M1050" t="n">
        <v>0</v>
      </c>
      <c r="N1050" t="n">
        <v>0</v>
      </c>
      <c r="O1050" t="n">
        <v>0</v>
      </c>
      <c r="P1050" t="n">
        <v>0</v>
      </c>
      <c r="Q1050" t="n">
        <v>1</v>
      </c>
      <c r="R1050" s="2" t="inlineStr">
        <is>
          <t>Mindre märgborre</t>
        </is>
      </c>
      <c r="S1050">
        <f>HYPERLINK("https://klasma.github.io/Logging_2081/artfynd/A 431-2026 artfynd.xlsx", "A 431-2026")</f>
        <v/>
      </c>
      <c r="T1050">
        <f>HYPERLINK("https://klasma.github.io/Logging_2081/kartor/A 431-2026 karta.png", "A 431-2026")</f>
        <v/>
      </c>
      <c r="V1050">
        <f>HYPERLINK("https://klasma.github.io/Logging_2081/klagomål/A 431-2026 FSC-klagomål.docx", "A 431-2026")</f>
        <v/>
      </c>
      <c r="W1050">
        <f>HYPERLINK("https://klasma.github.io/Logging_2081/klagomålsmail/A 431-2026 FSC-klagomål mail.docx", "A 431-2026")</f>
        <v/>
      </c>
      <c r="X1050">
        <f>HYPERLINK("https://klasma.github.io/Logging_2081/tillsyn/A 431-2026 tillsynsbegäran.docx", "A 431-2026")</f>
        <v/>
      </c>
      <c r="Y1050">
        <f>HYPERLINK("https://klasma.github.io/Logging_2081/tillsynsmail/A 431-2026 tillsynsbegäran mail.docx", "A 431-2026")</f>
        <v/>
      </c>
    </row>
    <row r="1051" ht="15" customHeight="1">
      <c r="A1051" t="inlineStr">
        <is>
          <t>A 13986-2023</t>
        </is>
      </c>
      <c r="B1051" s="1" t="n">
        <v>45008</v>
      </c>
      <c r="C1051" s="1" t="n">
        <v>46114</v>
      </c>
      <c r="D1051" t="inlineStr">
        <is>
          <t>DALARNAS LÄN</t>
        </is>
      </c>
      <c r="E1051" t="inlineStr">
        <is>
          <t>HEDEMORA</t>
        </is>
      </c>
      <c r="G1051" t="n">
        <v>0.8</v>
      </c>
      <c r="H1051" t="n">
        <v>1</v>
      </c>
      <c r="I1051" t="n">
        <v>0</v>
      </c>
      <c r="J1051" t="n">
        <v>0</v>
      </c>
      <c r="K1051" t="n">
        <v>1</v>
      </c>
      <c r="L1051" t="n">
        <v>0</v>
      </c>
      <c r="M1051" t="n">
        <v>0</v>
      </c>
      <c r="N1051" t="n">
        <v>0</v>
      </c>
      <c r="O1051" t="n">
        <v>1</v>
      </c>
      <c r="P1051" t="n">
        <v>1</v>
      </c>
      <c r="Q1051" t="n">
        <v>1</v>
      </c>
      <c r="R1051" s="2" t="inlineStr">
        <is>
          <t>Knärot</t>
        </is>
      </c>
      <c r="S1051">
        <f>HYPERLINK("https://klasma.github.io/Logging_2083/artfynd/A 13986-2023 artfynd.xlsx", "A 13986-2023")</f>
        <v/>
      </c>
      <c r="T1051">
        <f>HYPERLINK("https://klasma.github.io/Logging_2083/kartor/A 13986-2023 karta.png", "A 13986-2023")</f>
        <v/>
      </c>
      <c r="U1051">
        <f>HYPERLINK("https://klasma.github.io/Logging_2083/knärot/A 13986-2023 karta knärot.png", "A 13986-2023")</f>
        <v/>
      </c>
      <c r="V1051">
        <f>HYPERLINK("https://klasma.github.io/Logging_2083/klagomål/A 13986-2023 FSC-klagomål.docx", "A 13986-2023")</f>
        <v/>
      </c>
      <c r="W1051">
        <f>HYPERLINK("https://klasma.github.io/Logging_2083/klagomålsmail/A 13986-2023 FSC-klagomål mail.docx", "A 13986-2023")</f>
        <v/>
      </c>
      <c r="X1051">
        <f>HYPERLINK("https://klasma.github.io/Logging_2083/tillsyn/A 13986-2023 tillsynsbegäran.docx", "A 13986-2023")</f>
        <v/>
      </c>
      <c r="Y1051">
        <f>HYPERLINK("https://klasma.github.io/Logging_2083/tillsynsmail/A 13986-2023 tillsynsbegäran mail.docx", "A 13986-2023")</f>
        <v/>
      </c>
    </row>
    <row r="1052" ht="15" customHeight="1">
      <c r="A1052" t="inlineStr">
        <is>
          <t>A 17734-2024</t>
        </is>
      </c>
      <c r="B1052" s="1" t="n">
        <v>45415</v>
      </c>
      <c r="C1052" s="1" t="n">
        <v>46114</v>
      </c>
      <c r="D1052" t="inlineStr">
        <is>
          <t>DALARNAS LÄN</t>
        </is>
      </c>
      <c r="E1052" t="inlineStr">
        <is>
          <t>RÄTTVIK</t>
        </is>
      </c>
      <c r="G1052" t="n">
        <v>9.300000000000001</v>
      </c>
      <c r="H1052" t="n">
        <v>0</v>
      </c>
      <c r="I1052" t="n">
        <v>1</v>
      </c>
      <c r="J1052" t="n">
        <v>0</v>
      </c>
      <c r="K1052" t="n">
        <v>0</v>
      </c>
      <c r="L1052" t="n">
        <v>0</v>
      </c>
      <c r="M1052" t="n">
        <v>0</v>
      </c>
      <c r="N1052" t="n">
        <v>0</v>
      </c>
      <c r="O1052" t="n">
        <v>0</v>
      </c>
      <c r="P1052" t="n">
        <v>0</v>
      </c>
      <c r="Q1052" t="n">
        <v>1</v>
      </c>
      <c r="R1052" s="2" t="inlineStr">
        <is>
          <t>Bollvitmossa</t>
        </is>
      </c>
      <c r="S1052">
        <f>HYPERLINK("https://klasma.github.io/Logging_2031/artfynd/A 17734-2024 artfynd.xlsx", "A 17734-2024")</f>
        <v/>
      </c>
      <c r="T1052">
        <f>HYPERLINK("https://klasma.github.io/Logging_2031/kartor/A 17734-2024 karta.png", "A 17734-2024")</f>
        <v/>
      </c>
      <c r="V1052">
        <f>HYPERLINK("https://klasma.github.io/Logging_2031/klagomål/A 17734-2024 FSC-klagomål.docx", "A 17734-2024")</f>
        <v/>
      </c>
      <c r="W1052">
        <f>HYPERLINK("https://klasma.github.io/Logging_2031/klagomålsmail/A 17734-2024 FSC-klagomål mail.docx", "A 17734-2024")</f>
        <v/>
      </c>
      <c r="X1052">
        <f>HYPERLINK("https://klasma.github.io/Logging_2031/tillsyn/A 17734-2024 tillsynsbegäran.docx", "A 17734-2024")</f>
        <v/>
      </c>
      <c r="Y1052">
        <f>HYPERLINK("https://klasma.github.io/Logging_2031/tillsynsmail/A 17734-2024 tillsynsbegäran mail.docx", "A 17734-2024")</f>
        <v/>
      </c>
    </row>
    <row r="1053" ht="15" customHeight="1">
      <c r="A1053" t="inlineStr">
        <is>
          <t>A 15164-2026</t>
        </is>
      </c>
      <c r="B1053" s="1" t="n">
        <v>46105.43471064815</v>
      </c>
      <c r="C1053" s="1" t="n">
        <v>46114</v>
      </c>
      <c r="D1053" t="inlineStr">
        <is>
          <t>DALARNAS LÄN</t>
        </is>
      </c>
      <c r="E1053" t="inlineStr">
        <is>
          <t>RÄTTVIK</t>
        </is>
      </c>
      <c r="F1053" t="inlineStr">
        <is>
          <t>Bergvik skog väst AB</t>
        </is>
      </c>
      <c r="G1053" t="n">
        <v>15.9</v>
      </c>
      <c r="H1053" t="n">
        <v>0</v>
      </c>
      <c r="I1053" t="n">
        <v>0</v>
      </c>
      <c r="J1053" t="n">
        <v>1</v>
      </c>
      <c r="K1053" t="n">
        <v>0</v>
      </c>
      <c r="L1053" t="n">
        <v>0</v>
      </c>
      <c r="M1053" t="n">
        <v>0</v>
      </c>
      <c r="N1053" t="n">
        <v>0</v>
      </c>
      <c r="O1053" t="n">
        <v>1</v>
      </c>
      <c r="P1053" t="n">
        <v>0</v>
      </c>
      <c r="Q1053" t="n">
        <v>1</v>
      </c>
      <c r="R1053" s="2" t="inlineStr">
        <is>
          <t>Brunklöver</t>
        </is>
      </c>
      <c r="S1053">
        <f>HYPERLINK("https://klasma.github.io/Logging_2031/artfynd/A 15164-2026 artfynd.xlsx", "A 15164-2026")</f>
        <v/>
      </c>
      <c r="T1053">
        <f>HYPERLINK("https://klasma.github.io/Logging_2031/kartor/A 15164-2026 karta.png", "A 15164-2026")</f>
        <v/>
      </c>
      <c r="V1053">
        <f>HYPERLINK("https://klasma.github.io/Logging_2031/klagomål/A 15164-2026 FSC-klagomål.docx", "A 15164-2026")</f>
        <v/>
      </c>
      <c r="W1053">
        <f>HYPERLINK("https://klasma.github.io/Logging_2031/klagomålsmail/A 15164-2026 FSC-klagomål mail.docx", "A 15164-2026")</f>
        <v/>
      </c>
      <c r="X1053">
        <f>HYPERLINK("https://klasma.github.io/Logging_2031/tillsyn/A 15164-2026 tillsynsbegäran.docx", "A 15164-2026")</f>
        <v/>
      </c>
      <c r="Y1053">
        <f>HYPERLINK("https://klasma.github.io/Logging_2031/tillsynsmail/A 15164-2026 tillsynsbegäran mail.docx", "A 15164-2026")</f>
        <v/>
      </c>
    </row>
    <row r="1054" ht="15" customHeight="1">
      <c r="A1054" t="inlineStr">
        <is>
          <t>A 11285-2025</t>
        </is>
      </c>
      <c r="B1054" s="1" t="n">
        <v>45726.42420138889</v>
      </c>
      <c r="C1054" s="1" t="n">
        <v>46114</v>
      </c>
      <c r="D1054" t="inlineStr">
        <is>
          <t>DALARNAS LÄN</t>
        </is>
      </c>
      <c r="E1054" t="inlineStr">
        <is>
          <t>GAGNEF</t>
        </is>
      </c>
      <c r="G1054" t="n">
        <v>12.2</v>
      </c>
      <c r="H1054" t="n">
        <v>1</v>
      </c>
      <c r="I1054" t="n">
        <v>0</v>
      </c>
      <c r="J1054" t="n">
        <v>0</v>
      </c>
      <c r="K1054" t="n">
        <v>0</v>
      </c>
      <c r="L1054" t="n">
        <v>0</v>
      </c>
      <c r="M1054" t="n">
        <v>0</v>
      </c>
      <c r="N1054" t="n">
        <v>0</v>
      </c>
      <c r="O1054" t="n">
        <v>0</v>
      </c>
      <c r="P1054" t="n">
        <v>0</v>
      </c>
      <c r="Q1054" t="n">
        <v>1</v>
      </c>
      <c r="R1054" s="2" t="inlineStr">
        <is>
          <t>Fläcknycklar</t>
        </is>
      </c>
      <c r="S1054">
        <f>HYPERLINK("https://klasma.github.io/Logging_2026/artfynd/A 11285-2025 artfynd.xlsx", "A 11285-2025")</f>
        <v/>
      </c>
      <c r="T1054">
        <f>HYPERLINK("https://klasma.github.io/Logging_2026/kartor/A 11285-2025 karta.png", "A 11285-2025")</f>
        <v/>
      </c>
      <c r="V1054">
        <f>HYPERLINK("https://klasma.github.io/Logging_2026/klagomål/A 11285-2025 FSC-klagomål.docx", "A 11285-2025")</f>
        <v/>
      </c>
      <c r="W1054">
        <f>HYPERLINK("https://klasma.github.io/Logging_2026/klagomålsmail/A 11285-2025 FSC-klagomål mail.docx", "A 11285-2025")</f>
        <v/>
      </c>
      <c r="X1054">
        <f>HYPERLINK("https://klasma.github.io/Logging_2026/tillsyn/A 11285-2025 tillsynsbegäran.docx", "A 11285-2025")</f>
        <v/>
      </c>
      <c r="Y1054">
        <f>HYPERLINK("https://klasma.github.io/Logging_2026/tillsynsmail/A 11285-2025 tillsynsbegäran mail.docx", "A 11285-2025")</f>
        <v/>
      </c>
    </row>
    <row r="1055" ht="15" customHeight="1">
      <c r="A1055" t="inlineStr">
        <is>
          <t>A 13950-2026</t>
        </is>
      </c>
      <c r="B1055" s="1" t="n">
        <v>46098</v>
      </c>
      <c r="C1055" s="1" t="n">
        <v>46114</v>
      </c>
      <c r="D1055" t="inlineStr">
        <is>
          <t>DALARNAS LÄN</t>
        </is>
      </c>
      <c r="E1055" t="inlineStr">
        <is>
          <t>GAGNEF</t>
        </is>
      </c>
      <c r="F1055" t="inlineStr">
        <is>
          <t>Bergvik skog väst AB</t>
        </is>
      </c>
      <c r="G1055" t="n">
        <v>8.1</v>
      </c>
      <c r="H1055" t="n">
        <v>1</v>
      </c>
      <c r="I1055" t="n">
        <v>0</v>
      </c>
      <c r="J1055" t="n">
        <v>0</v>
      </c>
      <c r="K1055" t="n">
        <v>0</v>
      </c>
      <c r="L1055" t="n">
        <v>0</v>
      </c>
      <c r="M1055" t="n">
        <v>0</v>
      </c>
      <c r="N1055" t="n">
        <v>0</v>
      </c>
      <c r="O1055" t="n">
        <v>0</v>
      </c>
      <c r="P1055" t="n">
        <v>0</v>
      </c>
      <c r="Q1055" t="n">
        <v>1</v>
      </c>
      <c r="R1055" s="2" t="inlineStr">
        <is>
          <t>Mindre vattensalamander</t>
        </is>
      </c>
      <c r="S1055">
        <f>HYPERLINK("https://klasma.github.io/Logging_2026/artfynd/A 13950-2026 artfynd.xlsx", "A 13950-2026")</f>
        <v/>
      </c>
      <c r="T1055">
        <f>HYPERLINK("https://klasma.github.io/Logging_2026/kartor/A 13950-2026 karta.png", "A 13950-2026")</f>
        <v/>
      </c>
      <c r="V1055">
        <f>HYPERLINK("https://klasma.github.io/Logging_2026/klagomål/A 13950-2026 FSC-klagomål.docx", "A 13950-2026")</f>
        <v/>
      </c>
      <c r="W1055">
        <f>HYPERLINK("https://klasma.github.io/Logging_2026/klagomålsmail/A 13950-2026 FSC-klagomål mail.docx", "A 13950-2026")</f>
        <v/>
      </c>
      <c r="X1055">
        <f>HYPERLINK("https://klasma.github.io/Logging_2026/tillsyn/A 13950-2026 tillsynsbegäran.docx", "A 13950-2026")</f>
        <v/>
      </c>
      <c r="Y1055">
        <f>HYPERLINK("https://klasma.github.io/Logging_2026/tillsynsmail/A 13950-2026 tillsynsbegäran mail.docx", "A 13950-2026")</f>
        <v/>
      </c>
    </row>
    <row r="1056" ht="15" customHeight="1">
      <c r="A1056" t="inlineStr">
        <is>
          <t>A 15220-2026</t>
        </is>
      </c>
      <c r="B1056" s="1" t="n">
        <v>46105.5268287037</v>
      </c>
      <c r="C1056" s="1" t="n">
        <v>46114</v>
      </c>
      <c r="D1056" t="inlineStr">
        <is>
          <t>DALARNAS LÄN</t>
        </is>
      </c>
      <c r="E1056" t="inlineStr">
        <is>
          <t>HEDEMORA</t>
        </is>
      </c>
      <c r="F1056" t="inlineStr">
        <is>
          <t>Sveaskog</t>
        </is>
      </c>
      <c r="G1056" t="n">
        <v>1.8</v>
      </c>
      <c r="H1056" t="n">
        <v>1</v>
      </c>
      <c r="I1056" t="n">
        <v>0</v>
      </c>
      <c r="J1056" t="n">
        <v>0</v>
      </c>
      <c r="K1056" t="n">
        <v>0</v>
      </c>
      <c r="L1056" t="n">
        <v>0</v>
      </c>
      <c r="M1056" t="n">
        <v>0</v>
      </c>
      <c r="N1056" t="n">
        <v>0</v>
      </c>
      <c r="O1056" t="n">
        <v>0</v>
      </c>
      <c r="P1056" t="n">
        <v>0</v>
      </c>
      <c r="Q1056" t="n">
        <v>1</v>
      </c>
      <c r="R1056" s="2" t="inlineStr">
        <is>
          <t>Tjäder</t>
        </is>
      </c>
      <c r="S1056">
        <f>HYPERLINK("https://klasma.github.io/Logging_2083/artfynd/A 15220-2026 artfynd.xlsx", "A 15220-2026")</f>
        <v/>
      </c>
      <c r="T1056">
        <f>HYPERLINK("https://klasma.github.io/Logging_2083/kartor/A 15220-2026 karta.png", "A 15220-2026")</f>
        <v/>
      </c>
      <c r="V1056">
        <f>HYPERLINK("https://klasma.github.io/Logging_2083/klagomål/A 15220-2026 FSC-klagomål.docx", "A 15220-2026")</f>
        <v/>
      </c>
      <c r="W1056">
        <f>HYPERLINK("https://klasma.github.io/Logging_2083/klagomålsmail/A 15220-2026 FSC-klagomål mail.docx", "A 15220-2026")</f>
        <v/>
      </c>
      <c r="X1056">
        <f>HYPERLINK("https://klasma.github.io/Logging_2083/tillsyn/A 15220-2026 tillsynsbegäran.docx", "A 15220-2026")</f>
        <v/>
      </c>
      <c r="Y1056">
        <f>HYPERLINK("https://klasma.github.io/Logging_2083/tillsynsmail/A 15220-2026 tillsynsbegäran mail.docx", "A 15220-2026")</f>
        <v/>
      </c>
      <c r="Z1056">
        <f>HYPERLINK("https://klasma.github.io/Logging_2083/fåglar/A 15220-2026 prioriterade fågelarter.docx", "A 15220-2026")</f>
        <v/>
      </c>
    </row>
    <row r="1057" ht="15" customHeight="1">
      <c r="A1057" t="inlineStr">
        <is>
          <t>A 17959-2025</t>
        </is>
      </c>
      <c r="B1057" s="1" t="n">
        <v>45761</v>
      </c>
      <c r="C1057" s="1" t="n">
        <v>46114</v>
      </c>
      <c r="D1057" t="inlineStr">
        <is>
          <t>DALARNAS LÄN</t>
        </is>
      </c>
      <c r="E1057" t="inlineStr">
        <is>
          <t>LUDVIKA</t>
        </is>
      </c>
      <c r="F1057" t="inlineStr">
        <is>
          <t>Bergvik skog väst AB</t>
        </is>
      </c>
      <c r="G1057" t="n">
        <v>2.9</v>
      </c>
      <c r="H1057" t="n">
        <v>0</v>
      </c>
      <c r="I1057" t="n">
        <v>1</v>
      </c>
      <c r="J1057" t="n">
        <v>0</v>
      </c>
      <c r="K1057" t="n">
        <v>0</v>
      </c>
      <c r="L1057" t="n">
        <v>0</v>
      </c>
      <c r="M1057" t="n">
        <v>0</v>
      </c>
      <c r="N1057" t="n">
        <v>0</v>
      </c>
      <c r="O1057" t="n">
        <v>0</v>
      </c>
      <c r="P1057" t="n">
        <v>0</v>
      </c>
      <c r="Q1057" t="n">
        <v>1</v>
      </c>
      <c r="R1057" s="2" t="inlineStr">
        <is>
          <t>Rödgul trumpetsvamp</t>
        </is>
      </c>
      <c r="S1057">
        <f>HYPERLINK("https://klasma.github.io/Logging_2085/artfynd/A 17959-2025 artfynd.xlsx", "A 17959-2025")</f>
        <v/>
      </c>
      <c r="T1057">
        <f>HYPERLINK("https://klasma.github.io/Logging_2085/kartor/A 17959-2025 karta.png", "A 17959-2025")</f>
        <v/>
      </c>
      <c r="V1057">
        <f>HYPERLINK("https://klasma.github.io/Logging_2085/klagomål/A 17959-2025 FSC-klagomål.docx", "A 17959-2025")</f>
        <v/>
      </c>
      <c r="W1057">
        <f>HYPERLINK("https://klasma.github.io/Logging_2085/klagomålsmail/A 17959-2025 FSC-klagomål mail.docx", "A 17959-2025")</f>
        <v/>
      </c>
      <c r="X1057">
        <f>HYPERLINK("https://klasma.github.io/Logging_2085/tillsyn/A 17959-2025 tillsynsbegäran.docx", "A 17959-2025")</f>
        <v/>
      </c>
      <c r="Y1057">
        <f>HYPERLINK("https://klasma.github.io/Logging_2085/tillsynsmail/A 17959-2025 tillsynsbegäran mail.docx", "A 17959-2025")</f>
        <v/>
      </c>
    </row>
    <row r="1058" ht="15" customHeight="1">
      <c r="A1058" t="inlineStr">
        <is>
          <t>A 57810-2023</t>
        </is>
      </c>
      <c r="B1058" s="1" t="n">
        <v>45247.33710648148</v>
      </c>
      <c r="C1058" s="1" t="n">
        <v>46114</v>
      </c>
      <c r="D1058" t="inlineStr">
        <is>
          <t>DALARNAS LÄN</t>
        </is>
      </c>
      <c r="E1058" t="inlineStr">
        <is>
          <t>VANSBRO</t>
        </is>
      </c>
      <c r="G1058" t="n">
        <v>0.6</v>
      </c>
      <c r="H1058" t="n">
        <v>1</v>
      </c>
      <c r="I1058" t="n">
        <v>0</v>
      </c>
      <c r="J1058" t="n">
        <v>0</v>
      </c>
      <c r="K1058" t="n">
        <v>0</v>
      </c>
      <c r="L1058" t="n">
        <v>0</v>
      </c>
      <c r="M1058" t="n">
        <v>0</v>
      </c>
      <c r="N1058" t="n">
        <v>0</v>
      </c>
      <c r="O1058" t="n">
        <v>0</v>
      </c>
      <c r="P1058" t="n">
        <v>0</v>
      </c>
      <c r="Q1058" t="n">
        <v>1</v>
      </c>
      <c r="R1058" s="2" t="inlineStr">
        <is>
          <t>Järnsparv</t>
        </is>
      </c>
      <c r="S1058">
        <f>HYPERLINK("https://klasma.github.io/Logging_2021/artfynd/A 57810-2023 artfynd.xlsx", "A 57810-2023")</f>
        <v/>
      </c>
      <c r="T1058">
        <f>HYPERLINK("https://klasma.github.io/Logging_2021/kartor/A 57810-2023 karta.png", "A 57810-2023")</f>
        <v/>
      </c>
      <c r="V1058">
        <f>HYPERLINK("https://klasma.github.io/Logging_2021/klagomål/A 57810-2023 FSC-klagomål.docx", "A 57810-2023")</f>
        <v/>
      </c>
      <c r="W1058">
        <f>HYPERLINK("https://klasma.github.io/Logging_2021/klagomålsmail/A 57810-2023 FSC-klagomål mail.docx", "A 57810-2023")</f>
        <v/>
      </c>
      <c r="X1058">
        <f>HYPERLINK("https://klasma.github.io/Logging_2021/tillsyn/A 57810-2023 tillsynsbegäran.docx", "A 57810-2023")</f>
        <v/>
      </c>
      <c r="Y1058">
        <f>HYPERLINK("https://klasma.github.io/Logging_2021/tillsynsmail/A 57810-2023 tillsynsbegäran mail.docx", "A 57810-2023")</f>
        <v/>
      </c>
      <c r="Z1058">
        <f>HYPERLINK("https://klasma.github.io/Logging_2021/fåglar/A 57810-2023 prioriterade fågelarter.docx", "A 57810-2023")</f>
        <v/>
      </c>
    </row>
    <row r="1059" ht="15" customHeight="1">
      <c r="A1059" t="inlineStr">
        <is>
          <t>A 56655-2025</t>
        </is>
      </c>
      <c r="B1059" s="1" t="n">
        <v>45975.64983796296</v>
      </c>
      <c r="C1059" s="1" t="n">
        <v>46114</v>
      </c>
      <c r="D1059" t="inlineStr">
        <is>
          <t>DALARNAS LÄN</t>
        </is>
      </c>
      <c r="E1059" t="inlineStr">
        <is>
          <t>LUDVIKA</t>
        </is>
      </c>
      <c r="F1059" t="inlineStr">
        <is>
          <t>Bergvik skog väst AB</t>
        </is>
      </c>
      <c r="G1059" t="n">
        <v>8.5</v>
      </c>
      <c r="H1059" t="n">
        <v>1</v>
      </c>
      <c r="I1059" t="n">
        <v>0</v>
      </c>
      <c r="J1059" t="n">
        <v>1</v>
      </c>
      <c r="K1059" t="n">
        <v>0</v>
      </c>
      <c r="L1059" t="n">
        <v>0</v>
      </c>
      <c r="M1059" t="n">
        <v>0</v>
      </c>
      <c r="N1059" t="n">
        <v>0</v>
      </c>
      <c r="O1059" t="n">
        <v>1</v>
      </c>
      <c r="P1059" t="n">
        <v>0</v>
      </c>
      <c r="Q1059" t="n">
        <v>1</v>
      </c>
      <c r="R1059" s="2" t="inlineStr">
        <is>
          <t>Spillkråka</t>
        </is>
      </c>
      <c r="S1059">
        <f>HYPERLINK("https://klasma.github.io/Logging_2085/artfynd/A 56655-2025 artfynd.xlsx", "A 56655-2025")</f>
        <v/>
      </c>
      <c r="T1059">
        <f>HYPERLINK("https://klasma.github.io/Logging_2085/kartor/A 56655-2025 karta.png", "A 56655-2025")</f>
        <v/>
      </c>
      <c r="V1059">
        <f>HYPERLINK("https://klasma.github.io/Logging_2085/klagomål/A 56655-2025 FSC-klagomål.docx", "A 56655-2025")</f>
        <v/>
      </c>
      <c r="W1059">
        <f>HYPERLINK("https://klasma.github.io/Logging_2085/klagomålsmail/A 56655-2025 FSC-klagomål mail.docx", "A 56655-2025")</f>
        <v/>
      </c>
      <c r="X1059">
        <f>HYPERLINK("https://klasma.github.io/Logging_2085/tillsyn/A 56655-2025 tillsynsbegäran.docx", "A 56655-2025")</f>
        <v/>
      </c>
      <c r="Y1059">
        <f>HYPERLINK("https://klasma.github.io/Logging_2085/tillsynsmail/A 56655-2025 tillsynsbegäran mail.docx", "A 56655-2025")</f>
        <v/>
      </c>
      <c r="Z1059">
        <f>HYPERLINK("https://klasma.github.io/Logging_2085/fåglar/A 56655-2025 prioriterade fågelarter.docx", "A 56655-2025")</f>
        <v/>
      </c>
    </row>
    <row r="1060" ht="15" customHeight="1">
      <c r="A1060" t="inlineStr">
        <is>
          <t>A 15875-2026</t>
        </is>
      </c>
      <c r="B1060" s="1" t="n">
        <v>46107.59444444445</v>
      </c>
      <c r="C1060" s="1" t="n">
        <v>46114</v>
      </c>
      <c r="D1060" t="inlineStr">
        <is>
          <t>DALARNAS LÄN</t>
        </is>
      </c>
      <c r="E1060" t="inlineStr">
        <is>
          <t>FALUN</t>
        </is>
      </c>
      <c r="G1060" t="n">
        <v>2.8</v>
      </c>
      <c r="H1060" t="n">
        <v>1</v>
      </c>
      <c r="I1060" t="n">
        <v>0</v>
      </c>
      <c r="J1060" t="n">
        <v>0</v>
      </c>
      <c r="K1060" t="n">
        <v>0</v>
      </c>
      <c r="L1060" t="n">
        <v>0</v>
      </c>
      <c r="M1060" t="n">
        <v>0</v>
      </c>
      <c r="N1060" t="n">
        <v>0</v>
      </c>
      <c r="O1060" t="n">
        <v>0</v>
      </c>
      <c r="P1060" t="n">
        <v>0</v>
      </c>
      <c r="Q1060" t="n">
        <v>1</v>
      </c>
      <c r="R1060" s="2" t="inlineStr">
        <is>
          <t>Fläcknycklar</t>
        </is>
      </c>
      <c r="S1060">
        <f>HYPERLINK("https://klasma.github.io/Logging_2080/artfynd/A 15875-2026 artfynd.xlsx", "A 15875-2026")</f>
        <v/>
      </c>
      <c r="T1060">
        <f>HYPERLINK("https://klasma.github.io/Logging_2080/kartor/A 15875-2026 karta.png", "A 15875-2026")</f>
        <v/>
      </c>
      <c r="V1060">
        <f>HYPERLINK("https://klasma.github.io/Logging_2080/klagomål/A 15875-2026 FSC-klagomål.docx", "A 15875-2026")</f>
        <v/>
      </c>
      <c r="W1060">
        <f>HYPERLINK("https://klasma.github.io/Logging_2080/klagomålsmail/A 15875-2026 FSC-klagomål mail.docx", "A 15875-2026")</f>
        <v/>
      </c>
      <c r="X1060">
        <f>HYPERLINK("https://klasma.github.io/Logging_2080/tillsyn/A 15875-2026 tillsynsbegäran.docx", "A 15875-2026")</f>
        <v/>
      </c>
      <c r="Y1060">
        <f>HYPERLINK("https://klasma.github.io/Logging_2080/tillsynsmail/A 15875-2026 tillsynsbegäran mail.docx", "A 15875-2026")</f>
        <v/>
      </c>
    </row>
    <row r="1061" ht="15" customHeight="1">
      <c r="A1061" t="inlineStr">
        <is>
          <t>A 12490-2026</t>
        </is>
      </c>
      <c r="B1061" s="1" t="n">
        <v>46090</v>
      </c>
      <c r="C1061" s="1" t="n">
        <v>46114</v>
      </c>
      <c r="D1061" t="inlineStr">
        <is>
          <t>DALARNAS LÄN</t>
        </is>
      </c>
      <c r="E1061" t="inlineStr">
        <is>
          <t>BORLÄNGE</t>
        </is>
      </c>
      <c r="G1061" t="n">
        <v>7.7</v>
      </c>
      <c r="H1061" t="n">
        <v>1</v>
      </c>
      <c r="I1061" t="n">
        <v>0</v>
      </c>
      <c r="J1061" t="n">
        <v>1</v>
      </c>
      <c r="K1061" t="n">
        <v>0</v>
      </c>
      <c r="L1061" t="n">
        <v>0</v>
      </c>
      <c r="M1061" t="n">
        <v>0</v>
      </c>
      <c r="N1061" t="n">
        <v>0</v>
      </c>
      <c r="O1061" t="n">
        <v>1</v>
      </c>
      <c r="P1061" t="n">
        <v>0</v>
      </c>
      <c r="Q1061" t="n">
        <v>1</v>
      </c>
      <c r="R1061" s="2" t="inlineStr">
        <is>
          <t>Tretåig hackspett</t>
        </is>
      </c>
      <c r="S1061">
        <f>HYPERLINK("https://klasma.github.io/Logging_2081/artfynd/A 12490-2026 artfynd.xlsx", "A 12490-2026")</f>
        <v/>
      </c>
      <c r="T1061">
        <f>HYPERLINK("https://klasma.github.io/Logging_2081/kartor/A 12490-2026 karta.png", "A 12490-2026")</f>
        <v/>
      </c>
      <c r="V1061">
        <f>HYPERLINK("https://klasma.github.io/Logging_2081/klagomål/A 12490-2026 FSC-klagomål.docx", "A 12490-2026")</f>
        <v/>
      </c>
      <c r="W1061">
        <f>HYPERLINK("https://klasma.github.io/Logging_2081/klagomålsmail/A 12490-2026 FSC-klagomål mail.docx", "A 12490-2026")</f>
        <v/>
      </c>
      <c r="X1061">
        <f>HYPERLINK("https://klasma.github.io/Logging_2081/tillsyn/A 12490-2026 tillsynsbegäran.docx", "A 12490-2026")</f>
        <v/>
      </c>
      <c r="Y1061">
        <f>HYPERLINK("https://klasma.github.io/Logging_2081/tillsynsmail/A 12490-2026 tillsynsbegäran mail.docx", "A 12490-2026")</f>
        <v/>
      </c>
      <c r="Z1061">
        <f>HYPERLINK("https://klasma.github.io/Logging_2081/fåglar/A 12490-2026 prioriterade fågelarter.docx", "A 12490-2026")</f>
        <v/>
      </c>
    </row>
    <row r="1062" ht="15" customHeight="1">
      <c r="A1062" t="inlineStr">
        <is>
          <t>A 45577-2024</t>
        </is>
      </c>
      <c r="B1062" s="1" t="n">
        <v>45579.39178240741</v>
      </c>
      <c r="C1062" s="1" t="n">
        <v>46114</v>
      </c>
      <c r="D1062" t="inlineStr">
        <is>
          <t>DALARNAS LÄN</t>
        </is>
      </c>
      <c r="E1062" t="inlineStr">
        <is>
          <t>SMEDJEBACKEN</t>
        </is>
      </c>
      <c r="F1062" t="inlineStr">
        <is>
          <t>Sveaskog</t>
        </is>
      </c>
      <c r="G1062" t="n">
        <v>18.6</v>
      </c>
      <c r="H1062" t="n">
        <v>1</v>
      </c>
      <c r="I1062" t="n">
        <v>0</v>
      </c>
      <c r="J1062" t="n">
        <v>0</v>
      </c>
      <c r="K1062" t="n">
        <v>0</v>
      </c>
      <c r="L1062" t="n">
        <v>0</v>
      </c>
      <c r="M1062" t="n">
        <v>0</v>
      </c>
      <c r="N1062" t="n">
        <v>0</v>
      </c>
      <c r="O1062" t="n">
        <v>0</v>
      </c>
      <c r="P1062" t="n">
        <v>0</v>
      </c>
      <c r="Q1062" t="n">
        <v>1</v>
      </c>
      <c r="R1062" s="2" t="inlineStr">
        <is>
          <t>Tjäder</t>
        </is>
      </c>
      <c r="S1062">
        <f>HYPERLINK("https://klasma.github.io/Logging_2061/artfynd/A 45577-2024 artfynd.xlsx", "A 45577-2024")</f>
        <v/>
      </c>
      <c r="T1062">
        <f>HYPERLINK("https://klasma.github.io/Logging_2061/kartor/A 45577-2024 karta.png", "A 45577-2024")</f>
        <v/>
      </c>
      <c r="V1062">
        <f>HYPERLINK("https://klasma.github.io/Logging_2061/klagomål/A 45577-2024 FSC-klagomål.docx", "A 45577-2024")</f>
        <v/>
      </c>
      <c r="W1062">
        <f>HYPERLINK("https://klasma.github.io/Logging_2061/klagomålsmail/A 45577-2024 FSC-klagomål mail.docx", "A 45577-2024")</f>
        <v/>
      </c>
      <c r="X1062">
        <f>HYPERLINK("https://klasma.github.io/Logging_2061/tillsyn/A 45577-2024 tillsynsbegäran.docx", "A 45577-2024")</f>
        <v/>
      </c>
      <c r="Y1062">
        <f>HYPERLINK("https://klasma.github.io/Logging_2061/tillsynsmail/A 45577-2024 tillsynsbegäran mail.docx", "A 45577-2024")</f>
        <v/>
      </c>
      <c r="Z1062">
        <f>HYPERLINK("https://klasma.github.io/Logging_2061/fåglar/A 45577-2024 prioriterade fågelarter.docx", "A 45577-2024")</f>
        <v/>
      </c>
    </row>
    <row r="1063" ht="15" customHeight="1">
      <c r="A1063" t="inlineStr">
        <is>
          <t>A 9466-2023</t>
        </is>
      </c>
      <c r="B1063" s="1" t="n">
        <v>44981</v>
      </c>
      <c r="C1063" s="1" t="n">
        <v>46114</v>
      </c>
      <c r="D1063" t="inlineStr">
        <is>
          <t>DALARNAS LÄN</t>
        </is>
      </c>
      <c r="E1063" t="inlineStr">
        <is>
          <t>ORSA</t>
        </is>
      </c>
      <c r="F1063" t="inlineStr">
        <is>
          <t>Bergvik skog väst AB</t>
        </is>
      </c>
      <c r="G1063" t="n">
        <v>3.8</v>
      </c>
      <c r="H1063" t="n">
        <v>1</v>
      </c>
      <c r="I1063" t="n">
        <v>0</v>
      </c>
      <c r="J1063" t="n">
        <v>0</v>
      </c>
      <c r="K1063" t="n">
        <v>0</v>
      </c>
      <c r="L1063" t="n">
        <v>0</v>
      </c>
      <c r="M1063" t="n">
        <v>0</v>
      </c>
      <c r="N1063" t="n">
        <v>0</v>
      </c>
      <c r="O1063" t="n">
        <v>0</v>
      </c>
      <c r="P1063" t="n">
        <v>0</v>
      </c>
      <c r="Q1063" t="n">
        <v>1</v>
      </c>
      <c r="R1063" s="2" t="inlineStr">
        <is>
          <t>Tjäder</t>
        </is>
      </c>
      <c r="S1063">
        <f>HYPERLINK("https://klasma.github.io/Logging_2034/artfynd/A 9466-2023 artfynd.xlsx", "A 9466-2023")</f>
        <v/>
      </c>
      <c r="T1063">
        <f>HYPERLINK("https://klasma.github.io/Logging_2034/kartor/A 9466-2023 karta.png", "A 9466-2023")</f>
        <v/>
      </c>
      <c r="V1063">
        <f>HYPERLINK("https://klasma.github.io/Logging_2034/klagomål/A 9466-2023 FSC-klagomål.docx", "A 9466-2023")</f>
        <v/>
      </c>
      <c r="W1063">
        <f>HYPERLINK("https://klasma.github.io/Logging_2034/klagomålsmail/A 9466-2023 FSC-klagomål mail.docx", "A 9466-2023")</f>
        <v/>
      </c>
      <c r="X1063">
        <f>HYPERLINK("https://klasma.github.io/Logging_2034/tillsyn/A 9466-2023 tillsynsbegäran.docx", "A 9466-2023")</f>
        <v/>
      </c>
      <c r="Y1063">
        <f>HYPERLINK("https://klasma.github.io/Logging_2034/tillsynsmail/A 9466-2023 tillsynsbegäran mail.docx", "A 9466-2023")</f>
        <v/>
      </c>
      <c r="Z1063">
        <f>HYPERLINK("https://klasma.github.io/Logging_2034/fåglar/A 9466-2023 prioriterade fågelarter.docx", "A 9466-2023")</f>
        <v/>
      </c>
    </row>
    <row r="1064" ht="15" customHeight="1">
      <c r="A1064" t="inlineStr">
        <is>
          <t>A 15598-2026</t>
        </is>
      </c>
      <c r="B1064" s="1" t="n">
        <v>46106.58662037037</v>
      </c>
      <c r="C1064" s="1" t="n">
        <v>46114</v>
      </c>
      <c r="D1064" t="inlineStr">
        <is>
          <t>DALARNAS LÄN</t>
        </is>
      </c>
      <c r="E1064" t="inlineStr">
        <is>
          <t>FALUN</t>
        </is>
      </c>
      <c r="F1064" t="inlineStr">
        <is>
          <t>Bergvik skog väst AB</t>
        </is>
      </c>
      <c r="G1064" t="n">
        <v>18.2</v>
      </c>
      <c r="H1064" t="n">
        <v>1</v>
      </c>
      <c r="I1064" t="n">
        <v>0</v>
      </c>
      <c r="J1064" t="n">
        <v>0</v>
      </c>
      <c r="K1064" t="n">
        <v>0</v>
      </c>
      <c r="L1064" t="n">
        <v>0</v>
      </c>
      <c r="M1064" t="n">
        <v>0</v>
      </c>
      <c r="N1064" t="n">
        <v>0</v>
      </c>
      <c r="O1064" t="n">
        <v>0</v>
      </c>
      <c r="P1064" t="n">
        <v>0</v>
      </c>
      <c r="Q1064" t="n">
        <v>1</v>
      </c>
      <c r="R1064" s="2" t="inlineStr">
        <is>
          <t>Sparvuggla</t>
        </is>
      </c>
      <c r="S1064">
        <f>HYPERLINK("https://klasma.github.io/Logging_2080/artfynd/A 15598-2026 artfynd.xlsx", "A 15598-2026")</f>
        <v/>
      </c>
      <c r="T1064">
        <f>HYPERLINK("https://klasma.github.io/Logging_2080/kartor/A 15598-2026 karta.png", "A 15598-2026")</f>
        <v/>
      </c>
      <c r="V1064">
        <f>HYPERLINK("https://klasma.github.io/Logging_2080/klagomål/A 15598-2026 FSC-klagomål.docx", "A 15598-2026")</f>
        <v/>
      </c>
      <c r="W1064">
        <f>HYPERLINK("https://klasma.github.io/Logging_2080/klagomålsmail/A 15598-2026 FSC-klagomål mail.docx", "A 15598-2026")</f>
        <v/>
      </c>
      <c r="X1064">
        <f>HYPERLINK("https://klasma.github.io/Logging_2080/tillsyn/A 15598-2026 tillsynsbegäran.docx", "A 15598-2026")</f>
        <v/>
      </c>
      <c r="Y1064">
        <f>HYPERLINK("https://klasma.github.io/Logging_2080/tillsynsmail/A 15598-2026 tillsynsbegäran mail.docx", "A 15598-2026")</f>
        <v/>
      </c>
      <c r="Z1064">
        <f>HYPERLINK("https://klasma.github.io/Logging_2080/fåglar/A 15598-2026 prioriterade fågelarter.docx", "A 15598-2026")</f>
        <v/>
      </c>
    </row>
    <row r="1065" ht="15" customHeight="1">
      <c r="A1065" t="inlineStr">
        <is>
          <t>A 16116-2024</t>
        </is>
      </c>
      <c r="B1065" s="1" t="n">
        <v>45406.48300925926</v>
      </c>
      <c r="C1065" s="1" t="n">
        <v>46114</v>
      </c>
      <c r="D1065" t="inlineStr">
        <is>
          <t>DALARNAS LÄN</t>
        </is>
      </c>
      <c r="E1065" t="inlineStr">
        <is>
          <t>RÄTTVIK</t>
        </is>
      </c>
      <c r="G1065" t="n">
        <v>19.1</v>
      </c>
      <c r="H1065" t="n">
        <v>0</v>
      </c>
      <c r="I1065" t="n">
        <v>1</v>
      </c>
      <c r="J1065" t="n">
        <v>0</v>
      </c>
      <c r="K1065" t="n">
        <v>0</v>
      </c>
      <c r="L1065" t="n">
        <v>0</v>
      </c>
      <c r="M1065" t="n">
        <v>0</v>
      </c>
      <c r="N1065" t="n">
        <v>0</v>
      </c>
      <c r="O1065" t="n">
        <v>0</v>
      </c>
      <c r="P1065" t="n">
        <v>0</v>
      </c>
      <c r="Q1065" t="n">
        <v>1</v>
      </c>
      <c r="R1065" s="2" t="inlineStr">
        <is>
          <t>Korallblylav</t>
        </is>
      </c>
      <c r="S1065">
        <f>HYPERLINK("https://klasma.github.io/Logging_2031/artfynd/A 16116-2024 artfynd.xlsx", "A 16116-2024")</f>
        <v/>
      </c>
      <c r="T1065">
        <f>HYPERLINK("https://klasma.github.io/Logging_2031/kartor/A 16116-2024 karta.png", "A 16116-2024")</f>
        <v/>
      </c>
      <c r="V1065">
        <f>HYPERLINK("https://klasma.github.io/Logging_2031/klagomål/A 16116-2024 FSC-klagomål.docx", "A 16116-2024")</f>
        <v/>
      </c>
      <c r="W1065">
        <f>HYPERLINK("https://klasma.github.io/Logging_2031/klagomålsmail/A 16116-2024 FSC-klagomål mail.docx", "A 16116-2024")</f>
        <v/>
      </c>
      <c r="X1065">
        <f>HYPERLINK("https://klasma.github.io/Logging_2031/tillsyn/A 16116-2024 tillsynsbegäran.docx", "A 16116-2024")</f>
        <v/>
      </c>
      <c r="Y1065">
        <f>HYPERLINK("https://klasma.github.io/Logging_2031/tillsynsmail/A 16116-2024 tillsynsbegäran mail.docx", "A 16116-2024")</f>
        <v/>
      </c>
    </row>
    <row r="1066" ht="15" customHeight="1">
      <c r="A1066" t="inlineStr">
        <is>
          <t>A 10071-2026</t>
        </is>
      </c>
      <c r="B1066" s="1" t="n">
        <v>46073</v>
      </c>
      <c r="C1066" s="1" t="n">
        <v>46114</v>
      </c>
      <c r="D1066" t="inlineStr">
        <is>
          <t>DALARNAS LÄN</t>
        </is>
      </c>
      <c r="E1066" t="inlineStr">
        <is>
          <t>FALUN</t>
        </is>
      </c>
      <c r="F1066" t="inlineStr">
        <is>
          <t>Bergvik skog väst AB</t>
        </is>
      </c>
      <c r="G1066" t="n">
        <v>9.699999999999999</v>
      </c>
      <c r="H1066" t="n">
        <v>0</v>
      </c>
      <c r="I1066" t="n">
        <v>0</v>
      </c>
      <c r="J1066" t="n">
        <v>1</v>
      </c>
      <c r="K1066" t="n">
        <v>0</v>
      </c>
      <c r="L1066" t="n">
        <v>0</v>
      </c>
      <c r="M1066" t="n">
        <v>0</v>
      </c>
      <c r="N1066" t="n">
        <v>0</v>
      </c>
      <c r="O1066" t="n">
        <v>1</v>
      </c>
      <c r="P1066" t="n">
        <v>0</v>
      </c>
      <c r="Q1066" t="n">
        <v>1</v>
      </c>
      <c r="R1066" s="2" t="inlineStr">
        <is>
          <t>Motaggsvamp</t>
        </is>
      </c>
      <c r="S1066">
        <f>HYPERLINK("https://klasma.github.io/Logging_2080/artfynd/A 10071-2026 artfynd.xlsx", "A 10071-2026")</f>
        <v/>
      </c>
      <c r="T1066">
        <f>HYPERLINK("https://klasma.github.io/Logging_2080/kartor/A 10071-2026 karta.png", "A 10071-2026")</f>
        <v/>
      </c>
      <c r="V1066">
        <f>HYPERLINK("https://klasma.github.io/Logging_2080/klagomål/A 10071-2026 FSC-klagomål.docx", "A 10071-2026")</f>
        <v/>
      </c>
      <c r="W1066">
        <f>HYPERLINK("https://klasma.github.io/Logging_2080/klagomålsmail/A 10071-2026 FSC-klagomål mail.docx", "A 10071-2026")</f>
        <v/>
      </c>
      <c r="X1066">
        <f>HYPERLINK("https://klasma.github.io/Logging_2080/tillsyn/A 10071-2026 tillsynsbegäran.docx", "A 10071-2026")</f>
        <v/>
      </c>
      <c r="Y1066">
        <f>HYPERLINK("https://klasma.github.io/Logging_2080/tillsynsmail/A 10071-2026 tillsynsbegäran mail.docx", "A 10071-2026")</f>
        <v/>
      </c>
    </row>
    <row r="1067" ht="15" customHeight="1">
      <c r="A1067" t="inlineStr">
        <is>
          <t>A 9695-2026</t>
        </is>
      </c>
      <c r="B1067" s="1" t="n">
        <v>46072</v>
      </c>
      <c r="C1067" s="1" t="n">
        <v>46114</v>
      </c>
      <c r="D1067" t="inlineStr">
        <is>
          <t>DALARNAS LÄN</t>
        </is>
      </c>
      <c r="E1067" t="inlineStr">
        <is>
          <t>FALUN</t>
        </is>
      </c>
      <c r="F1067" t="inlineStr">
        <is>
          <t>Bergvik skog väst AB</t>
        </is>
      </c>
      <c r="G1067" t="n">
        <v>32.8</v>
      </c>
      <c r="H1067" t="n">
        <v>0</v>
      </c>
      <c r="I1067" t="n">
        <v>0</v>
      </c>
      <c r="J1067" t="n">
        <v>0</v>
      </c>
      <c r="K1067" t="n">
        <v>0</v>
      </c>
      <c r="L1067" t="n">
        <v>1</v>
      </c>
      <c r="M1067" t="n">
        <v>0</v>
      </c>
      <c r="N1067" t="n">
        <v>0</v>
      </c>
      <c r="O1067" t="n">
        <v>1</v>
      </c>
      <c r="P1067" t="n">
        <v>1</v>
      </c>
      <c r="Q1067" t="n">
        <v>1</v>
      </c>
      <c r="R1067" s="2" t="inlineStr">
        <is>
          <t>Flodpärlmussla</t>
        </is>
      </c>
      <c r="S1067">
        <f>HYPERLINK("https://klasma.github.io/Logging_2080/artfynd/A 9695-2026 artfynd.xlsx", "A 9695-2026")</f>
        <v/>
      </c>
      <c r="T1067">
        <f>HYPERLINK("https://klasma.github.io/Logging_2080/kartor/A 9695-2026 karta.png", "A 9695-2026")</f>
        <v/>
      </c>
      <c r="V1067">
        <f>HYPERLINK("https://klasma.github.io/Logging_2080/klagomål/A 9695-2026 FSC-klagomål.docx", "A 9695-2026")</f>
        <v/>
      </c>
      <c r="W1067">
        <f>HYPERLINK("https://klasma.github.io/Logging_2080/klagomålsmail/A 9695-2026 FSC-klagomål mail.docx", "A 9695-2026")</f>
        <v/>
      </c>
      <c r="X1067">
        <f>HYPERLINK("https://klasma.github.io/Logging_2080/tillsyn/A 9695-2026 tillsynsbegäran.docx", "A 9695-2026")</f>
        <v/>
      </c>
      <c r="Y1067">
        <f>HYPERLINK("https://klasma.github.io/Logging_2080/tillsynsmail/A 9695-2026 tillsynsbegäran mail.docx", "A 9695-2026")</f>
        <v/>
      </c>
    </row>
    <row r="1068" ht="15" customHeight="1">
      <c r="A1068" t="inlineStr">
        <is>
          <t>A 63931-2025</t>
        </is>
      </c>
      <c r="B1068" s="1" t="n">
        <v>46020</v>
      </c>
      <c r="C1068" s="1" t="n">
        <v>46114</v>
      </c>
      <c r="D1068" t="inlineStr">
        <is>
          <t>DALARNAS LÄN</t>
        </is>
      </c>
      <c r="E1068" t="inlineStr">
        <is>
          <t>HEDEMORA</t>
        </is>
      </c>
      <c r="G1068" t="n">
        <v>3.5</v>
      </c>
      <c r="H1068" t="n">
        <v>1</v>
      </c>
      <c r="I1068" t="n">
        <v>0</v>
      </c>
      <c r="J1068" t="n">
        <v>0</v>
      </c>
      <c r="K1068" t="n">
        <v>1</v>
      </c>
      <c r="L1068" t="n">
        <v>0</v>
      </c>
      <c r="M1068" t="n">
        <v>0</v>
      </c>
      <c r="N1068" t="n">
        <v>0</v>
      </c>
      <c r="O1068" t="n">
        <v>1</v>
      </c>
      <c r="P1068" t="n">
        <v>1</v>
      </c>
      <c r="Q1068" t="n">
        <v>1</v>
      </c>
      <c r="R1068" s="2" t="inlineStr">
        <is>
          <t>Knärot</t>
        </is>
      </c>
      <c r="S1068">
        <f>HYPERLINK("https://klasma.github.io/Logging_2083/artfynd/A 63931-2025 artfynd.xlsx", "A 63931-2025")</f>
        <v/>
      </c>
      <c r="T1068">
        <f>HYPERLINK("https://klasma.github.io/Logging_2083/kartor/A 63931-2025 karta.png", "A 63931-2025")</f>
        <v/>
      </c>
      <c r="U1068">
        <f>HYPERLINK("https://klasma.github.io/Logging_2083/knärot/A 63931-2025 karta knärot.png", "A 63931-2025")</f>
        <v/>
      </c>
      <c r="V1068">
        <f>HYPERLINK("https://klasma.github.io/Logging_2083/klagomål/A 63931-2025 FSC-klagomål.docx", "A 63931-2025")</f>
        <v/>
      </c>
      <c r="W1068">
        <f>HYPERLINK("https://klasma.github.io/Logging_2083/klagomålsmail/A 63931-2025 FSC-klagomål mail.docx", "A 63931-2025")</f>
        <v/>
      </c>
      <c r="X1068">
        <f>HYPERLINK("https://klasma.github.io/Logging_2083/tillsyn/A 63931-2025 tillsynsbegäran.docx", "A 63931-2025")</f>
        <v/>
      </c>
      <c r="Y1068">
        <f>HYPERLINK("https://klasma.github.io/Logging_2083/tillsynsmail/A 63931-2025 tillsynsbegäran mail.docx", "A 63931-2025")</f>
        <v/>
      </c>
    </row>
    <row r="1069" ht="15" customHeight="1">
      <c r="A1069" t="inlineStr">
        <is>
          <t>A 52601-2024</t>
        </is>
      </c>
      <c r="B1069" s="1" t="n">
        <v>45609</v>
      </c>
      <c r="C1069" s="1" t="n">
        <v>46114</v>
      </c>
      <c r="D1069" t="inlineStr">
        <is>
          <t>DALARNAS LÄN</t>
        </is>
      </c>
      <c r="E1069" t="inlineStr">
        <is>
          <t>SMEDJEBACKEN</t>
        </is>
      </c>
      <c r="F1069" t="inlineStr">
        <is>
          <t>Bergvik skog väst AB</t>
        </is>
      </c>
      <c r="G1069" t="n">
        <v>47.9</v>
      </c>
      <c r="H1069" t="n">
        <v>0</v>
      </c>
      <c r="I1069" t="n">
        <v>0</v>
      </c>
      <c r="J1069" t="n">
        <v>1</v>
      </c>
      <c r="K1069" t="n">
        <v>0</v>
      </c>
      <c r="L1069" t="n">
        <v>0</v>
      </c>
      <c r="M1069" t="n">
        <v>0</v>
      </c>
      <c r="N1069" t="n">
        <v>0</v>
      </c>
      <c r="O1069" t="n">
        <v>1</v>
      </c>
      <c r="P1069" t="n">
        <v>0</v>
      </c>
      <c r="Q1069" t="n">
        <v>1</v>
      </c>
      <c r="R1069" s="2" t="inlineStr">
        <is>
          <t>Tallticka</t>
        </is>
      </c>
      <c r="S1069">
        <f>HYPERLINK("https://klasma.github.io/Logging_2061/artfynd/A 52601-2024 artfynd.xlsx", "A 52601-2024")</f>
        <v/>
      </c>
      <c r="T1069">
        <f>HYPERLINK("https://klasma.github.io/Logging_2061/kartor/A 52601-2024 karta.png", "A 52601-2024")</f>
        <v/>
      </c>
      <c r="U1069">
        <f>HYPERLINK("https://klasma.github.io/Logging_2061/knärot/A 52601-2024 karta knärot.png", "A 52601-2024")</f>
        <v/>
      </c>
      <c r="V1069">
        <f>HYPERLINK("https://klasma.github.io/Logging_2061/klagomål/A 52601-2024 FSC-klagomål.docx", "A 52601-2024")</f>
        <v/>
      </c>
      <c r="W1069">
        <f>HYPERLINK("https://klasma.github.io/Logging_2061/klagomålsmail/A 52601-2024 FSC-klagomål mail.docx", "A 52601-2024")</f>
        <v/>
      </c>
      <c r="X1069">
        <f>HYPERLINK("https://klasma.github.io/Logging_2061/tillsyn/A 52601-2024 tillsynsbegäran.docx", "A 52601-2024")</f>
        <v/>
      </c>
      <c r="Y1069">
        <f>HYPERLINK("https://klasma.github.io/Logging_2061/tillsynsmail/A 52601-2024 tillsynsbegäran mail.docx", "A 52601-2024")</f>
        <v/>
      </c>
    </row>
    <row r="1070" ht="15" customHeight="1">
      <c r="A1070" t="inlineStr">
        <is>
          <t>A 6820-2026</t>
        </is>
      </c>
      <c r="B1070" s="1" t="n">
        <v>46057.38668981481</v>
      </c>
      <c r="C1070" s="1" t="n">
        <v>46114</v>
      </c>
      <c r="D1070" t="inlineStr">
        <is>
          <t>DALARNAS LÄN</t>
        </is>
      </c>
      <c r="E1070" t="inlineStr">
        <is>
          <t>ÄLVDALEN</t>
        </is>
      </c>
      <c r="G1070" t="n">
        <v>0.8</v>
      </c>
      <c r="H1070" t="n">
        <v>1</v>
      </c>
      <c r="I1070" t="n">
        <v>0</v>
      </c>
      <c r="J1070" t="n">
        <v>1</v>
      </c>
      <c r="K1070" t="n">
        <v>0</v>
      </c>
      <c r="L1070" t="n">
        <v>0</v>
      </c>
      <c r="M1070" t="n">
        <v>0</v>
      </c>
      <c r="N1070" t="n">
        <v>0</v>
      </c>
      <c r="O1070" t="n">
        <v>1</v>
      </c>
      <c r="P1070" t="n">
        <v>0</v>
      </c>
      <c r="Q1070" t="n">
        <v>1</v>
      </c>
      <c r="R1070" s="2" t="inlineStr">
        <is>
          <t>Spillkråka</t>
        </is>
      </c>
      <c r="S1070">
        <f>HYPERLINK("https://klasma.github.io/Logging_2039/artfynd/A 6820-2026 artfynd.xlsx", "A 6820-2026")</f>
        <v/>
      </c>
      <c r="T1070">
        <f>HYPERLINK("https://klasma.github.io/Logging_2039/kartor/A 6820-2026 karta.png", "A 6820-2026")</f>
        <v/>
      </c>
      <c r="V1070">
        <f>HYPERLINK("https://klasma.github.io/Logging_2039/klagomål/A 6820-2026 FSC-klagomål.docx", "A 6820-2026")</f>
        <v/>
      </c>
      <c r="W1070">
        <f>HYPERLINK("https://klasma.github.io/Logging_2039/klagomålsmail/A 6820-2026 FSC-klagomål mail.docx", "A 6820-2026")</f>
        <v/>
      </c>
      <c r="X1070">
        <f>HYPERLINK("https://klasma.github.io/Logging_2039/tillsyn/A 6820-2026 tillsynsbegäran.docx", "A 6820-2026")</f>
        <v/>
      </c>
      <c r="Y1070">
        <f>HYPERLINK("https://klasma.github.io/Logging_2039/tillsynsmail/A 6820-2026 tillsynsbegäran mail.docx", "A 6820-2026")</f>
        <v/>
      </c>
      <c r="Z1070">
        <f>HYPERLINK("https://klasma.github.io/Logging_2039/fåglar/A 6820-2026 prioriterade fågelarter.docx", "A 6820-2026")</f>
        <v/>
      </c>
    </row>
    <row r="1071" ht="15" customHeight="1">
      <c r="A1071" t="inlineStr">
        <is>
          <t>A 16285-2026</t>
        </is>
      </c>
      <c r="B1071" s="1" t="n">
        <v>46111.49975694445</v>
      </c>
      <c r="C1071" s="1" t="n">
        <v>46114</v>
      </c>
      <c r="D1071" t="inlineStr">
        <is>
          <t>DALARNAS LÄN</t>
        </is>
      </c>
      <c r="E1071" t="inlineStr">
        <is>
          <t>ORSA</t>
        </is>
      </c>
      <c r="F1071" t="inlineStr">
        <is>
          <t>Bergvik skog öst AB</t>
        </is>
      </c>
      <c r="G1071" t="n">
        <v>6.2</v>
      </c>
      <c r="H1071" t="n">
        <v>1</v>
      </c>
      <c r="I1071" t="n">
        <v>0</v>
      </c>
      <c r="J1071" t="n">
        <v>0</v>
      </c>
      <c r="K1071" t="n">
        <v>0</v>
      </c>
      <c r="L1071" t="n">
        <v>1</v>
      </c>
      <c r="M1071" t="n">
        <v>0</v>
      </c>
      <c r="N1071" t="n">
        <v>0</v>
      </c>
      <c r="O1071" t="n">
        <v>1</v>
      </c>
      <c r="P1071" t="n">
        <v>1</v>
      </c>
      <c r="Q1071" t="n">
        <v>1</v>
      </c>
      <c r="R1071" s="2" t="inlineStr">
        <is>
          <t>Mosippa</t>
        </is>
      </c>
      <c r="S1071">
        <f>HYPERLINK("https://klasma.github.io/Logging_2034/artfynd/A 16285-2026 artfynd.xlsx", "A 16285-2026")</f>
        <v/>
      </c>
      <c r="T1071">
        <f>HYPERLINK("https://klasma.github.io/Logging_2034/kartor/A 16285-2026 karta.png", "A 16285-2026")</f>
        <v/>
      </c>
      <c r="V1071">
        <f>HYPERLINK("https://klasma.github.io/Logging_2034/klagomål/A 16285-2026 FSC-klagomål.docx", "A 16285-2026")</f>
        <v/>
      </c>
      <c r="W1071">
        <f>HYPERLINK("https://klasma.github.io/Logging_2034/klagomålsmail/A 16285-2026 FSC-klagomål mail.docx", "A 16285-2026")</f>
        <v/>
      </c>
      <c r="X1071">
        <f>HYPERLINK("https://klasma.github.io/Logging_2034/tillsyn/A 16285-2026 tillsynsbegäran.docx", "A 16285-2026")</f>
        <v/>
      </c>
      <c r="Y1071">
        <f>HYPERLINK("https://klasma.github.io/Logging_2034/tillsynsmail/A 16285-2026 tillsynsbegäran mail.docx", "A 16285-2026")</f>
        <v/>
      </c>
    </row>
    <row r="1072" ht="15" customHeight="1">
      <c r="A1072" t="inlineStr">
        <is>
          <t>A 45344-2024</t>
        </is>
      </c>
      <c r="B1072" s="1" t="n">
        <v>45576</v>
      </c>
      <c r="C1072" s="1" t="n">
        <v>46114</v>
      </c>
      <c r="D1072" t="inlineStr">
        <is>
          <t>DALARNAS LÄN</t>
        </is>
      </c>
      <c r="E1072" t="inlineStr">
        <is>
          <t>MORA</t>
        </is>
      </c>
      <c r="G1072" t="n">
        <v>0.9</v>
      </c>
      <c r="H1072" t="n">
        <v>0</v>
      </c>
      <c r="I1072" t="n">
        <v>0</v>
      </c>
      <c r="J1072" t="n">
        <v>1</v>
      </c>
      <c r="K1072" t="n">
        <v>0</v>
      </c>
      <c r="L1072" t="n">
        <v>0</v>
      </c>
      <c r="M1072" t="n">
        <v>0</v>
      </c>
      <c r="N1072" t="n">
        <v>0</v>
      </c>
      <c r="O1072" t="n">
        <v>1</v>
      </c>
      <c r="P1072" t="n">
        <v>0</v>
      </c>
      <c r="Q1072" t="n">
        <v>1</v>
      </c>
      <c r="R1072" s="2" t="inlineStr">
        <is>
          <t>Garnlav</t>
        </is>
      </c>
      <c r="S1072">
        <f>HYPERLINK("https://klasma.github.io/Logging_2062/artfynd/A 45344-2024 artfynd.xlsx", "A 45344-2024")</f>
        <v/>
      </c>
      <c r="T1072">
        <f>HYPERLINK("https://klasma.github.io/Logging_2062/kartor/A 45344-2024 karta.png", "A 45344-2024")</f>
        <v/>
      </c>
      <c r="V1072">
        <f>HYPERLINK("https://klasma.github.io/Logging_2062/klagomål/A 45344-2024 FSC-klagomål.docx", "A 45344-2024")</f>
        <v/>
      </c>
      <c r="W1072">
        <f>HYPERLINK("https://klasma.github.io/Logging_2062/klagomålsmail/A 45344-2024 FSC-klagomål mail.docx", "A 45344-2024")</f>
        <v/>
      </c>
      <c r="X1072">
        <f>HYPERLINK("https://klasma.github.io/Logging_2062/tillsyn/A 45344-2024 tillsynsbegäran.docx", "A 45344-2024")</f>
        <v/>
      </c>
      <c r="Y1072">
        <f>HYPERLINK("https://klasma.github.io/Logging_2062/tillsynsmail/A 45344-2024 tillsynsbegäran mail.docx", "A 45344-2024")</f>
        <v/>
      </c>
    </row>
    <row r="1073" ht="15" customHeight="1">
      <c r="A1073" t="inlineStr">
        <is>
          <t>A 8764-2026</t>
        </is>
      </c>
      <c r="B1073" s="1" t="n">
        <v>46066</v>
      </c>
      <c r="C1073" s="1" t="n">
        <v>46114</v>
      </c>
      <c r="D1073" t="inlineStr">
        <is>
          <t>DALARNAS LÄN</t>
        </is>
      </c>
      <c r="E1073" t="inlineStr">
        <is>
          <t>RÄTTVIK</t>
        </is>
      </c>
      <c r="G1073" t="n">
        <v>0.2</v>
      </c>
      <c r="H1073" t="n">
        <v>0</v>
      </c>
      <c r="I1073" t="n">
        <v>0</v>
      </c>
      <c r="J1073" t="n">
        <v>1</v>
      </c>
      <c r="K1073" t="n">
        <v>0</v>
      </c>
      <c r="L1073" t="n">
        <v>0</v>
      </c>
      <c r="M1073" t="n">
        <v>0</v>
      </c>
      <c r="N1073" t="n">
        <v>0</v>
      </c>
      <c r="O1073" t="n">
        <v>1</v>
      </c>
      <c r="P1073" t="n">
        <v>0</v>
      </c>
      <c r="Q1073" t="n">
        <v>1</v>
      </c>
      <c r="R1073" s="2" t="inlineStr">
        <is>
          <t>Skrovlig taggsvamp</t>
        </is>
      </c>
      <c r="S1073">
        <f>HYPERLINK("https://klasma.github.io/Logging_2031/artfynd/A 8764-2026 artfynd.xlsx", "A 8764-2026")</f>
        <v/>
      </c>
      <c r="T1073">
        <f>HYPERLINK("https://klasma.github.io/Logging_2031/kartor/A 8764-2026 karta.png", "A 8764-2026")</f>
        <v/>
      </c>
      <c r="V1073">
        <f>HYPERLINK("https://klasma.github.io/Logging_2031/klagomål/A 8764-2026 FSC-klagomål.docx", "A 8764-2026")</f>
        <v/>
      </c>
      <c r="W1073">
        <f>HYPERLINK("https://klasma.github.io/Logging_2031/klagomålsmail/A 8764-2026 FSC-klagomål mail.docx", "A 8764-2026")</f>
        <v/>
      </c>
      <c r="X1073">
        <f>HYPERLINK("https://klasma.github.io/Logging_2031/tillsyn/A 8764-2026 tillsynsbegäran.docx", "A 8764-2026")</f>
        <v/>
      </c>
      <c r="Y1073">
        <f>HYPERLINK("https://klasma.github.io/Logging_2031/tillsynsmail/A 8764-2026 tillsynsbegäran mail.docx", "A 8764-2026")</f>
        <v/>
      </c>
    </row>
    <row r="1074" ht="15" customHeight="1">
      <c r="A1074" t="inlineStr">
        <is>
          <t>A 5666-2025</t>
        </is>
      </c>
      <c r="B1074" s="1" t="n">
        <v>45693</v>
      </c>
      <c r="C1074" s="1" t="n">
        <v>46114</v>
      </c>
      <c r="D1074" t="inlineStr">
        <is>
          <t>DALARNAS LÄN</t>
        </is>
      </c>
      <c r="E1074" t="inlineStr">
        <is>
          <t>FALUN</t>
        </is>
      </c>
      <c r="G1074" t="n">
        <v>1.5</v>
      </c>
      <c r="H1074" t="n">
        <v>1</v>
      </c>
      <c r="I1074" t="n">
        <v>0</v>
      </c>
      <c r="J1074" t="n">
        <v>0</v>
      </c>
      <c r="K1074" t="n">
        <v>1</v>
      </c>
      <c r="L1074" t="n">
        <v>0</v>
      </c>
      <c r="M1074" t="n">
        <v>0</v>
      </c>
      <c r="N1074" t="n">
        <v>0</v>
      </c>
      <c r="O1074" t="n">
        <v>1</v>
      </c>
      <c r="P1074" t="n">
        <v>1</v>
      </c>
      <c r="Q1074" t="n">
        <v>1</v>
      </c>
      <c r="R1074" s="2" t="inlineStr">
        <is>
          <t>Knärot</t>
        </is>
      </c>
      <c r="S1074">
        <f>HYPERLINK("https://klasma.github.io/Logging_2080/artfynd/A 5666-2025 artfynd.xlsx", "A 5666-2025")</f>
        <v/>
      </c>
      <c r="T1074">
        <f>HYPERLINK("https://klasma.github.io/Logging_2080/kartor/A 5666-2025 karta.png", "A 5666-2025")</f>
        <v/>
      </c>
      <c r="U1074">
        <f>HYPERLINK("https://klasma.github.io/Logging_2080/knärot/A 5666-2025 karta knärot.png", "A 5666-2025")</f>
        <v/>
      </c>
      <c r="V1074">
        <f>HYPERLINK("https://klasma.github.io/Logging_2080/klagomål/A 5666-2025 FSC-klagomål.docx", "A 5666-2025")</f>
        <v/>
      </c>
      <c r="W1074">
        <f>HYPERLINK("https://klasma.github.io/Logging_2080/klagomålsmail/A 5666-2025 FSC-klagomål mail.docx", "A 5666-2025")</f>
        <v/>
      </c>
      <c r="X1074">
        <f>HYPERLINK("https://klasma.github.io/Logging_2080/tillsyn/A 5666-2025 tillsynsbegäran.docx", "A 5666-2025")</f>
        <v/>
      </c>
      <c r="Y1074">
        <f>HYPERLINK("https://klasma.github.io/Logging_2080/tillsynsmail/A 5666-2025 tillsynsbegäran mail.docx", "A 5666-2025")</f>
        <v/>
      </c>
    </row>
    <row r="1075" ht="15" customHeight="1">
      <c r="A1075" t="inlineStr">
        <is>
          <t>A 676-2026</t>
        </is>
      </c>
      <c r="B1075" s="1" t="n">
        <v>46029.59697916666</v>
      </c>
      <c r="C1075" s="1" t="n">
        <v>46114</v>
      </c>
      <c r="D1075" t="inlineStr">
        <is>
          <t>DALARNAS LÄN</t>
        </is>
      </c>
      <c r="E1075" t="inlineStr">
        <is>
          <t>GAGNEF</t>
        </is>
      </c>
      <c r="G1075" t="n">
        <v>4.5</v>
      </c>
      <c r="H1075" t="n">
        <v>0</v>
      </c>
      <c r="I1075" t="n">
        <v>0</v>
      </c>
      <c r="J1075" t="n">
        <v>1</v>
      </c>
      <c r="K1075" t="n">
        <v>0</v>
      </c>
      <c r="L1075" t="n">
        <v>0</v>
      </c>
      <c r="M1075" t="n">
        <v>0</v>
      </c>
      <c r="N1075" t="n">
        <v>0</v>
      </c>
      <c r="O1075" t="n">
        <v>1</v>
      </c>
      <c r="P1075" t="n">
        <v>0</v>
      </c>
      <c r="Q1075" t="n">
        <v>1</v>
      </c>
      <c r="R1075" s="2" t="inlineStr">
        <is>
          <t>Garnlav</t>
        </is>
      </c>
      <c r="S1075">
        <f>HYPERLINK("https://klasma.github.io/Logging_2026/artfynd/A 676-2026 artfynd.xlsx", "A 676-2026")</f>
        <v/>
      </c>
      <c r="T1075">
        <f>HYPERLINK("https://klasma.github.io/Logging_2026/kartor/A 676-2026 karta.png", "A 676-2026")</f>
        <v/>
      </c>
      <c r="V1075">
        <f>HYPERLINK("https://klasma.github.io/Logging_2026/klagomål/A 676-2026 FSC-klagomål.docx", "A 676-2026")</f>
        <v/>
      </c>
      <c r="W1075">
        <f>HYPERLINK("https://klasma.github.io/Logging_2026/klagomålsmail/A 676-2026 FSC-klagomål mail.docx", "A 676-2026")</f>
        <v/>
      </c>
      <c r="X1075">
        <f>HYPERLINK("https://klasma.github.io/Logging_2026/tillsyn/A 676-2026 tillsynsbegäran.docx", "A 676-2026")</f>
        <v/>
      </c>
      <c r="Y1075">
        <f>HYPERLINK("https://klasma.github.io/Logging_2026/tillsynsmail/A 676-2026 tillsynsbegäran mail.docx", "A 676-2026")</f>
        <v/>
      </c>
    </row>
    <row r="1076" ht="15" customHeight="1">
      <c r="A1076" t="inlineStr">
        <is>
          <t>A 49660-2024</t>
        </is>
      </c>
      <c r="B1076" s="1" t="n">
        <v>45596.63347222222</v>
      </c>
      <c r="C1076" s="1" t="n">
        <v>46114</v>
      </c>
      <c r="D1076" t="inlineStr">
        <is>
          <t>DALARNAS LÄN</t>
        </is>
      </c>
      <c r="E1076" t="inlineStr">
        <is>
          <t>LUDVIKA</t>
        </is>
      </c>
      <c r="F1076" t="inlineStr">
        <is>
          <t>Bergvik skog väst AB</t>
        </is>
      </c>
      <c r="G1076" t="n">
        <v>0.9</v>
      </c>
      <c r="H1076" t="n">
        <v>0</v>
      </c>
      <c r="I1076" t="n">
        <v>1</v>
      </c>
      <c r="J1076" t="n">
        <v>0</v>
      </c>
      <c r="K1076" t="n">
        <v>0</v>
      </c>
      <c r="L1076" t="n">
        <v>0</v>
      </c>
      <c r="M1076" t="n">
        <v>0</v>
      </c>
      <c r="N1076" t="n">
        <v>0</v>
      </c>
      <c r="O1076" t="n">
        <v>0</v>
      </c>
      <c r="P1076" t="n">
        <v>0</v>
      </c>
      <c r="Q1076" t="n">
        <v>1</v>
      </c>
      <c r="R1076" s="2" t="inlineStr">
        <is>
          <t>Mörk husmossa</t>
        </is>
      </c>
      <c r="S1076">
        <f>HYPERLINK("https://klasma.github.io/Logging_2085/artfynd/A 49660-2024 artfynd.xlsx", "A 49660-2024")</f>
        <v/>
      </c>
      <c r="T1076">
        <f>HYPERLINK("https://klasma.github.io/Logging_2085/kartor/A 49660-2024 karta.png", "A 49660-2024")</f>
        <v/>
      </c>
      <c r="V1076">
        <f>HYPERLINK("https://klasma.github.io/Logging_2085/klagomål/A 49660-2024 FSC-klagomål.docx", "A 49660-2024")</f>
        <v/>
      </c>
      <c r="W1076">
        <f>HYPERLINK("https://klasma.github.io/Logging_2085/klagomålsmail/A 49660-2024 FSC-klagomål mail.docx", "A 49660-2024")</f>
        <v/>
      </c>
      <c r="X1076">
        <f>HYPERLINK("https://klasma.github.io/Logging_2085/tillsyn/A 49660-2024 tillsynsbegäran.docx", "A 49660-2024")</f>
        <v/>
      </c>
      <c r="Y1076">
        <f>HYPERLINK("https://klasma.github.io/Logging_2085/tillsynsmail/A 49660-2024 tillsynsbegäran mail.docx", "A 49660-2024")</f>
        <v/>
      </c>
    </row>
    <row r="1077" ht="15" customHeight="1">
      <c r="A1077" t="inlineStr">
        <is>
          <t>A 14992-2026</t>
        </is>
      </c>
      <c r="B1077" s="1" t="n">
        <v>46104</v>
      </c>
      <c r="C1077" s="1" t="n">
        <v>46114</v>
      </c>
      <c r="D1077" t="inlineStr">
        <is>
          <t>DALARNAS LÄN</t>
        </is>
      </c>
      <c r="E1077" t="inlineStr">
        <is>
          <t>RÄTTVIK</t>
        </is>
      </c>
      <c r="G1077" t="n">
        <v>17.7</v>
      </c>
      <c r="H1077" t="n">
        <v>1</v>
      </c>
      <c r="I1077" t="n">
        <v>0</v>
      </c>
      <c r="J1077" t="n">
        <v>0</v>
      </c>
      <c r="K1077" t="n">
        <v>1</v>
      </c>
      <c r="L1077" t="n">
        <v>0</v>
      </c>
      <c r="M1077" t="n">
        <v>0</v>
      </c>
      <c r="N1077" t="n">
        <v>0</v>
      </c>
      <c r="O1077" t="n">
        <v>1</v>
      </c>
      <c r="P1077" t="n">
        <v>1</v>
      </c>
      <c r="Q1077" t="n">
        <v>1</v>
      </c>
      <c r="R1077" s="2" t="inlineStr">
        <is>
          <t>Väddnätfjäril</t>
        </is>
      </c>
      <c r="S1077">
        <f>HYPERLINK("https://klasma.github.io/Logging_2031/artfynd/A 14992-2026 artfynd.xlsx", "A 14992-2026")</f>
        <v/>
      </c>
      <c r="T1077">
        <f>HYPERLINK("https://klasma.github.io/Logging_2031/kartor/A 14992-2026 karta.png", "A 14992-2026")</f>
        <v/>
      </c>
      <c r="V1077">
        <f>HYPERLINK("https://klasma.github.io/Logging_2031/klagomål/A 14992-2026 FSC-klagomål.docx", "A 14992-2026")</f>
        <v/>
      </c>
      <c r="W1077">
        <f>HYPERLINK("https://klasma.github.io/Logging_2031/klagomålsmail/A 14992-2026 FSC-klagomål mail.docx", "A 14992-2026")</f>
        <v/>
      </c>
      <c r="X1077">
        <f>HYPERLINK("https://klasma.github.io/Logging_2031/tillsyn/A 14992-2026 tillsynsbegäran.docx", "A 14992-2026")</f>
        <v/>
      </c>
      <c r="Y1077">
        <f>HYPERLINK("https://klasma.github.io/Logging_2031/tillsynsmail/A 14992-2026 tillsynsbegäran mail.docx", "A 14992-2026")</f>
        <v/>
      </c>
    </row>
    <row r="1078" ht="15" customHeight="1">
      <c r="A1078" t="inlineStr">
        <is>
          <t>A 15036-2026</t>
        </is>
      </c>
      <c r="B1078" s="1" t="n">
        <v>46104</v>
      </c>
      <c r="C1078" s="1" t="n">
        <v>46114</v>
      </c>
      <c r="D1078" t="inlineStr">
        <is>
          <t>DALARNAS LÄN</t>
        </is>
      </c>
      <c r="E1078" t="inlineStr">
        <is>
          <t>MALUNG-SÄLEN</t>
        </is>
      </c>
      <c r="G1078" t="n">
        <v>1.8</v>
      </c>
      <c r="H1078" t="n">
        <v>0</v>
      </c>
      <c r="I1078" t="n">
        <v>1</v>
      </c>
      <c r="J1078" t="n">
        <v>0</v>
      </c>
      <c r="K1078" t="n">
        <v>0</v>
      </c>
      <c r="L1078" t="n">
        <v>0</v>
      </c>
      <c r="M1078" t="n">
        <v>0</v>
      </c>
      <c r="N1078" t="n">
        <v>0</v>
      </c>
      <c r="O1078" t="n">
        <v>0</v>
      </c>
      <c r="P1078" t="n">
        <v>0</v>
      </c>
      <c r="Q1078" t="n">
        <v>1</v>
      </c>
      <c r="R1078" s="2" t="inlineStr">
        <is>
          <t>Stuplav</t>
        </is>
      </c>
      <c r="S1078">
        <f>HYPERLINK("https://klasma.github.io/Logging_2023/artfynd/A 15036-2026 artfynd.xlsx", "A 15036-2026")</f>
        <v/>
      </c>
      <c r="T1078">
        <f>HYPERLINK("https://klasma.github.io/Logging_2023/kartor/A 15036-2026 karta.png", "A 15036-2026")</f>
        <v/>
      </c>
      <c r="V1078">
        <f>HYPERLINK("https://klasma.github.io/Logging_2023/klagomål/A 15036-2026 FSC-klagomål.docx", "A 15036-2026")</f>
        <v/>
      </c>
      <c r="W1078">
        <f>HYPERLINK("https://klasma.github.io/Logging_2023/klagomålsmail/A 15036-2026 FSC-klagomål mail.docx", "A 15036-2026")</f>
        <v/>
      </c>
      <c r="X1078">
        <f>HYPERLINK("https://klasma.github.io/Logging_2023/tillsyn/A 15036-2026 tillsynsbegäran.docx", "A 15036-2026")</f>
        <v/>
      </c>
      <c r="Y1078">
        <f>HYPERLINK("https://klasma.github.io/Logging_2023/tillsynsmail/A 15036-2026 tillsynsbegäran mail.docx", "A 15036-2026")</f>
        <v/>
      </c>
    </row>
    <row r="1079" ht="15" customHeight="1">
      <c r="A1079" t="inlineStr">
        <is>
          <t>A 11218-2023</t>
        </is>
      </c>
      <c r="B1079" s="1" t="n">
        <v>44992.62401620371</v>
      </c>
      <c r="C1079" s="1" t="n">
        <v>46114</v>
      </c>
      <c r="D1079" t="inlineStr">
        <is>
          <t>DALARNAS LÄN</t>
        </is>
      </c>
      <c r="E1079" t="inlineStr">
        <is>
          <t>LEKSAND</t>
        </is>
      </c>
      <c r="G1079" t="n">
        <v>2.6</v>
      </c>
      <c r="H1079" t="n">
        <v>1</v>
      </c>
      <c r="I1079" t="n">
        <v>0</v>
      </c>
      <c r="J1079" t="n">
        <v>0</v>
      </c>
      <c r="K1079" t="n">
        <v>1</v>
      </c>
      <c r="L1079" t="n">
        <v>0</v>
      </c>
      <c r="M1079" t="n">
        <v>0</v>
      </c>
      <c r="N1079" t="n">
        <v>0</v>
      </c>
      <c r="O1079" t="n">
        <v>1</v>
      </c>
      <c r="P1079" t="n">
        <v>1</v>
      </c>
      <c r="Q1079" t="n">
        <v>1</v>
      </c>
      <c r="R1079" s="2" t="inlineStr">
        <is>
          <t>Knärot</t>
        </is>
      </c>
      <c r="S1079">
        <f>HYPERLINK("https://klasma.github.io/Logging_2029/artfynd/A 11218-2023 artfynd.xlsx", "A 11218-2023")</f>
        <v/>
      </c>
      <c r="T1079">
        <f>HYPERLINK("https://klasma.github.io/Logging_2029/kartor/A 11218-2023 karta.png", "A 11218-2023")</f>
        <v/>
      </c>
      <c r="U1079">
        <f>HYPERLINK("https://klasma.github.io/Logging_2029/knärot/A 11218-2023 karta knärot.png", "A 11218-2023")</f>
        <v/>
      </c>
      <c r="V1079">
        <f>HYPERLINK("https://klasma.github.io/Logging_2029/klagomål/A 11218-2023 FSC-klagomål.docx", "A 11218-2023")</f>
        <v/>
      </c>
      <c r="W1079">
        <f>HYPERLINK("https://klasma.github.io/Logging_2029/klagomålsmail/A 11218-2023 FSC-klagomål mail.docx", "A 11218-2023")</f>
        <v/>
      </c>
      <c r="X1079">
        <f>HYPERLINK("https://klasma.github.io/Logging_2029/tillsyn/A 11218-2023 tillsynsbegäran.docx", "A 11218-2023")</f>
        <v/>
      </c>
      <c r="Y1079">
        <f>HYPERLINK("https://klasma.github.io/Logging_2029/tillsynsmail/A 11218-2023 tillsynsbegäran mail.docx", "A 11218-2023")</f>
        <v/>
      </c>
    </row>
    <row r="1080" ht="15" customHeight="1">
      <c r="A1080" t="inlineStr">
        <is>
          <t>A 9317-2026</t>
        </is>
      </c>
      <c r="B1080" s="1" t="n">
        <v>46070.62511574074</v>
      </c>
      <c r="C1080" s="1" t="n">
        <v>46114</v>
      </c>
      <c r="D1080" t="inlineStr">
        <is>
          <t>DALARNAS LÄN</t>
        </is>
      </c>
      <c r="E1080" t="inlineStr">
        <is>
          <t>BORLÄNGE</t>
        </is>
      </c>
      <c r="F1080" t="inlineStr">
        <is>
          <t>Bergvik skog väst AB</t>
        </is>
      </c>
      <c r="G1080" t="n">
        <v>17.5</v>
      </c>
      <c r="H1080" t="n">
        <v>0</v>
      </c>
      <c r="I1080" t="n">
        <v>0</v>
      </c>
      <c r="J1080" t="n">
        <v>1</v>
      </c>
      <c r="K1080" t="n">
        <v>0</v>
      </c>
      <c r="L1080" t="n">
        <v>0</v>
      </c>
      <c r="M1080" t="n">
        <v>0</v>
      </c>
      <c r="N1080" t="n">
        <v>0</v>
      </c>
      <c r="O1080" t="n">
        <v>1</v>
      </c>
      <c r="P1080" t="n">
        <v>0</v>
      </c>
      <c r="Q1080" t="n">
        <v>1</v>
      </c>
      <c r="R1080" s="2" t="inlineStr">
        <is>
          <t>Blanksvart spiklav</t>
        </is>
      </c>
      <c r="S1080">
        <f>HYPERLINK("https://klasma.github.io/Logging_2081/artfynd/A 9317-2026 artfynd.xlsx", "A 9317-2026")</f>
        <v/>
      </c>
      <c r="T1080">
        <f>HYPERLINK("https://klasma.github.io/Logging_2081/kartor/A 9317-2026 karta.png", "A 9317-2026")</f>
        <v/>
      </c>
      <c r="V1080">
        <f>HYPERLINK("https://klasma.github.io/Logging_2081/klagomål/A 9317-2026 FSC-klagomål.docx", "A 9317-2026")</f>
        <v/>
      </c>
      <c r="W1080">
        <f>HYPERLINK("https://klasma.github.io/Logging_2081/klagomålsmail/A 9317-2026 FSC-klagomål mail.docx", "A 9317-2026")</f>
        <v/>
      </c>
      <c r="X1080">
        <f>HYPERLINK("https://klasma.github.io/Logging_2081/tillsyn/A 9317-2026 tillsynsbegäran.docx", "A 9317-2026")</f>
        <v/>
      </c>
      <c r="Y1080">
        <f>HYPERLINK("https://klasma.github.io/Logging_2081/tillsynsmail/A 9317-2026 tillsynsbegäran mail.docx", "A 9317-2026")</f>
        <v/>
      </c>
    </row>
    <row r="1081" ht="15" customHeight="1">
      <c r="A1081" t="inlineStr">
        <is>
          <t>A 30328-2021</t>
        </is>
      </c>
      <c r="B1081" s="1" t="n">
        <v>44364</v>
      </c>
      <c r="C1081" s="1" t="n">
        <v>46114</v>
      </c>
      <c r="D1081" t="inlineStr">
        <is>
          <t>DALARNAS LÄN</t>
        </is>
      </c>
      <c r="E1081" t="inlineStr">
        <is>
          <t>MORA</t>
        </is>
      </c>
      <c r="F1081" t="inlineStr">
        <is>
          <t>Bergvik skog öst AB</t>
        </is>
      </c>
      <c r="G1081" t="n">
        <v>1.1</v>
      </c>
      <c r="H1081" t="n">
        <v>1</v>
      </c>
      <c r="I1081" t="n">
        <v>0</v>
      </c>
      <c r="J1081" t="n">
        <v>1</v>
      </c>
      <c r="K1081" t="n">
        <v>0</v>
      </c>
      <c r="L1081" t="n">
        <v>0</v>
      </c>
      <c r="M1081" t="n">
        <v>0</v>
      </c>
      <c r="N1081" t="n">
        <v>0</v>
      </c>
      <c r="O1081" t="n">
        <v>1</v>
      </c>
      <c r="P1081" t="n">
        <v>0</v>
      </c>
      <c r="Q1081" t="n">
        <v>1</v>
      </c>
      <c r="R1081" s="2" t="inlineStr">
        <is>
          <t>Fjällvråk</t>
        </is>
      </c>
      <c r="S1081">
        <f>HYPERLINK("https://klasma.github.io/Logging_2062/artfynd/A 30328-2021 artfynd.xlsx", "A 30328-2021")</f>
        <v/>
      </c>
      <c r="T1081">
        <f>HYPERLINK("https://klasma.github.io/Logging_2062/kartor/A 30328-2021 karta.png", "A 30328-2021")</f>
        <v/>
      </c>
      <c r="V1081">
        <f>HYPERLINK("https://klasma.github.io/Logging_2062/klagomål/A 30328-2021 FSC-klagomål.docx", "A 30328-2021")</f>
        <v/>
      </c>
      <c r="W1081">
        <f>HYPERLINK("https://klasma.github.io/Logging_2062/klagomålsmail/A 30328-2021 FSC-klagomål mail.docx", "A 30328-2021")</f>
        <v/>
      </c>
      <c r="X1081">
        <f>HYPERLINK("https://klasma.github.io/Logging_2062/tillsyn/A 30328-2021 tillsynsbegäran.docx", "A 30328-2021")</f>
        <v/>
      </c>
      <c r="Y1081">
        <f>HYPERLINK("https://klasma.github.io/Logging_2062/tillsynsmail/A 30328-2021 tillsynsbegäran mail.docx", "A 30328-2021")</f>
        <v/>
      </c>
      <c r="Z1081">
        <f>HYPERLINK("https://klasma.github.io/Logging_2062/fåglar/A 30328-2021 prioriterade fågelarter.docx", "A 30328-2021")</f>
        <v/>
      </c>
    </row>
    <row r="1082" ht="15" customHeight="1">
      <c r="A1082" t="inlineStr">
        <is>
          <t>A 9063-2025</t>
        </is>
      </c>
      <c r="B1082" s="1" t="n">
        <v>45713</v>
      </c>
      <c r="C1082" s="1" t="n">
        <v>46114</v>
      </c>
      <c r="D1082" t="inlineStr">
        <is>
          <t>DALARNAS LÄN</t>
        </is>
      </c>
      <c r="E1082" t="inlineStr">
        <is>
          <t>MALUNG-SÄLEN</t>
        </is>
      </c>
      <c r="G1082" t="n">
        <v>3.9</v>
      </c>
      <c r="H1082" t="n">
        <v>0</v>
      </c>
      <c r="I1082" t="n">
        <v>0</v>
      </c>
      <c r="J1082" t="n">
        <v>1</v>
      </c>
      <c r="K1082" t="n">
        <v>0</v>
      </c>
      <c r="L1082" t="n">
        <v>0</v>
      </c>
      <c r="M1082" t="n">
        <v>0</v>
      </c>
      <c r="N1082" t="n">
        <v>0</v>
      </c>
      <c r="O1082" t="n">
        <v>1</v>
      </c>
      <c r="P1082" t="n">
        <v>0</v>
      </c>
      <c r="Q1082" t="n">
        <v>1</v>
      </c>
      <c r="R1082" s="2" t="inlineStr">
        <is>
          <t>Doftskinn</t>
        </is>
      </c>
      <c r="S1082">
        <f>HYPERLINK("https://klasma.github.io/Logging_2023/artfynd/A 9063-2025 artfynd.xlsx", "A 9063-2025")</f>
        <v/>
      </c>
      <c r="T1082">
        <f>HYPERLINK("https://klasma.github.io/Logging_2023/kartor/A 9063-2025 karta.png", "A 9063-2025")</f>
        <v/>
      </c>
      <c r="V1082">
        <f>HYPERLINK("https://klasma.github.io/Logging_2023/klagomål/A 9063-2025 FSC-klagomål.docx", "A 9063-2025")</f>
        <v/>
      </c>
      <c r="W1082">
        <f>HYPERLINK("https://klasma.github.io/Logging_2023/klagomålsmail/A 9063-2025 FSC-klagomål mail.docx", "A 9063-2025")</f>
        <v/>
      </c>
      <c r="X1082">
        <f>HYPERLINK("https://klasma.github.io/Logging_2023/tillsyn/A 9063-2025 tillsynsbegäran.docx", "A 9063-2025")</f>
        <v/>
      </c>
      <c r="Y1082">
        <f>HYPERLINK("https://klasma.github.io/Logging_2023/tillsynsmail/A 9063-2025 tillsynsbegäran mail.docx", "A 9063-2025")</f>
        <v/>
      </c>
    </row>
    <row r="1083" ht="15" customHeight="1">
      <c r="A1083" t="inlineStr">
        <is>
          <t>A 11637-2026</t>
        </is>
      </c>
      <c r="B1083" s="1" t="n">
        <v>46084</v>
      </c>
      <c r="C1083" s="1" t="n">
        <v>46114</v>
      </c>
      <c r="D1083" t="inlineStr">
        <is>
          <t>DALARNAS LÄN</t>
        </is>
      </c>
      <c r="E1083" t="inlineStr">
        <is>
          <t>LEKSAND</t>
        </is>
      </c>
      <c r="F1083" t="inlineStr">
        <is>
          <t>Bergvik skog väst AB</t>
        </is>
      </c>
      <c r="G1083" t="n">
        <v>8.6</v>
      </c>
      <c r="H1083" t="n">
        <v>0</v>
      </c>
      <c r="I1083" t="n">
        <v>0</v>
      </c>
      <c r="J1083" t="n">
        <v>1</v>
      </c>
      <c r="K1083" t="n">
        <v>0</v>
      </c>
      <c r="L1083" t="n">
        <v>0</v>
      </c>
      <c r="M1083" t="n">
        <v>0</v>
      </c>
      <c r="N1083" t="n">
        <v>0</v>
      </c>
      <c r="O1083" t="n">
        <v>1</v>
      </c>
      <c r="P1083" t="n">
        <v>0</v>
      </c>
      <c r="Q1083" t="n">
        <v>1</v>
      </c>
      <c r="R1083" s="2" t="inlineStr">
        <is>
          <t>Skrovlig taggsvamp</t>
        </is>
      </c>
      <c r="S1083">
        <f>HYPERLINK("https://klasma.github.io/Logging_2029/artfynd/A 11637-2026 artfynd.xlsx", "A 11637-2026")</f>
        <v/>
      </c>
      <c r="T1083">
        <f>HYPERLINK("https://klasma.github.io/Logging_2029/kartor/A 11637-2026 karta.png", "A 11637-2026")</f>
        <v/>
      </c>
      <c r="U1083">
        <f>HYPERLINK("https://klasma.github.io/Logging_2029/knärot/A 11637-2026 karta knärot.png", "A 11637-2026")</f>
        <v/>
      </c>
      <c r="V1083">
        <f>HYPERLINK("https://klasma.github.io/Logging_2029/klagomål/A 11637-2026 FSC-klagomål.docx", "A 11637-2026")</f>
        <v/>
      </c>
      <c r="W1083">
        <f>HYPERLINK("https://klasma.github.io/Logging_2029/klagomålsmail/A 11637-2026 FSC-klagomål mail.docx", "A 11637-2026")</f>
        <v/>
      </c>
      <c r="X1083">
        <f>HYPERLINK("https://klasma.github.io/Logging_2029/tillsyn/A 11637-2026 tillsynsbegäran.docx", "A 11637-2026")</f>
        <v/>
      </c>
      <c r="Y1083">
        <f>HYPERLINK("https://klasma.github.io/Logging_2029/tillsynsmail/A 11637-2026 tillsynsbegäran mail.docx", "A 11637-2026")</f>
        <v/>
      </c>
    </row>
    <row r="1084" ht="15" customHeight="1">
      <c r="A1084" t="inlineStr">
        <is>
          <t>A 16743-2026</t>
        </is>
      </c>
      <c r="B1084" s="1" t="n">
        <v>46113.38582175926</v>
      </c>
      <c r="C1084" s="1" t="n">
        <v>46114</v>
      </c>
      <c r="D1084" t="inlineStr">
        <is>
          <t>DALARNAS LÄN</t>
        </is>
      </c>
      <c r="E1084" t="inlineStr">
        <is>
          <t>LEKSAND</t>
        </is>
      </c>
      <c r="F1084" t="inlineStr">
        <is>
          <t>Bergvik skog väst AB</t>
        </is>
      </c>
      <c r="G1084" t="n">
        <v>32</v>
      </c>
      <c r="H1084" t="n">
        <v>1</v>
      </c>
      <c r="I1084" t="n">
        <v>0</v>
      </c>
      <c r="J1084" t="n">
        <v>1</v>
      </c>
      <c r="K1084" t="n">
        <v>0</v>
      </c>
      <c r="L1084" t="n">
        <v>0</v>
      </c>
      <c r="M1084" t="n">
        <v>0</v>
      </c>
      <c r="N1084" t="n">
        <v>0</v>
      </c>
      <c r="O1084" t="n">
        <v>1</v>
      </c>
      <c r="P1084" t="n">
        <v>0</v>
      </c>
      <c r="Q1084" t="n">
        <v>1</v>
      </c>
      <c r="R1084" s="2" t="inlineStr">
        <is>
          <t>Järpe</t>
        </is>
      </c>
      <c r="S1084">
        <f>HYPERLINK("https://klasma.github.io/Logging_2029/artfynd/A 16743-2026 artfynd.xlsx", "A 16743-2026")</f>
        <v/>
      </c>
      <c r="T1084">
        <f>HYPERLINK("https://klasma.github.io/Logging_2029/kartor/A 16743-2026 karta.png", "A 16743-2026")</f>
        <v/>
      </c>
      <c r="V1084">
        <f>HYPERLINK("https://klasma.github.io/Logging_2029/klagomål/A 16743-2026 FSC-klagomål.docx", "A 16743-2026")</f>
        <v/>
      </c>
      <c r="W1084">
        <f>HYPERLINK("https://klasma.github.io/Logging_2029/klagomålsmail/A 16743-2026 FSC-klagomål mail.docx", "A 16743-2026")</f>
        <v/>
      </c>
      <c r="X1084">
        <f>HYPERLINK("https://klasma.github.io/Logging_2029/tillsyn/A 16743-2026 tillsynsbegäran.docx", "A 16743-2026")</f>
        <v/>
      </c>
      <c r="Y1084">
        <f>HYPERLINK("https://klasma.github.io/Logging_2029/tillsynsmail/A 16743-2026 tillsynsbegäran mail.docx", "A 16743-2026")</f>
        <v/>
      </c>
      <c r="Z1084">
        <f>HYPERLINK("https://klasma.github.io/Logging_2029/fåglar/A 16743-2026 prioriterade fågelarter.docx", "A 16743-2026")</f>
        <v/>
      </c>
    </row>
    <row r="1085" ht="15" customHeight="1">
      <c r="A1085" t="inlineStr">
        <is>
          <t>A 26287-2023</t>
        </is>
      </c>
      <c r="B1085" s="1" t="n">
        <v>45091</v>
      </c>
      <c r="C1085" s="1" t="n">
        <v>46114</v>
      </c>
      <c r="D1085" t="inlineStr">
        <is>
          <t>DALARNAS LÄN</t>
        </is>
      </c>
      <c r="E1085" t="inlineStr">
        <is>
          <t>LEKSAND</t>
        </is>
      </c>
      <c r="G1085" t="n">
        <v>2.4</v>
      </c>
      <c r="H1085" t="n">
        <v>0</v>
      </c>
      <c r="I1085" t="n">
        <v>1</v>
      </c>
      <c r="J1085" t="n">
        <v>0</v>
      </c>
      <c r="K1085" t="n">
        <v>0</v>
      </c>
      <c r="L1085" t="n">
        <v>0</v>
      </c>
      <c r="M1085" t="n">
        <v>0</v>
      </c>
      <c r="N1085" t="n">
        <v>0</v>
      </c>
      <c r="O1085" t="n">
        <v>0</v>
      </c>
      <c r="P1085" t="n">
        <v>0</v>
      </c>
      <c r="Q1085" t="n">
        <v>1</v>
      </c>
      <c r="R1085" s="2" t="inlineStr">
        <is>
          <t>Mindre märgborre</t>
        </is>
      </c>
      <c r="S1085">
        <f>HYPERLINK("https://klasma.github.io/Logging_2029/artfynd/A 26287-2023 artfynd.xlsx", "A 26287-2023")</f>
        <v/>
      </c>
      <c r="T1085">
        <f>HYPERLINK("https://klasma.github.io/Logging_2029/kartor/A 26287-2023 karta.png", "A 26287-2023")</f>
        <v/>
      </c>
      <c r="V1085">
        <f>HYPERLINK("https://klasma.github.io/Logging_2029/klagomål/A 26287-2023 FSC-klagomål.docx", "A 26287-2023")</f>
        <v/>
      </c>
      <c r="W1085">
        <f>HYPERLINK("https://klasma.github.io/Logging_2029/klagomålsmail/A 26287-2023 FSC-klagomål mail.docx", "A 26287-2023")</f>
        <v/>
      </c>
      <c r="X1085">
        <f>HYPERLINK("https://klasma.github.io/Logging_2029/tillsyn/A 26287-2023 tillsynsbegäran.docx", "A 26287-2023")</f>
        <v/>
      </c>
      <c r="Y1085">
        <f>HYPERLINK("https://klasma.github.io/Logging_2029/tillsynsmail/A 26287-2023 tillsynsbegäran mail.docx", "A 26287-2023")</f>
        <v/>
      </c>
    </row>
    <row r="1086" ht="15" customHeight="1">
      <c r="A1086" t="inlineStr">
        <is>
          <t>A 59205-2023</t>
        </is>
      </c>
      <c r="B1086" s="1" t="n">
        <v>45251</v>
      </c>
      <c r="C1086" s="1" t="n">
        <v>46114</v>
      </c>
      <c r="D1086" t="inlineStr">
        <is>
          <t>DALARNAS LÄN</t>
        </is>
      </c>
      <c r="E1086" t="inlineStr">
        <is>
          <t>LEKSAND</t>
        </is>
      </c>
      <c r="G1086" t="n">
        <v>1.9</v>
      </c>
      <c r="H1086" t="n">
        <v>1</v>
      </c>
      <c r="I1086" t="n">
        <v>0</v>
      </c>
      <c r="J1086" t="n">
        <v>0</v>
      </c>
      <c r="K1086" t="n">
        <v>0</v>
      </c>
      <c r="L1086" t="n">
        <v>0</v>
      </c>
      <c r="M1086" t="n">
        <v>0</v>
      </c>
      <c r="N1086" t="n">
        <v>0</v>
      </c>
      <c r="O1086" t="n">
        <v>0</v>
      </c>
      <c r="P1086" t="n">
        <v>0</v>
      </c>
      <c r="Q1086" t="n">
        <v>1</v>
      </c>
      <c r="R1086" s="2" t="inlineStr">
        <is>
          <t>Revlummer</t>
        </is>
      </c>
      <c r="S1086">
        <f>HYPERLINK("https://klasma.github.io/Logging_2029/artfynd/A 59205-2023 artfynd.xlsx", "A 59205-2023")</f>
        <v/>
      </c>
      <c r="T1086">
        <f>HYPERLINK("https://klasma.github.io/Logging_2029/kartor/A 59205-2023 karta.png", "A 59205-2023")</f>
        <v/>
      </c>
      <c r="U1086">
        <f>HYPERLINK("https://klasma.github.io/Logging_2029/knärot/A 59205-2023 karta knärot.png", "A 59205-2023")</f>
        <v/>
      </c>
      <c r="V1086">
        <f>HYPERLINK("https://klasma.github.io/Logging_2029/klagomål/A 59205-2023 FSC-klagomål.docx", "A 59205-2023")</f>
        <v/>
      </c>
      <c r="W1086">
        <f>HYPERLINK("https://klasma.github.io/Logging_2029/klagomålsmail/A 59205-2023 FSC-klagomål mail.docx", "A 59205-2023")</f>
        <v/>
      </c>
      <c r="X1086">
        <f>HYPERLINK("https://klasma.github.io/Logging_2029/tillsyn/A 59205-2023 tillsynsbegäran.docx", "A 59205-2023")</f>
        <v/>
      </c>
      <c r="Y1086">
        <f>HYPERLINK("https://klasma.github.io/Logging_2029/tillsynsmail/A 59205-2023 tillsynsbegäran mail.docx", "A 59205-2023")</f>
        <v/>
      </c>
    </row>
    <row r="1087" ht="15" customHeight="1">
      <c r="A1087" t="inlineStr">
        <is>
          <t>A 51579-2021</t>
        </is>
      </c>
      <c r="B1087" s="1" t="n">
        <v>44462</v>
      </c>
      <c r="C1087" s="1" t="n">
        <v>46114</v>
      </c>
      <c r="D1087" t="inlineStr">
        <is>
          <t>DALARNAS LÄN</t>
        </is>
      </c>
      <c r="E1087" t="inlineStr">
        <is>
          <t>VANSBRO</t>
        </is>
      </c>
      <c r="F1087" t="inlineStr">
        <is>
          <t>Bergvik skog väst AB</t>
        </is>
      </c>
      <c r="G1087" t="n">
        <v>14.3</v>
      </c>
      <c r="H1087" t="n">
        <v>0</v>
      </c>
      <c r="I1087" t="n">
        <v>0</v>
      </c>
      <c r="J1087" t="n">
        <v>1</v>
      </c>
      <c r="K1087" t="n">
        <v>0</v>
      </c>
      <c r="L1087" t="n">
        <v>0</v>
      </c>
      <c r="M1087" t="n">
        <v>0</v>
      </c>
      <c r="N1087" t="n">
        <v>0</v>
      </c>
      <c r="O1087" t="n">
        <v>1</v>
      </c>
      <c r="P1087" t="n">
        <v>0</v>
      </c>
      <c r="Q1087" t="n">
        <v>1</v>
      </c>
      <c r="R1087" s="2" t="inlineStr">
        <is>
          <t>Kolflarnlav</t>
        </is>
      </c>
      <c r="S1087">
        <f>HYPERLINK("https://klasma.github.io/Logging_2021/artfynd/A 51579-2021 artfynd.xlsx", "A 51579-2021")</f>
        <v/>
      </c>
      <c r="T1087">
        <f>HYPERLINK("https://klasma.github.io/Logging_2021/kartor/A 51579-2021 karta.png", "A 51579-2021")</f>
        <v/>
      </c>
      <c r="V1087">
        <f>HYPERLINK("https://klasma.github.io/Logging_2021/klagomål/A 51579-2021 FSC-klagomål.docx", "A 51579-2021")</f>
        <v/>
      </c>
      <c r="W1087">
        <f>HYPERLINK("https://klasma.github.io/Logging_2021/klagomålsmail/A 51579-2021 FSC-klagomål mail.docx", "A 51579-2021")</f>
        <v/>
      </c>
      <c r="X1087">
        <f>HYPERLINK("https://klasma.github.io/Logging_2021/tillsyn/A 51579-2021 tillsynsbegäran.docx", "A 51579-2021")</f>
        <v/>
      </c>
      <c r="Y1087">
        <f>HYPERLINK("https://klasma.github.io/Logging_2021/tillsynsmail/A 51579-2021 tillsynsbegäran mail.docx", "A 51579-2021")</f>
        <v/>
      </c>
    </row>
    <row r="1088" ht="15" customHeight="1">
      <c r="A1088" t="inlineStr">
        <is>
          <t>A 48693-2023</t>
        </is>
      </c>
      <c r="B1088" s="1" t="n">
        <v>45208.66957175926</v>
      </c>
      <c r="C1088" s="1" t="n">
        <v>46114</v>
      </c>
      <c r="D1088" t="inlineStr">
        <is>
          <t>DALARNAS LÄN</t>
        </is>
      </c>
      <c r="E1088" t="inlineStr">
        <is>
          <t>FALUN</t>
        </is>
      </c>
      <c r="F1088" t="inlineStr">
        <is>
          <t>Bergvik skog väst AB</t>
        </is>
      </c>
      <c r="G1088" t="n">
        <v>4.1</v>
      </c>
      <c r="H1088" t="n">
        <v>1</v>
      </c>
      <c r="I1088" t="n">
        <v>0</v>
      </c>
      <c r="J1088" t="n">
        <v>0</v>
      </c>
      <c r="K1088" t="n">
        <v>0</v>
      </c>
      <c r="L1088" t="n">
        <v>0</v>
      </c>
      <c r="M1088" t="n">
        <v>0</v>
      </c>
      <c r="N1088" t="n">
        <v>0</v>
      </c>
      <c r="O1088" t="n">
        <v>0</v>
      </c>
      <c r="P1088" t="n">
        <v>0</v>
      </c>
      <c r="Q1088" t="n">
        <v>1</v>
      </c>
      <c r="R1088" s="2" t="inlineStr">
        <is>
          <t>Revlummer</t>
        </is>
      </c>
      <c r="S1088">
        <f>HYPERLINK("https://klasma.github.io/Logging_2080/artfynd/A 48693-2023 artfynd.xlsx", "A 48693-2023")</f>
        <v/>
      </c>
      <c r="T1088">
        <f>HYPERLINK("https://klasma.github.io/Logging_2080/kartor/A 48693-2023 karta.png", "A 48693-2023")</f>
        <v/>
      </c>
      <c r="V1088">
        <f>HYPERLINK("https://klasma.github.io/Logging_2080/klagomål/A 48693-2023 FSC-klagomål.docx", "A 48693-2023")</f>
        <v/>
      </c>
      <c r="W1088">
        <f>HYPERLINK("https://klasma.github.io/Logging_2080/klagomålsmail/A 48693-2023 FSC-klagomål mail.docx", "A 48693-2023")</f>
        <v/>
      </c>
      <c r="X1088">
        <f>HYPERLINK("https://klasma.github.io/Logging_2080/tillsyn/A 48693-2023 tillsynsbegäran.docx", "A 48693-2023")</f>
        <v/>
      </c>
      <c r="Y1088">
        <f>HYPERLINK("https://klasma.github.io/Logging_2080/tillsynsmail/A 48693-2023 tillsynsbegäran mail.docx", "A 48693-2023")</f>
        <v/>
      </c>
    </row>
    <row r="1089" ht="15" customHeight="1">
      <c r="A1089" t="inlineStr">
        <is>
          <t>A 20921-2021</t>
        </is>
      </c>
      <c r="B1089" s="1" t="n">
        <v>44319</v>
      </c>
      <c r="C1089" s="1" t="n">
        <v>46114</v>
      </c>
      <c r="D1089" t="inlineStr">
        <is>
          <t>DALARNAS LÄN</t>
        </is>
      </c>
      <c r="E1089" t="inlineStr">
        <is>
          <t>MALUNG-SÄLEN</t>
        </is>
      </c>
      <c r="G1089" t="n">
        <v>1.8</v>
      </c>
      <c r="H1089" t="n">
        <v>0</v>
      </c>
      <c r="I1089" t="n">
        <v>0</v>
      </c>
      <c r="J1089" t="n">
        <v>1</v>
      </c>
      <c r="K1089" t="n">
        <v>0</v>
      </c>
      <c r="L1089" t="n">
        <v>0</v>
      </c>
      <c r="M1089" t="n">
        <v>0</v>
      </c>
      <c r="N1089" t="n">
        <v>0</v>
      </c>
      <c r="O1089" t="n">
        <v>1</v>
      </c>
      <c r="P1089" t="n">
        <v>0</v>
      </c>
      <c r="Q1089" t="n">
        <v>1</v>
      </c>
      <c r="R1089" s="2" t="inlineStr">
        <is>
          <t>Garnlav</t>
        </is>
      </c>
      <c r="S1089">
        <f>HYPERLINK("https://klasma.github.io/Logging_2023/artfynd/A 20921-2021 artfynd.xlsx", "A 20921-2021")</f>
        <v/>
      </c>
      <c r="T1089">
        <f>HYPERLINK("https://klasma.github.io/Logging_2023/kartor/A 20921-2021 karta.png", "A 20921-2021")</f>
        <v/>
      </c>
      <c r="V1089">
        <f>HYPERLINK("https://klasma.github.io/Logging_2023/klagomål/A 20921-2021 FSC-klagomål.docx", "A 20921-2021")</f>
        <v/>
      </c>
      <c r="W1089">
        <f>HYPERLINK("https://klasma.github.io/Logging_2023/klagomålsmail/A 20921-2021 FSC-klagomål mail.docx", "A 20921-2021")</f>
        <v/>
      </c>
      <c r="X1089">
        <f>HYPERLINK("https://klasma.github.io/Logging_2023/tillsyn/A 20921-2021 tillsynsbegäran.docx", "A 20921-2021")</f>
        <v/>
      </c>
      <c r="Y1089">
        <f>HYPERLINK("https://klasma.github.io/Logging_2023/tillsynsmail/A 20921-2021 tillsynsbegäran mail.docx", "A 20921-2021")</f>
        <v/>
      </c>
    </row>
    <row r="1090" ht="15" customHeight="1">
      <c r="A1090" t="inlineStr">
        <is>
          <t>A 32199-2024</t>
        </is>
      </c>
      <c r="B1090" s="1" t="n">
        <v>45511.66325231481</v>
      </c>
      <c r="C1090" s="1" t="n">
        <v>46114</v>
      </c>
      <c r="D1090" t="inlineStr">
        <is>
          <t>DALARNAS LÄN</t>
        </is>
      </c>
      <c r="E1090" t="inlineStr">
        <is>
          <t>ÄLVDALEN</t>
        </is>
      </c>
      <c r="F1090" t="inlineStr">
        <is>
          <t>Sveaskog</t>
        </is>
      </c>
      <c r="G1090" t="n">
        <v>4.6</v>
      </c>
      <c r="H1090" t="n">
        <v>1</v>
      </c>
      <c r="I1090" t="n">
        <v>0</v>
      </c>
      <c r="J1090" t="n">
        <v>1</v>
      </c>
      <c r="K1090" t="n">
        <v>0</v>
      </c>
      <c r="L1090" t="n">
        <v>0</v>
      </c>
      <c r="M1090" t="n">
        <v>0</v>
      </c>
      <c r="N1090" t="n">
        <v>0</v>
      </c>
      <c r="O1090" t="n">
        <v>1</v>
      </c>
      <c r="P1090" t="n">
        <v>0</v>
      </c>
      <c r="Q1090" t="n">
        <v>1</v>
      </c>
      <c r="R1090" s="2" t="inlineStr">
        <is>
          <t>Varglav</t>
        </is>
      </c>
      <c r="S1090">
        <f>HYPERLINK("https://klasma.github.io/Logging_2039/artfynd/A 32199-2024 artfynd.xlsx", "A 32199-2024")</f>
        <v/>
      </c>
      <c r="T1090">
        <f>HYPERLINK("https://klasma.github.io/Logging_2039/kartor/A 32199-2024 karta.png", "A 32199-2024")</f>
        <v/>
      </c>
      <c r="V1090">
        <f>HYPERLINK("https://klasma.github.io/Logging_2039/klagomål/A 32199-2024 FSC-klagomål.docx", "A 32199-2024")</f>
        <v/>
      </c>
      <c r="W1090">
        <f>HYPERLINK("https://klasma.github.io/Logging_2039/klagomålsmail/A 32199-2024 FSC-klagomål mail.docx", "A 32199-2024")</f>
        <v/>
      </c>
      <c r="X1090">
        <f>HYPERLINK("https://klasma.github.io/Logging_2039/tillsyn/A 32199-2024 tillsynsbegäran.docx", "A 32199-2024")</f>
        <v/>
      </c>
      <c r="Y1090">
        <f>HYPERLINK("https://klasma.github.io/Logging_2039/tillsynsmail/A 32199-2024 tillsynsbegäran mail.docx", "A 32199-2024")</f>
        <v/>
      </c>
    </row>
    <row r="1091" ht="15" customHeight="1">
      <c r="A1091" t="inlineStr">
        <is>
          <t>A 4357-2025</t>
        </is>
      </c>
      <c r="B1091" s="1" t="n">
        <v>45686.32865740741</v>
      </c>
      <c r="C1091" s="1" t="n">
        <v>46114</v>
      </c>
      <c r="D1091" t="inlineStr">
        <is>
          <t>DALARNAS LÄN</t>
        </is>
      </c>
      <c r="E1091" t="inlineStr">
        <is>
          <t>RÄTTVIK</t>
        </is>
      </c>
      <c r="G1091" t="n">
        <v>7.1</v>
      </c>
      <c r="H1091" t="n">
        <v>0</v>
      </c>
      <c r="I1091" t="n">
        <v>0</v>
      </c>
      <c r="J1091" t="n">
        <v>1</v>
      </c>
      <c r="K1091" t="n">
        <v>0</v>
      </c>
      <c r="L1091" t="n">
        <v>0</v>
      </c>
      <c r="M1091" t="n">
        <v>0</v>
      </c>
      <c r="N1091" t="n">
        <v>0</v>
      </c>
      <c r="O1091" t="n">
        <v>1</v>
      </c>
      <c r="P1091" t="n">
        <v>0</v>
      </c>
      <c r="Q1091" t="n">
        <v>1</v>
      </c>
      <c r="R1091" s="2" t="inlineStr">
        <is>
          <t>Ullticka</t>
        </is>
      </c>
      <c r="S1091">
        <f>HYPERLINK("https://klasma.github.io/Logging_2031/artfynd/A 4357-2025 artfynd.xlsx", "A 4357-2025")</f>
        <v/>
      </c>
      <c r="T1091">
        <f>HYPERLINK("https://klasma.github.io/Logging_2031/kartor/A 4357-2025 karta.png", "A 4357-2025")</f>
        <v/>
      </c>
      <c r="V1091">
        <f>HYPERLINK("https://klasma.github.io/Logging_2031/klagomål/A 4357-2025 FSC-klagomål.docx", "A 4357-2025")</f>
        <v/>
      </c>
      <c r="W1091">
        <f>HYPERLINK("https://klasma.github.io/Logging_2031/klagomålsmail/A 4357-2025 FSC-klagomål mail.docx", "A 4357-2025")</f>
        <v/>
      </c>
      <c r="X1091">
        <f>HYPERLINK("https://klasma.github.io/Logging_2031/tillsyn/A 4357-2025 tillsynsbegäran.docx", "A 4357-2025")</f>
        <v/>
      </c>
      <c r="Y1091">
        <f>HYPERLINK("https://klasma.github.io/Logging_2031/tillsynsmail/A 4357-2025 tillsynsbegäran mail.docx", "A 4357-2025")</f>
        <v/>
      </c>
    </row>
    <row r="1092" ht="15" customHeight="1">
      <c r="A1092" t="inlineStr">
        <is>
          <t>A 16818-2024</t>
        </is>
      </c>
      <c r="B1092" s="1" t="n">
        <v>45411.46664351852</v>
      </c>
      <c r="C1092" s="1" t="n">
        <v>46114</v>
      </c>
      <c r="D1092" t="inlineStr">
        <is>
          <t>DALARNAS LÄN</t>
        </is>
      </c>
      <c r="E1092" t="inlineStr">
        <is>
          <t>RÄTTVIK</t>
        </is>
      </c>
      <c r="F1092" t="inlineStr">
        <is>
          <t>Sveaskog</t>
        </is>
      </c>
      <c r="G1092" t="n">
        <v>2.5</v>
      </c>
      <c r="H1092" t="n">
        <v>1</v>
      </c>
      <c r="I1092" t="n">
        <v>1</v>
      </c>
      <c r="J1092" t="n">
        <v>0</v>
      </c>
      <c r="K1092" t="n">
        <v>0</v>
      </c>
      <c r="L1092" t="n">
        <v>0</v>
      </c>
      <c r="M1092" t="n">
        <v>0</v>
      </c>
      <c r="N1092" t="n">
        <v>0</v>
      </c>
      <c r="O1092" t="n">
        <v>0</v>
      </c>
      <c r="P1092" t="n">
        <v>0</v>
      </c>
      <c r="Q1092" t="n">
        <v>1</v>
      </c>
      <c r="R1092" s="2" t="inlineStr">
        <is>
          <t>Plattlummer</t>
        </is>
      </c>
      <c r="S1092">
        <f>HYPERLINK("https://klasma.github.io/Logging_2031/artfynd/A 16818-2024 artfynd.xlsx", "A 16818-2024")</f>
        <v/>
      </c>
      <c r="T1092">
        <f>HYPERLINK("https://klasma.github.io/Logging_2031/kartor/A 16818-2024 karta.png", "A 16818-2024")</f>
        <v/>
      </c>
      <c r="V1092">
        <f>HYPERLINK("https://klasma.github.io/Logging_2031/klagomål/A 16818-2024 FSC-klagomål.docx", "A 16818-2024")</f>
        <v/>
      </c>
      <c r="W1092">
        <f>HYPERLINK("https://klasma.github.io/Logging_2031/klagomålsmail/A 16818-2024 FSC-klagomål mail.docx", "A 16818-2024")</f>
        <v/>
      </c>
      <c r="X1092">
        <f>HYPERLINK("https://klasma.github.io/Logging_2031/tillsyn/A 16818-2024 tillsynsbegäran.docx", "A 16818-2024")</f>
        <v/>
      </c>
      <c r="Y1092">
        <f>HYPERLINK("https://klasma.github.io/Logging_2031/tillsynsmail/A 16818-2024 tillsynsbegäran mail.docx", "A 16818-2024")</f>
        <v/>
      </c>
    </row>
    <row r="1093" ht="15" customHeight="1">
      <c r="A1093" t="inlineStr">
        <is>
          <t>A 32954-2024</t>
        </is>
      </c>
      <c r="B1093" s="1" t="n">
        <v>45517.37303240741</v>
      </c>
      <c r="C1093" s="1" t="n">
        <v>46114</v>
      </c>
      <c r="D1093" t="inlineStr">
        <is>
          <t>DALARNAS LÄN</t>
        </is>
      </c>
      <c r="E1093" t="inlineStr">
        <is>
          <t>SMEDJEBACKEN</t>
        </is>
      </c>
      <c r="F1093" t="inlineStr">
        <is>
          <t>Övriga Aktiebolag</t>
        </is>
      </c>
      <c r="G1093" t="n">
        <v>5.9</v>
      </c>
      <c r="H1093" t="n">
        <v>1</v>
      </c>
      <c r="I1093" t="n">
        <v>0</v>
      </c>
      <c r="J1093" t="n">
        <v>0</v>
      </c>
      <c r="K1093" t="n">
        <v>0</v>
      </c>
      <c r="L1093" t="n">
        <v>0</v>
      </c>
      <c r="M1093" t="n">
        <v>0</v>
      </c>
      <c r="N1093" t="n">
        <v>0</v>
      </c>
      <c r="O1093" t="n">
        <v>0</v>
      </c>
      <c r="P1093" t="n">
        <v>0</v>
      </c>
      <c r="Q1093" t="n">
        <v>1</v>
      </c>
      <c r="R1093" s="2" t="inlineStr">
        <is>
          <t>Fläcknycklar</t>
        </is>
      </c>
      <c r="S1093">
        <f>HYPERLINK("https://klasma.github.io/Logging_2061/artfynd/A 32954-2024 artfynd.xlsx", "A 32954-2024")</f>
        <v/>
      </c>
      <c r="T1093">
        <f>HYPERLINK("https://klasma.github.io/Logging_2061/kartor/A 32954-2024 karta.png", "A 32954-2024")</f>
        <v/>
      </c>
      <c r="V1093">
        <f>HYPERLINK("https://klasma.github.io/Logging_2061/klagomål/A 32954-2024 FSC-klagomål.docx", "A 32954-2024")</f>
        <v/>
      </c>
      <c r="W1093">
        <f>HYPERLINK("https://klasma.github.io/Logging_2061/klagomålsmail/A 32954-2024 FSC-klagomål mail.docx", "A 32954-2024")</f>
        <v/>
      </c>
      <c r="X1093">
        <f>HYPERLINK("https://klasma.github.io/Logging_2061/tillsyn/A 32954-2024 tillsynsbegäran.docx", "A 32954-2024")</f>
        <v/>
      </c>
      <c r="Y1093">
        <f>HYPERLINK("https://klasma.github.io/Logging_2061/tillsynsmail/A 32954-2024 tillsynsbegäran mail.docx", "A 32954-2024")</f>
        <v/>
      </c>
    </row>
    <row r="1094" ht="15" customHeight="1">
      <c r="A1094" t="inlineStr">
        <is>
          <t>A 13717-2023</t>
        </is>
      </c>
      <c r="B1094" s="1" t="n">
        <v>45007</v>
      </c>
      <c r="C1094" s="1" t="n">
        <v>46114</v>
      </c>
      <c r="D1094" t="inlineStr">
        <is>
          <t>DALARNAS LÄN</t>
        </is>
      </c>
      <c r="E1094" t="inlineStr">
        <is>
          <t>MORA</t>
        </is>
      </c>
      <c r="G1094" t="n">
        <v>5.6</v>
      </c>
      <c r="H1094" t="n">
        <v>0</v>
      </c>
      <c r="I1094" t="n">
        <v>0</v>
      </c>
      <c r="J1094" t="n">
        <v>1</v>
      </c>
      <c r="K1094" t="n">
        <v>0</v>
      </c>
      <c r="L1094" t="n">
        <v>0</v>
      </c>
      <c r="M1094" t="n">
        <v>0</v>
      </c>
      <c r="N1094" t="n">
        <v>0</v>
      </c>
      <c r="O1094" t="n">
        <v>1</v>
      </c>
      <c r="P1094" t="n">
        <v>0</v>
      </c>
      <c r="Q1094" t="n">
        <v>1</v>
      </c>
      <c r="R1094" s="2" t="inlineStr">
        <is>
          <t>Slåtterfibbla</t>
        </is>
      </c>
      <c r="S1094">
        <f>HYPERLINK("https://klasma.github.io/Logging_2062/artfynd/A 13717-2023 artfynd.xlsx", "A 13717-2023")</f>
        <v/>
      </c>
      <c r="T1094">
        <f>HYPERLINK("https://klasma.github.io/Logging_2062/kartor/A 13717-2023 karta.png", "A 13717-2023")</f>
        <v/>
      </c>
      <c r="U1094">
        <f>HYPERLINK("https://klasma.github.io/Logging_2062/knärot/A 13717-2023 karta knärot.png", "A 13717-2023")</f>
        <v/>
      </c>
      <c r="V1094">
        <f>HYPERLINK("https://klasma.github.io/Logging_2062/klagomål/A 13717-2023 FSC-klagomål.docx", "A 13717-2023")</f>
        <v/>
      </c>
      <c r="W1094">
        <f>HYPERLINK("https://klasma.github.io/Logging_2062/klagomålsmail/A 13717-2023 FSC-klagomål mail.docx", "A 13717-2023")</f>
        <v/>
      </c>
      <c r="X1094">
        <f>HYPERLINK("https://klasma.github.io/Logging_2062/tillsyn/A 13717-2023 tillsynsbegäran.docx", "A 13717-2023")</f>
        <v/>
      </c>
      <c r="Y1094">
        <f>HYPERLINK("https://klasma.github.io/Logging_2062/tillsynsmail/A 13717-2023 tillsynsbegäran mail.docx", "A 13717-2023")</f>
        <v/>
      </c>
    </row>
    <row r="1095" ht="15" customHeight="1">
      <c r="A1095" t="inlineStr">
        <is>
          <t>A 52600-2024</t>
        </is>
      </c>
      <c r="B1095" s="1" t="n">
        <v>45609</v>
      </c>
      <c r="C1095" s="1" t="n">
        <v>46114</v>
      </c>
      <c r="D1095" t="inlineStr">
        <is>
          <t>DALARNAS LÄN</t>
        </is>
      </c>
      <c r="E1095" t="inlineStr">
        <is>
          <t>LEKSAND</t>
        </is>
      </c>
      <c r="G1095" t="n">
        <v>3.4</v>
      </c>
      <c r="H1095" t="n">
        <v>1</v>
      </c>
      <c r="I1095" t="n">
        <v>0</v>
      </c>
      <c r="J1095" t="n">
        <v>0</v>
      </c>
      <c r="K1095" t="n">
        <v>0</v>
      </c>
      <c r="L1095" t="n">
        <v>0</v>
      </c>
      <c r="M1095" t="n">
        <v>0</v>
      </c>
      <c r="N1095" t="n">
        <v>0</v>
      </c>
      <c r="O1095" t="n">
        <v>0</v>
      </c>
      <c r="P1095" t="n">
        <v>0</v>
      </c>
      <c r="Q1095" t="n">
        <v>1</v>
      </c>
      <c r="R1095" s="2" t="inlineStr">
        <is>
          <t>Fläcknycklar</t>
        </is>
      </c>
      <c r="S1095">
        <f>HYPERLINK("https://klasma.github.io/Logging_2029/artfynd/A 52600-2024 artfynd.xlsx", "A 52600-2024")</f>
        <v/>
      </c>
      <c r="T1095">
        <f>HYPERLINK("https://klasma.github.io/Logging_2029/kartor/A 52600-2024 karta.png", "A 52600-2024")</f>
        <v/>
      </c>
      <c r="V1095">
        <f>HYPERLINK("https://klasma.github.io/Logging_2029/klagomål/A 52600-2024 FSC-klagomål.docx", "A 52600-2024")</f>
        <v/>
      </c>
      <c r="W1095">
        <f>HYPERLINK("https://klasma.github.io/Logging_2029/klagomålsmail/A 52600-2024 FSC-klagomål mail.docx", "A 52600-2024")</f>
        <v/>
      </c>
      <c r="X1095">
        <f>HYPERLINK("https://klasma.github.io/Logging_2029/tillsyn/A 52600-2024 tillsynsbegäran.docx", "A 52600-2024")</f>
        <v/>
      </c>
      <c r="Y1095">
        <f>HYPERLINK("https://klasma.github.io/Logging_2029/tillsynsmail/A 52600-2024 tillsynsbegäran mail.docx", "A 52600-2024")</f>
        <v/>
      </c>
    </row>
    <row r="1096" ht="15" customHeight="1">
      <c r="A1096" t="inlineStr">
        <is>
          <t>A 1695-2022</t>
        </is>
      </c>
      <c r="B1096" s="1" t="n">
        <v>44574</v>
      </c>
      <c r="C1096" s="1" t="n">
        <v>46114</v>
      </c>
      <c r="D1096" t="inlineStr">
        <is>
          <t>DALARNAS LÄN</t>
        </is>
      </c>
      <c r="E1096" t="inlineStr">
        <is>
          <t>AVESTA</t>
        </is>
      </c>
      <c r="G1096" t="n">
        <v>6.5</v>
      </c>
      <c r="H1096" t="n">
        <v>1</v>
      </c>
      <c r="I1096" t="n">
        <v>0</v>
      </c>
      <c r="J1096" t="n">
        <v>0</v>
      </c>
      <c r="K1096" t="n">
        <v>1</v>
      </c>
      <c r="L1096" t="n">
        <v>0</v>
      </c>
      <c r="M1096" t="n">
        <v>0</v>
      </c>
      <c r="N1096" t="n">
        <v>0</v>
      </c>
      <c r="O1096" t="n">
        <v>1</v>
      </c>
      <c r="P1096" t="n">
        <v>1</v>
      </c>
      <c r="Q1096" t="n">
        <v>1</v>
      </c>
      <c r="R1096" s="2" t="inlineStr">
        <is>
          <t>Knärot</t>
        </is>
      </c>
      <c r="S1096">
        <f>HYPERLINK("https://klasma.github.io/Logging_2084/artfynd/A 1695-2022 artfynd.xlsx", "A 1695-2022")</f>
        <v/>
      </c>
      <c r="T1096">
        <f>HYPERLINK("https://klasma.github.io/Logging_2084/kartor/A 1695-2022 karta.png", "A 1695-2022")</f>
        <v/>
      </c>
      <c r="U1096">
        <f>HYPERLINK("https://klasma.github.io/Logging_2084/knärot/A 1695-2022 karta knärot.png", "A 1695-2022")</f>
        <v/>
      </c>
      <c r="V1096">
        <f>HYPERLINK("https://klasma.github.io/Logging_2084/klagomål/A 1695-2022 FSC-klagomål.docx", "A 1695-2022")</f>
        <v/>
      </c>
      <c r="W1096">
        <f>HYPERLINK("https://klasma.github.io/Logging_2084/klagomålsmail/A 1695-2022 FSC-klagomål mail.docx", "A 1695-2022")</f>
        <v/>
      </c>
      <c r="X1096">
        <f>HYPERLINK("https://klasma.github.io/Logging_2084/tillsyn/A 1695-2022 tillsynsbegäran.docx", "A 1695-2022")</f>
        <v/>
      </c>
      <c r="Y1096">
        <f>HYPERLINK("https://klasma.github.io/Logging_2084/tillsynsmail/A 1695-2022 tillsynsbegäran mail.docx", "A 1695-2022")</f>
        <v/>
      </c>
    </row>
    <row r="1097" ht="15" customHeight="1">
      <c r="A1097" t="inlineStr">
        <is>
          <t>A 20538-2025</t>
        </is>
      </c>
      <c r="B1097" s="1" t="n">
        <v>45775.62283564815</v>
      </c>
      <c r="C1097" s="1" t="n">
        <v>46114</v>
      </c>
      <c r="D1097" t="inlineStr">
        <is>
          <t>DALARNAS LÄN</t>
        </is>
      </c>
      <c r="E1097" t="inlineStr">
        <is>
          <t>MORA</t>
        </is>
      </c>
      <c r="G1097" t="n">
        <v>0.9</v>
      </c>
      <c r="H1097" t="n">
        <v>0</v>
      </c>
      <c r="I1097" t="n">
        <v>0</v>
      </c>
      <c r="J1097" t="n">
        <v>1</v>
      </c>
      <c r="K1097" t="n">
        <v>0</v>
      </c>
      <c r="L1097" t="n">
        <v>0</v>
      </c>
      <c r="M1097" t="n">
        <v>0</v>
      </c>
      <c r="N1097" t="n">
        <v>0</v>
      </c>
      <c r="O1097" t="n">
        <v>1</v>
      </c>
      <c r="P1097" t="n">
        <v>0</v>
      </c>
      <c r="Q1097" t="n">
        <v>1</v>
      </c>
      <c r="R1097" s="2" t="inlineStr">
        <is>
          <t>Garnlav</t>
        </is>
      </c>
      <c r="S1097">
        <f>HYPERLINK("https://klasma.github.io/Logging_2062/artfynd/A 20538-2025 artfynd.xlsx", "A 20538-2025")</f>
        <v/>
      </c>
      <c r="T1097">
        <f>HYPERLINK("https://klasma.github.io/Logging_2062/kartor/A 20538-2025 karta.png", "A 20538-2025")</f>
        <v/>
      </c>
      <c r="V1097">
        <f>HYPERLINK("https://klasma.github.io/Logging_2062/klagomål/A 20538-2025 FSC-klagomål.docx", "A 20538-2025")</f>
        <v/>
      </c>
      <c r="W1097">
        <f>HYPERLINK("https://klasma.github.io/Logging_2062/klagomålsmail/A 20538-2025 FSC-klagomål mail.docx", "A 20538-2025")</f>
        <v/>
      </c>
      <c r="X1097">
        <f>HYPERLINK("https://klasma.github.io/Logging_2062/tillsyn/A 20538-2025 tillsynsbegäran.docx", "A 20538-2025")</f>
        <v/>
      </c>
      <c r="Y1097">
        <f>HYPERLINK("https://klasma.github.io/Logging_2062/tillsynsmail/A 20538-2025 tillsynsbegäran mail.docx", "A 20538-2025")</f>
        <v/>
      </c>
    </row>
    <row r="1098" ht="15" customHeight="1">
      <c r="A1098" t="inlineStr">
        <is>
          <t>A 43914-2024</t>
        </is>
      </c>
      <c r="B1098" s="1" t="n">
        <v>45572</v>
      </c>
      <c r="C1098" s="1" t="n">
        <v>46114</v>
      </c>
      <c r="D1098" t="inlineStr">
        <is>
          <t>DALARNAS LÄN</t>
        </is>
      </c>
      <c r="E1098" t="inlineStr">
        <is>
          <t>GAGNEF</t>
        </is>
      </c>
      <c r="G1098" t="n">
        <v>4</v>
      </c>
      <c r="H1098" t="n">
        <v>0</v>
      </c>
      <c r="I1098" t="n">
        <v>0</v>
      </c>
      <c r="J1098" t="n">
        <v>1</v>
      </c>
      <c r="K1098" t="n">
        <v>0</v>
      </c>
      <c r="L1098" t="n">
        <v>0</v>
      </c>
      <c r="M1098" t="n">
        <v>0</v>
      </c>
      <c r="N1098" t="n">
        <v>0</v>
      </c>
      <c r="O1098" t="n">
        <v>1</v>
      </c>
      <c r="P1098" t="n">
        <v>0</v>
      </c>
      <c r="Q1098" t="n">
        <v>1</v>
      </c>
      <c r="R1098" s="2" t="inlineStr">
        <is>
          <t>Garnlav</t>
        </is>
      </c>
      <c r="S1098">
        <f>HYPERLINK("https://klasma.github.io/Logging_2026/artfynd/A 43914-2024 artfynd.xlsx", "A 43914-2024")</f>
        <v/>
      </c>
      <c r="T1098">
        <f>HYPERLINK("https://klasma.github.io/Logging_2026/kartor/A 43914-2024 karta.png", "A 43914-2024")</f>
        <v/>
      </c>
      <c r="U1098">
        <f>HYPERLINK("https://klasma.github.io/Logging_2026/knärot/A 43914-2024 karta knärot.png", "A 43914-2024")</f>
        <v/>
      </c>
      <c r="V1098">
        <f>HYPERLINK("https://klasma.github.io/Logging_2026/klagomål/A 43914-2024 FSC-klagomål.docx", "A 43914-2024")</f>
        <v/>
      </c>
      <c r="W1098">
        <f>HYPERLINK("https://klasma.github.io/Logging_2026/klagomålsmail/A 43914-2024 FSC-klagomål mail.docx", "A 43914-2024")</f>
        <v/>
      </c>
      <c r="X1098">
        <f>HYPERLINK("https://klasma.github.io/Logging_2026/tillsyn/A 43914-2024 tillsynsbegäran.docx", "A 43914-2024")</f>
        <v/>
      </c>
      <c r="Y1098">
        <f>HYPERLINK("https://klasma.github.io/Logging_2026/tillsynsmail/A 43914-2024 tillsynsbegäran mail.docx", "A 43914-2024")</f>
        <v/>
      </c>
    </row>
    <row r="1099" ht="15" customHeight="1">
      <c r="A1099" t="inlineStr">
        <is>
          <t>A 21131-2023</t>
        </is>
      </c>
      <c r="B1099" s="1" t="n">
        <v>45062</v>
      </c>
      <c r="C1099" s="1" t="n">
        <v>46114</v>
      </c>
      <c r="D1099" t="inlineStr">
        <is>
          <t>DALARNAS LÄN</t>
        </is>
      </c>
      <c r="E1099" t="inlineStr">
        <is>
          <t>BORLÄNGE</t>
        </is>
      </c>
      <c r="G1099" t="n">
        <v>4.4</v>
      </c>
      <c r="H1099" t="n">
        <v>0</v>
      </c>
      <c r="I1099" t="n">
        <v>0</v>
      </c>
      <c r="J1099" t="n">
        <v>1</v>
      </c>
      <c r="K1099" t="n">
        <v>0</v>
      </c>
      <c r="L1099" t="n">
        <v>0</v>
      </c>
      <c r="M1099" t="n">
        <v>0</v>
      </c>
      <c r="N1099" t="n">
        <v>0</v>
      </c>
      <c r="O1099" t="n">
        <v>1</v>
      </c>
      <c r="P1099" t="n">
        <v>0</v>
      </c>
      <c r="Q1099" t="n">
        <v>1</v>
      </c>
      <c r="R1099" s="2" t="inlineStr">
        <is>
          <t>Garnlav</t>
        </is>
      </c>
      <c r="S1099">
        <f>HYPERLINK("https://klasma.github.io/Logging_2081/artfynd/A 21131-2023 artfynd.xlsx", "A 21131-2023")</f>
        <v/>
      </c>
      <c r="T1099">
        <f>HYPERLINK("https://klasma.github.io/Logging_2081/kartor/A 21131-2023 karta.png", "A 21131-2023")</f>
        <v/>
      </c>
      <c r="V1099">
        <f>HYPERLINK("https://klasma.github.io/Logging_2081/klagomål/A 21131-2023 FSC-klagomål.docx", "A 21131-2023")</f>
        <v/>
      </c>
      <c r="W1099">
        <f>HYPERLINK("https://klasma.github.io/Logging_2081/klagomålsmail/A 21131-2023 FSC-klagomål mail.docx", "A 21131-2023")</f>
        <v/>
      </c>
      <c r="X1099">
        <f>HYPERLINK("https://klasma.github.io/Logging_2081/tillsyn/A 21131-2023 tillsynsbegäran.docx", "A 21131-2023")</f>
        <v/>
      </c>
      <c r="Y1099">
        <f>HYPERLINK("https://klasma.github.io/Logging_2081/tillsynsmail/A 21131-2023 tillsynsbegäran mail.docx", "A 21131-2023")</f>
        <v/>
      </c>
    </row>
    <row r="1100" ht="15" customHeight="1">
      <c r="A1100" t="inlineStr">
        <is>
          <t>A 20985-2025</t>
        </is>
      </c>
      <c r="B1100" s="1" t="n">
        <v>45777</v>
      </c>
      <c r="C1100" s="1" t="n">
        <v>46114</v>
      </c>
      <c r="D1100" t="inlineStr">
        <is>
          <t>DALARNAS LÄN</t>
        </is>
      </c>
      <c r="E1100" t="inlineStr">
        <is>
          <t>LUDVIKA</t>
        </is>
      </c>
      <c r="F1100" t="inlineStr">
        <is>
          <t>Bergvik skog väst AB</t>
        </is>
      </c>
      <c r="G1100" t="n">
        <v>5.8</v>
      </c>
      <c r="H1100" t="n">
        <v>0</v>
      </c>
      <c r="I1100" t="n">
        <v>0</v>
      </c>
      <c r="J1100" t="n">
        <v>1</v>
      </c>
      <c r="K1100" t="n">
        <v>0</v>
      </c>
      <c r="L1100" t="n">
        <v>0</v>
      </c>
      <c r="M1100" t="n">
        <v>0</v>
      </c>
      <c r="N1100" t="n">
        <v>0</v>
      </c>
      <c r="O1100" t="n">
        <v>1</v>
      </c>
      <c r="P1100" t="n">
        <v>0</v>
      </c>
      <c r="Q1100" t="n">
        <v>1</v>
      </c>
      <c r="R1100" s="2" t="inlineStr">
        <is>
          <t>Garnlav</t>
        </is>
      </c>
      <c r="S1100">
        <f>HYPERLINK("https://klasma.github.io/Logging_2085/artfynd/A 20985-2025 artfynd.xlsx", "A 20985-2025")</f>
        <v/>
      </c>
      <c r="T1100">
        <f>HYPERLINK("https://klasma.github.io/Logging_2085/kartor/A 20985-2025 karta.png", "A 20985-2025")</f>
        <v/>
      </c>
      <c r="V1100">
        <f>HYPERLINK("https://klasma.github.io/Logging_2085/klagomål/A 20985-2025 FSC-klagomål.docx", "A 20985-2025")</f>
        <v/>
      </c>
      <c r="W1100">
        <f>HYPERLINK("https://klasma.github.io/Logging_2085/klagomålsmail/A 20985-2025 FSC-klagomål mail.docx", "A 20985-2025")</f>
        <v/>
      </c>
      <c r="X1100">
        <f>HYPERLINK("https://klasma.github.io/Logging_2085/tillsyn/A 20985-2025 tillsynsbegäran.docx", "A 20985-2025")</f>
        <v/>
      </c>
      <c r="Y1100">
        <f>HYPERLINK("https://klasma.github.io/Logging_2085/tillsynsmail/A 20985-2025 tillsynsbegäran mail.docx", "A 20985-2025")</f>
        <v/>
      </c>
    </row>
    <row r="1101" ht="15" customHeight="1">
      <c r="A1101" t="inlineStr">
        <is>
          <t>A 34942-2024</t>
        </is>
      </c>
      <c r="B1101" s="1" t="n">
        <v>45527</v>
      </c>
      <c r="C1101" s="1" t="n">
        <v>46114</v>
      </c>
      <c r="D1101" t="inlineStr">
        <is>
          <t>DALARNAS LÄN</t>
        </is>
      </c>
      <c r="E1101" t="inlineStr">
        <is>
          <t>SMEDJEBACKEN</t>
        </is>
      </c>
      <c r="G1101" t="n">
        <v>11</v>
      </c>
      <c r="H1101" t="n">
        <v>0</v>
      </c>
      <c r="I1101" t="n">
        <v>0</v>
      </c>
      <c r="J1101" t="n">
        <v>1</v>
      </c>
      <c r="K1101" t="n">
        <v>0</v>
      </c>
      <c r="L1101" t="n">
        <v>0</v>
      </c>
      <c r="M1101" t="n">
        <v>0</v>
      </c>
      <c r="N1101" t="n">
        <v>0</v>
      </c>
      <c r="O1101" t="n">
        <v>1</v>
      </c>
      <c r="P1101" t="n">
        <v>0</v>
      </c>
      <c r="Q1101" t="n">
        <v>1</v>
      </c>
      <c r="R1101" s="2" t="inlineStr">
        <is>
          <t>Skogsklocka</t>
        </is>
      </c>
      <c r="S1101">
        <f>HYPERLINK("https://klasma.github.io/Logging_2061/artfynd/A 34942-2024 artfynd.xlsx", "A 34942-2024")</f>
        <v/>
      </c>
      <c r="T1101">
        <f>HYPERLINK("https://klasma.github.io/Logging_2061/kartor/A 34942-2024 karta.png", "A 34942-2024")</f>
        <v/>
      </c>
      <c r="V1101">
        <f>HYPERLINK("https://klasma.github.io/Logging_2061/klagomål/A 34942-2024 FSC-klagomål.docx", "A 34942-2024")</f>
        <v/>
      </c>
      <c r="W1101">
        <f>HYPERLINK("https://klasma.github.io/Logging_2061/klagomålsmail/A 34942-2024 FSC-klagomål mail.docx", "A 34942-2024")</f>
        <v/>
      </c>
      <c r="X1101">
        <f>HYPERLINK("https://klasma.github.io/Logging_2061/tillsyn/A 34942-2024 tillsynsbegäran.docx", "A 34942-2024")</f>
        <v/>
      </c>
      <c r="Y1101">
        <f>HYPERLINK("https://klasma.github.io/Logging_2061/tillsynsmail/A 34942-2024 tillsynsbegäran mail.docx", "A 34942-2024")</f>
        <v/>
      </c>
    </row>
    <row r="1102" ht="15" customHeight="1">
      <c r="A1102" t="inlineStr">
        <is>
          <t>A 22198-2025</t>
        </is>
      </c>
      <c r="B1102" s="1" t="n">
        <v>45785.64866898148</v>
      </c>
      <c r="C1102" s="1" t="n">
        <v>46114</v>
      </c>
      <c r="D1102" t="inlineStr">
        <is>
          <t>DALARNAS LÄN</t>
        </is>
      </c>
      <c r="E1102" t="inlineStr">
        <is>
          <t>SMEDJEBACKEN</t>
        </is>
      </c>
      <c r="F1102" t="inlineStr">
        <is>
          <t>Övriga Aktiebolag</t>
        </is>
      </c>
      <c r="G1102" t="n">
        <v>1.5</v>
      </c>
      <c r="H1102" t="n">
        <v>0</v>
      </c>
      <c r="I1102" t="n">
        <v>1</v>
      </c>
      <c r="J1102" t="n">
        <v>0</v>
      </c>
      <c r="K1102" t="n">
        <v>0</v>
      </c>
      <c r="L1102" t="n">
        <v>0</v>
      </c>
      <c r="M1102" t="n">
        <v>0</v>
      </c>
      <c r="N1102" t="n">
        <v>0</v>
      </c>
      <c r="O1102" t="n">
        <v>0</v>
      </c>
      <c r="P1102" t="n">
        <v>0</v>
      </c>
      <c r="Q1102" t="n">
        <v>1</v>
      </c>
      <c r="R1102" s="2" t="inlineStr">
        <is>
          <t>Mindre märgborre</t>
        </is>
      </c>
      <c r="S1102">
        <f>HYPERLINK("https://klasma.github.io/Logging_2061/artfynd/A 22198-2025 artfynd.xlsx", "A 22198-2025")</f>
        <v/>
      </c>
      <c r="T1102">
        <f>HYPERLINK("https://klasma.github.io/Logging_2061/kartor/A 22198-2025 karta.png", "A 22198-2025")</f>
        <v/>
      </c>
      <c r="V1102">
        <f>HYPERLINK("https://klasma.github.io/Logging_2061/klagomål/A 22198-2025 FSC-klagomål.docx", "A 22198-2025")</f>
        <v/>
      </c>
      <c r="W1102">
        <f>HYPERLINK("https://klasma.github.io/Logging_2061/klagomålsmail/A 22198-2025 FSC-klagomål mail.docx", "A 22198-2025")</f>
        <v/>
      </c>
      <c r="X1102">
        <f>HYPERLINK("https://klasma.github.io/Logging_2061/tillsyn/A 22198-2025 tillsynsbegäran.docx", "A 22198-2025")</f>
        <v/>
      </c>
      <c r="Y1102">
        <f>HYPERLINK("https://klasma.github.io/Logging_2061/tillsynsmail/A 22198-2025 tillsynsbegäran mail.docx", "A 22198-2025")</f>
        <v/>
      </c>
    </row>
    <row r="1103" ht="15" customHeight="1">
      <c r="A1103" t="inlineStr">
        <is>
          <t>A 31124-2024</t>
        </is>
      </c>
      <c r="B1103" s="1" t="n">
        <v>45502.62886574074</v>
      </c>
      <c r="C1103" s="1" t="n">
        <v>46114</v>
      </c>
      <c r="D1103" t="inlineStr">
        <is>
          <t>DALARNAS LÄN</t>
        </is>
      </c>
      <c r="E1103" t="inlineStr">
        <is>
          <t>LEKSAND</t>
        </is>
      </c>
      <c r="G1103" t="n">
        <v>1.9</v>
      </c>
      <c r="H1103" t="n">
        <v>1</v>
      </c>
      <c r="I1103" t="n">
        <v>0</v>
      </c>
      <c r="J1103" t="n">
        <v>0</v>
      </c>
      <c r="K1103" t="n">
        <v>1</v>
      </c>
      <c r="L1103" t="n">
        <v>0</v>
      </c>
      <c r="M1103" t="n">
        <v>0</v>
      </c>
      <c r="N1103" t="n">
        <v>0</v>
      </c>
      <c r="O1103" t="n">
        <v>1</v>
      </c>
      <c r="P1103" t="n">
        <v>1</v>
      </c>
      <c r="Q1103" t="n">
        <v>1</v>
      </c>
      <c r="R1103" s="2" t="inlineStr">
        <is>
          <t>Väddnätfjäril</t>
        </is>
      </c>
      <c r="S1103">
        <f>HYPERLINK("https://klasma.github.io/Logging_2029/artfynd/A 31124-2024 artfynd.xlsx", "A 31124-2024")</f>
        <v/>
      </c>
      <c r="T1103">
        <f>HYPERLINK("https://klasma.github.io/Logging_2029/kartor/A 31124-2024 karta.png", "A 31124-2024")</f>
        <v/>
      </c>
      <c r="V1103">
        <f>HYPERLINK("https://klasma.github.io/Logging_2029/klagomål/A 31124-2024 FSC-klagomål.docx", "A 31124-2024")</f>
        <v/>
      </c>
      <c r="W1103">
        <f>HYPERLINK("https://klasma.github.io/Logging_2029/klagomålsmail/A 31124-2024 FSC-klagomål mail.docx", "A 31124-2024")</f>
        <v/>
      </c>
      <c r="X1103">
        <f>HYPERLINK("https://klasma.github.io/Logging_2029/tillsyn/A 31124-2024 tillsynsbegäran.docx", "A 31124-2024")</f>
        <v/>
      </c>
      <c r="Y1103">
        <f>HYPERLINK("https://klasma.github.io/Logging_2029/tillsynsmail/A 31124-2024 tillsynsbegäran mail.docx", "A 31124-2024")</f>
        <v/>
      </c>
    </row>
    <row r="1104" ht="15" customHeight="1">
      <c r="A1104" t="inlineStr">
        <is>
          <t>A 22026-2025</t>
        </is>
      </c>
      <c r="B1104" s="1" t="n">
        <v>45784.99015046296</v>
      </c>
      <c r="C1104" s="1" t="n">
        <v>46114</v>
      </c>
      <c r="D1104" t="inlineStr">
        <is>
          <t>DALARNAS LÄN</t>
        </is>
      </c>
      <c r="E1104" t="inlineStr">
        <is>
          <t>RÄTTVIK</t>
        </is>
      </c>
      <c r="G1104" t="n">
        <v>6.7</v>
      </c>
      <c r="H1104" t="n">
        <v>0</v>
      </c>
      <c r="I1104" t="n">
        <v>0</v>
      </c>
      <c r="J1104" t="n">
        <v>1</v>
      </c>
      <c r="K1104" t="n">
        <v>0</v>
      </c>
      <c r="L1104" t="n">
        <v>0</v>
      </c>
      <c r="M1104" t="n">
        <v>0</v>
      </c>
      <c r="N1104" t="n">
        <v>0</v>
      </c>
      <c r="O1104" t="n">
        <v>1</v>
      </c>
      <c r="P1104" t="n">
        <v>0</v>
      </c>
      <c r="Q1104" t="n">
        <v>1</v>
      </c>
      <c r="R1104" s="2" t="inlineStr">
        <is>
          <t>Garnlav</t>
        </is>
      </c>
      <c r="S1104">
        <f>HYPERLINK("https://klasma.github.io/Logging_2031/artfynd/A 22026-2025 artfynd.xlsx", "A 22026-2025")</f>
        <v/>
      </c>
      <c r="T1104">
        <f>HYPERLINK("https://klasma.github.io/Logging_2031/kartor/A 22026-2025 karta.png", "A 22026-2025")</f>
        <v/>
      </c>
      <c r="V1104">
        <f>HYPERLINK("https://klasma.github.io/Logging_2031/klagomål/A 22026-2025 FSC-klagomål.docx", "A 22026-2025")</f>
        <v/>
      </c>
      <c r="W1104">
        <f>HYPERLINK("https://klasma.github.io/Logging_2031/klagomålsmail/A 22026-2025 FSC-klagomål mail.docx", "A 22026-2025")</f>
        <v/>
      </c>
      <c r="X1104">
        <f>HYPERLINK("https://klasma.github.io/Logging_2031/tillsyn/A 22026-2025 tillsynsbegäran.docx", "A 22026-2025")</f>
        <v/>
      </c>
      <c r="Y1104">
        <f>HYPERLINK("https://klasma.github.io/Logging_2031/tillsynsmail/A 22026-2025 tillsynsbegäran mail.docx", "A 22026-2025")</f>
        <v/>
      </c>
    </row>
    <row r="1105" ht="15" customHeight="1">
      <c r="A1105" t="inlineStr">
        <is>
          <t>A 22286-2025</t>
        </is>
      </c>
      <c r="B1105" s="1" t="n">
        <v>45786.34402777778</v>
      </c>
      <c r="C1105" s="1" t="n">
        <v>46114</v>
      </c>
      <c r="D1105" t="inlineStr">
        <is>
          <t>DALARNAS LÄN</t>
        </is>
      </c>
      <c r="E1105" t="inlineStr">
        <is>
          <t>ÄLVDALEN</t>
        </is>
      </c>
      <c r="F1105" t="inlineStr">
        <is>
          <t>Sveaskog</t>
        </is>
      </c>
      <c r="G1105" t="n">
        <v>1.3</v>
      </c>
      <c r="H1105" t="n">
        <v>0</v>
      </c>
      <c r="I1105" t="n">
        <v>0</v>
      </c>
      <c r="J1105" t="n">
        <v>1</v>
      </c>
      <c r="K1105" t="n">
        <v>0</v>
      </c>
      <c r="L1105" t="n">
        <v>0</v>
      </c>
      <c r="M1105" t="n">
        <v>0</v>
      </c>
      <c r="N1105" t="n">
        <v>0</v>
      </c>
      <c r="O1105" t="n">
        <v>1</v>
      </c>
      <c r="P1105" t="n">
        <v>0</v>
      </c>
      <c r="Q1105" t="n">
        <v>1</v>
      </c>
      <c r="R1105" s="2" t="inlineStr">
        <is>
          <t>Kolflarnlav</t>
        </is>
      </c>
      <c r="S1105">
        <f>HYPERLINK("https://klasma.github.io/Logging_2039/artfynd/A 22286-2025 artfynd.xlsx", "A 22286-2025")</f>
        <v/>
      </c>
      <c r="T1105">
        <f>HYPERLINK("https://klasma.github.io/Logging_2039/kartor/A 22286-2025 karta.png", "A 22286-2025")</f>
        <v/>
      </c>
      <c r="V1105">
        <f>HYPERLINK("https://klasma.github.io/Logging_2039/klagomål/A 22286-2025 FSC-klagomål.docx", "A 22286-2025")</f>
        <v/>
      </c>
      <c r="W1105">
        <f>HYPERLINK("https://klasma.github.io/Logging_2039/klagomålsmail/A 22286-2025 FSC-klagomål mail.docx", "A 22286-2025")</f>
        <v/>
      </c>
      <c r="X1105">
        <f>HYPERLINK("https://klasma.github.io/Logging_2039/tillsyn/A 22286-2025 tillsynsbegäran.docx", "A 22286-2025")</f>
        <v/>
      </c>
      <c r="Y1105">
        <f>HYPERLINK("https://klasma.github.io/Logging_2039/tillsynsmail/A 22286-2025 tillsynsbegäran mail.docx", "A 22286-2025")</f>
        <v/>
      </c>
    </row>
    <row r="1106" ht="15" customHeight="1">
      <c r="A1106" t="inlineStr">
        <is>
          <t>A 23085-2025</t>
        </is>
      </c>
      <c r="B1106" s="1" t="n">
        <v>45791</v>
      </c>
      <c r="C1106" s="1" t="n">
        <v>46114</v>
      </c>
      <c r="D1106" t="inlineStr">
        <is>
          <t>DALARNAS LÄN</t>
        </is>
      </c>
      <c r="E1106" t="inlineStr">
        <is>
          <t>LUDVIKA</t>
        </is>
      </c>
      <c r="F1106" t="inlineStr">
        <is>
          <t>Bergvik skog väst AB</t>
        </is>
      </c>
      <c r="G1106" t="n">
        <v>3.9</v>
      </c>
      <c r="H1106" t="n">
        <v>1</v>
      </c>
      <c r="I1106" t="n">
        <v>0</v>
      </c>
      <c r="J1106" t="n">
        <v>0</v>
      </c>
      <c r="K1106" t="n">
        <v>1</v>
      </c>
      <c r="L1106" t="n">
        <v>0</v>
      </c>
      <c r="M1106" t="n">
        <v>0</v>
      </c>
      <c r="N1106" t="n">
        <v>0</v>
      </c>
      <c r="O1106" t="n">
        <v>1</v>
      </c>
      <c r="P1106" t="n">
        <v>1</v>
      </c>
      <c r="Q1106" t="n">
        <v>1</v>
      </c>
      <c r="R1106" s="2" t="inlineStr">
        <is>
          <t>Berguv</t>
        </is>
      </c>
      <c r="S1106">
        <f>HYPERLINK("https://klasma.github.io/Logging_2085/artfynd/A 23085-2025 artfynd.xlsx", "A 23085-2025")</f>
        <v/>
      </c>
      <c r="T1106">
        <f>HYPERLINK("https://klasma.github.io/Logging_2085/kartor/A 23085-2025 karta.png", "A 23085-2025")</f>
        <v/>
      </c>
      <c r="V1106">
        <f>HYPERLINK("https://klasma.github.io/Logging_2085/klagomål/A 23085-2025 FSC-klagomål.docx", "A 23085-2025")</f>
        <v/>
      </c>
      <c r="W1106">
        <f>HYPERLINK("https://klasma.github.io/Logging_2085/klagomålsmail/A 23085-2025 FSC-klagomål mail.docx", "A 23085-2025")</f>
        <v/>
      </c>
      <c r="X1106">
        <f>HYPERLINK("https://klasma.github.io/Logging_2085/tillsyn/A 23085-2025 tillsynsbegäran.docx", "A 23085-2025")</f>
        <v/>
      </c>
      <c r="Y1106">
        <f>HYPERLINK("https://klasma.github.io/Logging_2085/tillsynsmail/A 23085-2025 tillsynsbegäran mail.docx", "A 23085-2025")</f>
        <v/>
      </c>
      <c r="Z1106">
        <f>HYPERLINK("https://klasma.github.io/Logging_2085/fåglar/A 23085-2025 prioriterade fågelarter.docx", "A 23085-2025")</f>
        <v/>
      </c>
    </row>
    <row r="1107" ht="15" customHeight="1">
      <c r="A1107" t="inlineStr">
        <is>
          <t>A 23087-2025</t>
        </is>
      </c>
      <c r="B1107" s="1" t="n">
        <v>45791.3395949074</v>
      </c>
      <c r="C1107" s="1" t="n">
        <v>46114</v>
      </c>
      <c r="D1107" t="inlineStr">
        <is>
          <t>DALARNAS LÄN</t>
        </is>
      </c>
      <c r="E1107" t="inlineStr">
        <is>
          <t>LUDVIKA</t>
        </is>
      </c>
      <c r="F1107" t="inlineStr">
        <is>
          <t>Bergvik skog väst AB</t>
        </is>
      </c>
      <c r="G1107" t="n">
        <v>0.9</v>
      </c>
      <c r="H1107" t="n">
        <v>0</v>
      </c>
      <c r="I1107" t="n">
        <v>1</v>
      </c>
      <c r="J1107" t="n">
        <v>0</v>
      </c>
      <c r="K1107" t="n">
        <v>0</v>
      </c>
      <c r="L1107" t="n">
        <v>0</v>
      </c>
      <c r="M1107" t="n">
        <v>0</v>
      </c>
      <c r="N1107" t="n">
        <v>0</v>
      </c>
      <c r="O1107" t="n">
        <v>0</v>
      </c>
      <c r="P1107" t="n">
        <v>0</v>
      </c>
      <c r="Q1107" t="n">
        <v>1</v>
      </c>
      <c r="R1107" s="2" t="inlineStr">
        <is>
          <t>Dropptaggsvamp</t>
        </is>
      </c>
      <c r="S1107">
        <f>HYPERLINK("https://klasma.github.io/Logging_2085/artfynd/A 23087-2025 artfynd.xlsx", "A 23087-2025")</f>
        <v/>
      </c>
      <c r="T1107">
        <f>HYPERLINK("https://klasma.github.io/Logging_2085/kartor/A 23087-2025 karta.png", "A 23087-2025")</f>
        <v/>
      </c>
      <c r="V1107">
        <f>HYPERLINK("https://klasma.github.io/Logging_2085/klagomål/A 23087-2025 FSC-klagomål.docx", "A 23087-2025")</f>
        <v/>
      </c>
      <c r="W1107">
        <f>HYPERLINK("https://klasma.github.io/Logging_2085/klagomålsmail/A 23087-2025 FSC-klagomål mail.docx", "A 23087-2025")</f>
        <v/>
      </c>
      <c r="X1107">
        <f>HYPERLINK("https://klasma.github.io/Logging_2085/tillsyn/A 23087-2025 tillsynsbegäran.docx", "A 23087-2025")</f>
        <v/>
      </c>
      <c r="Y1107">
        <f>HYPERLINK("https://klasma.github.io/Logging_2085/tillsynsmail/A 23087-2025 tillsynsbegäran mail.docx", "A 23087-2025")</f>
        <v/>
      </c>
    </row>
    <row r="1108" ht="15" customHeight="1">
      <c r="A1108" t="inlineStr">
        <is>
          <t>A 23102-2025</t>
        </is>
      </c>
      <c r="B1108" s="1" t="n">
        <v>45791.35438657407</v>
      </c>
      <c r="C1108" s="1" t="n">
        <v>46114</v>
      </c>
      <c r="D1108" t="inlineStr">
        <is>
          <t>DALARNAS LÄN</t>
        </is>
      </c>
      <c r="E1108" t="inlineStr">
        <is>
          <t>LUDVIKA</t>
        </is>
      </c>
      <c r="F1108" t="inlineStr">
        <is>
          <t>Bergvik skog väst AB</t>
        </is>
      </c>
      <c r="G1108" t="n">
        <v>0.8</v>
      </c>
      <c r="H1108" t="n">
        <v>1</v>
      </c>
      <c r="I1108" t="n">
        <v>0</v>
      </c>
      <c r="J1108" t="n">
        <v>0</v>
      </c>
      <c r="K1108" t="n">
        <v>0</v>
      </c>
      <c r="L1108" t="n">
        <v>0</v>
      </c>
      <c r="M1108" t="n">
        <v>0</v>
      </c>
      <c r="N1108" t="n">
        <v>0</v>
      </c>
      <c r="O1108" t="n">
        <v>0</v>
      </c>
      <c r="P1108" t="n">
        <v>0</v>
      </c>
      <c r="Q1108" t="n">
        <v>1</v>
      </c>
      <c r="R1108" s="2" t="inlineStr">
        <is>
          <t>Vanlig groda</t>
        </is>
      </c>
      <c r="S1108">
        <f>HYPERLINK("https://klasma.github.io/Logging_2085/artfynd/A 23102-2025 artfynd.xlsx", "A 23102-2025")</f>
        <v/>
      </c>
      <c r="T1108">
        <f>HYPERLINK("https://klasma.github.io/Logging_2085/kartor/A 23102-2025 karta.png", "A 23102-2025")</f>
        <v/>
      </c>
      <c r="V1108">
        <f>HYPERLINK("https://klasma.github.io/Logging_2085/klagomål/A 23102-2025 FSC-klagomål.docx", "A 23102-2025")</f>
        <v/>
      </c>
      <c r="W1108">
        <f>HYPERLINK("https://klasma.github.io/Logging_2085/klagomålsmail/A 23102-2025 FSC-klagomål mail.docx", "A 23102-2025")</f>
        <v/>
      </c>
      <c r="X1108">
        <f>HYPERLINK("https://klasma.github.io/Logging_2085/tillsyn/A 23102-2025 tillsynsbegäran.docx", "A 23102-2025")</f>
        <v/>
      </c>
      <c r="Y1108">
        <f>HYPERLINK("https://klasma.github.io/Logging_2085/tillsynsmail/A 23102-2025 tillsynsbegäran mail.docx", "A 23102-2025")</f>
        <v/>
      </c>
    </row>
    <row r="1109" ht="15" customHeight="1">
      <c r="A1109" t="inlineStr">
        <is>
          <t>A 23884-2025</t>
        </is>
      </c>
      <c r="B1109" s="1" t="n">
        <v>45793</v>
      </c>
      <c r="C1109" s="1" t="n">
        <v>46114</v>
      </c>
      <c r="D1109" t="inlineStr">
        <is>
          <t>DALARNAS LÄN</t>
        </is>
      </c>
      <c r="E1109" t="inlineStr">
        <is>
          <t>FALUN</t>
        </is>
      </c>
      <c r="F1109" t="inlineStr">
        <is>
          <t>Sveaskog</t>
        </is>
      </c>
      <c r="G1109" t="n">
        <v>1.1</v>
      </c>
      <c r="H1109" t="n">
        <v>1</v>
      </c>
      <c r="I1109" t="n">
        <v>0</v>
      </c>
      <c r="J1109" t="n">
        <v>0</v>
      </c>
      <c r="K1109" t="n">
        <v>0</v>
      </c>
      <c r="L1109" t="n">
        <v>0</v>
      </c>
      <c r="M1109" t="n">
        <v>0</v>
      </c>
      <c r="N1109" t="n">
        <v>0</v>
      </c>
      <c r="O1109" t="n">
        <v>0</v>
      </c>
      <c r="P1109" t="n">
        <v>0</v>
      </c>
      <c r="Q1109" t="n">
        <v>1</v>
      </c>
      <c r="R1109" s="2" t="inlineStr">
        <is>
          <t>Revlummer</t>
        </is>
      </c>
      <c r="S1109">
        <f>HYPERLINK("https://klasma.github.io/Logging_2080/artfynd/A 23884-2025 artfynd.xlsx", "A 23884-2025")</f>
        <v/>
      </c>
      <c r="T1109">
        <f>HYPERLINK("https://klasma.github.io/Logging_2080/kartor/A 23884-2025 karta.png", "A 23884-2025")</f>
        <v/>
      </c>
      <c r="V1109">
        <f>HYPERLINK("https://klasma.github.io/Logging_2080/klagomål/A 23884-2025 FSC-klagomål.docx", "A 23884-2025")</f>
        <v/>
      </c>
      <c r="W1109">
        <f>HYPERLINK("https://klasma.github.io/Logging_2080/klagomålsmail/A 23884-2025 FSC-klagomål mail.docx", "A 23884-2025")</f>
        <v/>
      </c>
      <c r="X1109">
        <f>HYPERLINK("https://klasma.github.io/Logging_2080/tillsyn/A 23884-2025 tillsynsbegäran.docx", "A 23884-2025")</f>
        <v/>
      </c>
      <c r="Y1109">
        <f>HYPERLINK("https://klasma.github.io/Logging_2080/tillsynsmail/A 23884-2025 tillsynsbegäran mail.docx", "A 23884-2025")</f>
        <v/>
      </c>
    </row>
    <row r="1110" ht="15" customHeight="1">
      <c r="A1110" t="inlineStr">
        <is>
          <t>A 23107-2025</t>
        </is>
      </c>
      <c r="B1110" s="1" t="n">
        <v>45791.36149305556</v>
      </c>
      <c r="C1110" s="1" t="n">
        <v>46114</v>
      </c>
      <c r="D1110" t="inlineStr">
        <is>
          <t>DALARNAS LÄN</t>
        </is>
      </c>
      <c r="E1110" t="inlineStr">
        <is>
          <t>LUDVIKA</t>
        </is>
      </c>
      <c r="F1110" t="inlineStr">
        <is>
          <t>Bergvik skog väst AB</t>
        </is>
      </c>
      <c r="G1110" t="n">
        <v>3.4</v>
      </c>
      <c r="H1110" t="n">
        <v>1</v>
      </c>
      <c r="I1110" t="n">
        <v>0</v>
      </c>
      <c r="J1110" t="n">
        <v>0</v>
      </c>
      <c r="K1110" t="n">
        <v>0</v>
      </c>
      <c r="L1110" t="n">
        <v>0</v>
      </c>
      <c r="M1110" t="n">
        <v>0</v>
      </c>
      <c r="N1110" t="n">
        <v>0</v>
      </c>
      <c r="O1110" t="n">
        <v>0</v>
      </c>
      <c r="P1110" t="n">
        <v>0</v>
      </c>
      <c r="Q1110" t="n">
        <v>1</v>
      </c>
      <c r="R1110" s="2" t="inlineStr">
        <is>
          <t>Större vattensalamander</t>
        </is>
      </c>
      <c r="S1110">
        <f>HYPERLINK("https://klasma.github.io/Logging_2085/artfynd/A 23107-2025 artfynd.xlsx", "A 23107-2025")</f>
        <v/>
      </c>
      <c r="T1110">
        <f>HYPERLINK("https://klasma.github.io/Logging_2085/kartor/A 23107-2025 karta.png", "A 23107-2025")</f>
        <v/>
      </c>
      <c r="V1110">
        <f>HYPERLINK("https://klasma.github.io/Logging_2085/klagomål/A 23107-2025 FSC-klagomål.docx", "A 23107-2025")</f>
        <v/>
      </c>
      <c r="W1110">
        <f>HYPERLINK("https://klasma.github.io/Logging_2085/klagomålsmail/A 23107-2025 FSC-klagomål mail.docx", "A 23107-2025")</f>
        <v/>
      </c>
      <c r="X1110">
        <f>HYPERLINK("https://klasma.github.io/Logging_2085/tillsyn/A 23107-2025 tillsynsbegäran.docx", "A 23107-2025")</f>
        <v/>
      </c>
      <c r="Y1110">
        <f>HYPERLINK("https://klasma.github.io/Logging_2085/tillsynsmail/A 23107-2025 tillsynsbegäran mail.docx", "A 23107-2025")</f>
        <v/>
      </c>
    </row>
    <row r="1111" ht="15" customHeight="1">
      <c r="A1111" t="inlineStr">
        <is>
          <t>A 34305-2024</t>
        </is>
      </c>
      <c r="B1111" s="1" t="n">
        <v>45524</v>
      </c>
      <c r="C1111" s="1" t="n">
        <v>46114</v>
      </c>
      <c r="D1111" t="inlineStr">
        <is>
          <t>DALARNAS LÄN</t>
        </is>
      </c>
      <c r="E1111" t="inlineStr">
        <is>
          <t>RÄTTVIK</t>
        </is>
      </c>
      <c r="G1111" t="n">
        <v>18.1</v>
      </c>
      <c r="H1111" t="n">
        <v>0</v>
      </c>
      <c r="I1111" t="n">
        <v>1</v>
      </c>
      <c r="J1111" t="n">
        <v>0</v>
      </c>
      <c r="K1111" t="n">
        <v>0</v>
      </c>
      <c r="L1111" t="n">
        <v>0</v>
      </c>
      <c r="M1111" t="n">
        <v>0</v>
      </c>
      <c r="N1111" t="n">
        <v>0</v>
      </c>
      <c r="O1111" t="n">
        <v>0</v>
      </c>
      <c r="P1111" t="n">
        <v>0</v>
      </c>
      <c r="Q1111" t="n">
        <v>1</v>
      </c>
      <c r="R1111" s="2" t="inlineStr">
        <is>
          <t>Mindre märgborre</t>
        </is>
      </c>
      <c r="S1111">
        <f>HYPERLINK("https://klasma.github.io/Logging_2031/artfynd/A 34305-2024 artfynd.xlsx", "A 34305-2024")</f>
        <v/>
      </c>
      <c r="T1111">
        <f>HYPERLINK("https://klasma.github.io/Logging_2031/kartor/A 34305-2024 karta.png", "A 34305-2024")</f>
        <v/>
      </c>
      <c r="V1111">
        <f>HYPERLINK("https://klasma.github.io/Logging_2031/klagomål/A 34305-2024 FSC-klagomål.docx", "A 34305-2024")</f>
        <v/>
      </c>
      <c r="W1111">
        <f>HYPERLINK("https://klasma.github.io/Logging_2031/klagomålsmail/A 34305-2024 FSC-klagomål mail.docx", "A 34305-2024")</f>
        <v/>
      </c>
      <c r="X1111">
        <f>HYPERLINK("https://klasma.github.io/Logging_2031/tillsyn/A 34305-2024 tillsynsbegäran.docx", "A 34305-2024")</f>
        <v/>
      </c>
      <c r="Y1111">
        <f>HYPERLINK("https://klasma.github.io/Logging_2031/tillsynsmail/A 34305-2024 tillsynsbegäran mail.docx", "A 34305-2024")</f>
        <v/>
      </c>
    </row>
    <row r="1112" ht="15" customHeight="1">
      <c r="A1112" t="inlineStr">
        <is>
          <t>A 24972-2025</t>
        </is>
      </c>
      <c r="B1112" s="1" t="n">
        <v>45799.58873842593</v>
      </c>
      <c r="C1112" s="1" t="n">
        <v>46114</v>
      </c>
      <c r="D1112" t="inlineStr">
        <is>
          <t>DALARNAS LÄN</t>
        </is>
      </c>
      <c r="E1112" t="inlineStr">
        <is>
          <t>MALUNG-SÄLEN</t>
        </is>
      </c>
      <c r="G1112" t="n">
        <v>1.8</v>
      </c>
      <c r="H1112" t="n">
        <v>0</v>
      </c>
      <c r="I1112" t="n">
        <v>0</v>
      </c>
      <c r="J1112" t="n">
        <v>1</v>
      </c>
      <c r="K1112" t="n">
        <v>0</v>
      </c>
      <c r="L1112" t="n">
        <v>0</v>
      </c>
      <c r="M1112" t="n">
        <v>0</v>
      </c>
      <c r="N1112" t="n">
        <v>0</v>
      </c>
      <c r="O1112" t="n">
        <v>1</v>
      </c>
      <c r="P1112" t="n">
        <v>0</v>
      </c>
      <c r="Q1112" t="n">
        <v>1</v>
      </c>
      <c r="R1112" s="2" t="inlineStr">
        <is>
          <t>Garnlav</t>
        </is>
      </c>
      <c r="S1112">
        <f>HYPERLINK("https://klasma.github.io/Logging_2023/artfynd/A 24972-2025 artfynd.xlsx", "A 24972-2025")</f>
        <v/>
      </c>
      <c r="T1112">
        <f>HYPERLINK("https://klasma.github.io/Logging_2023/kartor/A 24972-2025 karta.png", "A 24972-2025")</f>
        <v/>
      </c>
      <c r="V1112">
        <f>HYPERLINK("https://klasma.github.io/Logging_2023/klagomål/A 24972-2025 FSC-klagomål.docx", "A 24972-2025")</f>
        <v/>
      </c>
      <c r="W1112">
        <f>HYPERLINK("https://klasma.github.io/Logging_2023/klagomålsmail/A 24972-2025 FSC-klagomål mail.docx", "A 24972-2025")</f>
        <v/>
      </c>
      <c r="X1112">
        <f>HYPERLINK("https://klasma.github.io/Logging_2023/tillsyn/A 24972-2025 tillsynsbegäran.docx", "A 24972-2025")</f>
        <v/>
      </c>
      <c r="Y1112">
        <f>HYPERLINK("https://klasma.github.io/Logging_2023/tillsynsmail/A 24972-2025 tillsynsbegäran mail.docx", "A 24972-2025")</f>
        <v/>
      </c>
    </row>
    <row r="1113" ht="15" customHeight="1">
      <c r="A1113" t="inlineStr">
        <is>
          <t>A 24761-2025</t>
        </is>
      </c>
      <c r="B1113" s="1" t="n">
        <v>45799</v>
      </c>
      <c r="C1113" s="1" t="n">
        <v>46114</v>
      </c>
      <c r="D1113" t="inlineStr">
        <is>
          <t>DALARNAS LÄN</t>
        </is>
      </c>
      <c r="E1113" t="inlineStr">
        <is>
          <t>BORLÄNGE</t>
        </is>
      </c>
      <c r="G1113" t="n">
        <v>3</v>
      </c>
      <c r="H1113" t="n">
        <v>0</v>
      </c>
      <c r="I1113" t="n">
        <v>1</v>
      </c>
      <c r="J1113" t="n">
        <v>0</v>
      </c>
      <c r="K1113" t="n">
        <v>0</v>
      </c>
      <c r="L1113" t="n">
        <v>0</v>
      </c>
      <c r="M1113" t="n">
        <v>0</v>
      </c>
      <c r="N1113" t="n">
        <v>0</v>
      </c>
      <c r="O1113" t="n">
        <v>0</v>
      </c>
      <c r="P1113" t="n">
        <v>0</v>
      </c>
      <c r="Q1113" t="n">
        <v>1</v>
      </c>
      <c r="R1113" s="2" t="inlineStr">
        <is>
          <t>Bronshjon</t>
        </is>
      </c>
      <c r="S1113">
        <f>HYPERLINK("https://klasma.github.io/Logging_2081/artfynd/A 24761-2025 artfynd.xlsx", "A 24761-2025")</f>
        <v/>
      </c>
      <c r="T1113">
        <f>HYPERLINK("https://klasma.github.io/Logging_2081/kartor/A 24761-2025 karta.png", "A 24761-2025")</f>
        <v/>
      </c>
      <c r="V1113">
        <f>HYPERLINK("https://klasma.github.io/Logging_2081/klagomål/A 24761-2025 FSC-klagomål.docx", "A 24761-2025")</f>
        <v/>
      </c>
      <c r="W1113">
        <f>HYPERLINK("https://klasma.github.io/Logging_2081/klagomålsmail/A 24761-2025 FSC-klagomål mail.docx", "A 24761-2025")</f>
        <v/>
      </c>
      <c r="X1113">
        <f>HYPERLINK("https://klasma.github.io/Logging_2081/tillsyn/A 24761-2025 tillsynsbegäran.docx", "A 24761-2025")</f>
        <v/>
      </c>
      <c r="Y1113">
        <f>HYPERLINK("https://klasma.github.io/Logging_2081/tillsynsmail/A 24761-2025 tillsynsbegäran mail.docx", "A 24761-2025")</f>
        <v/>
      </c>
    </row>
    <row r="1114" ht="15" customHeight="1">
      <c r="A1114" t="inlineStr">
        <is>
          <t>A 5304-2023</t>
        </is>
      </c>
      <c r="B1114" s="1" t="n">
        <v>44959.55116898148</v>
      </c>
      <c r="C1114" s="1" t="n">
        <v>46114</v>
      </c>
      <c r="D1114" t="inlineStr">
        <is>
          <t>DALARNAS LÄN</t>
        </is>
      </c>
      <c r="E1114" t="inlineStr">
        <is>
          <t>MORA</t>
        </is>
      </c>
      <c r="F1114" t="inlineStr">
        <is>
          <t>Bergvik skog väst AB</t>
        </is>
      </c>
      <c r="G1114" t="n">
        <v>7.3</v>
      </c>
      <c r="H1114" t="n">
        <v>0</v>
      </c>
      <c r="I1114" t="n">
        <v>0</v>
      </c>
      <c r="J1114" t="n">
        <v>1</v>
      </c>
      <c r="K1114" t="n">
        <v>0</v>
      </c>
      <c r="L1114" t="n">
        <v>0</v>
      </c>
      <c r="M1114" t="n">
        <v>0</v>
      </c>
      <c r="N1114" t="n">
        <v>0</v>
      </c>
      <c r="O1114" t="n">
        <v>1</v>
      </c>
      <c r="P1114" t="n">
        <v>0</v>
      </c>
      <c r="Q1114" t="n">
        <v>1</v>
      </c>
      <c r="R1114" s="2" t="inlineStr">
        <is>
          <t>Backruta</t>
        </is>
      </c>
      <c r="S1114">
        <f>HYPERLINK("https://klasma.github.io/Logging_2062/artfynd/A 5304-2023 artfynd.xlsx", "A 5304-2023")</f>
        <v/>
      </c>
      <c r="T1114">
        <f>HYPERLINK("https://klasma.github.io/Logging_2062/kartor/A 5304-2023 karta.png", "A 5304-2023")</f>
        <v/>
      </c>
      <c r="V1114">
        <f>HYPERLINK("https://klasma.github.io/Logging_2062/klagomål/A 5304-2023 FSC-klagomål.docx", "A 5304-2023")</f>
        <v/>
      </c>
      <c r="W1114">
        <f>HYPERLINK("https://klasma.github.io/Logging_2062/klagomålsmail/A 5304-2023 FSC-klagomål mail.docx", "A 5304-2023")</f>
        <v/>
      </c>
      <c r="X1114">
        <f>HYPERLINK("https://klasma.github.io/Logging_2062/tillsyn/A 5304-2023 tillsynsbegäran.docx", "A 5304-2023")</f>
        <v/>
      </c>
      <c r="Y1114">
        <f>HYPERLINK("https://klasma.github.io/Logging_2062/tillsynsmail/A 5304-2023 tillsynsbegäran mail.docx", "A 5304-2023")</f>
        <v/>
      </c>
    </row>
    <row r="1115" ht="15" customHeight="1">
      <c r="A1115" t="inlineStr">
        <is>
          <t>A 25282-2025</t>
        </is>
      </c>
      <c r="B1115" s="1" t="n">
        <v>45800</v>
      </c>
      <c r="C1115" s="1" t="n">
        <v>46114</v>
      </c>
      <c r="D1115" t="inlineStr">
        <is>
          <t>DALARNAS LÄN</t>
        </is>
      </c>
      <c r="E1115" t="inlineStr">
        <is>
          <t>LUDVIKA</t>
        </is>
      </c>
      <c r="F1115" t="inlineStr">
        <is>
          <t>Bergvik skog väst AB</t>
        </is>
      </c>
      <c r="G1115" t="n">
        <v>4.8</v>
      </c>
      <c r="H1115" t="n">
        <v>0</v>
      </c>
      <c r="I1115" t="n">
        <v>0</v>
      </c>
      <c r="J1115" t="n">
        <v>1</v>
      </c>
      <c r="K1115" t="n">
        <v>0</v>
      </c>
      <c r="L1115" t="n">
        <v>0</v>
      </c>
      <c r="M1115" t="n">
        <v>0</v>
      </c>
      <c r="N1115" t="n">
        <v>0</v>
      </c>
      <c r="O1115" t="n">
        <v>1</v>
      </c>
      <c r="P1115" t="n">
        <v>0</v>
      </c>
      <c r="Q1115" t="n">
        <v>1</v>
      </c>
      <c r="R1115" s="2" t="inlineStr">
        <is>
          <t>Garnlav</t>
        </is>
      </c>
      <c r="S1115">
        <f>HYPERLINK("https://klasma.github.io/Logging_2085/artfynd/A 25282-2025 artfynd.xlsx", "A 25282-2025")</f>
        <v/>
      </c>
      <c r="T1115">
        <f>HYPERLINK("https://klasma.github.io/Logging_2085/kartor/A 25282-2025 karta.png", "A 25282-2025")</f>
        <v/>
      </c>
      <c r="V1115">
        <f>HYPERLINK("https://klasma.github.io/Logging_2085/klagomål/A 25282-2025 FSC-klagomål.docx", "A 25282-2025")</f>
        <v/>
      </c>
      <c r="W1115">
        <f>HYPERLINK("https://klasma.github.io/Logging_2085/klagomålsmail/A 25282-2025 FSC-klagomål mail.docx", "A 25282-2025")</f>
        <v/>
      </c>
      <c r="X1115">
        <f>HYPERLINK("https://klasma.github.io/Logging_2085/tillsyn/A 25282-2025 tillsynsbegäran.docx", "A 25282-2025")</f>
        <v/>
      </c>
      <c r="Y1115">
        <f>HYPERLINK("https://klasma.github.io/Logging_2085/tillsynsmail/A 25282-2025 tillsynsbegäran mail.docx", "A 25282-2025")</f>
        <v/>
      </c>
    </row>
    <row r="1116" ht="15" customHeight="1">
      <c r="A1116" t="inlineStr">
        <is>
          <t>A 26240-2025</t>
        </is>
      </c>
      <c r="B1116" s="1" t="n">
        <v>45805.5721412037</v>
      </c>
      <c r="C1116" s="1" t="n">
        <v>46114</v>
      </c>
      <c r="D1116" t="inlineStr">
        <is>
          <t>DALARNAS LÄN</t>
        </is>
      </c>
      <c r="E1116" t="inlineStr">
        <is>
          <t>MALUNG-SÄLEN</t>
        </is>
      </c>
      <c r="F1116" t="inlineStr">
        <is>
          <t>Bergvik skog öst AB</t>
        </is>
      </c>
      <c r="G1116" t="n">
        <v>1.3</v>
      </c>
      <c r="H1116" t="n">
        <v>1</v>
      </c>
      <c r="I1116" t="n">
        <v>0</v>
      </c>
      <c r="J1116" t="n">
        <v>1</v>
      </c>
      <c r="K1116" t="n">
        <v>0</v>
      </c>
      <c r="L1116" t="n">
        <v>0</v>
      </c>
      <c r="M1116" t="n">
        <v>0</v>
      </c>
      <c r="N1116" t="n">
        <v>0</v>
      </c>
      <c r="O1116" t="n">
        <v>1</v>
      </c>
      <c r="P1116" t="n">
        <v>0</v>
      </c>
      <c r="Q1116" t="n">
        <v>1</v>
      </c>
      <c r="R1116" s="2" t="inlineStr">
        <is>
          <t>Utter</t>
        </is>
      </c>
      <c r="S1116">
        <f>HYPERLINK("https://klasma.github.io/Logging_2023/artfynd/A 26240-2025 artfynd.xlsx", "A 26240-2025")</f>
        <v/>
      </c>
      <c r="T1116">
        <f>HYPERLINK("https://klasma.github.io/Logging_2023/kartor/A 26240-2025 karta.png", "A 26240-2025")</f>
        <v/>
      </c>
      <c r="V1116">
        <f>HYPERLINK("https://klasma.github.io/Logging_2023/klagomål/A 26240-2025 FSC-klagomål.docx", "A 26240-2025")</f>
        <v/>
      </c>
      <c r="W1116">
        <f>HYPERLINK("https://klasma.github.io/Logging_2023/klagomålsmail/A 26240-2025 FSC-klagomål mail.docx", "A 26240-2025")</f>
        <v/>
      </c>
      <c r="X1116">
        <f>HYPERLINK("https://klasma.github.io/Logging_2023/tillsyn/A 26240-2025 tillsynsbegäran.docx", "A 26240-2025")</f>
        <v/>
      </c>
      <c r="Y1116">
        <f>HYPERLINK("https://klasma.github.io/Logging_2023/tillsynsmail/A 26240-2025 tillsynsbegäran mail.docx", "A 26240-2025")</f>
        <v/>
      </c>
    </row>
    <row r="1117" ht="15" customHeight="1">
      <c r="A1117" t="inlineStr">
        <is>
          <t>A 26524-2025</t>
        </is>
      </c>
      <c r="B1117" s="1" t="n">
        <v>45807.56452546296</v>
      </c>
      <c r="C1117" s="1" t="n">
        <v>46114</v>
      </c>
      <c r="D1117" t="inlineStr">
        <is>
          <t>DALARNAS LÄN</t>
        </is>
      </c>
      <c r="E1117" t="inlineStr">
        <is>
          <t>FALUN</t>
        </is>
      </c>
      <c r="G1117" t="n">
        <v>4.1</v>
      </c>
      <c r="H1117" t="n">
        <v>1</v>
      </c>
      <c r="I1117" t="n">
        <v>0</v>
      </c>
      <c r="J1117" t="n">
        <v>0</v>
      </c>
      <c r="K1117" t="n">
        <v>1</v>
      </c>
      <c r="L1117" t="n">
        <v>0</v>
      </c>
      <c r="M1117" t="n">
        <v>0</v>
      </c>
      <c r="N1117" t="n">
        <v>0</v>
      </c>
      <c r="O1117" t="n">
        <v>1</v>
      </c>
      <c r="P1117" t="n">
        <v>1</v>
      </c>
      <c r="Q1117" t="n">
        <v>1</v>
      </c>
      <c r="R1117" s="2" t="inlineStr">
        <is>
          <t>Knärot</t>
        </is>
      </c>
      <c r="S1117">
        <f>HYPERLINK("https://klasma.github.io/Logging_2080/artfynd/A 26524-2025 artfynd.xlsx", "A 26524-2025")</f>
        <v/>
      </c>
      <c r="T1117">
        <f>HYPERLINK("https://klasma.github.io/Logging_2080/kartor/A 26524-2025 karta.png", "A 26524-2025")</f>
        <v/>
      </c>
      <c r="U1117">
        <f>HYPERLINK("https://klasma.github.io/Logging_2080/knärot/A 26524-2025 karta knärot.png", "A 26524-2025")</f>
        <v/>
      </c>
      <c r="V1117">
        <f>HYPERLINK("https://klasma.github.io/Logging_2080/klagomål/A 26524-2025 FSC-klagomål.docx", "A 26524-2025")</f>
        <v/>
      </c>
      <c r="W1117">
        <f>HYPERLINK("https://klasma.github.io/Logging_2080/klagomålsmail/A 26524-2025 FSC-klagomål mail.docx", "A 26524-2025")</f>
        <v/>
      </c>
      <c r="X1117">
        <f>HYPERLINK("https://klasma.github.io/Logging_2080/tillsyn/A 26524-2025 tillsynsbegäran.docx", "A 26524-2025")</f>
        <v/>
      </c>
      <c r="Y1117">
        <f>HYPERLINK("https://klasma.github.io/Logging_2080/tillsynsmail/A 26524-2025 tillsynsbegäran mail.docx", "A 26524-2025")</f>
        <v/>
      </c>
    </row>
    <row r="1118" ht="15" customHeight="1">
      <c r="A1118" t="inlineStr">
        <is>
          <t>A 26721-2025</t>
        </is>
      </c>
      <c r="B1118" s="1" t="n">
        <v>45810.48893518518</v>
      </c>
      <c r="C1118" s="1" t="n">
        <v>46114</v>
      </c>
      <c r="D1118" t="inlineStr">
        <is>
          <t>DALARNAS LÄN</t>
        </is>
      </c>
      <c r="E1118" t="inlineStr">
        <is>
          <t>FALUN</t>
        </is>
      </c>
      <c r="F1118" t="inlineStr">
        <is>
          <t>Bergvik skog väst AB</t>
        </is>
      </c>
      <c r="G1118" t="n">
        <v>14.5</v>
      </c>
      <c r="H1118" t="n">
        <v>0</v>
      </c>
      <c r="I1118" t="n">
        <v>0</v>
      </c>
      <c r="J1118" t="n">
        <v>1</v>
      </c>
      <c r="K1118" t="n">
        <v>0</v>
      </c>
      <c r="L1118" t="n">
        <v>0</v>
      </c>
      <c r="M1118" t="n">
        <v>0</v>
      </c>
      <c r="N1118" t="n">
        <v>0</v>
      </c>
      <c r="O1118" t="n">
        <v>1</v>
      </c>
      <c r="P1118" t="n">
        <v>0</v>
      </c>
      <c r="Q1118" t="n">
        <v>1</v>
      </c>
      <c r="R1118" s="2" t="inlineStr">
        <is>
          <t>Doftskinn</t>
        </is>
      </c>
      <c r="S1118">
        <f>HYPERLINK("https://klasma.github.io/Logging_2080/artfynd/A 26721-2025 artfynd.xlsx", "A 26721-2025")</f>
        <v/>
      </c>
      <c r="T1118">
        <f>HYPERLINK("https://klasma.github.io/Logging_2080/kartor/A 26721-2025 karta.png", "A 26721-2025")</f>
        <v/>
      </c>
      <c r="V1118">
        <f>HYPERLINK("https://klasma.github.io/Logging_2080/klagomål/A 26721-2025 FSC-klagomål.docx", "A 26721-2025")</f>
        <v/>
      </c>
      <c r="W1118">
        <f>HYPERLINK("https://klasma.github.io/Logging_2080/klagomålsmail/A 26721-2025 FSC-klagomål mail.docx", "A 26721-2025")</f>
        <v/>
      </c>
      <c r="X1118">
        <f>HYPERLINK("https://klasma.github.io/Logging_2080/tillsyn/A 26721-2025 tillsynsbegäran.docx", "A 26721-2025")</f>
        <v/>
      </c>
      <c r="Y1118">
        <f>HYPERLINK("https://klasma.github.io/Logging_2080/tillsynsmail/A 26721-2025 tillsynsbegäran mail.docx", "A 26721-2025")</f>
        <v/>
      </c>
    </row>
    <row r="1119" ht="15" customHeight="1">
      <c r="A1119" t="inlineStr">
        <is>
          <t>A 26776-2025</t>
        </is>
      </c>
      <c r="B1119" s="1" t="n">
        <v>45810.57653935185</v>
      </c>
      <c r="C1119" s="1" t="n">
        <v>46114</v>
      </c>
      <c r="D1119" t="inlineStr">
        <is>
          <t>DALARNAS LÄN</t>
        </is>
      </c>
      <c r="E1119" t="inlineStr">
        <is>
          <t>FALUN</t>
        </is>
      </c>
      <c r="F1119" t="inlineStr">
        <is>
          <t>Bergvik skog väst AB</t>
        </is>
      </c>
      <c r="G1119" t="n">
        <v>10</v>
      </c>
      <c r="H1119" t="n">
        <v>0</v>
      </c>
      <c r="I1119" t="n">
        <v>1</v>
      </c>
      <c r="J1119" t="n">
        <v>0</v>
      </c>
      <c r="K1119" t="n">
        <v>0</v>
      </c>
      <c r="L1119" t="n">
        <v>0</v>
      </c>
      <c r="M1119" t="n">
        <v>0</v>
      </c>
      <c r="N1119" t="n">
        <v>0</v>
      </c>
      <c r="O1119" t="n">
        <v>0</v>
      </c>
      <c r="P1119" t="n">
        <v>0</v>
      </c>
      <c r="Q1119" t="n">
        <v>1</v>
      </c>
      <c r="R1119" s="2" t="inlineStr">
        <is>
          <t>Skör kvastmossa</t>
        </is>
      </c>
      <c r="S1119">
        <f>HYPERLINK("https://klasma.github.io/Logging_2080/artfynd/A 26776-2025 artfynd.xlsx", "A 26776-2025")</f>
        <v/>
      </c>
      <c r="T1119">
        <f>HYPERLINK("https://klasma.github.io/Logging_2080/kartor/A 26776-2025 karta.png", "A 26776-2025")</f>
        <v/>
      </c>
      <c r="V1119">
        <f>HYPERLINK("https://klasma.github.io/Logging_2080/klagomål/A 26776-2025 FSC-klagomål.docx", "A 26776-2025")</f>
        <v/>
      </c>
      <c r="W1119">
        <f>HYPERLINK("https://klasma.github.io/Logging_2080/klagomålsmail/A 26776-2025 FSC-klagomål mail.docx", "A 26776-2025")</f>
        <v/>
      </c>
      <c r="X1119">
        <f>HYPERLINK("https://klasma.github.io/Logging_2080/tillsyn/A 26776-2025 tillsynsbegäran.docx", "A 26776-2025")</f>
        <v/>
      </c>
      <c r="Y1119">
        <f>HYPERLINK("https://klasma.github.io/Logging_2080/tillsynsmail/A 26776-2025 tillsynsbegäran mail.docx", "A 26776-2025")</f>
        <v/>
      </c>
    </row>
    <row r="1120" ht="15" customHeight="1">
      <c r="A1120" t="inlineStr">
        <is>
          <t>A 27113-2024</t>
        </is>
      </c>
      <c r="B1120" s="1" t="n">
        <v>45471</v>
      </c>
      <c r="C1120" s="1" t="n">
        <v>46114</v>
      </c>
      <c r="D1120" t="inlineStr">
        <is>
          <t>DALARNAS LÄN</t>
        </is>
      </c>
      <c r="E1120" t="inlineStr">
        <is>
          <t>MORA</t>
        </is>
      </c>
      <c r="G1120" t="n">
        <v>10.3</v>
      </c>
      <c r="H1120" t="n">
        <v>0</v>
      </c>
      <c r="I1120" t="n">
        <v>1</v>
      </c>
      <c r="J1120" t="n">
        <v>0</v>
      </c>
      <c r="K1120" t="n">
        <v>0</v>
      </c>
      <c r="L1120" t="n">
        <v>0</v>
      </c>
      <c r="M1120" t="n">
        <v>0</v>
      </c>
      <c r="N1120" t="n">
        <v>0</v>
      </c>
      <c r="O1120" t="n">
        <v>0</v>
      </c>
      <c r="P1120" t="n">
        <v>0</v>
      </c>
      <c r="Q1120" t="n">
        <v>1</v>
      </c>
      <c r="R1120" s="2" t="inlineStr">
        <is>
          <t>Stor aspticka</t>
        </is>
      </c>
      <c r="S1120">
        <f>HYPERLINK("https://klasma.github.io/Logging_2062/artfynd/A 27113-2024 artfynd.xlsx", "A 27113-2024")</f>
        <v/>
      </c>
      <c r="T1120">
        <f>HYPERLINK("https://klasma.github.io/Logging_2062/kartor/A 27113-2024 karta.png", "A 27113-2024")</f>
        <v/>
      </c>
      <c r="V1120">
        <f>HYPERLINK("https://klasma.github.io/Logging_2062/klagomål/A 27113-2024 FSC-klagomål.docx", "A 27113-2024")</f>
        <v/>
      </c>
      <c r="W1120">
        <f>HYPERLINK("https://klasma.github.io/Logging_2062/klagomålsmail/A 27113-2024 FSC-klagomål mail.docx", "A 27113-2024")</f>
        <v/>
      </c>
      <c r="X1120">
        <f>HYPERLINK("https://klasma.github.io/Logging_2062/tillsyn/A 27113-2024 tillsynsbegäran.docx", "A 27113-2024")</f>
        <v/>
      </c>
      <c r="Y1120">
        <f>HYPERLINK("https://klasma.github.io/Logging_2062/tillsynsmail/A 27113-2024 tillsynsbegäran mail.docx", "A 27113-2024")</f>
        <v/>
      </c>
    </row>
    <row r="1121" ht="15" customHeight="1">
      <c r="A1121" t="inlineStr">
        <is>
          <t>A 27929-2025</t>
        </is>
      </c>
      <c r="B1121" s="1" t="n">
        <v>45817.49222222222</v>
      </c>
      <c r="C1121" s="1" t="n">
        <v>46114</v>
      </c>
      <c r="D1121" t="inlineStr">
        <is>
          <t>DALARNAS LÄN</t>
        </is>
      </c>
      <c r="E1121" t="inlineStr">
        <is>
          <t>ÄLVDALEN</t>
        </is>
      </c>
      <c r="F1121" t="inlineStr">
        <is>
          <t>Sveaskog</t>
        </is>
      </c>
      <c r="G1121" t="n">
        <v>2.7</v>
      </c>
      <c r="H1121" t="n">
        <v>0</v>
      </c>
      <c r="I1121" t="n">
        <v>1</v>
      </c>
      <c r="J1121" t="n">
        <v>0</v>
      </c>
      <c r="K1121" t="n">
        <v>0</v>
      </c>
      <c r="L1121" t="n">
        <v>0</v>
      </c>
      <c r="M1121" t="n">
        <v>0</v>
      </c>
      <c r="N1121" t="n">
        <v>0</v>
      </c>
      <c r="O1121" t="n">
        <v>0</v>
      </c>
      <c r="P1121" t="n">
        <v>0</v>
      </c>
      <c r="Q1121" t="n">
        <v>1</v>
      </c>
      <c r="R1121" s="2" t="inlineStr">
        <is>
          <t>Dropptaggsvamp</t>
        </is>
      </c>
      <c r="S1121">
        <f>HYPERLINK("https://klasma.github.io/Logging_2039/artfynd/A 27929-2025 artfynd.xlsx", "A 27929-2025")</f>
        <v/>
      </c>
      <c r="T1121">
        <f>HYPERLINK("https://klasma.github.io/Logging_2039/kartor/A 27929-2025 karta.png", "A 27929-2025")</f>
        <v/>
      </c>
      <c r="V1121">
        <f>HYPERLINK("https://klasma.github.io/Logging_2039/klagomål/A 27929-2025 FSC-klagomål.docx", "A 27929-2025")</f>
        <v/>
      </c>
      <c r="W1121">
        <f>HYPERLINK("https://klasma.github.io/Logging_2039/klagomålsmail/A 27929-2025 FSC-klagomål mail.docx", "A 27929-2025")</f>
        <v/>
      </c>
      <c r="X1121">
        <f>HYPERLINK("https://klasma.github.io/Logging_2039/tillsyn/A 27929-2025 tillsynsbegäran.docx", "A 27929-2025")</f>
        <v/>
      </c>
      <c r="Y1121">
        <f>HYPERLINK("https://klasma.github.io/Logging_2039/tillsynsmail/A 27929-2025 tillsynsbegäran mail.docx", "A 27929-2025")</f>
        <v/>
      </c>
    </row>
    <row r="1122" ht="15" customHeight="1">
      <c r="A1122" t="inlineStr">
        <is>
          <t>A 27923-2025</t>
        </is>
      </c>
      <c r="B1122" s="1" t="n">
        <v>45817.48814814815</v>
      </c>
      <c r="C1122" s="1" t="n">
        <v>46114</v>
      </c>
      <c r="D1122" t="inlineStr">
        <is>
          <t>DALARNAS LÄN</t>
        </is>
      </c>
      <c r="E1122" t="inlineStr">
        <is>
          <t>ÄLVDALEN</t>
        </is>
      </c>
      <c r="G1122" t="n">
        <v>2.9</v>
      </c>
      <c r="H1122" t="n">
        <v>1</v>
      </c>
      <c r="I1122" t="n">
        <v>0</v>
      </c>
      <c r="J1122" t="n">
        <v>0</v>
      </c>
      <c r="K1122" t="n">
        <v>0</v>
      </c>
      <c r="L1122" t="n">
        <v>0</v>
      </c>
      <c r="M1122" t="n">
        <v>0</v>
      </c>
      <c r="N1122" t="n">
        <v>0</v>
      </c>
      <c r="O1122" t="n">
        <v>0</v>
      </c>
      <c r="P1122" t="n">
        <v>0</v>
      </c>
      <c r="Q1122" t="n">
        <v>1</v>
      </c>
      <c r="R1122" s="2" t="inlineStr">
        <is>
          <t>Lavskrika</t>
        </is>
      </c>
      <c r="S1122">
        <f>HYPERLINK("https://klasma.github.io/Logging_2039/artfynd/A 27923-2025 artfynd.xlsx", "A 27923-2025")</f>
        <v/>
      </c>
      <c r="T1122">
        <f>HYPERLINK("https://klasma.github.io/Logging_2039/kartor/A 27923-2025 karta.png", "A 27923-2025")</f>
        <v/>
      </c>
      <c r="V1122">
        <f>HYPERLINK("https://klasma.github.io/Logging_2039/klagomål/A 27923-2025 FSC-klagomål.docx", "A 27923-2025")</f>
        <v/>
      </c>
      <c r="W1122">
        <f>HYPERLINK("https://klasma.github.io/Logging_2039/klagomålsmail/A 27923-2025 FSC-klagomål mail.docx", "A 27923-2025")</f>
        <v/>
      </c>
      <c r="X1122">
        <f>HYPERLINK("https://klasma.github.io/Logging_2039/tillsyn/A 27923-2025 tillsynsbegäran.docx", "A 27923-2025")</f>
        <v/>
      </c>
      <c r="Y1122">
        <f>HYPERLINK("https://klasma.github.io/Logging_2039/tillsynsmail/A 27923-2025 tillsynsbegäran mail.docx", "A 27923-2025")</f>
        <v/>
      </c>
      <c r="Z1122">
        <f>HYPERLINK("https://klasma.github.io/Logging_2039/fåglar/A 27923-2025 prioriterade fågelarter.docx", "A 27923-2025")</f>
        <v/>
      </c>
    </row>
    <row r="1123" ht="15" customHeight="1">
      <c r="A1123" t="inlineStr">
        <is>
          <t>A 28667-2025</t>
        </is>
      </c>
      <c r="B1123" s="1" t="n">
        <v>45819.66582175926</v>
      </c>
      <c r="C1123" s="1" t="n">
        <v>46114</v>
      </c>
      <c r="D1123" t="inlineStr">
        <is>
          <t>DALARNAS LÄN</t>
        </is>
      </c>
      <c r="E1123" t="inlineStr">
        <is>
          <t>BORLÄNGE</t>
        </is>
      </c>
      <c r="F1123" t="inlineStr">
        <is>
          <t>Bergvik skog väst AB</t>
        </is>
      </c>
      <c r="G1123" t="n">
        <v>2</v>
      </c>
      <c r="H1123" t="n">
        <v>1</v>
      </c>
      <c r="I1123" t="n">
        <v>0</v>
      </c>
      <c r="J1123" t="n">
        <v>0</v>
      </c>
      <c r="K1123" t="n">
        <v>0</v>
      </c>
      <c r="L1123" t="n">
        <v>0</v>
      </c>
      <c r="M1123" t="n">
        <v>0</v>
      </c>
      <c r="N1123" t="n">
        <v>0</v>
      </c>
      <c r="O1123" t="n">
        <v>0</v>
      </c>
      <c r="P1123" t="n">
        <v>0</v>
      </c>
      <c r="Q1123" t="n">
        <v>1</v>
      </c>
      <c r="R1123" s="2" t="inlineStr">
        <is>
          <t>Tjäder</t>
        </is>
      </c>
      <c r="S1123">
        <f>HYPERLINK("https://klasma.github.io/Logging_2081/artfynd/A 28667-2025 artfynd.xlsx", "A 28667-2025")</f>
        <v/>
      </c>
      <c r="T1123">
        <f>HYPERLINK("https://klasma.github.io/Logging_2081/kartor/A 28667-2025 karta.png", "A 28667-2025")</f>
        <v/>
      </c>
      <c r="V1123">
        <f>HYPERLINK("https://klasma.github.io/Logging_2081/klagomål/A 28667-2025 FSC-klagomål.docx", "A 28667-2025")</f>
        <v/>
      </c>
      <c r="W1123">
        <f>HYPERLINK("https://klasma.github.io/Logging_2081/klagomålsmail/A 28667-2025 FSC-klagomål mail.docx", "A 28667-2025")</f>
        <v/>
      </c>
      <c r="X1123">
        <f>HYPERLINK("https://klasma.github.io/Logging_2081/tillsyn/A 28667-2025 tillsynsbegäran.docx", "A 28667-2025")</f>
        <v/>
      </c>
      <c r="Y1123">
        <f>HYPERLINK("https://klasma.github.io/Logging_2081/tillsynsmail/A 28667-2025 tillsynsbegäran mail.docx", "A 28667-2025")</f>
        <v/>
      </c>
      <c r="Z1123">
        <f>HYPERLINK("https://klasma.github.io/Logging_2081/fåglar/A 28667-2025 prioriterade fågelarter.docx", "A 28667-2025")</f>
        <v/>
      </c>
    </row>
    <row r="1124" ht="15" customHeight="1">
      <c r="A1124" t="inlineStr">
        <is>
          <t>A 28181-2025</t>
        </is>
      </c>
      <c r="B1124" s="1" t="n">
        <v>45818.39921296296</v>
      </c>
      <c r="C1124" s="1" t="n">
        <v>46114</v>
      </c>
      <c r="D1124" t="inlineStr">
        <is>
          <t>DALARNAS LÄN</t>
        </is>
      </c>
      <c r="E1124" t="inlineStr">
        <is>
          <t>HEDEMORA</t>
        </is>
      </c>
      <c r="F1124" t="inlineStr">
        <is>
          <t>Sveaskog</t>
        </is>
      </c>
      <c r="G1124" t="n">
        <v>2.4</v>
      </c>
      <c r="H1124" t="n">
        <v>1</v>
      </c>
      <c r="I1124" t="n">
        <v>1</v>
      </c>
      <c r="J1124" t="n">
        <v>0</v>
      </c>
      <c r="K1124" t="n">
        <v>0</v>
      </c>
      <c r="L1124" t="n">
        <v>0</v>
      </c>
      <c r="M1124" t="n">
        <v>0</v>
      </c>
      <c r="N1124" t="n">
        <v>0</v>
      </c>
      <c r="O1124" t="n">
        <v>0</v>
      </c>
      <c r="P1124" t="n">
        <v>0</v>
      </c>
      <c r="Q1124" t="n">
        <v>1</v>
      </c>
      <c r="R1124" s="2" t="inlineStr">
        <is>
          <t>Plattlummer</t>
        </is>
      </c>
      <c r="S1124">
        <f>HYPERLINK("https://klasma.github.io/Logging_2083/artfynd/A 28181-2025 artfynd.xlsx", "A 28181-2025")</f>
        <v/>
      </c>
      <c r="T1124">
        <f>HYPERLINK("https://klasma.github.io/Logging_2083/kartor/A 28181-2025 karta.png", "A 28181-2025")</f>
        <v/>
      </c>
      <c r="V1124">
        <f>HYPERLINK("https://klasma.github.io/Logging_2083/klagomål/A 28181-2025 FSC-klagomål.docx", "A 28181-2025")</f>
        <v/>
      </c>
      <c r="W1124">
        <f>HYPERLINK("https://klasma.github.io/Logging_2083/klagomålsmail/A 28181-2025 FSC-klagomål mail.docx", "A 28181-2025")</f>
        <v/>
      </c>
      <c r="X1124">
        <f>HYPERLINK("https://klasma.github.io/Logging_2083/tillsyn/A 28181-2025 tillsynsbegäran.docx", "A 28181-2025")</f>
        <v/>
      </c>
      <c r="Y1124">
        <f>HYPERLINK("https://klasma.github.io/Logging_2083/tillsynsmail/A 28181-2025 tillsynsbegäran mail.docx", "A 28181-2025")</f>
        <v/>
      </c>
    </row>
    <row r="1125" ht="15" customHeight="1">
      <c r="A1125" t="inlineStr">
        <is>
          <t>A 50385-2024</t>
        </is>
      </c>
      <c r="B1125" s="1" t="n">
        <v>45600</v>
      </c>
      <c r="C1125" s="1" t="n">
        <v>46114</v>
      </c>
      <c r="D1125" t="inlineStr">
        <is>
          <t>DALARNAS LÄN</t>
        </is>
      </c>
      <c r="E1125" t="inlineStr">
        <is>
          <t>ÄLVDALEN</t>
        </is>
      </c>
      <c r="F1125" t="inlineStr">
        <is>
          <t>Övriga statliga verk och myndigheter</t>
        </is>
      </c>
      <c r="G1125" t="n">
        <v>13.9</v>
      </c>
      <c r="H1125" t="n">
        <v>0</v>
      </c>
      <c r="I1125" t="n">
        <v>0</v>
      </c>
      <c r="J1125" t="n">
        <v>1</v>
      </c>
      <c r="K1125" t="n">
        <v>0</v>
      </c>
      <c r="L1125" t="n">
        <v>0</v>
      </c>
      <c r="M1125" t="n">
        <v>0</v>
      </c>
      <c r="N1125" t="n">
        <v>0</v>
      </c>
      <c r="O1125" t="n">
        <v>1</v>
      </c>
      <c r="P1125" t="n">
        <v>0</v>
      </c>
      <c r="Q1125" t="n">
        <v>1</v>
      </c>
      <c r="R1125" s="2" t="inlineStr">
        <is>
          <t>Gammelgransskål</t>
        </is>
      </c>
      <c r="S1125">
        <f>HYPERLINK("https://klasma.github.io/Logging_2039/artfynd/A 50385-2024 artfynd.xlsx", "A 50385-2024")</f>
        <v/>
      </c>
      <c r="T1125">
        <f>HYPERLINK("https://klasma.github.io/Logging_2039/kartor/A 50385-2024 karta.png", "A 50385-2024")</f>
        <v/>
      </c>
      <c r="V1125">
        <f>HYPERLINK("https://klasma.github.io/Logging_2039/klagomål/A 50385-2024 FSC-klagomål.docx", "A 50385-2024")</f>
        <v/>
      </c>
      <c r="W1125">
        <f>HYPERLINK("https://klasma.github.io/Logging_2039/klagomålsmail/A 50385-2024 FSC-klagomål mail.docx", "A 50385-2024")</f>
        <v/>
      </c>
      <c r="X1125">
        <f>HYPERLINK("https://klasma.github.io/Logging_2039/tillsyn/A 50385-2024 tillsynsbegäran.docx", "A 50385-2024")</f>
        <v/>
      </c>
      <c r="Y1125">
        <f>HYPERLINK("https://klasma.github.io/Logging_2039/tillsynsmail/A 50385-2024 tillsynsbegäran mail.docx", "A 50385-2024")</f>
        <v/>
      </c>
    </row>
    <row r="1126" ht="15" customHeight="1">
      <c r="A1126" t="inlineStr">
        <is>
          <t>A 29359-2025</t>
        </is>
      </c>
      <c r="B1126" s="1" t="n">
        <v>45824.56101851852</v>
      </c>
      <c r="C1126" s="1" t="n">
        <v>46114</v>
      </c>
      <c r="D1126" t="inlineStr">
        <is>
          <t>DALARNAS LÄN</t>
        </is>
      </c>
      <c r="E1126" t="inlineStr">
        <is>
          <t>MALUNG-SÄLEN</t>
        </is>
      </c>
      <c r="G1126" t="n">
        <v>1.5</v>
      </c>
      <c r="H1126" t="n">
        <v>0</v>
      </c>
      <c r="I1126" t="n">
        <v>0</v>
      </c>
      <c r="J1126" t="n">
        <v>1</v>
      </c>
      <c r="K1126" t="n">
        <v>0</v>
      </c>
      <c r="L1126" t="n">
        <v>0</v>
      </c>
      <c r="M1126" t="n">
        <v>0</v>
      </c>
      <c r="N1126" t="n">
        <v>0</v>
      </c>
      <c r="O1126" t="n">
        <v>1</v>
      </c>
      <c r="P1126" t="n">
        <v>0</v>
      </c>
      <c r="Q1126" t="n">
        <v>1</v>
      </c>
      <c r="R1126" s="2" t="inlineStr">
        <is>
          <t>Garnlav</t>
        </is>
      </c>
      <c r="S1126">
        <f>HYPERLINK("https://klasma.github.io/Logging_2023/artfynd/A 29359-2025 artfynd.xlsx", "A 29359-2025")</f>
        <v/>
      </c>
      <c r="T1126">
        <f>HYPERLINK("https://klasma.github.io/Logging_2023/kartor/A 29359-2025 karta.png", "A 29359-2025")</f>
        <v/>
      </c>
      <c r="V1126">
        <f>HYPERLINK("https://klasma.github.io/Logging_2023/klagomål/A 29359-2025 FSC-klagomål.docx", "A 29359-2025")</f>
        <v/>
      </c>
      <c r="W1126">
        <f>HYPERLINK("https://klasma.github.io/Logging_2023/klagomålsmail/A 29359-2025 FSC-klagomål mail.docx", "A 29359-2025")</f>
        <v/>
      </c>
      <c r="X1126">
        <f>HYPERLINK("https://klasma.github.io/Logging_2023/tillsyn/A 29359-2025 tillsynsbegäran.docx", "A 29359-2025")</f>
        <v/>
      </c>
      <c r="Y1126">
        <f>HYPERLINK("https://klasma.github.io/Logging_2023/tillsynsmail/A 29359-2025 tillsynsbegäran mail.docx", "A 29359-2025")</f>
        <v/>
      </c>
    </row>
    <row r="1127" ht="15" customHeight="1">
      <c r="A1127" t="inlineStr">
        <is>
          <t>A 30728-2025</t>
        </is>
      </c>
      <c r="B1127" s="1" t="n">
        <v>45831.57118055555</v>
      </c>
      <c r="C1127" s="1" t="n">
        <v>46114</v>
      </c>
      <c r="D1127" t="inlineStr">
        <is>
          <t>DALARNAS LÄN</t>
        </is>
      </c>
      <c r="E1127" t="inlineStr">
        <is>
          <t>MALUNG-SÄLEN</t>
        </is>
      </c>
      <c r="F1127" t="inlineStr">
        <is>
          <t>Bergvik skog öst AB</t>
        </is>
      </c>
      <c r="G1127" t="n">
        <v>3.8</v>
      </c>
      <c r="H1127" t="n">
        <v>0</v>
      </c>
      <c r="I1127" t="n">
        <v>0</v>
      </c>
      <c r="J1127" t="n">
        <v>1</v>
      </c>
      <c r="K1127" t="n">
        <v>0</v>
      </c>
      <c r="L1127" t="n">
        <v>0</v>
      </c>
      <c r="M1127" t="n">
        <v>0</v>
      </c>
      <c r="N1127" t="n">
        <v>0</v>
      </c>
      <c r="O1127" t="n">
        <v>1</v>
      </c>
      <c r="P1127" t="n">
        <v>0</v>
      </c>
      <c r="Q1127" t="n">
        <v>1</v>
      </c>
      <c r="R1127" s="2" t="inlineStr">
        <is>
          <t>Violettgrå tagellav</t>
        </is>
      </c>
      <c r="S1127">
        <f>HYPERLINK("https://klasma.github.io/Logging_2023/artfynd/A 30728-2025 artfynd.xlsx", "A 30728-2025")</f>
        <v/>
      </c>
      <c r="T1127">
        <f>HYPERLINK("https://klasma.github.io/Logging_2023/kartor/A 30728-2025 karta.png", "A 30728-2025")</f>
        <v/>
      </c>
      <c r="V1127">
        <f>HYPERLINK("https://klasma.github.io/Logging_2023/klagomål/A 30728-2025 FSC-klagomål.docx", "A 30728-2025")</f>
        <v/>
      </c>
      <c r="W1127">
        <f>HYPERLINK("https://klasma.github.io/Logging_2023/klagomålsmail/A 30728-2025 FSC-klagomål mail.docx", "A 30728-2025")</f>
        <v/>
      </c>
      <c r="X1127">
        <f>HYPERLINK("https://klasma.github.io/Logging_2023/tillsyn/A 30728-2025 tillsynsbegäran.docx", "A 30728-2025")</f>
        <v/>
      </c>
      <c r="Y1127">
        <f>HYPERLINK("https://klasma.github.io/Logging_2023/tillsynsmail/A 30728-2025 tillsynsbegäran mail.docx", "A 30728-2025")</f>
        <v/>
      </c>
    </row>
    <row r="1128" ht="15" customHeight="1">
      <c r="A1128" t="inlineStr">
        <is>
          <t>A 31951-2025</t>
        </is>
      </c>
      <c r="B1128" s="1" t="n">
        <v>45835.33481481481</v>
      </c>
      <c r="C1128" s="1" t="n">
        <v>46114</v>
      </c>
      <c r="D1128" t="inlineStr">
        <is>
          <t>DALARNAS LÄN</t>
        </is>
      </c>
      <c r="E1128" t="inlineStr">
        <is>
          <t>LEKSAND</t>
        </is>
      </c>
      <c r="G1128" t="n">
        <v>6.6</v>
      </c>
      <c r="H1128" t="n">
        <v>1</v>
      </c>
      <c r="I1128" t="n">
        <v>0</v>
      </c>
      <c r="J1128" t="n">
        <v>0</v>
      </c>
      <c r="K1128" t="n">
        <v>0</v>
      </c>
      <c r="L1128" t="n">
        <v>0</v>
      </c>
      <c r="M1128" t="n">
        <v>0</v>
      </c>
      <c r="N1128" t="n">
        <v>0</v>
      </c>
      <c r="O1128" t="n">
        <v>0</v>
      </c>
      <c r="P1128" t="n">
        <v>0</v>
      </c>
      <c r="Q1128" t="n">
        <v>1</v>
      </c>
      <c r="R1128" s="2" t="inlineStr">
        <is>
          <t>Tjäder</t>
        </is>
      </c>
      <c r="S1128">
        <f>HYPERLINK("https://klasma.github.io/Logging_2029/artfynd/A 31951-2025 artfynd.xlsx", "A 31951-2025")</f>
        <v/>
      </c>
      <c r="T1128">
        <f>HYPERLINK("https://klasma.github.io/Logging_2029/kartor/A 31951-2025 karta.png", "A 31951-2025")</f>
        <v/>
      </c>
      <c r="V1128">
        <f>HYPERLINK("https://klasma.github.io/Logging_2029/klagomål/A 31951-2025 FSC-klagomål.docx", "A 31951-2025")</f>
        <v/>
      </c>
      <c r="W1128">
        <f>HYPERLINK("https://klasma.github.io/Logging_2029/klagomålsmail/A 31951-2025 FSC-klagomål mail.docx", "A 31951-2025")</f>
        <v/>
      </c>
      <c r="X1128">
        <f>HYPERLINK("https://klasma.github.io/Logging_2029/tillsyn/A 31951-2025 tillsynsbegäran.docx", "A 31951-2025")</f>
        <v/>
      </c>
      <c r="Y1128">
        <f>HYPERLINK("https://klasma.github.io/Logging_2029/tillsynsmail/A 31951-2025 tillsynsbegäran mail.docx", "A 31951-2025")</f>
        <v/>
      </c>
      <c r="Z1128">
        <f>HYPERLINK("https://klasma.github.io/Logging_2029/fåglar/A 31951-2025 prioriterade fågelarter.docx", "A 31951-2025")</f>
        <v/>
      </c>
    </row>
    <row r="1129" ht="15" customHeight="1">
      <c r="A1129" t="inlineStr">
        <is>
          <t>A 32917-2025</t>
        </is>
      </c>
      <c r="B1129" s="1" t="n">
        <v>45839</v>
      </c>
      <c r="C1129" s="1" t="n">
        <v>46114</v>
      </c>
      <c r="D1129" t="inlineStr">
        <is>
          <t>DALARNAS LÄN</t>
        </is>
      </c>
      <c r="E1129" t="inlineStr">
        <is>
          <t>VANSBRO</t>
        </is>
      </c>
      <c r="G1129" t="n">
        <v>6.6</v>
      </c>
      <c r="H1129" t="n">
        <v>0</v>
      </c>
      <c r="I1129" t="n">
        <v>0</v>
      </c>
      <c r="J1129" t="n">
        <v>1</v>
      </c>
      <c r="K1129" t="n">
        <v>0</v>
      </c>
      <c r="L1129" t="n">
        <v>0</v>
      </c>
      <c r="M1129" t="n">
        <v>0</v>
      </c>
      <c r="N1129" t="n">
        <v>0</v>
      </c>
      <c r="O1129" t="n">
        <v>1</v>
      </c>
      <c r="P1129" t="n">
        <v>0</v>
      </c>
      <c r="Q1129" t="n">
        <v>1</v>
      </c>
      <c r="R1129" s="2" t="inlineStr">
        <is>
          <t>Garnlav</t>
        </is>
      </c>
      <c r="S1129">
        <f>HYPERLINK("https://klasma.github.io/Logging_2021/artfynd/A 32917-2025 artfynd.xlsx", "A 32917-2025")</f>
        <v/>
      </c>
      <c r="T1129">
        <f>HYPERLINK("https://klasma.github.io/Logging_2021/kartor/A 32917-2025 karta.png", "A 32917-2025")</f>
        <v/>
      </c>
      <c r="V1129">
        <f>HYPERLINK("https://klasma.github.io/Logging_2021/klagomål/A 32917-2025 FSC-klagomål.docx", "A 32917-2025")</f>
        <v/>
      </c>
      <c r="W1129">
        <f>HYPERLINK("https://klasma.github.io/Logging_2021/klagomålsmail/A 32917-2025 FSC-klagomål mail.docx", "A 32917-2025")</f>
        <v/>
      </c>
      <c r="X1129">
        <f>HYPERLINK("https://klasma.github.io/Logging_2021/tillsyn/A 32917-2025 tillsynsbegäran.docx", "A 32917-2025")</f>
        <v/>
      </c>
      <c r="Y1129">
        <f>HYPERLINK("https://klasma.github.io/Logging_2021/tillsynsmail/A 32917-2025 tillsynsbegäran mail.docx", "A 32917-2025")</f>
        <v/>
      </c>
    </row>
    <row r="1130" ht="15" customHeight="1">
      <c r="A1130" t="inlineStr">
        <is>
          <t>A 33392-2025</t>
        </is>
      </c>
      <c r="B1130" s="1" t="n">
        <v>45841.40885416666</v>
      </c>
      <c r="C1130" s="1" t="n">
        <v>46114</v>
      </c>
      <c r="D1130" t="inlineStr">
        <is>
          <t>DALARNAS LÄN</t>
        </is>
      </c>
      <c r="E1130" t="inlineStr">
        <is>
          <t>RÄTTVIK</t>
        </is>
      </c>
      <c r="F1130" t="inlineStr">
        <is>
          <t>Sveaskog</t>
        </is>
      </c>
      <c r="G1130" t="n">
        <v>1.5</v>
      </c>
      <c r="H1130" t="n">
        <v>0</v>
      </c>
      <c r="I1130" t="n">
        <v>0</v>
      </c>
      <c r="J1130" t="n">
        <v>1</v>
      </c>
      <c r="K1130" t="n">
        <v>0</v>
      </c>
      <c r="L1130" t="n">
        <v>0</v>
      </c>
      <c r="M1130" t="n">
        <v>0</v>
      </c>
      <c r="N1130" t="n">
        <v>0</v>
      </c>
      <c r="O1130" t="n">
        <v>1</v>
      </c>
      <c r="P1130" t="n">
        <v>0</v>
      </c>
      <c r="Q1130" t="n">
        <v>1</v>
      </c>
      <c r="R1130" s="2" t="inlineStr">
        <is>
          <t>Brunklöver</t>
        </is>
      </c>
      <c r="S1130">
        <f>HYPERLINK("https://klasma.github.io/Logging_2031/artfynd/A 33392-2025 artfynd.xlsx", "A 33392-2025")</f>
        <v/>
      </c>
      <c r="T1130">
        <f>HYPERLINK("https://klasma.github.io/Logging_2031/kartor/A 33392-2025 karta.png", "A 33392-2025")</f>
        <v/>
      </c>
      <c r="V1130">
        <f>HYPERLINK("https://klasma.github.io/Logging_2031/klagomål/A 33392-2025 FSC-klagomål.docx", "A 33392-2025")</f>
        <v/>
      </c>
      <c r="W1130">
        <f>HYPERLINK("https://klasma.github.io/Logging_2031/klagomålsmail/A 33392-2025 FSC-klagomål mail.docx", "A 33392-2025")</f>
        <v/>
      </c>
      <c r="X1130">
        <f>HYPERLINK("https://klasma.github.io/Logging_2031/tillsyn/A 33392-2025 tillsynsbegäran.docx", "A 33392-2025")</f>
        <v/>
      </c>
      <c r="Y1130">
        <f>HYPERLINK("https://klasma.github.io/Logging_2031/tillsynsmail/A 33392-2025 tillsynsbegäran mail.docx", "A 33392-2025")</f>
        <v/>
      </c>
    </row>
    <row r="1131" ht="15" customHeight="1">
      <c r="A1131" t="inlineStr">
        <is>
          <t>A 54023-2022</t>
        </is>
      </c>
      <c r="B1131" s="1" t="n">
        <v>44881.42980324074</v>
      </c>
      <c r="C1131" s="1" t="n">
        <v>46114</v>
      </c>
      <c r="D1131" t="inlineStr">
        <is>
          <t>DALARNAS LÄN</t>
        </is>
      </c>
      <c r="E1131" t="inlineStr">
        <is>
          <t>VANSBRO</t>
        </is>
      </c>
      <c r="F1131" t="inlineStr">
        <is>
          <t>Bergvik skog öst AB</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54259-2022</t>
        </is>
      </c>
      <c r="B1132" s="1" t="n">
        <v>44882.2475462963</v>
      </c>
      <c r="C1132" s="1" t="n">
        <v>46114</v>
      </c>
      <c r="D1132" t="inlineStr">
        <is>
          <t>DALARNAS LÄN</t>
        </is>
      </c>
      <c r="E1132" t="inlineStr">
        <is>
          <t>SMEDJEBACKEN</t>
        </is>
      </c>
      <c r="F1132" t="inlineStr">
        <is>
          <t>Kyrkan</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17775-2021</t>
        </is>
      </c>
      <c r="B1133" s="1" t="n">
        <v>44300</v>
      </c>
      <c r="C1133" s="1" t="n">
        <v>46114</v>
      </c>
      <c r="D1133" t="inlineStr">
        <is>
          <t>DALARNAS LÄN</t>
        </is>
      </c>
      <c r="E1133" t="inlineStr">
        <is>
          <t>RÄTTVIK</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19764-2021</t>
        </is>
      </c>
      <c r="B1134" s="1" t="n">
        <v>44313.37334490741</v>
      </c>
      <c r="C1134" s="1" t="n">
        <v>46114</v>
      </c>
      <c r="D1134" t="inlineStr">
        <is>
          <t>DALARNAS LÄN</t>
        </is>
      </c>
      <c r="E1134" t="inlineStr">
        <is>
          <t>MALUNG-SÄLEN</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32869-2021</t>
        </is>
      </c>
      <c r="B1135" s="1" t="n">
        <v>44375.67070601852</v>
      </c>
      <c r="C1135" s="1" t="n">
        <v>46114</v>
      </c>
      <c r="D1135" t="inlineStr">
        <is>
          <t>DALARNAS LÄN</t>
        </is>
      </c>
      <c r="E1135" t="inlineStr">
        <is>
          <t>MALUNG-SÄLEN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23040-2021</t>
        </is>
      </c>
      <c r="B1136" s="1" t="n">
        <v>44329.35565972222</v>
      </c>
      <c r="C1136" s="1" t="n">
        <v>46114</v>
      </c>
      <c r="D1136" t="inlineStr">
        <is>
          <t>DALARNAS LÄN</t>
        </is>
      </c>
      <c r="E1136" t="inlineStr">
        <is>
          <t>SMEDJEBACKEN</t>
        </is>
      </c>
      <c r="F1136" t="inlineStr">
        <is>
          <t>Övriga Aktiebolag</t>
        </is>
      </c>
      <c r="G1136" t="n">
        <v>6</v>
      </c>
      <c r="H1136" t="n">
        <v>0</v>
      </c>
      <c r="I1136" t="n">
        <v>0</v>
      </c>
      <c r="J1136" t="n">
        <v>0</v>
      </c>
      <c r="K1136" t="n">
        <v>0</v>
      </c>
      <c r="L1136" t="n">
        <v>0</v>
      </c>
      <c r="M1136" t="n">
        <v>0</v>
      </c>
      <c r="N1136" t="n">
        <v>0</v>
      </c>
      <c r="O1136" t="n">
        <v>0</v>
      </c>
      <c r="P1136" t="n">
        <v>0</v>
      </c>
      <c r="Q1136" t="n">
        <v>0</v>
      </c>
      <c r="R1136" s="2" t="inlineStr"/>
    </row>
    <row r="1137" ht="15" customHeight="1">
      <c r="A1137" t="inlineStr">
        <is>
          <t>A 19313-2021</t>
        </is>
      </c>
      <c r="B1137" s="1" t="n">
        <v>44309</v>
      </c>
      <c r="C1137" s="1" t="n">
        <v>46114</v>
      </c>
      <c r="D1137" t="inlineStr">
        <is>
          <t>DALARNAS LÄN</t>
        </is>
      </c>
      <c r="E1137" t="inlineStr">
        <is>
          <t>ÄLVDALEN</t>
        </is>
      </c>
      <c r="G1137" t="n">
        <v>0.2</v>
      </c>
      <c r="H1137" t="n">
        <v>0</v>
      </c>
      <c r="I1137" t="n">
        <v>0</v>
      </c>
      <c r="J1137" t="n">
        <v>0</v>
      </c>
      <c r="K1137" t="n">
        <v>0</v>
      </c>
      <c r="L1137" t="n">
        <v>0</v>
      </c>
      <c r="M1137" t="n">
        <v>0</v>
      </c>
      <c r="N1137" t="n">
        <v>0</v>
      </c>
      <c r="O1137" t="n">
        <v>0</v>
      </c>
      <c r="P1137" t="n">
        <v>0</v>
      </c>
      <c r="Q1137" t="n">
        <v>0</v>
      </c>
      <c r="R1137" s="2" t="inlineStr"/>
    </row>
    <row r="1138" ht="15" customHeight="1">
      <c r="A1138" t="inlineStr">
        <is>
          <t>A 36438-2021</t>
        </is>
      </c>
      <c r="B1138" s="1" t="n">
        <v>44390.91288194444</v>
      </c>
      <c r="C1138" s="1" t="n">
        <v>46114</v>
      </c>
      <c r="D1138" t="inlineStr">
        <is>
          <t>DALARNAS LÄN</t>
        </is>
      </c>
      <c r="E1138" t="inlineStr">
        <is>
          <t>LEKSAND</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34713-2021</t>
        </is>
      </c>
      <c r="B1139" s="1" t="n">
        <v>44382</v>
      </c>
      <c r="C1139" s="1" t="n">
        <v>46114</v>
      </c>
      <c r="D1139" t="inlineStr">
        <is>
          <t>DALARNAS LÄN</t>
        </is>
      </c>
      <c r="E1139" t="inlineStr">
        <is>
          <t>ORSA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28395-2021</t>
        </is>
      </c>
      <c r="B1140" s="1" t="n">
        <v>44356.46612268518</v>
      </c>
      <c r="C1140" s="1" t="n">
        <v>46114</v>
      </c>
      <c r="D1140" t="inlineStr">
        <is>
          <t>DALARNAS LÄN</t>
        </is>
      </c>
      <c r="E1140" t="inlineStr">
        <is>
          <t>BORLÄNGE</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18025-2021</t>
        </is>
      </c>
      <c r="B1141" s="1" t="n">
        <v>44302</v>
      </c>
      <c r="C1141" s="1" t="n">
        <v>46114</v>
      </c>
      <c r="D1141" t="inlineStr">
        <is>
          <t>DALARNAS LÄN</t>
        </is>
      </c>
      <c r="E1141" t="inlineStr">
        <is>
          <t>LUDVIKA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20779-2021</t>
        </is>
      </c>
      <c r="B1142" s="1" t="n">
        <v>44316</v>
      </c>
      <c r="C1142" s="1" t="n">
        <v>46114</v>
      </c>
      <c r="D1142" t="inlineStr">
        <is>
          <t>DALARNAS LÄN</t>
        </is>
      </c>
      <c r="E1142" t="inlineStr">
        <is>
          <t>SMEDJEBACKEN</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49563-2021</t>
        </is>
      </c>
      <c r="B1143" s="1" t="n">
        <v>44455.36458333334</v>
      </c>
      <c r="C1143" s="1" t="n">
        <v>46114</v>
      </c>
      <c r="D1143" t="inlineStr">
        <is>
          <t>DALARNAS LÄN</t>
        </is>
      </c>
      <c r="E1143" t="inlineStr">
        <is>
          <t>SÄTER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69028-2021</t>
        </is>
      </c>
      <c r="B1144" s="1" t="n">
        <v>44530</v>
      </c>
      <c r="C1144" s="1" t="n">
        <v>46114</v>
      </c>
      <c r="D1144" t="inlineStr">
        <is>
          <t>DALARNAS LÄN</t>
        </is>
      </c>
      <c r="E1144" t="inlineStr">
        <is>
          <t>FALUN</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16519-2021</t>
        </is>
      </c>
      <c r="B1145" s="1" t="n">
        <v>44293</v>
      </c>
      <c r="C1145" s="1" t="n">
        <v>46114</v>
      </c>
      <c r="D1145" t="inlineStr">
        <is>
          <t>DALARNAS LÄN</t>
        </is>
      </c>
      <c r="E1145" t="inlineStr">
        <is>
          <t>SÄTER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39816-2021</t>
        </is>
      </c>
      <c r="B1146" s="1" t="n">
        <v>44417.59931712963</v>
      </c>
      <c r="C1146" s="1" t="n">
        <v>46114</v>
      </c>
      <c r="D1146" t="inlineStr">
        <is>
          <t>DALARNAS LÄN</t>
        </is>
      </c>
      <c r="E1146" t="inlineStr">
        <is>
          <t>SMEDJEBACKEN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38769-2021</t>
        </is>
      </c>
      <c r="B1147" s="1" t="n">
        <v>44410</v>
      </c>
      <c r="C1147" s="1" t="n">
        <v>46114</v>
      </c>
      <c r="D1147" t="inlineStr">
        <is>
          <t>DALARNAS LÄN</t>
        </is>
      </c>
      <c r="E1147" t="inlineStr">
        <is>
          <t>MORA</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8675-2022</t>
        </is>
      </c>
      <c r="B1148" s="1" t="n">
        <v>44613.67759259259</v>
      </c>
      <c r="C1148" s="1" t="n">
        <v>46114</v>
      </c>
      <c r="D1148" t="inlineStr">
        <is>
          <t>DALARNAS LÄN</t>
        </is>
      </c>
      <c r="E1148" t="inlineStr">
        <is>
          <t>SMEDJEBACKEN</t>
        </is>
      </c>
      <c r="G1148" t="n">
        <v>5.3</v>
      </c>
      <c r="H1148" t="n">
        <v>0</v>
      </c>
      <c r="I1148" t="n">
        <v>0</v>
      </c>
      <c r="J1148" t="n">
        <v>0</v>
      </c>
      <c r="K1148" t="n">
        <v>0</v>
      </c>
      <c r="L1148" t="n">
        <v>0</v>
      </c>
      <c r="M1148" t="n">
        <v>0</v>
      </c>
      <c r="N1148" t="n">
        <v>0</v>
      </c>
      <c r="O1148" t="n">
        <v>0</v>
      </c>
      <c r="P1148" t="n">
        <v>0</v>
      </c>
      <c r="Q1148" t="n">
        <v>0</v>
      </c>
      <c r="R1148" s="2" t="inlineStr"/>
    </row>
    <row r="1149" ht="15" customHeight="1">
      <c r="A1149" t="inlineStr">
        <is>
          <t>A 45776-2021</t>
        </is>
      </c>
      <c r="B1149" s="1" t="n">
        <v>44441</v>
      </c>
      <c r="C1149" s="1" t="n">
        <v>46114</v>
      </c>
      <c r="D1149" t="inlineStr">
        <is>
          <t>DALARNAS LÄN</t>
        </is>
      </c>
      <c r="E1149" t="inlineStr">
        <is>
          <t>RÄTTVIK</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33489-2021</t>
        </is>
      </c>
      <c r="B1150" s="1" t="n">
        <v>44377.67195601852</v>
      </c>
      <c r="C1150" s="1" t="n">
        <v>46114</v>
      </c>
      <c r="D1150" t="inlineStr">
        <is>
          <t>DALARNAS LÄN</t>
        </is>
      </c>
      <c r="E1150" t="inlineStr">
        <is>
          <t>SMEDJEBACKEN</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65699-2021</t>
        </is>
      </c>
      <c r="B1151" s="1" t="n">
        <v>44516</v>
      </c>
      <c r="C1151" s="1" t="n">
        <v>46114</v>
      </c>
      <c r="D1151" t="inlineStr">
        <is>
          <t>DALARNAS LÄN</t>
        </is>
      </c>
      <c r="E1151" t="inlineStr">
        <is>
          <t>LUDVIKA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22414-2021</t>
        </is>
      </c>
      <c r="B1152" s="1" t="n">
        <v>44326</v>
      </c>
      <c r="C1152" s="1" t="n">
        <v>46114</v>
      </c>
      <c r="D1152" t="inlineStr">
        <is>
          <t>DALARNAS LÄN</t>
        </is>
      </c>
      <c r="E1152" t="inlineStr">
        <is>
          <t>RÄTTVIK</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2008-2022</t>
        </is>
      </c>
      <c r="B1153" s="1" t="n">
        <v>44575</v>
      </c>
      <c r="C1153" s="1" t="n">
        <v>46114</v>
      </c>
      <c r="D1153" t="inlineStr">
        <is>
          <t>DALARNAS LÄN</t>
        </is>
      </c>
      <c r="E1153" t="inlineStr">
        <is>
          <t>BORLÄNGE</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15603-2022</t>
        </is>
      </c>
      <c r="B1154" s="1" t="n">
        <v>44662.62577546296</v>
      </c>
      <c r="C1154" s="1" t="n">
        <v>46114</v>
      </c>
      <c r="D1154" t="inlineStr">
        <is>
          <t>DALARNAS LÄN</t>
        </is>
      </c>
      <c r="E1154" t="inlineStr">
        <is>
          <t>ÄLVDALEN</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31167-2021</t>
        </is>
      </c>
      <c r="B1155" s="1" t="n">
        <v>44368.58009259259</v>
      </c>
      <c r="C1155" s="1" t="n">
        <v>46114</v>
      </c>
      <c r="D1155" t="inlineStr">
        <is>
          <t>DALARNAS LÄN</t>
        </is>
      </c>
      <c r="E1155" t="inlineStr">
        <is>
          <t>ÄLVDALEN</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47216-2021</t>
        </is>
      </c>
      <c r="B1156" s="1" t="n">
        <v>44447</v>
      </c>
      <c r="C1156" s="1" t="n">
        <v>46114</v>
      </c>
      <c r="D1156" t="inlineStr">
        <is>
          <t>DALARNAS LÄN</t>
        </is>
      </c>
      <c r="E1156" t="inlineStr">
        <is>
          <t>LUDVIKA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20956-2021</t>
        </is>
      </c>
      <c r="B1157" s="1" t="n">
        <v>44319.53942129629</v>
      </c>
      <c r="C1157" s="1" t="n">
        <v>46114</v>
      </c>
      <c r="D1157" t="inlineStr">
        <is>
          <t>DALARNAS LÄN</t>
        </is>
      </c>
      <c r="E1157" t="inlineStr">
        <is>
          <t>SÄTER</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28521-2021</t>
        </is>
      </c>
      <c r="B1158" s="1" t="n">
        <v>44356</v>
      </c>
      <c r="C1158" s="1" t="n">
        <v>46114</v>
      </c>
      <c r="D1158" t="inlineStr">
        <is>
          <t>DALARNAS LÄN</t>
        </is>
      </c>
      <c r="E1158" t="inlineStr">
        <is>
          <t>AVESTA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64224-2021</t>
        </is>
      </c>
      <c r="B1159" s="1" t="n">
        <v>44510.63263888889</v>
      </c>
      <c r="C1159" s="1" t="n">
        <v>46114</v>
      </c>
      <c r="D1159" t="inlineStr">
        <is>
          <t>DALARNAS LÄN</t>
        </is>
      </c>
      <c r="E1159" t="inlineStr">
        <is>
          <t>FALUN</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8026-2022</t>
        </is>
      </c>
      <c r="B1160" s="1" t="n">
        <v>44609</v>
      </c>
      <c r="C1160" s="1" t="n">
        <v>46114</v>
      </c>
      <c r="D1160" t="inlineStr">
        <is>
          <t>DALARNAS LÄN</t>
        </is>
      </c>
      <c r="E1160" t="inlineStr">
        <is>
          <t>GAGNEF</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39719-2021</t>
        </is>
      </c>
      <c r="B1161" s="1" t="n">
        <v>44414</v>
      </c>
      <c r="C1161" s="1" t="n">
        <v>46114</v>
      </c>
      <c r="D1161" t="inlineStr">
        <is>
          <t>DALARNAS LÄN</t>
        </is>
      </c>
      <c r="E1161" t="inlineStr">
        <is>
          <t>SMEDJEBACKEN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34396-2022</t>
        </is>
      </c>
      <c r="B1162" s="1" t="n">
        <v>44792.51143518519</v>
      </c>
      <c r="C1162" s="1" t="n">
        <v>46114</v>
      </c>
      <c r="D1162" t="inlineStr">
        <is>
          <t>DALARNAS LÄN</t>
        </is>
      </c>
      <c r="E1162" t="inlineStr">
        <is>
          <t>RÄTTVIK</t>
        </is>
      </c>
      <c r="F1162" t="inlineStr">
        <is>
          <t>Bergvik skog väst AB</t>
        </is>
      </c>
      <c r="G1162" t="n">
        <v>5.3</v>
      </c>
      <c r="H1162" t="n">
        <v>0</v>
      </c>
      <c r="I1162" t="n">
        <v>0</v>
      </c>
      <c r="J1162" t="n">
        <v>0</v>
      </c>
      <c r="K1162" t="n">
        <v>0</v>
      </c>
      <c r="L1162" t="n">
        <v>0</v>
      </c>
      <c r="M1162" t="n">
        <v>0</v>
      </c>
      <c r="N1162" t="n">
        <v>0</v>
      </c>
      <c r="O1162" t="n">
        <v>0</v>
      </c>
      <c r="P1162" t="n">
        <v>0</v>
      </c>
      <c r="Q1162" t="n">
        <v>0</v>
      </c>
      <c r="R1162" s="2" t="inlineStr"/>
    </row>
    <row r="1163" ht="15" customHeight="1">
      <c r="A1163" t="inlineStr">
        <is>
          <t>A 70451-2021</t>
        </is>
      </c>
      <c r="B1163" s="1" t="n">
        <v>44536</v>
      </c>
      <c r="C1163" s="1" t="n">
        <v>46114</v>
      </c>
      <c r="D1163" t="inlineStr">
        <is>
          <t>DALARNAS LÄN</t>
        </is>
      </c>
      <c r="E1163" t="inlineStr">
        <is>
          <t>LEKSAND</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70456-2021</t>
        </is>
      </c>
      <c r="B1164" s="1" t="n">
        <v>44536.6465625</v>
      </c>
      <c r="C1164" s="1" t="n">
        <v>46114</v>
      </c>
      <c r="D1164" t="inlineStr">
        <is>
          <t>DALARNAS LÄN</t>
        </is>
      </c>
      <c r="E1164" t="inlineStr">
        <is>
          <t>FALUN</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38084-2021</t>
        </is>
      </c>
      <c r="B1165" s="1" t="n">
        <v>44404.87238425926</v>
      </c>
      <c r="C1165" s="1" t="n">
        <v>46114</v>
      </c>
      <c r="D1165" t="inlineStr">
        <is>
          <t>DALARNAS LÄN</t>
        </is>
      </c>
      <c r="E1165" t="inlineStr">
        <is>
          <t>LUDVIKA</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11593-2022</t>
        </is>
      </c>
      <c r="B1166" s="1" t="n">
        <v>44631.53884259259</v>
      </c>
      <c r="C1166" s="1" t="n">
        <v>46114</v>
      </c>
      <c r="D1166" t="inlineStr">
        <is>
          <t>DALARNAS LÄN</t>
        </is>
      </c>
      <c r="E1166" t="inlineStr">
        <is>
          <t>FALUN</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46567-2021</t>
        </is>
      </c>
      <c r="B1167" s="1" t="n">
        <v>44445</v>
      </c>
      <c r="C1167" s="1" t="n">
        <v>46114</v>
      </c>
      <c r="D1167" t="inlineStr">
        <is>
          <t>DALARNAS LÄN</t>
        </is>
      </c>
      <c r="E1167" t="inlineStr">
        <is>
          <t>GAGNEF</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67288-2021</t>
        </is>
      </c>
      <c r="B1168" s="1" t="n">
        <v>44523.61842592592</v>
      </c>
      <c r="C1168" s="1" t="n">
        <v>46114</v>
      </c>
      <c r="D1168" t="inlineStr">
        <is>
          <t>DALARNAS LÄN</t>
        </is>
      </c>
      <c r="E1168" t="inlineStr">
        <is>
          <t>HEDEMORA</t>
        </is>
      </c>
      <c r="F1168" t="inlineStr">
        <is>
          <t>Övriga Aktiebolag</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32931-2022</t>
        </is>
      </c>
      <c r="B1169" s="1" t="n">
        <v>44784.65543981481</v>
      </c>
      <c r="C1169" s="1" t="n">
        <v>46114</v>
      </c>
      <c r="D1169" t="inlineStr">
        <is>
          <t>DALARNAS LÄN</t>
        </is>
      </c>
      <c r="E1169" t="inlineStr">
        <is>
          <t>ORSA</t>
        </is>
      </c>
      <c r="F1169" t="inlineStr">
        <is>
          <t>Bergvik skog öst AB</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58899-2021</t>
        </is>
      </c>
      <c r="B1170" s="1" t="n">
        <v>44489.67596064815</v>
      </c>
      <c r="C1170" s="1" t="n">
        <v>46114</v>
      </c>
      <c r="D1170" t="inlineStr">
        <is>
          <t>DALARNAS LÄN</t>
        </is>
      </c>
      <c r="E1170" t="inlineStr">
        <is>
          <t>MALUNG-SÄLEN</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42952-2021</t>
        </is>
      </c>
      <c r="B1171" s="1" t="n">
        <v>44431.39752314815</v>
      </c>
      <c r="C1171" s="1" t="n">
        <v>46114</v>
      </c>
      <c r="D1171" t="inlineStr">
        <is>
          <t>DALARNAS LÄN</t>
        </is>
      </c>
      <c r="E1171" t="inlineStr">
        <is>
          <t>LEKSAND</t>
        </is>
      </c>
      <c r="G1171" t="n">
        <v>5.4</v>
      </c>
      <c r="H1171" t="n">
        <v>0</v>
      </c>
      <c r="I1171" t="n">
        <v>0</v>
      </c>
      <c r="J1171" t="n">
        <v>0</v>
      </c>
      <c r="K1171" t="n">
        <v>0</v>
      </c>
      <c r="L1171" t="n">
        <v>0</v>
      </c>
      <c r="M1171" t="n">
        <v>0</v>
      </c>
      <c r="N1171" t="n">
        <v>0</v>
      </c>
      <c r="O1171" t="n">
        <v>0</v>
      </c>
      <c r="P1171" t="n">
        <v>0</v>
      </c>
      <c r="Q1171" t="n">
        <v>0</v>
      </c>
      <c r="R1171" s="2" t="inlineStr"/>
    </row>
    <row r="1172" ht="15" customHeight="1">
      <c r="A1172" t="inlineStr">
        <is>
          <t>A 295-2022</t>
        </is>
      </c>
      <c r="B1172" s="1" t="n">
        <v>44565</v>
      </c>
      <c r="C1172" s="1" t="n">
        <v>46114</v>
      </c>
      <c r="D1172" t="inlineStr">
        <is>
          <t>DALARNAS LÄN</t>
        </is>
      </c>
      <c r="E1172" t="inlineStr">
        <is>
          <t>HEDEMORA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33253-2022</t>
        </is>
      </c>
      <c r="B1173" s="1" t="n">
        <v>44787</v>
      </c>
      <c r="C1173" s="1" t="n">
        <v>46114</v>
      </c>
      <c r="D1173" t="inlineStr">
        <is>
          <t>DALARNAS LÄN</t>
        </is>
      </c>
      <c r="E1173" t="inlineStr">
        <is>
          <t>SMEDJEBACKEN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43375-2021</t>
        </is>
      </c>
      <c r="B1174" s="1" t="n">
        <v>44432</v>
      </c>
      <c r="C1174" s="1" t="n">
        <v>46114</v>
      </c>
      <c r="D1174" t="inlineStr">
        <is>
          <t>DALARNAS LÄN</t>
        </is>
      </c>
      <c r="E1174" t="inlineStr">
        <is>
          <t>SMEDJEBACKEN</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55123-2022</t>
        </is>
      </c>
      <c r="B1175" s="1" t="n">
        <v>44886</v>
      </c>
      <c r="C1175" s="1" t="n">
        <v>46114</v>
      </c>
      <c r="D1175" t="inlineStr">
        <is>
          <t>DALARNAS LÄN</t>
        </is>
      </c>
      <c r="E1175" t="inlineStr">
        <is>
          <t>BORLÄNGE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41638-2022</t>
        </is>
      </c>
      <c r="B1176" s="1" t="n">
        <v>44827.49356481482</v>
      </c>
      <c r="C1176" s="1" t="n">
        <v>46114</v>
      </c>
      <c r="D1176" t="inlineStr">
        <is>
          <t>DALARNAS LÄN</t>
        </is>
      </c>
      <c r="E1176" t="inlineStr">
        <is>
          <t>BORLÄNGE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32748-2022</t>
        </is>
      </c>
      <c r="B1177" s="1" t="n">
        <v>44783.71745370371</v>
      </c>
      <c r="C1177" s="1" t="n">
        <v>46114</v>
      </c>
      <c r="D1177" t="inlineStr">
        <is>
          <t>DALARNAS LÄN</t>
        </is>
      </c>
      <c r="E1177" t="inlineStr">
        <is>
          <t>HEDEMORA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32476-2022</t>
        </is>
      </c>
      <c r="B1178" s="1" t="n">
        <v>44782.60024305555</v>
      </c>
      <c r="C1178" s="1" t="n">
        <v>46114</v>
      </c>
      <c r="D1178" t="inlineStr">
        <is>
          <t>DALARNAS LÄN</t>
        </is>
      </c>
      <c r="E1178" t="inlineStr">
        <is>
          <t>LEKSAND</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73930-2021</t>
        </is>
      </c>
      <c r="B1179" s="1" t="n">
        <v>44553</v>
      </c>
      <c r="C1179" s="1" t="n">
        <v>46114</v>
      </c>
      <c r="D1179" t="inlineStr">
        <is>
          <t>DALARNAS LÄN</t>
        </is>
      </c>
      <c r="E1179" t="inlineStr">
        <is>
          <t>MORA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35592-2022</t>
        </is>
      </c>
      <c r="B1180" s="1" t="n">
        <v>44799</v>
      </c>
      <c r="C1180" s="1" t="n">
        <v>46114</v>
      </c>
      <c r="D1180" t="inlineStr">
        <is>
          <t>DALARNAS LÄN</t>
        </is>
      </c>
      <c r="E1180" t="inlineStr">
        <is>
          <t>BORLÄNGE</t>
        </is>
      </c>
      <c r="F1180" t="inlineStr">
        <is>
          <t>Bergvik skog väst AB</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64739-2021</t>
        </is>
      </c>
      <c r="B1181" s="1" t="n">
        <v>44512</v>
      </c>
      <c r="C1181" s="1" t="n">
        <v>46114</v>
      </c>
      <c r="D1181" t="inlineStr">
        <is>
          <t>DALARNAS LÄN</t>
        </is>
      </c>
      <c r="E1181" t="inlineStr">
        <is>
          <t>MALUNG-SÄLEN</t>
        </is>
      </c>
      <c r="F1181" t="inlineStr">
        <is>
          <t>Kommuner</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36411-2021</t>
        </is>
      </c>
      <c r="B1182" s="1" t="n">
        <v>44390.661875</v>
      </c>
      <c r="C1182" s="1" t="n">
        <v>46114</v>
      </c>
      <c r="D1182" t="inlineStr">
        <is>
          <t>DALARNAS LÄN</t>
        </is>
      </c>
      <c r="E1182" t="inlineStr">
        <is>
          <t>MALUNG-SÄLEN</t>
        </is>
      </c>
      <c r="G1182" t="n">
        <v>0.4</v>
      </c>
      <c r="H1182" t="n">
        <v>0</v>
      </c>
      <c r="I1182" t="n">
        <v>0</v>
      </c>
      <c r="J1182" t="n">
        <v>0</v>
      </c>
      <c r="K1182" t="n">
        <v>0</v>
      </c>
      <c r="L1182" t="n">
        <v>0</v>
      </c>
      <c r="M1182" t="n">
        <v>0</v>
      </c>
      <c r="N1182" t="n">
        <v>0</v>
      </c>
      <c r="O1182" t="n">
        <v>0</v>
      </c>
      <c r="P1182" t="n">
        <v>0</v>
      </c>
      <c r="Q1182" t="n">
        <v>0</v>
      </c>
      <c r="R1182" s="2" t="inlineStr"/>
    </row>
    <row r="1183" ht="15" customHeight="1">
      <c r="A1183" t="inlineStr">
        <is>
          <t>A 10405-2022</t>
        </is>
      </c>
      <c r="B1183" s="1" t="n">
        <v>44623</v>
      </c>
      <c r="C1183" s="1" t="n">
        <v>46114</v>
      </c>
      <c r="D1183" t="inlineStr">
        <is>
          <t>DALARNAS LÄN</t>
        </is>
      </c>
      <c r="E1183" t="inlineStr">
        <is>
          <t>ORSA</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10421-2022</t>
        </is>
      </c>
      <c r="B1184" s="1" t="n">
        <v>44623</v>
      </c>
      <c r="C1184" s="1" t="n">
        <v>46114</v>
      </c>
      <c r="D1184" t="inlineStr">
        <is>
          <t>DALARNAS LÄN</t>
        </is>
      </c>
      <c r="E1184" t="inlineStr">
        <is>
          <t>BORLÄNGE</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49004-2021</t>
        </is>
      </c>
      <c r="B1185" s="1" t="n">
        <v>44453.46967592592</v>
      </c>
      <c r="C1185" s="1" t="n">
        <v>46114</v>
      </c>
      <c r="D1185" t="inlineStr">
        <is>
          <t>DALARNAS LÄN</t>
        </is>
      </c>
      <c r="E1185" t="inlineStr">
        <is>
          <t>ORSA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29558-2022</t>
        </is>
      </c>
      <c r="B1186" s="1" t="n">
        <v>44754.35296296296</v>
      </c>
      <c r="C1186" s="1" t="n">
        <v>46114</v>
      </c>
      <c r="D1186" t="inlineStr">
        <is>
          <t>DALARNAS LÄN</t>
        </is>
      </c>
      <c r="E1186" t="inlineStr">
        <is>
          <t>ÄLVDALEN</t>
        </is>
      </c>
      <c r="G1186" t="n">
        <v>2.5</v>
      </c>
      <c r="H1186" t="n">
        <v>0</v>
      </c>
      <c r="I1186" t="n">
        <v>0</v>
      </c>
      <c r="J1186" t="n">
        <v>0</v>
      </c>
      <c r="K1186" t="n">
        <v>0</v>
      </c>
      <c r="L1186" t="n">
        <v>0</v>
      </c>
      <c r="M1186" t="n">
        <v>0</v>
      </c>
      <c r="N1186" t="n">
        <v>0</v>
      </c>
      <c r="O1186" t="n">
        <v>0</v>
      </c>
      <c r="P1186" t="n">
        <v>0</v>
      </c>
      <c r="Q1186" t="n">
        <v>0</v>
      </c>
      <c r="R1186" s="2" t="inlineStr"/>
    </row>
    <row r="1187" ht="15" customHeight="1">
      <c r="A1187" t="inlineStr">
        <is>
          <t>A 29000-2021</t>
        </is>
      </c>
      <c r="B1187" s="1" t="n">
        <v>44358</v>
      </c>
      <c r="C1187" s="1" t="n">
        <v>46114</v>
      </c>
      <c r="D1187" t="inlineStr">
        <is>
          <t>DALARNAS LÄN</t>
        </is>
      </c>
      <c r="E1187" t="inlineStr">
        <is>
          <t>LUDVIKA</t>
        </is>
      </c>
      <c r="F1187" t="inlineStr">
        <is>
          <t>Bergvik skog väst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39726-2021</t>
        </is>
      </c>
      <c r="B1188" s="1" t="n">
        <v>44414</v>
      </c>
      <c r="C1188" s="1" t="n">
        <v>46114</v>
      </c>
      <c r="D1188" t="inlineStr">
        <is>
          <t>DALARNAS LÄN</t>
        </is>
      </c>
      <c r="E1188" t="inlineStr">
        <is>
          <t>SMEDJEBACKEN</t>
        </is>
      </c>
      <c r="G1188" t="n">
        <v>10.6</v>
      </c>
      <c r="H1188" t="n">
        <v>0</v>
      </c>
      <c r="I1188" t="n">
        <v>0</v>
      </c>
      <c r="J1188" t="n">
        <v>0</v>
      </c>
      <c r="K1188" t="n">
        <v>0</v>
      </c>
      <c r="L1188" t="n">
        <v>0</v>
      </c>
      <c r="M1188" t="n">
        <v>0</v>
      </c>
      <c r="N1188" t="n">
        <v>0</v>
      </c>
      <c r="O1188" t="n">
        <v>0</v>
      </c>
      <c r="P1188" t="n">
        <v>0</v>
      </c>
      <c r="Q1188" t="n">
        <v>0</v>
      </c>
      <c r="R1188" s="2" t="inlineStr"/>
    </row>
    <row r="1189" ht="15" customHeight="1">
      <c r="A1189" t="inlineStr">
        <is>
          <t>A 49010-2022</t>
        </is>
      </c>
      <c r="B1189" s="1" t="n">
        <v>44860</v>
      </c>
      <c r="C1189" s="1" t="n">
        <v>46114</v>
      </c>
      <c r="D1189" t="inlineStr">
        <is>
          <t>DALARNAS LÄN</t>
        </is>
      </c>
      <c r="E1189" t="inlineStr">
        <is>
          <t>RÄTTVIK</t>
        </is>
      </c>
      <c r="F1189" t="inlineStr">
        <is>
          <t>Bergvik skog väst AB</t>
        </is>
      </c>
      <c r="G1189" t="n">
        <v>7.1</v>
      </c>
      <c r="H1189" t="n">
        <v>0</v>
      </c>
      <c r="I1189" t="n">
        <v>0</v>
      </c>
      <c r="J1189" t="n">
        <v>0</v>
      </c>
      <c r="K1189" t="n">
        <v>0</v>
      </c>
      <c r="L1189" t="n">
        <v>0</v>
      </c>
      <c r="M1189" t="n">
        <v>0</v>
      </c>
      <c r="N1189" t="n">
        <v>0</v>
      </c>
      <c r="O1189" t="n">
        <v>0</v>
      </c>
      <c r="P1189" t="n">
        <v>0</v>
      </c>
      <c r="Q1189" t="n">
        <v>0</v>
      </c>
      <c r="R1189" s="2" t="inlineStr"/>
    </row>
    <row r="1190" ht="15" customHeight="1">
      <c r="A1190" t="inlineStr">
        <is>
          <t>A 46175-2021</t>
        </is>
      </c>
      <c r="B1190" s="1" t="n">
        <v>44442.44880787037</v>
      </c>
      <c r="C1190" s="1" t="n">
        <v>46114</v>
      </c>
      <c r="D1190" t="inlineStr">
        <is>
          <t>DALARNAS LÄN</t>
        </is>
      </c>
      <c r="E1190" t="inlineStr">
        <is>
          <t>AVESTA</t>
        </is>
      </c>
      <c r="F1190" t="inlineStr">
        <is>
          <t>Sveaskog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37740-2022</t>
        </is>
      </c>
      <c r="B1191" s="1" t="n">
        <v>44810.58001157407</v>
      </c>
      <c r="C1191" s="1" t="n">
        <v>46114</v>
      </c>
      <c r="D1191" t="inlineStr">
        <is>
          <t>DALARNAS LÄN</t>
        </is>
      </c>
      <c r="E1191" t="inlineStr">
        <is>
          <t>ÄLVDALEN</t>
        </is>
      </c>
      <c r="F1191" t="inlineStr">
        <is>
          <t>Bergvik skog väst AB</t>
        </is>
      </c>
      <c r="G1191" t="n">
        <v>4</v>
      </c>
      <c r="H1191" t="n">
        <v>0</v>
      </c>
      <c r="I1191" t="n">
        <v>0</v>
      </c>
      <c r="J1191" t="n">
        <v>0</v>
      </c>
      <c r="K1191" t="n">
        <v>0</v>
      </c>
      <c r="L1191" t="n">
        <v>0</v>
      </c>
      <c r="M1191" t="n">
        <v>0</v>
      </c>
      <c r="N1191" t="n">
        <v>0</v>
      </c>
      <c r="O1191" t="n">
        <v>0</v>
      </c>
      <c r="P1191" t="n">
        <v>0</v>
      </c>
      <c r="Q1191" t="n">
        <v>0</v>
      </c>
      <c r="R1191" s="2" t="inlineStr"/>
    </row>
    <row r="1192" ht="15" customHeight="1">
      <c r="A1192" t="inlineStr">
        <is>
          <t>A 51502-2022</t>
        </is>
      </c>
      <c r="B1192" s="1" t="n">
        <v>44869</v>
      </c>
      <c r="C1192" s="1" t="n">
        <v>46114</v>
      </c>
      <c r="D1192" t="inlineStr">
        <is>
          <t>DALARNAS LÄN</t>
        </is>
      </c>
      <c r="E1192" t="inlineStr">
        <is>
          <t>LEKSAND</t>
        </is>
      </c>
      <c r="F1192" t="inlineStr">
        <is>
          <t>Bergvik skog väst AB</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50518-2021</t>
        </is>
      </c>
      <c r="B1193" s="1" t="n">
        <v>44459</v>
      </c>
      <c r="C1193" s="1" t="n">
        <v>46114</v>
      </c>
      <c r="D1193" t="inlineStr">
        <is>
          <t>DALARNAS LÄN</t>
        </is>
      </c>
      <c r="E1193" t="inlineStr">
        <is>
          <t>FALUN</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50565-2021</t>
        </is>
      </c>
      <c r="B1194" s="1" t="n">
        <v>44459</v>
      </c>
      <c r="C1194" s="1" t="n">
        <v>46114</v>
      </c>
      <c r="D1194" t="inlineStr">
        <is>
          <t>DALARNAS LÄN</t>
        </is>
      </c>
      <c r="E1194" t="inlineStr">
        <is>
          <t>RÄTTVIK</t>
        </is>
      </c>
      <c r="F1194" t="inlineStr">
        <is>
          <t>Sveaskog</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49097-2021</t>
        </is>
      </c>
      <c r="B1195" s="1" t="n">
        <v>44453</v>
      </c>
      <c r="C1195" s="1" t="n">
        <v>46114</v>
      </c>
      <c r="D1195" t="inlineStr">
        <is>
          <t>DALARNAS LÄN</t>
        </is>
      </c>
      <c r="E1195" t="inlineStr">
        <is>
          <t>SMEDJEBACKEN</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63270-2021</t>
        </is>
      </c>
      <c r="B1196" s="1" t="n">
        <v>44508</v>
      </c>
      <c r="C1196" s="1" t="n">
        <v>46114</v>
      </c>
      <c r="D1196" t="inlineStr">
        <is>
          <t>DALARNAS LÄN</t>
        </is>
      </c>
      <c r="E1196" t="inlineStr">
        <is>
          <t>MALUNG-SÄLEN</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47854-2021</t>
        </is>
      </c>
      <c r="B1197" s="1" t="n">
        <v>44448</v>
      </c>
      <c r="C1197" s="1" t="n">
        <v>46114</v>
      </c>
      <c r="D1197" t="inlineStr">
        <is>
          <t>DALARNAS LÄN</t>
        </is>
      </c>
      <c r="E1197" t="inlineStr">
        <is>
          <t>SÄTER</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53546-2021</t>
        </is>
      </c>
      <c r="B1198" s="1" t="n">
        <v>44469.23111111111</v>
      </c>
      <c r="C1198" s="1" t="n">
        <v>46114</v>
      </c>
      <c r="D1198" t="inlineStr">
        <is>
          <t>DALARNAS LÄN</t>
        </is>
      </c>
      <c r="E1198" t="inlineStr">
        <is>
          <t>RÄTTVIK</t>
        </is>
      </c>
      <c r="F1198" t="inlineStr">
        <is>
          <t>Sveaskog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60205-2021</t>
        </is>
      </c>
      <c r="B1199" s="1" t="n">
        <v>44495.57832175926</v>
      </c>
      <c r="C1199" s="1" t="n">
        <v>46114</v>
      </c>
      <c r="D1199" t="inlineStr">
        <is>
          <t>DALARNAS LÄN</t>
        </is>
      </c>
      <c r="E1199" t="inlineStr">
        <is>
          <t>RÄTTVIK</t>
        </is>
      </c>
      <c r="F1199" t="inlineStr">
        <is>
          <t>Sveaskog</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60206-2021</t>
        </is>
      </c>
      <c r="B1200" s="1" t="n">
        <v>44495.57938657407</v>
      </c>
      <c r="C1200" s="1" t="n">
        <v>46114</v>
      </c>
      <c r="D1200" t="inlineStr">
        <is>
          <t>DALARNAS LÄN</t>
        </is>
      </c>
      <c r="E1200" t="inlineStr">
        <is>
          <t>RÄTTVIK</t>
        </is>
      </c>
      <c r="F1200" t="inlineStr">
        <is>
          <t>Sveaskog</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60207-2021</t>
        </is>
      </c>
      <c r="B1201" s="1" t="n">
        <v>44495.58121527778</v>
      </c>
      <c r="C1201" s="1" t="n">
        <v>46114</v>
      </c>
      <c r="D1201" t="inlineStr">
        <is>
          <t>DALARNAS LÄN</t>
        </is>
      </c>
      <c r="E1201" t="inlineStr">
        <is>
          <t>RÄTTVIK</t>
        </is>
      </c>
      <c r="F1201" t="inlineStr">
        <is>
          <t>Sveaskog</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27029-2021</t>
        </is>
      </c>
      <c r="B1202" s="1" t="n">
        <v>44350</v>
      </c>
      <c r="C1202" s="1" t="n">
        <v>46114</v>
      </c>
      <c r="D1202" t="inlineStr">
        <is>
          <t>DALARNAS LÄN</t>
        </is>
      </c>
      <c r="E1202" t="inlineStr">
        <is>
          <t>RÄTTVIK</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19154-2021</t>
        </is>
      </c>
      <c r="B1203" s="1" t="n">
        <v>44308</v>
      </c>
      <c r="C1203" s="1" t="n">
        <v>46114</v>
      </c>
      <c r="D1203" t="inlineStr">
        <is>
          <t>DALARNAS LÄN</t>
        </is>
      </c>
      <c r="E1203" t="inlineStr">
        <is>
          <t>VANSBRO</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55195-2021</t>
        </is>
      </c>
      <c r="B1204" s="1" t="n">
        <v>44475.35819444444</v>
      </c>
      <c r="C1204" s="1" t="n">
        <v>46114</v>
      </c>
      <c r="D1204" t="inlineStr">
        <is>
          <t>DALARNAS LÄN</t>
        </is>
      </c>
      <c r="E1204" t="inlineStr">
        <is>
          <t>HEDEMORA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61083-2021</t>
        </is>
      </c>
      <c r="B1205" s="1" t="n">
        <v>44497.97938657407</v>
      </c>
      <c r="C1205" s="1" t="n">
        <v>46114</v>
      </c>
      <c r="D1205" t="inlineStr">
        <is>
          <t>DALARNAS LÄN</t>
        </is>
      </c>
      <c r="E1205" t="inlineStr">
        <is>
          <t>RÄTTVIK</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70647-2021</t>
        </is>
      </c>
      <c r="B1206" s="1" t="n">
        <v>44537</v>
      </c>
      <c r="C1206" s="1" t="n">
        <v>46114</v>
      </c>
      <c r="D1206" t="inlineStr">
        <is>
          <t>DALARNAS LÄN</t>
        </is>
      </c>
      <c r="E1206" t="inlineStr">
        <is>
          <t>MALUNG-SÄLEN</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28259-2021</t>
        </is>
      </c>
      <c r="B1207" s="1" t="n">
        <v>44355</v>
      </c>
      <c r="C1207" s="1" t="n">
        <v>46114</v>
      </c>
      <c r="D1207" t="inlineStr">
        <is>
          <t>DALARNAS LÄN</t>
        </is>
      </c>
      <c r="E1207" t="inlineStr">
        <is>
          <t>ORSA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70472-2021</t>
        </is>
      </c>
      <c r="B1208" s="1" t="n">
        <v>44536.66678240741</v>
      </c>
      <c r="C1208" s="1" t="n">
        <v>46114</v>
      </c>
      <c r="D1208" t="inlineStr">
        <is>
          <t>DALARNAS LÄN</t>
        </is>
      </c>
      <c r="E1208" t="inlineStr">
        <is>
          <t>RÄTTVIK</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16262-2021</t>
        </is>
      </c>
      <c r="B1209" s="1" t="n">
        <v>44292</v>
      </c>
      <c r="C1209" s="1" t="n">
        <v>46114</v>
      </c>
      <c r="D1209" t="inlineStr">
        <is>
          <t>DALARNAS LÄN</t>
        </is>
      </c>
      <c r="E1209" t="inlineStr">
        <is>
          <t>ÄLVDALEN</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59422-2021</t>
        </is>
      </c>
      <c r="B1210" s="1" t="n">
        <v>44491</v>
      </c>
      <c r="C1210" s="1" t="n">
        <v>46114</v>
      </c>
      <c r="D1210" t="inlineStr">
        <is>
          <t>DALARNAS LÄN</t>
        </is>
      </c>
      <c r="E1210" t="inlineStr">
        <is>
          <t>LEKSAND</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52818-2021</t>
        </is>
      </c>
      <c r="B1211" s="1" t="n">
        <v>44467</v>
      </c>
      <c r="C1211" s="1" t="n">
        <v>46114</v>
      </c>
      <c r="D1211" t="inlineStr">
        <is>
          <t>DALARNAS LÄN</t>
        </is>
      </c>
      <c r="E1211" t="inlineStr">
        <is>
          <t>AVESTA</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3965-2022</t>
        </is>
      </c>
      <c r="B1212" s="1" t="n">
        <v>44587.60530092593</v>
      </c>
      <c r="C1212" s="1" t="n">
        <v>46114</v>
      </c>
      <c r="D1212" t="inlineStr">
        <is>
          <t>DALARNAS LÄN</t>
        </is>
      </c>
      <c r="E1212" t="inlineStr">
        <is>
          <t>FALUN</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18896-2021</t>
        </is>
      </c>
      <c r="B1213" s="1" t="n">
        <v>44308.34251157408</v>
      </c>
      <c r="C1213" s="1" t="n">
        <v>46114</v>
      </c>
      <c r="D1213" t="inlineStr">
        <is>
          <t>DALARNAS LÄN</t>
        </is>
      </c>
      <c r="E1213" t="inlineStr">
        <is>
          <t>AVESTA</t>
        </is>
      </c>
      <c r="F1213" t="inlineStr">
        <is>
          <t>Sveaskog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23107-2021</t>
        </is>
      </c>
      <c r="B1214" s="1" t="n">
        <v>44330.57261574074</v>
      </c>
      <c r="C1214" s="1" t="n">
        <v>46114</v>
      </c>
      <c r="D1214" t="inlineStr">
        <is>
          <t>DALARNAS LÄN</t>
        </is>
      </c>
      <c r="E1214" t="inlineStr">
        <is>
          <t>RÄTTVIK</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28514-2021</t>
        </is>
      </c>
      <c r="B1215" s="1" t="n">
        <v>44356</v>
      </c>
      <c r="C1215" s="1" t="n">
        <v>46114</v>
      </c>
      <c r="D1215" t="inlineStr">
        <is>
          <t>DALARNAS LÄN</t>
        </is>
      </c>
      <c r="E1215" t="inlineStr">
        <is>
          <t>AVESTA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20353-2021</t>
        </is>
      </c>
      <c r="B1216" s="1" t="n">
        <v>44315.4233912037</v>
      </c>
      <c r="C1216" s="1" t="n">
        <v>46114</v>
      </c>
      <c r="D1216" t="inlineStr">
        <is>
          <t>DALARNAS LÄN</t>
        </is>
      </c>
      <c r="E1216" t="inlineStr">
        <is>
          <t>HEDEMORA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72813-2021</t>
        </is>
      </c>
      <c r="B1217" s="1" t="n">
        <v>44546</v>
      </c>
      <c r="C1217" s="1" t="n">
        <v>46114</v>
      </c>
      <c r="D1217" t="inlineStr">
        <is>
          <t>DALARNAS LÄN</t>
        </is>
      </c>
      <c r="E1217" t="inlineStr">
        <is>
          <t>ÄLVDALEN</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907-2022</t>
        </is>
      </c>
      <c r="B1218" s="1" t="n">
        <v>44571</v>
      </c>
      <c r="C1218" s="1" t="n">
        <v>46114</v>
      </c>
      <c r="D1218" t="inlineStr">
        <is>
          <t>DALARNAS LÄN</t>
        </is>
      </c>
      <c r="E1218" t="inlineStr">
        <is>
          <t>SMEDJEBACKEN</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22721-2021</t>
        </is>
      </c>
      <c r="B1219" s="1" t="n">
        <v>44325</v>
      </c>
      <c r="C1219" s="1" t="n">
        <v>46114</v>
      </c>
      <c r="D1219" t="inlineStr">
        <is>
          <t>DALARNAS LÄN</t>
        </is>
      </c>
      <c r="E1219" t="inlineStr">
        <is>
          <t>MALUNG-SÄLEN</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24231-2021</t>
        </is>
      </c>
      <c r="B1220" s="1" t="n">
        <v>44336</v>
      </c>
      <c r="C1220" s="1" t="n">
        <v>46114</v>
      </c>
      <c r="D1220" t="inlineStr">
        <is>
          <t>DALARNAS LÄN</t>
        </is>
      </c>
      <c r="E1220" t="inlineStr">
        <is>
          <t>RÄTTVIK</t>
        </is>
      </c>
      <c r="F1220" t="inlineStr">
        <is>
          <t>Bergvik skog väst AB</t>
        </is>
      </c>
      <c r="G1220" t="n">
        <v>5.4</v>
      </c>
      <c r="H1220" t="n">
        <v>0</v>
      </c>
      <c r="I1220" t="n">
        <v>0</v>
      </c>
      <c r="J1220" t="n">
        <v>0</v>
      </c>
      <c r="K1220" t="n">
        <v>0</v>
      </c>
      <c r="L1220" t="n">
        <v>0</v>
      </c>
      <c r="M1220" t="n">
        <v>0</v>
      </c>
      <c r="N1220" t="n">
        <v>0</v>
      </c>
      <c r="O1220" t="n">
        <v>0</v>
      </c>
      <c r="P1220" t="n">
        <v>0</v>
      </c>
      <c r="Q1220" t="n">
        <v>0</v>
      </c>
      <c r="R1220" s="2" t="inlineStr"/>
    </row>
    <row r="1221" ht="15" customHeight="1">
      <c r="A1221" t="inlineStr">
        <is>
          <t>A 30006-2021</t>
        </is>
      </c>
      <c r="B1221" s="1" t="n">
        <v>44363</v>
      </c>
      <c r="C1221" s="1" t="n">
        <v>46114</v>
      </c>
      <c r="D1221" t="inlineStr">
        <is>
          <t>DALARNAS LÄN</t>
        </is>
      </c>
      <c r="E1221" t="inlineStr">
        <is>
          <t>MALUNG-SÄLEN</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37560-2021</t>
        </is>
      </c>
      <c r="B1222" s="1" t="n">
        <v>44399</v>
      </c>
      <c r="C1222" s="1" t="n">
        <v>46114</v>
      </c>
      <c r="D1222" t="inlineStr">
        <is>
          <t>DALARNAS LÄN</t>
        </is>
      </c>
      <c r="E1222" t="inlineStr">
        <is>
          <t>RÄTTVIK</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50923-2021</t>
        </is>
      </c>
      <c r="B1223" s="1" t="n">
        <v>44460.61314814815</v>
      </c>
      <c r="C1223" s="1" t="n">
        <v>46114</v>
      </c>
      <c r="D1223" t="inlineStr">
        <is>
          <t>DALARNAS LÄN</t>
        </is>
      </c>
      <c r="E1223" t="inlineStr">
        <is>
          <t>RÄTTVIK</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42505-2021</t>
        </is>
      </c>
      <c r="B1224" s="1" t="n">
        <v>44427</v>
      </c>
      <c r="C1224" s="1" t="n">
        <v>46114</v>
      </c>
      <c r="D1224" t="inlineStr">
        <is>
          <t>DALARNAS LÄN</t>
        </is>
      </c>
      <c r="E1224" t="inlineStr">
        <is>
          <t>MORA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66158-2021</t>
        </is>
      </c>
      <c r="B1225" s="1" t="n">
        <v>44517.934375</v>
      </c>
      <c r="C1225" s="1" t="n">
        <v>46114</v>
      </c>
      <c r="D1225" t="inlineStr">
        <is>
          <t>DALARNAS LÄN</t>
        </is>
      </c>
      <c r="E1225" t="inlineStr">
        <is>
          <t>MORA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31610-2021</t>
        </is>
      </c>
      <c r="B1226" s="1" t="n">
        <v>44369.58023148148</v>
      </c>
      <c r="C1226" s="1" t="n">
        <v>46114</v>
      </c>
      <c r="D1226" t="inlineStr">
        <is>
          <t>DALARNAS LÄN</t>
        </is>
      </c>
      <c r="E1226" t="inlineStr">
        <is>
          <t>SÄTER</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52124-2021</t>
        </is>
      </c>
      <c r="B1227" s="1" t="n">
        <v>44463.48194444444</v>
      </c>
      <c r="C1227" s="1" t="n">
        <v>46114</v>
      </c>
      <c r="D1227" t="inlineStr">
        <is>
          <t>DALARNAS LÄN</t>
        </is>
      </c>
      <c r="E1227" t="inlineStr">
        <is>
          <t>ÄLVDALEN</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54292-2021</t>
        </is>
      </c>
      <c r="B1228" s="1" t="n">
        <v>44471</v>
      </c>
      <c r="C1228" s="1" t="n">
        <v>46114</v>
      </c>
      <c r="D1228" t="inlineStr">
        <is>
          <t>DALARNAS LÄN</t>
        </is>
      </c>
      <c r="E1228" t="inlineStr">
        <is>
          <t>ÄLVDALEN</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72648-2021</t>
        </is>
      </c>
      <c r="B1229" s="1" t="n">
        <v>44546.5862037037</v>
      </c>
      <c r="C1229" s="1" t="n">
        <v>46114</v>
      </c>
      <c r="D1229" t="inlineStr">
        <is>
          <t>DALARNAS LÄN</t>
        </is>
      </c>
      <c r="E1229" t="inlineStr">
        <is>
          <t>MORA</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34897-2022</t>
        </is>
      </c>
      <c r="B1230" s="1" t="n">
        <v>44796</v>
      </c>
      <c r="C1230" s="1" t="n">
        <v>46114</v>
      </c>
      <c r="D1230" t="inlineStr">
        <is>
          <t>DALARNAS LÄN</t>
        </is>
      </c>
      <c r="E1230" t="inlineStr">
        <is>
          <t>MORA</t>
        </is>
      </c>
      <c r="F1230" t="inlineStr">
        <is>
          <t>Bergvik skog väst AB</t>
        </is>
      </c>
      <c r="G1230" t="n">
        <v>8</v>
      </c>
      <c r="H1230" t="n">
        <v>0</v>
      </c>
      <c r="I1230" t="n">
        <v>0</v>
      </c>
      <c r="J1230" t="n">
        <v>0</v>
      </c>
      <c r="K1230" t="n">
        <v>0</v>
      </c>
      <c r="L1230" t="n">
        <v>0</v>
      </c>
      <c r="M1230" t="n">
        <v>0</v>
      </c>
      <c r="N1230" t="n">
        <v>0</v>
      </c>
      <c r="O1230" t="n">
        <v>0</v>
      </c>
      <c r="P1230" t="n">
        <v>0</v>
      </c>
      <c r="Q1230" t="n">
        <v>0</v>
      </c>
      <c r="R1230" s="2" t="inlineStr"/>
    </row>
    <row r="1231" ht="15" customHeight="1">
      <c r="A1231" t="inlineStr">
        <is>
          <t>A 40791-2021</t>
        </is>
      </c>
      <c r="B1231" s="1" t="n">
        <v>44421.30673611111</v>
      </c>
      <c r="C1231" s="1" t="n">
        <v>46114</v>
      </c>
      <c r="D1231" t="inlineStr">
        <is>
          <t>DALARNAS LÄN</t>
        </is>
      </c>
      <c r="E1231" t="inlineStr">
        <is>
          <t>RÄTTVIK</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28037-2021</t>
        </is>
      </c>
      <c r="B1232" s="1" t="n">
        <v>44355.38730324074</v>
      </c>
      <c r="C1232" s="1" t="n">
        <v>46114</v>
      </c>
      <c r="D1232" t="inlineStr">
        <is>
          <t>DALARNAS LÄN</t>
        </is>
      </c>
      <c r="E1232" t="inlineStr">
        <is>
          <t>SMEDJEBACKEN</t>
        </is>
      </c>
      <c r="F1232" t="inlineStr">
        <is>
          <t>Sveaskog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64577-2021</t>
        </is>
      </c>
      <c r="B1233" s="1" t="n">
        <v>44511</v>
      </c>
      <c r="C1233" s="1" t="n">
        <v>46114</v>
      </c>
      <c r="D1233" t="inlineStr">
        <is>
          <t>DALARNAS LÄN</t>
        </is>
      </c>
      <c r="E1233" t="inlineStr">
        <is>
          <t>MALUNG-SÄLEN</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38651-2022</t>
        </is>
      </c>
      <c r="B1234" s="1" t="n">
        <v>44813</v>
      </c>
      <c r="C1234" s="1" t="n">
        <v>46114</v>
      </c>
      <c r="D1234" t="inlineStr">
        <is>
          <t>DALARNAS LÄN</t>
        </is>
      </c>
      <c r="E1234" t="inlineStr">
        <is>
          <t>MORA</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8376-2022</t>
        </is>
      </c>
      <c r="B1235" s="1" t="n">
        <v>44610</v>
      </c>
      <c r="C1235" s="1" t="n">
        <v>46114</v>
      </c>
      <c r="D1235" t="inlineStr">
        <is>
          <t>DALARNAS LÄN</t>
        </is>
      </c>
      <c r="E1235" t="inlineStr">
        <is>
          <t>RÄTTVIK</t>
        </is>
      </c>
      <c r="F1235" t="inlineStr">
        <is>
          <t>Sveaskog</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15936-2022</t>
        </is>
      </c>
      <c r="B1236" s="1" t="n">
        <v>44664.65409722222</v>
      </c>
      <c r="C1236" s="1" t="n">
        <v>46114</v>
      </c>
      <c r="D1236" t="inlineStr">
        <is>
          <t>DALARNAS LÄN</t>
        </is>
      </c>
      <c r="E1236" t="inlineStr">
        <is>
          <t>FALUN</t>
        </is>
      </c>
      <c r="F1236" t="inlineStr">
        <is>
          <t>Bergvik skog väst AB</t>
        </is>
      </c>
      <c r="G1236" t="n">
        <v>0.4</v>
      </c>
      <c r="H1236" t="n">
        <v>0</v>
      </c>
      <c r="I1236" t="n">
        <v>0</v>
      </c>
      <c r="J1236" t="n">
        <v>0</v>
      </c>
      <c r="K1236" t="n">
        <v>0</v>
      </c>
      <c r="L1236" t="n">
        <v>0</v>
      </c>
      <c r="M1236" t="n">
        <v>0</v>
      </c>
      <c r="N1236" t="n">
        <v>0</v>
      </c>
      <c r="O1236" t="n">
        <v>0</v>
      </c>
      <c r="P1236" t="n">
        <v>0</v>
      </c>
      <c r="Q1236" t="n">
        <v>0</v>
      </c>
      <c r="R1236" s="2" t="inlineStr"/>
    </row>
    <row r="1237" ht="15" customHeight="1">
      <c r="A1237" t="inlineStr">
        <is>
          <t>A 40320-2021</t>
        </is>
      </c>
      <c r="B1237" s="1" t="n">
        <v>44419</v>
      </c>
      <c r="C1237" s="1" t="n">
        <v>46114</v>
      </c>
      <c r="D1237" t="inlineStr">
        <is>
          <t>DALARNAS LÄN</t>
        </is>
      </c>
      <c r="E1237" t="inlineStr">
        <is>
          <t>MALUNG-SÄLEN</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54150-2022</t>
        </is>
      </c>
      <c r="B1238" s="1" t="n">
        <v>44881.63303240741</v>
      </c>
      <c r="C1238" s="1" t="n">
        <v>46114</v>
      </c>
      <c r="D1238" t="inlineStr">
        <is>
          <t>DALARNAS LÄN</t>
        </is>
      </c>
      <c r="E1238" t="inlineStr">
        <is>
          <t>GAGNEF</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40235-2021</t>
        </is>
      </c>
      <c r="B1239" s="1" t="n">
        <v>44419.31731481481</v>
      </c>
      <c r="C1239" s="1" t="n">
        <v>46114</v>
      </c>
      <c r="D1239" t="inlineStr">
        <is>
          <t>DALARNAS LÄN</t>
        </is>
      </c>
      <c r="E1239" t="inlineStr">
        <is>
          <t>ÄLVDALEN</t>
        </is>
      </c>
      <c r="F1239" t="inlineStr">
        <is>
          <t>Sveaskog</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45783-2022</t>
        </is>
      </c>
      <c r="B1240" s="1" t="n">
        <v>44846</v>
      </c>
      <c r="C1240" s="1" t="n">
        <v>46114</v>
      </c>
      <c r="D1240" t="inlineStr">
        <is>
          <t>DALARNAS LÄN</t>
        </is>
      </c>
      <c r="E1240" t="inlineStr">
        <is>
          <t>ÄLVDALEN</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22310-2022</t>
        </is>
      </c>
      <c r="B1241" s="1" t="n">
        <v>44712.814375</v>
      </c>
      <c r="C1241" s="1" t="n">
        <v>46114</v>
      </c>
      <c r="D1241" t="inlineStr">
        <is>
          <t>DALARNAS LÄN</t>
        </is>
      </c>
      <c r="E1241" t="inlineStr">
        <is>
          <t>MALUNG-SÄLEN</t>
        </is>
      </c>
      <c r="F1241" t="inlineStr">
        <is>
          <t>Kyrkan</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37131-2021</t>
        </is>
      </c>
      <c r="B1242" s="1" t="n">
        <v>44396</v>
      </c>
      <c r="C1242" s="1" t="n">
        <v>46114</v>
      </c>
      <c r="D1242" t="inlineStr">
        <is>
          <t>DALARNAS LÄN</t>
        </is>
      </c>
      <c r="E1242" t="inlineStr">
        <is>
          <t>GAGNEF</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39920-2021</t>
        </is>
      </c>
      <c r="B1243" s="1" t="n">
        <v>44417</v>
      </c>
      <c r="C1243" s="1" t="n">
        <v>46114</v>
      </c>
      <c r="D1243" t="inlineStr">
        <is>
          <t>DALARNAS LÄN</t>
        </is>
      </c>
      <c r="E1243" t="inlineStr">
        <is>
          <t>ORSA</t>
        </is>
      </c>
      <c r="F1243" t="inlineStr">
        <is>
          <t>Kyrkan</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47007-2022</t>
        </is>
      </c>
      <c r="B1244" s="1" t="n">
        <v>44852.32462962963</v>
      </c>
      <c r="C1244" s="1" t="n">
        <v>46114</v>
      </c>
      <c r="D1244" t="inlineStr">
        <is>
          <t>DALARNAS LÄN</t>
        </is>
      </c>
      <c r="E1244" t="inlineStr">
        <is>
          <t>MALUNG-SÄLEN</t>
        </is>
      </c>
      <c r="F1244" t="inlineStr">
        <is>
          <t>Allmännings- och besparingsskogar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18291-2021</t>
        </is>
      </c>
      <c r="B1245" s="1" t="n">
        <v>44305</v>
      </c>
      <c r="C1245" s="1" t="n">
        <v>46114</v>
      </c>
      <c r="D1245" t="inlineStr">
        <is>
          <t>DALARNAS LÄN</t>
        </is>
      </c>
      <c r="E1245" t="inlineStr">
        <is>
          <t>AVESTA</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43300-2022</t>
        </is>
      </c>
      <c r="B1246" s="1" t="n">
        <v>44834</v>
      </c>
      <c r="C1246" s="1" t="n">
        <v>46114</v>
      </c>
      <c r="D1246" t="inlineStr">
        <is>
          <t>DALARNAS LÄN</t>
        </is>
      </c>
      <c r="E1246" t="inlineStr">
        <is>
          <t>LEKSAND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29874-2021</t>
        </is>
      </c>
      <c r="B1247" s="1" t="n">
        <v>44362.68665509259</v>
      </c>
      <c r="C1247" s="1" t="n">
        <v>46114</v>
      </c>
      <c r="D1247" t="inlineStr">
        <is>
          <t>DALARNAS LÄN</t>
        </is>
      </c>
      <c r="E1247" t="inlineStr">
        <is>
          <t>ORSA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48098-2021</t>
        </is>
      </c>
      <c r="B1248" s="1" t="n">
        <v>44449</v>
      </c>
      <c r="C1248" s="1" t="n">
        <v>46114</v>
      </c>
      <c r="D1248" t="inlineStr">
        <is>
          <t>DALARNAS LÄN</t>
        </is>
      </c>
      <c r="E1248" t="inlineStr">
        <is>
          <t>RÄTTVIK</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28204-2021</t>
        </is>
      </c>
      <c r="B1249" s="1" t="n">
        <v>44355</v>
      </c>
      <c r="C1249" s="1" t="n">
        <v>46114</v>
      </c>
      <c r="D1249" t="inlineStr">
        <is>
          <t>DALARNAS LÄN</t>
        </is>
      </c>
      <c r="E1249" t="inlineStr">
        <is>
          <t>MALUNG-SÄLEN</t>
        </is>
      </c>
      <c r="F1249" t="inlineStr">
        <is>
          <t>Bergvik skog öst AB</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14235-2022</t>
        </is>
      </c>
      <c r="B1250" s="1" t="n">
        <v>44651</v>
      </c>
      <c r="C1250" s="1" t="n">
        <v>46114</v>
      </c>
      <c r="D1250" t="inlineStr">
        <is>
          <t>DALARNAS LÄN</t>
        </is>
      </c>
      <c r="E1250" t="inlineStr">
        <is>
          <t>ÄLVDALEN</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31273-2022</t>
        </is>
      </c>
      <c r="B1251" s="1" t="n">
        <v>44771.62452546296</v>
      </c>
      <c r="C1251" s="1" t="n">
        <v>46114</v>
      </c>
      <c r="D1251" t="inlineStr">
        <is>
          <t>DALARNAS LÄN</t>
        </is>
      </c>
      <c r="E1251" t="inlineStr">
        <is>
          <t>LUDVIKA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48977-2021</t>
        </is>
      </c>
      <c r="B1252" s="1" t="n">
        <v>44453.41665509259</v>
      </c>
      <c r="C1252" s="1" t="n">
        <v>46114</v>
      </c>
      <c r="D1252" t="inlineStr">
        <is>
          <t>DALARNAS LÄN</t>
        </is>
      </c>
      <c r="E1252" t="inlineStr">
        <is>
          <t>VANSBRO</t>
        </is>
      </c>
      <c r="F1252" t="inlineStr">
        <is>
          <t>Bergvik skog öst AB</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18393-2021</t>
        </is>
      </c>
      <c r="B1253" s="1" t="n">
        <v>44305</v>
      </c>
      <c r="C1253" s="1" t="n">
        <v>46114</v>
      </c>
      <c r="D1253" t="inlineStr">
        <is>
          <t>DALARNAS LÄN</t>
        </is>
      </c>
      <c r="E1253" t="inlineStr">
        <is>
          <t>BORLÄNGE</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24849-2021</t>
        </is>
      </c>
      <c r="B1254" s="1" t="n">
        <v>44340.86222222223</v>
      </c>
      <c r="C1254" s="1" t="n">
        <v>46114</v>
      </c>
      <c r="D1254" t="inlineStr">
        <is>
          <t>DALARNAS LÄN</t>
        </is>
      </c>
      <c r="E1254" t="inlineStr">
        <is>
          <t>ÄLVDALEN</t>
        </is>
      </c>
      <c r="F1254" t="inlineStr">
        <is>
          <t>Sveaskog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65253-2021</t>
        </is>
      </c>
      <c r="B1255" s="1" t="n">
        <v>44515</v>
      </c>
      <c r="C1255" s="1" t="n">
        <v>46114</v>
      </c>
      <c r="D1255" t="inlineStr">
        <is>
          <t>DALARNAS LÄN</t>
        </is>
      </c>
      <c r="E1255" t="inlineStr">
        <is>
          <t>MORA</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23005-2021</t>
        </is>
      </c>
      <c r="B1256" s="1" t="n">
        <v>44328</v>
      </c>
      <c r="C1256" s="1" t="n">
        <v>46114</v>
      </c>
      <c r="D1256" t="inlineStr">
        <is>
          <t>DALARNAS LÄN</t>
        </is>
      </c>
      <c r="E1256" t="inlineStr">
        <is>
          <t>AVESTA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58314-2021</t>
        </is>
      </c>
      <c r="B1257" s="1" t="n">
        <v>44488</v>
      </c>
      <c r="C1257" s="1" t="n">
        <v>46114</v>
      </c>
      <c r="D1257" t="inlineStr">
        <is>
          <t>DALARNAS LÄN</t>
        </is>
      </c>
      <c r="E1257" t="inlineStr">
        <is>
          <t>RÄTTVIK</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9803-2022</t>
        </is>
      </c>
      <c r="B1258" s="1" t="n">
        <v>44620</v>
      </c>
      <c r="C1258" s="1" t="n">
        <v>46114</v>
      </c>
      <c r="D1258" t="inlineStr">
        <is>
          <t>DALARNAS LÄN</t>
        </is>
      </c>
      <c r="E1258" t="inlineStr">
        <is>
          <t>RÄTTVIK</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26874-2021</t>
        </is>
      </c>
      <c r="B1259" s="1" t="n">
        <v>44349</v>
      </c>
      <c r="C1259" s="1" t="n">
        <v>46114</v>
      </c>
      <c r="D1259" t="inlineStr">
        <is>
          <t>DALARNAS LÄN</t>
        </is>
      </c>
      <c r="E1259" t="inlineStr">
        <is>
          <t>ÄLVDALEN</t>
        </is>
      </c>
      <c r="F1259" t="inlineStr">
        <is>
          <t>Bergvik skog öst AB</t>
        </is>
      </c>
      <c r="G1259" t="n">
        <v>3.2</v>
      </c>
      <c r="H1259" t="n">
        <v>0</v>
      </c>
      <c r="I1259" t="n">
        <v>0</v>
      </c>
      <c r="J1259" t="n">
        <v>0</v>
      </c>
      <c r="K1259" t="n">
        <v>0</v>
      </c>
      <c r="L1259" t="n">
        <v>0</v>
      </c>
      <c r="M1259" t="n">
        <v>0</v>
      </c>
      <c r="N1259" t="n">
        <v>0</v>
      </c>
      <c r="O1259" t="n">
        <v>0</v>
      </c>
      <c r="P1259" t="n">
        <v>0</v>
      </c>
      <c r="Q1259" t="n">
        <v>0</v>
      </c>
      <c r="R1259" s="2" t="inlineStr"/>
    </row>
    <row r="1260" ht="15" customHeight="1">
      <c r="A1260" t="inlineStr">
        <is>
          <t>A 47513-2021</t>
        </is>
      </c>
      <c r="B1260" s="1" t="n">
        <v>44447</v>
      </c>
      <c r="C1260" s="1" t="n">
        <v>46114</v>
      </c>
      <c r="D1260" t="inlineStr">
        <is>
          <t>DALARNAS LÄN</t>
        </is>
      </c>
      <c r="E1260" t="inlineStr">
        <is>
          <t>FALUN</t>
        </is>
      </c>
      <c r="F1260" t="inlineStr">
        <is>
          <t>Bergvik skog väst AB</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10262-2022</t>
        </is>
      </c>
      <c r="B1261" s="1" t="n">
        <v>44622.6487037037</v>
      </c>
      <c r="C1261" s="1" t="n">
        <v>46114</v>
      </c>
      <c r="D1261" t="inlineStr">
        <is>
          <t>DALARNAS LÄN</t>
        </is>
      </c>
      <c r="E1261" t="inlineStr">
        <is>
          <t>ORSA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24426-2021</t>
        </is>
      </c>
      <c r="B1262" s="1" t="n">
        <v>44337.55547453704</v>
      </c>
      <c r="C1262" s="1" t="n">
        <v>46114</v>
      </c>
      <c r="D1262" t="inlineStr">
        <is>
          <t>DALARNAS LÄN</t>
        </is>
      </c>
      <c r="E1262" t="inlineStr">
        <is>
          <t>BORLÄNGE</t>
        </is>
      </c>
      <c r="G1262" t="n">
        <v>9</v>
      </c>
      <c r="H1262" t="n">
        <v>0</v>
      </c>
      <c r="I1262" t="n">
        <v>0</v>
      </c>
      <c r="J1262" t="n">
        <v>0</v>
      </c>
      <c r="K1262" t="n">
        <v>0</v>
      </c>
      <c r="L1262" t="n">
        <v>0</v>
      </c>
      <c r="M1262" t="n">
        <v>0</v>
      </c>
      <c r="N1262" t="n">
        <v>0</v>
      </c>
      <c r="O1262" t="n">
        <v>0</v>
      </c>
      <c r="P1262" t="n">
        <v>0</v>
      </c>
      <c r="Q1262" t="n">
        <v>0</v>
      </c>
      <c r="R1262" s="2" t="inlineStr"/>
    </row>
    <row r="1263" ht="15" customHeight="1">
      <c r="A1263" t="inlineStr">
        <is>
          <t>A 24454-2021</t>
        </is>
      </c>
      <c r="B1263" s="1" t="n">
        <v>44337</v>
      </c>
      <c r="C1263" s="1" t="n">
        <v>46114</v>
      </c>
      <c r="D1263" t="inlineStr">
        <is>
          <t>DALARNAS LÄN</t>
        </is>
      </c>
      <c r="E1263" t="inlineStr">
        <is>
          <t>VANSBRO</t>
        </is>
      </c>
      <c r="F1263" t="inlineStr">
        <is>
          <t>Bergvik skog öst AB</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50259-2021</t>
        </is>
      </c>
      <c r="B1264" s="1" t="n">
        <v>44458.91336805555</v>
      </c>
      <c r="C1264" s="1" t="n">
        <v>46114</v>
      </c>
      <c r="D1264" t="inlineStr">
        <is>
          <t>DALARNAS LÄN</t>
        </is>
      </c>
      <c r="E1264" t="inlineStr">
        <is>
          <t>BORLÄNGE</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26305-2022</t>
        </is>
      </c>
      <c r="B1265" s="1" t="n">
        <v>44735</v>
      </c>
      <c r="C1265" s="1" t="n">
        <v>46114</v>
      </c>
      <c r="D1265" t="inlineStr">
        <is>
          <t>DALARNAS LÄN</t>
        </is>
      </c>
      <c r="E1265" t="inlineStr">
        <is>
          <t>SMEDJEBACKEN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42668-2022</t>
        </is>
      </c>
      <c r="B1266" s="1" t="n">
        <v>44832.31839120371</v>
      </c>
      <c r="C1266" s="1" t="n">
        <v>46114</v>
      </c>
      <c r="D1266" t="inlineStr">
        <is>
          <t>DALARNAS LÄN</t>
        </is>
      </c>
      <c r="E1266" t="inlineStr">
        <is>
          <t>MORA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27424-2022</t>
        </is>
      </c>
      <c r="B1267" s="1" t="n">
        <v>44742.52768518519</v>
      </c>
      <c r="C1267" s="1" t="n">
        <v>46114</v>
      </c>
      <c r="D1267" t="inlineStr">
        <is>
          <t>DALARNAS LÄN</t>
        </is>
      </c>
      <c r="E1267" t="inlineStr">
        <is>
          <t>BORLÄNGE</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13536-2022</t>
        </is>
      </c>
      <c r="B1268" s="1" t="n">
        <v>44648</v>
      </c>
      <c r="C1268" s="1" t="n">
        <v>46114</v>
      </c>
      <c r="D1268" t="inlineStr">
        <is>
          <t>DALARNAS LÄN</t>
        </is>
      </c>
      <c r="E1268" t="inlineStr">
        <is>
          <t>FALUN</t>
        </is>
      </c>
      <c r="G1268" t="n">
        <v>0.1</v>
      </c>
      <c r="H1268" t="n">
        <v>0</v>
      </c>
      <c r="I1268" t="n">
        <v>0</v>
      </c>
      <c r="J1268" t="n">
        <v>0</v>
      </c>
      <c r="K1268" t="n">
        <v>0</v>
      </c>
      <c r="L1268" t="n">
        <v>0</v>
      </c>
      <c r="M1268" t="n">
        <v>0</v>
      </c>
      <c r="N1268" t="n">
        <v>0</v>
      </c>
      <c r="O1268" t="n">
        <v>0</v>
      </c>
      <c r="P1268" t="n">
        <v>0</v>
      </c>
      <c r="Q1268" t="n">
        <v>0</v>
      </c>
      <c r="R1268" s="2" t="inlineStr"/>
    </row>
    <row r="1269" ht="15" customHeight="1">
      <c r="A1269" t="inlineStr">
        <is>
          <t>A 13538-2022</t>
        </is>
      </c>
      <c r="B1269" s="1" t="n">
        <v>44648</v>
      </c>
      <c r="C1269" s="1" t="n">
        <v>46114</v>
      </c>
      <c r="D1269" t="inlineStr">
        <is>
          <t>DALARNAS LÄN</t>
        </is>
      </c>
      <c r="E1269" t="inlineStr">
        <is>
          <t>FALUN</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37534-2021</t>
        </is>
      </c>
      <c r="B1270" s="1" t="n">
        <v>44399</v>
      </c>
      <c r="C1270" s="1" t="n">
        <v>46114</v>
      </c>
      <c r="D1270" t="inlineStr">
        <is>
          <t>DALARNAS LÄN</t>
        </is>
      </c>
      <c r="E1270" t="inlineStr">
        <is>
          <t>BORLÄNGE</t>
        </is>
      </c>
      <c r="F1270" t="inlineStr">
        <is>
          <t>Bergvik skog väst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29697-2021</t>
        </is>
      </c>
      <c r="B1271" s="1" t="n">
        <v>44362.38358796296</v>
      </c>
      <c r="C1271" s="1" t="n">
        <v>46114</v>
      </c>
      <c r="D1271" t="inlineStr">
        <is>
          <t>DALARNAS LÄN</t>
        </is>
      </c>
      <c r="E1271" t="inlineStr">
        <is>
          <t>MORA</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53982-2021</t>
        </is>
      </c>
      <c r="B1272" s="1" t="n">
        <v>44470</v>
      </c>
      <c r="C1272" s="1" t="n">
        <v>46114</v>
      </c>
      <c r="D1272" t="inlineStr">
        <is>
          <t>DALARNAS LÄN</t>
        </is>
      </c>
      <c r="E1272" t="inlineStr">
        <is>
          <t>FALUN</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18600-2022</t>
        </is>
      </c>
      <c r="B1273" s="1" t="n">
        <v>44687.38893518518</v>
      </c>
      <c r="C1273" s="1" t="n">
        <v>46114</v>
      </c>
      <c r="D1273" t="inlineStr">
        <is>
          <t>DALARNAS LÄN</t>
        </is>
      </c>
      <c r="E1273" t="inlineStr">
        <is>
          <t>BORLÄNGE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26209-2021</t>
        </is>
      </c>
      <c r="B1274" s="1" t="n">
        <v>44347</v>
      </c>
      <c r="C1274" s="1" t="n">
        <v>46114</v>
      </c>
      <c r="D1274" t="inlineStr">
        <is>
          <t>DALARNAS LÄN</t>
        </is>
      </c>
      <c r="E1274" t="inlineStr">
        <is>
          <t>RÄTTVIK</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43944-2022</t>
        </is>
      </c>
      <c r="B1275" s="1" t="n">
        <v>44838</v>
      </c>
      <c r="C1275" s="1" t="n">
        <v>46114</v>
      </c>
      <c r="D1275" t="inlineStr">
        <is>
          <t>DALARNAS LÄN</t>
        </is>
      </c>
      <c r="E1275" t="inlineStr">
        <is>
          <t>MORA</t>
        </is>
      </c>
      <c r="F1275" t="inlineStr">
        <is>
          <t>Bergvik skog öst AB</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30632-2022</t>
        </is>
      </c>
      <c r="B1276" s="1" t="n">
        <v>44763.44908564815</v>
      </c>
      <c r="C1276" s="1" t="n">
        <v>46114</v>
      </c>
      <c r="D1276" t="inlineStr">
        <is>
          <t>DALARNAS LÄN</t>
        </is>
      </c>
      <c r="E1276" t="inlineStr">
        <is>
          <t>RÄTTVIK</t>
        </is>
      </c>
      <c r="G1276" t="n">
        <v>6.4</v>
      </c>
      <c r="H1276" t="n">
        <v>0</v>
      </c>
      <c r="I1276" t="n">
        <v>0</v>
      </c>
      <c r="J1276" t="n">
        <v>0</v>
      </c>
      <c r="K1276" t="n">
        <v>0</v>
      </c>
      <c r="L1276" t="n">
        <v>0</v>
      </c>
      <c r="M1276" t="n">
        <v>0</v>
      </c>
      <c r="N1276" t="n">
        <v>0</v>
      </c>
      <c r="O1276" t="n">
        <v>0</v>
      </c>
      <c r="P1276" t="n">
        <v>0</v>
      </c>
      <c r="Q1276" t="n">
        <v>0</v>
      </c>
      <c r="R1276" s="2" t="inlineStr"/>
    </row>
    <row r="1277" ht="15" customHeight="1">
      <c r="A1277" t="inlineStr">
        <is>
          <t>A 54239-2021</t>
        </is>
      </c>
      <c r="B1277" s="1" t="n">
        <v>44470.63695601852</v>
      </c>
      <c r="C1277" s="1" t="n">
        <v>46114</v>
      </c>
      <c r="D1277" t="inlineStr">
        <is>
          <t>DALARNAS LÄN</t>
        </is>
      </c>
      <c r="E1277" t="inlineStr">
        <is>
          <t>MORA</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12994-2022</t>
        </is>
      </c>
      <c r="B1278" s="1" t="n">
        <v>44643.43207175926</v>
      </c>
      <c r="C1278" s="1" t="n">
        <v>46114</v>
      </c>
      <c r="D1278" t="inlineStr">
        <is>
          <t>DALARNAS LÄN</t>
        </is>
      </c>
      <c r="E1278" t="inlineStr">
        <is>
          <t>AVESTA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35801-2022</t>
        </is>
      </c>
      <c r="B1279" s="1" t="n">
        <v>44802</v>
      </c>
      <c r="C1279" s="1" t="n">
        <v>46114</v>
      </c>
      <c r="D1279" t="inlineStr">
        <is>
          <t>DALARNAS LÄN</t>
        </is>
      </c>
      <c r="E1279" t="inlineStr">
        <is>
          <t>LEKSAND</t>
        </is>
      </c>
      <c r="F1279" t="inlineStr">
        <is>
          <t>Bergvik skog väst AB</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21716-2021</t>
        </is>
      </c>
      <c r="B1280" s="1" t="n">
        <v>44322.48659722223</v>
      </c>
      <c r="C1280" s="1" t="n">
        <v>46114</v>
      </c>
      <c r="D1280" t="inlineStr">
        <is>
          <t>DALARNAS LÄN</t>
        </is>
      </c>
      <c r="E1280" t="inlineStr">
        <is>
          <t>LUDVIKA</t>
        </is>
      </c>
      <c r="F1280" t="inlineStr">
        <is>
          <t>Bergvik skog väst AB</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25895-2022</t>
        </is>
      </c>
      <c r="B1281" s="1" t="n">
        <v>44733</v>
      </c>
      <c r="C1281" s="1" t="n">
        <v>46114</v>
      </c>
      <c r="D1281" t="inlineStr">
        <is>
          <t>DALARNAS LÄN</t>
        </is>
      </c>
      <c r="E1281" t="inlineStr">
        <is>
          <t>BORLÄNGE</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29716-2022</t>
        </is>
      </c>
      <c r="B1282" s="1" t="n">
        <v>44755</v>
      </c>
      <c r="C1282" s="1" t="n">
        <v>46114</v>
      </c>
      <c r="D1282" t="inlineStr">
        <is>
          <t>DALARNAS LÄN</t>
        </is>
      </c>
      <c r="E1282" t="inlineStr">
        <is>
          <t>ÄLVDALEN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52221-2021</t>
        </is>
      </c>
      <c r="B1283" s="1" t="n">
        <v>44462</v>
      </c>
      <c r="C1283" s="1" t="n">
        <v>46114</v>
      </c>
      <c r="D1283" t="inlineStr">
        <is>
          <t>DALARNAS LÄN</t>
        </is>
      </c>
      <c r="E1283" t="inlineStr">
        <is>
          <t>HEDEMORA</t>
        </is>
      </c>
      <c r="F1283" t="inlineStr">
        <is>
          <t>Bergvik skog väst AB</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23976-2022</t>
        </is>
      </c>
      <c r="B1284" s="1" t="n">
        <v>44722.83488425926</v>
      </c>
      <c r="C1284" s="1" t="n">
        <v>46114</v>
      </c>
      <c r="D1284" t="inlineStr">
        <is>
          <t>DALARNAS LÄN</t>
        </is>
      </c>
      <c r="E1284" t="inlineStr">
        <is>
          <t>AVESTA</t>
        </is>
      </c>
      <c r="F1284" t="inlineStr">
        <is>
          <t>Sveaskog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31623-2022</t>
        </is>
      </c>
      <c r="B1285" s="1" t="n">
        <v>44775</v>
      </c>
      <c r="C1285" s="1" t="n">
        <v>46114</v>
      </c>
      <c r="D1285" t="inlineStr">
        <is>
          <t>DALARNAS LÄN</t>
        </is>
      </c>
      <c r="E1285" t="inlineStr">
        <is>
          <t>FALUN</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44505-2021</t>
        </is>
      </c>
      <c r="B1286" s="1" t="n">
        <v>44435</v>
      </c>
      <c r="C1286" s="1" t="n">
        <v>46114</v>
      </c>
      <c r="D1286" t="inlineStr">
        <is>
          <t>DALARNAS LÄN</t>
        </is>
      </c>
      <c r="E1286" t="inlineStr">
        <is>
          <t>MALUNG-SÄLEN</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22329-2021</t>
        </is>
      </c>
      <c r="B1287" s="1" t="n">
        <v>44326</v>
      </c>
      <c r="C1287" s="1" t="n">
        <v>46114</v>
      </c>
      <c r="D1287" t="inlineStr">
        <is>
          <t>DALARNAS LÄN</t>
        </is>
      </c>
      <c r="E1287" t="inlineStr">
        <is>
          <t>MALUNG-SÄLEN</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27498-2022</t>
        </is>
      </c>
      <c r="B1288" s="1" t="n">
        <v>44742.62271990741</v>
      </c>
      <c r="C1288" s="1" t="n">
        <v>46114</v>
      </c>
      <c r="D1288" t="inlineStr">
        <is>
          <t>DALARNAS LÄN</t>
        </is>
      </c>
      <c r="E1288" t="inlineStr">
        <is>
          <t>ORSA</t>
        </is>
      </c>
      <c r="G1288" t="n">
        <v>5.7</v>
      </c>
      <c r="H1288" t="n">
        <v>0</v>
      </c>
      <c r="I1288" t="n">
        <v>0</v>
      </c>
      <c r="J1288" t="n">
        <v>0</v>
      </c>
      <c r="K1288" t="n">
        <v>0</v>
      </c>
      <c r="L1288" t="n">
        <v>0</v>
      </c>
      <c r="M1288" t="n">
        <v>0</v>
      </c>
      <c r="N1288" t="n">
        <v>0</v>
      </c>
      <c r="O1288" t="n">
        <v>0</v>
      </c>
      <c r="P1288" t="n">
        <v>0</v>
      </c>
      <c r="Q1288" t="n">
        <v>0</v>
      </c>
      <c r="R1288" s="2" t="inlineStr"/>
    </row>
    <row r="1289" ht="15" customHeight="1">
      <c r="A1289" t="inlineStr">
        <is>
          <t>A 27501-2022</t>
        </is>
      </c>
      <c r="B1289" s="1" t="n">
        <v>44742</v>
      </c>
      <c r="C1289" s="1" t="n">
        <v>46114</v>
      </c>
      <c r="D1289" t="inlineStr">
        <is>
          <t>DALARNAS LÄN</t>
        </is>
      </c>
      <c r="E1289" t="inlineStr">
        <is>
          <t>FALUN</t>
        </is>
      </c>
      <c r="F1289" t="inlineStr">
        <is>
          <t>Kyrkan</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30694-2022</t>
        </is>
      </c>
      <c r="B1290" s="1" t="n">
        <v>44763.67344907407</v>
      </c>
      <c r="C1290" s="1" t="n">
        <v>46114</v>
      </c>
      <c r="D1290" t="inlineStr">
        <is>
          <t>DALARNAS LÄN</t>
        </is>
      </c>
      <c r="E1290" t="inlineStr">
        <is>
          <t>RÄTTVIK</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25872-2022</t>
        </is>
      </c>
      <c r="B1291" s="1" t="n">
        <v>44733.64910879629</v>
      </c>
      <c r="C1291" s="1" t="n">
        <v>46114</v>
      </c>
      <c r="D1291" t="inlineStr">
        <is>
          <t>DALARNAS LÄN</t>
        </is>
      </c>
      <c r="E1291" t="inlineStr">
        <is>
          <t>MALUNG-SÄLEN</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46221-2021</t>
        </is>
      </c>
      <c r="B1292" s="1" t="n">
        <v>44442</v>
      </c>
      <c r="C1292" s="1" t="n">
        <v>46114</v>
      </c>
      <c r="D1292" t="inlineStr">
        <is>
          <t>DALARNAS LÄN</t>
        </is>
      </c>
      <c r="E1292" t="inlineStr">
        <is>
          <t>AVESTA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16375-2022</t>
        </is>
      </c>
      <c r="B1293" s="1" t="n">
        <v>44671.336875</v>
      </c>
      <c r="C1293" s="1" t="n">
        <v>46114</v>
      </c>
      <c r="D1293" t="inlineStr">
        <is>
          <t>DALARNAS LÄN</t>
        </is>
      </c>
      <c r="E1293" t="inlineStr">
        <is>
          <t>LEKSAND</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37370-2022</t>
        </is>
      </c>
      <c r="B1294" s="1" t="n">
        <v>44809.39690972222</v>
      </c>
      <c r="C1294" s="1" t="n">
        <v>46114</v>
      </c>
      <c r="D1294" t="inlineStr">
        <is>
          <t>DALARNAS LÄN</t>
        </is>
      </c>
      <c r="E1294" t="inlineStr">
        <is>
          <t>SMEDJEBACKEN</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22402-2021</t>
        </is>
      </c>
      <c r="B1295" s="1" t="n">
        <v>44326</v>
      </c>
      <c r="C1295" s="1" t="n">
        <v>46114</v>
      </c>
      <c r="D1295" t="inlineStr">
        <is>
          <t>DALARNAS LÄN</t>
        </is>
      </c>
      <c r="E1295" t="inlineStr">
        <is>
          <t>RÄTTVIK</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50620-2021</t>
        </is>
      </c>
      <c r="B1296" s="1" t="n">
        <v>44459.68884259259</v>
      </c>
      <c r="C1296" s="1" t="n">
        <v>46114</v>
      </c>
      <c r="D1296" t="inlineStr">
        <is>
          <t>DALARNAS LÄN</t>
        </is>
      </c>
      <c r="E1296" t="inlineStr">
        <is>
          <t>MORA</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26054-2021</t>
        </is>
      </c>
      <c r="B1297" s="1" t="n">
        <v>44344.64224537037</v>
      </c>
      <c r="C1297" s="1" t="n">
        <v>46114</v>
      </c>
      <c r="D1297" t="inlineStr">
        <is>
          <t>DALARNAS LÄN</t>
        </is>
      </c>
      <c r="E1297" t="inlineStr">
        <is>
          <t>LUDVIKA</t>
        </is>
      </c>
      <c r="F1297" t="inlineStr">
        <is>
          <t>Bergvik skog väst AB</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28762-2021</t>
        </is>
      </c>
      <c r="B1298" s="1" t="n">
        <v>44357.52767361111</v>
      </c>
      <c r="C1298" s="1" t="n">
        <v>46114</v>
      </c>
      <c r="D1298" t="inlineStr">
        <is>
          <t>DALARNAS LÄN</t>
        </is>
      </c>
      <c r="E1298" t="inlineStr">
        <is>
          <t>AVESTA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21081-2022</t>
        </is>
      </c>
      <c r="B1299" s="1" t="n">
        <v>44704.52496527778</v>
      </c>
      <c r="C1299" s="1" t="n">
        <v>46114</v>
      </c>
      <c r="D1299" t="inlineStr">
        <is>
          <t>DALARNAS LÄN</t>
        </is>
      </c>
      <c r="E1299" t="inlineStr">
        <is>
          <t>MALUNG-SÄLEN</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35789-2021</t>
        </is>
      </c>
      <c r="B1300" s="1" t="n">
        <v>44386</v>
      </c>
      <c r="C1300" s="1" t="n">
        <v>46114</v>
      </c>
      <c r="D1300" t="inlineStr">
        <is>
          <t>DALARNAS LÄN</t>
        </is>
      </c>
      <c r="E1300" t="inlineStr">
        <is>
          <t>RÄTTVIK</t>
        </is>
      </c>
      <c r="F1300" t="inlineStr">
        <is>
          <t>Sveaskog</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24080-2021</t>
        </is>
      </c>
      <c r="B1301" s="1" t="n">
        <v>44336</v>
      </c>
      <c r="C1301" s="1" t="n">
        <v>46114</v>
      </c>
      <c r="D1301" t="inlineStr">
        <is>
          <t>DALARNAS LÄN</t>
        </is>
      </c>
      <c r="E1301" t="inlineStr">
        <is>
          <t>LUDVIKA</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38041-2022</t>
        </is>
      </c>
      <c r="B1302" s="1" t="n">
        <v>44811</v>
      </c>
      <c r="C1302" s="1" t="n">
        <v>46114</v>
      </c>
      <c r="D1302" t="inlineStr">
        <is>
          <t>DALARNAS LÄN</t>
        </is>
      </c>
      <c r="E1302" t="inlineStr">
        <is>
          <t>MALUNG-SÄLEN</t>
        </is>
      </c>
      <c r="F1302" t="inlineStr">
        <is>
          <t>Bergvik skog öst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6574-2022</t>
        </is>
      </c>
      <c r="B1303" s="1" t="n">
        <v>44601</v>
      </c>
      <c r="C1303" s="1" t="n">
        <v>46114</v>
      </c>
      <c r="D1303" t="inlineStr">
        <is>
          <t>DALARNAS LÄN</t>
        </is>
      </c>
      <c r="E1303" t="inlineStr">
        <is>
          <t>MORA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51842-2022</t>
        </is>
      </c>
      <c r="B1304" s="1" t="n">
        <v>44872.57618055555</v>
      </c>
      <c r="C1304" s="1" t="n">
        <v>46114</v>
      </c>
      <c r="D1304" t="inlineStr">
        <is>
          <t>DALARNAS LÄN</t>
        </is>
      </c>
      <c r="E1304" t="inlineStr">
        <is>
          <t>LEKSAND</t>
        </is>
      </c>
      <c r="F1304" t="inlineStr">
        <is>
          <t>Bergvik skog väst AB</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29878-2022</t>
        </is>
      </c>
      <c r="B1305" s="1" t="n">
        <v>44755</v>
      </c>
      <c r="C1305" s="1" t="n">
        <v>46114</v>
      </c>
      <c r="D1305" t="inlineStr">
        <is>
          <t>DALARNAS LÄN</t>
        </is>
      </c>
      <c r="E1305" t="inlineStr">
        <is>
          <t>FALUN</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21273-2022</t>
        </is>
      </c>
      <c r="B1306" s="1" t="n">
        <v>44705</v>
      </c>
      <c r="C1306" s="1" t="n">
        <v>46114</v>
      </c>
      <c r="D1306" t="inlineStr">
        <is>
          <t>DALARNAS LÄN</t>
        </is>
      </c>
      <c r="E1306" t="inlineStr">
        <is>
          <t>MORA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36238-2022</t>
        </is>
      </c>
      <c r="B1307" s="1" t="n">
        <v>44803.5709375</v>
      </c>
      <c r="C1307" s="1" t="n">
        <v>46114</v>
      </c>
      <c r="D1307" t="inlineStr">
        <is>
          <t>DALARNAS LÄN</t>
        </is>
      </c>
      <c r="E1307" t="inlineStr">
        <is>
          <t>SMEDJEBACKEN</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29998-2022</t>
        </is>
      </c>
      <c r="B1308" s="1" t="n">
        <v>44756</v>
      </c>
      <c r="C1308" s="1" t="n">
        <v>46114</v>
      </c>
      <c r="D1308" t="inlineStr">
        <is>
          <t>DALARNAS LÄN</t>
        </is>
      </c>
      <c r="E1308" t="inlineStr">
        <is>
          <t>MALUNG-SÄLEN</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40919-2021</t>
        </is>
      </c>
      <c r="B1309" s="1" t="n">
        <v>44421</v>
      </c>
      <c r="C1309" s="1" t="n">
        <v>46114</v>
      </c>
      <c r="D1309" t="inlineStr">
        <is>
          <t>DALARNAS LÄN</t>
        </is>
      </c>
      <c r="E1309" t="inlineStr">
        <is>
          <t>ÄLVDALEN</t>
        </is>
      </c>
      <c r="F1309" t="inlineStr">
        <is>
          <t>Kyrkan</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29497-2022</t>
        </is>
      </c>
      <c r="B1310" s="1" t="n">
        <v>44753</v>
      </c>
      <c r="C1310" s="1" t="n">
        <v>46114</v>
      </c>
      <c r="D1310" t="inlineStr">
        <is>
          <t>DALARNAS LÄN</t>
        </is>
      </c>
      <c r="E1310" t="inlineStr">
        <is>
          <t>VANSBRO</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72780-2021</t>
        </is>
      </c>
      <c r="B1311" s="1" t="n">
        <v>44545</v>
      </c>
      <c r="C1311" s="1" t="n">
        <v>46114</v>
      </c>
      <c r="D1311" t="inlineStr">
        <is>
          <t>DALARNAS LÄN</t>
        </is>
      </c>
      <c r="E1311" t="inlineStr">
        <is>
          <t>MORA</t>
        </is>
      </c>
      <c r="F1311" t="inlineStr">
        <is>
          <t>Allmännings- och besparingsskogar</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66634-2021</t>
        </is>
      </c>
      <c r="B1312" s="1" t="n">
        <v>44519</v>
      </c>
      <c r="C1312" s="1" t="n">
        <v>46114</v>
      </c>
      <c r="D1312" t="inlineStr">
        <is>
          <t>DALARNAS LÄN</t>
        </is>
      </c>
      <c r="E1312" t="inlineStr">
        <is>
          <t>ÄLVDALEN</t>
        </is>
      </c>
      <c r="F1312" t="inlineStr">
        <is>
          <t>Sveaskog</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41436-2022</t>
        </is>
      </c>
      <c r="B1313" s="1" t="n">
        <v>44826.67771990741</v>
      </c>
      <c r="C1313" s="1" t="n">
        <v>46114</v>
      </c>
      <c r="D1313" t="inlineStr">
        <is>
          <t>DALARNAS LÄN</t>
        </is>
      </c>
      <c r="E1313" t="inlineStr">
        <is>
          <t>FALUN</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41039-2021</t>
        </is>
      </c>
      <c r="B1314" s="1" t="n">
        <v>44421</v>
      </c>
      <c r="C1314" s="1" t="n">
        <v>46114</v>
      </c>
      <c r="D1314" t="inlineStr">
        <is>
          <t>DALARNAS LÄN</t>
        </is>
      </c>
      <c r="E1314" t="inlineStr">
        <is>
          <t>RÄTTVIK</t>
        </is>
      </c>
      <c r="F1314" t="inlineStr">
        <is>
          <t>Sveaskog</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66705-2021</t>
        </is>
      </c>
      <c r="B1315" s="1" t="n">
        <v>44519</v>
      </c>
      <c r="C1315" s="1" t="n">
        <v>46114</v>
      </c>
      <c r="D1315" t="inlineStr">
        <is>
          <t>DALARNAS LÄN</t>
        </is>
      </c>
      <c r="E1315" t="inlineStr">
        <is>
          <t>VANSBRO</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42055-2022</t>
        </is>
      </c>
      <c r="B1316" s="1" t="n">
        <v>44830.49607638889</v>
      </c>
      <c r="C1316" s="1" t="n">
        <v>46114</v>
      </c>
      <c r="D1316" t="inlineStr">
        <is>
          <t>DALARNAS LÄN</t>
        </is>
      </c>
      <c r="E1316" t="inlineStr">
        <is>
          <t>VANSBRO</t>
        </is>
      </c>
      <c r="F1316" t="inlineStr">
        <is>
          <t>Bergvik skog väst AB</t>
        </is>
      </c>
      <c r="G1316" t="n">
        <v>7.3</v>
      </c>
      <c r="H1316" t="n">
        <v>0</v>
      </c>
      <c r="I1316" t="n">
        <v>0</v>
      </c>
      <c r="J1316" t="n">
        <v>0</v>
      </c>
      <c r="K1316" t="n">
        <v>0</v>
      </c>
      <c r="L1316" t="n">
        <v>0</v>
      </c>
      <c r="M1316" t="n">
        <v>0</v>
      </c>
      <c r="N1316" t="n">
        <v>0</v>
      </c>
      <c r="O1316" t="n">
        <v>0</v>
      </c>
      <c r="P1316" t="n">
        <v>0</v>
      </c>
      <c r="Q1316" t="n">
        <v>0</v>
      </c>
      <c r="R1316" s="2" t="inlineStr"/>
    </row>
    <row r="1317" ht="15" customHeight="1">
      <c r="A1317" t="inlineStr">
        <is>
          <t>A 41022-2021</t>
        </is>
      </c>
      <c r="B1317" s="1" t="n">
        <v>44421</v>
      </c>
      <c r="C1317" s="1" t="n">
        <v>46114</v>
      </c>
      <c r="D1317" t="inlineStr">
        <is>
          <t>DALARNAS LÄN</t>
        </is>
      </c>
      <c r="E1317" t="inlineStr">
        <is>
          <t>MORA</t>
        </is>
      </c>
      <c r="G1317" t="n">
        <v>11.9</v>
      </c>
      <c r="H1317" t="n">
        <v>0</v>
      </c>
      <c r="I1317" t="n">
        <v>0</v>
      </c>
      <c r="J1317" t="n">
        <v>0</v>
      </c>
      <c r="K1317" t="n">
        <v>0</v>
      </c>
      <c r="L1317" t="n">
        <v>0</v>
      </c>
      <c r="M1317" t="n">
        <v>0</v>
      </c>
      <c r="N1317" t="n">
        <v>0</v>
      </c>
      <c r="O1317" t="n">
        <v>0</v>
      </c>
      <c r="P1317" t="n">
        <v>0</v>
      </c>
      <c r="Q1317" t="n">
        <v>0</v>
      </c>
      <c r="R1317" s="2" t="inlineStr"/>
    </row>
    <row r="1318" ht="15" customHeight="1">
      <c r="A1318" t="inlineStr">
        <is>
          <t>A 49583-2021</t>
        </is>
      </c>
      <c r="B1318" s="1" t="n">
        <v>44455</v>
      </c>
      <c r="C1318" s="1" t="n">
        <v>46114</v>
      </c>
      <c r="D1318" t="inlineStr">
        <is>
          <t>DALARNAS LÄN</t>
        </is>
      </c>
      <c r="E1318" t="inlineStr">
        <is>
          <t>MORA</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29087-2022</t>
        </is>
      </c>
      <c r="B1319" s="1" t="n">
        <v>44749</v>
      </c>
      <c r="C1319" s="1" t="n">
        <v>46114</v>
      </c>
      <c r="D1319" t="inlineStr">
        <is>
          <t>DALARNAS LÄN</t>
        </is>
      </c>
      <c r="E1319" t="inlineStr">
        <is>
          <t>RÄTTVIK</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24438-2021</t>
        </is>
      </c>
      <c r="B1320" s="1" t="n">
        <v>44337.57040509259</v>
      </c>
      <c r="C1320" s="1" t="n">
        <v>46114</v>
      </c>
      <c r="D1320" t="inlineStr">
        <is>
          <t>DALARNAS LÄN</t>
        </is>
      </c>
      <c r="E1320" t="inlineStr">
        <is>
          <t>BORLÄNGE</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18369-2021</t>
        </is>
      </c>
      <c r="B1321" s="1" t="n">
        <v>44305</v>
      </c>
      <c r="C1321" s="1" t="n">
        <v>46114</v>
      </c>
      <c r="D1321" t="inlineStr">
        <is>
          <t>DALARNAS LÄN</t>
        </is>
      </c>
      <c r="E1321" t="inlineStr">
        <is>
          <t>SMEDJEBACKEN</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27470-2021</t>
        </is>
      </c>
      <c r="B1322" s="1" t="n">
        <v>44351</v>
      </c>
      <c r="C1322" s="1" t="n">
        <v>46114</v>
      </c>
      <c r="D1322" t="inlineStr">
        <is>
          <t>DALARNAS LÄN</t>
        </is>
      </c>
      <c r="E1322" t="inlineStr">
        <is>
          <t>MALUNG-SÄLEN</t>
        </is>
      </c>
      <c r="F1322" t="inlineStr">
        <is>
          <t>Allmännings- och besparingsskogar</t>
        </is>
      </c>
      <c r="G1322" t="n">
        <v>14.8</v>
      </c>
      <c r="H1322" t="n">
        <v>0</v>
      </c>
      <c r="I1322" t="n">
        <v>0</v>
      </c>
      <c r="J1322" t="n">
        <v>0</v>
      </c>
      <c r="K1322" t="n">
        <v>0</v>
      </c>
      <c r="L1322" t="n">
        <v>0</v>
      </c>
      <c r="M1322" t="n">
        <v>0</v>
      </c>
      <c r="N1322" t="n">
        <v>0</v>
      </c>
      <c r="O1322" t="n">
        <v>0</v>
      </c>
      <c r="P1322" t="n">
        <v>0</v>
      </c>
      <c r="Q1322" t="n">
        <v>0</v>
      </c>
      <c r="R1322" s="2" t="inlineStr"/>
    </row>
    <row r="1323" ht="15" customHeight="1">
      <c r="A1323" t="inlineStr">
        <is>
          <t>A 49152-2022</t>
        </is>
      </c>
      <c r="B1323" s="1" t="n">
        <v>44860</v>
      </c>
      <c r="C1323" s="1" t="n">
        <v>46114</v>
      </c>
      <c r="D1323" t="inlineStr">
        <is>
          <t>DALARNAS LÄN</t>
        </is>
      </c>
      <c r="E1323" t="inlineStr">
        <is>
          <t>FALUN</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38454-2021</t>
        </is>
      </c>
      <c r="B1324" s="1" t="n">
        <v>44407</v>
      </c>
      <c r="C1324" s="1" t="n">
        <v>46114</v>
      </c>
      <c r="D1324" t="inlineStr">
        <is>
          <t>DALARNAS LÄN</t>
        </is>
      </c>
      <c r="E1324" t="inlineStr">
        <is>
          <t>FALUN</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45741-2022</t>
        </is>
      </c>
      <c r="B1325" s="1" t="n">
        <v>44846.33142361111</v>
      </c>
      <c r="C1325" s="1" t="n">
        <v>46114</v>
      </c>
      <c r="D1325" t="inlineStr">
        <is>
          <t>DALARNAS LÄN</t>
        </is>
      </c>
      <c r="E1325" t="inlineStr">
        <is>
          <t>HEDEMORA</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16840-2021</t>
        </is>
      </c>
      <c r="B1326" s="1" t="n">
        <v>44295</v>
      </c>
      <c r="C1326" s="1" t="n">
        <v>46114</v>
      </c>
      <c r="D1326" t="inlineStr">
        <is>
          <t>DALARNAS LÄN</t>
        </is>
      </c>
      <c r="E1326" t="inlineStr">
        <is>
          <t>MORA</t>
        </is>
      </c>
      <c r="G1326" t="n">
        <v>11.5</v>
      </c>
      <c r="H1326" t="n">
        <v>0</v>
      </c>
      <c r="I1326" t="n">
        <v>0</v>
      </c>
      <c r="J1326" t="n">
        <v>0</v>
      </c>
      <c r="K1326" t="n">
        <v>0</v>
      </c>
      <c r="L1326" t="n">
        <v>0</v>
      </c>
      <c r="M1326" t="n">
        <v>0</v>
      </c>
      <c r="N1326" t="n">
        <v>0</v>
      </c>
      <c r="O1326" t="n">
        <v>0</v>
      </c>
      <c r="P1326" t="n">
        <v>0</v>
      </c>
      <c r="Q1326" t="n">
        <v>0</v>
      </c>
      <c r="R1326" s="2" t="inlineStr"/>
    </row>
    <row r="1327" ht="15" customHeight="1">
      <c r="A1327" t="inlineStr">
        <is>
          <t>A 46259-2022</t>
        </is>
      </c>
      <c r="B1327" s="1" t="n">
        <v>44847.64135416667</v>
      </c>
      <c r="C1327" s="1" t="n">
        <v>46114</v>
      </c>
      <c r="D1327" t="inlineStr">
        <is>
          <t>DALARNAS LÄN</t>
        </is>
      </c>
      <c r="E1327" t="inlineStr">
        <is>
          <t>FALUN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49022-2021</t>
        </is>
      </c>
      <c r="B1328" s="1" t="n">
        <v>44453.52461805556</v>
      </c>
      <c r="C1328" s="1" t="n">
        <v>46114</v>
      </c>
      <c r="D1328" t="inlineStr">
        <is>
          <t>DALARNAS LÄN</t>
        </is>
      </c>
      <c r="E1328" t="inlineStr">
        <is>
          <t>VANSBRO</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51731-2021</t>
        </is>
      </c>
      <c r="B1329" s="1" t="n">
        <v>44462</v>
      </c>
      <c r="C1329" s="1" t="n">
        <v>46114</v>
      </c>
      <c r="D1329" t="inlineStr">
        <is>
          <t>DALARNAS LÄN</t>
        </is>
      </c>
      <c r="E1329" t="inlineStr">
        <is>
          <t>SMEDJEBACKEN</t>
        </is>
      </c>
      <c r="F1329" t="inlineStr">
        <is>
          <t>Sveaskog</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54281-2021</t>
        </is>
      </c>
      <c r="B1330" s="1" t="n">
        <v>44470</v>
      </c>
      <c r="C1330" s="1" t="n">
        <v>46114</v>
      </c>
      <c r="D1330" t="inlineStr">
        <is>
          <t>DALARNAS LÄN</t>
        </is>
      </c>
      <c r="E1330" t="inlineStr">
        <is>
          <t>RÄTTVIK</t>
        </is>
      </c>
      <c r="G1330" t="n">
        <v>14.8</v>
      </c>
      <c r="H1330" t="n">
        <v>0</v>
      </c>
      <c r="I1330" t="n">
        <v>0</v>
      </c>
      <c r="J1330" t="n">
        <v>0</v>
      </c>
      <c r="K1330" t="n">
        <v>0</v>
      </c>
      <c r="L1330" t="n">
        <v>0</v>
      </c>
      <c r="M1330" t="n">
        <v>0</v>
      </c>
      <c r="N1330" t="n">
        <v>0</v>
      </c>
      <c r="O1330" t="n">
        <v>0</v>
      </c>
      <c r="P1330" t="n">
        <v>0</v>
      </c>
      <c r="Q1330" t="n">
        <v>0</v>
      </c>
      <c r="R1330" s="2" t="inlineStr"/>
    </row>
    <row r="1331" ht="15" customHeight="1">
      <c r="A1331" t="inlineStr">
        <is>
          <t>A 38957-2021</t>
        </is>
      </c>
      <c r="B1331" s="1" t="n">
        <v>44411</v>
      </c>
      <c r="C1331" s="1" t="n">
        <v>46114</v>
      </c>
      <c r="D1331" t="inlineStr">
        <is>
          <t>DALARNAS LÄN</t>
        </is>
      </c>
      <c r="E1331" t="inlineStr">
        <is>
          <t>ÄLVDALEN</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60697-2021</t>
        </is>
      </c>
      <c r="B1332" s="1" t="n">
        <v>44496</v>
      </c>
      <c r="C1332" s="1" t="n">
        <v>46114</v>
      </c>
      <c r="D1332" t="inlineStr">
        <is>
          <t>DALARNAS LÄN</t>
        </is>
      </c>
      <c r="E1332" t="inlineStr">
        <is>
          <t>SMEDJEBACKEN</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54198-2022</t>
        </is>
      </c>
      <c r="B1333" s="1" t="n">
        <v>44881.69982638889</v>
      </c>
      <c r="C1333" s="1" t="n">
        <v>46114</v>
      </c>
      <c r="D1333" t="inlineStr">
        <is>
          <t>DALARNAS LÄN</t>
        </is>
      </c>
      <c r="E1333" t="inlineStr">
        <is>
          <t>HEDEMORA</t>
        </is>
      </c>
      <c r="F1333" t="inlineStr">
        <is>
          <t>Sveaskog</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56045-2021</t>
        </is>
      </c>
      <c r="B1334" s="1" t="n">
        <v>44477</v>
      </c>
      <c r="C1334" s="1" t="n">
        <v>46114</v>
      </c>
      <c r="D1334" t="inlineStr">
        <is>
          <t>DALARNAS LÄN</t>
        </is>
      </c>
      <c r="E1334" t="inlineStr">
        <is>
          <t>ÄLVDALEN</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19019-2022</t>
        </is>
      </c>
      <c r="B1335" s="1" t="n">
        <v>44691.324375</v>
      </c>
      <c r="C1335" s="1" t="n">
        <v>46114</v>
      </c>
      <c r="D1335" t="inlineStr">
        <is>
          <t>DALARNAS LÄN</t>
        </is>
      </c>
      <c r="E1335" t="inlineStr">
        <is>
          <t>SMEDJEBACKEN</t>
        </is>
      </c>
      <c r="F1335" t="inlineStr">
        <is>
          <t>Övriga Aktiebolag</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50843-2021</t>
        </is>
      </c>
      <c r="B1336" s="1" t="n">
        <v>44460.52704861111</v>
      </c>
      <c r="C1336" s="1" t="n">
        <v>46114</v>
      </c>
      <c r="D1336" t="inlineStr">
        <is>
          <t>DALARNAS LÄN</t>
        </is>
      </c>
      <c r="E1336" t="inlineStr">
        <is>
          <t>ORSA</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41032-2021</t>
        </is>
      </c>
      <c r="B1337" s="1" t="n">
        <v>44421</v>
      </c>
      <c r="C1337" s="1" t="n">
        <v>46114</v>
      </c>
      <c r="D1337" t="inlineStr">
        <is>
          <t>DALARNAS LÄN</t>
        </is>
      </c>
      <c r="E1337" t="inlineStr">
        <is>
          <t>MORA</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41636-2021</t>
        </is>
      </c>
      <c r="B1338" s="1" t="n">
        <v>44425.46491898148</v>
      </c>
      <c r="C1338" s="1" t="n">
        <v>46114</v>
      </c>
      <c r="D1338" t="inlineStr">
        <is>
          <t>DALARNAS LÄN</t>
        </is>
      </c>
      <c r="E1338" t="inlineStr">
        <is>
          <t>BORLÄNGE</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44434-2021</t>
        </is>
      </c>
      <c r="B1339" s="1" t="n">
        <v>44435.52408564815</v>
      </c>
      <c r="C1339" s="1" t="n">
        <v>46114</v>
      </c>
      <c r="D1339" t="inlineStr">
        <is>
          <t>DALARNAS LÄN</t>
        </is>
      </c>
      <c r="E1339" t="inlineStr">
        <is>
          <t>RÄTTVIK</t>
        </is>
      </c>
      <c r="G1339" t="n">
        <v>0.2</v>
      </c>
      <c r="H1339" t="n">
        <v>0</v>
      </c>
      <c r="I1339" t="n">
        <v>0</v>
      </c>
      <c r="J1339" t="n">
        <v>0</v>
      </c>
      <c r="K1339" t="n">
        <v>0</v>
      </c>
      <c r="L1339" t="n">
        <v>0</v>
      </c>
      <c r="M1339" t="n">
        <v>0</v>
      </c>
      <c r="N1339" t="n">
        <v>0</v>
      </c>
      <c r="O1339" t="n">
        <v>0</v>
      </c>
      <c r="P1339" t="n">
        <v>0</v>
      </c>
      <c r="Q1339" t="n">
        <v>0</v>
      </c>
      <c r="R1339" s="2" t="inlineStr"/>
    </row>
    <row r="1340" ht="15" customHeight="1">
      <c r="A1340" t="inlineStr">
        <is>
          <t>A 54182-2021</t>
        </is>
      </c>
      <c r="B1340" s="1" t="n">
        <v>44470</v>
      </c>
      <c r="C1340" s="1" t="n">
        <v>46114</v>
      </c>
      <c r="D1340" t="inlineStr">
        <is>
          <t>DALARNAS LÄN</t>
        </is>
      </c>
      <c r="E1340" t="inlineStr">
        <is>
          <t>RÄTTVIK</t>
        </is>
      </c>
      <c r="F1340" t="inlineStr">
        <is>
          <t>Sveaskog</t>
        </is>
      </c>
      <c r="G1340" t="n">
        <v>2.5</v>
      </c>
      <c r="H1340" t="n">
        <v>0</v>
      </c>
      <c r="I1340" t="n">
        <v>0</v>
      </c>
      <c r="J1340" t="n">
        <v>0</v>
      </c>
      <c r="K1340" t="n">
        <v>0</v>
      </c>
      <c r="L1340" t="n">
        <v>0</v>
      </c>
      <c r="M1340" t="n">
        <v>0</v>
      </c>
      <c r="N1340" t="n">
        <v>0</v>
      </c>
      <c r="O1340" t="n">
        <v>0</v>
      </c>
      <c r="P1340" t="n">
        <v>0</v>
      </c>
      <c r="Q1340" t="n">
        <v>0</v>
      </c>
      <c r="R1340" s="2" t="inlineStr"/>
    </row>
    <row r="1341" ht="15" customHeight="1">
      <c r="A1341" t="inlineStr">
        <is>
          <t>A 64503-2021</t>
        </is>
      </c>
      <c r="B1341" s="1" t="n">
        <v>44511</v>
      </c>
      <c r="C1341" s="1" t="n">
        <v>46114</v>
      </c>
      <c r="D1341" t="inlineStr">
        <is>
          <t>DALARNAS LÄN</t>
        </is>
      </c>
      <c r="E1341" t="inlineStr">
        <is>
          <t>GAGNEF</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21132-2021</t>
        </is>
      </c>
      <c r="B1342" s="1" t="n">
        <v>44319</v>
      </c>
      <c r="C1342" s="1" t="n">
        <v>46114</v>
      </c>
      <c r="D1342" t="inlineStr">
        <is>
          <t>DALARNAS LÄN</t>
        </is>
      </c>
      <c r="E1342" t="inlineStr">
        <is>
          <t>LEKSAND</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12477-2022</t>
        </is>
      </c>
      <c r="B1343" s="1" t="n">
        <v>44638</v>
      </c>
      <c r="C1343" s="1" t="n">
        <v>46114</v>
      </c>
      <c r="D1343" t="inlineStr">
        <is>
          <t>DALARNAS LÄN</t>
        </is>
      </c>
      <c r="E1343" t="inlineStr">
        <is>
          <t>RÄTTVIK</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33771-2022</t>
        </is>
      </c>
      <c r="B1344" s="1" t="n">
        <v>44790.36993055556</v>
      </c>
      <c r="C1344" s="1" t="n">
        <v>46114</v>
      </c>
      <c r="D1344" t="inlineStr">
        <is>
          <t>DALARNAS LÄN</t>
        </is>
      </c>
      <c r="E1344" t="inlineStr">
        <is>
          <t>RÄTTVIK</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52425-2021</t>
        </is>
      </c>
      <c r="B1345" s="1" t="n">
        <v>44466.33798611111</v>
      </c>
      <c r="C1345" s="1" t="n">
        <v>46114</v>
      </c>
      <c r="D1345" t="inlineStr">
        <is>
          <t>DALARNAS LÄN</t>
        </is>
      </c>
      <c r="E1345" t="inlineStr">
        <is>
          <t>HEDEMORA</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26879-2022</t>
        </is>
      </c>
      <c r="B1346" s="1" t="n">
        <v>44740</v>
      </c>
      <c r="C1346" s="1" t="n">
        <v>46114</v>
      </c>
      <c r="D1346" t="inlineStr">
        <is>
          <t>DALARNAS LÄN</t>
        </is>
      </c>
      <c r="E1346" t="inlineStr">
        <is>
          <t>RÄTTVIK</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12049-2022</t>
        </is>
      </c>
      <c r="B1347" s="1" t="n">
        <v>44636</v>
      </c>
      <c r="C1347" s="1" t="n">
        <v>46114</v>
      </c>
      <c r="D1347" t="inlineStr">
        <is>
          <t>DALARNAS LÄN</t>
        </is>
      </c>
      <c r="E1347" t="inlineStr">
        <is>
          <t>FALUN</t>
        </is>
      </c>
      <c r="G1347" t="n">
        <v>0.1</v>
      </c>
      <c r="H1347" t="n">
        <v>0</v>
      </c>
      <c r="I1347" t="n">
        <v>0</v>
      </c>
      <c r="J1347" t="n">
        <v>0</v>
      </c>
      <c r="K1347" t="n">
        <v>0</v>
      </c>
      <c r="L1347" t="n">
        <v>0</v>
      </c>
      <c r="M1347" t="n">
        <v>0</v>
      </c>
      <c r="N1347" t="n">
        <v>0</v>
      </c>
      <c r="O1347" t="n">
        <v>0</v>
      </c>
      <c r="P1347" t="n">
        <v>0</v>
      </c>
      <c r="Q1347" t="n">
        <v>0</v>
      </c>
      <c r="R1347" s="2" t="inlineStr"/>
    </row>
    <row r="1348" ht="15" customHeight="1">
      <c r="A1348" t="inlineStr">
        <is>
          <t>A 12606-2022</t>
        </is>
      </c>
      <c r="B1348" s="1" t="n">
        <v>44641.34217592593</v>
      </c>
      <c r="C1348" s="1" t="n">
        <v>46114</v>
      </c>
      <c r="D1348" t="inlineStr">
        <is>
          <t>DALARNAS LÄN</t>
        </is>
      </c>
      <c r="E1348" t="inlineStr">
        <is>
          <t>SMEDJEBACKEN</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16183-2022</t>
        </is>
      </c>
      <c r="B1349" s="1" t="n">
        <v>44668.89833333333</v>
      </c>
      <c r="C1349" s="1" t="n">
        <v>46114</v>
      </c>
      <c r="D1349" t="inlineStr">
        <is>
          <t>DALARNAS LÄN</t>
        </is>
      </c>
      <c r="E1349" t="inlineStr">
        <is>
          <t>GAGNEF</t>
        </is>
      </c>
      <c r="F1349" t="inlineStr">
        <is>
          <t>Bergvik skog väst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55308-2022</t>
        </is>
      </c>
      <c r="B1350" s="1" t="n">
        <v>44887.40295138889</v>
      </c>
      <c r="C1350" s="1" t="n">
        <v>46114</v>
      </c>
      <c r="D1350" t="inlineStr">
        <is>
          <t>DALARNAS LÄN</t>
        </is>
      </c>
      <c r="E1350" t="inlineStr">
        <is>
          <t>MALUNG-SÄLEN</t>
        </is>
      </c>
      <c r="F1350" t="inlineStr">
        <is>
          <t>Bergvik skog väst AB</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45935-2022</t>
        </is>
      </c>
      <c r="B1351" s="1" t="n">
        <v>44846</v>
      </c>
      <c r="C1351" s="1" t="n">
        <v>46114</v>
      </c>
      <c r="D1351" t="inlineStr">
        <is>
          <t>DALARNAS LÄN</t>
        </is>
      </c>
      <c r="E1351" t="inlineStr">
        <is>
          <t>SÄTER</t>
        </is>
      </c>
      <c r="G1351" t="n">
        <v>8.5</v>
      </c>
      <c r="H1351" t="n">
        <v>0</v>
      </c>
      <c r="I1351" t="n">
        <v>0</v>
      </c>
      <c r="J1351" t="n">
        <v>0</v>
      </c>
      <c r="K1351" t="n">
        <v>0</v>
      </c>
      <c r="L1351" t="n">
        <v>0</v>
      </c>
      <c r="M1351" t="n">
        <v>0</v>
      </c>
      <c r="N1351" t="n">
        <v>0</v>
      </c>
      <c r="O1351" t="n">
        <v>0</v>
      </c>
      <c r="P1351" t="n">
        <v>0</v>
      </c>
      <c r="Q1351" t="n">
        <v>0</v>
      </c>
      <c r="R1351" s="2" t="inlineStr"/>
    </row>
    <row r="1352" ht="15" customHeight="1">
      <c r="A1352" t="inlineStr">
        <is>
          <t>A 51167-2022</t>
        </is>
      </c>
      <c r="B1352" s="1" t="n">
        <v>44868.54824074074</v>
      </c>
      <c r="C1352" s="1" t="n">
        <v>46114</v>
      </c>
      <c r="D1352" t="inlineStr">
        <is>
          <t>DALARNAS LÄN</t>
        </is>
      </c>
      <c r="E1352" t="inlineStr">
        <is>
          <t>HEDEMORA</t>
        </is>
      </c>
      <c r="F1352" t="inlineStr">
        <is>
          <t>Sveaskog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19841-2022</t>
        </is>
      </c>
      <c r="B1353" s="1" t="n">
        <v>44696</v>
      </c>
      <c r="C1353" s="1" t="n">
        <v>46114</v>
      </c>
      <c r="D1353" t="inlineStr">
        <is>
          <t>DALARNAS LÄN</t>
        </is>
      </c>
      <c r="E1353" t="inlineStr">
        <is>
          <t>MALUNG-SÄLEN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34567-2022</t>
        </is>
      </c>
      <c r="B1354" s="1" t="n">
        <v>44795</v>
      </c>
      <c r="C1354" s="1" t="n">
        <v>46114</v>
      </c>
      <c r="D1354" t="inlineStr">
        <is>
          <t>DALARNAS LÄN</t>
        </is>
      </c>
      <c r="E1354" t="inlineStr">
        <is>
          <t>RÄTTVIK</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34570-2022</t>
        </is>
      </c>
      <c r="B1355" s="1" t="n">
        <v>44795.28973379629</v>
      </c>
      <c r="C1355" s="1" t="n">
        <v>46114</v>
      </c>
      <c r="D1355" t="inlineStr">
        <is>
          <t>DALARNAS LÄN</t>
        </is>
      </c>
      <c r="E1355" t="inlineStr">
        <is>
          <t>RÄTTVIK</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52303-2022</t>
        </is>
      </c>
      <c r="B1356" s="1" t="n">
        <v>44869</v>
      </c>
      <c r="C1356" s="1" t="n">
        <v>46114</v>
      </c>
      <c r="D1356" t="inlineStr">
        <is>
          <t>DALARNAS LÄN</t>
        </is>
      </c>
      <c r="E1356" t="inlineStr">
        <is>
          <t>LUDVIKA</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52381-2022</t>
        </is>
      </c>
      <c r="B1357" s="1" t="n">
        <v>44874</v>
      </c>
      <c r="C1357" s="1" t="n">
        <v>46114</v>
      </c>
      <c r="D1357" t="inlineStr">
        <is>
          <t>DALARNAS LÄN</t>
        </is>
      </c>
      <c r="E1357" t="inlineStr">
        <is>
          <t>FALUN</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20177-2022</t>
        </is>
      </c>
      <c r="B1358" s="1" t="n">
        <v>44698.52960648148</v>
      </c>
      <c r="C1358" s="1" t="n">
        <v>46114</v>
      </c>
      <c r="D1358" t="inlineStr">
        <is>
          <t>DALARNAS LÄN</t>
        </is>
      </c>
      <c r="E1358" t="inlineStr">
        <is>
          <t>HEDEMORA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29565-2022</t>
        </is>
      </c>
      <c r="B1359" s="1" t="n">
        <v>44754.36063657407</v>
      </c>
      <c r="C1359" s="1" t="n">
        <v>46114</v>
      </c>
      <c r="D1359" t="inlineStr">
        <is>
          <t>DALARNAS LÄN</t>
        </is>
      </c>
      <c r="E1359" t="inlineStr">
        <is>
          <t>ÄLVDALEN</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68453-2021</t>
        </is>
      </c>
      <c r="B1360" s="1" t="n">
        <v>44529</v>
      </c>
      <c r="C1360" s="1" t="n">
        <v>46114</v>
      </c>
      <c r="D1360" t="inlineStr">
        <is>
          <t>DALARNAS LÄN</t>
        </is>
      </c>
      <c r="E1360" t="inlineStr">
        <is>
          <t>FALUN</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68457-2021</t>
        </is>
      </c>
      <c r="B1361" s="1" t="n">
        <v>44529</v>
      </c>
      <c r="C1361" s="1" t="n">
        <v>46114</v>
      </c>
      <c r="D1361" t="inlineStr">
        <is>
          <t>DALARNAS LÄN</t>
        </is>
      </c>
      <c r="E1361" t="inlineStr">
        <is>
          <t>HEDEMORA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55567-2021</t>
        </is>
      </c>
      <c r="B1362" s="1" t="n">
        <v>44475</v>
      </c>
      <c r="C1362" s="1" t="n">
        <v>46114</v>
      </c>
      <c r="D1362" t="inlineStr">
        <is>
          <t>DALARNAS LÄN</t>
        </is>
      </c>
      <c r="E1362" t="inlineStr">
        <is>
          <t>FALUN</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64718-2021</t>
        </is>
      </c>
      <c r="B1363" s="1" t="n">
        <v>44512.37575231482</v>
      </c>
      <c r="C1363" s="1" t="n">
        <v>46114</v>
      </c>
      <c r="D1363" t="inlineStr">
        <is>
          <t>DALARNAS LÄN</t>
        </is>
      </c>
      <c r="E1363" t="inlineStr">
        <is>
          <t>LEKSAND</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66717-2021</t>
        </is>
      </c>
      <c r="B1364" s="1" t="n">
        <v>44519</v>
      </c>
      <c r="C1364" s="1" t="n">
        <v>46114</v>
      </c>
      <c r="D1364" t="inlineStr">
        <is>
          <t>DALARNAS LÄN</t>
        </is>
      </c>
      <c r="E1364" t="inlineStr">
        <is>
          <t>VANSBRO</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21752-2022</t>
        </is>
      </c>
      <c r="B1365" s="1" t="n">
        <v>44708</v>
      </c>
      <c r="C1365" s="1" t="n">
        <v>46114</v>
      </c>
      <c r="D1365" t="inlineStr">
        <is>
          <t>DALARNAS LÄN</t>
        </is>
      </c>
      <c r="E1365" t="inlineStr">
        <is>
          <t>VANSBRO</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49278-2022</t>
        </is>
      </c>
      <c r="B1366" s="1" t="n">
        <v>44861</v>
      </c>
      <c r="C1366" s="1" t="n">
        <v>46114</v>
      </c>
      <c r="D1366" t="inlineStr">
        <is>
          <t>DALARNAS LÄN</t>
        </is>
      </c>
      <c r="E1366" t="inlineStr">
        <is>
          <t>SMEDJEBACKEN</t>
        </is>
      </c>
      <c r="F1366" t="inlineStr">
        <is>
          <t>Sveaskog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17887-2021</t>
        </is>
      </c>
      <c r="B1367" s="1" t="n">
        <v>44301.42034722222</v>
      </c>
      <c r="C1367" s="1" t="n">
        <v>46114</v>
      </c>
      <c r="D1367" t="inlineStr">
        <is>
          <t>DALARNAS LÄN</t>
        </is>
      </c>
      <c r="E1367" t="inlineStr">
        <is>
          <t>BORLÄNGE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33404-2021</t>
        </is>
      </c>
      <c r="B1368" s="1" t="n">
        <v>44377.58011574074</v>
      </c>
      <c r="C1368" s="1" t="n">
        <v>46114</v>
      </c>
      <c r="D1368" t="inlineStr">
        <is>
          <t>DALARNAS LÄN</t>
        </is>
      </c>
      <c r="E1368" t="inlineStr">
        <is>
          <t>RÄTTVIK</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47423-2021</t>
        </is>
      </c>
      <c r="B1369" s="1" t="n">
        <v>44447.60320601852</v>
      </c>
      <c r="C1369" s="1" t="n">
        <v>46114</v>
      </c>
      <c r="D1369" t="inlineStr">
        <is>
          <t>DALARNAS LÄN</t>
        </is>
      </c>
      <c r="E1369" t="inlineStr">
        <is>
          <t>MALUNG-SÄLEN</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9299-2022</t>
        </is>
      </c>
      <c r="B1370" s="1" t="n">
        <v>44616</v>
      </c>
      <c r="C1370" s="1" t="n">
        <v>46114</v>
      </c>
      <c r="D1370" t="inlineStr">
        <is>
          <t>DALARNAS LÄN</t>
        </is>
      </c>
      <c r="E1370" t="inlineStr">
        <is>
          <t>MALUNG-SÄLEN</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65527-2021</t>
        </is>
      </c>
      <c r="B1371" s="1" t="n">
        <v>44516.42728009259</v>
      </c>
      <c r="C1371" s="1" t="n">
        <v>46114</v>
      </c>
      <c r="D1371" t="inlineStr">
        <is>
          <t>DALARNAS LÄN</t>
        </is>
      </c>
      <c r="E1371" t="inlineStr">
        <is>
          <t>MORA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26503-2022</t>
        </is>
      </c>
      <c r="B1372" s="1" t="n">
        <v>44739</v>
      </c>
      <c r="C1372" s="1" t="n">
        <v>46114</v>
      </c>
      <c r="D1372" t="inlineStr">
        <is>
          <t>DALARNAS LÄN</t>
        </is>
      </c>
      <c r="E1372" t="inlineStr">
        <is>
          <t>SÄTER</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62152-2021</t>
        </is>
      </c>
      <c r="B1373" s="1" t="n">
        <v>44502.71049768518</v>
      </c>
      <c r="C1373" s="1" t="n">
        <v>46114</v>
      </c>
      <c r="D1373" t="inlineStr">
        <is>
          <t>DALARNAS LÄN</t>
        </is>
      </c>
      <c r="E1373" t="inlineStr">
        <is>
          <t>LUDVIKA</t>
        </is>
      </c>
      <c r="G1373" t="n">
        <v>6.1</v>
      </c>
      <c r="H1373" t="n">
        <v>0</v>
      </c>
      <c r="I1373" t="n">
        <v>0</v>
      </c>
      <c r="J1373" t="n">
        <v>0</v>
      </c>
      <c r="K1373" t="n">
        <v>0</v>
      </c>
      <c r="L1373" t="n">
        <v>0</v>
      </c>
      <c r="M1373" t="n">
        <v>0</v>
      </c>
      <c r="N1373" t="n">
        <v>0</v>
      </c>
      <c r="O1373" t="n">
        <v>0</v>
      </c>
      <c r="P1373" t="n">
        <v>0</v>
      </c>
      <c r="Q1373" t="n">
        <v>0</v>
      </c>
      <c r="R1373" s="2" t="inlineStr"/>
    </row>
    <row r="1374" ht="15" customHeight="1">
      <c r="A1374" t="inlineStr">
        <is>
          <t>A 62253-2021</t>
        </is>
      </c>
      <c r="B1374" s="1" t="n">
        <v>44503</v>
      </c>
      <c r="C1374" s="1" t="n">
        <v>46114</v>
      </c>
      <c r="D1374" t="inlineStr">
        <is>
          <t>DALARNAS LÄN</t>
        </is>
      </c>
      <c r="E1374" t="inlineStr">
        <is>
          <t>MALUNG-SÄLEN</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73691-2021</t>
        </is>
      </c>
      <c r="B1375" s="1" t="n">
        <v>44552</v>
      </c>
      <c r="C1375" s="1" t="n">
        <v>46114</v>
      </c>
      <c r="D1375" t="inlineStr">
        <is>
          <t>DALARNAS LÄN</t>
        </is>
      </c>
      <c r="E1375" t="inlineStr">
        <is>
          <t>ÄLVDALEN</t>
        </is>
      </c>
      <c r="F1375" t="inlineStr">
        <is>
          <t>Bergvik skog väst AB</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48580-2021</t>
        </is>
      </c>
      <c r="B1376" s="1" t="n">
        <v>44452</v>
      </c>
      <c r="C1376" s="1" t="n">
        <v>46114</v>
      </c>
      <c r="D1376" t="inlineStr">
        <is>
          <t>DALARNAS LÄN</t>
        </is>
      </c>
      <c r="E1376" t="inlineStr">
        <is>
          <t>LUDVIKA</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25361-2021</t>
        </is>
      </c>
      <c r="B1377" s="1" t="n">
        <v>44342.57887731482</v>
      </c>
      <c r="C1377" s="1" t="n">
        <v>46114</v>
      </c>
      <c r="D1377" t="inlineStr">
        <is>
          <t>DALARNAS LÄN</t>
        </is>
      </c>
      <c r="E1377" t="inlineStr">
        <is>
          <t>SMEDJEBACKEN</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41593-2022</t>
        </is>
      </c>
      <c r="B1378" s="1" t="n">
        <v>44827</v>
      </c>
      <c r="C1378" s="1" t="n">
        <v>46114</v>
      </c>
      <c r="D1378" t="inlineStr">
        <is>
          <t>DALARNAS LÄN</t>
        </is>
      </c>
      <c r="E1378" t="inlineStr">
        <is>
          <t>FALUN</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21011-2021</t>
        </is>
      </c>
      <c r="B1379" s="1" t="n">
        <v>44319.61162037037</v>
      </c>
      <c r="C1379" s="1" t="n">
        <v>46114</v>
      </c>
      <c r="D1379" t="inlineStr">
        <is>
          <t>DALARNAS LÄN</t>
        </is>
      </c>
      <c r="E1379" t="inlineStr">
        <is>
          <t>MALUNG-SÄLEN</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22760-2021</t>
        </is>
      </c>
      <c r="B1380" s="1" t="n">
        <v>44327.86443287037</v>
      </c>
      <c r="C1380" s="1" t="n">
        <v>46114</v>
      </c>
      <c r="D1380" t="inlineStr">
        <is>
          <t>DALARNAS LÄN</t>
        </is>
      </c>
      <c r="E1380" t="inlineStr">
        <is>
          <t>ÄLVDALEN</t>
        </is>
      </c>
      <c r="F1380" t="inlineStr">
        <is>
          <t>Sveaskog</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22761-2021</t>
        </is>
      </c>
      <c r="B1381" s="1" t="n">
        <v>44327.86510416667</v>
      </c>
      <c r="C1381" s="1" t="n">
        <v>46114</v>
      </c>
      <c r="D1381" t="inlineStr">
        <is>
          <t>DALARNAS LÄN</t>
        </is>
      </c>
      <c r="E1381" t="inlineStr">
        <is>
          <t>ÄLVDALEN</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31791-2022</t>
        </is>
      </c>
      <c r="B1382" s="1" t="n">
        <v>44776</v>
      </c>
      <c r="C1382" s="1" t="n">
        <v>46114</v>
      </c>
      <c r="D1382" t="inlineStr">
        <is>
          <t>DALARNAS LÄN</t>
        </is>
      </c>
      <c r="E1382" t="inlineStr">
        <is>
          <t>SMEDJEBACKEN</t>
        </is>
      </c>
      <c r="F1382" t="inlineStr">
        <is>
          <t>Bergvik skog väst AB</t>
        </is>
      </c>
      <c r="G1382" t="n">
        <v>9.199999999999999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11138-2022</t>
        </is>
      </c>
      <c r="B1383" s="1" t="n">
        <v>44629.3184837963</v>
      </c>
      <c r="C1383" s="1" t="n">
        <v>46114</v>
      </c>
      <c r="D1383" t="inlineStr">
        <is>
          <t>DALARNAS LÄN</t>
        </is>
      </c>
      <c r="E1383" t="inlineStr">
        <is>
          <t>ORSA</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35806-2022</t>
        </is>
      </c>
      <c r="B1384" s="1" t="n">
        <v>44802</v>
      </c>
      <c r="C1384" s="1" t="n">
        <v>46114</v>
      </c>
      <c r="D1384" t="inlineStr">
        <is>
          <t>DALARNAS LÄN</t>
        </is>
      </c>
      <c r="E1384" t="inlineStr">
        <is>
          <t>HEDEMORA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18749-2021</t>
        </is>
      </c>
      <c r="B1385" s="1" t="n">
        <v>44307</v>
      </c>
      <c r="C1385" s="1" t="n">
        <v>46114</v>
      </c>
      <c r="D1385" t="inlineStr">
        <is>
          <t>DALARNAS LÄN</t>
        </is>
      </c>
      <c r="E1385" t="inlineStr">
        <is>
          <t>SMEDJEBACKEN</t>
        </is>
      </c>
      <c r="F1385" t="inlineStr">
        <is>
          <t>Övriga Aktiebolag</t>
        </is>
      </c>
      <c r="G1385" t="n">
        <v>10.4</v>
      </c>
      <c r="H1385" t="n">
        <v>0</v>
      </c>
      <c r="I1385" t="n">
        <v>0</v>
      </c>
      <c r="J1385" t="n">
        <v>0</v>
      </c>
      <c r="K1385" t="n">
        <v>0</v>
      </c>
      <c r="L1385" t="n">
        <v>0</v>
      </c>
      <c r="M1385" t="n">
        <v>0</v>
      </c>
      <c r="N1385" t="n">
        <v>0</v>
      </c>
      <c r="O1385" t="n">
        <v>0</v>
      </c>
      <c r="P1385" t="n">
        <v>0</v>
      </c>
      <c r="Q1385" t="n">
        <v>0</v>
      </c>
      <c r="R1385" s="2" t="inlineStr"/>
    </row>
    <row r="1386" ht="15" customHeight="1">
      <c r="A1386" t="inlineStr">
        <is>
          <t>A 22351-2022</t>
        </is>
      </c>
      <c r="B1386" s="1" t="n">
        <v>44713</v>
      </c>
      <c r="C1386" s="1" t="n">
        <v>46114</v>
      </c>
      <c r="D1386" t="inlineStr">
        <is>
          <t>DALARNAS LÄN</t>
        </is>
      </c>
      <c r="E1386" t="inlineStr">
        <is>
          <t>SMEDJEBACKEN</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4030-2022</t>
        </is>
      </c>
      <c r="B1387" s="1" t="n">
        <v>44588</v>
      </c>
      <c r="C1387" s="1" t="n">
        <v>46114</v>
      </c>
      <c r="D1387" t="inlineStr">
        <is>
          <t>DALARNAS LÄN</t>
        </is>
      </c>
      <c r="E1387" t="inlineStr">
        <is>
          <t>HEDEMORA</t>
        </is>
      </c>
      <c r="F1387" t="inlineStr">
        <is>
          <t>Kyrkan</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4070-2022</t>
        </is>
      </c>
      <c r="B1388" s="1" t="n">
        <v>44588.37287037037</v>
      </c>
      <c r="C1388" s="1" t="n">
        <v>46114</v>
      </c>
      <c r="D1388" t="inlineStr">
        <is>
          <t>DALARNAS LÄN</t>
        </is>
      </c>
      <c r="E1388" t="inlineStr">
        <is>
          <t>MALUNG-SÄLEN</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62467-2021</t>
        </is>
      </c>
      <c r="B1389" s="1" t="n">
        <v>44503.53900462963</v>
      </c>
      <c r="C1389" s="1" t="n">
        <v>46114</v>
      </c>
      <c r="D1389" t="inlineStr">
        <is>
          <t>DALARNAS LÄN</t>
        </is>
      </c>
      <c r="E1389" t="inlineStr">
        <is>
          <t>LUDVIKA</t>
        </is>
      </c>
      <c r="F1389" t="inlineStr">
        <is>
          <t>Bergvik skog väst AB</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34137-2022</t>
        </is>
      </c>
      <c r="B1390" s="1" t="n">
        <v>44791</v>
      </c>
      <c r="C1390" s="1" t="n">
        <v>46114</v>
      </c>
      <c r="D1390" t="inlineStr">
        <is>
          <t>DALARNAS LÄN</t>
        </is>
      </c>
      <c r="E1390" t="inlineStr">
        <is>
          <t>RÄTTVIK</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73167-2021</t>
        </is>
      </c>
      <c r="B1391" s="1" t="n">
        <v>44550.55576388889</v>
      </c>
      <c r="C1391" s="1" t="n">
        <v>46114</v>
      </c>
      <c r="D1391" t="inlineStr">
        <is>
          <t>DALARNAS LÄN</t>
        </is>
      </c>
      <c r="E1391" t="inlineStr">
        <is>
          <t>LUDVIKA</t>
        </is>
      </c>
      <c r="F1391" t="inlineStr">
        <is>
          <t>Bergvik skog väst AB</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12331-2022</t>
        </is>
      </c>
      <c r="B1392" s="1" t="n">
        <v>44637.62076388889</v>
      </c>
      <c r="C1392" s="1" t="n">
        <v>46114</v>
      </c>
      <c r="D1392" t="inlineStr">
        <is>
          <t>DALARNAS LÄN</t>
        </is>
      </c>
      <c r="E1392" t="inlineStr">
        <is>
          <t>SMEDJEBACKEN</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24204-2022</t>
        </is>
      </c>
      <c r="B1393" s="1" t="n">
        <v>44725.58684027778</v>
      </c>
      <c r="C1393" s="1" t="n">
        <v>46114</v>
      </c>
      <c r="D1393" t="inlineStr">
        <is>
          <t>DALARNAS LÄN</t>
        </is>
      </c>
      <c r="E1393" t="inlineStr">
        <is>
          <t>SÄTER</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36826-2021</t>
        </is>
      </c>
      <c r="B1394" s="1" t="n">
        <v>44393</v>
      </c>
      <c r="C1394" s="1" t="n">
        <v>46114</v>
      </c>
      <c r="D1394" t="inlineStr">
        <is>
          <t>DALARNAS LÄN</t>
        </is>
      </c>
      <c r="E1394" t="inlineStr">
        <is>
          <t>ÄLVDALEN</t>
        </is>
      </c>
      <c r="F1394" t="inlineStr">
        <is>
          <t>Sveaskog</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36846-2021</t>
        </is>
      </c>
      <c r="B1395" s="1" t="n">
        <v>44393</v>
      </c>
      <c r="C1395" s="1" t="n">
        <v>46114</v>
      </c>
      <c r="D1395" t="inlineStr">
        <is>
          <t>DALARNAS LÄN</t>
        </is>
      </c>
      <c r="E1395" t="inlineStr">
        <is>
          <t>ÄLVDALEN</t>
        </is>
      </c>
      <c r="F1395" t="inlineStr">
        <is>
          <t>Sveaskog</t>
        </is>
      </c>
      <c r="G1395" t="n">
        <v>10.8</v>
      </c>
      <c r="H1395" t="n">
        <v>0</v>
      </c>
      <c r="I1395" t="n">
        <v>0</v>
      </c>
      <c r="J1395" t="n">
        <v>0</v>
      </c>
      <c r="K1395" t="n">
        <v>0</v>
      </c>
      <c r="L1395" t="n">
        <v>0</v>
      </c>
      <c r="M1395" t="n">
        <v>0</v>
      </c>
      <c r="N1395" t="n">
        <v>0</v>
      </c>
      <c r="O1395" t="n">
        <v>0</v>
      </c>
      <c r="P1395" t="n">
        <v>0</v>
      </c>
      <c r="Q1395" t="n">
        <v>0</v>
      </c>
      <c r="R1395" s="2" t="inlineStr"/>
    </row>
    <row r="1396" ht="15" customHeight="1">
      <c r="A1396" t="inlineStr">
        <is>
          <t>A 39672-2021</t>
        </is>
      </c>
      <c r="B1396" s="1" t="n">
        <v>44417.43135416666</v>
      </c>
      <c r="C1396" s="1" t="n">
        <v>46114</v>
      </c>
      <c r="D1396" t="inlineStr">
        <is>
          <t>DALARNAS LÄN</t>
        </is>
      </c>
      <c r="E1396" t="inlineStr">
        <is>
          <t>MORA</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29789-2021</t>
        </is>
      </c>
      <c r="B1397" s="1" t="n">
        <v>44362</v>
      </c>
      <c r="C1397" s="1" t="n">
        <v>46114</v>
      </c>
      <c r="D1397" t="inlineStr">
        <is>
          <t>DALARNAS LÄN</t>
        </is>
      </c>
      <c r="E1397" t="inlineStr">
        <is>
          <t>LUDVIKA</t>
        </is>
      </c>
      <c r="F1397" t="inlineStr">
        <is>
          <t>Övriga Aktiebolag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883-2022</t>
        </is>
      </c>
      <c r="B1398" s="1" t="n">
        <v>44571</v>
      </c>
      <c r="C1398" s="1" t="n">
        <v>46114</v>
      </c>
      <c r="D1398" t="inlineStr">
        <is>
          <t>DALARNAS LÄN</t>
        </is>
      </c>
      <c r="E1398" t="inlineStr">
        <is>
          <t>FALUN</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37375-2022</t>
        </is>
      </c>
      <c r="B1399" s="1" t="n">
        <v>44809.39892361111</v>
      </c>
      <c r="C1399" s="1" t="n">
        <v>46114</v>
      </c>
      <c r="D1399" t="inlineStr">
        <is>
          <t>DALARNAS LÄN</t>
        </is>
      </c>
      <c r="E1399" t="inlineStr">
        <is>
          <t>SMEDJEBACKEN</t>
        </is>
      </c>
      <c r="F1399" t="inlineStr">
        <is>
          <t>Sveaskog</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33480-2021</t>
        </is>
      </c>
      <c r="B1400" s="1" t="n">
        <v>44377</v>
      </c>
      <c r="C1400" s="1" t="n">
        <v>46114</v>
      </c>
      <c r="D1400" t="inlineStr">
        <is>
          <t>DALARNAS LÄN</t>
        </is>
      </c>
      <c r="E1400" t="inlineStr">
        <is>
          <t>ORSA</t>
        </is>
      </c>
      <c r="F1400" t="inlineStr">
        <is>
          <t>Bergvik skog öst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37395-2022</t>
        </is>
      </c>
      <c r="B1401" s="1" t="n">
        <v>44809.42033564814</v>
      </c>
      <c r="C1401" s="1" t="n">
        <v>46114</v>
      </c>
      <c r="D1401" t="inlineStr">
        <is>
          <t>DALARNAS LÄN</t>
        </is>
      </c>
      <c r="E1401" t="inlineStr">
        <is>
          <t>MALUNG-SÄLEN</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32201-2021</t>
        </is>
      </c>
      <c r="B1402" s="1" t="n">
        <v>44371</v>
      </c>
      <c r="C1402" s="1" t="n">
        <v>46114</v>
      </c>
      <c r="D1402" t="inlineStr">
        <is>
          <t>DALARNAS LÄN</t>
        </is>
      </c>
      <c r="E1402" t="inlineStr">
        <is>
          <t>BORLÄNGE</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36269-2021</t>
        </is>
      </c>
      <c r="B1403" s="1" t="n">
        <v>44389</v>
      </c>
      <c r="C1403" s="1" t="n">
        <v>46114</v>
      </c>
      <c r="D1403" t="inlineStr">
        <is>
          <t>DALARNAS LÄN</t>
        </is>
      </c>
      <c r="E1403" t="inlineStr">
        <is>
          <t>BORLÄNGE</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6712-2022</t>
        </is>
      </c>
      <c r="B1404" s="1" t="n">
        <v>44602.44553240741</v>
      </c>
      <c r="C1404" s="1" t="n">
        <v>46114</v>
      </c>
      <c r="D1404" t="inlineStr">
        <is>
          <t>DALARNAS LÄN</t>
        </is>
      </c>
      <c r="E1404" t="inlineStr">
        <is>
          <t>MALUNG-SÄLEN</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16976-2022</t>
        </is>
      </c>
      <c r="B1405" s="1" t="n">
        <v>44676</v>
      </c>
      <c r="C1405" s="1" t="n">
        <v>46114</v>
      </c>
      <c r="D1405" t="inlineStr">
        <is>
          <t>DALARNAS LÄN</t>
        </is>
      </c>
      <c r="E1405" t="inlineStr">
        <is>
          <t>LEKSAND</t>
        </is>
      </c>
      <c r="F1405" t="inlineStr">
        <is>
          <t>Övriga Aktiebolag</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17804-2022</t>
        </is>
      </c>
      <c r="B1406" s="1" t="n">
        <v>44673</v>
      </c>
      <c r="C1406" s="1" t="n">
        <v>46114</v>
      </c>
      <c r="D1406" t="inlineStr">
        <is>
          <t>DALARNAS LÄN</t>
        </is>
      </c>
      <c r="E1406" t="inlineStr">
        <is>
          <t>VANSBRO</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49883-2022</t>
        </is>
      </c>
      <c r="B1407" s="1" t="n">
        <v>44864.60390046296</v>
      </c>
      <c r="C1407" s="1" t="n">
        <v>46114</v>
      </c>
      <c r="D1407" t="inlineStr">
        <is>
          <t>DALARNAS LÄN</t>
        </is>
      </c>
      <c r="E1407" t="inlineStr">
        <is>
          <t>SÄTER</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40973-2022</t>
        </is>
      </c>
      <c r="B1408" s="1" t="n">
        <v>44824</v>
      </c>
      <c r="C1408" s="1" t="n">
        <v>46114</v>
      </c>
      <c r="D1408" t="inlineStr">
        <is>
          <t>DALARNAS LÄN</t>
        </is>
      </c>
      <c r="E1408" t="inlineStr">
        <is>
          <t>RÄTTVIK</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16767-2022</t>
        </is>
      </c>
      <c r="B1409" s="1" t="n">
        <v>44673</v>
      </c>
      <c r="C1409" s="1" t="n">
        <v>46114</v>
      </c>
      <c r="D1409" t="inlineStr">
        <is>
          <t>DALARNAS LÄN</t>
        </is>
      </c>
      <c r="E1409" t="inlineStr">
        <is>
          <t>BORLÄNGE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42591-2022</t>
        </is>
      </c>
      <c r="B1410" s="1" t="n">
        <v>44831.72481481481</v>
      </c>
      <c r="C1410" s="1" t="n">
        <v>46114</v>
      </c>
      <c r="D1410" t="inlineStr">
        <is>
          <t>DALARNAS LÄN</t>
        </is>
      </c>
      <c r="E1410" t="inlineStr">
        <is>
          <t>AVESTA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43458-2021</t>
        </is>
      </c>
      <c r="B1411" s="1" t="n">
        <v>44432</v>
      </c>
      <c r="C1411" s="1" t="n">
        <v>46114</v>
      </c>
      <c r="D1411" t="inlineStr">
        <is>
          <t>DALARNAS LÄN</t>
        </is>
      </c>
      <c r="E1411" t="inlineStr">
        <is>
          <t>MORA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28344-2022</t>
        </is>
      </c>
      <c r="B1412" s="1" t="n">
        <v>44747</v>
      </c>
      <c r="C1412" s="1" t="n">
        <v>46114</v>
      </c>
      <c r="D1412" t="inlineStr">
        <is>
          <t>DALARNAS LÄN</t>
        </is>
      </c>
      <c r="E1412" t="inlineStr">
        <is>
          <t>MORA</t>
        </is>
      </c>
      <c r="F1412" t="inlineStr">
        <is>
          <t>Kyrkan</t>
        </is>
      </c>
      <c r="G1412" t="n">
        <v>6.4</v>
      </c>
      <c r="H1412" t="n">
        <v>0</v>
      </c>
      <c r="I1412" t="n">
        <v>0</v>
      </c>
      <c r="J1412" t="n">
        <v>0</v>
      </c>
      <c r="K1412" t="n">
        <v>0</v>
      </c>
      <c r="L1412" t="n">
        <v>0</v>
      </c>
      <c r="M1412" t="n">
        <v>0</v>
      </c>
      <c r="N1412" t="n">
        <v>0</v>
      </c>
      <c r="O1412" t="n">
        <v>0</v>
      </c>
      <c r="P1412" t="n">
        <v>0</v>
      </c>
      <c r="Q1412" t="n">
        <v>0</v>
      </c>
      <c r="R1412" s="2" t="inlineStr"/>
    </row>
    <row r="1413" ht="15" customHeight="1">
      <c r="A1413" t="inlineStr">
        <is>
          <t>A 21631-2022</t>
        </is>
      </c>
      <c r="B1413" s="1" t="n">
        <v>44706</v>
      </c>
      <c r="C1413" s="1" t="n">
        <v>46114</v>
      </c>
      <c r="D1413" t="inlineStr">
        <is>
          <t>DALARNAS LÄN</t>
        </is>
      </c>
      <c r="E1413" t="inlineStr">
        <is>
          <t>SMEDJEBACKEN</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26298-2022</t>
        </is>
      </c>
      <c r="B1414" s="1" t="n">
        <v>44735.57864583333</v>
      </c>
      <c r="C1414" s="1" t="n">
        <v>46114</v>
      </c>
      <c r="D1414" t="inlineStr">
        <is>
          <t>DALARNAS LÄN</t>
        </is>
      </c>
      <c r="E1414" t="inlineStr">
        <is>
          <t>SMEDJEBACKEN</t>
        </is>
      </c>
      <c r="G1414" t="n">
        <v>0.4</v>
      </c>
      <c r="H1414" t="n">
        <v>0</v>
      </c>
      <c r="I1414" t="n">
        <v>0</v>
      </c>
      <c r="J1414" t="n">
        <v>0</v>
      </c>
      <c r="K1414" t="n">
        <v>0</v>
      </c>
      <c r="L1414" t="n">
        <v>0</v>
      </c>
      <c r="M1414" t="n">
        <v>0</v>
      </c>
      <c r="N1414" t="n">
        <v>0</v>
      </c>
      <c r="O1414" t="n">
        <v>0</v>
      </c>
      <c r="P1414" t="n">
        <v>0</v>
      </c>
      <c r="Q1414" t="n">
        <v>0</v>
      </c>
      <c r="R1414" s="2" t="inlineStr"/>
    </row>
    <row r="1415" ht="15" customHeight="1">
      <c r="A1415" t="inlineStr">
        <is>
          <t>A 13531-2022</t>
        </is>
      </c>
      <c r="B1415" s="1" t="n">
        <v>44648</v>
      </c>
      <c r="C1415" s="1" t="n">
        <v>46114</v>
      </c>
      <c r="D1415" t="inlineStr">
        <is>
          <t>DALARNAS LÄN</t>
        </is>
      </c>
      <c r="E1415" t="inlineStr">
        <is>
          <t>FALUN</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13532-2022</t>
        </is>
      </c>
      <c r="B1416" s="1" t="n">
        <v>44648</v>
      </c>
      <c r="C1416" s="1" t="n">
        <v>46114</v>
      </c>
      <c r="D1416" t="inlineStr">
        <is>
          <t>DALARNAS LÄN</t>
        </is>
      </c>
      <c r="E1416" t="inlineStr">
        <is>
          <t>FALUN</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30895-2021</t>
        </is>
      </c>
      <c r="B1417" s="1" t="n">
        <v>44365.59125</v>
      </c>
      <c r="C1417" s="1" t="n">
        <v>46114</v>
      </c>
      <c r="D1417" t="inlineStr">
        <is>
          <t>DALARNAS LÄN</t>
        </is>
      </c>
      <c r="E1417" t="inlineStr">
        <is>
          <t>MORA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44422-2021</t>
        </is>
      </c>
      <c r="B1418" s="1" t="n">
        <v>44435.51628472222</v>
      </c>
      <c r="C1418" s="1" t="n">
        <v>46114</v>
      </c>
      <c r="D1418" t="inlineStr">
        <is>
          <t>DALARNAS LÄN</t>
        </is>
      </c>
      <c r="E1418" t="inlineStr">
        <is>
          <t>BORLÄNGE</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13569-2022</t>
        </is>
      </c>
      <c r="B1419" s="1" t="n">
        <v>44648</v>
      </c>
      <c r="C1419" s="1" t="n">
        <v>46114</v>
      </c>
      <c r="D1419" t="inlineStr">
        <is>
          <t>DALARNAS LÄN</t>
        </is>
      </c>
      <c r="E1419" t="inlineStr">
        <is>
          <t>FALUN</t>
        </is>
      </c>
      <c r="G1419" t="n">
        <v>0.1</v>
      </c>
      <c r="H1419" t="n">
        <v>0</v>
      </c>
      <c r="I1419" t="n">
        <v>0</v>
      </c>
      <c r="J1419" t="n">
        <v>0</v>
      </c>
      <c r="K1419" t="n">
        <v>0</v>
      </c>
      <c r="L1419" t="n">
        <v>0</v>
      </c>
      <c r="M1419" t="n">
        <v>0</v>
      </c>
      <c r="N1419" t="n">
        <v>0</v>
      </c>
      <c r="O1419" t="n">
        <v>0</v>
      </c>
      <c r="P1419" t="n">
        <v>0</v>
      </c>
      <c r="Q1419" t="n">
        <v>0</v>
      </c>
      <c r="R1419" s="2" t="inlineStr"/>
    </row>
    <row r="1420" ht="15" customHeight="1">
      <c r="A1420" t="inlineStr">
        <is>
          <t>A 26690-2022</t>
        </is>
      </c>
      <c r="B1420" s="1" t="n">
        <v>44739.6862962963</v>
      </c>
      <c r="C1420" s="1" t="n">
        <v>46114</v>
      </c>
      <c r="D1420" t="inlineStr">
        <is>
          <t>DALARNAS LÄN</t>
        </is>
      </c>
      <c r="E1420" t="inlineStr">
        <is>
          <t>VANSBRO</t>
        </is>
      </c>
      <c r="F1420" t="inlineStr">
        <is>
          <t>Kyrkan</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27465-2022</t>
        </is>
      </c>
      <c r="B1421" s="1" t="n">
        <v>44742.58832175926</v>
      </c>
      <c r="C1421" s="1" t="n">
        <v>46114</v>
      </c>
      <c r="D1421" t="inlineStr">
        <is>
          <t>DALARNAS LÄN</t>
        </is>
      </c>
      <c r="E1421" t="inlineStr">
        <is>
          <t>VANSBRO</t>
        </is>
      </c>
      <c r="F1421" t="inlineStr">
        <is>
          <t>Bergvik skog öst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50599-2021</t>
        </is>
      </c>
      <c r="B1422" s="1" t="n">
        <v>44459</v>
      </c>
      <c r="C1422" s="1" t="n">
        <v>46114</v>
      </c>
      <c r="D1422" t="inlineStr">
        <is>
          <t>DALARNAS LÄN</t>
        </is>
      </c>
      <c r="E1422" t="inlineStr">
        <is>
          <t>RÄTTVIK</t>
        </is>
      </c>
      <c r="F1422" t="inlineStr">
        <is>
          <t>Sveaskog</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50610-2021</t>
        </is>
      </c>
      <c r="B1423" s="1" t="n">
        <v>44459</v>
      </c>
      <c r="C1423" s="1" t="n">
        <v>46114</v>
      </c>
      <c r="D1423" t="inlineStr">
        <is>
          <t>DALARNAS LÄN</t>
        </is>
      </c>
      <c r="E1423" t="inlineStr">
        <is>
          <t>RÄTTVIK</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17915-2021</t>
        </is>
      </c>
      <c r="B1424" s="1" t="n">
        <v>44301</v>
      </c>
      <c r="C1424" s="1" t="n">
        <v>46114</v>
      </c>
      <c r="D1424" t="inlineStr">
        <is>
          <t>DALARNAS LÄN</t>
        </is>
      </c>
      <c r="E1424" t="inlineStr">
        <is>
          <t>MORA</t>
        </is>
      </c>
      <c r="G1424" t="n">
        <v>4.4</v>
      </c>
      <c r="H1424" t="n">
        <v>0</v>
      </c>
      <c r="I1424" t="n">
        <v>0</v>
      </c>
      <c r="J1424" t="n">
        <v>0</v>
      </c>
      <c r="K1424" t="n">
        <v>0</v>
      </c>
      <c r="L1424" t="n">
        <v>0</v>
      </c>
      <c r="M1424" t="n">
        <v>0</v>
      </c>
      <c r="N1424" t="n">
        <v>0</v>
      </c>
      <c r="O1424" t="n">
        <v>0</v>
      </c>
      <c r="P1424" t="n">
        <v>0</v>
      </c>
      <c r="Q1424" t="n">
        <v>0</v>
      </c>
      <c r="R1424" s="2" t="inlineStr"/>
    </row>
    <row r="1425" ht="15" customHeight="1">
      <c r="A1425" t="inlineStr">
        <is>
          <t>A 45227-2022</t>
        </is>
      </c>
      <c r="B1425" s="1" t="n">
        <v>44844</v>
      </c>
      <c r="C1425" s="1" t="n">
        <v>46114</v>
      </c>
      <c r="D1425" t="inlineStr">
        <is>
          <t>DALARNAS LÄN</t>
        </is>
      </c>
      <c r="E1425" t="inlineStr">
        <is>
          <t>ÄLVDALEN</t>
        </is>
      </c>
      <c r="F1425" t="inlineStr">
        <is>
          <t>Bergvik skog väst AB</t>
        </is>
      </c>
      <c r="G1425" t="n">
        <v>22.3</v>
      </c>
      <c r="H1425" t="n">
        <v>0</v>
      </c>
      <c r="I1425" t="n">
        <v>0</v>
      </c>
      <c r="J1425" t="n">
        <v>0</v>
      </c>
      <c r="K1425" t="n">
        <v>0</v>
      </c>
      <c r="L1425" t="n">
        <v>0</v>
      </c>
      <c r="M1425" t="n">
        <v>0</v>
      </c>
      <c r="N1425" t="n">
        <v>0</v>
      </c>
      <c r="O1425" t="n">
        <v>0</v>
      </c>
      <c r="P1425" t="n">
        <v>0</v>
      </c>
      <c r="Q1425" t="n">
        <v>0</v>
      </c>
      <c r="R1425" s="2" t="inlineStr"/>
    </row>
    <row r="1426" ht="15" customHeight="1">
      <c r="A1426" t="inlineStr">
        <is>
          <t>A 22651-2021</t>
        </is>
      </c>
      <c r="B1426" s="1" t="n">
        <v>44327</v>
      </c>
      <c r="C1426" s="1" t="n">
        <v>46114</v>
      </c>
      <c r="D1426" t="inlineStr">
        <is>
          <t>DALARNAS LÄN</t>
        </is>
      </c>
      <c r="E1426" t="inlineStr">
        <is>
          <t>ÄLVDALEN</t>
        </is>
      </c>
      <c r="G1426" t="n">
        <v>5.9</v>
      </c>
      <c r="H1426" t="n">
        <v>0</v>
      </c>
      <c r="I1426" t="n">
        <v>0</v>
      </c>
      <c r="J1426" t="n">
        <v>0</v>
      </c>
      <c r="K1426" t="n">
        <v>0</v>
      </c>
      <c r="L1426" t="n">
        <v>0</v>
      </c>
      <c r="M1426" t="n">
        <v>0</v>
      </c>
      <c r="N1426" t="n">
        <v>0</v>
      </c>
      <c r="O1426" t="n">
        <v>0</v>
      </c>
      <c r="P1426" t="n">
        <v>0</v>
      </c>
      <c r="Q1426" t="n">
        <v>0</v>
      </c>
      <c r="R1426" s="2" t="inlineStr"/>
    </row>
    <row r="1427" ht="15" customHeight="1">
      <c r="A1427" t="inlineStr">
        <is>
          <t>A 29960-2021</t>
        </is>
      </c>
      <c r="B1427" s="1" t="n">
        <v>44363</v>
      </c>
      <c r="C1427" s="1" t="n">
        <v>46114</v>
      </c>
      <c r="D1427" t="inlineStr">
        <is>
          <t>DALARNAS LÄN</t>
        </is>
      </c>
      <c r="E1427" t="inlineStr">
        <is>
          <t>RÄTTVIK</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25366-2021</t>
        </is>
      </c>
      <c r="B1428" s="1" t="n">
        <v>44342</v>
      </c>
      <c r="C1428" s="1" t="n">
        <v>46114</v>
      </c>
      <c r="D1428" t="inlineStr">
        <is>
          <t>DALARNAS LÄN</t>
        </is>
      </c>
      <c r="E1428" t="inlineStr">
        <is>
          <t>SMEDJEBACKEN</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52671-2021</t>
        </is>
      </c>
      <c r="B1429" s="1" t="n">
        <v>44466.70392361111</v>
      </c>
      <c r="C1429" s="1" t="n">
        <v>46114</v>
      </c>
      <c r="D1429" t="inlineStr">
        <is>
          <t>DALARNAS LÄN</t>
        </is>
      </c>
      <c r="E1429" t="inlineStr">
        <is>
          <t>FALUN</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30888-2021</t>
        </is>
      </c>
      <c r="B1430" s="1" t="n">
        <v>44365.58731481482</v>
      </c>
      <c r="C1430" s="1" t="n">
        <v>46114</v>
      </c>
      <c r="D1430" t="inlineStr">
        <is>
          <t>DALARNAS LÄN</t>
        </is>
      </c>
      <c r="E1430" t="inlineStr">
        <is>
          <t>MORA</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21900-2021</t>
        </is>
      </c>
      <c r="B1431" s="1" t="n">
        <v>44322</v>
      </c>
      <c r="C1431" s="1" t="n">
        <v>46114</v>
      </c>
      <c r="D1431" t="inlineStr">
        <is>
          <t>DALARNAS LÄN</t>
        </is>
      </c>
      <c r="E1431" t="inlineStr">
        <is>
          <t>RÄTTVIK</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31921-2021</t>
        </is>
      </c>
      <c r="B1432" s="1" t="n">
        <v>44370</v>
      </c>
      <c r="C1432" s="1" t="n">
        <v>46114</v>
      </c>
      <c r="D1432" t="inlineStr">
        <is>
          <t>DALARNAS LÄN</t>
        </is>
      </c>
      <c r="E1432" t="inlineStr">
        <is>
          <t>LUDVIKA</t>
        </is>
      </c>
      <c r="F1432" t="inlineStr">
        <is>
          <t>Övriga Aktiebolag</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36517-2022</t>
        </is>
      </c>
      <c r="B1433" s="1" t="n">
        <v>44804.529375</v>
      </c>
      <c r="C1433" s="1" t="n">
        <v>46114</v>
      </c>
      <c r="D1433" t="inlineStr">
        <is>
          <t>DALARNAS LÄN</t>
        </is>
      </c>
      <c r="E1433" t="inlineStr">
        <is>
          <t>RÄTTVIK</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42326-2021</t>
        </is>
      </c>
      <c r="B1434" s="1" t="n">
        <v>44427.39738425926</v>
      </c>
      <c r="C1434" s="1" t="n">
        <v>46114</v>
      </c>
      <c r="D1434" t="inlineStr">
        <is>
          <t>DALARNAS LÄN</t>
        </is>
      </c>
      <c r="E1434" t="inlineStr">
        <is>
          <t>AVESTA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53210-2022</t>
        </is>
      </c>
      <c r="B1435" s="1" t="n">
        <v>44876.60767361111</v>
      </c>
      <c r="C1435" s="1" t="n">
        <v>46114</v>
      </c>
      <c r="D1435" t="inlineStr">
        <is>
          <t>DALARNAS LÄN</t>
        </is>
      </c>
      <c r="E1435" t="inlineStr">
        <is>
          <t>SMEDJEBACKEN</t>
        </is>
      </c>
      <c r="F1435" t="inlineStr">
        <is>
          <t>Kyrkan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32977-2021</t>
        </is>
      </c>
      <c r="B1436" s="1" t="n">
        <v>44376</v>
      </c>
      <c r="C1436" s="1" t="n">
        <v>46114</v>
      </c>
      <c r="D1436" t="inlineStr">
        <is>
          <t>DALARNAS LÄN</t>
        </is>
      </c>
      <c r="E1436" t="inlineStr">
        <is>
          <t>BORLÄNGE</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18619-2021</t>
        </is>
      </c>
      <c r="B1437" s="1" t="n">
        <v>44306</v>
      </c>
      <c r="C1437" s="1" t="n">
        <v>46114</v>
      </c>
      <c r="D1437" t="inlineStr">
        <is>
          <t>DALARNAS LÄN</t>
        </is>
      </c>
      <c r="E1437" t="inlineStr">
        <is>
          <t>RÄTTVIK</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30905-2021</t>
        </is>
      </c>
      <c r="B1438" s="1" t="n">
        <v>44365</v>
      </c>
      <c r="C1438" s="1" t="n">
        <v>46114</v>
      </c>
      <c r="D1438" t="inlineStr">
        <is>
          <t>DALARNAS LÄN</t>
        </is>
      </c>
      <c r="E1438" t="inlineStr">
        <is>
          <t>MORA</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19519-2021</t>
        </is>
      </c>
      <c r="B1439" s="1" t="n">
        <v>44312.37478009259</v>
      </c>
      <c r="C1439" s="1" t="n">
        <v>46114</v>
      </c>
      <c r="D1439" t="inlineStr">
        <is>
          <t>DALARNAS LÄN</t>
        </is>
      </c>
      <c r="E1439" t="inlineStr">
        <is>
          <t>SMEDJEBACKEN</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38797-2021</t>
        </is>
      </c>
      <c r="B1440" s="1" t="n">
        <v>44410</v>
      </c>
      <c r="C1440" s="1" t="n">
        <v>46114</v>
      </c>
      <c r="D1440" t="inlineStr">
        <is>
          <t>DALARNAS LÄN</t>
        </is>
      </c>
      <c r="E1440" t="inlineStr">
        <is>
          <t>SMEDJEBACKEN</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38800-2021</t>
        </is>
      </c>
      <c r="B1441" s="1" t="n">
        <v>44410</v>
      </c>
      <c r="C1441" s="1" t="n">
        <v>46114</v>
      </c>
      <c r="D1441" t="inlineStr">
        <is>
          <t>DALARNAS LÄN</t>
        </is>
      </c>
      <c r="E1441" t="inlineStr">
        <is>
          <t>SMEDJEBACKEN</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35661-2021</t>
        </is>
      </c>
      <c r="B1442" s="1" t="n">
        <v>44386.4465162037</v>
      </c>
      <c r="C1442" s="1" t="n">
        <v>46114</v>
      </c>
      <c r="D1442" t="inlineStr">
        <is>
          <t>DALARNAS LÄN</t>
        </is>
      </c>
      <c r="E1442" t="inlineStr">
        <is>
          <t>VANSBRO</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4478-2022</t>
        </is>
      </c>
      <c r="B1443" s="1" t="n">
        <v>44589.62333333334</v>
      </c>
      <c r="C1443" s="1" t="n">
        <v>46114</v>
      </c>
      <c r="D1443" t="inlineStr">
        <is>
          <t>DALARNAS LÄN</t>
        </is>
      </c>
      <c r="E1443" t="inlineStr">
        <is>
          <t>BORLÄNGE</t>
        </is>
      </c>
      <c r="G1443" t="n">
        <v>0.7</v>
      </c>
      <c r="H1443" t="n">
        <v>0</v>
      </c>
      <c r="I1443" t="n">
        <v>0</v>
      </c>
      <c r="J1443" t="n">
        <v>0</v>
      </c>
      <c r="K1443" t="n">
        <v>0</v>
      </c>
      <c r="L1443" t="n">
        <v>0</v>
      </c>
      <c r="M1443" t="n">
        <v>0</v>
      </c>
      <c r="N1443" t="n">
        <v>0</v>
      </c>
      <c r="O1443" t="n">
        <v>0</v>
      </c>
      <c r="P1443" t="n">
        <v>0</v>
      </c>
      <c r="Q1443" t="n">
        <v>0</v>
      </c>
      <c r="R1443" s="2" t="inlineStr"/>
      <c r="U1443">
        <f>HYPERLINK("https://klasma.github.io/Logging_2081/knärot/A 4478-2022 karta knärot.png", "A 4478-2022")</f>
        <v/>
      </c>
      <c r="V1443">
        <f>HYPERLINK("https://klasma.github.io/Logging_2081/klagomål/A 4478-2022 FSC-klagomål.docx", "A 4478-2022")</f>
        <v/>
      </c>
      <c r="W1443">
        <f>HYPERLINK("https://klasma.github.io/Logging_2081/klagomålsmail/A 4478-2022 FSC-klagomål mail.docx", "A 4478-2022")</f>
        <v/>
      </c>
      <c r="X1443">
        <f>HYPERLINK("https://klasma.github.io/Logging_2081/tillsyn/A 4478-2022 tillsynsbegäran.docx", "A 4478-2022")</f>
        <v/>
      </c>
      <c r="Y1443">
        <f>HYPERLINK("https://klasma.github.io/Logging_2081/tillsynsmail/A 4478-2022 tillsynsbegäran mail.docx", "A 4478-2022")</f>
        <v/>
      </c>
    </row>
    <row r="1444" ht="15" customHeight="1">
      <c r="A1444" t="inlineStr">
        <is>
          <t>A 39486-2021</t>
        </is>
      </c>
      <c r="B1444" s="1" t="n">
        <v>44414</v>
      </c>
      <c r="C1444" s="1" t="n">
        <v>46114</v>
      </c>
      <c r="D1444" t="inlineStr">
        <is>
          <t>DALARNAS LÄN</t>
        </is>
      </c>
      <c r="E1444" t="inlineStr">
        <is>
          <t>RÄTTVIK</t>
        </is>
      </c>
      <c r="F1444" t="inlineStr">
        <is>
          <t>Sveaskog</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54760-2021</t>
        </is>
      </c>
      <c r="B1445" s="1" t="n">
        <v>44473.93685185185</v>
      </c>
      <c r="C1445" s="1" t="n">
        <v>46114</v>
      </c>
      <c r="D1445" t="inlineStr">
        <is>
          <t>DALARNAS LÄN</t>
        </is>
      </c>
      <c r="E1445" t="inlineStr">
        <is>
          <t>ORSA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62976-2021</t>
        </is>
      </c>
      <c r="B1446" s="1" t="n">
        <v>44505</v>
      </c>
      <c r="C1446" s="1" t="n">
        <v>46114</v>
      </c>
      <c r="D1446" t="inlineStr">
        <is>
          <t>DALARNAS LÄN</t>
        </is>
      </c>
      <c r="E1446" t="inlineStr">
        <is>
          <t>BORLÄNGE</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72978-2021</t>
        </is>
      </c>
      <c r="B1447" s="1" t="n">
        <v>44549</v>
      </c>
      <c r="C1447" s="1" t="n">
        <v>46114</v>
      </c>
      <c r="D1447" t="inlineStr">
        <is>
          <t>DALARNAS LÄN</t>
        </is>
      </c>
      <c r="E1447" t="inlineStr">
        <is>
          <t>GAGNEF</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19047-2022</t>
        </is>
      </c>
      <c r="B1448" s="1" t="n">
        <v>44691.40365740741</v>
      </c>
      <c r="C1448" s="1" t="n">
        <v>46114</v>
      </c>
      <c r="D1448" t="inlineStr">
        <is>
          <t>DALARNAS LÄN</t>
        </is>
      </c>
      <c r="E1448" t="inlineStr">
        <is>
          <t>BORLÄNGE</t>
        </is>
      </c>
      <c r="F1448" t="inlineStr">
        <is>
          <t>Bergvik skog väst AB</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41020-2021</t>
        </is>
      </c>
      <c r="B1449" s="1" t="n">
        <v>44421</v>
      </c>
      <c r="C1449" s="1" t="n">
        <v>46114</v>
      </c>
      <c r="D1449" t="inlineStr">
        <is>
          <t>DALARNAS LÄN</t>
        </is>
      </c>
      <c r="E1449" t="inlineStr">
        <is>
          <t>ÄLVDALEN</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42732-2022</t>
        </is>
      </c>
      <c r="B1450" s="1" t="n">
        <v>44832</v>
      </c>
      <c r="C1450" s="1" t="n">
        <v>46114</v>
      </c>
      <c r="D1450" t="inlineStr">
        <is>
          <t>DALARNAS LÄN</t>
        </is>
      </c>
      <c r="E1450" t="inlineStr">
        <is>
          <t>BORLÄNGE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39311-2022</t>
        </is>
      </c>
      <c r="B1451" s="1" t="n">
        <v>44817.69123842593</v>
      </c>
      <c r="C1451" s="1" t="n">
        <v>46114</v>
      </c>
      <c r="D1451" t="inlineStr">
        <is>
          <t>DALARNAS LÄN</t>
        </is>
      </c>
      <c r="E1451" t="inlineStr">
        <is>
          <t>ÄLVDALEN</t>
        </is>
      </c>
      <c r="F1451" t="inlineStr">
        <is>
          <t>Bergvik skog väst AB</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37283-2021</t>
        </is>
      </c>
      <c r="B1452" s="1" t="n">
        <v>44397</v>
      </c>
      <c r="C1452" s="1" t="n">
        <v>46114</v>
      </c>
      <c r="D1452" t="inlineStr">
        <is>
          <t>DALARNAS LÄN</t>
        </is>
      </c>
      <c r="E1452" t="inlineStr">
        <is>
          <t>LEKSAND</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46402-2022</t>
        </is>
      </c>
      <c r="B1453" s="1" t="n">
        <v>44848</v>
      </c>
      <c r="C1453" s="1" t="n">
        <v>46114</v>
      </c>
      <c r="D1453" t="inlineStr">
        <is>
          <t>DALARNAS LÄN</t>
        </is>
      </c>
      <c r="E1453" t="inlineStr">
        <is>
          <t>MORA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52064-2022</t>
        </is>
      </c>
      <c r="B1454" s="1" t="n">
        <v>44873.34854166667</v>
      </c>
      <c r="C1454" s="1" t="n">
        <v>46114</v>
      </c>
      <c r="D1454" t="inlineStr">
        <is>
          <t>DALARNAS LÄN</t>
        </is>
      </c>
      <c r="E1454" t="inlineStr">
        <is>
          <t>ÄLVDALEN</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60391-2021</t>
        </is>
      </c>
      <c r="B1455" s="1" t="n">
        <v>44496</v>
      </c>
      <c r="C1455" s="1" t="n">
        <v>46114</v>
      </c>
      <c r="D1455" t="inlineStr">
        <is>
          <t>DALARNAS LÄN</t>
        </is>
      </c>
      <c r="E1455" t="inlineStr">
        <is>
          <t>ORSA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52681-2021</t>
        </is>
      </c>
      <c r="B1456" s="1" t="n">
        <v>44466</v>
      </c>
      <c r="C1456" s="1" t="n">
        <v>46114</v>
      </c>
      <c r="D1456" t="inlineStr">
        <is>
          <t>DALARNAS LÄN</t>
        </is>
      </c>
      <c r="E1456" t="inlineStr">
        <is>
          <t>BORLÄNGE</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45228-2022</t>
        </is>
      </c>
      <c r="B1457" s="1" t="n">
        <v>44844.47071759259</v>
      </c>
      <c r="C1457" s="1" t="n">
        <v>46114</v>
      </c>
      <c r="D1457" t="inlineStr">
        <is>
          <t>DALARNAS LÄN</t>
        </is>
      </c>
      <c r="E1457" t="inlineStr">
        <is>
          <t>ÄLVDALEN</t>
        </is>
      </c>
      <c r="F1457" t="inlineStr">
        <is>
          <t>Bergvik skog väst AB</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45238-2022</t>
        </is>
      </c>
      <c r="B1458" s="1" t="n">
        <v>44844.47778935185</v>
      </c>
      <c r="C1458" s="1" t="n">
        <v>46114</v>
      </c>
      <c r="D1458" t="inlineStr">
        <is>
          <t>DALARNAS LÄN</t>
        </is>
      </c>
      <c r="E1458" t="inlineStr">
        <is>
          <t>MORA</t>
        </is>
      </c>
      <c r="F1458" t="inlineStr">
        <is>
          <t>Bergvik skog väst AB</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60451-2021</t>
        </is>
      </c>
      <c r="B1459" s="1" t="n">
        <v>44496.44542824074</v>
      </c>
      <c r="C1459" s="1" t="n">
        <v>46114</v>
      </c>
      <c r="D1459" t="inlineStr">
        <is>
          <t>DALARNAS LÄN</t>
        </is>
      </c>
      <c r="E1459" t="inlineStr">
        <is>
          <t>SMEDJEBACKEN</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16129-2021</t>
        </is>
      </c>
      <c r="B1460" s="1" t="n">
        <v>44291</v>
      </c>
      <c r="C1460" s="1" t="n">
        <v>46114</v>
      </c>
      <c r="D1460" t="inlineStr">
        <is>
          <t>DALARNAS LÄN</t>
        </is>
      </c>
      <c r="E1460" t="inlineStr">
        <is>
          <t>SMEDJEBACKEN</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38329-2022</t>
        </is>
      </c>
      <c r="B1461" s="1" t="n">
        <v>44812.6006712963</v>
      </c>
      <c r="C1461" s="1" t="n">
        <v>46114</v>
      </c>
      <c r="D1461" t="inlineStr">
        <is>
          <t>DALARNAS LÄN</t>
        </is>
      </c>
      <c r="E1461" t="inlineStr">
        <is>
          <t>FALUN</t>
        </is>
      </c>
      <c r="F1461" t="inlineStr">
        <is>
          <t>Bergvik skog väst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33899-2022</t>
        </is>
      </c>
      <c r="B1462" s="1" t="n">
        <v>44790</v>
      </c>
      <c r="C1462" s="1" t="n">
        <v>46114</v>
      </c>
      <c r="D1462" t="inlineStr">
        <is>
          <t>DALARNAS LÄN</t>
        </is>
      </c>
      <c r="E1462" t="inlineStr">
        <is>
          <t>VANSBRO</t>
        </is>
      </c>
      <c r="G1462" t="n">
        <v>5.5</v>
      </c>
      <c r="H1462" t="n">
        <v>0</v>
      </c>
      <c r="I1462" t="n">
        <v>0</v>
      </c>
      <c r="J1462" t="n">
        <v>0</v>
      </c>
      <c r="K1462" t="n">
        <v>0</v>
      </c>
      <c r="L1462" t="n">
        <v>0</v>
      </c>
      <c r="M1462" t="n">
        <v>0</v>
      </c>
      <c r="N1462" t="n">
        <v>0</v>
      </c>
      <c r="O1462" t="n">
        <v>0</v>
      </c>
      <c r="P1462" t="n">
        <v>0</v>
      </c>
      <c r="Q1462" t="n">
        <v>0</v>
      </c>
      <c r="R1462" s="2" t="inlineStr"/>
    </row>
    <row r="1463" ht="15" customHeight="1">
      <c r="A1463" t="inlineStr">
        <is>
          <t>A 51181-2022</t>
        </is>
      </c>
      <c r="B1463" s="1" t="n">
        <v>44868.5756712963</v>
      </c>
      <c r="C1463" s="1" t="n">
        <v>46114</v>
      </c>
      <c r="D1463" t="inlineStr">
        <is>
          <t>DALARNAS LÄN</t>
        </is>
      </c>
      <c r="E1463" t="inlineStr">
        <is>
          <t>HEDEMORA</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68515-2021</t>
        </is>
      </c>
      <c r="B1464" s="1" t="n">
        <v>44529.46832175926</v>
      </c>
      <c r="C1464" s="1" t="n">
        <v>46114</v>
      </c>
      <c r="D1464" t="inlineStr">
        <is>
          <t>DALARNAS LÄN</t>
        </is>
      </c>
      <c r="E1464" t="inlineStr">
        <is>
          <t>FALUN</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41216-2022</t>
        </is>
      </c>
      <c r="B1465" s="1" t="n">
        <v>44826</v>
      </c>
      <c r="C1465" s="1" t="n">
        <v>46114</v>
      </c>
      <c r="D1465" t="inlineStr">
        <is>
          <t>DALARNAS LÄN</t>
        </is>
      </c>
      <c r="E1465" t="inlineStr">
        <is>
          <t>VANSBRO</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51498-2022</t>
        </is>
      </c>
      <c r="B1466" s="1" t="n">
        <v>44869</v>
      </c>
      <c r="C1466" s="1" t="n">
        <v>46114</v>
      </c>
      <c r="D1466" t="inlineStr">
        <is>
          <t>DALARNAS LÄN</t>
        </is>
      </c>
      <c r="E1466" t="inlineStr">
        <is>
          <t>LEKSAND</t>
        </is>
      </c>
      <c r="F1466" t="inlineStr">
        <is>
          <t>Bergvik skog väst AB</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62680-2021</t>
        </is>
      </c>
      <c r="B1467" s="1" t="n">
        <v>44504.06847222222</v>
      </c>
      <c r="C1467" s="1" t="n">
        <v>46114</v>
      </c>
      <c r="D1467" t="inlineStr">
        <is>
          <t>DALARNAS LÄN</t>
        </is>
      </c>
      <c r="E1467" t="inlineStr">
        <is>
          <t>ÄLVDALEN</t>
        </is>
      </c>
      <c r="F1467" t="inlineStr">
        <is>
          <t>Bergvik skog öst AB</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53850-2022</t>
        </is>
      </c>
      <c r="B1468" s="1" t="n">
        <v>44880.61246527778</v>
      </c>
      <c r="C1468" s="1" t="n">
        <v>46114</v>
      </c>
      <c r="D1468" t="inlineStr">
        <is>
          <t>DALARNAS LÄN</t>
        </is>
      </c>
      <c r="E1468" t="inlineStr">
        <is>
          <t>VANSBRO</t>
        </is>
      </c>
      <c r="F1468" t="inlineStr">
        <is>
          <t>Bergvik skog öst AB</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42744-2022</t>
        </is>
      </c>
      <c r="B1469" s="1" t="n">
        <v>44832</v>
      </c>
      <c r="C1469" s="1" t="n">
        <v>46114</v>
      </c>
      <c r="D1469" t="inlineStr">
        <is>
          <t>DALARNAS LÄN</t>
        </is>
      </c>
      <c r="E1469" t="inlineStr">
        <is>
          <t>SMEDJEBACKEN</t>
        </is>
      </c>
      <c r="G1469" t="n">
        <v>6.8</v>
      </c>
      <c r="H1469" t="n">
        <v>0</v>
      </c>
      <c r="I1469" t="n">
        <v>0</v>
      </c>
      <c r="J1469" t="n">
        <v>0</v>
      </c>
      <c r="K1469" t="n">
        <v>0</v>
      </c>
      <c r="L1469" t="n">
        <v>0</v>
      </c>
      <c r="M1469" t="n">
        <v>0</v>
      </c>
      <c r="N1469" t="n">
        <v>0</v>
      </c>
      <c r="O1469" t="n">
        <v>0</v>
      </c>
      <c r="P1469" t="n">
        <v>0</v>
      </c>
      <c r="Q1469" t="n">
        <v>0</v>
      </c>
      <c r="R1469" s="2" t="inlineStr"/>
    </row>
    <row r="1470" ht="15" customHeight="1">
      <c r="A1470" t="inlineStr">
        <is>
          <t>A 45785-2022</t>
        </is>
      </c>
      <c r="B1470" s="1" t="n">
        <v>44846</v>
      </c>
      <c r="C1470" s="1" t="n">
        <v>46114</v>
      </c>
      <c r="D1470" t="inlineStr">
        <is>
          <t>DALARNAS LÄN</t>
        </is>
      </c>
      <c r="E1470" t="inlineStr">
        <is>
          <t>ÄLVDALEN</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791-2022</t>
        </is>
      </c>
      <c r="B1471" s="1" t="n">
        <v>44570</v>
      </c>
      <c r="C1471" s="1" t="n">
        <v>46114</v>
      </c>
      <c r="D1471" t="inlineStr">
        <is>
          <t>DALARNAS LÄN</t>
        </is>
      </c>
      <c r="E1471" t="inlineStr">
        <is>
          <t>LEKSAND</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22389-2021</t>
        </is>
      </c>
      <c r="B1472" s="1" t="n">
        <v>44326</v>
      </c>
      <c r="C1472" s="1" t="n">
        <v>46114</v>
      </c>
      <c r="D1472" t="inlineStr">
        <is>
          <t>DALARNAS LÄN</t>
        </is>
      </c>
      <c r="E1472" t="inlineStr">
        <is>
          <t>RÄTTVIK</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42911-2022</t>
        </is>
      </c>
      <c r="B1473" s="1" t="n">
        <v>44833.32222222222</v>
      </c>
      <c r="C1473" s="1" t="n">
        <v>46114</v>
      </c>
      <c r="D1473" t="inlineStr">
        <is>
          <t>DALARNAS LÄN</t>
        </is>
      </c>
      <c r="E1473" t="inlineStr">
        <is>
          <t>RÄTTVIK</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31705-2021</t>
        </is>
      </c>
      <c r="B1474" s="1" t="n">
        <v>44369.7362037037</v>
      </c>
      <c r="C1474" s="1" t="n">
        <v>46114</v>
      </c>
      <c r="D1474" t="inlineStr">
        <is>
          <t>DALARNAS LÄN</t>
        </is>
      </c>
      <c r="E1474" t="inlineStr">
        <is>
          <t>MORA</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558-2022</t>
        </is>
      </c>
      <c r="B1475" s="1" t="n">
        <v>44566</v>
      </c>
      <c r="C1475" s="1" t="n">
        <v>46114</v>
      </c>
      <c r="D1475" t="inlineStr">
        <is>
          <t>DALARNAS LÄN</t>
        </is>
      </c>
      <c r="E1475" t="inlineStr">
        <is>
          <t>FALUN</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37531-2021</t>
        </is>
      </c>
      <c r="B1476" s="1" t="n">
        <v>44399</v>
      </c>
      <c r="C1476" s="1" t="n">
        <v>46114</v>
      </c>
      <c r="D1476" t="inlineStr">
        <is>
          <t>DALARNAS LÄN</t>
        </is>
      </c>
      <c r="E1476" t="inlineStr">
        <is>
          <t>LEKSAND</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37535-2021</t>
        </is>
      </c>
      <c r="B1477" s="1" t="n">
        <v>44399</v>
      </c>
      <c r="C1477" s="1" t="n">
        <v>46114</v>
      </c>
      <c r="D1477" t="inlineStr">
        <is>
          <t>DALARNAS LÄN</t>
        </is>
      </c>
      <c r="E1477" t="inlineStr">
        <is>
          <t>BORLÄNGE</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63831-2021</t>
        </is>
      </c>
      <c r="B1478" s="1" t="n">
        <v>44509.58097222223</v>
      </c>
      <c r="C1478" s="1" t="n">
        <v>46114</v>
      </c>
      <c r="D1478" t="inlineStr">
        <is>
          <t>DALARNAS LÄN</t>
        </is>
      </c>
      <c r="E1478" t="inlineStr">
        <is>
          <t>LEKSAND</t>
        </is>
      </c>
      <c r="F1478" t="inlineStr">
        <is>
          <t>Bergvik skog väst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35892-2021</t>
        </is>
      </c>
      <c r="B1479" s="1" t="n">
        <v>44387</v>
      </c>
      <c r="C1479" s="1" t="n">
        <v>46114</v>
      </c>
      <c r="D1479" t="inlineStr">
        <is>
          <t>DALARNAS LÄN</t>
        </is>
      </c>
      <c r="E1479" t="inlineStr">
        <is>
          <t>LUDVIKA</t>
        </is>
      </c>
      <c r="F1479" t="inlineStr">
        <is>
          <t>Kyrkan</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31046-2021</t>
        </is>
      </c>
      <c r="B1480" s="1" t="n">
        <v>44368</v>
      </c>
      <c r="C1480" s="1" t="n">
        <v>46114</v>
      </c>
      <c r="D1480" t="inlineStr">
        <is>
          <t>DALARNAS LÄN</t>
        </is>
      </c>
      <c r="E1480" t="inlineStr">
        <is>
          <t>FALUN</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31086-2021</t>
        </is>
      </c>
      <c r="B1481" s="1" t="n">
        <v>44368.49107638889</v>
      </c>
      <c r="C1481" s="1" t="n">
        <v>46114</v>
      </c>
      <c r="D1481" t="inlineStr">
        <is>
          <t>DALARNAS LÄN</t>
        </is>
      </c>
      <c r="E1481" t="inlineStr">
        <is>
          <t>LUDVIKA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16640-2022</t>
        </is>
      </c>
      <c r="B1482" s="1" t="n">
        <v>44672</v>
      </c>
      <c r="C1482" s="1" t="n">
        <v>46114</v>
      </c>
      <c r="D1482" t="inlineStr">
        <is>
          <t>DALARNAS LÄN</t>
        </is>
      </c>
      <c r="E1482" t="inlineStr">
        <is>
          <t>VANSBRO</t>
        </is>
      </c>
      <c r="F1482" t="inlineStr">
        <is>
          <t>Kyrkan</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16706-2022</t>
        </is>
      </c>
      <c r="B1483" s="1" t="n">
        <v>44673</v>
      </c>
      <c r="C1483" s="1" t="n">
        <v>46114</v>
      </c>
      <c r="D1483" t="inlineStr">
        <is>
          <t>DALARNAS LÄN</t>
        </is>
      </c>
      <c r="E1483" t="inlineStr">
        <is>
          <t>MORA</t>
        </is>
      </c>
      <c r="G1483" t="n">
        <v>9.1</v>
      </c>
      <c r="H1483" t="n">
        <v>0</v>
      </c>
      <c r="I1483" t="n">
        <v>0</v>
      </c>
      <c r="J1483" t="n">
        <v>0</v>
      </c>
      <c r="K1483" t="n">
        <v>0</v>
      </c>
      <c r="L1483" t="n">
        <v>0</v>
      </c>
      <c r="M1483" t="n">
        <v>0</v>
      </c>
      <c r="N1483" t="n">
        <v>0</v>
      </c>
      <c r="O1483" t="n">
        <v>0</v>
      </c>
      <c r="P1483" t="n">
        <v>0</v>
      </c>
      <c r="Q1483" t="n">
        <v>0</v>
      </c>
      <c r="R1483" s="2" t="inlineStr"/>
    </row>
    <row r="1484" ht="15" customHeight="1">
      <c r="A1484" t="inlineStr">
        <is>
          <t>A 41763-2021</t>
        </is>
      </c>
      <c r="B1484" s="1" t="n">
        <v>44425</v>
      </c>
      <c r="C1484" s="1" t="n">
        <v>46114</v>
      </c>
      <c r="D1484" t="inlineStr">
        <is>
          <t>DALARNAS LÄN</t>
        </is>
      </c>
      <c r="E1484" t="inlineStr">
        <is>
          <t>MORA</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36616-2021</t>
        </is>
      </c>
      <c r="B1485" s="1" t="n">
        <v>44391.69834490741</v>
      </c>
      <c r="C1485" s="1" t="n">
        <v>46114</v>
      </c>
      <c r="D1485" t="inlineStr">
        <is>
          <t>DALARNAS LÄN</t>
        </is>
      </c>
      <c r="E1485" t="inlineStr">
        <is>
          <t>RÄTTVIK</t>
        </is>
      </c>
      <c r="F1485" t="inlineStr">
        <is>
          <t>Sveaskog</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36617-2021</t>
        </is>
      </c>
      <c r="B1486" s="1" t="n">
        <v>44391.70168981481</v>
      </c>
      <c r="C1486" s="1" t="n">
        <v>46114</v>
      </c>
      <c r="D1486" t="inlineStr">
        <is>
          <t>DALARNAS LÄN</t>
        </is>
      </c>
      <c r="E1486" t="inlineStr">
        <is>
          <t>RÄTTVIK</t>
        </is>
      </c>
      <c r="F1486" t="inlineStr">
        <is>
          <t>Sveaskog</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53540-2022</t>
        </is>
      </c>
      <c r="B1487" s="1" t="n">
        <v>44879.61891203704</v>
      </c>
      <c r="C1487" s="1" t="n">
        <v>46114</v>
      </c>
      <c r="D1487" t="inlineStr">
        <is>
          <t>DALARNAS LÄN</t>
        </is>
      </c>
      <c r="E1487" t="inlineStr">
        <is>
          <t>FALUN</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49572-2021</t>
        </is>
      </c>
      <c r="B1488" s="1" t="n">
        <v>44455</v>
      </c>
      <c r="C1488" s="1" t="n">
        <v>46114</v>
      </c>
      <c r="D1488" t="inlineStr">
        <is>
          <t>DALARNAS LÄN</t>
        </is>
      </c>
      <c r="E1488" t="inlineStr">
        <is>
          <t>MORA</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50349-2021</t>
        </is>
      </c>
      <c r="B1489" s="1" t="n">
        <v>44459</v>
      </c>
      <c r="C1489" s="1" t="n">
        <v>46114</v>
      </c>
      <c r="D1489" t="inlineStr">
        <is>
          <t>DALARNAS LÄN</t>
        </is>
      </c>
      <c r="E1489" t="inlineStr">
        <is>
          <t>ÄLVDALEN</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25419-2021</t>
        </is>
      </c>
      <c r="B1490" s="1" t="n">
        <v>44342.64690972222</v>
      </c>
      <c r="C1490" s="1" t="n">
        <v>46114</v>
      </c>
      <c r="D1490" t="inlineStr">
        <is>
          <t>DALARNAS LÄN</t>
        </is>
      </c>
      <c r="E1490" t="inlineStr">
        <is>
          <t>SMEDJEBACKEN</t>
        </is>
      </c>
      <c r="F1490" t="inlineStr">
        <is>
          <t>Sveaskog</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4314-2022</t>
        </is>
      </c>
      <c r="B1491" s="1" t="n">
        <v>44588.86219907407</v>
      </c>
      <c r="C1491" s="1" t="n">
        <v>46114</v>
      </c>
      <c r="D1491" t="inlineStr">
        <is>
          <t>DALARNAS LÄN</t>
        </is>
      </c>
      <c r="E1491" t="inlineStr">
        <is>
          <t>FALUN</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11435-2022</t>
        </is>
      </c>
      <c r="B1492" s="1" t="n">
        <v>44630.62027777778</v>
      </c>
      <c r="C1492" s="1" t="n">
        <v>46114</v>
      </c>
      <c r="D1492" t="inlineStr">
        <is>
          <t>DALARNAS LÄN</t>
        </is>
      </c>
      <c r="E1492" t="inlineStr">
        <is>
          <t>BORLÄNGE</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24651-2022</t>
        </is>
      </c>
      <c r="B1493" s="1" t="n">
        <v>44727</v>
      </c>
      <c r="C1493" s="1" t="n">
        <v>46114</v>
      </c>
      <c r="D1493" t="inlineStr">
        <is>
          <t>DALARNAS LÄN</t>
        </is>
      </c>
      <c r="E1493" t="inlineStr">
        <is>
          <t>ORSA</t>
        </is>
      </c>
      <c r="F1493" t="inlineStr">
        <is>
          <t>Allmännings- och besparingsskogar</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26571-2022</t>
        </is>
      </c>
      <c r="B1494" s="1" t="n">
        <v>44739</v>
      </c>
      <c r="C1494" s="1" t="n">
        <v>46114</v>
      </c>
      <c r="D1494" t="inlineStr">
        <is>
          <t>DALARNAS LÄN</t>
        </is>
      </c>
      <c r="E1494" t="inlineStr">
        <is>
          <t>VANSBRO</t>
        </is>
      </c>
      <c r="F1494" t="inlineStr">
        <is>
          <t>Kommuner</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17718-2021</t>
        </is>
      </c>
      <c r="B1495" s="1" t="n">
        <v>44300</v>
      </c>
      <c r="C1495" s="1" t="n">
        <v>46114</v>
      </c>
      <c r="D1495" t="inlineStr">
        <is>
          <t>DALARNAS LÄN</t>
        </is>
      </c>
      <c r="E1495" t="inlineStr">
        <is>
          <t>ORSA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19312-2021</t>
        </is>
      </c>
      <c r="B1496" s="1" t="n">
        <v>44309.50952546296</v>
      </c>
      <c r="C1496" s="1" t="n">
        <v>46114</v>
      </c>
      <c r="D1496" t="inlineStr">
        <is>
          <t>DALARNAS LÄN</t>
        </is>
      </c>
      <c r="E1496" t="inlineStr">
        <is>
          <t>ÄLVDALEN</t>
        </is>
      </c>
      <c r="G1496" t="n">
        <v>0.4</v>
      </c>
      <c r="H1496" t="n">
        <v>0</v>
      </c>
      <c r="I1496" t="n">
        <v>0</v>
      </c>
      <c r="J1496" t="n">
        <v>0</v>
      </c>
      <c r="K1496" t="n">
        <v>0</v>
      </c>
      <c r="L1496" t="n">
        <v>0</v>
      </c>
      <c r="M1496" t="n">
        <v>0</v>
      </c>
      <c r="N1496" t="n">
        <v>0</v>
      </c>
      <c r="O1496" t="n">
        <v>0</v>
      </c>
      <c r="P1496" t="n">
        <v>0</v>
      </c>
      <c r="Q1496" t="n">
        <v>0</v>
      </c>
      <c r="R1496" s="2" t="inlineStr"/>
    </row>
    <row r="1497" ht="15" customHeight="1">
      <c r="A1497" t="inlineStr">
        <is>
          <t>A 4249-2022</t>
        </is>
      </c>
      <c r="B1497" s="1" t="n">
        <v>44588.66842592593</v>
      </c>
      <c r="C1497" s="1" t="n">
        <v>46114</v>
      </c>
      <c r="D1497" t="inlineStr">
        <is>
          <t>DALARNAS LÄN</t>
        </is>
      </c>
      <c r="E1497" t="inlineStr">
        <is>
          <t>FALUN</t>
        </is>
      </c>
      <c r="G1497" t="n">
        <v>14.3</v>
      </c>
      <c r="H1497" t="n">
        <v>0</v>
      </c>
      <c r="I1497" t="n">
        <v>0</v>
      </c>
      <c r="J1497" t="n">
        <v>0</v>
      </c>
      <c r="K1497" t="n">
        <v>0</v>
      </c>
      <c r="L1497" t="n">
        <v>0</v>
      </c>
      <c r="M1497" t="n">
        <v>0</v>
      </c>
      <c r="N1497" t="n">
        <v>0</v>
      </c>
      <c r="O1497" t="n">
        <v>0</v>
      </c>
      <c r="P1497" t="n">
        <v>0</v>
      </c>
      <c r="Q1497" t="n">
        <v>0</v>
      </c>
      <c r="R1497" s="2" t="inlineStr"/>
    </row>
    <row r="1498" ht="15" customHeight="1">
      <c r="A1498" t="inlineStr">
        <is>
          <t>A 28362-2022</t>
        </is>
      </c>
      <c r="B1498" s="1" t="n">
        <v>44747.4846875</v>
      </c>
      <c r="C1498" s="1" t="n">
        <v>46114</v>
      </c>
      <c r="D1498" t="inlineStr">
        <is>
          <t>DALARNAS LÄN</t>
        </is>
      </c>
      <c r="E1498" t="inlineStr">
        <is>
          <t>BORLÄNGE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70052-2021</t>
        </is>
      </c>
      <c r="B1499" s="1" t="n">
        <v>44533.48498842592</v>
      </c>
      <c r="C1499" s="1" t="n">
        <v>46114</v>
      </c>
      <c r="D1499" t="inlineStr">
        <is>
          <t>DALARNAS LÄN</t>
        </is>
      </c>
      <c r="E1499" t="inlineStr">
        <is>
          <t>MALUNG-SÄLEN</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52877-2021</t>
        </is>
      </c>
      <c r="B1500" s="1" t="n">
        <v>44467.47215277778</v>
      </c>
      <c r="C1500" s="1" t="n">
        <v>46114</v>
      </c>
      <c r="D1500" t="inlineStr">
        <is>
          <t>DALARNAS LÄN</t>
        </is>
      </c>
      <c r="E1500" t="inlineStr">
        <is>
          <t>ÄLVDALEN</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68430-2021</t>
        </is>
      </c>
      <c r="B1501" s="1" t="n">
        <v>44529.39631944444</v>
      </c>
      <c r="C1501" s="1" t="n">
        <v>46114</v>
      </c>
      <c r="D1501" t="inlineStr">
        <is>
          <t>DALARNAS LÄN</t>
        </is>
      </c>
      <c r="E1501" t="inlineStr">
        <is>
          <t>MALUNG-SÄLEN</t>
        </is>
      </c>
      <c r="G1501" t="n">
        <v>4.9</v>
      </c>
      <c r="H1501" t="n">
        <v>0</v>
      </c>
      <c r="I1501" t="n">
        <v>0</v>
      </c>
      <c r="J1501" t="n">
        <v>0</v>
      </c>
      <c r="K1501" t="n">
        <v>0</v>
      </c>
      <c r="L1501" t="n">
        <v>0</v>
      </c>
      <c r="M1501" t="n">
        <v>0</v>
      </c>
      <c r="N1501" t="n">
        <v>0</v>
      </c>
      <c r="O1501" t="n">
        <v>0</v>
      </c>
      <c r="P1501" t="n">
        <v>0</v>
      </c>
      <c r="Q1501" t="n">
        <v>0</v>
      </c>
      <c r="R1501" s="2" t="inlineStr"/>
    </row>
    <row r="1502" ht="15" customHeight="1">
      <c r="A1502" t="inlineStr">
        <is>
          <t>A 28403-2022</t>
        </is>
      </c>
      <c r="B1502" s="1" t="n">
        <v>44747</v>
      </c>
      <c r="C1502" s="1" t="n">
        <v>46114</v>
      </c>
      <c r="D1502" t="inlineStr">
        <is>
          <t>DALARNAS LÄN</t>
        </is>
      </c>
      <c r="E1502" t="inlineStr">
        <is>
          <t>AVESTA</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51308-2021</t>
        </is>
      </c>
      <c r="B1503" s="1" t="n">
        <v>44461</v>
      </c>
      <c r="C1503" s="1" t="n">
        <v>46114</v>
      </c>
      <c r="D1503" t="inlineStr">
        <is>
          <t>DALARNAS LÄN</t>
        </is>
      </c>
      <c r="E1503" t="inlineStr">
        <is>
          <t>BORLÄNGE</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369-2022</t>
        </is>
      </c>
      <c r="B1504" s="1" t="n">
        <v>44565.64167824074</v>
      </c>
      <c r="C1504" s="1" t="n">
        <v>46114</v>
      </c>
      <c r="D1504" t="inlineStr">
        <is>
          <t>DALARNAS LÄN</t>
        </is>
      </c>
      <c r="E1504" t="inlineStr">
        <is>
          <t>RÄTTVIK</t>
        </is>
      </c>
      <c r="F1504" t="inlineStr">
        <is>
          <t>Sveaskog</t>
        </is>
      </c>
      <c r="G1504" t="n">
        <v>1.5</v>
      </c>
      <c r="H1504" t="n">
        <v>0</v>
      </c>
      <c r="I1504" t="n">
        <v>0</v>
      </c>
      <c r="J1504" t="n">
        <v>0</v>
      </c>
      <c r="K1504" t="n">
        <v>0</v>
      </c>
      <c r="L1504" t="n">
        <v>0</v>
      </c>
      <c r="M1504" t="n">
        <v>0</v>
      </c>
      <c r="N1504" t="n">
        <v>0</v>
      </c>
      <c r="O1504" t="n">
        <v>0</v>
      </c>
      <c r="P1504" t="n">
        <v>0</v>
      </c>
      <c r="Q1504" t="n">
        <v>0</v>
      </c>
      <c r="R1504" s="2" t="inlineStr"/>
    </row>
    <row r="1505" ht="15" customHeight="1">
      <c r="A1505" t="inlineStr">
        <is>
          <t>A 55362-2021</t>
        </is>
      </c>
      <c r="B1505" s="1" t="n">
        <v>44475.49350694445</v>
      </c>
      <c r="C1505" s="1" t="n">
        <v>46114</v>
      </c>
      <c r="D1505" t="inlineStr">
        <is>
          <t>DALARNAS LÄN</t>
        </is>
      </c>
      <c r="E1505" t="inlineStr">
        <is>
          <t>SMEDJEBACKEN</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24070-2021</t>
        </is>
      </c>
      <c r="B1506" s="1" t="n">
        <v>44336.408125</v>
      </c>
      <c r="C1506" s="1" t="n">
        <v>46114</v>
      </c>
      <c r="D1506" t="inlineStr">
        <is>
          <t>DALARNAS LÄN</t>
        </is>
      </c>
      <c r="E1506" t="inlineStr">
        <is>
          <t>VANSBRO</t>
        </is>
      </c>
      <c r="F1506" t="inlineStr">
        <is>
          <t>Bergvik skog öst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33917-2022</t>
        </is>
      </c>
      <c r="B1507" s="1" t="n">
        <v>44790.63685185185</v>
      </c>
      <c r="C1507" s="1" t="n">
        <v>46114</v>
      </c>
      <c r="D1507" t="inlineStr">
        <is>
          <t>DALARNAS LÄN</t>
        </is>
      </c>
      <c r="E1507" t="inlineStr">
        <is>
          <t>VANSBRO</t>
        </is>
      </c>
      <c r="F1507" t="inlineStr">
        <is>
          <t>Bergvik skog öst AB</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15818-2022</t>
        </is>
      </c>
      <c r="B1508" s="1" t="n">
        <v>44664.33770833333</v>
      </c>
      <c r="C1508" s="1" t="n">
        <v>46114</v>
      </c>
      <c r="D1508" t="inlineStr">
        <is>
          <t>DALARNAS LÄN</t>
        </is>
      </c>
      <c r="E1508" t="inlineStr">
        <is>
          <t>BORLÄNGE</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16320-2022</t>
        </is>
      </c>
      <c r="B1509" s="1" t="n">
        <v>44670.61141203704</v>
      </c>
      <c r="C1509" s="1" t="n">
        <v>46114</v>
      </c>
      <c r="D1509" t="inlineStr">
        <is>
          <t>DALARNAS LÄN</t>
        </is>
      </c>
      <c r="E1509" t="inlineStr">
        <is>
          <t>BORLÄNGE</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16353-2022</t>
        </is>
      </c>
      <c r="B1510" s="1" t="n">
        <v>44670</v>
      </c>
      <c r="C1510" s="1" t="n">
        <v>46114</v>
      </c>
      <c r="D1510" t="inlineStr">
        <is>
          <t>DALARNAS LÄN</t>
        </is>
      </c>
      <c r="E1510" t="inlineStr">
        <is>
          <t>LEKSAND</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18267-2021</t>
        </is>
      </c>
      <c r="B1511" s="1" t="n">
        <v>44305</v>
      </c>
      <c r="C1511" s="1" t="n">
        <v>46114</v>
      </c>
      <c r="D1511" t="inlineStr">
        <is>
          <t>DALARNAS LÄN</t>
        </is>
      </c>
      <c r="E1511" t="inlineStr">
        <is>
          <t>LEKSAND</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70990-2021</t>
        </is>
      </c>
      <c r="B1512" s="1" t="n">
        <v>44538</v>
      </c>
      <c r="C1512" s="1" t="n">
        <v>46114</v>
      </c>
      <c r="D1512" t="inlineStr">
        <is>
          <t>DALARNAS LÄN</t>
        </is>
      </c>
      <c r="E1512" t="inlineStr">
        <is>
          <t>ÄLVDALEN</t>
        </is>
      </c>
      <c r="F1512" t="inlineStr">
        <is>
          <t>Kyrkan</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21309-2021</t>
        </is>
      </c>
      <c r="B1513" s="1" t="n">
        <v>44320</v>
      </c>
      <c r="C1513" s="1" t="n">
        <v>46114</v>
      </c>
      <c r="D1513" t="inlineStr">
        <is>
          <t>DALARNAS LÄN</t>
        </is>
      </c>
      <c r="E1513" t="inlineStr">
        <is>
          <t>GAGNEF</t>
        </is>
      </c>
      <c r="F1513" t="inlineStr">
        <is>
          <t>Bergvik skog väst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52262-2021</t>
        </is>
      </c>
      <c r="B1514" s="1" t="n">
        <v>44463</v>
      </c>
      <c r="C1514" s="1" t="n">
        <v>46114</v>
      </c>
      <c r="D1514" t="inlineStr">
        <is>
          <t>DALARNAS LÄN</t>
        </is>
      </c>
      <c r="E1514" t="inlineStr">
        <is>
          <t>SÄTER</t>
        </is>
      </c>
      <c r="F1514" t="inlineStr">
        <is>
          <t>Bergvik skog väst AB</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39731-2021</t>
        </is>
      </c>
      <c r="B1515" s="1" t="n">
        <v>44414</v>
      </c>
      <c r="C1515" s="1" t="n">
        <v>46114</v>
      </c>
      <c r="D1515" t="inlineStr">
        <is>
          <t>DALARNAS LÄN</t>
        </is>
      </c>
      <c r="E1515" t="inlineStr">
        <is>
          <t>SMEDJEBACKEN</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45462-2022</t>
        </is>
      </c>
      <c r="B1516" s="1" t="n">
        <v>44845.35591435185</v>
      </c>
      <c r="C1516" s="1" t="n">
        <v>46114</v>
      </c>
      <c r="D1516" t="inlineStr">
        <is>
          <t>DALARNAS LÄN</t>
        </is>
      </c>
      <c r="E1516" t="inlineStr">
        <is>
          <t>MORA</t>
        </is>
      </c>
      <c r="G1516" t="n">
        <v>6.9</v>
      </c>
      <c r="H1516" t="n">
        <v>0</v>
      </c>
      <c r="I1516" t="n">
        <v>0</v>
      </c>
      <c r="J1516" t="n">
        <v>0</v>
      </c>
      <c r="K1516" t="n">
        <v>0</v>
      </c>
      <c r="L1516" t="n">
        <v>0</v>
      </c>
      <c r="M1516" t="n">
        <v>0</v>
      </c>
      <c r="N1516" t="n">
        <v>0</v>
      </c>
      <c r="O1516" t="n">
        <v>0</v>
      </c>
      <c r="P1516" t="n">
        <v>0</v>
      </c>
      <c r="Q1516" t="n">
        <v>0</v>
      </c>
      <c r="R1516" s="2" t="inlineStr"/>
    </row>
    <row r="1517" ht="15" customHeight="1">
      <c r="A1517" t="inlineStr">
        <is>
          <t>A 21414-2021</t>
        </is>
      </c>
      <c r="B1517" s="1" t="n">
        <v>44321</v>
      </c>
      <c r="C1517" s="1" t="n">
        <v>46114</v>
      </c>
      <c r="D1517" t="inlineStr">
        <is>
          <t>DALARNAS LÄN</t>
        </is>
      </c>
      <c r="E1517" t="inlineStr">
        <is>
          <t>SMEDJEBACKEN</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21468-2021</t>
        </is>
      </c>
      <c r="B1518" s="1" t="n">
        <v>44321.48372685185</v>
      </c>
      <c r="C1518" s="1" t="n">
        <v>46114</v>
      </c>
      <c r="D1518" t="inlineStr">
        <is>
          <t>DALARNAS LÄN</t>
        </is>
      </c>
      <c r="E1518" t="inlineStr">
        <is>
          <t>SMEDJEBACKEN</t>
        </is>
      </c>
      <c r="F1518" t="inlineStr">
        <is>
          <t>Sveaskog</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33269-2022</t>
        </is>
      </c>
      <c r="B1519" s="1" t="n">
        <v>44788.32601851852</v>
      </c>
      <c r="C1519" s="1" t="n">
        <v>46114</v>
      </c>
      <c r="D1519" t="inlineStr">
        <is>
          <t>DALARNAS LÄN</t>
        </is>
      </c>
      <c r="E1519" t="inlineStr">
        <is>
          <t>MORA</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19491-2022</t>
        </is>
      </c>
      <c r="B1520" s="1" t="n">
        <v>44693.49159722222</v>
      </c>
      <c r="C1520" s="1" t="n">
        <v>46114</v>
      </c>
      <c r="D1520" t="inlineStr">
        <is>
          <t>DALARNAS LÄN</t>
        </is>
      </c>
      <c r="E1520" t="inlineStr">
        <is>
          <t>FALUN</t>
        </is>
      </c>
      <c r="F1520" t="inlineStr">
        <is>
          <t>Bergvik skog väst AB</t>
        </is>
      </c>
      <c r="G1520" t="n">
        <v>1.5</v>
      </c>
      <c r="H1520" t="n">
        <v>0</v>
      </c>
      <c r="I1520" t="n">
        <v>0</v>
      </c>
      <c r="J1520" t="n">
        <v>0</v>
      </c>
      <c r="K1520" t="n">
        <v>0</v>
      </c>
      <c r="L1520" t="n">
        <v>0</v>
      </c>
      <c r="M1520" t="n">
        <v>0</v>
      </c>
      <c r="N1520" t="n">
        <v>0</v>
      </c>
      <c r="O1520" t="n">
        <v>0</v>
      </c>
      <c r="P1520" t="n">
        <v>0</v>
      </c>
      <c r="Q1520" t="n">
        <v>0</v>
      </c>
      <c r="R1520" s="2" t="inlineStr"/>
    </row>
    <row r="1521" ht="15" customHeight="1">
      <c r="A1521" t="inlineStr">
        <is>
          <t>A 30944-2021</t>
        </is>
      </c>
      <c r="B1521" s="1" t="n">
        <v>44365</v>
      </c>
      <c r="C1521" s="1" t="n">
        <v>46114</v>
      </c>
      <c r="D1521" t="inlineStr">
        <is>
          <t>DALARNAS LÄN</t>
        </is>
      </c>
      <c r="E1521" t="inlineStr">
        <is>
          <t>FALUN</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58569-2021</t>
        </is>
      </c>
      <c r="B1522" s="1" t="n">
        <v>44488</v>
      </c>
      <c r="C1522" s="1" t="n">
        <v>46114</v>
      </c>
      <c r="D1522" t="inlineStr">
        <is>
          <t>DALARNAS LÄN</t>
        </is>
      </c>
      <c r="E1522" t="inlineStr">
        <is>
          <t>LEKSAND</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51422-2021</t>
        </is>
      </c>
      <c r="B1523" s="1" t="n">
        <v>44461</v>
      </c>
      <c r="C1523" s="1" t="n">
        <v>46114</v>
      </c>
      <c r="D1523" t="inlineStr">
        <is>
          <t>DALARNAS LÄN</t>
        </is>
      </c>
      <c r="E1523" t="inlineStr">
        <is>
          <t>SMEDJEBACKEN</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38561-2021</t>
        </is>
      </c>
      <c r="B1524" s="1" t="n">
        <v>44407</v>
      </c>
      <c r="C1524" s="1" t="n">
        <v>46114</v>
      </c>
      <c r="D1524" t="inlineStr">
        <is>
          <t>DALARNAS LÄN</t>
        </is>
      </c>
      <c r="E1524" t="inlineStr">
        <is>
          <t>FALUN</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30972-2021</t>
        </is>
      </c>
      <c r="B1525" s="1" t="n">
        <v>44365</v>
      </c>
      <c r="C1525" s="1" t="n">
        <v>46114</v>
      </c>
      <c r="D1525" t="inlineStr">
        <is>
          <t>DALARNAS LÄN</t>
        </is>
      </c>
      <c r="E1525" t="inlineStr">
        <is>
          <t>ÄLVDALEN</t>
        </is>
      </c>
      <c r="F1525" t="inlineStr">
        <is>
          <t>Sveaskog</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58690-2021</t>
        </is>
      </c>
      <c r="B1526" s="1" t="n">
        <v>44489</v>
      </c>
      <c r="C1526" s="1" t="n">
        <v>46114</v>
      </c>
      <c r="D1526" t="inlineStr">
        <is>
          <t>DALARNAS LÄN</t>
        </is>
      </c>
      <c r="E1526" t="inlineStr">
        <is>
          <t>MORA</t>
        </is>
      </c>
      <c r="F1526" t="inlineStr">
        <is>
          <t>Bergvik skog öst AB</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52071-2021</t>
        </is>
      </c>
      <c r="B1527" s="1" t="n">
        <v>44462</v>
      </c>
      <c r="C1527" s="1" t="n">
        <v>46114</v>
      </c>
      <c r="D1527" t="inlineStr">
        <is>
          <t>DALARNAS LÄN</t>
        </is>
      </c>
      <c r="E1527" t="inlineStr">
        <is>
          <t>MALUNG-SÄLEN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25797-2022</t>
        </is>
      </c>
      <c r="B1528" s="1" t="n">
        <v>44733.49084490741</v>
      </c>
      <c r="C1528" s="1" t="n">
        <v>46114</v>
      </c>
      <c r="D1528" t="inlineStr">
        <is>
          <t>DALARNAS LÄN</t>
        </is>
      </c>
      <c r="E1528" t="inlineStr">
        <is>
          <t>RÄTTVIK</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42135-2022</t>
        </is>
      </c>
      <c r="B1529" s="1" t="n">
        <v>44830.58152777778</v>
      </c>
      <c r="C1529" s="1" t="n">
        <v>46114</v>
      </c>
      <c r="D1529" t="inlineStr">
        <is>
          <t>DALARNAS LÄN</t>
        </is>
      </c>
      <c r="E1529" t="inlineStr">
        <is>
          <t>FALUN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18295-2021</t>
        </is>
      </c>
      <c r="B1530" s="1" t="n">
        <v>44305.44425925926</v>
      </c>
      <c r="C1530" s="1" t="n">
        <v>46114</v>
      </c>
      <c r="D1530" t="inlineStr">
        <is>
          <t>DALARNAS LÄN</t>
        </is>
      </c>
      <c r="E1530" t="inlineStr">
        <is>
          <t>RÄTTVIK</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39506-2022</t>
        </is>
      </c>
      <c r="B1531" s="1" t="n">
        <v>44817</v>
      </c>
      <c r="C1531" s="1" t="n">
        <v>46114</v>
      </c>
      <c r="D1531" t="inlineStr">
        <is>
          <t>DALARNAS LÄN</t>
        </is>
      </c>
      <c r="E1531" t="inlineStr">
        <is>
          <t>HEDEMORA</t>
        </is>
      </c>
      <c r="F1531" t="inlineStr">
        <is>
          <t>Bergvik skog väst AB</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26726-2021</t>
        </is>
      </c>
      <c r="B1532" s="1" t="n">
        <v>44349.38230324074</v>
      </c>
      <c r="C1532" s="1" t="n">
        <v>46114</v>
      </c>
      <c r="D1532" t="inlineStr">
        <is>
          <t>DALARNAS LÄN</t>
        </is>
      </c>
      <c r="E1532" t="inlineStr">
        <is>
          <t>ÄLVDALEN</t>
        </is>
      </c>
      <c r="F1532" t="inlineStr">
        <is>
          <t>Bergvik skog väst AB</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28712-2021</t>
        </is>
      </c>
      <c r="B1533" s="1" t="n">
        <v>44357</v>
      </c>
      <c r="C1533" s="1" t="n">
        <v>46114</v>
      </c>
      <c r="D1533" t="inlineStr">
        <is>
          <t>DALARNAS LÄN</t>
        </is>
      </c>
      <c r="E1533" t="inlineStr">
        <is>
          <t>ÄLVDALEN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41573-2021</t>
        </is>
      </c>
      <c r="B1534" s="1" t="n">
        <v>44425.39621527777</v>
      </c>
      <c r="C1534" s="1" t="n">
        <v>46114</v>
      </c>
      <c r="D1534" t="inlineStr">
        <is>
          <t>DALARNAS LÄN</t>
        </is>
      </c>
      <c r="E1534" t="inlineStr">
        <is>
          <t>SÄTER</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27853-2021</t>
        </is>
      </c>
      <c r="B1535" s="1" t="n">
        <v>44354.60869212963</v>
      </c>
      <c r="C1535" s="1" t="n">
        <v>46114</v>
      </c>
      <c r="D1535" t="inlineStr">
        <is>
          <t>DALARNAS LÄN</t>
        </is>
      </c>
      <c r="E1535" t="inlineStr">
        <is>
          <t>BORLÄNGE</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32258-2021</t>
        </is>
      </c>
      <c r="B1536" s="1" t="n">
        <v>44371.46142361111</v>
      </c>
      <c r="C1536" s="1" t="n">
        <v>46114</v>
      </c>
      <c r="D1536" t="inlineStr">
        <is>
          <t>DALARNAS LÄN</t>
        </is>
      </c>
      <c r="E1536" t="inlineStr">
        <is>
          <t>AVESTA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67125-2021</t>
        </is>
      </c>
      <c r="B1537" s="1" t="n">
        <v>44523.35982638889</v>
      </c>
      <c r="C1537" s="1" t="n">
        <v>46114</v>
      </c>
      <c r="D1537" t="inlineStr">
        <is>
          <t>DALARNAS LÄN</t>
        </is>
      </c>
      <c r="E1537" t="inlineStr">
        <is>
          <t>MORA</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32377-2021</t>
        </is>
      </c>
      <c r="B1538" s="1" t="n">
        <v>44371.61636574074</v>
      </c>
      <c r="C1538" s="1" t="n">
        <v>46114</v>
      </c>
      <c r="D1538" t="inlineStr">
        <is>
          <t>DALARNAS LÄN</t>
        </is>
      </c>
      <c r="E1538" t="inlineStr">
        <is>
          <t>VANSBRO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46235-2021</t>
        </is>
      </c>
      <c r="B1539" s="1" t="n">
        <v>44442</v>
      </c>
      <c r="C1539" s="1" t="n">
        <v>46114</v>
      </c>
      <c r="D1539" t="inlineStr">
        <is>
          <t>DALARNAS LÄN</t>
        </is>
      </c>
      <c r="E1539" t="inlineStr">
        <is>
          <t>HEDEMORA</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37774-2021</t>
        </is>
      </c>
      <c r="B1540" s="1" t="n">
        <v>44400.88949074074</v>
      </c>
      <c r="C1540" s="1" t="n">
        <v>46114</v>
      </c>
      <c r="D1540" t="inlineStr">
        <is>
          <t>DALARNAS LÄN</t>
        </is>
      </c>
      <c r="E1540" t="inlineStr">
        <is>
          <t>RÄTTVIK</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50893-2022</t>
        </is>
      </c>
      <c r="B1541" s="1" t="n">
        <v>44867</v>
      </c>
      <c r="C1541" s="1" t="n">
        <v>46114</v>
      </c>
      <c r="D1541" t="inlineStr">
        <is>
          <t>DALARNAS LÄN</t>
        </is>
      </c>
      <c r="E1541" t="inlineStr">
        <is>
          <t>GAGNEF</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50209-2022</t>
        </is>
      </c>
      <c r="B1542" s="1" t="n">
        <v>44865</v>
      </c>
      <c r="C1542" s="1" t="n">
        <v>46114</v>
      </c>
      <c r="D1542" t="inlineStr">
        <is>
          <t>DALARNAS LÄN</t>
        </is>
      </c>
      <c r="E1542" t="inlineStr">
        <is>
          <t>ÄLVDALEN</t>
        </is>
      </c>
      <c r="F1542" t="inlineStr">
        <is>
          <t>Sveaskog</t>
        </is>
      </c>
      <c r="G1542" t="n">
        <v>3.7</v>
      </c>
      <c r="H1542" t="n">
        <v>0</v>
      </c>
      <c r="I1542" t="n">
        <v>0</v>
      </c>
      <c r="J1542" t="n">
        <v>0</v>
      </c>
      <c r="K1542" t="n">
        <v>0</v>
      </c>
      <c r="L1542" t="n">
        <v>0</v>
      </c>
      <c r="M1542" t="n">
        <v>0</v>
      </c>
      <c r="N1542" t="n">
        <v>0</v>
      </c>
      <c r="O1542" t="n">
        <v>0</v>
      </c>
      <c r="P1542" t="n">
        <v>0</v>
      </c>
      <c r="Q1542" t="n">
        <v>0</v>
      </c>
      <c r="R1542" s="2" t="inlineStr"/>
    </row>
    <row r="1543" ht="15" customHeight="1">
      <c r="A1543" t="inlineStr">
        <is>
          <t>A 43972-2021</t>
        </is>
      </c>
      <c r="B1543" s="1" t="n">
        <v>44434.45565972223</v>
      </c>
      <c r="C1543" s="1" t="n">
        <v>46114</v>
      </c>
      <c r="D1543" t="inlineStr">
        <is>
          <t>DALARNAS LÄN</t>
        </is>
      </c>
      <c r="E1543" t="inlineStr">
        <is>
          <t>ÄLVDALEN</t>
        </is>
      </c>
      <c r="F1543" t="inlineStr">
        <is>
          <t>Sveaskog</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52385-2021</t>
        </is>
      </c>
      <c r="B1544" s="1" t="n">
        <v>44465.84288194445</v>
      </c>
      <c r="C1544" s="1" t="n">
        <v>46114</v>
      </c>
      <c r="D1544" t="inlineStr">
        <is>
          <t>DALARNAS LÄN</t>
        </is>
      </c>
      <c r="E1544" t="inlineStr">
        <is>
          <t>VANSBRO</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37073-2021</t>
        </is>
      </c>
      <c r="B1545" s="1" t="n">
        <v>44394</v>
      </c>
      <c r="C1545" s="1" t="n">
        <v>46114</v>
      </c>
      <c r="D1545" t="inlineStr">
        <is>
          <t>DALARNAS LÄN</t>
        </is>
      </c>
      <c r="E1545" t="inlineStr">
        <is>
          <t>LEKSAND</t>
        </is>
      </c>
      <c r="F1545" t="inlineStr">
        <is>
          <t>Bergvik skog väst AB</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72987-2021</t>
        </is>
      </c>
      <c r="B1546" s="1" t="n">
        <v>44549.75856481482</v>
      </c>
      <c r="C1546" s="1" t="n">
        <v>46114</v>
      </c>
      <c r="D1546" t="inlineStr">
        <is>
          <t>DALARNAS LÄN</t>
        </is>
      </c>
      <c r="E1546" t="inlineStr">
        <is>
          <t>SÄTER</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50531-2021</t>
        </is>
      </c>
      <c r="B1547" s="1" t="n">
        <v>44459.60768518518</v>
      </c>
      <c r="C1547" s="1" t="n">
        <v>46114</v>
      </c>
      <c r="D1547" t="inlineStr">
        <is>
          <t>DALARNAS LÄN</t>
        </is>
      </c>
      <c r="E1547" t="inlineStr">
        <is>
          <t>RÄTTVIK</t>
        </is>
      </c>
      <c r="F1547" t="inlineStr">
        <is>
          <t>Sveaskog</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57834-2021</t>
        </is>
      </c>
      <c r="B1548" s="1" t="n">
        <v>44484</v>
      </c>
      <c r="C1548" s="1" t="n">
        <v>46114</v>
      </c>
      <c r="D1548" t="inlineStr">
        <is>
          <t>DALARNAS LÄN</t>
        </is>
      </c>
      <c r="E1548" t="inlineStr">
        <is>
          <t>RÄTTVIK</t>
        </is>
      </c>
      <c r="F1548" t="inlineStr">
        <is>
          <t>Sveaskog</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31925-2021</t>
        </is>
      </c>
      <c r="B1549" s="1" t="n">
        <v>44370</v>
      </c>
      <c r="C1549" s="1" t="n">
        <v>46114</v>
      </c>
      <c r="D1549" t="inlineStr">
        <is>
          <t>DALARNAS LÄN</t>
        </is>
      </c>
      <c r="E1549" t="inlineStr">
        <is>
          <t>LUDVIKA</t>
        </is>
      </c>
      <c r="F1549" t="inlineStr">
        <is>
          <t>Övriga Aktiebolag</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56171-2021</t>
        </is>
      </c>
      <c r="B1550" s="1" t="n">
        <v>44477.68685185185</v>
      </c>
      <c r="C1550" s="1" t="n">
        <v>46114</v>
      </c>
      <c r="D1550" t="inlineStr">
        <is>
          <t>DALARNAS LÄN</t>
        </is>
      </c>
      <c r="E1550" t="inlineStr">
        <is>
          <t>AVESTA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52660-2022</t>
        </is>
      </c>
      <c r="B1551" s="1" t="n">
        <v>44874.80803240741</v>
      </c>
      <c r="C1551" s="1" t="n">
        <v>46114</v>
      </c>
      <c r="D1551" t="inlineStr">
        <is>
          <t>DALARNAS LÄN</t>
        </is>
      </c>
      <c r="E1551" t="inlineStr">
        <is>
          <t>RÄTTVIK</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45755-2021</t>
        </is>
      </c>
      <c r="B1552" s="1" t="n">
        <v>44441</v>
      </c>
      <c r="C1552" s="1" t="n">
        <v>46114</v>
      </c>
      <c r="D1552" t="inlineStr">
        <is>
          <t>DALARNAS LÄN</t>
        </is>
      </c>
      <c r="E1552" t="inlineStr">
        <is>
          <t>BORLÄNGE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44126-2021</t>
        </is>
      </c>
      <c r="B1553" s="1" t="n">
        <v>44434.62304398148</v>
      </c>
      <c r="C1553" s="1" t="n">
        <v>46114</v>
      </c>
      <c r="D1553" t="inlineStr">
        <is>
          <t>DALARNAS LÄN</t>
        </is>
      </c>
      <c r="E1553" t="inlineStr">
        <is>
          <t>SMEDJEBACKEN</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36824-2021</t>
        </is>
      </c>
      <c r="B1554" s="1" t="n">
        <v>44393</v>
      </c>
      <c r="C1554" s="1" t="n">
        <v>46114</v>
      </c>
      <c r="D1554" t="inlineStr">
        <is>
          <t>DALARNAS LÄN</t>
        </is>
      </c>
      <c r="E1554" t="inlineStr">
        <is>
          <t>ÄLVDALEN</t>
        </is>
      </c>
      <c r="F1554" t="inlineStr">
        <is>
          <t>Sveaskog</t>
        </is>
      </c>
      <c r="G1554" t="n">
        <v>8.300000000000001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41121-2021</t>
        </is>
      </c>
      <c r="B1555" s="1" t="n">
        <v>44423.65152777778</v>
      </c>
      <c r="C1555" s="1" t="n">
        <v>46114</v>
      </c>
      <c r="D1555" t="inlineStr">
        <is>
          <t>DALARNAS LÄN</t>
        </is>
      </c>
      <c r="E1555" t="inlineStr">
        <is>
          <t>MORA</t>
        </is>
      </c>
      <c r="F1555" t="inlineStr">
        <is>
          <t>Bergvik skog öst AB</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51844-2021</t>
        </is>
      </c>
      <c r="B1556" s="1" t="n">
        <v>44462.68480324074</v>
      </c>
      <c r="C1556" s="1" t="n">
        <v>46114</v>
      </c>
      <c r="D1556" t="inlineStr">
        <is>
          <t>DALARNAS LÄN</t>
        </is>
      </c>
      <c r="E1556" t="inlineStr">
        <is>
          <t>ÄLVDALEN</t>
        </is>
      </c>
      <c r="F1556" t="inlineStr">
        <is>
          <t>Bergvik skog väst AB</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59495-2021</t>
        </is>
      </c>
      <c r="B1557" s="1" t="n">
        <v>44491.53346064815</v>
      </c>
      <c r="C1557" s="1" t="n">
        <v>46114</v>
      </c>
      <c r="D1557" t="inlineStr">
        <is>
          <t>DALARNAS LÄN</t>
        </is>
      </c>
      <c r="E1557" t="inlineStr">
        <is>
          <t>HEDEMORA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8145-2022</t>
        </is>
      </c>
      <c r="B1558" s="1" t="n">
        <v>44609.62314814814</v>
      </c>
      <c r="C1558" s="1" t="n">
        <v>46114</v>
      </c>
      <c r="D1558" t="inlineStr">
        <is>
          <t>DALARNAS LÄN</t>
        </is>
      </c>
      <c r="E1558" t="inlineStr">
        <is>
          <t>MORA</t>
        </is>
      </c>
      <c r="G1558" t="n">
        <v>7.3</v>
      </c>
      <c r="H1558" t="n">
        <v>0</v>
      </c>
      <c r="I1558" t="n">
        <v>0</v>
      </c>
      <c r="J1558" t="n">
        <v>0</v>
      </c>
      <c r="K1558" t="n">
        <v>0</v>
      </c>
      <c r="L1558" t="n">
        <v>0</v>
      </c>
      <c r="M1558" t="n">
        <v>0</v>
      </c>
      <c r="N1558" t="n">
        <v>0</v>
      </c>
      <c r="O1558" t="n">
        <v>0</v>
      </c>
      <c r="P1558" t="n">
        <v>0</v>
      </c>
      <c r="Q1558" t="n">
        <v>0</v>
      </c>
      <c r="R1558" s="2" t="inlineStr"/>
    </row>
    <row r="1559" ht="15" customHeight="1">
      <c r="A1559" t="inlineStr">
        <is>
          <t>A 15250-2022</t>
        </is>
      </c>
      <c r="B1559" s="1" t="n">
        <v>44658</v>
      </c>
      <c r="C1559" s="1" t="n">
        <v>46114</v>
      </c>
      <c r="D1559" t="inlineStr">
        <is>
          <t>DALARNAS LÄN</t>
        </is>
      </c>
      <c r="E1559" t="inlineStr">
        <is>
          <t>FALUN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48382-2021</t>
        </is>
      </c>
      <c r="B1560" s="1" t="n">
        <v>44451.90091435185</v>
      </c>
      <c r="C1560" s="1" t="n">
        <v>46114</v>
      </c>
      <c r="D1560" t="inlineStr">
        <is>
          <t>DALARNAS LÄN</t>
        </is>
      </c>
      <c r="E1560" t="inlineStr">
        <is>
          <t>RÄTTVIK</t>
        </is>
      </c>
      <c r="F1560" t="inlineStr">
        <is>
          <t>Sveaskog</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41028-2021</t>
        </is>
      </c>
      <c r="B1561" s="1" t="n">
        <v>44421</v>
      </c>
      <c r="C1561" s="1" t="n">
        <v>46114</v>
      </c>
      <c r="D1561" t="inlineStr">
        <is>
          <t>DALARNAS LÄN</t>
        </is>
      </c>
      <c r="E1561" t="inlineStr">
        <is>
          <t>MORA</t>
        </is>
      </c>
      <c r="G1561" t="n">
        <v>7.2</v>
      </c>
      <c r="H1561" t="n">
        <v>0</v>
      </c>
      <c r="I1561" t="n">
        <v>0</v>
      </c>
      <c r="J1561" t="n">
        <v>0</v>
      </c>
      <c r="K1561" t="n">
        <v>0</v>
      </c>
      <c r="L1561" t="n">
        <v>0</v>
      </c>
      <c r="M1561" t="n">
        <v>0</v>
      </c>
      <c r="N1561" t="n">
        <v>0</v>
      </c>
      <c r="O1561" t="n">
        <v>0</v>
      </c>
      <c r="P1561" t="n">
        <v>0</v>
      </c>
      <c r="Q1561" t="n">
        <v>0</v>
      </c>
      <c r="R1561" s="2" t="inlineStr"/>
    </row>
    <row r="1562" ht="15" customHeight="1">
      <c r="A1562" t="inlineStr">
        <is>
          <t>A 30574-2021</t>
        </is>
      </c>
      <c r="B1562" s="1" t="n">
        <v>44364.83538194445</v>
      </c>
      <c r="C1562" s="1" t="n">
        <v>46114</v>
      </c>
      <c r="D1562" t="inlineStr">
        <is>
          <t>DALARNAS LÄN</t>
        </is>
      </c>
      <c r="E1562" t="inlineStr">
        <is>
          <t>HEDEMORA</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53293-2022</t>
        </is>
      </c>
      <c r="B1563" s="1" t="n">
        <v>44877</v>
      </c>
      <c r="C1563" s="1" t="n">
        <v>46114</v>
      </c>
      <c r="D1563" t="inlineStr">
        <is>
          <t>DALARNAS LÄN</t>
        </is>
      </c>
      <c r="E1563" t="inlineStr">
        <is>
          <t>LEKSAND</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41337-2022</t>
        </is>
      </c>
      <c r="B1564" s="1" t="n">
        <v>44826</v>
      </c>
      <c r="C1564" s="1" t="n">
        <v>46114</v>
      </c>
      <c r="D1564" t="inlineStr">
        <is>
          <t>DALARNAS LÄN</t>
        </is>
      </c>
      <c r="E1564" t="inlineStr">
        <is>
          <t>SMEDJEBACKEN</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22855-2021</t>
        </is>
      </c>
      <c r="B1565" s="1" t="n">
        <v>44328.42916666667</v>
      </c>
      <c r="C1565" s="1" t="n">
        <v>46114</v>
      </c>
      <c r="D1565" t="inlineStr">
        <is>
          <t>DALARNAS LÄN</t>
        </is>
      </c>
      <c r="E1565" t="inlineStr">
        <is>
          <t>MALUNG-SÄLEN</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61969-2021</t>
        </is>
      </c>
      <c r="B1566" s="1" t="n">
        <v>44501</v>
      </c>
      <c r="C1566" s="1" t="n">
        <v>46114</v>
      </c>
      <c r="D1566" t="inlineStr">
        <is>
          <t>DALARNAS LÄN</t>
        </is>
      </c>
      <c r="E1566" t="inlineStr">
        <is>
          <t>MALUNG-SÄLEN</t>
        </is>
      </c>
      <c r="F1566" t="inlineStr">
        <is>
          <t>Allmännings- och besparingsskogar</t>
        </is>
      </c>
      <c r="G1566" t="n">
        <v>16.5</v>
      </c>
      <c r="H1566" t="n">
        <v>0</v>
      </c>
      <c r="I1566" t="n">
        <v>0</v>
      </c>
      <c r="J1566" t="n">
        <v>0</v>
      </c>
      <c r="K1566" t="n">
        <v>0</v>
      </c>
      <c r="L1566" t="n">
        <v>0</v>
      </c>
      <c r="M1566" t="n">
        <v>0</v>
      </c>
      <c r="N1566" t="n">
        <v>0</v>
      </c>
      <c r="O1566" t="n">
        <v>0</v>
      </c>
      <c r="P1566" t="n">
        <v>0</v>
      </c>
      <c r="Q1566" t="n">
        <v>0</v>
      </c>
      <c r="R1566" s="2" t="inlineStr"/>
    </row>
    <row r="1567" ht="15" customHeight="1">
      <c r="A1567" t="inlineStr">
        <is>
          <t>A 45382-2021</t>
        </is>
      </c>
      <c r="B1567" s="1" t="n">
        <v>44440</v>
      </c>
      <c r="C1567" s="1" t="n">
        <v>46114</v>
      </c>
      <c r="D1567" t="inlineStr">
        <is>
          <t>DALARNAS LÄN</t>
        </is>
      </c>
      <c r="E1567" t="inlineStr">
        <is>
          <t>SMEDJEBACKEN</t>
        </is>
      </c>
      <c r="F1567" t="inlineStr">
        <is>
          <t>Kyrkan</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18715-2021</t>
        </is>
      </c>
      <c r="B1568" s="1" t="n">
        <v>44307.38413194445</v>
      </c>
      <c r="C1568" s="1" t="n">
        <v>46114</v>
      </c>
      <c r="D1568" t="inlineStr">
        <is>
          <t>DALARNAS LÄN</t>
        </is>
      </c>
      <c r="E1568" t="inlineStr">
        <is>
          <t>BORLÄNGE</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18743-2021</t>
        </is>
      </c>
      <c r="B1569" s="1" t="n">
        <v>44307</v>
      </c>
      <c r="C1569" s="1" t="n">
        <v>46114</v>
      </c>
      <c r="D1569" t="inlineStr">
        <is>
          <t>DALARNAS LÄN</t>
        </is>
      </c>
      <c r="E1569" t="inlineStr">
        <is>
          <t>RÄTTVIK</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8474-2022</t>
        </is>
      </c>
      <c r="B1570" s="1" t="n">
        <v>44613</v>
      </c>
      <c r="C1570" s="1" t="n">
        <v>46114</v>
      </c>
      <c r="D1570" t="inlineStr">
        <is>
          <t>DALARNAS LÄN</t>
        </is>
      </c>
      <c r="E1570" t="inlineStr">
        <is>
          <t>MALUNG-SÄLEN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48558-2021</t>
        </is>
      </c>
      <c r="B1571" s="1" t="n">
        <v>44452</v>
      </c>
      <c r="C1571" s="1" t="n">
        <v>46114</v>
      </c>
      <c r="D1571" t="inlineStr">
        <is>
          <t>DALARNAS LÄN</t>
        </is>
      </c>
      <c r="E1571" t="inlineStr">
        <is>
          <t>ÄLVDALEN</t>
        </is>
      </c>
      <c r="F1571" t="inlineStr">
        <is>
          <t>Sveaskog</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1042-2022</t>
        </is>
      </c>
      <c r="B1572" s="1" t="n">
        <v>44571.6652662037</v>
      </c>
      <c r="C1572" s="1" t="n">
        <v>46114</v>
      </c>
      <c r="D1572" t="inlineStr">
        <is>
          <t>DALARNAS LÄN</t>
        </is>
      </c>
      <c r="E1572" t="inlineStr">
        <is>
          <t>RÄTTVIK</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27656-2021</t>
        </is>
      </c>
      <c r="B1573" s="1" t="n">
        <v>44354.39466435185</v>
      </c>
      <c r="C1573" s="1" t="n">
        <v>46114</v>
      </c>
      <c r="D1573" t="inlineStr">
        <is>
          <t>DALARNAS LÄN</t>
        </is>
      </c>
      <c r="E1573" t="inlineStr">
        <is>
          <t>MALUNG-SÄLEN</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23233-2021</t>
        </is>
      </c>
      <c r="B1574" s="1" t="n">
        <v>44333</v>
      </c>
      <c r="C1574" s="1" t="n">
        <v>46114</v>
      </c>
      <c r="D1574" t="inlineStr">
        <is>
          <t>DALARNAS LÄN</t>
        </is>
      </c>
      <c r="E1574" t="inlineStr">
        <is>
          <t>SMEDJEBACKEN</t>
        </is>
      </c>
      <c r="F1574" t="inlineStr">
        <is>
          <t>Sveaskog</t>
        </is>
      </c>
      <c r="G1574" t="n">
        <v>5</v>
      </c>
      <c r="H1574" t="n">
        <v>0</v>
      </c>
      <c r="I1574" t="n">
        <v>0</v>
      </c>
      <c r="J1574" t="n">
        <v>0</v>
      </c>
      <c r="K1574" t="n">
        <v>0</v>
      </c>
      <c r="L1574" t="n">
        <v>0</v>
      </c>
      <c r="M1574" t="n">
        <v>0</v>
      </c>
      <c r="N1574" t="n">
        <v>0</v>
      </c>
      <c r="O1574" t="n">
        <v>0</v>
      </c>
      <c r="P1574" t="n">
        <v>0</v>
      </c>
      <c r="Q1574" t="n">
        <v>0</v>
      </c>
      <c r="R1574" s="2" t="inlineStr"/>
    </row>
    <row r="1575" ht="15" customHeight="1">
      <c r="A1575" t="inlineStr">
        <is>
          <t>A 53745-2021</t>
        </is>
      </c>
      <c r="B1575" s="1" t="n">
        <v>44469</v>
      </c>
      <c r="C1575" s="1" t="n">
        <v>46114</v>
      </c>
      <c r="D1575" t="inlineStr">
        <is>
          <t>DALARNAS LÄN</t>
        </is>
      </c>
      <c r="E1575" t="inlineStr">
        <is>
          <t>ORSA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50708-2021</t>
        </is>
      </c>
      <c r="B1576" s="1" t="n">
        <v>44459</v>
      </c>
      <c r="C1576" s="1" t="n">
        <v>46114</v>
      </c>
      <c r="D1576" t="inlineStr">
        <is>
          <t>DALARNAS LÄN</t>
        </is>
      </c>
      <c r="E1576" t="inlineStr">
        <is>
          <t>ÄLVDALEN</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59759-2021</t>
        </is>
      </c>
      <c r="B1577" s="1" t="n">
        <v>44494</v>
      </c>
      <c r="C1577" s="1" t="n">
        <v>46114</v>
      </c>
      <c r="D1577" t="inlineStr">
        <is>
          <t>DALARNAS LÄN</t>
        </is>
      </c>
      <c r="E1577" t="inlineStr">
        <is>
          <t>BORLÄNGE</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64262-2021</t>
        </is>
      </c>
      <c r="B1578" s="1" t="n">
        <v>44510</v>
      </c>
      <c r="C1578" s="1" t="n">
        <v>46114</v>
      </c>
      <c r="D1578" t="inlineStr">
        <is>
          <t>DALARNAS LÄN</t>
        </is>
      </c>
      <c r="E1578" t="inlineStr">
        <is>
          <t>BORLÄNGE</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49977-2021</t>
        </is>
      </c>
      <c r="B1579" s="1" t="n">
        <v>44456</v>
      </c>
      <c r="C1579" s="1" t="n">
        <v>46114</v>
      </c>
      <c r="D1579" t="inlineStr">
        <is>
          <t>DALARNAS LÄN</t>
        </is>
      </c>
      <c r="E1579" t="inlineStr">
        <is>
          <t>LUDVIKA</t>
        </is>
      </c>
      <c r="F1579" t="inlineStr">
        <is>
          <t>Bergvik skog väst AB</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53443-2021</t>
        </is>
      </c>
      <c r="B1580" s="1" t="n">
        <v>44468</v>
      </c>
      <c r="C1580" s="1" t="n">
        <v>46114</v>
      </c>
      <c r="D1580" t="inlineStr">
        <is>
          <t>DALARNAS LÄN</t>
        </is>
      </c>
      <c r="E1580" t="inlineStr">
        <is>
          <t>HEDEMORA</t>
        </is>
      </c>
      <c r="F1580" t="inlineStr">
        <is>
          <t>Övriga Aktiebolag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59764-2021</t>
        </is>
      </c>
      <c r="B1581" s="1" t="n">
        <v>44494</v>
      </c>
      <c r="C1581" s="1" t="n">
        <v>46114</v>
      </c>
      <c r="D1581" t="inlineStr">
        <is>
          <t>DALARNAS LÄN</t>
        </is>
      </c>
      <c r="E1581" t="inlineStr">
        <is>
          <t>BORLÄNGE</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65388-2021</t>
        </is>
      </c>
      <c r="B1582" s="1" t="n">
        <v>44515.72233796296</v>
      </c>
      <c r="C1582" s="1" t="n">
        <v>46114</v>
      </c>
      <c r="D1582" t="inlineStr">
        <is>
          <t>DALARNAS LÄN</t>
        </is>
      </c>
      <c r="E1582" t="inlineStr">
        <is>
          <t>SÄTER</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25285-2021</t>
        </is>
      </c>
      <c r="B1583" s="1" t="n">
        <v>44342</v>
      </c>
      <c r="C1583" s="1" t="n">
        <v>46114</v>
      </c>
      <c r="D1583" t="inlineStr">
        <is>
          <t>DALARNAS LÄN</t>
        </is>
      </c>
      <c r="E1583" t="inlineStr">
        <is>
          <t>MALUNG-SÄLEN</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25296-2021</t>
        </is>
      </c>
      <c r="B1584" s="1" t="n">
        <v>44342.48758101852</v>
      </c>
      <c r="C1584" s="1" t="n">
        <v>46114</v>
      </c>
      <c r="D1584" t="inlineStr">
        <is>
          <t>DALARNAS LÄN</t>
        </is>
      </c>
      <c r="E1584" t="inlineStr">
        <is>
          <t>BORLÄNGE</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52633-2021</t>
        </is>
      </c>
      <c r="B1585" s="1" t="n">
        <v>44466</v>
      </c>
      <c r="C1585" s="1" t="n">
        <v>46114</v>
      </c>
      <c r="D1585" t="inlineStr">
        <is>
          <t>DALARNAS LÄN</t>
        </is>
      </c>
      <c r="E1585" t="inlineStr">
        <is>
          <t>FALUN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61277-2021</t>
        </is>
      </c>
      <c r="B1586" s="1" t="n">
        <v>44498.59743055556</v>
      </c>
      <c r="C1586" s="1" t="n">
        <v>46114</v>
      </c>
      <c r="D1586" t="inlineStr">
        <is>
          <t>DALARNAS LÄN</t>
        </is>
      </c>
      <c r="E1586" t="inlineStr">
        <is>
          <t>BORLÄNGE</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52511-2021</t>
        </is>
      </c>
      <c r="B1587" s="1" t="n">
        <v>44466.44400462963</v>
      </c>
      <c r="C1587" s="1" t="n">
        <v>46114</v>
      </c>
      <c r="D1587" t="inlineStr">
        <is>
          <t>DALARNAS LÄN</t>
        </is>
      </c>
      <c r="E1587" t="inlineStr">
        <is>
          <t>HEDEMORA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52619-2021</t>
        </is>
      </c>
      <c r="B1588" s="1" t="n">
        <v>44466</v>
      </c>
      <c r="C1588" s="1" t="n">
        <v>46114</v>
      </c>
      <c r="D1588" t="inlineStr">
        <is>
          <t>DALARNAS LÄN</t>
        </is>
      </c>
      <c r="E1588" t="inlineStr">
        <is>
          <t>FALUN</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52542-2021</t>
        </is>
      </c>
      <c r="B1589" s="1" t="n">
        <v>44466</v>
      </c>
      <c r="C1589" s="1" t="n">
        <v>46114</v>
      </c>
      <c r="D1589" t="inlineStr">
        <is>
          <t>DALARNAS LÄN</t>
        </is>
      </c>
      <c r="E1589" t="inlineStr">
        <is>
          <t>ORSA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71744-2021</t>
        </is>
      </c>
      <c r="B1590" s="1" t="n">
        <v>44543</v>
      </c>
      <c r="C1590" s="1" t="n">
        <v>46114</v>
      </c>
      <c r="D1590" t="inlineStr">
        <is>
          <t>DALARNAS LÄN</t>
        </is>
      </c>
      <c r="E1590" t="inlineStr">
        <is>
          <t>ORSA</t>
        </is>
      </c>
      <c r="F1590" t="inlineStr">
        <is>
          <t>Kyrkan</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13051-2022</t>
        </is>
      </c>
      <c r="B1591" s="1" t="n">
        <v>44643</v>
      </c>
      <c r="C1591" s="1" t="n">
        <v>46114</v>
      </c>
      <c r="D1591" t="inlineStr">
        <is>
          <t>DALARNAS LÄN</t>
        </is>
      </c>
      <c r="E1591" t="inlineStr">
        <is>
          <t>LUDVIKA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64615-2021</t>
        </is>
      </c>
      <c r="B1592" s="1" t="n">
        <v>44511.78369212963</v>
      </c>
      <c r="C1592" s="1" t="n">
        <v>46114</v>
      </c>
      <c r="D1592" t="inlineStr">
        <is>
          <t>DALARNAS LÄN</t>
        </is>
      </c>
      <c r="E1592" t="inlineStr">
        <is>
          <t>SÄTER</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43137-2021</t>
        </is>
      </c>
      <c r="B1593" s="1" t="n">
        <v>44431</v>
      </c>
      <c r="C1593" s="1" t="n">
        <v>46114</v>
      </c>
      <c r="D1593" t="inlineStr">
        <is>
          <t>DALARNAS LÄN</t>
        </is>
      </c>
      <c r="E1593" t="inlineStr">
        <is>
          <t>SMEDJEBACKEN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26086-2021</t>
        </is>
      </c>
      <c r="B1594" s="1" t="n">
        <v>44344.89709490741</v>
      </c>
      <c r="C1594" s="1" t="n">
        <v>46114</v>
      </c>
      <c r="D1594" t="inlineStr">
        <is>
          <t>DALARNAS LÄN</t>
        </is>
      </c>
      <c r="E1594" t="inlineStr">
        <is>
          <t>AVESTA</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34091-2021</t>
        </is>
      </c>
      <c r="B1595" s="1" t="n">
        <v>44379</v>
      </c>
      <c r="C1595" s="1" t="n">
        <v>46114</v>
      </c>
      <c r="D1595" t="inlineStr">
        <is>
          <t>DALARNAS LÄN</t>
        </is>
      </c>
      <c r="E1595" t="inlineStr">
        <is>
          <t>MALUNG-SÄLEN</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26686-2021</t>
        </is>
      </c>
      <c r="B1596" s="1" t="n">
        <v>44349</v>
      </c>
      <c r="C1596" s="1" t="n">
        <v>46114</v>
      </c>
      <c r="D1596" t="inlineStr">
        <is>
          <t>DALARNAS LÄN</t>
        </is>
      </c>
      <c r="E1596" t="inlineStr">
        <is>
          <t>RÄTTVIK</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26713-2021</t>
        </is>
      </c>
      <c r="B1597" s="1" t="n">
        <v>44349</v>
      </c>
      <c r="C1597" s="1" t="n">
        <v>46114</v>
      </c>
      <c r="D1597" t="inlineStr">
        <is>
          <t>DALARNAS LÄN</t>
        </is>
      </c>
      <c r="E1597" t="inlineStr">
        <is>
          <t>FALUN</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28799-2021</t>
        </is>
      </c>
      <c r="B1598" s="1" t="n">
        <v>44357.59518518519</v>
      </c>
      <c r="C1598" s="1" t="n">
        <v>46114</v>
      </c>
      <c r="D1598" t="inlineStr">
        <is>
          <t>DALARNAS LÄN</t>
        </is>
      </c>
      <c r="E1598" t="inlineStr">
        <is>
          <t>GAGNEF</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66006-2021</t>
        </is>
      </c>
      <c r="B1599" s="1" t="n">
        <v>44517.57755787037</v>
      </c>
      <c r="C1599" s="1" t="n">
        <v>46114</v>
      </c>
      <c r="D1599" t="inlineStr">
        <is>
          <t>DALARNAS LÄN</t>
        </is>
      </c>
      <c r="E1599" t="inlineStr">
        <is>
          <t>FALUN</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53544-2021</t>
        </is>
      </c>
      <c r="B1600" s="1" t="n">
        <v>44469.23025462963</v>
      </c>
      <c r="C1600" s="1" t="n">
        <v>46114</v>
      </c>
      <c r="D1600" t="inlineStr">
        <is>
          <t>DALARNAS LÄN</t>
        </is>
      </c>
      <c r="E1600" t="inlineStr">
        <is>
          <t>RÄTTVIK</t>
        </is>
      </c>
      <c r="F1600" t="inlineStr">
        <is>
          <t>Sveaskog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63691-2021</t>
        </is>
      </c>
      <c r="B1601" s="1" t="n">
        <v>44509.39956018519</v>
      </c>
      <c r="C1601" s="1" t="n">
        <v>46114</v>
      </c>
      <c r="D1601" t="inlineStr">
        <is>
          <t>DALARNAS LÄN</t>
        </is>
      </c>
      <c r="E1601" t="inlineStr">
        <is>
          <t>SMEDJEBACKEN</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70780-2021</t>
        </is>
      </c>
      <c r="B1602" s="1" t="n">
        <v>44537.69876157407</v>
      </c>
      <c r="C1602" s="1" t="n">
        <v>46114</v>
      </c>
      <c r="D1602" t="inlineStr">
        <is>
          <t>DALARNAS LÄN</t>
        </is>
      </c>
      <c r="E1602" t="inlineStr">
        <is>
          <t>SMEDJEBACKEN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71311-2021</t>
        </is>
      </c>
      <c r="B1603" s="1" t="n">
        <v>44539</v>
      </c>
      <c r="C1603" s="1" t="n">
        <v>46114</v>
      </c>
      <c r="D1603" t="inlineStr">
        <is>
          <t>DALARNAS LÄN</t>
        </is>
      </c>
      <c r="E1603" t="inlineStr">
        <is>
          <t>LEKSAND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73804-2021</t>
        </is>
      </c>
      <c r="B1604" s="1" t="n">
        <v>44552.71319444444</v>
      </c>
      <c r="C1604" s="1" t="n">
        <v>46114</v>
      </c>
      <c r="D1604" t="inlineStr">
        <is>
          <t>DALARNAS LÄN</t>
        </is>
      </c>
      <c r="E1604" t="inlineStr">
        <is>
          <t>FALUN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19933-2022</t>
        </is>
      </c>
      <c r="B1605" s="1" t="n">
        <v>44697</v>
      </c>
      <c r="C1605" s="1" t="n">
        <v>46114</v>
      </c>
      <c r="D1605" t="inlineStr">
        <is>
          <t>DALARNAS LÄN</t>
        </is>
      </c>
      <c r="E1605" t="inlineStr">
        <is>
          <t>ÄLVDALEN</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19939-2022</t>
        </is>
      </c>
      <c r="B1606" s="1" t="n">
        <v>44697</v>
      </c>
      <c r="C1606" s="1" t="n">
        <v>46114</v>
      </c>
      <c r="D1606" t="inlineStr">
        <is>
          <t>DALARNAS LÄN</t>
        </is>
      </c>
      <c r="E1606" t="inlineStr">
        <is>
          <t>ÄLVDALEN</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32863-2021</t>
        </is>
      </c>
      <c r="B1607" s="1" t="n">
        <v>44375</v>
      </c>
      <c r="C1607" s="1" t="n">
        <v>46114</v>
      </c>
      <c r="D1607" t="inlineStr">
        <is>
          <t>DALARNAS LÄN</t>
        </is>
      </c>
      <c r="E1607" t="inlineStr">
        <is>
          <t>MALUNG-SÄLEN</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33690-2021</t>
        </is>
      </c>
      <c r="B1608" s="1" t="n">
        <v>44378</v>
      </c>
      <c r="C1608" s="1" t="n">
        <v>46114</v>
      </c>
      <c r="D1608" t="inlineStr">
        <is>
          <t>DALARNAS LÄN</t>
        </is>
      </c>
      <c r="E1608" t="inlineStr">
        <is>
          <t>ÄLVDALEN</t>
        </is>
      </c>
      <c r="F1608" t="inlineStr">
        <is>
          <t>Bergvik skog väst AB</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55969-2021</t>
        </is>
      </c>
      <c r="B1609" s="1" t="n">
        <v>44477</v>
      </c>
      <c r="C1609" s="1" t="n">
        <v>46114</v>
      </c>
      <c r="D1609" t="inlineStr">
        <is>
          <t>DALARNAS LÄN</t>
        </is>
      </c>
      <c r="E1609" t="inlineStr">
        <is>
          <t>RÄTTVIK</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56047-2021</t>
        </is>
      </c>
      <c r="B1610" s="1" t="n">
        <v>44477.48498842592</v>
      </c>
      <c r="C1610" s="1" t="n">
        <v>46114</v>
      </c>
      <c r="D1610" t="inlineStr">
        <is>
          <t>DALARNAS LÄN</t>
        </is>
      </c>
      <c r="E1610" t="inlineStr">
        <is>
          <t>ÄLVDALEN</t>
        </is>
      </c>
      <c r="F1610" t="inlineStr">
        <is>
          <t>Sveaskog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28864-2021</t>
        </is>
      </c>
      <c r="B1611" s="1" t="n">
        <v>44357.70540509259</v>
      </c>
      <c r="C1611" s="1" t="n">
        <v>46114</v>
      </c>
      <c r="D1611" t="inlineStr">
        <is>
          <t>DALARNAS LÄN</t>
        </is>
      </c>
      <c r="E1611" t="inlineStr">
        <is>
          <t>FALUN</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19216-2022</t>
        </is>
      </c>
      <c r="B1612" s="1" t="n">
        <v>44692</v>
      </c>
      <c r="C1612" s="1" t="n">
        <v>46114</v>
      </c>
      <c r="D1612" t="inlineStr">
        <is>
          <t>DALARNAS LÄN</t>
        </is>
      </c>
      <c r="E1612" t="inlineStr">
        <is>
          <t>RÄTTVIK</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14-2022</t>
        </is>
      </c>
      <c r="B1613" s="1" t="n">
        <v>44563</v>
      </c>
      <c r="C1613" s="1" t="n">
        <v>46114</v>
      </c>
      <c r="D1613" t="inlineStr">
        <is>
          <t>DALARNAS LÄN</t>
        </is>
      </c>
      <c r="E1613" t="inlineStr">
        <is>
          <t>SMEDJEBACKEN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16-2022</t>
        </is>
      </c>
      <c r="B1614" s="1" t="n">
        <v>44563</v>
      </c>
      <c r="C1614" s="1" t="n">
        <v>46114</v>
      </c>
      <c r="D1614" t="inlineStr">
        <is>
          <t>DALARNAS LÄN</t>
        </is>
      </c>
      <c r="E1614" t="inlineStr">
        <is>
          <t>SMEDJEBACKEN</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160-2022</t>
        </is>
      </c>
      <c r="B1615" s="1" t="n">
        <v>44564</v>
      </c>
      <c r="C1615" s="1" t="n">
        <v>46114</v>
      </c>
      <c r="D1615" t="inlineStr">
        <is>
          <t>DALARNAS LÄN</t>
        </is>
      </c>
      <c r="E1615" t="inlineStr">
        <is>
          <t>ORSA</t>
        </is>
      </c>
      <c r="F1615" t="inlineStr">
        <is>
          <t>Kommuner</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34235-2022</t>
        </is>
      </c>
      <c r="B1616" s="1" t="n">
        <v>44791.8230787037</v>
      </c>
      <c r="C1616" s="1" t="n">
        <v>46114</v>
      </c>
      <c r="D1616" t="inlineStr">
        <is>
          <t>DALARNAS LÄN</t>
        </is>
      </c>
      <c r="E1616" t="inlineStr">
        <is>
          <t>SMEDJEBACKEN</t>
        </is>
      </c>
      <c r="F1616" t="inlineStr">
        <is>
          <t>Bergvik skog väst AB</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33754-2021</t>
        </is>
      </c>
      <c r="B1617" s="1" t="n">
        <v>44378</v>
      </c>
      <c r="C1617" s="1" t="n">
        <v>46114</v>
      </c>
      <c r="D1617" t="inlineStr">
        <is>
          <t>DALARNAS LÄN</t>
        </is>
      </c>
      <c r="E1617" t="inlineStr">
        <is>
          <t>GAGNEF</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71859-2021</t>
        </is>
      </c>
      <c r="B1618" s="1" t="n">
        <v>44540</v>
      </c>
      <c r="C1618" s="1" t="n">
        <v>46114</v>
      </c>
      <c r="D1618" t="inlineStr">
        <is>
          <t>DALARNAS LÄN</t>
        </is>
      </c>
      <c r="E1618" t="inlineStr">
        <is>
          <t>MALUNG-SÄLEN</t>
        </is>
      </c>
      <c r="F1618" t="inlineStr">
        <is>
          <t>Allmännings- och besparingsskogar</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40374-2021</t>
        </is>
      </c>
      <c r="B1619" s="1" t="n">
        <v>44419</v>
      </c>
      <c r="C1619" s="1" t="n">
        <v>46114</v>
      </c>
      <c r="D1619" t="inlineStr">
        <is>
          <t>DALARNAS LÄN</t>
        </is>
      </c>
      <c r="E1619" t="inlineStr">
        <is>
          <t>FALUN</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39489-2021</t>
        </is>
      </c>
      <c r="B1620" s="1" t="n">
        <v>44414.71174768519</v>
      </c>
      <c r="C1620" s="1" t="n">
        <v>46114</v>
      </c>
      <c r="D1620" t="inlineStr">
        <is>
          <t>DALARNAS LÄN</t>
        </is>
      </c>
      <c r="E1620" t="inlineStr">
        <is>
          <t>RÄTTVIK</t>
        </is>
      </c>
      <c r="F1620" t="inlineStr">
        <is>
          <t>Sveaskog</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13557-2022</t>
        </is>
      </c>
      <c r="B1621" s="1" t="n">
        <v>44648</v>
      </c>
      <c r="C1621" s="1" t="n">
        <v>46114</v>
      </c>
      <c r="D1621" t="inlineStr">
        <is>
          <t>DALARNAS LÄN</t>
        </is>
      </c>
      <c r="E1621" t="inlineStr">
        <is>
          <t>FALUN</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13561-2022</t>
        </is>
      </c>
      <c r="B1622" s="1" t="n">
        <v>44648</v>
      </c>
      <c r="C1622" s="1" t="n">
        <v>46114</v>
      </c>
      <c r="D1622" t="inlineStr">
        <is>
          <t>DALARNAS LÄN</t>
        </is>
      </c>
      <c r="E1622" t="inlineStr">
        <is>
          <t>FALUN</t>
        </is>
      </c>
      <c r="G1622" t="n">
        <v>0.3</v>
      </c>
      <c r="H1622" t="n">
        <v>0</v>
      </c>
      <c r="I1622" t="n">
        <v>0</v>
      </c>
      <c r="J1622" t="n">
        <v>0</v>
      </c>
      <c r="K1622" t="n">
        <v>0</v>
      </c>
      <c r="L1622" t="n">
        <v>0</v>
      </c>
      <c r="M1622" t="n">
        <v>0</v>
      </c>
      <c r="N1622" t="n">
        <v>0</v>
      </c>
      <c r="O1622" t="n">
        <v>0</v>
      </c>
      <c r="P1622" t="n">
        <v>0</v>
      </c>
      <c r="Q1622" t="n">
        <v>0</v>
      </c>
      <c r="R1622" s="2" t="inlineStr"/>
    </row>
    <row r="1623" ht="15" customHeight="1">
      <c r="A1623" t="inlineStr">
        <is>
          <t>A 13566-2022</t>
        </is>
      </c>
      <c r="B1623" s="1" t="n">
        <v>44648</v>
      </c>
      <c r="C1623" s="1" t="n">
        <v>46114</v>
      </c>
      <c r="D1623" t="inlineStr">
        <is>
          <t>DALARNAS LÄN</t>
        </is>
      </c>
      <c r="E1623" t="inlineStr">
        <is>
          <t>FALUN</t>
        </is>
      </c>
      <c r="G1623" t="n">
        <v>0.1</v>
      </c>
      <c r="H1623" t="n">
        <v>0</v>
      </c>
      <c r="I1623" t="n">
        <v>0</v>
      </c>
      <c r="J1623" t="n">
        <v>0</v>
      </c>
      <c r="K1623" t="n">
        <v>0</v>
      </c>
      <c r="L1623" t="n">
        <v>0</v>
      </c>
      <c r="M1623" t="n">
        <v>0</v>
      </c>
      <c r="N1623" t="n">
        <v>0</v>
      </c>
      <c r="O1623" t="n">
        <v>0</v>
      </c>
      <c r="P1623" t="n">
        <v>0</v>
      </c>
      <c r="Q1623" t="n">
        <v>0</v>
      </c>
      <c r="R1623" s="2" t="inlineStr"/>
    </row>
    <row r="1624" ht="15" customHeight="1">
      <c r="A1624" t="inlineStr">
        <is>
          <t>A 17116-2021</t>
        </is>
      </c>
      <c r="B1624" s="1" t="n">
        <v>44298.36966435185</v>
      </c>
      <c r="C1624" s="1" t="n">
        <v>46114</v>
      </c>
      <c r="D1624" t="inlineStr">
        <is>
          <t>DALARNAS LÄN</t>
        </is>
      </c>
      <c r="E1624" t="inlineStr">
        <is>
          <t>SMEDJEBACKEN</t>
        </is>
      </c>
      <c r="F1624" t="inlineStr">
        <is>
          <t>Sveaskog</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50418-2021</t>
        </is>
      </c>
      <c r="B1625" s="1" t="n">
        <v>44438</v>
      </c>
      <c r="C1625" s="1" t="n">
        <v>46114</v>
      </c>
      <c r="D1625" t="inlineStr">
        <is>
          <t>DALARNAS LÄN</t>
        </is>
      </c>
      <c r="E1625" t="inlineStr">
        <is>
          <t>BORLÄNGE</t>
        </is>
      </c>
      <c r="F1625" t="inlineStr">
        <is>
          <t>Bergvik skog väst AB</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50441-2021</t>
        </is>
      </c>
      <c r="B1626" s="1" t="n">
        <v>44456</v>
      </c>
      <c r="C1626" s="1" t="n">
        <v>46114</v>
      </c>
      <c r="D1626" t="inlineStr">
        <is>
          <t>DALARNAS LÄN</t>
        </is>
      </c>
      <c r="E1626" t="inlineStr">
        <is>
          <t>HEDEMORA</t>
        </is>
      </c>
      <c r="F1626" t="inlineStr">
        <is>
          <t>Bergvik skog väst AB</t>
        </is>
      </c>
      <c r="G1626" t="n">
        <v>6.4</v>
      </c>
      <c r="H1626" t="n">
        <v>0</v>
      </c>
      <c r="I1626" t="n">
        <v>0</v>
      </c>
      <c r="J1626" t="n">
        <v>0</v>
      </c>
      <c r="K1626" t="n">
        <v>0</v>
      </c>
      <c r="L1626" t="n">
        <v>0</v>
      </c>
      <c r="M1626" t="n">
        <v>0</v>
      </c>
      <c r="N1626" t="n">
        <v>0</v>
      </c>
      <c r="O1626" t="n">
        <v>0</v>
      </c>
      <c r="P1626" t="n">
        <v>0</v>
      </c>
      <c r="Q1626" t="n">
        <v>0</v>
      </c>
      <c r="R1626" s="2" t="inlineStr"/>
    </row>
    <row r="1627" ht="15" customHeight="1">
      <c r="A1627" t="inlineStr">
        <is>
          <t>A 46917-2021</t>
        </is>
      </c>
      <c r="B1627" s="1" t="n">
        <v>44446</v>
      </c>
      <c r="C1627" s="1" t="n">
        <v>46114</v>
      </c>
      <c r="D1627" t="inlineStr">
        <is>
          <t>DALARNAS LÄN</t>
        </is>
      </c>
      <c r="E1627" t="inlineStr">
        <is>
          <t>ÄLVDALEN</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26172-2022</t>
        </is>
      </c>
      <c r="B1628" s="1" t="n">
        <v>44735.3494212963</v>
      </c>
      <c r="C1628" s="1" t="n">
        <v>46114</v>
      </c>
      <c r="D1628" t="inlineStr">
        <is>
          <t>DALARNAS LÄN</t>
        </is>
      </c>
      <c r="E1628" t="inlineStr">
        <is>
          <t>SÄTER</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20804-2022</t>
        </is>
      </c>
      <c r="B1629" s="1" t="n">
        <v>44701.41467592592</v>
      </c>
      <c r="C1629" s="1" t="n">
        <v>46114</v>
      </c>
      <c r="D1629" t="inlineStr">
        <is>
          <t>DALARNAS LÄN</t>
        </is>
      </c>
      <c r="E1629" t="inlineStr">
        <is>
          <t>MALUNG-SÄLEN</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50273-2021</t>
        </is>
      </c>
      <c r="B1630" s="1" t="n">
        <v>44459.29900462963</v>
      </c>
      <c r="C1630" s="1" t="n">
        <v>46114</v>
      </c>
      <c r="D1630" t="inlineStr">
        <is>
          <t>DALARNAS LÄN</t>
        </is>
      </c>
      <c r="E1630" t="inlineStr">
        <is>
          <t>LUDVIKA</t>
        </is>
      </c>
      <c r="F1630" t="inlineStr">
        <is>
          <t>Bergvik skog väst AB</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1666-2022</t>
        </is>
      </c>
      <c r="B1631" s="1" t="n">
        <v>44574</v>
      </c>
      <c r="C1631" s="1" t="n">
        <v>46114</v>
      </c>
      <c r="D1631" t="inlineStr">
        <is>
          <t>DALARNAS LÄN</t>
        </is>
      </c>
      <c r="E1631" t="inlineStr">
        <is>
          <t>HEDEMORA</t>
        </is>
      </c>
      <c r="F1631" t="inlineStr">
        <is>
          <t>Sveaskog</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46850-2021</t>
        </is>
      </c>
      <c r="B1632" s="1" t="n">
        <v>44445</v>
      </c>
      <c r="C1632" s="1" t="n">
        <v>46114</v>
      </c>
      <c r="D1632" t="inlineStr">
        <is>
          <t>DALARNAS LÄN</t>
        </is>
      </c>
      <c r="E1632" t="inlineStr">
        <is>
          <t>MALUNG-SÄLEN</t>
        </is>
      </c>
      <c r="F1632" t="inlineStr">
        <is>
          <t>Allmännings- och besparingsskogar</t>
        </is>
      </c>
      <c r="G1632" t="n">
        <v>10.3</v>
      </c>
      <c r="H1632" t="n">
        <v>0</v>
      </c>
      <c r="I1632" t="n">
        <v>0</v>
      </c>
      <c r="J1632" t="n">
        <v>0</v>
      </c>
      <c r="K1632" t="n">
        <v>0</v>
      </c>
      <c r="L1632" t="n">
        <v>0</v>
      </c>
      <c r="M1632" t="n">
        <v>0</v>
      </c>
      <c r="N1632" t="n">
        <v>0</v>
      </c>
      <c r="O1632" t="n">
        <v>0</v>
      </c>
      <c r="P1632" t="n">
        <v>0</v>
      </c>
      <c r="Q1632" t="n">
        <v>0</v>
      </c>
      <c r="R1632" s="2" t="inlineStr"/>
    </row>
    <row r="1633" ht="15" customHeight="1">
      <c r="A1633" t="inlineStr">
        <is>
          <t>A 25297-2022</t>
        </is>
      </c>
      <c r="B1633" s="1" t="n">
        <v>44730.99023148148</v>
      </c>
      <c r="C1633" s="1" t="n">
        <v>46114</v>
      </c>
      <c r="D1633" t="inlineStr">
        <is>
          <t>DALARNAS LÄN</t>
        </is>
      </c>
      <c r="E1633" t="inlineStr">
        <is>
          <t>LUDVIKA</t>
        </is>
      </c>
      <c r="F1633" t="inlineStr">
        <is>
          <t>Bergvik skog väst AB</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43417-2021</t>
        </is>
      </c>
      <c r="B1634" s="1" t="n">
        <v>44432</v>
      </c>
      <c r="C1634" s="1" t="n">
        <v>46114</v>
      </c>
      <c r="D1634" t="inlineStr">
        <is>
          <t>DALARNAS LÄN</t>
        </is>
      </c>
      <c r="E1634" t="inlineStr">
        <is>
          <t>RÄTTVIK</t>
        </is>
      </c>
      <c r="F1634" t="inlineStr">
        <is>
          <t>Kyrkan</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54219-2021</t>
        </is>
      </c>
      <c r="B1635" s="1" t="n">
        <v>44469</v>
      </c>
      <c r="C1635" s="1" t="n">
        <v>46114</v>
      </c>
      <c r="D1635" t="inlineStr">
        <is>
          <t>DALARNAS LÄN</t>
        </is>
      </c>
      <c r="E1635" t="inlineStr">
        <is>
          <t>MALUNG-SÄLEN</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33032-2021</t>
        </is>
      </c>
      <c r="B1636" s="1" t="n">
        <v>44376.4954050926</v>
      </c>
      <c r="C1636" s="1" t="n">
        <v>46114</v>
      </c>
      <c r="D1636" t="inlineStr">
        <is>
          <t>DALARNAS LÄN</t>
        </is>
      </c>
      <c r="E1636" t="inlineStr">
        <is>
          <t>LUDVIKA</t>
        </is>
      </c>
      <c r="F1636" t="inlineStr">
        <is>
          <t>Bergvik skog väst AB</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56954-2021</t>
        </is>
      </c>
      <c r="B1637" s="1" t="n">
        <v>44482</v>
      </c>
      <c r="C1637" s="1" t="n">
        <v>46114</v>
      </c>
      <c r="D1637" t="inlineStr">
        <is>
          <t>DALARNAS LÄN</t>
        </is>
      </c>
      <c r="E1637" t="inlineStr">
        <is>
          <t>AVESTA</t>
        </is>
      </c>
      <c r="F1637" t="inlineStr">
        <is>
          <t>Sveaskog</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30249-2021</t>
        </is>
      </c>
      <c r="B1638" s="1" t="n">
        <v>44363</v>
      </c>
      <c r="C1638" s="1" t="n">
        <v>46114</v>
      </c>
      <c r="D1638" t="inlineStr">
        <is>
          <t>DALARNAS LÄN</t>
        </is>
      </c>
      <c r="E1638" t="inlineStr">
        <is>
          <t>ÄLVDALEN</t>
        </is>
      </c>
      <c r="F1638" t="inlineStr">
        <is>
          <t>Sveaskog</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30140-2021</t>
        </is>
      </c>
      <c r="B1639" s="1" t="n">
        <v>44363</v>
      </c>
      <c r="C1639" s="1" t="n">
        <v>46114</v>
      </c>
      <c r="D1639" t="inlineStr">
        <is>
          <t>DALARNAS LÄN</t>
        </is>
      </c>
      <c r="E1639" t="inlineStr">
        <is>
          <t>MALUNG-SÄLEN</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37770-2022</t>
        </is>
      </c>
      <c r="B1640" s="1" t="n">
        <v>44810</v>
      </c>
      <c r="C1640" s="1" t="n">
        <v>46114</v>
      </c>
      <c r="D1640" t="inlineStr">
        <is>
          <t>DALARNAS LÄN</t>
        </is>
      </c>
      <c r="E1640" t="inlineStr">
        <is>
          <t>MALUNG-SÄLEN</t>
        </is>
      </c>
      <c r="F1640" t="inlineStr">
        <is>
          <t>Bergvik skog öst AB</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40915-2021</t>
        </is>
      </c>
      <c r="B1641" s="1" t="n">
        <v>44421</v>
      </c>
      <c r="C1641" s="1" t="n">
        <v>46114</v>
      </c>
      <c r="D1641" t="inlineStr">
        <is>
          <t>DALARNAS LÄN</t>
        </is>
      </c>
      <c r="E1641" t="inlineStr">
        <is>
          <t>FALUN</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2277-2022</t>
        </is>
      </c>
      <c r="B1642" s="1" t="n">
        <v>44578.66320601852</v>
      </c>
      <c r="C1642" s="1" t="n">
        <v>46114</v>
      </c>
      <c r="D1642" t="inlineStr">
        <is>
          <t>DALARNAS LÄN</t>
        </is>
      </c>
      <c r="E1642" t="inlineStr">
        <is>
          <t>MORA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27376-2021</t>
        </is>
      </c>
      <c r="B1643" s="1" t="n">
        <v>44351</v>
      </c>
      <c r="C1643" s="1" t="n">
        <v>46114</v>
      </c>
      <c r="D1643" t="inlineStr">
        <is>
          <t>DALARNAS LÄN</t>
        </is>
      </c>
      <c r="E1643" t="inlineStr">
        <is>
          <t>RÄTTVIK</t>
        </is>
      </c>
      <c r="G1643" t="n">
        <v>3.6</v>
      </c>
      <c r="H1643" t="n">
        <v>0</v>
      </c>
      <c r="I1643" t="n">
        <v>0</v>
      </c>
      <c r="J1643" t="n">
        <v>0</v>
      </c>
      <c r="K1643" t="n">
        <v>0</v>
      </c>
      <c r="L1643" t="n">
        <v>0</v>
      </c>
      <c r="M1643" t="n">
        <v>0</v>
      </c>
      <c r="N1643" t="n">
        <v>0</v>
      </c>
      <c r="O1643" t="n">
        <v>0</v>
      </c>
      <c r="P1643" t="n">
        <v>0</v>
      </c>
      <c r="Q1643" t="n">
        <v>0</v>
      </c>
      <c r="R1643" s="2" t="inlineStr"/>
    </row>
    <row r="1644" ht="15" customHeight="1">
      <c r="A1644" t="inlineStr">
        <is>
          <t>A 27466-2021</t>
        </is>
      </c>
      <c r="B1644" s="1" t="n">
        <v>44351</v>
      </c>
      <c r="C1644" s="1" t="n">
        <v>46114</v>
      </c>
      <c r="D1644" t="inlineStr">
        <is>
          <t>DALARNAS LÄN</t>
        </is>
      </c>
      <c r="E1644" t="inlineStr">
        <is>
          <t>MALUNG-SÄLEN</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22375-2022</t>
        </is>
      </c>
      <c r="B1645" s="1" t="n">
        <v>44713.41631944444</v>
      </c>
      <c r="C1645" s="1" t="n">
        <v>46114</v>
      </c>
      <c r="D1645" t="inlineStr">
        <is>
          <t>DALARNAS LÄN</t>
        </is>
      </c>
      <c r="E1645" t="inlineStr">
        <is>
          <t>GAGNEF</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21968-2021</t>
        </is>
      </c>
      <c r="B1646" s="1" t="n">
        <v>44323</v>
      </c>
      <c r="C1646" s="1" t="n">
        <v>46114</v>
      </c>
      <c r="D1646" t="inlineStr">
        <is>
          <t>DALARNAS LÄN</t>
        </is>
      </c>
      <c r="E1646" t="inlineStr">
        <is>
          <t>LEKSAND</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31383-2022</t>
        </is>
      </c>
      <c r="B1647" s="1" t="n">
        <v>44774</v>
      </c>
      <c r="C1647" s="1" t="n">
        <v>46114</v>
      </c>
      <c r="D1647" t="inlineStr">
        <is>
          <t>DALARNAS LÄN</t>
        </is>
      </c>
      <c r="E1647" t="inlineStr">
        <is>
          <t>VANSBRO</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31407-2022</t>
        </is>
      </c>
      <c r="B1648" s="1" t="n">
        <v>44774</v>
      </c>
      <c r="C1648" s="1" t="n">
        <v>46114</v>
      </c>
      <c r="D1648" t="inlineStr">
        <is>
          <t>DALARNAS LÄN</t>
        </is>
      </c>
      <c r="E1648" t="inlineStr">
        <is>
          <t>RÄTTVIK</t>
        </is>
      </c>
      <c r="F1648" t="inlineStr">
        <is>
          <t>Sveaskog</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46239-2021</t>
        </is>
      </c>
      <c r="B1649" s="1" t="n">
        <v>44442.53858796296</v>
      </c>
      <c r="C1649" s="1" t="n">
        <v>46114</v>
      </c>
      <c r="D1649" t="inlineStr">
        <is>
          <t>DALARNAS LÄN</t>
        </is>
      </c>
      <c r="E1649" t="inlineStr">
        <is>
          <t>FALUN</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45606-2021</t>
        </is>
      </c>
      <c r="B1650" s="1" t="n">
        <v>44440.85440972223</v>
      </c>
      <c r="C1650" s="1" t="n">
        <v>46114</v>
      </c>
      <c r="D1650" t="inlineStr">
        <is>
          <t>DALARNAS LÄN</t>
        </is>
      </c>
      <c r="E1650" t="inlineStr">
        <is>
          <t>AVESTA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57076-2021</t>
        </is>
      </c>
      <c r="B1651" s="1" t="n">
        <v>44482</v>
      </c>
      <c r="C1651" s="1" t="n">
        <v>46114</v>
      </c>
      <c r="D1651" t="inlineStr">
        <is>
          <t>DALARNAS LÄN</t>
        </is>
      </c>
      <c r="E1651" t="inlineStr">
        <is>
          <t>LUDVIKA</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47412-2021</t>
        </is>
      </c>
      <c r="B1652" s="1" t="n">
        <v>44447.5934837963</v>
      </c>
      <c r="C1652" s="1" t="n">
        <v>46114</v>
      </c>
      <c r="D1652" t="inlineStr">
        <is>
          <t>DALARNAS LÄN</t>
        </is>
      </c>
      <c r="E1652" t="inlineStr">
        <is>
          <t>MALUNG-SÄLEN</t>
        </is>
      </c>
      <c r="G1652" t="n">
        <v>0.4</v>
      </c>
      <c r="H1652" t="n">
        <v>0</v>
      </c>
      <c r="I1652" t="n">
        <v>0</v>
      </c>
      <c r="J1652" t="n">
        <v>0</v>
      </c>
      <c r="K1652" t="n">
        <v>0</v>
      </c>
      <c r="L1652" t="n">
        <v>0</v>
      </c>
      <c r="M1652" t="n">
        <v>0</v>
      </c>
      <c r="N1652" t="n">
        <v>0</v>
      </c>
      <c r="O1652" t="n">
        <v>0</v>
      </c>
      <c r="P1652" t="n">
        <v>0</v>
      </c>
      <c r="Q1652" t="n">
        <v>0</v>
      </c>
      <c r="R1652" s="2" t="inlineStr"/>
    </row>
    <row r="1653" ht="15" customHeight="1">
      <c r="A1653" t="inlineStr">
        <is>
          <t>A 52958-2021</t>
        </is>
      </c>
      <c r="B1653" s="1" t="n">
        <v>44467.60453703703</v>
      </c>
      <c r="C1653" s="1" t="n">
        <v>46114</v>
      </c>
      <c r="D1653" t="inlineStr">
        <is>
          <t>DALARNAS LÄN</t>
        </is>
      </c>
      <c r="E1653" t="inlineStr">
        <is>
          <t>SMEDJEBACKEN</t>
        </is>
      </c>
      <c r="F1653" t="inlineStr">
        <is>
          <t>Övriga Aktiebolag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68573-2021</t>
        </is>
      </c>
      <c r="B1654" s="1" t="n">
        <v>44529</v>
      </c>
      <c r="C1654" s="1" t="n">
        <v>46114</v>
      </c>
      <c r="D1654" t="inlineStr">
        <is>
          <t>DALARNAS LÄN</t>
        </is>
      </c>
      <c r="E1654" t="inlineStr">
        <is>
          <t>LEKSAND</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68590-2021</t>
        </is>
      </c>
      <c r="B1655" s="1" t="n">
        <v>44529.5405787037</v>
      </c>
      <c r="C1655" s="1" t="n">
        <v>46114</v>
      </c>
      <c r="D1655" t="inlineStr">
        <is>
          <t>DALARNAS LÄN</t>
        </is>
      </c>
      <c r="E1655" t="inlineStr">
        <is>
          <t>FALUN</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51161-2021</t>
        </is>
      </c>
      <c r="B1656" s="1" t="n">
        <v>44461.46195601852</v>
      </c>
      <c r="C1656" s="1" t="n">
        <v>46114</v>
      </c>
      <c r="D1656" t="inlineStr">
        <is>
          <t>DALARNAS LÄN</t>
        </is>
      </c>
      <c r="E1656" t="inlineStr">
        <is>
          <t>ÄLVDALEN</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17785-2021</t>
        </is>
      </c>
      <c r="B1657" s="1" t="n">
        <v>44300.60704861111</v>
      </c>
      <c r="C1657" s="1" t="n">
        <v>46114</v>
      </c>
      <c r="D1657" t="inlineStr">
        <is>
          <t>DALARNAS LÄN</t>
        </is>
      </c>
      <c r="E1657" t="inlineStr">
        <is>
          <t>RÄTTVIK</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58237-2021</t>
        </is>
      </c>
      <c r="B1658" s="1" t="n">
        <v>44487</v>
      </c>
      <c r="C1658" s="1" t="n">
        <v>46114</v>
      </c>
      <c r="D1658" t="inlineStr">
        <is>
          <t>DALARNAS LÄN</t>
        </is>
      </c>
      <c r="E1658" t="inlineStr">
        <is>
          <t>BORLÄNGE</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24963-2021</t>
        </is>
      </c>
      <c r="B1659" s="1" t="n">
        <v>44341</v>
      </c>
      <c r="C1659" s="1" t="n">
        <v>46114</v>
      </c>
      <c r="D1659" t="inlineStr">
        <is>
          <t>DALARNAS LÄN</t>
        </is>
      </c>
      <c r="E1659" t="inlineStr">
        <is>
          <t>GAGNEF</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16413-2021</t>
        </is>
      </c>
      <c r="B1660" s="1" t="n">
        <v>44293</v>
      </c>
      <c r="C1660" s="1" t="n">
        <v>46114</v>
      </c>
      <c r="D1660" t="inlineStr">
        <is>
          <t>DALARNAS LÄN</t>
        </is>
      </c>
      <c r="E1660" t="inlineStr">
        <is>
          <t>BORLÄNGE</t>
        </is>
      </c>
      <c r="F1660" t="inlineStr">
        <is>
          <t>Bergvik skog väst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51504-2022</t>
        </is>
      </c>
      <c r="B1661" s="1" t="n">
        <v>44869</v>
      </c>
      <c r="C1661" s="1" t="n">
        <v>46114</v>
      </c>
      <c r="D1661" t="inlineStr">
        <is>
          <t>DALARNAS LÄN</t>
        </is>
      </c>
      <c r="E1661" t="inlineStr">
        <is>
          <t>ÄLVDALEN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17464-2021</t>
        </is>
      </c>
      <c r="B1662" s="1" t="n">
        <v>44299</v>
      </c>
      <c r="C1662" s="1" t="n">
        <v>46114</v>
      </c>
      <c r="D1662" t="inlineStr">
        <is>
          <t>DALARNAS LÄN</t>
        </is>
      </c>
      <c r="E1662" t="inlineStr">
        <is>
          <t>HEDEMORA</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60910-2021</t>
        </is>
      </c>
      <c r="B1663" s="1" t="n">
        <v>44496</v>
      </c>
      <c r="C1663" s="1" t="n">
        <v>46114</v>
      </c>
      <c r="D1663" t="inlineStr">
        <is>
          <t>DALARNAS LÄN</t>
        </is>
      </c>
      <c r="E1663" t="inlineStr">
        <is>
          <t>SMEDJEBACKEN</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56162-2021</t>
        </is>
      </c>
      <c r="B1664" s="1" t="n">
        <v>44477</v>
      </c>
      <c r="C1664" s="1" t="n">
        <v>46114</v>
      </c>
      <c r="D1664" t="inlineStr">
        <is>
          <t>DALARNAS LÄN</t>
        </is>
      </c>
      <c r="E1664" t="inlineStr">
        <is>
          <t>ORSA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65738-2021</t>
        </is>
      </c>
      <c r="B1665" s="1" t="n">
        <v>44516</v>
      </c>
      <c r="C1665" s="1" t="n">
        <v>46114</v>
      </c>
      <c r="D1665" t="inlineStr">
        <is>
          <t>DALARNAS LÄN</t>
        </is>
      </c>
      <c r="E1665" t="inlineStr">
        <is>
          <t>AVESTA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62734-2021</t>
        </is>
      </c>
      <c r="B1666" s="1" t="n">
        <v>44504.38153935185</v>
      </c>
      <c r="C1666" s="1" t="n">
        <v>46114</v>
      </c>
      <c r="D1666" t="inlineStr">
        <is>
          <t>DALARNAS LÄN</t>
        </is>
      </c>
      <c r="E1666" t="inlineStr">
        <is>
          <t>VANSBRO</t>
        </is>
      </c>
      <c r="F1666" t="inlineStr">
        <is>
          <t>Bergvik skog öst AB</t>
        </is>
      </c>
      <c r="G1666" t="n">
        <v>5.6</v>
      </c>
      <c r="H1666" t="n">
        <v>0</v>
      </c>
      <c r="I1666" t="n">
        <v>0</v>
      </c>
      <c r="J1666" t="n">
        <v>0</v>
      </c>
      <c r="K1666" t="n">
        <v>0</v>
      </c>
      <c r="L1666" t="n">
        <v>0</v>
      </c>
      <c r="M1666" t="n">
        <v>0</v>
      </c>
      <c r="N1666" t="n">
        <v>0</v>
      </c>
      <c r="O1666" t="n">
        <v>0</v>
      </c>
      <c r="P1666" t="n">
        <v>0</v>
      </c>
      <c r="Q1666" t="n">
        <v>0</v>
      </c>
      <c r="R1666" s="2" t="inlineStr"/>
    </row>
    <row r="1667" ht="15" customHeight="1">
      <c r="A1667" t="inlineStr">
        <is>
          <t>A 27302-2021</t>
        </is>
      </c>
      <c r="B1667" s="1" t="n">
        <v>44351.34210648148</v>
      </c>
      <c r="C1667" s="1" t="n">
        <v>46114</v>
      </c>
      <c r="D1667" t="inlineStr">
        <is>
          <t>DALARNAS LÄN</t>
        </is>
      </c>
      <c r="E1667" t="inlineStr">
        <is>
          <t>MALUNG-SÄLEN</t>
        </is>
      </c>
      <c r="F1667" t="inlineStr">
        <is>
          <t>Allmännings- och besparingsskogar</t>
        </is>
      </c>
      <c r="G1667" t="n">
        <v>5.7</v>
      </c>
      <c r="H1667" t="n">
        <v>0</v>
      </c>
      <c r="I1667" t="n">
        <v>0</v>
      </c>
      <c r="J1667" t="n">
        <v>0</v>
      </c>
      <c r="K1667" t="n">
        <v>0</v>
      </c>
      <c r="L1667" t="n">
        <v>0</v>
      </c>
      <c r="M1667" t="n">
        <v>0</v>
      </c>
      <c r="N1667" t="n">
        <v>0</v>
      </c>
      <c r="O1667" t="n">
        <v>0</v>
      </c>
      <c r="P1667" t="n">
        <v>0</v>
      </c>
      <c r="Q1667" t="n">
        <v>0</v>
      </c>
      <c r="R1667" s="2" t="inlineStr"/>
    </row>
    <row r="1668" ht="15" customHeight="1">
      <c r="A1668" t="inlineStr">
        <is>
          <t>A 21678-2021</t>
        </is>
      </c>
      <c r="B1668" s="1" t="n">
        <v>44322</v>
      </c>
      <c r="C1668" s="1" t="n">
        <v>46114</v>
      </c>
      <c r="D1668" t="inlineStr">
        <is>
          <t>DALARNAS LÄN</t>
        </is>
      </c>
      <c r="E1668" t="inlineStr">
        <is>
          <t>ORSA</t>
        </is>
      </c>
      <c r="G1668" t="n">
        <v>11.4</v>
      </c>
      <c r="H1668" t="n">
        <v>0</v>
      </c>
      <c r="I1668" t="n">
        <v>0</v>
      </c>
      <c r="J1668" t="n">
        <v>0</v>
      </c>
      <c r="K1668" t="n">
        <v>0</v>
      </c>
      <c r="L1668" t="n">
        <v>0</v>
      </c>
      <c r="M1668" t="n">
        <v>0</v>
      </c>
      <c r="N1668" t="n">
        <v>0</v>
      </c>
      <c r="O1668" t="n">
        <v>0</v>
      </c>
      <c r="P1668" t="n">
        <v>0</v>
      </c>
      <c r="Q1668" t="n">
        <v>0</v>
      </c>
      <c r="R1668" s="2" t="inlineStr"/>
    </row>
    <row r="1669" ht="15" customHeight="1">
      <c r="A1669" t="inlineStr">
        <is>
          <t>A 36168-2021</t>
        </is>
      </c>
      <c r="B1669" s="1" t="n">
        <v>44389.62159722222</v>
      </c>
      <c r="C1669" s="1" t="n">
        <v>46114</v>
      </c>
      <c r="D1669" t="inlineStr">
        <is>
          <t>DALARNAS LÄN</t>
        </is>
      </c>
      <c r="E1669" t="inlineStr">
        <is>
          <t>MORA</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31272-2022</t>
        </is>
      </c>
      <c r="B1670" s="1" t="n">
        <v>44771.62211805556</v>
      </c>
      <c r="C1670" s="1" t="n">
        <v>46114</v>
      </c>
      <c r="D1670" t="inlineStr">
        <is>
          <t>DALARNAS LÄN</t>
        </is>
      </c>
      <c r="E1670" t="inlineStr">
        <is>
          <t>LUDVIKA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65252-2021</t>
        </is>
      </c>
      <c r="B1671" s="1" t="n">
        <v>44515</v>
      </c>
      <c r="C1671" s="1" t="n">
        <v>46114</v>
      </c>
      <c r="D1671" t="inlineStr">
        <is>
          <t>DALARNAS LÄN</t>
        </is>
      </c>
      <c r="E1671" t="inlineStr">
        <is>
          <t>MALUNG-SÄLEN</t>
        </is>
      </c>
      <c r="F1671" t="inlineStr">
        <is>
          <t>Allmännings- och besparingsskogar</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23542-2022</t>
        </is>
      </c>
      <c r="B1672" s="1" t="n">
        <v>44721.45182870371</v>
      </c>
      <c r="C1672" s="1" t="n">
        <v>46114</v>
      </c>
      <c r="D1672" t="inlineStr">
        <is>
          <t>DALARNAS LÄN</t>
        </is>
      </c>
      <c r="E1672" t="inlineStr">
        <is>
          <t>MALUNG-SÄLEN</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59509-2021</t>
        </is>
      </c>
      <c r="B1673" s="1" t="n">
        <v>44491</v>
      </c>
      <c r="C1673" s="1" t="n">
        <v>46114</v>
      </c>
      <c r="D1673" t="inlineStr">
        <is>
          <t>DALARNAS LÄN</t>
        </is>
      </c>
      <c r="E1673" t="inlineStr">
        <is>
          <t>FALUN</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22813-2022</t>
        </is>
      </c>
      <c r="B1674" s="1" t="n">
        <v>44715</v>
      </c>
      <c r="C1674" s="1" t="n">
        <v>46114</v>
      </c>
      <c r="D1674" t="inlineStr">
        <is>
          <t>DALARNAS LÄN</t>
        </is>
      </c>
      <c r="E1674" t="inlineStr">
        <is>
          <t>ORSA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36385-2021</t>
        </is>
      </c>
      <c r="B1675" s="1" t="n">
        <v>44390.62594907408</v>
      </c>
      <c r="C1675" s="1" t="n">
        <v>46114</v>
      </c>
      <c r="D1675" t="inlineStr">
        <is>
          <t>DALARNAS LÄN</t>
        </is>
      </c>
      <c r="E1675" t="inlineStr">
        <is>
          <t>SMEDJEBACKEN</t>
        </is>
      </c>
      <c r="G1675" t="n">
        <v>4.2</v>
      </c>
      <c r="H1675" t="n">
        <v>0</v>
      </c>
      <c r="I1675" t="n">
        <v>0</v>
      </c>
      <c r="J1675" t="n">
        <v>0</v>
      </c>
      <c r="K1675" t="n">
        <v>0</v>
      </c>
      <c r="L1675" t="n">
        <v>0</v>
      </c>
      <c r="M1675" t="n">
        <v>0</v>
      </c>
      <c r="N1675" t="n">
        <v>0</v>
      </c>
      <c r="O1675" t="n">
        <v>0</v>
      </c>
      <c r="P1675" t="n">
        <v>0</v>
      </c>
      <c r="Q1675" t="n">
        <v>0</v>
      </c>
      <c r="R1675" s="2" t="inlineStr"/>
    </row>
    <row r="1676" ht="15" customHeight="1">
      <c r="A1676" t="inlineStr">
        <is>
          <t>A 41303-2021</t>
        </is>
      </c>
      <c r="B1676" s="1" t="n">
        <v>44424</v>
      </c>
      <c r="C1676" s="1" t="n">
        <v>46114</v>
      </c>
      <c r="D1676" t="inlineStr">
        <is>
          <t>DALARNAS LÄN</t>
        </is>
      </c>
      <c r="E1676" t="inlineStr">
        <is>
          <t>SMEDJEBACKEN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36132-2021</t>
        </is>
      </c>
      <c r="B1677" s="1" t="n">
        <v>44389</v>
      </c>
      <c r="C1677" s="1" t="n">
        <v>46114</v>
      </c>
      <c r="D1677" t="inlineStr">
        <is>
          <t>DALARNAS LÄN</t>
        </is>
      </c>
      <c r="E1677" t="inlineStr">
        <is>
          <t>FALUN</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40584-2021</t>
        </is>
      </c>
      <c r="B1678" s="1" t="n">
        <v>44420</v>
      </c>
      <c r="C1678" s="1" t="n">
        <v>46114</v>
      </c>
      <c r="D1678" t="inlineStr">
        <is>
          <t>DALARNAS LÄN</t>
        </is>
      </c>
      <c r="E1678" t="inlineStr">
        <is>
          <t>LEKSAND</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39775-2021</t>
        </is>
      </c>
      <c r="B1679" s="1" t="n">
        <v>44417.55564814815</v>
      </c>
      <c r="C1679" s="1" t="n">
        <v>46114</v>
      </c>
      <c r="D1679" t="inlineStr">
        <is>
          <t>DALARNAS LÄN</t>
        </is>
      </c>
      <c r="E1679" t="inlineStr">
        <is>
          <t>SÄTER</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25291-2022</t>
        </is>
      </c>
      <c r="B1680" s="1" t="n">
        <v>44730.92502314815</v>
      </c>
      <c r="C1680" s="1" t="n">
        <v>46114</v>
      </c>
      <c r="D1680" t="inlineStr">
        <is>
          <t>DALARNAS LÄN</t>
        </is>
      </c>
      <c r="E1680" t="inlineStr">
        <is>
          <t>LUDVIKA</t>
        </is>
      </c>
      <c r="F1680" t="inlineStr">
        <is>
          <t>Bergvik skog väst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36544-2022</t>
        </is>
      </c>
      <c r="B1681" s="1" t="n">
        <v>44804</v>
      </c>
      <c r="C1681" s="1" t="n">
        <v>46114</v>
      </c>
      <c r="D1681" t="inlineStr">
        <is>
          <t>DALARNAS LÄN</t>
        </is>
      </c>
      <c r="E1681" t="inlineStr">
        <is>
          <t>BORLÄNGE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43804-2022</t>
        </is>
      </c>
      <c r="B1682" s="1" t="n">
        <v>44838.32039351852</v>
      </c>
      <c r="C1682" s="1" t="n">
        <v>46114</v>
      </c>
      <c r="D1682" t="inlineStr">
        <is>
          <t>DALARNAS LÄN</t>
        </is>
      </c>
      <c r="E1682" t="inlineStr">
        <is>
          <t>RÄTTVIK</t>
        </is>
      </c>
      <c r="F1682" t="inlineStr">
        <is>
          <t>Sveaskog</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34763-2021</t>
        </is>
      </c>
      <c r="B1683" s="1" t="n">
        <v>44382.90510416667</v>
      </c>
      <c r="C1683" s="1" t="n">
        <v>46114</v>
      </c>
      <c r="D1683" t="inlineStr">
        <is>
          <t>DALARNAS LÄN</t>
        </is>
      </c>
      <c r="E1683" t="inlineStr">
        <is>
          <t>FALUN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68996-2021</t>
        </is>
      </c>
      <c r="B1684" s="1" t="n">
        <v>44529</v>
      </c>
      <c r="C1684" s="1" t="n">
        <v>46114</v>
      </c>
      <c r="D1684" t="inlineStr">
        <is>
          <t>DALARNAS LÄN</t>
        </is>
      </c>
      <c r="E1684" t="inlineStr">
        <is>
          <t>RÄTTVIK</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21965-2021</t>
        </is>
      </c>
      <c r="B1685" s="1" t="n">
        <v>44323</v>
      </c>
      <c r="C1685" s="1" t="n">
        <v>46114</v>
      </c>
      <c r="D1685" t="inlineStr">
        <is>
          <t>DALARNAS LÄN</t>
        </is>
      </c>
      <c r="E1685" t="inlineStr">
        <is>
          <t>LEKSAND</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21969-2021</t>
        </is>
      </c>
      <c r="B1686" s="1" t="n">
        <v>44323</v>
      </c>
      <c r="C1686" s="1" t="n">
        <v>46114</v>
      </c>
      <c r="D1686" t="inlineStr">
        <is>
          <t>DALARNAS LÄN</t>
        </is>
      </c>
      <c r="E1686" t="inlineStr">
        <is>
          <t>LEKSAND</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63693-2021</t>
        </is>
      </c>
      <c r="B1687" s="1" t="n">
        <v>44509.40319444444</v>
      </c>
      <c r="C1687" s="1" t="n">
        <v>46114</v>
      </c>
      <c r="D1687" t="inlineStr">
        <is>
          <t>DALARNAS LÄN</t>
        </is>
      </c>
      <c r="E1687" t="inlineStr">
        <is>
          <t>SMEDJEBACKEN</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44033-2022</t>
        </is>
      </c>
      <c r="B1688" s="1" t="n">
        <v>44838</v>
      </c>
      <c r="C1688" s="1" t="n">
        <v>46114</v>
      </c>
      <c r="D1688" t="inlineStr">
        <is>
          <t>DALARNAS LÄN</t>
        </is>
      </c>
      <c r="E1688" t="inlineStr">
        <is>
          <t>ORSA</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70296-2021</t>
        </is>
      </c>
      <c r="B1689" s="1" t="n">
        <v>44536.40434027778</v>
      </c>
      <c r="C1689" s="1" t="n">
        <v>46114</v>
      </c>
      <c r="D1689" t="inlineStr">
        <is>
          <t>DALARNAS LÄN</t>
        </is>
      </c>
      <c r="E1689" t="inlineStr">
        <is>
          <t>LEKSAND</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14868-2022</t>
        </is>
      </c>
      <c r="B1690" s="1" t="n">
        <v>44656.67989583333</v>
      </c>
      <c r="C1690" s="1" t="n">
        <v>46114</v>
      </c>
      <c r="D1690" t="inlineStr">
        <is>
          <t>DALARNAS LÄN</t>
        </is>
      </c>
      <c r="E1690" t="inlineStr">
        <is>
          <t>SMEDJEBACKEN</t>
        </is>
      </c>
      <c r="F1690" t="inlineStr">
        <is>
          <t>Bergvik skog väst AB</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37246-2021</t>
        </is>
      </c>
      <c r="B1691" s="1" t="n">
        <v>44396</v>
      </c>
      <c r="C1691" s="1" t="n">
        <v>46114</v>
      </c>
      <c r="D1691" t="inlineStr">
        <is>
          <t>DALARNAS LÄN</t>
        </is>
      </c>
      <c r="E1691" t="inlineStr">
        <is>
          <t>GAGNEF</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35703-2022</t>
        </is>
      </c>
      <c r="B1692" s="1" t="n">
        <v>44799.64722222222</v>
      </c>
      <c r="C1692" s="1" t="n">
        <v>46114</v>
      </c>
      <c r="D1692" t="inlineStr">
        <is>
          <t>DALARNAS LÄN</t>
        </is>
      </c>
      <c r="E1692" t="inlineStr">
        <is>
          <t>RÄTTVIK</t>
        </is>
      </c>
      <c r="F1692" t="inlineStr">
        <is>
          <t>Sveaskog</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15127-2022</t>
        </is>
      </c>
      <c r="B1693" s="1" t="n">
        <v>44658</v>
      </c>
      <c r="C1693" s="1" t="n">
        <v>46114</v>
      </c>
      <c r="D1693" t="inlineStr">
        <is>
          <t>DALARNAS LÄN</t>
        </is>
      </c>
      <c r="E1693" t="inlineStr">
        <is>
          <t>MORA</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72659-2021</t>
        </is>
      </c>
      <c r="B1694" s="1" t="n">
        <v>44546.60960648148</v>
      </c>
      <c r="C1694" s="1" t="n">
        <v>46114</v>
      </c>
      <c r="D1694" t="inlineStr">
        <is>
          <t>DALARNAS LÄN</t>
        </is>
      </c>
      <c r="E1694" t="inlineStr">
        <is>
          <t>MORA</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36825-2021</t>
        </is>
      </c>
      <c r="B1695" s="1" t="n">
        <v>44393</v>
      </c>
      <c r="C1695" s="1" t="n">
        <v>46114</v>
      </c>
      <c r="D1695" t="inlineStr">
        <is>
          <t>DALARNAS LÄN</t>
        </is>
      </c>
      <c r="E1695" t="inlineStr">
        <is>
          <t>ÄLVDALEN</t>
        </is>
      </c>
      <c r="F1695" t="inlineStr">
        <is>
          <t>Sveaskog</t>
        </is>
      </c>
      <c r="G1695" t="n">
        <v>12.2</v>
      </c>
      <c r="H1695" t="n">
        <v>0</v>
      </c>
      <c r="I1695" t="n">
        <v>0</v>
      </c>
      <c r="J1695" t="n">
        <v>0</v>
      </c>
      <c r="K1695" t="n">
        <v>0</v>
      </c>
      <c r="L1695" t="n">
        <v>0</v>
      </c>
      <c r="M1695" t="n">
        <v>0</v>
      </c>
      <c r="N1695" t="n">
        <v>0</v>
      </c>
      <c r="O1695" t="n">
        <v>0</v>
      </c>
      <c r="P1695" t="n">
        <v>0</v>
      </c>
      <c r="Q1695" t="n">
        <v>0</v>
      </c>
      <c r="R1695" s="2" t="inlineStr"/>
    </row>
    <row r="1696" ht="15" customHeight="1">
      <c r="A1696" t="inlineStr">
        <is>
          <t>A 74092-2021</t>
        </is>
      </c>
      <c r="B1696" s="1" t="n">
        <v>44557.62385416667</v>
      </c>
      <c r="C1696" s="1" t="n">
        <v>46114</v>
      </c>
      <c r="D1696" t="inlineStr">
        <is>
          <t>DALARNAS LÄN</t>
        </is>
      </c>
      <c r="E1696" t="inlineStr">
        <is>
          <t>MALUNG-SÄLEN</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37384-2021</t>
        </is>
      </c>
      <c r="B1697" s="1" t="n">
        <v>44397</v>
      </c>
      <c r="C1697" s="1" t="n">
        <v>46114</v>
      </c>
      <c r="D1697" t="inlineStr">
        <is>
          <t>DALARNAS LÄN</t>
        </is>
      </c>
      <c r="E1697" t="inlineStr">
        <is>
          <t>LUDVIKA</t>
        </is>
      </c>
      <c r="F1697" t="inlineStr">
        <is>
          <t>Kommuner</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37291-2021</t>
        </is>
      </c>
      <c r="B1698" s="1" t="n">
        <v>44397</v>
      </c>
      <c r="C1698" s="1" t="n">
        <v>46114</v>
      </c>
      <c r="D1698" t="inlineStr">
        <is>
          <t>DALARNAS LÄN</t>
        </is>
      </c>
      <c r="E1698" t="inlineStr">
        <is>
          <t>FALUN</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9807-2022</t>
        </is>
      </c>
      <c r="B1699" s="1" t="n">
        <v>44620.40868055556</v>
      </c>
      <c r="C1699" s="1" t="n">
        <v>46114</v>
      </c>
      <c r="D1699" t="inlineStr">
        <is>
          <t>DALARNAS LÄN</t>
        </is>
      </c>
      <c r="E1699" t="inlineStr">
        <is>
          <t>ORSA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27238-2022</t>
        </is>
      </c>
      <c r="B1700" s="1" t="n">
        <v>44741.68168981482</v>
      </c>
      <c r="C1700" s="1" t="n">
        <v>46114</v>
      </c>
      <c r="D1700" t="inlineStr">
        <is>
          <t>DALARNAS LÄN</t>
        </is>
      </c>
      <c r="E1700" t="inlineStr">
        <is>
          <t>HEDEMORA</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72828-2021</t>
        </is>
      </c>
      <c r="B1701" s="1" t="n">
        <v>44547.43075231482</v>
      </c>
      <c r="C1701" s="1" t="n">
        <v>46114</v>
      </c>
      <c r="D1701" t="inlineStr">
        <is>
          <t>DALARNAS LÄN</t>
        </is>
      </c>
      <c r="E1701" t="inlineStr">
        <is>
          <t>MALUNG-SÄLEN</t>
        </is>
      </c>
      <c r="G1701" t="n">
        <v>12.3</v>
      </c>
      <c r="H1701" t="n">
        <v>0</v>
      </c>
      <c r="I1701" t="n">
        <v>0</v>
      </c>
      <c r="J1701" t="n">
        <v>0</v>
      </c>
      <c r="K1701" t="n">
        <v>0</v>
      </c>
      <c r="L1701" t="n">
        <v>0</v>
      </c>
      <c r="M1701" t="n">
        <v>0</v>
      </c>
      <c r="N1701" t="n">
        <v>0</v>
      </c>
      <c r="O1701" t="n">
        <v>0</v>
      </c>
      <c r="P1701" t="n">
        <v>0</v>
      </c>
      <c r="Q1701" t="n">
        <v>0</v>
      </c>
      <c r="R1701" s="2" t="inlineStr"/>
    </row>
    <row r="1702" ht="15" customHeight="1">
      <c r="A1702" t="inlineStr">
        <is>
          <t>A 24595-2022</t>
        </is>
      </c>
      <c r="B1702" s="1" t="n">
        <v>44727</v>
      </c>
      <c r="C1702" s="1" t="n">
        <v>46114</v>
      </c>
      <c r="D1702" t="inlineStr">
        <is>
          <t>DALARNAS LÄN</t>
        </is>
      </c>
      <c r="E1702" t="inlineStr">
        <is>
          <t>RÄTTVIK</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68966-2021</t>
        </is>
      </c>
      <c r="B1703" s="1" t="n">
        <v>44530</v>
      </c>
      <c r="C1703" s="1" t="n">
        <v>46114</v>
      </c>
      <c r="D1703" t="inlineStr">
        <is>
          <t>DALARNAS LÄN</t>
        </is>
      </c>
      <c r="E1703" t="inlineStr">
        <is>
          <t>MORA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42837-2022</t>
        </is>
      </c>
      <c r="B1704" s="1" t="n">
        <v>44832.65900462963</v>
      </c>
      <c r="C1704" s="1" t="n">
        <v>46114</v>
      </c>
      <c r="D1704" t="inlineStr">
        <is>
          <t>DALARNAS LÄN</t>
        </is>
      </c>
      <c r="E1704" t="inlineStr">
        <is>
          <t>AVESTA</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42861-2022</t>
        </is>
      </c>
      <c r="B1705" s="1" t="n">
        <v>44832</v>
      </c>
      <c r="C1705" s="1" t="n">
        <v>46114</v>
      </c>
      <c r="D1705" t="inlineStr">
        <is>
          <t>DALARNAS LÄN</t>
        </is>
      </c>
      <c r="E1705" t="inlineStr">
        <is>
          <t>BORLÄNGE</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2686-2022</t>
        </is>
      </c>
      <c r="B1706" s="1" t="n">
        <v>44580.59916666667</v>
      </c>
      <c r="C1706" s="1" t="n">
        <v>46114</v>
      </c>
      <c r="D1706" t="inlineStr">
        <is>
          <t>DALARNAS LÄN</t>
        </is>
      </c>
      <c r="E1706" t="inlineStr">
        <is>
          <t>FALUN</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8890-2022</t>
        </is>
      </c>
      <c r="B1707" s="1" t="n">
        <v>44614</v>
      </c>
      <c r="C1707" s="1" t="n">
        <v>46114</v>
      </c>
      <c r="D1707" t="inlineStr">
        <is>
          <t>DALARNAS LÄN</t>
        </is>
      </c>
      <c r="E1707" t="inlineStr">
        <is>
          <t>VANSBRO</t>
        </is>
      </c>
      <c r="G1707" t="n">
        <v>0.3</v>
      </c>
      <c r="H1707" t="n">
        <v>0</v>
      </c>
      <c r="I1707" t="n">
        <v>0</v>
      </c>
      <c r="J1707" t="n">
        <v>0</v>
      </c>
      <c r="K1707" t="n">
        <v>0</v>
      </c>
      <c r="L1707" t="n">
        <v>0</v>
      </c>
      <c r="M1707" t="n">
        <v>0</v>
      </c>
      <c r="N1707" t="n">
        <v>0</v>
      </c>
      <c r="O1707" t="n">
        <v>0</v>
      </c>
      <c r="P1707" t="n">
        <v>0</v>
      </c>
      <c r="Q1707" t="n">
        <v>0</v>
      </c>
      <c r="R1707" s="2" t="inlineStr"/>
    </row>
    <row r="1708" ht="15" customHeight="1">
      <c r="A1708" t="inlineStr">
        <is>
          <t>A 35706-2022</t>
        </is>
      </c>
      <c r="B1708" s="1" t="n">
        <v>44799.64895833333</v>
      </c>
      <c r="C1708" s="1" t="n">
        <v>46114</v>
      </c>
      <c r="D1708" t="inlineStr">
        <is>
          <t>DALARNAS LÄN</t>
        </is>
      </c>
      <c r="E1708" t="inlineStr">
        <is>
          <t>RÄTTVIK</t>
        </is>
      </c>
      <c r="F1708" t="inlineStr">
        <is>
          <t>Sveaskog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49707-2022</t>
        </is>
      </c>
      <c r="B1709" s="1" t="n">
        <v>44862.54098379629</v>
      </c>
      <c r="C1709" s="1" t="n">
        <v>46114</v>
      </c>
      <c r="D1709" t="inlineStr">
        <is>
          <t>DALARNAS LÄN</t>
        </is>
      </c>
      <c r="E1709" t="inlineStr">
        <is>
          <t>RÄTTVIK</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36029-2022</t>
        </is>
      </c>
      <c r="B1710" s="1" t="n">
        <v>44802</v>
      </c>
      <c r="C1710" s="1" t="n">
        <v>46114</v>
      </c>
      <c r="D1710" t="inlineStr">
        <is>
          <t>DALARNAS LÄN</t>
        </is>
      </c>
      <c r="E1710" t="inlineStr">
        <is>
          <t>MALUNG-SÄLEN</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45029-2022</t>
        </is>
      </c>
      <c r="B1711" s="1" t="n">
        <v>44841.65574074074</v>
      </c>
      <c r="C1711" s="1" t="n">
        <v>46114</v>
      </c>
      <c r="D1711" t="inlineStr">
        <is>
          <t>DALARNAS LÄN</t>
        </is>
      </c>
      <c r="E1711" t="inlineStr">
        <is>
          <t>GAGNEF</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45034-2022</t>
        </is>
      </c>
      <c r="B1712" s="1" t="n">
        <v>44841</v>
      </c>
      <c r="C1712" s="1" t="n">
        <v>46114</v>
      </c>
      <c r="D1712" t="inlineStr">
        <is>
          <t>DALARNAS LÄN</t>
        </is>
      </c>
      <c r="E1712" t="inlineStr">
        <is>
          <t>GAGNEF</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37314-2022</t>
        </is>
      </c>
      <c r="B1713" s="1" t="n">
        <v>44809.24195601852</v>
      </c>
      <c r="C1713" s="1" t="n">
        <v>46114</v>
      </c>
      <c r="D1713" t="inlineStr">
        <is>
          <t>DALARNAS LÄN</t>
        </is>
      </c>
      <c r="E1713" t="inlineStr">
        <is>
          <t>FALUN</t>
        </is>
      </c>
      <c r="F1713" t="inlineStr">
        <is>
          <t>Bergvik skog väst AB</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38512-2021</t>
        </is>
      </c>
      <c r="B1714" s="1" t="n">
        <v>44407</v>
      </c>
      <c r="C1714" s="1" t="n">
        <v>46114</v>
      </c>
      <c r="D1714" t="inlineStr">
        <is>
          <t>DALARNAS LÄN</t>
        </is>
      </c>
      <c r="E1714" t="inlineStr">
        <is>
          <t>FALUN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40165-2022</t>
        </is>
      </c>
      <c r="B1715" s="1" t="n">
        <v>44820.56857638889</v>
      </c>
      <c r="C1715" s="1" t="n">
        <v>46114</v>
      </c>
      <c r="D1715" t="inlineStr">
        <is>
          <t>DALARNAS LÄN</t>
        </is>
      </c>
      <c r="E1715" t="inlineStr">
        <is>
          <t>LEKSAND</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12504-2022</t>
        </is>
      </c>
      <c r="B1716" s="1" t="n">
        <v>44638</v>
      </c>
      <c r="C1716" s="1" t="n">
        <v>46114</v>
      </c>
      <c r="D1716" t="inlineStr">
        <is>
          <t>DALARNAS LÄN</t>
        </is>
      </c>
      <c r="E1716" t="inlineStr">
        <is>
          <t>RÄTTVIK</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43672-2021</t>
        </is>
      </c>
      <c r="B1717" s="1" t="n">
        <v>44433</v>
      </c>
      <c r="C1717" s="1" t="n">
        <v>46114</v>
      </c>
      <c r="D1717" t="inlineStr">
        <is>
          <t>DALARNAS LÄN</t>
        </is>
      </c>
      <c r="E1717" t="inlineStr">
        <is>
          <t>MALUNG-SÄLEN</t>
        </is>
      </c>
      <c r="F1717" t="inlineStr">
        <is>
          <t>Övriga statliga verk och myndigheter</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43275-2022</t>
        </is>
      </c>
      <c r="B1718" s="1" t="n">
        <v>44824</v>
      </c>
      <c r="C1718" s="1" t="n">
        <v>46114</v>
      </c>
      <c r="D1718" t="inlineStr">
        <is>
          <t>DALARNAS LÄN</t>
        </is>
      </c>
      <c r="E1718" t="inlineStr">
        <is>
          <t>LEKSAND</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43304-2022</t>
        </is>
      </c>
      <c r="B1719" s="1" t="n">
        <v>44834</v>
      </c>
      <c r="C1719" s="1" t="n">
        <v>46114</v>
      </c>
      <c r="D1719" t="inlineStr">
        <is>
          <t>DALARNAS LÄN</t>
        </is>
      </c>
      <c r="E1719" t="inlineStr">
        <is>
          <t>LEKSAND</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47474-2022</t>
        </is>
      </c>
      <c r="B1720" s="1" t="n">
        <v>44853</v>
      </c>
      <c r="C1720" s="1" t="n">
        <v>46114</v>
      </c>
      <c r="D1720" t="inlineStr">
        <is>
          <t>DALARNAS LÄN</t>
        </is>
      </c>
      <c r="E1720" t="inlineStr">
        <is>
          <t>MALUNG-SÄLEN</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59658-2021</t>
        </is>
      </c>
      <c r="B1721" s="1" t="n">
        <v>44494.3159375</v>
      </c>
      <c r="C1721" s="1" t="n">
        <v>46114</v>
      </c>
      <c r="D1721" t="inlineStr">
        <is>
          <t>DALARNAS LÄN</t>
        </is>
      </c>
      <c r="E1721" t="inlineStr">
        <is>
          <t>ÄLVDALEN</t>
        </is>
      </c>
      <c r="F1721" t="inlineStr">
        <is>
          <t>Sveaskog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64896-2021</t>
        </is>
      </c>
      <c r="B1722" s="1" t="n">
        <v>44512</v>
      </c>
      <c r="C1722" s="1" t="n">
        <v>46114</v>
      </c>
      <c r="D1722" t="inlineStr">
        <is>
          <t>DALARNAS LÄN</t>
        </is>
      </c>
      <c r="E1722" t="inlineStr">
        <is>
          <t>MALUNG-SÄLEN</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9561-2022</t>
        </is>
      </c>
      <c r="B1723" s="1" t="n">
        <v>44617</v>
      </c>
      <c r="C1723" s="1" t="n">
        <v>46114</v>
      </c>
      <c r="D1723" t="inlineStr">
        <is>
          <t>DALARNAS LÄN</t>
        </is>
      </c>
      <c r="E1723" t="inlineStr">
        <is>
          <t>ORSA</t>
        </is>
      </c>
      <c r="F1723" t="inlineStr">
        <is>
          <t>Kyrkan</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30583-2022</t>
        </is>
      </c>
      <c r="B1724" s="1" t="n">
        <v>44762</v>
      </c>
      <c r="C1724" s="1" t="n">
        <v>46114</v>
      </c>
      <c r="D1724" t="inlineStr">
        <is>
          <t>DALARNAS LÄN</t>
        </is>
      </c>
      <c r="E1724" t="inlineStr">
        <is>
          <t>RÄTTVIK</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19480-2022</t>
        </is>
      </c>
      <c r="B1725" s="1" t="n">
        <v>44693</v>
      </c>
      <c r="C1725" s="1" t="n">
        <v>46114</v>
      </c>
      <c r="D1725" t="inlineStr">
        <is>
          <t>DALARNAS LÄN</t>
        </is>
      </c>
      <c r="E1725" t="inlineStr">
        <is>
          <t>LEKSAND</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55869-2021</t>
        </is>
      </c>
      <c r="B1726" s="1" t="n">
        <v>44476</v>
      </c>
      <c r="C1726" s="1" t="n">
        <v>46114</v>
      </c>
      <c r="D1726" t="inlineStr">
        <is>
          <t>DALARNAS LÄN</t>
        </is>
      </c>
      <c r="E1726" t="inlineStr">
        <is>
          <t>GAGNEF</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52573-2021</t>
        </is>
      </c>
      <c r="B1727" s="1" t="n">
        <v>44466</v>
      </c>
      <c r="C1727" s="1" t="n">
        <v>46114</v>
      </c>
      <c r="D1727" t="inlineStr">
        <is>
          <t>DALARNAS LÄN</t>
        </is>
      </c>
      <c r="E1727" t="inlineStr">
        <is>
          <t>MORA</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52574-2021</t>
        </is>
      </c>
      <c r="B1728" s="1" t="n">
        <v>44466.55795138889</v>
      </c>
      <c r="C1728" s="1" t="n">
        <v>46114</v>
      </c>
      <c r="D1728" t="inlineStr">
        <is>
          <t>DALARNAS LÄN</t>
        </is>
      </c>
      <c r="E1728" t="inlineStr">
        <is>
          <t>ORSA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54939-2022</t>
        </is>
      </c>
      <c r="B1729" s="1" t="n">
        <v>44886.44950231481</v>
      </c>
      <c r="C1729" s="1" t="n">
        <v>46114</v>
      </c>
      <c r="D1729" t="inlineStr">
        <is>
          <t>DALARNAS LÄN</t>
        </is>
      </c>
      <c r="E1729" t="inlineStr">
        <is>
          <t>MALUNG-SÄLEN</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56147-2022</t>
        </is>
      </c>
      <c r="B1730" s="1" t="n">
        <v>44889.89063657408</v>
      </c>
      <c r="C1730" s="1" t="n">
        <v>46114</v>
      </c>
      <c r="D1730" t="inlineStr">
        <is>
          <t>DALARNAS LÄN</t>
        </is>
      </c>
      <c r="E1730" t="inlineStr">
        <is>
          <t>FALUN</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67977-2021</t>
        </is>
      </c>
      <c r="B1731" s="1" t="n">
        <v>44525</v>
      </c>
      <c r="C1731" s="1" t="n">
        <v>46114</v>
      </c>
      <c r="D1731" t="inlineStr">
        <is>
          <t>DALARNAS LÄN</t>
        </is>
      </c>
      <c r="E1731" t="inlineStr">
        <is>
          <t>SMEDJEBACKEN</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62279-2021</t>
        </is>
      </c>
      <c r="B1732" s="1" t="n">
        <v>44503</v>
      </c>
      <c r="C1732" s="1" t="n">
        <v>46114</v>
      </c>
      <c r="D1732" t="inlineStr">
        <is>
          <t>DALARNAS LÄN</t>
        </is>
      </c>
      <c r="E1732" t="inlineStr">
        <is>
          <t>LEKSAND</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23606-2022</t>
        </is>
      </c>
      <c r="B1733" s="1" t="n">
        <v>44721</v>
      </c>
      <c r="C1733" s="1" t="n">
        <v>46114</v>
      </c>
      <c r="D1733" t="inlineStr">
        <is>
          <t>DALARNAS LÄN</t>
        </is>
      </c>
      <c r="E1733" t="inlineStr">
        <is>
          <t>MALUNG-SÄLEN</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15540-2022</t>
        </is>
      </c>
      <c r="B1734" s="1" t="n">
        <v>44662</v>
      </c>
      <c r="C1734" s="1" t="n">
        <v>46114</v>
      </c>
      <c r="D1734" t="inlineStr">
        <is>
          <t>DALARNAS LÄN</t>
        </is>
      </c>
      <c r="E1734" t="inlineStr">
        <is>
          <t>FALUN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52221-2021</t>
        </is>
      </c>
      <c r="B1735" s="1" t="n">
        <v>44462</v>
      </c>
      <c r="C1735" s="1" t="n">
        <v>46114</v>
      </c>
      <c r="D1735" t="inlineStr">
        <is>
          <t>DALARNAS LÄN</t>
        </is>
      </c>
      <c r="E1735" t="inlineStr">
        <is>
          <t>HEDEMORA</t>
        </is>
      </c>
      <c r="F1735" t="inlineStr">
        <is>
          <t>Bergvik skog väst AB</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23626-2022</t>
        </is>
      </c>
      <c r="B1736" s="1" t="n">
        <v>44721.63247685185</v>
      </c>
      <c r="C1736" s="1" t="n">
        <v>46114</v>
      </c>
      <c r="D1736" t="inlineStr">
        <is>
          <t>DALARNAS LÄN</t>
        </is>
      </c>
      <c r="E1736" t="inlineStr">
        <is>
          <t>FALUN</t>
        </is>
      </c>
      <c r="F1736" t="inlineStr">
        <is>
          <t>Bergvik skog väst AB</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26005-2022</t>
        </is>
      </c>
      <c r="B1737" s="1" t="n">
        <v>44734.54008101852</v>
      </c>
      <c r="C1737" s="1" t="n">
        <v>46114</v>
      </c>
      <c r="D1737" t="inlineStr">
        <is>
          <t>DALARNAS LÄN</t>
        </is>
      </c>
      <c r="E1737" t="inlineStr">
        <is>
          <t>SMEDJEBACKEN</t>
        </is>
      </c>
      <c r="F1737" t="inlineStr">
        <is>
          <t>Sveaskog</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32028-2022</t>
        </is>
      </c>
      <c r="B1738" s="1" t="n">
        <v>44778</v>
      </c>
      <c r="C1738" s="1" t="n">
        <v>46114</v>
      </c>
      <c r="D1738" t="inlineStr">
        <is>
          <t>DALARNAS LÄN</t>
        </is>
      </c>
      <c r="E1738" t="inlineStr">
        <is>
          <t>GAGNEF</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69798-2021</t>
        </is>
      </c>
      <c r="B1739" s="1" t="n">
        <v>44532.61158564815</v>
      </c>
      <c r="C1739" s="1" t="n">
        <v>46114</v>
      </c>
      <c r="D1739" t="inlineStr">
        <is>
          <t>DALARNAS LÄN</t>
        </is>
      </c>
      <c r="E1739" t="inlineStr">
        <is>
          <t>BORLÄNGE</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29366-2021</t>
        </is>
      </c>
      <c r="B1740" s="1" t="n">
        <v>44361.46637731481</v>
      </c>
      <c r="C1740" s="1" t="n">
        <v>46114</v>
      </c>
      <c r="D1740" t="inlineStr">
        <is>
          <t>DALARNAS LÄN</t>
        </is>
      </c>
      <c r="E1740" t="inlineStr">
        <is>
          <t>ORSA</t>
        </is>
      </c>
      <c r="F1740" t="inlineStr">
        <is>
          <t>Bergvik skog öst AB</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18708-2021</t>
        </is>
      </c>
      <c r="B1741" s="1" t="n">
        <v>44307</v>
      </c>
      <c r="C1741" s="1" t="n">
        <v>46114</v>
      </c>
      <c r="D1741" t="inlineStr">
        <is>
          <t>DALARNAS LÄN</t>
        </is>
      </c>
      <c r="E1741" t="inlineStr">
        <is>
          <t>ORSA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57685-2021</t>
        </is>
      </c>
      <c r="B1742" s="1" t="n">
        <v>44484.46385416666</v>
      </c>
      <c r="C1742" s="1" t="n">
        <v>46114</v>
      </c>
      <c r="D1742" t="inlineStr">
        <is>
          <t>DALARNAS LÄN</t>
        </is>
      </c>
      <c r="E1742" t="inlineStr">
        <is>
          <t>ORSA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73350-2021</t>
        </is>
      </c>
      <c r="B1743" s="1" t="n">
        <v>44551</v>
      </c>
      <c r="C1743" s="1" t="n">
        <v>46114</v>
      </c>
      <c r="D1743" t="inlineStr">
        <is>
          <t>DALARNAS LÄN</t>
        </is>
      </c>
      <c r="E1743" t="inlineStr">
        <is>
          <t>RÄTTVIK</t>
        </is>
      </c>
      <c r="G1743" t="n">
        <v>3.7</v>
      </c>
      <c r="H1743" t="n">
        <v>0</v>
      </c>
      <c r="I1743" t="n">
        <v>0</v>
      </c>
      <c r="J1743" t="n">
        <v>0</v>
      </c>
      <c r="K1743" t="n">
        <v>0</v>
      </c>
      <c r="L1743" t="n">
        <v>0</v>
      </c>
      <c r="M1743" t="n">
        <v>0</v>
      </c>
      <c r="N1743" t="n">
        <v>0</v>
      </c>
      <c r="O1743" t="n">
        <v>0</v>
      </c>
      <c r="P1743" t="n">
        <v>0</v>
      </c>
      <c r="Q1743" t="n">
        <v>0</v>
      </c>
      <c r="R1743" s="2" t="inlineStr"/>
    </row>
    <row r="1744" ht="15" customHeight="1">
      <c r="A1744" t="inlineStr">
        <is>
          <t>A 36865-2022</t>
        </is>
      </c>
      <c r="B1744" s="1" t="n">
        <v>44805</v>
      </c>
      <c r="C1744" s="1" t="n">
        <v>46114</v>
      </c>
      <c r="D1744" t="inlineStr">
        <is>
          <t>DALARNAS LÄN</t>
        </is>
      </c>
      <c r="E1744" t="inlineStr">
        <is>
          <t>HEDEMORA</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23329-2022</t>
        </is>
      </c>
      <c r="B1745" s="1" t="n">
        <v>44720</v>
      </c>
      <c r="C1745" s="1" t="n">
        <v>46114</v>
      </c>
      <c r="D1745" t="inlineStr">
        <is>
          <t>DALARNAS LÄN</t>
        </is>
      </c>
      <c r="E1745" t="inlineStr">
        <is>
          <t>HEDEMORA</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62305-2021</t>
        </is>
      </c>
      <c r="B1746" s="1" t="n">
        <v>44502</v>
      </c>
      <c r="C1746" s="1" t="n">
        <v>46114</v>
      </c>
      <c r="D1746" t="inlineStr">
        <is>
          <t>DALARNAS LÄN</t>
        </is>
      </c>
      <c r="E1746" t="inlineStr">
        <is>
          <t>HEDEMORA</t>
        </is>
      </c>
      <c r="F1746" t="inlineStr">
        <is>
          <t>Bergvik skog väst AB</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61563-2021</t>
        </is>
      </c>
      <c r="B1747" s="1" t="n">
        <v>44501</v>
      </c>
      <c r="C1747" s="1" t="n">
        <v>46114</v>
      </c>
      <c r="D1747" t="inlineStr">
        <is>
          <t>DALARNAS LÄN</t>
        </is>
      </c>
      <c r="E1747" t="inlineStr">
        <is>
          <t>ÄLVDALEN</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26667-2022</t>
        </is>
      </c>
      <c r="B1748" s="1" t="n">
        <v>44739</v>
      </c>
      <c r="C1748" s="1" t="n">
        <v>46114</v>
      </c>
      <c r="D1748" t="inlineStr">
        <is>
          <t>DALARNAS LÄN</t>
        </is>
      </c>
      <c r="E1748" t="inlineStr">
        <is>
          <t>MALUNG-SÄLEN</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70026-2021</t>
        </is>
      </c>
      <c r="B1749" s="1" t="n">
        <v>44533</v>
      </c>
      <c r="C1749" s="1" t="n">
        <v>46114</v>
      </c>
      <c r="D1749" t="inlineStr">
        <is>
          <t>DALARNAS LÄN</t>
        </is>
      </c>
      <c r="E1749" t="inlineStr">
        <is>
          <t>LEKSAND</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7759-2022</t>
        </is>
      </c>
      <c r="B1750" s="1" t="n">
        <v>44608</v>
      </c>
      <c r="C1750" s="1" t="n">
        <v>46114</v>
      </c>
      <c r="D1750" t="inlineStr">
        <is>
          <t>DALARNAS LÄN</t>
        </is>
      </c>
      <c r="E1750" t="inlineStr">
        <is>
          <t>SMEDJEBACKEN</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27461-2022</t>
        </is>
      </c>
      <c r="B1751" s="1" t="n">
        <v>44742.58386574074</v>
      </c>
      <c r="C1751" s="1" t="n">
        <v>46114</v>
      </c>
      <c r="D1751" t="inlineStr">
        <is>
          <t>DALARNAS LÄN</t>
        </is>
      </c>
      <c r="E1751" t="inlineStr">
        <is>
          <t>MORA</t>
        </is>
      </c>
      <c r="F1751" t="inlineStr">
        <is>
          <t>Bergvik skog väst AB</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33398-2021</t>
        </is>
      </c>
      <c r="B1752" s="1" t="n">
        <v>44377.57457175926</v>
      </c>
      <c r="C1752" s="1" t="n">
        <v>46114</v>
      </c>
      <c r="D1752" t="inlineStr">
        <is>
          <t>DALARNAS LÄN</t>
        </is>
      </c>
      <c r="E1752" t="inlineStr">
        <is>
          <t>RÄTTVIK</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33416-2021</t>
        </is>
      </c>
      <c r="B1753" s="1" t="n">
        <v>44377</v>
      </c>
      <c r="C1753" s="1" t="n">
        <v>46114</v>
      </c>
      <c r="D1753" t="inlineStr">
        <is>
          <t>DALARNAS LÄN</t>
        </is>
      </c>
      <c r="E1753" t="inlineStr">
        <is>
          <t>LUDVIKA</t>
        </is>
      </c>
      <c r="F1753" t="inlineStr">
        <is>
          <t>Bergvik skog väst AB</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27846-2022</t>
        </is>
      </c>
      <c r="B1754" s="1" t="n">
        <v>44743</v>
      </c>
      <c r="C1754" s="1" t="n">
        <v>46114</v>
      </c>
      <c r="D1754" t="inlineStr">
        <is>
          <t>DALARNAS LÄN</t>
        </is>
      </c>
      <c r="E1754" t="inlineStr">
        <is>
          <t>MALUNG-SÄLEN</t>
        </is>
      </c>
      <c r="F1754" t="inlineStr">
        <is>
          <t>Kommuner</t>
        </is>
      </c>
      <c r="G1754" t="n">
        <v>0.3</v>
      </c>
      <c r="H1754" t="n">
        <v>0</v>
      </c>
      <c r="I1754" t="n">
        <v>0</v>
      </c>
      <c r="J1754" t="n">
        <v>0</v>
      </c>
      <c r="K1754" t="n">
        <v>0</v>
      </c>
      <c r="L1754" t="n">
        <v>0</v>
      </c>
      <c r="M1754" t="n">
        <v>0</v>
      </c>
      <c r="N1754" t="n">
        <v>0</v>
      </c>
      <c r="O1754" t="n">
        <v>0</v>
      </c>
      <c r="P1754" t="n">
        <v>0</v>
      </c>
      <c r="Q1754" t="n">
        <v>0</v>
      </c>
      <c r="R1754" s="2" t="inlineStr"/>
    </row>
    <row r="1755" ht="15" customHeight="1">
      <c r="A1755" t="inlineStr">
        <is>
          <t>A 27849-2022</t>
        </is>
      </c>
      <c r="B1755" s="1" t="n">
        <v>44743.62524305555</v>
      </c>
      <c r="C1755" s="1" t="n">
        <v>46114</v>
      </c>
      <c r="D1755" t="inlineStr">
        <is>
          <t>DALARNAS LÄN</t>
        </is>
      </c>
      <c r="E1755" t="inlineStr">
        <is>
          <t>MALUNG-SÄLEN</t>
        </is>
      </c>
      <c r="F1755" t="inlineStr">
        <is>
          <t>Kommuner</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36956-2021</t>
        </is>
      </c>
      <c r="B1756" s="1" t="n">
        <v>44393.55643518519</v>
      </c>
      <c r="C1756" s="1" t="n">
        <v>46114</v>
      </c>
      <c r="D1756" t="inlineStr">
        <is>
          <t>DALARNAS LÄN</t>
        </is>
      </c>
      <c r="E1756" t="inlineStr">
        <is>
          <t>LEKSAND</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66157-2021</t>
        </is>
      </c>
      <c r="B1757" s="1" t="n">
        <v>44517.92888888889</v>
      </c>
      <c r="C1757" s="1" t="n">
        <v>46114</v>
      </c>
      <c r="D1757" t="inlineStr">
        <is>
          <t>DALARNAS LÄN</t>
        </is>
      </c>
      <c r="E1757" t="inlineStr">
        <is>
          <t>MORA</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45623-2022</t>
        </is>
      </c>
      <c r="B1758" s="1" t="n">
        <v>44845.61091435186</v>
      </c>
      <c r="C1758" s="1" t="n">
        <v>46114</v>
      </c>
      <c r="D1758" t="inlineStr">
        <is>
          <t>DALARNAS LÄN</t>
        </is>
      </c>
      <c r="E1758" t="inlineStr">
        <is>
          <t>RÄTTVIK</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46672-2022</t>
        </is>
      </c>
      <c r="B1759" s="1" t="n">
        <v>44851</v>
      </c>
      <c r="C1759" s="1" t="n">
        <v>46114</v>
      </c>
      <c r="D1759" t="inlineStr">
        <is>
          <t>DALARNAS LÄN</t>
        </is>
      </c>
      <c r="E1759" t="inlineStr">
        <is>
          <t>LEKSAND</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46680-2022</t>
        </is>
      </c>
      <c r="B1760" s="1" t="n">
        <v>44851.3506712963</v>
      </c>
      <c r="C1760" s="1" t="n">
        <v>46114</v>
      </c>
      <c r="D1760" t="inlineStr">
        <is>
          <t>DALARNAS LÄN</t>
        </is>
      </c>
      <c r="E1760" t="inlineStr">
        <is>
          <t>LUDVIKA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33843-2022</t>
        </is>
      </c>
      <c r="B1761" s="1" t="n">
        <v>44790</v>
      </c>
      <c r="C1761" s="1" t="n">
        <v>46114</v>
      </c>
      <c r="D1761" t="inlineStr">
        <is>
          <t>DALARNAS LÄN</t>
        </is>
      </c>
      <c r="E1761" t="inlineStr">
        <is>
          <t>SMEDJEBACKEN</t>
        </is>
      </c>
      <c r="F1761" t="inlineStr">
        <is>
          <t>Bergvik skog väst AB</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18373-2021</t>
        </is>
      </c>
      <c r="B1762" s="1" t="n">
        <v>44305</v>
      </c>
      <c r="C1762" s="1" t="n">
        <v>46114</v>
      </c>
      <c r="D1762" t="inlineStr">
        <is>
          <t>DALARNAS LÄN</t>
        </is>
      </c>
      <c r="E1762" t="inlineStr">
        <is>
          <t>SMEDJEBACKEN</t>
        </is>
      </c>
      <c r="F1762" t="inlineStr">
        <is>
          <t>Sveaskog</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19745-2021</t>
        </is>
      </c>
      <c r="B1763" s="1" t="n">
        <v>44313.31770833334</v>
      </c>
      <c r="C1763" s="1" t="n">
        <v>46114</v>
      </c>
      <c r="D1763" t="inlineStr">
        <is>
          <t>DALARNAS LÄN</t>
        </is>
      </c>
      <c r="E1763" t="inlineStr">
        <is>
          <t>SÄTER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70115-2021</t>
        </is>
      </c>
      <c r="B1764" s="1" t="n">
        <v>44533</v>
      </c>
      <c r="C1764" s="1" t="n">
        <v>46114</v>
      </c>
      <c r="D1764" t="inlineStr">
        <is>
          <t>DALARNAS LÄN</t>
        </is>
      </c>
      <c r="E1764" t="inlineStr">
        <is>
          <t>RÄTTVIK</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1977-2022</t>
        </is>
      </c>
      <c r="B1765" s="1" t="n">
        <v>44575</v>
      </c>
      <c r="C1765" s="1" t="n">
        <v>46114</v>
      </c>
      <c r="D1765" t="inlineStr">
        <is>
          <t>DALARNAS LÄN</t>
        </is>
      </c>
      <c r="E1765" t="inlineStr">
        <is>
          <t>AVESTA</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35666-2022</t>
        </is>
      </c>
      <c r="B1766" s="1" t="n">
        <v>44799</v>
      </c>
      <c r="C1766" s="1" t="n">
        <v>46114</v>
      </c>
      <c r="D1766" t="inlineStr">
        <is>
          <t>DALARNAS LÄN</t>
        </is>
      </c>
      <c r="E1766" t="inlineStr">
        <is>
          <t>SMEDJEBACKEN</t>
        </is>
      </c>
      <c r="F1766" t="inlineStr">
        <is>
          <t>Sveaskog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44133-2022</t>
        </is>
      </c>
      <c r="B1767" s="1" t="n">
        <v>44839</v>
      </c>
      <c r="C1767" s="1" t="n">
        <v>46114</v>
      </c>
      <c r="D1767" t="inlineStr">
        <is>
          <t>DALARNAS LÄN</t>
        </is>
      </c>
      <c r="E1767" t="inlineStr">
        <is>
          <t>AVESTA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32243-2022</t>
        </is>
      </c>
      <c r="B1768" s="1" t="n">
        <v>44781.47965277778</v>
      </c>
      <c r="C1768" s="1" t="n">
        <v>46114</v>
      </c>
      <c r="D1768" t="inlineStr">
        <is>
          <t>DALARNAS LÄN</t>
        </is>
      </c>
      <c r="E1768" t="inlineStr">
        <is>
          <t>BORLÄNGE</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39043-2022</t>
        </is>
      </c>
      <c r="B1769" s="1" t="n">
        <v>44817.35511574074</v>
      </c>
      <c r="C1769" s="1" t="n">
        <v>46114</v>
      </c>
      <c r="D1769" t="inlineStr">
        <is>
          <t>DALARNAS LÄN</t>
        </is>
      </c>
      <c r="E1769" t="inlineStr">
        <is>
          <t>VANSBRO</t>
        </is>
      </c>
      <c r="F1769" t="inlineStr">
        <is>
          <t>Övriga statliga verk och myndigheter</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21279-2022</t>
        </is>
      </c>
      <c r="B1770" s="1" t="n">
        <v>44705</v>
      </c>
      <c r="C1770" s="1" t="n">
        <v>46114</v>
      </c>
      <c r="D1770" t="inlineStr">
        <is>
          <t>DALARNAS LÄN</t>
        </is>
      </c>
      <c r="E1770" t="inlineStr">
        <is>
          <t>ÄLVDALEN</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26568-2021</t>
        </is>
      </c>
      <c r="B1771" s="1" t="n">
        <v>44348.55862268519</v>
      </c>
      <c r="C1771" s="1" t="n">
        <v>46114</v>
      </c>
      <c r="D1771" t="inlineStr">
        <is>
          <t>DALARNAS LÄN</t>
        </is>
      </c>
      <c r="E1771" t="inlineStr">
        <is>
          <t>MALUNG-SÄLEN</t>
        </is>
      </c>
      <c r="F1771" t="inlineStr">
        <is>
          <t>Bergvik skog öst AB</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51709-2022</t>
        </is>
      </c>
      <c r="B1772" s="1" t="n">
        <v>44872</v>
      </c>
      <c r="C1772" s="1" t="n">
        <v>46114</v>
      </c>
      <c r="D1772" t="inlineStr">
        <is>
          <t>DALARNAS LÄN</t>
        </is>
      </c>
      <c r="E1772" t="inlineStr">
        <is>
          <t>LUDVIKA</t>
        </is>
      </c>
      <c r="F1772" t="inlineStr">
        <is>
          <t>Bergvik skog väst AB</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51713-2022</t>
        </is>
      </c>
      <c r="B1773" s="1" t="n">
        <v>44872.4658912037</v>
      </c>
      <c r="C1773" s="1" t="n">
        <v>46114</v>
      </c>
      <c r="D1773" t="inlineStr">
        <is>
          <t>DALARNAS LÄN</t>
        </is>
      </c>
      <c r="E1773" t="inlineStr">
        <is>
          <t>LUDVIKA</t>
        </is>
      </c>
      <c r="F1773" t="inlineStr">
        <is>
          <t>Bergvik skog väst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58413-2021</t>
        </is>
      </c>
      <c r="B1774" s="1" t="n">
        <v>44488</v>
      </c>
      <c r="C1774" s="1" t="n">
        <v>46114</v>
      </c>
      <c r="D1774" t="inlineStr">
        <is>
          <t>DALARNAS LÄN</t>
        </is>
      </c>
      <c r="E1774" t="inlineStr">
        <is>
          <t>MORA</t>
        </is>
      </c>
      <c r="F1774" t="inlineStr">
        <is>
          <t>Bergvik skog öst AB</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51060-2022</t>
        </is>
      </c>
      <c r="B1775" s="1" t="n">
        <v>44868</v>
      </c>
      <c r="C1775" s="1" t="n">
        <v>46114</v>
      </c>
      <c r="D1775" t="inlineStr">
        <is>
          <t>DALARNAS LÄN</t>
        </is>
      </c>
      <c r="E1775" t="inlineStr">
        <is>
          <t>RÄTTVIK</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20050-2021</t>
        </is>
      </c>
      <c r="B1776" s="1" t="n">
        <v>44314</v>
      </c>
      <c r="C1776" s="1" t="n">
        <v>46114</v>
      </c>
      <c r="D1776" t="inlineStr">
        <is>
          <t>DALARNAS LÄN</t>
        </is>
      </c>
      <c r="E1776" t="inlineStr">
        <is>
          <t>ÄLVDALEN</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44250-2021</t>
        </is>
      </c>
      <c r="B1777" s="1" t="n">
        <v>44434</v>
      </c>
      <c r="C1777" s="1" t="n">
        <v>46114</v>
      </c>
      <c r="D1777" t="inlineStr">
        <is>
          <t>DALARNAS LÄN</t>
        </is>
      </c>
      <c r="E1777" t="inlineStr">
        <is>
          <t>SMEDJEBACKEN</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60414-2021</t>
        </is>
      </c>
      <c r="B1778" s="1" t="n">
        <v>44496.40109953703</v>
      </c>
      <c r="C1778" s="1" t="n">
        <v>46114</v>
      </c>
      <c r="D1778" t="inlineStr">
        <is>
          <t>DALARNAS LÄN</t>
        </is>
      </c>
      <c r="E1778" t="inlineStr">
        <is>
          <t>SMEDJEBACKEN</t>
        </is>
      </c>
      <c r="F1778" t="inlineStr">
        <is>
          <t>Sveaskog</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41425-2021</t>
        </is>
      </c>
      <c r="B1779" s="1" t="n">
        <v>44424.71729166667</v>
      </c>
      <c r="C1779" s="1" t="n">
        <v>46114</v>
      </c>
      <c r="D1779" t="inlineStr">
        <is>
          <t>DALARNAS LÄN</t>
        </is>
      </c>
      <c r="E1779" t="inlineStr">
        <is>
          <t>ORSA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34511-2022</t>
        </is>
      </c>
      <c r="B1780" s="1" t="n">
        <v>44792</v>
      </c>
      <c r="C1780" s="1" t="n">
        <v>46114</v>
      </c>
      <c r="D1780" t="inlineStr">
        <is>
          <t>DALARNAS LÄN</t>
        </is>
      </c>
      <c r="E1780" t="inlineStr">
        <is>
          <t>FALUN</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40234-2021</t>
        </is>
      </c>
      <c r="B1781" s="1" t="n">
        <v>44419</v>
      </c>
      <c r="C1781" s="1" t="n">
        <v>46114</v>
      </c>
      <c r="D1781" t="inlineStr">
        <is>
          <t>DALARNAS LÄN</t>
        </is>
      </c>
      <c r="E1781" t="inlineStr">
        <is>
          <t>ÄLVDALEN</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18757-2022</t>
        </is>
      </c>
      <c r="B1782" s="1" t="n">
        <v>44688.45394675926</v>
      </c>
      <c r="C1782" s="1" t="n">
        <v>46114</v>
      </c>
      <c r="D1782" t="inlineStr">
        <is>
          <t>DALARNAS LÄN</t>
        </is>
      </c>
      <c r="E1782" t="inlineStr">
        <is>
          <t>SÄTER</t>
        </is>
      </c>
      <c r="F1782" t="inlineStr">
        <is>
          <t>Bergvik skog väst AB</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9304-2022</t>
        </is>
      </c>
      <c r="B1783" s="1" t="n">
        <v>44616</v>
      </c>
      <c r="C1783" s="1" t="n">
        <v>46114</v>
      </c>
      <c r="D1783" t="inlineStr">
        <is>
          <t>DALARNAS LÄN</t>
        </is>
      </c>
      <c r="E1783" t="inlineStr">
        <is>
          <t>MALUNG-SÄLEN</t>
        </is>
      </c>
      <c r="G1783" t="n">
        <v>2.6</v>
      </c>
      <c r="H1783" t="n">
        <v>0</v>
      </c>
      <c r="I1783" t="n">
        <v>0</v>
      </c>
      <c r="J1783" t="n">
        <v>0</v>
      </c>
      <c r="K1783" t="n">
        <v>0</v>
      </c>
      <c r="L1783" t="n">
        <v>0</v>
      </c>
      <c r="M1783" t="n">
        <v>0</v>
      </c>
      <c r="N1783" t="n">
        <v>0</v>
      </c>
      <c r="O1783" t="n">
        <v>0</v>
      </c>
      <c r="P1783" t="n">
        <v>0</v>
      </c>
      <c r="Q1783" t="n">
        <v>0</v>
      </c>
      <c r="R1783" s="2" t="inlineStr"/>
    </row>
    <row r="1784" ht="15" customHeight="1">
      <c r="A1784" t="inlineStr">
        <is>
          <t>A 39233-2021</t>
        </is>
      </c>
      <c r="B1784" s="1" t="n">
        <v>44413.44799768519</v>
      </c>
      <c r="C1784" s="1" t="n">
        <v>46114</v>
      </c>
      <c r="D1784" t="inlineStr">
        <is>
          <t>DALARNAS LÄN</t>
        </is>
      </c>
      <c r="E1784" t="inlineStr">
        <is>
          <t>FALUN</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3978-2022</t>
        </is>
      </c>
      <c r="B1785" s="1" t="n">
        <v>44587</v>
      </c>
      <c r="C1785" s="1" t="n">
        <v>46114</v>
      </c>
      <c r="D1785" t="inlineStr">
        <is>
          <t>DALARNAS LÄN</t>
        </is>
      </c>
      <c r="E1785" t="inlineStr">
        <is>
          <t>BORLÄNGE</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25620-2022</t>
        </is>
      </c>
      <c r="B1786" s="1" t="n">
        <v>44732</v>
      </c>
      <c r="C1786" s="1" t="n">
        <v>46114</v>
      </c>
      <c r="D1786" t="inlineStr">
        <is>
          <t>DALARNAS LÄN</t>
        </is>
      </c>
      <c r="E1786" t="inlineStr">
        <is>
          <t>GAGNEF</t>
        </is>
      </c>
      <c r="F1786" t="inlineStr">
        <is>
          <t>Kyrkan</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25622-2022</t>
        </is>
      </c>
      <c r="B1787" s="1" t="n">
        <v>44732.89972222222</v>
      </c>
      <c r="C1787" s="1" t="n">
        <v>46114</v>
      </c>
      <c r="D1787" t="inlineStr">
        <is>
          <t>DALARNAS LÄN</t>
        </is>
      </c>
      <c r="E1787" t="inlineStr">
        <is>
          <t>GAGNEF</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23344-2022</t>
        </is>
      </c>
      <c r="B1788" s="1" t="n">
        <v>44720.54599537037</v>
      </c>
      <c r="C1788" s="1" t="n">
        <v>46114</v>
      </c>
      <c r="D1788" t="inlineStr">
        <is>
          <t>DALARNAS LÄN</t>
        </is>
      </c>
      <c r="E1788" t="inlineStr">
        <is>
          <t>ORSA</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23345-2022</t>
        </is>
      </c>
      <c r="B1789" s="1" t="n">
        <v>44720</v>
      </c>
      <c r="C1789" s="1" t="n">
        <v>46114</v>
      </c>
      <c r="D1789" t="inlineStr">
        <is>
          <t>DALARNAS LÄN</t>
        </is>
      </c>
      <c r="E1789" t="inlineStr">
        <is>
          <t>LUDVIKA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21169-2022</t>
        </is>
      </c>
      <c r="B1790" s="1" t="n">
        <v>44704</v>
      </c>
      <c r="C1790" s="1" t="n">
        <v>46114</v>
      </c>
      <c r="D1790" t="inlineStr">
        <is>
          <t>DALARNAS LÄN</t>
        </is>
      </c>
      <c r="E1790" t="inlineStr">
        <is>
          <t>FALUN</t>
        </is>
      </c>
      <c r="F1790" t="inlineStr">
        <is>
          <t>Bergvik skog väst AB</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57827-2021</t>
        </is>
      </c>
      <c r="B1791" s="1" t="n">
        <v>44484.6912037037</v>
      </c>
      <c r="C1791" s="1" t="n">
        <v>46114</v>
      </c>
      <c r="D1791" t="inlineStr">
        <is>
          <t>DALARNAS LÄN</t>
        </is>
      </c>
      <c r="E1791" t="inlineStr">
        <is>
          <t>RÄTTVIK</t>
        </is>
      </c>
      <c r="F1791" t="inlineStr">
        <is>
          <t>Sveaskog</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66887-2021</t>
        </is>
      </c>
      <c r="B1792" s="1" t="n">
        <v>44522.47883101852</v>
      </c>
      <c r="C1792" s="1" t="n">
        <v>46114</v>
      </c>
      <c r="D1792" t="inlineStr">
        <is>
          <t>DALARNAS LÄN</t>
        </is>
      </c>
      <c r="E1792" t="inlineStr">
        <is>
          <t>ÄLVDALEN</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46138-2021</t>
        </is>
      </c>
      <c r="B1793" s="1" t="n">
        <v>44442.39803240741</v>
      </c>
      <c r="C1793" s="1" t="n">
        <v>46114</v>
      </c>
      <c r="D1793" t="inlineStr">
        <is>
          <t>DALARNAS LÄN</t>
        </is>
      </c>
      <c r="E1793" t="inlineStr">
        <is>
          <t>SMEDJEBACKEN</t>
        </is>
      </c>
      <c r="F1793" t="inlineStr">
        <is>
          <t>Sveaskog</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28403-2022</t>
        </is>
      </c>
      <c r="B1794" s="1" t="n">
        <v>44747</v>
      </c>
      <c r="C1794" s="1" t="n">
        <v>46114</v>
      </c>
      <c r="D1794" t="inlineStr">
        <is>
          <t>DALARNAS LÄN</t>
        </is>
      </c>
      <c r="E1794" t="inlineStr">
        <is>
          <t>AVESTA</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44142-2022</t>
        </is>
      </c>
      <c r="B1795" s="1" t="n">
        <v>44839.41791666667</v>
      </c>
      <c r="C1795" s="1" t="n">
        <v>46114</v>
      </c>
      <c r="D1795" t="inlineStr">
        <is>
          <t>DALARNAS LÄN</t>
        </is>
      </c>
      <c r="E1795" t="inlineStr">
        <is>
          <t>RÄTTVIK</t>
        </is>
      </c>
      <c r="F1795" t="inlineStr">
        <is>
          <t>Sveaskog</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44148-2022</t>
        </is>
      </c>
      <c r="B1796" s="1" t="n">
        <v>44839.42304398148</v>
      </c>
      <c r="C1796" s="1" t="n">
        <v>46114</v>
      </c>
      <c r="D1796" t="inlineStr">
        <is>
          <t>DALARNAS LÄN</t>
        </is>
      </c>
      <c r="E1796" t="inlineStr">
        <is>
          <t>RÄTTVIK</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40542-2022</t>
        </is>
      </c>
      <c r="B1797" s="1" t="n">
        <v>44819</v>
      </c>
      <c r="C1797" s="1" t="n">
        <v>46114</v>
      </c>
      <c r="D1797" t="inlineStr">
        <is>
          <t>DALARNAS LÄN</t>
        </is>
      </c>
      <c r="E1797" t="inlineStr">
        <is>
          <t>RÄTTVIK</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34323-2022</t>
        </is>
      </c>
      <c r="B1798" s="1" t="n">
        <v>44792</v>
      </c>
      <c r="C1798" s="1" t="n">
        <v>46114</v>
      </c>
      <c r="D1798" t="inlineStr">
        <is>
          <t>DALARNAS LÄN</t>
        </is>
      </c>
      <c r="E1798" t="inlineStr">
        <is>
          <t>BORLÄNGE</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60912-2021</t>
        </is>
      </c>
      <c r="B1799" s="1" t="n">
        <v>44496</v>
      </c>
      <c r="C1799" s="1" t="n">
        <v>46114</v>
      </c>
      <c r="D1799" t="inlineStr">
        <is>
          <t>DALARNAS LÄN</t>
        </is>
      </c>
      <c r="E1799" t="inlineStr">
        <is>
          <t>SMEDJEBACKEN</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36663-2022</t>
        </is>
      </c>
      <c r="B1800" s="1" t="n">
        <v>44804.87157407407</v>
      </c>
      <c r="C1800" s="1" t="n">
        <v>46114</v>
      </c>
      <c r="D1800" t="inlineStr">
        <is>
          <t>DALARNAS LÄN</t>
        </is>
      </c>
      <c r="E1800" t="inlineStr">
        <is>
          <t>SMEDJEBACKEN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39433-2021</t>
        </is>
      </c>
      <c r="B1801" s="1" t="n">
        <v>44414</v>
      </c>
      <c r="C1801" s="1" t="n">
        <v>46114</v>
      </c>
      <c r="D1801" t="inlineStr">
        <is>
          <t>DALARNAS LÄN</t>
        </is>
      </c>
      <c r="E1801" t="inlineStr">
        <is>
          <t>RÄTTVIK</t>
        </is>
      </c>
      <c r="F1801" t="inlineStr">
        <is>
          <t>Kyrkan</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39438-2021</t>
        </is>
      </c>
      <c r="B1802" s="1" t="n">
        <v>44414</v>
      </c>
      <c r="C1802" s="1" t="n">
        <v>46114</v>
      </c>
      <c r="D1802" t="inlineStr">
        <is>
          <t>DALARNAS LÄN</t>
        </is>
      </c>
      <c r="E1802" t="inlineStr">
        <is>
          <t>VANSBRO</t>
        </is>
      </c>
      <c r="F1802" t="inlineStr">
        <is>
          <t>Kyrkan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36759-2022</t>
        </is>
      </c>
      <c r="B1803" s="1" t="n">
        <v>44805</v>
      </c>
      <c r="C1803" s="1" t="n">
        <v>46114</v>
      </c>
      <c r="D1803" t="inlineStr">
        <is>
          <t>DALARNAS LÄN</t>
        </is>
      </c>
      <c r="E1803" t="inlineStr">
        <is>
          <t>BORLÄNGE</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72010-2021</t>
        </is>
      </c>
      <c r="B1804" s="1" t="n">
        <v>44544</v>
      </c>
      <c r="C1804" s="1" t="n">
        <v>46114</v>
      </c>
      <c r="D1804" t="inlineStr">
        <is>
          <t>DALARNAS LÄN</t>
        </is>
      </c>
      <c r="E1804" t="inlineStr">
        <is>
          <t>RÄTTVIK</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35123-2022</t>
        </is>
      </c>
      <c r="B1805" s="1" t="n">
        <v>44797.46636574074</v>
      </c>
      <c r="C1805" s="1" t="n">
        <v>46114</v>
      </c>
      <c r="D1805" t="inlineStr">
        <is>
          <t>DALARNAS LÄN</t>
        </is>
      </c>
      <c r="E1805" t="inlineStr">
        <is>
          <t>RÄTTVIK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18968-2021</t>
        </is>
      </c>
      <c r="B1806" s="1" t="n">
        <v>44308.45027777777</v>
      </c>
      <c r="C1806" s="1" t="n">
        <v>46114</v>
      </c>
      <c r="D1806" t="inlineStr">
        <is>
          <t>DALARNAS LÄN</t>
        </is>
      </c>
      <c r="E1806" t="inlineStr">
        <is>
          <t>SMEDJEBACKEN</t>
        </is>
      </c>
      <c r="F1806" t="inlineStr">
        <is>
          <t>Sveaskog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73899-2021</t>
        </is>
      </c>
      <c r="B1807" s="1" t="n">
        <v>44552</v>
      </c>
      <c r="C1807" s="1" t="n">
        <v>46114</v>
      </c>
      <c r="D1807" t="inlineStr">
        <is>
          <t>DALARNAS LÄN</t>
        </is>
      </c>
      <c r="E1807" t="inlineStr">
        <is>
          <t>RÄTTVIK</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74427-2021</t>
        </is>
      </c>
      <c r="B1808" s="1" t="n">
        <v>44560.42800925926</v>
      </c>
      <c r="C1808" s="1" t="n">
        <v>46114</v>
      </c>
      <c r="D1808" t="inlineStr">
        <is>
          <t>DALARNAS LÄN</t>
        </is>
      </c>
      <c r="E1808" t="inlineStr">
        <is>
          <t>LUDVIKA</t>
        </is>
      </c>
      <c r="F1808" t="inlineStr">
        <is>
          <t>Kommuner</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46137-2021</t>
        </is>
      </c>
      <c r="B1809" s="1" t="n">
        <v>44442.39701388889</v>
      </c>
      <c r="C1809" s="1" t="n">
        <v>46114</v>
      </c>
      <c r="D1809" t="inlineStr">
        <is>
          <t>DALARNAS LÄN</t>
        </is>
      </c>
      <c r="E1809" t="inlineStr">
        <is>
          <t>SMEDJEBACKEN</t>
        </is>
      </c>
      <c r="F1809" t="inlineStr">
        <is>
          <t>Sveaskog</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35357-2022</t>
        </is>
      </c>
      <c r="B1810" s="1" t="n">
        <v>44798</v>
      </c>
      <c r="C1810" s="1" t="n">
        <v>46114</v>
      </c>
      <c r="D1810" t="inlineStr">
        <is>
          <t>DALARNAS LÄN</t>
        </is>
      </c>
      <c r="E1810" t="inlineStr">
        <is>
          <t>BORLÄNGE</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37887-2022</t>
        </is>
      </c>
      <c r="B1811" s="1" t="n">
        <v>44811</v>
      </c>
      <c r="C1811" s="1" t="n">
        <v>46114</v>
      </c>
      <c r="D1811" t="inlineStr">
        <is>
          <t>DALARNAS LÄN</t>
        </is>
      </c>
      <c r="E1811" t="inlineStr">
        <is>
          <t>MALUNG-SÄLEN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33929-2022</t>
        </is>
      </c>
      <c r="B1812" s="1" t="n">
        <v>44790.64916666667</v>
      </c>
      <c r="C1812" s="1" t="n">
        <v>46114</v>
      </c>
      <c r="D1812" t="inlineStr">
        <is>
          <t>DALARNAS LÄN</t>
        </is>
      </c>
      <c r="E1812" t="inlineStr">
        <is>
          <t>VANSBRO</t>
        </is>
      </c>
      <c r="F1812" t="inlineStr">
        <is>
          <t>Bergvik skog öst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32013-2022</t>
        </is>
      </c>
      <c r="B1813" s="1" t="n">
        <v>44778</v>
      </c>
      <c r="C1813" s="1" t="n">
        <v>46114</v>
      </c>
      <c r="D1813" t="inlineStr">
        <is>
          <t>DALARNAS LÄN</t>
        </is>
      </c>
      <c r="E1813" t="inlineStr">
        <is>
          <t>SMEDJEBACKEN</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32945-2022</t>
        </is>
      </c>
      <c r="B1814" s="1" t="n">
        <v>44784.70158564814</v>
      </c>
      <c r="C1814" s="1" t="n">
        <v>46114</v>
      </c>
      <c r="D1814" t="inlineStr">
        <is>
          <t>DALARNAS LÄN</t>
        </is>
      </c>
      <c r="E1814" t="inlineStr">
        <is>
          <t>SMEDJEBACKEN</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74333-2021</t>
        </is>
      </c>
      <c r="B1815" s="1" t="n">
        <v>44559</v>
      </c>
      <c r="C1815" s="1" t="n">
        <v>46114</v>
      </c>
      <c r="D1815" t="inlineStr">
        <is>
          <t>DALARNAS LÄN</t>
        </is>
      </c>
      <c r="E1815" t="inlineStr">
        <is>
          <t>RÄTTVIK</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50219-2022</t>
        </is>
      </c>
      <c r="B1816" s="1" t="n">
        <v>44865.64244212963</v>
      </c>
      <c r="C1816" s="1" t="n">
        <v>46114</v>
      </c>
      <c r="D1816" t="inlineStr">
        <is>
          <t>DALARNAS LÄN</t>
        </is>
      </c>
      <c r="E1816" t="inlineStr">
        <is>
          <t>LEKSAND</t>
        </is>
      </c>
      <c r="F1816" t="inlineStr">
        <is>
          <t>Bergvik skog väst AB</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56501-2021</t>
        </is>
      </c>
      <c r="B1817" s="1" t="n">
        <v>44480.57549768518</v>
      </c>
      <c r="C1817" s="1" t="n">
        <v>46114</v>
      </c>
      <c r="D1817" t="inlineStr">
        <is>
          <t>DALARNAS LÄN</t>
        </is>
      </c>
      <c r="E1817" t="inlineStr">
        <is>
          <t>MORA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55990-2021</t>
        </is>
      </c>
      <c r="B1818" s="1" t="n">
        <v>44477.40155092593</v>
      </c>
      <c r="C1818" s="1" t="n">
        <v>46114</v>
      </c>
      <c r="D1818" t="inlineStr">
        <is>
          <t>DALARNAS LÄN</t>
        </is>
      </c>
      <c r="E1818" t="inlineStr">
        <is>
          <t>ÄLVDALEN</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72518-2021</t>
        </is>
      </c>
      <c r="B1819" s="1" t="n">
        <v>44546.31119212963</v>
      </c>
      <c r="C1819" s="1" t="n">
        <v>46114</v>
      </c>
      <c r="D1819" t="inlineStr">
        <is>
          <t>DALARNAS LÄN</t>
        </is>
      </c>
      <c r="E1819" t="inlineStr">
        <is>
          <t>SÄTER</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50036-2022</t>
        </is>
      </c>
      <c r="B1820" s="1" t="n">
        <v>44865</v>
      </c>
      <c r="C1820" s="1" t="n">
        <v>46114</v>
      </c>
      <c r="D1820" t="inlineStr">
        <is>
          <t>DALARNAS LÄN</t>
        </is>
      </c>
      <c r="E1820" t="inlineStr">
        <is>
          <t>GAGNEF</t>
        </is>
      </c>
      <c r="F1820" t="inlineStr">
        <is>
          <t>Bergvik skog väst AB</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35181-2022</t>
        </is>
      </c>
      <c r="B1821" s="1" t="n">
        <v>44797.62701388889</v>
      </c>
      <c r="C1821" s="1" t="n">
        <v>46114</v>
      </c>
      <c r="D1821" t="inlineStr">
        <is>
          <t>DALARNAS LÄN</t>
        </is>
      </c>
      <c r="E1821" t="inlineStr">
        <is>
          <t>MALUNG-SÄLEN</t>
        </is>
      </c>
      <c r="F1821" t="inlineStr">
        <is>
          <t>Bergvik skog öst AB</t>
        </is>
      </c>
      <c r="G1821" t="n">
        <v>3.7</v>
      </c>
      <c r="H1821" t="n">
        <v>0</v>
      </c>
      <c r="I1821" t="n">
        <v>0</v>
      </c>
      <c r="J1821" t="n">
        <v>0</v>
      </c>
      <c r="K1821" t="n">
        <v>0</v>
      </c>
      <c r="L1821" t="n">
        <v>0</v>
      </c>
      <c r="M1821" t="n">
        <v>0</v>
      </c>
      <c r="N1821" t="n">
        <v>0</v>
      </c>
      <c r="O1821" t="n">
        <v>0</v>
      </c>
      <c r="P1821" t="n">
        <v>0</v>
      </c>
      <c r="Q1821" t="n">
        <v>0</v>
      </c>
      <c r="R1821" s="2" t="inlineStr"/>
    </row>
    <row r="1822" ht="15" customHeight="1">
      <c r="A1822" t="inlineStr">
        <is>
          <t>A 13171-2022</t>
        </is>
      </c>
      <c r="B1822" s="1" t="n">
        <v>44644</v>
      </c>
      <c r="C1822" s="1" t="n">
        <v>46114</v>
      </c>
      <c r="D1822" t="inlineStr">
        <is>
          <t>DALARNAS LÄN</t>
        </is>
      </c>
      <c r="E1822" t="inlineStr">
        <is>
          <t>RÄTTVIK</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13187-2022</t>
        </is>
      </c>
      <c r="B1823" s="1" t="n">
        <v>44644</v>
      </c>
      <c r="C1823" s="1" t="n">
        <v>46114</v>
      </c>
      <c r="D1823" t="inlineStr">
        <is>
          <t>DALARNAS LÄN</t>
        </is>
      </c>
      <c r="E1823" t="inlineStr">
        <is>
          <t>FALUN</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11410-2022</t>
        </is>
      </c>
      <c r="B1824" s="1" t="n">
        <v>44630</v>
      </c>
      <c r="C1824" s="1" t="n">
        <v>46114</v>
      </c>
      <c r="D1824" t="inlineStr">
        <is>
          <t>DALARNAS LÄN</t>
        </is>
      </c>
      <c r="E1824" t="inlineStr">
        <is>
          <t>SMEDJEBACKEN</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51864-2022</t>
        </is>
      </c>
      <c r="B1825" s="1" t="n">
        <v>44872</v>
      </c>
      <c r="C1825" s="1" t="n">
        <v>46114</v>
      </c>
      <c r="D1825" t="inlineStr">
        <is>
          <t>DALARNAS LÄN</t>
        </is>
      </c>
      <c r="E1825" t="inlineStr">
        <is>
          <t>ORSA</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15145-2022</t>
        </is>
      </c>
      <c r="B1826" s="1" t="n">
        <v>44658</v>
      </c>
      <c r="C1826" s="1" t="n">
        <v>46114</v>
      </c>
      <c r="D1826" t="inlineStr">
        <is>
          <t>DALARNAS LÄN</t>
        </is>
      </c>
      <c r="E1826" t="inlineStr">
        <is>
          <t>LUDVIKA</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36243-2022</t>
        </is>
      </c>
      <c r="B1827" s="1" t="n">
        <v>44803.57310185185</v>
      </c>
      <c r="C1827" s="1" t="n">
        <v>46114</v>
      </c>
      <c r="D1827" t="inlineStr">
        <is>
          <t>DALARNAS LÄN</t>
        </is>
      </c>
      <c r="E1827" t="inlineStr">
        <is>
          <t>SMEDJEBACKEN</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57783-2021</t>
        </is>
      </c>
      <c r="B1828" s="1" t="n">
        <v>44484</v>
      </c>
      <c r="C1828" s="1" t="n">
        <v>46114</v>
      </c>
      <c r="D1828" t="inlineStr">
        <is>
          <t>DALARNAS LÄN</t>
        </is>
      </c>
      <c r="E1828" t="inlineStr">
        <is>
          <t>ÄLVDALEN</t>
        </is>
      </c>
      <c r="G1828" t="n">
        <v>6.9</v>
      </c>
      <c r="H1828" t="n">
        <v>0</v>
      </c>
      <c r="I1828" t="n">
        <v>0</v>
      </c>
      <c r="J1828" t="n">
        <v>0</v>
      </c>
      <c r="K1828" t="n">
        <v>0</v>
      </c>
      <c r="L1828" t="n">
        <v>0</v>
      </c>
      <c r="M1828" t="n">
        <v>0</v>
      </c>
      <c r="N1828" t="n">
        <v>0</v>
      </c>
      <c r="O1828" t="n">
        <v>0</v>
      </c>
      <c r="P1828" t="n">
        <v>0</v>
      </c>
      <c r="Q1828" t="n">
        <v>0</v>
      </c>
      <c r="R1828" s="2" t="inlineStr"/>
    </row>
    <row r="1829" ht="15" customHeight="1">
      <c r="A1829" t="inlineStr">
        <is>
          <t>A 26289-2022</t>
        </is>
      </c>
      <c r="B1829" s="1" t="n">
        <v>44735</v>
      </c>
      <c r="C1829" s="1" t="n">
        <v>46114</v>
      </c>
      <c r="D1829" t="inlineStr">
        <is>
          <t>DALARNAS LÄN</t>
        </is>
      </c>
      <c r="E1829" t="inlineStr">
        <is>
          <t>LEKSAND</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41796-2022</t>
        </is>
      </c>
      <c r="B1830" s="1" t="n">
        <v>44827.80170138889</v>
      </c>
      <c r="C1830" s="1" t="n">
        <v>46114</v>
      </c>
      <c r="D1830" t="inlineStr">
        <is>
          <t>DALARNAS LÄN</t>
        </is>
      </c>
      <c r="E1830" t="inlineStr">
        <is>
          <t>LUDVIKA</t>
        </is>
      </c>
      <c r="F1830" t="inlineStr">
        <is>
          <t>Bergvik skog väst AB</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34317-2022</t>
        </is>
      </c>
      <c r="B1831" s="1" t="n">
        <v>44792.38814814815</v>
      </c>
      <c r="C1831" s="1" t="n">
        <v>46114</v>
      </c>
      <c r="D1831" t="inlineStr">
        <is>
          <t>DALARNAS LÄN</t>
        </is>
      </c>
      <c r="E1831" t="inlineStr">
        <is>
          <t>LEKSAND</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34320-2022</t>
        </is>
      </c>
      <c r="B1832" s="1" t="n">
        <v>44792</v>
      </c>
      <c r="C1832" s="1" t="n">
        <v>46114</v>
      </c>
      <c r="D1832" t="inlineStr">
        <is>
          <t>DALARNAS LÄN</t>
        </is>
      </c>
      <c r="E1832" t="inlineStr">
        <is>
          <t>BORLÄNGE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58829-2021</t>
        </is>
      </c>
      <c r="B1833" s="1" t="n">
        <v>44489.60423611111</v>
      </c>
      <c r="C1833" s="1" t="n">
        <v>46114</v>
      </c>
      <c r="D1833" t="inlineStr">
        <is>
          <t>DALARNAS LÄN</t>
        </is>
      </c>
      <c r="E1833" t="inlineStr">
        <is>
          <t>RÄTTVIK</t>
        </is>
      </c>
      <c r="F1833" t="inlineStr">
        <is>
          <t>Sveaskog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22640-2022</t>
        </is>
      </c>
      <c r="B1834" s="1" t="n">
        <v>44714</v>
      </c>
      <c r="C1834" s="1" t="n">
        <v>46114</v>
      </c>
      <c r="D1834" t="inlineStr">
        <is>
          <t>DALARNAS LÄN</t>
        </is>
      </c>
      <c r="E1834" t="inlineStr">
        <is>
          <t>SMEDJEBACKEN</t>
        </is>
      </c>
      <c r="G1834" t="n">
        <v>11.5</v>
      </c>
      <c r="H1834" t="n">
        <v>0</v>
      </c>
      <c r="I1834" t="n">
        <v>0</v>
      </c>
      <c r="J1834" t="n">
        <v>0</v>
      </c>
      <c r="K1834" t="n">
        <v>0</v>
      </c>
      <c r="L1834" t="n">
        <v>0</v>
      </c>
      <c r="M1834" t="n">
        <v>0</v>
      </c>
      <c r="N1834" t="n">
        <v>0</v>
      </c>
      <c r="O1834" t="n">
        <v>0</v>
      </c>
      <c r="P1834" t="n">
        <v>0</v>
      </c>
      <c r="Q1834" t="n">
        <v>0</v>
      </c>
      <c r="R1834" s="2" t="inlineStr"/>
    </row>
    <row r="1835" ht="15" customHeight="1">
      <c r="A1835" t="inlineStr">
        <is>
          <t>A 25602-2022</t>
        </is>
      </c>
      <c r="B1835" s="1" t="n">
        <v>44732.6975</v>
      </c>
      <c r="C1835" s="1" t="n">
        <v>46114</v>
      </c>
      <c r="D1835" t="inlineStr">
        <is>
          <t>DALARNAS LÄN</t>
        </is>
      </c>
      <c r="E1835" t="inlineStr">
        <is>
          <t>ÄLVDALEN</t>
        </is>
      </c>
      <c r="F1835" t="inlineStr">
        <is>
          <t>Bergvik skog väst AB</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25624-2022</t>
        </is>
      </c>
      <c r="B1836" s="1" t="n">
        <v>44732</v>
      </c>
      <c r="C1836" s="1" t="n">
        <v>46114</v>
      </c>
      <c r="D1836" t="inlineStr">
        <is>
          <t>DALARNAS LÄN</t>
        </is>
      </c>
      <c r="E1836" t="inlineStr">
        <is>
          <t>VANSBRO</t>
        </is>
      </c>
      <c r="F1836" t="inlineStr">
        <is>
          <t>Kyrkan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44985-2022</t>
        </is>
      </c>
      <c r="B1837" s="1" t="n">
        <v>44841</v>
      </c>
      <c r="C1837" s="1" t="n">
        <v>46114</v>
      </c>
      <c r="D1837" t="inlineStr">
        <is>
          <t>DALARNAS LÄN</t>
        </is>
      </c>
      <c r="E1837" t="inlineStr">
        <is>
          <t>RÄTTVIK</t>
        </is>
      </c>
      <c r="F1837" t="inlineStr">
        <is>
          <t>Bergvik skog väst AB</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44296-2022</t>
        </is>
      </c>
      <c r="B1838" s="1" t="n">
        <v>44839</v>
      </c>
      <c r="C1838" s="1" t="n">
        <v>46114</v>
      </c>
      <c r="D1838" t="inlineStr">
        <is>
          <t>DALARNAS LÄN</t>
        </is>
      </c>
      <c r="E1838" t="inlineStr">
        <is>
          <t>MALUNG-SÄLEN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44300-2022</t>
        </is>
      </c>
      <c r="B1839" s="1" t="n">
        <v>44839</v>
      </c>
      <c r="C1839" s="1" t="n">
        <v>46114</v>
      </c>
      <c r="D1839" t="inlineStr">
        <is>
          <t>DALARNAS LÄN</t>
        </is>
      </c>
      <c r="E1839" t="inlineStr">
        <is>
          <t>MALUNG-SÄLEN</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41709-2022</t>
        </is>
      </c>
      <c r="B1840" s="1" t="n">
        <v>44827.6090625</v>
      </c>
      <c r="C1840" s="1" t="n">
        <v>46114</v>
      </c>
      <c r="D1840" t="inlineStr">
        <is>
          <t>DALARNAS LÄN</t>
        </is>
      </c>
      <c r="E1840" t="inlineStr">
        <is>
          <t>VANSBRO</t>
        </is>
      </c>
      <c r="F1840" t="inlineStr">
        <is>
          <t>Bergvik skog väst AB</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18870-2022</t>
        </is>
      </c>
      <c r="B1841" s="1" t="n">
        <v>44690.50725694445</v>
      </c>
      <c r="C1841" s="1" t="n">
        <v>46114</v>
      </c>
      <c r="D1841" t="inlineStr">
        <is>
          <t>DALARNAS LÄN</t>
        </is>
      </c>
      <c r="E1841" t="inlineStr">
        <is>
          <t>LEKSAND</t>
        </is>
      </c>
      <c r="F1841" t="inlineStr">
        <is>
          <t>Övriga Aktiebolag</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72154-2021</t>
        </is>
      </c>
      <c r="B1842" s="1" t="n">
        <v>44544.62434027778</v>
      </c>
      <c r="C1842" s="1" t="n">
        <v>46114</v>
      </c>
      <c r="D1842" t="inlineStr">
        <is>
          <t>DALARNAS LÄN</t>
        </is>
      </c>
      <c r="E1842" t="inlineStr">
        <is>
          <t>MALUNG-SÄLEN</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69013-2021</t>
        </is>
      </c>
      <c r="B1843" s="1" t="n">
        <v>44530.60075231481</v>
      </c>
      <c r="C1843" s="1" t="n">
        <v>46114</v>
      </c>
      <c r="D1843" t="inlineStr">
        <is>
          <t>DALARNAS LÄN</t>
        </is>
      </c>
      <c r="E1843" t="inlineStr">
        <is>
          <t>FALUN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4551-2022</t>
        </is>
      </c>
      <c r="B1844" s="1" t="n">
        <v>44590.92709490741</v>
      </c>
      <c r="C1844" s="1" t="n">
        <v>46114</v>
      </c>
      <c r="D1844" t="inlineStr">
        <is>
          <t>DALARNAS LÄN</t>
        </is>
      </c>
      <c r="E1844" t="inlineStr">
        <is>
          <t>LUDVIKA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28895-2022</t>
        </is>
      </c>
      <c r="B1845" s="1" t="n">
        <v>44749.54681712963</v>
      </c>
      <c r="C1845" s="1" t="n">
        <v>46114</v>
      </c>
      <c r="D1845" t="inlineStr">
        <is>
          <t>DALARNAS LÄN</t>
        </is>
      </c>
      <c r="E1845" t="inlineStr">
        <is>
          <t>MALUNG-SÄLEN</t>
        </is>
      </c>
      <c r="F1845" t="inlineStr">
        <is>
          <t>Bergvik skog öst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28914-2022</t>
        </is>
      </c>
      <c r="B1846" s="1" t="n">
        <v>44749.56221064815</v>
      </c>
      <c r="C1846" s="1" t="n">
        <v>46114</v>
      </c>
      <c r="D1846" t="inlineStr">
        <is>
          <t>DALARNAS LÄN</t>
        </is>
      </c>
      <c r="E1846" t="inlineStr">
        <is>
          <t>MORA</t>
        </is>
      </c>
      <c r="F1846" t="inlineStr">
        <is>
          <t>Bergvik skog öst AB</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45622-2022</t>
        </is>
      </c>
      <c r="B1847" s="1" t="n">
        <v>44845.60875</v>
      </c>
      <c r="C1847" s="1" t="n">
        <v>46114</v>
      </c>
      <c r="D1847" t="inlineStr">
        <is>
          <t>DALARNAS LÄN</t>
        </is>
      </c>
      <c r="E1847" t="inlineStr">
        <is>
          <t>RÄTTVIK</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28105-2022</t>
        </is>
      </c>
      <c r="B1848" s="1" t="n">
        <v>44746</v>
      </c>
      <c r="C1848" s="1" t="n">
        <v>46114</v>
      </c>
      <c r="D1848" t="inlineStr">
        <is>
          <t>DALARNAS LÄN</t>
        </is>
      </c>
      <c r="E1848" t="inlineStr">
        <is>
          <t>HEDEMORA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18140-2022</t>
        </is>
      </c>
      <c r="B1849" s="1" t="n">
        <v>44684.58278935185</v>
      </c>
      <c r="C1849" s="1" t="n">
        <v>46114</v>
      </c>
      <c r="D1849" t="inlineStr">
        <is>
          <t>DALARNAS LÄN</t>
        </is>
      </c>
      <c r="E1849" t="inlineStr">
        <is>
          <t>LEKSAND</t>
        </is>
      </c>
      <c r="F1849" t="inlineStr">
        <is>
          <t>Övriga Aktiebolag</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28657-2022</t>
        </is>
      </c>
      <c r="B1850" s="1" t="n">
        <v>44748.65480324074</v>
      </c>
      <c r="C1850" s="1" t="n">
        <v>46114</v>
      </c>
      <c r="D1850" t="inlineStr">
        <is>
          <t>DALARNAS LÄN</t>
        </is>
      </c>
      <c r="E1850" t="inlineStr">
        <is>
          <t>VANSBRO</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17461-2022</t>
        </is>
      </c>
      <c r="B1851" s="1" t="n">
        <v>44679.38747685185</v>
      </c>
      <c r="C1851" s="1" t="n">
        <v>46114</v>
      </c>
      <c r="D1851" t="inlineStr">
        <is>
          <t>DALARNAS LÄN</t>
        </is>
      </c>
      <c r="E1851" t="inlineStr">
        <is>
          <t>RÄTTVIK</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17462-2022</t>
        </is>
      </c>
      <c r="B1852" s="1" t="n">
        <v>44679.39083333333</v>
      </c>
      <c r="C1852" s="1" t="n">
        <v>46114</v>
      </c>
      <c r="D1852" t="inlineStr">
        <is>
          <t>DALARNAS LÄN</t>
        </is>
      </c>
      <c r="E1852" t="inlineStr">
        <is>
          <t>RÄTTVIK</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9464-2022</t>
        </is>
      </c>
      <c r="B1853" s="1" t="n">
        <v>44616.7841550926</v>
      </c>
      <c r="C1853" s="1" t="n">
        <v>46114</v>
      </c>
      <c r="D1853" t="inlineStr">
        <is>
          <t>DALARNAS LÄN</t>
        </is>
      </c>
      <c r="E1853" t="inlineStr">
        <is>
          <t>LUDVIKA</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2390-2022</t>
        </is>
      </c>
      <c r="B1854" s="1" t="n">
        <v>44579.39820601852</v>
      </c>
      <c r="C1854" s="1" t="n">
        <v>46114</v>
      </c>
      <c r="D1854" t="inlineStr">
        <is>
          <t>DALARNAS LÄN</t>
        </is>
      </c>
      <c r="E1854" t="inlineStr">
        <is>
          <t>RÄTTVIK</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21466-2022</t>
        </is>
      </c>
      <c r="B1855" s="1" t="n">
        <v>44706</v>
      </c>
      <c r="C1855" s="1" t="n">
        <v>46114</v>
      </c>
      <c r="D1855" t="inlineStr">
        <is>
          <t>DALARNAS LÄN</t>
        </is>
      </c>
      <c r="E1855" t="inlineStr">
        <is>
          <t>LUDVIKA</t>
        </is>
      </c>
      <c r="F1855" t="inlineStr">
        <is>
          <t>Bergvik skog väst AB</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14535-2022</t>
        </is>
      </c>
      <c r="B1856" s="1" t="n">
        <v>44655.44512731482</v>
      </c>
      <c r="C1856" s="1" t="n">
        <v>46114</v>
      </c>
      <c r="D1856" t="inlineStr">
        <is>
          <t>DALARNAS LÄN</t>
        </is>
      </c>
      <c r="E1856" t="inlineStr">
        <is>
          <t>ORSA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33108-2022</t>
        </is>
      </c>
      <c r="B1857" s="1" t="n">
        <v>44785</v>
      </c>
      <c r="C1857" s="1" t="n">
        <v>46114</v>
      </c>
      <c r="D1857" t="inlineStr">
        <is>
          <t>DALARNAS LÄN</t>
        </is>
      </c>
      <c r="E1857" t="inlineStr">
        <is>
          <t>LUDVIKA</t>
        </is>
      </c>
      <c r="F1857" t="inlineStr">
        <is>
          <t>Bergvik skog väst AB</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25697-2022</t>
        </is>
      </c>
      <c r="B1858" s="1" t="n">
        <v>44732</v>
      </c>
      <c r="C1858" s="1" t="n">
        <v>46114</v>
      </c>
      <c r="D1858" t="inlineStr">
        <is>
          <t>DALARNAS LÄN</t>
        </is>
      </c>
      <c r="E1858" t="inlineStr">
        <is>
          <t>RÄTTVIK</t>
        </is>
      </c>
      <c r="G1858" t="n">
        <v>8.9</v>
      </c>
      <c r="H1858" t="n">
        <v>0</v>
      </c>
      <c r="I1858" t="n">
        <v>0</v>
      </c>
      <c r="J1858" t="n">
        <v>0</v>
      </c>
      <c r="K1858" t="n">
        <v>0</v>
      </c>
      <c r="L1858" t="n">
        <v>0</v>
      </c>
      <c r="M1858" t="n">
        <v>0</v>
      </c>
      <c r="N1858" t="n">
        <v>0</v>
      </c>
      <c r="O1858" t="n">
        <v>0</v>
      </c>
      <c r="P1858" t="n">
        <v>0</v>
      </c>
      <c r="Q1858" t="n">
        <v>0</v>
      </c>
      <c r="R1858" s="2" t="inlineStr"/>
    </row>
    <row r="1859" ht="15" customHeight="1">
      <c r="A1859" t="inlineStr">
        <is>
          <t>A 24253-2022</t>
        </is>
      </c>
      <c r="B1859" s="1" t="n">
        <v>44725</v>
      </c>
      <c r="C1859" s="1" t="n">
        <v>46114</v>
      </c>
      <c r="D1859" t="inlineStr">
        <is>
          <t>DALARNAS LÄN</t>
        </is>
      </c>
      <c r="E1859" t="inlineStr">
        <is>
          <t>SÄTER</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26432-2021</t>
        </is>
      </c>
      <c r="B1860" s="1" t="n">
        <v>44348</v>
      </c>
      <c r="C1860" s="1" t="n">
        <v>46114</v>
      </c>
      <c r="D1860" t="inlineStr">
        <is>
          <t>DALARNAS LÄN</t>
        </is>
      </c>
      <c r="E1860" t="inlineStr">
        <is>
          <t>RÄTTVIK</t>
        </is>
      </c>
      <c r="G1860" t="n">
        <v>5.1</v>
      </c>
      <c r="H1860" t="n">
        <v>0</v>
      </c>
      <c r="I1860" t="n">
        <v>0</v>
      </c>
      <c r="J1860" t="n">
        <v>0</v>
      </c>
      <c r="K1860" t="n">
        <v>0</v>
      </c>
      <c r="L1860" t="n">
        <v>0</v>
      </c>
      <c r="M1860" t="n">
        <v>0</v>
      </c>
      <c r="N1860" t="n">
        <v>0</v>
      </c>
      <c r="O1860" t="n">
        <v>0</v>
      </c>
      <c r="P1860" t="n">
        <v>0</v>
      </c>
      <c r="Q1860" t="n">
        <v>0</v>
      </c>
      <c r="R1860" s="2" t="inlineStr"/>
    </row>
    <row r="1861" ht="15" customHeight="1">
      <c r="A1861" t="inlineStr">
        <is>
          <t>A 23101-2021</t>
        </is>
      </c>
      <c r="B1861" s="1" t="n">
        <v>44330.486875</v>
      </c>
      <c r="C1861" s="1" t="n">
        <v>46114</v>
      </c>
      <c r="D1861" t="inlineStr">
        <is>
          <t>DALARNAS LÄN</t>
        </is>
      </c>
      <c r="E1861" t="inlineStr">
        <is>
          <t>LUDVIKA</t>
        </is>
      </c>
      <c r="F1861" t="inlineStr">
        <is>
          <t>Bergvik skog väst AB</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19759-2021</t>
        </is>
      </c>
      <c r="B1862" s="1" t="n">
        <v>44309</v>
      </c>
      <c r="C1862" s="1" t="n">
        <v>46114</v>
      </c>
      <c r="D1862" t="inlineStr">
        <is>
          <t>DALARNAS LÄN</t>
        </is>
      </c>
      <c r="E1862" t="inlineStr">
        <is>
          <t>ÄLVDALEN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37009-2021</t>
        </is>
      </c>
      <c r="B1863" s="1" t="n">
        <v>44393.6384837963</v>
      </c>
      <c r="C1863" s="1" t="n">
        <v>46114</v>
      </c>
      <c r="D1863" t="inlineStr">
        <is>
          <t>DALARNAS LÄN</t>
        </is>
      </c>
      <c r="E1863" t="inlineStr">
        <is>
          <t>ÄLVDALEN</t>
        </is>
      </c>
      <c r="F1863" t="inlineStr">
        <is>
          <t>Bergvik skog öst AB</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44035-2022</t>
        </is>
      </c>
      <c r="B1864" s="1" t="n">
        <v>44838.94439814815</v>
      </c>
      <c r="C1864" s="1" t="n">
        <v>46114</v>
      </c>
      <c r="D1864" t="inlineStr">
        <is>
          <t>DALARNAS LÄN</t>
        </is>
      </c>
      <c r="E1864" t="inlineStr">
        <is>
          <t>ORSA</t>
        </is>
      </c>
      <c r="G1864" t="n">
        <v>5.8</v>
      </c>
      <c r="H1864" t="n">
        <v>0</v>
      </c>
      <c r="I1864" t="n">
        <v>0</v>
      </c>
      <c r="J1864" t="n">
        <v>0</v>
      </c>
      <c r="K1864" t="n">
        <v>0</v>
      </c>
      <c r="L1864" t="n">
        <v>0</v>
      </c>
      <c r="M1864" t="n">
        <v>0</v>
      </c>
      <c r="N1864" t="n">
        <v>0</v>
      </c>
      <c r="O1864" t="n">
        <v>0</v>
      </c>
      <c r="P1864" t="n">
        <v>0</v>
      </c>
      <c r="Q1864" t="n">
        <v>0</v>
      </c>
      <c r="R1864" s="2" t="inlineStr"/>
    </row>
    <row r="1865" ht="15" customHeight="1">
      <c r="A1865" t="inlineStr">
        <is>
          <t>A 20221-2022</t>
        </is>
      </c>
      <c r="B1865" s="1" t="n">
        <v>44698.59915509259</v>
      </c>
      <c r="C1865" s="1" t="n">
        <v>46114</v>
      </c>
      <c r="D1865" t="inlineStr">
        <is>
          <t>DALARNAS LÄN</t>
        </is>
      </c>
      <c r="E1865" t="inlineStr">
        <is>
          <t>GAGNEF</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48481-2022</t>
        </is>
      </c>
      <c r="B1866" s="1" t="n">
        <v>44858</v>
      </c>
      <c r="C1866" s="1" t="n">
        <v>46114</v>
      </c>
      <c r="D1866" t="inlineStr">
        <is>
          <t>DALARNAS LÄN</t>
        </is>
      </c>
      <c r="E1866" t="inlineStr">
        <is>
          <t>MALUNG-SÄLEN</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36943-2021</t>
        </is>
      </c>
      <c r="B1867" s="1" t="n">
        <v>44393.52391203704</v>
      </c>
      <c r="C1867" s="1" t="n">
        <v>46114</v>
      </c>
      <c r="D1867" t="inlineStr">
        <is>
          <t>DALARNAS LÄN</t>
        </is>
      </c>
      <c r="E1867" t="inlineStr">
        <is>
          <t>HEDEMORA</t>
        </is>
      </c>
      <c r="F1867" t="inlineStr">
        <is>
          <t>Sveaskog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46819-2022</t>
        </is>
      </c>
      <c r="B1868" s="1" t="n">
        <v>44851</v>
      </c>
      <c r="C1868" s="1" t="n">
        <v>46114</v>
      </c>
      <c r="D1868" t="inlineStr">
        <is>
          <t>DALARNAS LÄN</t>
        </is>
      </c>
      <c r="E1868" t="inlineStr">
        <is>
          <t>AVESTA</t>
        </is>
      </c>
      <c r="G1868" t="n">
        <v>2.1</v>
      </c>
      <c r="H1868" t="n">
        <v>0</v>
      </c>
      <c r="I1868" t="n">
        <v>0</v>
      </c>
      <c r="J1868" t="n">
        <v>0</v>
      </c>
      <c r="K1868" t="n">
        <v>0</v>
      </c>
      <c r="L1868" t="n">
        <v>0</v>
      </c>
      <c r="M1868" t="n">
        <v>0</v>
      </c>
      <c r="N1868" t="n">
        <v>0</v>
      </c>
      <c r="O1868" t="n">
        <v>0</v>
      </c>
      <c r="P1868" t="n">
        <v>0</v>
      </c>
      <c r="Q1868" t="n">
        <v>0</v>
      </c>
      <c r="R1868" s="2" t="inlineStr"/>
    </row>
    <row r="1869" ht="15" customHeight="1">
      <c r="A1869" t="inlineStr">
        <is>
          <t>A 30254-2021</t>
        </is>
      </c>
      <c r="B1869" s="1" t="n">
        <v>44363</v>
      </c>
      <c r="C1869" s="1" t="n">
        <v>46114</v>
      </c>
      <c r="D1869" t="inlineStr">
        <is>
          <t>DALARNAS LÄN</t>
        </is>
      </c>
      <c r="E1869" t="inlineStr">
        <is>
          <t>ÄLVDALEN</t>
        </is>
      </c>
      <c r="F1869" t="inlineStr">
        <is>
          <t>Sveaskog</t>
        </is>
      </c>
      <c r="G1869" t="n">
        <v>8.1</v>
      </c>
      <c r="H1869" t="n">
        <v>0</v>
      </c>
      <c r="I1869" t="n">
        <v>0</v>
      </c>
      <c r="J1869" t="n">
        <v>0</v>
      </c>
      <c r="K1869" t="n">
        <v>0</v>
      </c>
      <c r="L1869" t="n">
        <v>0</v>
      </c>
      <c r="M1869" t="n">
        <v>0</v>
      </c>
      <c r="N1869" t="n">
        <v>0</v>
      </c>
      <c r="O1869" t="n">
        <v>0</v>
      </c>
      <c r="P1869" t="n">
        <v>0</v>
      </c>
      <c r="Q1869" t="n">
        <v>0</v>
      </c>
      <c r="R1869" s="2" t="inlineStr"/>
    </row>
    <row r="1870" ht="15" customHeight="1">
      <c r="A1870" t="inlineStr">
        <is>
          <t>A 20213-2022</t>
        </is>
      </c>
      <c r="B1870" s="1" t="n">
        <v>44698.58943287037</v>
      </c>
      <c r="C1870" s="1" t="n">
        <v>46114</v>
      </c>
      <c r="D1870" t="inlineStr">
        <is>
          <t>DALARNAS LÄN</t>
        </is>
      </c>
      <c r="E1870" t="inlineStr">
        <is>
          <t>GAGNEF</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43410-2021</t>
        </is>
      </c>
      <c r="B1871" s="1" t="n">
        <v>44432.60814814815</v>
      </c>
      <c r="C1871" s="1" t="n">
        <v>46114</v>
      </c>
      <c r="D1871" t="inlineStr">
        <is>
          <t>DALARNAS LÄN</t>
        </is>
      </c>
      <c r="E1871" t="inlineStr">
        <is>
          <t>LEKSAND</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37851-2021</t>
        </is>
      </c>
      <c r="B1872" s="1" t="n">
        <v>44403</v>
      </c>
      <c r="C1872" s="1" t="n">
        <v>46114</v>
      </c>
      <c r="D1872" t="inlineStr">
        <is>
          <t>DALARNAS LÄN</t>
        </is>
      </c>
      <c r="E1872" t="inlineStr">
        <is>
          <t>SMEDJEBACKEN</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37852-2021</t>
        </is>
      </c>
      <c r="B1873" s="1" t="n">
        <v>44403.42903935185</v>
      </c>
      <c r="C1873" s="1" t="n">
        <v>46114</v>
      </c>
      <c r="D1873" t="inlineStr">
        <is>
          <t>DALARNAS LÄN</t>
        </is>
      </c>
      <c r="E1873" t="inlineStr">
        <is>
          <t>RÄTTVIK</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32474-2022</t>
        </is>
      </c>
      <c r="B1874" s="1" t="n">
        <v>44782</v>
      </c>
      <c r="C1874" s="1" t="n">
        <v>46114</v>
      </c>
      <c r="D1874" t="inlineStr">
        <is>
          <t>DALARNAS LÄN</t>
        </is>
      </c>
      <c r="E1874" t="inlineStr">
        <is>
          <t>MORA</t>
        </is>
      </c>
      <c r="F1874" t="inlineStr">
        <is>
          <t>Bergvik skog väst AB</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24844-2022</t>
        </is>
      </c>
      <c r="B1875" s="1" t="n">
        <v>44728.46966435185</v>
      </c>
      <c r="C1875" s="1" t="n">
        <v>46114</v>
      </c>
      <c r="D1875" t="inlineStr">
        <is>
          <t>DALARNAS LÄN</t>
        </is>
      </c>
      <c r="E1875" t="inlineStr">
        <is>
          <t>FALUN</t>
        </is>
      </c>
      <c r="F1875" t="inlineStr">
        <is>
          <t>Bergvik skog väst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31226-2021</t>
        </is>
      </c>
      <c r="B1876" s="1" t="n">
        <v>44368.64753472222</v>
      </c>
      <c r="C1876" s="1" t="n">
        <v>46114</v>
      </c>
      <c r="D1876" t="inlineStr">
        <is>
          <t>DALARNAS LÄN</t>
        </is>
      </c>
      <c r="E1876" t="inlineStr">
        <is>
          <t>AVESTA</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60927-2021</t>
        </is>
      </c>
      <c r="B1877" s="1" t="n">
        <v>44496</v>
      </c>
      <c r="C1877" s="1" t="n">
        <v>46114</v>
      </c>
      <c r="D1877" t="inlineStr">
        <is>
          <t>DALARNAS LÄN</t>
        </is>
      </c>
      <c r="E1877" t="inlineStr">
        <is>
          <t>SMEDJEBACKEN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44065-2021</t>
        </is>
      </c>
      <c r="B1878" s="1" t="n">
        <v>44434</v>
      </c>
      <c r="C1878" s="1" t="n">
        <v>46114</v>
      </c>
      <c r="D1878" t="inlineStr">
        <is>
          <t>DALARNAS LÄN</t>
        </is>
      </c>
      <c r="E1878" t="inlineStr">
        <is>
          <t>HEDEMORA</t>
        </is>
      </c>
      <c r="F1878" t="inlineStr">
        <is>
          <t>Bergvik skog väst AB</t>
        </is>
      </c>
      <c r="G1878" t="n">
        <v>9.1</v>
      </c>
      <c r="H1878" t="n">
        <v>0</v>
      </c>
      <c r="I1878" t="n">
        <v>0</v>
      </c>
      <c r="J1878" t="n">
        <v>0</v>
      </c>
      <c r="K1878" t="n">
        <v>0</v>
      </c>
      <c r="L1878" t="n">
        <v>0</v>
      </c>
      <c r="M1878" t="n">
        <v>0</v>
      </c>
      <c r="N1878" t="n">
        <v>0</v>
      </c>
      <c r="O1878" t="n">
        <v>0</v>
      </c>
      <c r="P1878" t="n">
        <v>0</v>
      </c>
      <c r="Q1878" t="n">
        <v>0</v>
      </c>
      <c r="R1878" s="2" t="inlineStr"/>
    </row>
    <row r="1879" ht="15" customHeight="1">
      <c r="A1879" t="inlineStr">
        <is>
          <t>A 40582-2021</t>
        </is>
      </c>
      <c r="B1879" s="1" t="n">
        <v>44420</v>
      </c>
      <c r="C1879" s="1" t="n">
        <v>46114</v>
      </c>
      <c r="D1879" t="inlineStr">
        <is>
          <t>DALARNAS LÄN</t>
        </is>
      </c>
      <c r="E1879" t="inlineStr">
        <is>
          <t>LUDVIKA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69780-2021</t>
        </is>
      </c>
      <c r="B1880" s="1" t="n">
        <v>44532</v>
      </c>
      <c r="C1880" s="1" t="n">
        <v>46114</v>
      </c>
      <c r="D1880" t="inlineStr">
        <is>
          <t>DALARNAS LÄN</t>
        </is>
      </c>
      <c r="E1880" t="inlineStr">
        <is>
          <t>FALUN</t>
        </is>
      </c>
      <c r="G1880" t="n">
        <v>0.2</v>
      </c>
      <c r="H1880" t="n">
        <v>0</v>
      </c>
      <c r="I1880" t="n">
        <v>0</v>
      </c>
      <c r="J1880" t="n">
        <v>0</v>
      </c>
      <c r="K1880" t="n">
        <v>0</v>
      </c>
      <c r="L1880" t="n">
        <v>0</v>
      </c>
      <c r="M1880" t="n">
        <v>0</v>
      </c>
      <c r="N1880" t="n">
        <v>0</v>
      </c>
      <c r="O1880" t="n">
        <v>0</v>
      </c>
      <c r="P1880" t="n">
        <v>0</v>
      </c>
      <c r="Q1880" t="n">
        <v>0</v>
      </c>
      <c r="R1880" s="2" t="inlineStr"/>
    </row>
    <row r="1881" ht="15" customHeight="1">
      <c r="A1881" t="inlineStr">
        <is>
          <t>A 46244-2022</t>
        </is>
      </c>
      <c r="B1881" s="1" t="n">
        <v>44847.62055555556</v>
      </c>
      <c r="C1881" s="1" t="n">
        <v>46114</v>
      </c>
      <c r="D1881" t="inlineStr">
        <is>
          <t>DALARNAS LÄN</t>
        </is>
      </c>
      <c r="E1881" t="inlineStr">
        <is>
          <t>ORSA</t>
        </is>
      </c>
      <c r="F1881" t="inlineStr">
        <is>
          <t>Bergvik skog öst AB</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72155-2021</t>
        </is>
      </c>
      <c r="B1882" s="1" t="n">
        <v>44543</v>
      </c>
      <c r="C1882" s="1" t="n">
        <v>46114</v>
      </c>
      <c r="D1882" t="inlineStr">
        <is>
          <t>DALARNAS LÄN</t>
        </is>
      </c>
      <c r="E1882" t="inlineStr">
        <is>
          <t>LEKSAND</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37245-2021</t>
        </is>
      </c>
      <c r="B1883" s="1" t="n">
        <v>44396</v>
      </c>
      <c r="C1883" s="1" t="n">
        <v>46114</v>
      </c>
      <c r="D1883" t="inlineStr">
        <is>
          <t>DALARNAS LÄN</t>
        </is>
      </c>
      <c r="E1883" t="inlineStr">
        <is>
          <t>GAGNEF</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49275-2022</t>
        </is>
      </c>
      <c r="B1884" s="1" t="n">
        <v>44861</v>
      </c>
      <c r="C1884" s="1" t="n">
        <v>46114</v>
      </c>
      <c r="D1884" t="inlineStr">
        <is>
          <t>DALARNAS LÄN</t>
        </is>
      </c>
      <c r="E1884" t="inlineStr">
        <is>
          <t>SMEDJEBACKEN</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45983-2021</t>
        </is>
      </c>
      <c r="B1885" s="1" t="n">
        <v>44441</v>
      </c>
      <c r="C1885" s="1" t="n">
        <v>46114</v>
      </c>
      <c r="D1885" t="inlineStr">
        <is>
          <t>DALARNAS LÄN</t>
        </is>
      </c>
      <c r="E1885" t="inlineStr">
        <is>
          <t>RÄTTVIK</t>
        </is>
      </c>
      <c r="F1885" t="inlineStr">
        <is>
          <t>Sveaskog</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37881-2022</t>
        </is>
      </c>
      <c r="B1886" s="1" t="n">
        <v>44811</v>
      </c>
      <c r="C1886" s="1" t="n">
        <v>46114</v>
      </c>
      <c r="D1886" t="inlineStr">
        <is>
          <t>DALARNAS LÄN</t>
        </is>
      </c>
      <c r="E1886" t="inlineStr">
        <is>
          <t>SMEDJEBACKEN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31629-2021</t>
        </is>
      </c>
      <c r="B1887" s="1" t="n">
        <v>44369.60609953704</v>
      </c>
      <c r="C1887" s="1" t="n">
        <v>46114</v>
      </c>
      <c r="D1887" t="inlineStr">
        <is>
          <t>DALARNAS LÄN</t>
        </is>
      </c>
      <c r="E1887" t="inlineStr">
        <is>
          <t>FALUN</t>
        </is>
      </c>
      <c r="F1887" t="inlineStr">
        <is>
          <t>Bergvik skog väst AB</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40135-2021</t>
        </is>
      </c>
      <c r="B1888" s="1" t="n">
        <v>44418</v>
      </c>
      <c r="C1888" s="1" t="n">
        <v>46114</v>
      </c>
      <c r="D1888" t="inlineStr">
        <is>
          <t>DALARNAS LÄN</t>
        </is>
      </c>
      <c r="E1888" t="inlineStr">
        <is>
          <t>FALUN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53290-2022</t>
        </is>
      </c>
      <c r="B1889" s="1" t="n">
        <v>44876.95594907407</v>
      </c>
      <c r="C1889" s="1" t="n">
        <v>46114</v>
      </c>
      <c r="D1889" t="inlineStr">
        <is>
          <t>DALARNAS LÄN</t>
        </is>
      </c>
      <c r="E1889" t="inlineStr">
        <is>
          <t>SMEDJEBACKEN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46801-2021</t>
        </is>
      </c>
      <c r="B1890" s="1" t="n">
        <v>44446.30186342593</v>
      </c>
      <c r="C1890" s="1" t="n">
        <v>46114</v>
      </c>
      <c r="D1890" t="inlineStr">
        <is>
          <t>DALARNAS LÄN</t>
        </is>
      </c>
      <c r="E1890" t="inlineStr">
        <is>
          <t>VANSBRO</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42478-2021</t>
        </is>
      </c>
      <c r="B1891" s="1" t="n">
        <v>44427</v>
      </c>
      <c r="C1891" s="1" t="n">
        <v>46114</v>
      </c>
      <c r="D1891" t="inlineStr">
        <is>
          <t>DALARNAS LÄN</t>
        </is>
      </c>
      <c r="E1891" t="inlineStr">
        <is>
          <t>BORLÄNGE</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48511-2021</t>
        </is>
      </c>
      <c r="B1892" s="1" t="n">
        <v>44452</v>
      </c>
      <c r="C1892" s="1" t="n">
        <v>46114</v>
      </c>
      <c r="D1892" t="inlineStr">
        <is>
          <t>DALARNAS LÄN</t>
        </is>
      </c>
      <c r="E1892" t="inlineStr">
        <is>
          <t>BORLÄNGE</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62389-2021</t>
        </is>
      </c>
      <c r="B1893" s="1" t="n">
        <v>44503</v>
      </c>
      <c r="C1893" s="1" t="n">
        <v>46114</v>
      </c>
      <c r="D1893" t="inlineStr">
        <is>
          <t>DALARNAS LÄN</t>
        </is>
      </c>
      <c r="E1893" t="inlineStr">
        <is>
          <t>SÄTER</t>
        </is>
      </c>
      <c r="F1893" t="inlineStr">
        <is>
          <t>Bergvik skog väst AB</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27022-2021</t>
        </is>
      </c>
      <c r="B1894" s="1" t="n">
        <v>44350.38857638889</v>
      </c>
      <c r="C1894" s="1" t="n">
        <v>46114</v>
      </c>
      <c r="D1894" t="inlineStr">
        <is>
          <t>DALARNAS LÄN</t>
        </is>
      </c>
      <c r="E1894" t="inlineStr">
        <is>
          <t>ÄLVDALEN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17687-2021</t>
        </is>
      </c>
      <c r="B1895" s="1" t="n">
        <v>44300.45302083333</v>
      </c>
      <c r="C1895" s="1" t="n">
        <v>46114</v>
      </c>
      <c r="D1895" t="inlineStr">
        <is>
          <t>DALARNAS LÄN</t>
        </is>
      </c>
      <c r="E1895" t="inlineStr">
        <is>
          <t>VANSBRO</t>
        </is>
      </c>
      <c r="F1895" t="inlineStr">
        <is>
          <t>Bergvik skog öst AB</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61400-2021</t>
        </is>
      </c>
      <c r="B1896" s="1" t="n">
        <v>44500</v>
      </c>
      <c r="C1896" s="1" t="n">
        <v>46114</v>
      </c>
      <c r="D1896" t="inlineStr">
        <is>
          <t>DALARNAS LÄN</t>
        </is>
      </c>
      <c r="E1896" t="inlineStr">
        <is>
          <t>SÄTER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19677-2021</t>
        </is>
      </c>
      <c r="B1897" s="1" t="n">
        <v>44312</v>
      </c>
      <c r="C1897" s="1" t="n">
        <v>46114</v>
      </c>
      <c r="D1897" t="inlineStr">
        <is>
          <t>DALARNAS LÄN</t>
        </is>
      </c>
      <c r="E1897" t="inlineStr">
        <is>
          <t>LEKSAND</t>
        </is>
      </c>
      <c r="F1897" t="inlineStr">
        <is>
          <t>Bergvik skog väst AB</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70544-2021</t>
        </is>
      </c>
      <c r="B1898" s="1" t="n">
        <v>44537.29784722222</v>
      </c>
      <c r="C1898" s="1" t="n">
        <v>46114</v>
      </c>
      <c r="D1898" t="inlineStr">
        <is>
          <t>DALARNAS LÄN</t>
        </is>
      </c>
      <c r="E1898" t="inlineStr">
        <is>
          <t>RÄTTVIK</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61934-2021</t>
        </is>
      </c>
      <c r="B1899" s="1" t="n">
        <v>44502</v>
      </c>
      <c r="C1899" s="1" t="n">
        <v>46114</v>
      </c>
      <c r="D1899" t="inlineStr">
        <is>
          <t>DALARNAS LÄN</t>
        </is>
      </c>
      <c r="E1899" t="inlineStr">
        <is>
          <t>SÄTER</t>
        </is>
      </c>
      <c r="F1899" t="inlineStr">
        <is>
          <t>Bergvik skog väst AB</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22258-2021</t>
        </is>
      </c>
      <c r="B1900" s="1" t="n">
        <v>44326.41503472222</v>
      </c>
      <c r="C1900" s="1" t="n">
        <v>46114</v>
      </c>
      <c r="D1900" t="inlineStr">
        <is>
          <t>DALARNAS LÄN</t>
        </is>
      </c>
      <c r="E1900" t="inlineStr">
        <is>
          <t>MALUNG-SÄLEN</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72384-2021</t>
        </is>
      </c>
      <c r="B1901" s="1" t="n">
        <v>44545.57009259259</v>
      </c>
      <c r="C1901" s="1" t="n">
        <v>46114</v>
      </c>
      <c r="D1901" t="inlineStr">
        <is>
          <t>DALARNAS LÄN</t>
        </is>
      </c>
      <c r="E1901" t="inlineStr">
        <is>
          <t>SMEDJEBACKEN</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53583-2021</t>
        </is>
      </c>
      <c r="B1902" s="1" t="n">
        <v>44469</v>
      </c>
      <c r="C1902" s="1" t="n">
        <v>46114</v>
      </c>
      <c r="D1902" t="inlineStr">
        <is>
          <t>DALARNAS LÄN</t>
        </is>
      </c>
      <c r="E1902" t="inlineStr">
        <is>
          <t>SMEDJEBACKEN</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61962-2021</t>
        </is>
      </c>
      <c r="B1903" s="1" t="n">
        <v>44501</v>
      </c>
      <c r="C1903" s="1" t="n">
        <v>46114</v>
      </c>
      <c r="D1903" t="inlineStr">
        <is>
          <t>DALARNAS LÄN</t>
        </is>
      </c>
      <c r="E1903" t="inlineStr">
        <is>
          <t>MALUNG-SÄLEN</t>
        </is>
      </c>
      <c r="F1903" t="inlineStr">
        <is>
          <t>Allmännings- och besparingsskogar</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4488-2022</t>
        </is>
      </c>
      <c r="B1904" s="1" t="n">
        <v>44589.65528935185</v>
      </c>
      <c r="C1904" s="1" t="n">
        <v>46114</v>
      </c>
      <c r="D1904" t="inlineStr">
        <is>
          <t>DALARNAS LÄN</t>
        </is>
      </c>
      <c r="E1904" t="inlineStr">
        <is>
          <t>MORA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1700-2022</t>
        </is>
      </c>
      <c r="B1905" s="1" t="n">
        <v>44574</v>
      </c>
      <c r="C1905" s="1" t="n">
        <v>46114</v>
      </c>
      <c r="D1905" t="inlineStr">
        <is>
          <t>DALARNAS LÄN</t>
        </is>
      </c>
      <c r="E1905" t="inlineStr">
        <is>
          <t>SMEDJEBACKEN</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64768-2021</t>
        </is>
      </c>
      <c r="B1906" s="1" t="n">
        <v>44512.45628472222</v>
      </c>
      <c r="C1906" s="1" t="n">
        <v>46114</v>
      </c>
      <c r="D1906" t="inlineStr">
        <is>
          <t>DALARNAS LÄN</t>
        </is>
      </c>
      <c r="E1906" t="inlineStr">
        <is>
          <t>AVESTA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19768-2021</t>
        </is>
      </c>
      <c r="B1907" s="1" t="n">
        <v>44312</v>
      </c>
      <c r="C1907" s="1" t="n">
        <v>46114</v>
      </c>
      <c r="D1907" t="inlineStr">
        <is>
          <t>DALARNAS LÄN</t>
        </is>
      </c>
      <c r="E1907" t="inlineStr">
        <is>
          <t>MALUNG-SÄLEN</t>
        </is>
      </c>
      <c r="G1907" t="n">
        <v>0.2</v>
      </c>
      <c r="H1907" t="n">
        <v>0</v>
      </c>
      <c r="I1907" t="n">
        <v>0</v>
      </c>
      <c r="J1907" t="n">
        <v>0</v>
      </c>
      <c r="K1907" t="n">
        <v>0</v>
      </c>
      <c r="L1907" t="n">
        <v>0</v>
      </c>
      <c r="M1907" t="n">
        <v>0</v>
      </c>
      <c r="N1907" t="n">
        <v>0</v>
      </c>
      <c r="O1907" t="n">
        <v>0</v>
      </c>
      <c r="P1907" t="n">
        <v>0</v>
      </c>
      <c r="Q1907" t="n">
        <v>0</v>
      </c>
      <c r="R1907" s="2" t="inlineStr"/>
    </row>
    <row r="1908" ht="15" customHeight="1">
      <c r="A1908" t="inlineStr">
        <is>
          <t>A 38619-2021</t>
        </is>
      </c>
      <c r="B1908" s="1" t="n">
        <v>44409</v>
      </c>
      <c r="C1908" s="1" t="n">
        <v>46114</v>
      </c>
      <c r="D1908" t="inlineStr">
        <is>
          <t>DALARNAS LÄN</t>
        </is>
      </c>
      <c r="E1908" t="inlineStr">
        <is>
          <t>LEKSAND</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8501-2022</t>
        </is>
      </c>
      <c r="B1909" s="1" t="n">
        <v>44613.40672453704</v>
      </c>
      <c r="C1909" s="1" t="n">
        <v>46114</v>
      </c>
      <c r="D1909" t="inlineStr">
        <is>
          <t>DALARNAS LÄN</t>
        </is>
      </c>
      <c r="E1909" t="inlineStr">
        <is>
          <t>LEKSAND</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45313-2021</t>
        </is>
      </c>
      <c r="B1910" s="1" t="n">
        <v>44439</v>
      </c>
      <c r="C1910" s="1" t="n">
        <v>46114</v>
      </c>
      <c r="D1910" t="inlineStr">
        <is>
          <t>DALARNAS LÄN</t>
        </is>
      </c>
      <c r="E1910" t="inlineStr">
        <is>
          <t>LUDVIKA</t>
        </is>
      </c>
      <c r="G1910" t="n">
        <v>2.6</v>
      </c>
      <c r="H1910" t="n">
        <v>0</v>
      </c>
      <c r="I1910" t="n">
        <v>0</v>
      </c>
      <c r="J1910" t="n">
        <v>0</v>
      </c>
      <c r="K1910" t="n">
        <v>0</v>
      </c>
      <c r="L1910" t="n">
        <v>0</v>
      </c>
      <c r="M1910" t="n">
        <v>0</v>
      </c>
      <c r="N1910" t="n">
        <v>0</v>
      </c>
      <c r="O1910" t="n">
        <v>0</v>
      </c>
      <c r="P1910" t="n">
        <v>0</v>
      </c>
      <c r="Q1910" t="n">
        <v>0</v>
      </c>
      <c r="R1910" s="2" t="inlineStr"/>
    </row>
    <row r="1911" ht="15" customHeight="1">
      <c r="A1911" t="inlineStr">
        <is>
          <t>A 55774-2021</t>
        </is>
      </c>
      <c r="B1911" s="1" t="n">
        <v>44476</v>
      </c>
      <c r="C1911" s="1" t="n">
        <v>46114</v>
      </c>
      <c r="D1911" t="inlineStr">
        <is>
          <t>DALARNAS LÄN</t>
        </is>
      </c>
      <c r="E1911" t="inlineStr">
        <is>
          <t>VANSBRO</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49392-2021</t>
        </is>
      </c>
      <c r="B1912" s="1" t="n">
        <v>44454</v>
      </c>
      <c r="C1912" s="1" t="n">
        <v>46114</v>
      </c>
      <c r="D1912" t="inlineStr">
        <is>
          <t>DALARNAS LÄN</t>
        </is>
      </c>
      <c r="E1912" t="inlineStr">
        <is>
          <t>AVESTA</t>
        </is>
      </c>
      <c r="G1912" t="n">
        <v>8.9</v>
      </c>
      <c r="H1912" t="n">
        <v>0</v>
      </c>
      <c r="I1912" t="n">
        <v>0</v>
      </c>
      <c r="J1912" t="n">
        <v>0</v>
      </c>
      <c r="K1912" t="n">
        <v>0</v>
      </c>
      <c r="L1912" t="n">
        <v>0</v>
      </c>
      <c r="M1912" t="n">
        <v>0</v>
      </c>
      <c r="N1912" t="n">
        <v>0</v>
      </c>
      <c r="O1912" t="n">
        <v>0</v>
      </c>
      <c r="P1912" t="n">
        <v>0</v>
      </c>
      <c r="Q1912" t="n">
        <v>0</v>
      </c>
      <c r="R1912" s="2" t="inlineStr"/>
    </row>
    <row r="1913" ht="15" customHeight="1">
      <c r="A1913" t="inlineStr">
        <is>
          <t>A 44249-2021</t>
        </is>
      </c>
      <c r="B1913" s="1" t="n">
        <v>44434</v>
      </c>
      <c r="C1913" s="1" t="n">
        <v>46114</v>
      </c>
      <c r="D1913" t="inlineStr">
        <is>
          <t>DALARNAS LÄN</t>
        </is>
      </c>
      <c r="E1913" t="inlineStr">
        <is>
          <t>SMEDJEBACKEN</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6466-2022</t>
        </is>
      </c>
      <c r="B1914" s="1" t="n">
        <v>44601</v>
      </c>
      <c r="C1914" s="1" t="n">
        <v>46114</v>
      </c>
      <c r="D1914" t="inlineStr">
        <is>
          <t>DALARNAS LÄN</t>
        </is>
      </c>
      <c r="E1914" t="inlineStr">
        <is>
          <t>SÄTER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44141-2021</t>
        </is>
      </c>
      <c r="B1915" s="1" t="n">
        <v>44434.63518518519</v>
      </c>
      <c r="C1915" s="1" t="n">
        <v>46114</v>
      </c>
      <c r="D1915" t="inlineStr">
        <is>
          <t>DALARNAS LÄN</t>
        </is>
      </c>
      <c r="E1915" t="inlineStr">
        <is>
          <t>SMEDJEBACKEN</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71702-2021</t>
        </is>
      </c>
      <c r="B1916" s="1" t="n">
        <v>44543</v>
      </c>
      <c r="C1916" s="1" t="n">
        <v>46114</v>
      </c>
      <c r="D1916" t="inlineStr">
        <is>
          <t>DALARNAS LÄN</t>
        </is>
      </c>
      <c r="E1916" t="inlineStr">
        <is>
          <t>MORA</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46494-2021</t>
        </is>
      </c>
      <c r="B1917" s="1" t="n">
        <v>44445.39759259259</v>
      </c>
      <c r="C1917" s="1" t="n">
        <v>46114</v>
      </c>
      <c r="D1917" t="inlineStr">
        <is>
          <t>DALARNAS LÄN</t>
        </is>
      </c>
      <c r="E1917" t="inlineStr">
        <is>
          <t>SÄTER</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52190-2021</t>
        </is>
      </c>
      <c r="B1918" s="1" t="n">
        <v>44462</v>
      </c>
      <c r="C1918" s="1" t="n">
        <v>46114</v>
      </c>
      <c r="D1918" t="inlineStr">
        <is>
          <t>DALARNAS LÄN</t>
        </is>
      </c>
      <c r="E1918" t="inlineStr">
        <is>
          <t>SÄTER</t>
        </is>
      </c>
      <c r="F1918" t="inlineStr">
        <is>
          <t>Bergvik skog väst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59393-2021</t>
        </is>
      </c>
      <c r="B1919" s="1" t="n">
        <v>44491</v>
      </c>
      <c r="C1919" s="1" t="n">
        <v>46114</v>
      </c>
      <c r="D1919" t="inlineStr">
        <is>
          <t>DALARNAS LÄN</t>
        </is>
      </c>
      <c r="E1919" t="inlineStr">
        <is>
          <t>SÄTER</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17791-2021</t>
        </is>
      </c>
      <c r="B1920" s="1" t="n">
        <v>44300</v>
      </c>
      <c r="C1920" s="1" t="n">
        <v>46114</v>
      </c>
      <c r="D1920" t="inlineStr">
        <is>
          <t>DALARNAS LÄN</t>
        </is>
      </c>
      <c r="E1920" t="inlineStr">
        <is>
          <t>FALUN</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35237-2021</t>
        </is>
      </c>
      <c r="B1921" s="1" t="n">
        <v>44384</v>
      </c>
      <c r="C1921" s="1" t="n">
        <v>46114</v>
      </c>
      <c r="D1921" t="inlineStr">
        <is>
          <t>DALARNAS LÄN</t>
        </is>
      </c>
      <c r="E1921" t="inlineStr">
        <is>
          <t>BORLÄNGE</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66012-2021</t>
        </is>
      </c>
      <c r="B1922" s="1" t="n">
        <v>44517</v>
      </c>
      <c r="C1922" s="1" t="n">
        <v>46114</v>
      </c>
      <c r="D1922" t="inlineStr">
        <is>
          <t>DALARNAS LÄN</t>
        </is>
      </c>
      <c r="E1922" t="inlineStr">
        <is>
          <t>FALUN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71282-2021</t>
        </is>
      </c>
      <c r="B1923" s="1" t="n">
        <v>44539</v>
      </c>
      <c r="C1923" s="1" t="n">
        <v>46114</v>
      </c>
      <c r="D1923" t="inlineStr">
        <is>
          <t>DALARNAS LÄN</t>
        </is>
      </c>
      <c r="E1923" t="inlineStr">
        <is>
          <t>ÄLVDALEN</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70252-2021</t>
        </is>
      </c>
      <c r="B1924" s="1" t="n">
        <v>44536</v>
      </c>
      <c r="C1924" s="1" t="n">
        <v>46114</v>
      </c>
      <c r="D1924" t="inlineStr">
        <is>
          <t>DALARNAS LÄN</t>
        </is>
      </c>
      <c r="E1924" t="inlineStr">
        <is>
          <t>ÄLVDALEN</t>
        </is>
      </c>
      <c r="F1924" t="inlineStr">
        <is>
          <t>Sveaskog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35731-2021</t>
        </is>
      </c>
      <c r="B1925" s="1" t="n">
        <v>44386</v>
      </c>
      <c r="C1925" s="1" t="n">
        <v>46114</v>
      </c>
      <c r="D1925" t="inlineStr">
        <is>
          <t>DALARNAS LÄN</t>
        </is>
      </c>
      <c r="E1925" t="inlineStr">
        <is>
          <t>LUDVIKA</t>
        </is>
      </c>
      <c r="F1925" t="inlineStr">
        <is>
          <t>Kyrkan</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70730-2021</t>
        </is>
      </c>
      <c r="B1926" s="1" t="n">
        <v>44537</v>
      </c>
      <c r="C1926" s="1" t="n">
        <v>46114</v>
      </c>
      <c r="D1926" t="inlineStr">
        <is>
          <t>DALARNAS LÄN</t>
        </is>
      </c>
      <c r="E1926" t="inlineStr">
        <is>
          <t>RÄTTVIK</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70737-2021</t>
        </is>
      </c>
      <c r="B1927" s="1" t="n">
        <v>44537.62671296296</v>
      </c>
      <c r="C1927" s="1" t="n">
        <v>46114</v>
      </c>
      <c r="D1927" t="inlineStr">
        <is>
          <t>DALARNAS LÄN</t>
        </is>
      </c>
      <c r="E1927" t="inlineStr">
        <is>
          <t>RÄTTVIK</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17627-2022</t>
        </is>
      </c>
      <c r="B1928" s="1" t="n">
        <v>44680</v>
      </c>
      <c r="C1928" s="1" t="n">
        <v>46114</v>
      </c>
      <c r="D1928" t="inlineStr">
        <is>
          <t>DALARNAS LÄN</t>
        </is>
      </c>
      <c r="E1928" t="inlineStr">
        <is>
          <t>ÄLVDALEN</t>
        </is>
      </c>
      <c r="F1928" t="inlineStr">
        <is>
          <t>Sveaskog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17904-2021</t>
        </is>
      </c>
      <c r="B1929" s="1" t="n">
        <v>44301</v>
      </c>
      <c r="C1929" s="1" t="n">
        <v>46114</v>
      </c>
      <c r="D1929" t="inlineStr">
        <is>
          <t>DALARNAS LÄN</t>
        </is>
      </c>
      <c r="E1929" t="inlineStr">
        <is>
          <t>MORA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34569-2022</t>
        </is>
      </c>
      <c r="B1930" s="1" t="n">
        <v>44795.28498842593</v>
      </c>
      <c r="C1930" s="1" t="n">
        <v>46114</v>
      </c>
      <c r="D1930" t="inlineStr">
        <is>
          <t>DALARNAS LÄN</t>
        </is>
      </c>
      <c r="E1930" t="inlineStr">
        <is>
          <t>RÄTTVIK</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30255-2021</t>
        </is>
      </c>
      <c r="B1931" s="1" t="n">
        <v>44363</v>
      </c>
      <c r="C1931" s="1" t="n">
        <v>46114</v>
      </c>
      <c r="D1931" t="inlineStr">
        <is>
          <t>DALARNAS LÄN</t>
        </is>
      </c>
      <c r="E1931" t="inlineStr">
        <is>
          <t>ÄLVDALEN</t>
        </is>
      </c>
      <c r="F1931" t="inlineStr">
        <is>
          <t>Sveaskog</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7530-2022</t>
        </is>
      </c>
      <c r="B1932" s="1" t="n">
        <v>44607</v>
      </c>
      <c r="C1932" s="1" t="n">
        <v>46114</v>
      </c>
      <c r="D1932" t="inlineStr">
        <is>
          <t>DALARNAS LÄN</t>
        </is>
      </c>
      <c r="E1932" t="inlineStr">
        <is>
          <t>ÄLVDALEN</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169-2022</t>
        </is>
      </c>
      <c r="B1933" s="1" t="n">
        <v>44564</v>
      </c>
      <c r="C1933" s="1" t="n">
        <v>46114</v>
      </c>
      <c r="D1933" t="inlineStr">
        <is>
          <t>DALARNAS LÄN</t>
        </is>
      </c>
      <c r="E1933" t="inlineStr">
        <is>
          <t>ORSA</t>
        </is>
      </c>
      <c r="F1933" t="inlineStr">
        <is>
          <t>Kommuner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37489-2021</t>
        </is>
      </c>
      <c r="B1934" s="1" t="n">
        <v>44398</v>
      </c>
      <c r="C1934" s="1" t="n">
        <v>46114</v>
      </c>
      <c r="D1934" t="inlineStr">
        <is>
          <t>DALARNAS LÄN</t>
        </is>
      </c>
      <c r="E1934" t="inlineStr">
        <is>
          <t>FALUN</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17622-2022</t>
        </is>
      </c>
      <c r="B1935" s="1" t="n">
        <v>44680.4265162037</v>
      </c>
      <c r="C1935" s="1" t="n">
        <v>46114</v>
      </c>
      <c r="D1935" t="inlineStr">
        <is>
          <t>DALARNAS LÄN</t>
        </is>
      </c>
      <c r="E1935" t="inlineStr">
        <is>
          <t>MORA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33530-2022</t>
        </is>
      </c>
      <c r="B1936" s="1" t="n">
        <v>44789.33553240741</v>
      </c>
      <c r="C1936" s="1" t="n">
        <v>46114</v>
      </c>
      <c r="D1936" t="inlineStr">
        <is>
          <t>DALARNAS LÄN</t>
        </is>
      </c>
      <c r="E1936" t="inlineStr">
        <is>
          <t>RÄTTVIK</t>
        </is>
      </c>
      <c r="G1936" t="n">
        <v>3.9</v>
      </c>
      <c r="H1936" t="n">
        <v>0</v>
      </c>
      <c r="I1936" t="n">
        <v>0</v>
      </c>
      <c r="J1936" t="n">
        <v>0</v>
      </c>
      <c r="K1936" t="n">
        <v>0</v>
      </c>
      <c r="L1936" t="n">
        <v>0</v>
      </c>
      <c r="M1936" t="n">
        <v>0</v>
      </c>
      <c r="N1936" t="n">
        <v>0</v>
      </c>
      <c r="O1936" t="n">
        <v>0</v>
      </c>
      <c r="P1936" t="n">
        <v>0</v>
      </c>
      <c r="Q1936" t="n">
        <v>0</v>
      </c>
      <c r="R1936" s="2" t="inlineStr"/>
    </row>
    <row r="1937" ht="15" customHeight="1">
      <c r="A1937" t="inlineStr">
        <is>
          <t>A 37490-2021</t>
        </is>
      </c>
      <c r="B1937" s="1" t="n">
        <v>44399</v>
      </c>
      <c r="C1937" s="1" t="n">
        <v>46114</v>
      </c>
      <c r="D1937" t="inlineStr">
        <is>
          <t>DALARNAS LÄN</t>
        </is>
      </c>
      <c r="E1937" t="inlineStr">
        <is>
          <t>ÄLVDALEN</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29283-2022</t>
        </is>
      </c>
      <c r="B1938" s="1" t="n">
        <v>44750.87045138889</v>
      </c>
      <c r="C1938" s="1" t="n">
        <v>46114</v>
      </c>
      <c r="D1938" t="inlineStr">
        <is>
          <t>DALARNAS LÄN</t>
        </is>
      </c>
      <c r="E1938" t="inlineStr">
        <is>
          <t>HEDEMORA</t>
        </is>
      </c>
      <c r="F1938" t="inlineStr">
        <is>
          <t>Sveaskog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29284-2022</t>
        </is>
      </c>
      <c r="B1939" s="1" t="n">
        <v>44750.87366898148</v>
      </c>
      <c r="C1939" s="1" t="n">
        <v>46114</v>
      </c>
      <c r="D1939" t="inlineStr">
        <is>
          <t>DALARNAS LÄN</t>
        </is>
      </c>
      <c r="E1939" t="inlineStr">
        <is>
          <t>HEDEMORA</t>
        </is>
      </c>
      <c r="F1939" t="inlineStr">
        <is>
          <t>Sveaskog</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6362-2022</t>
        </is>
      </c>
      <c r="B1940" s="1" t="n">
        <v>44600.60770833334</v>
      </c>
      <c r="C1940" s="1" t="n">
        <v>46114</v>
      </c>
      <c r="D1940" t="inlineStr">
        <is>
          <t>DALARNAS LÄN</t>
        </is>
      </c>
      <c r="E1940" t="inlineStr">
        <is>
          <t>MALUNG-SÄLEN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31871-2022</t>
        </is>
      </c>
      <c r="B1941" s="1" t="n">
        <v>44777.37854166667</v>
      </c>
      <c r="C1941" s="1" t="n">
        <v>46114</v>
      </c>
      <c r="D1941" t="inlineStr">
        <is>
          <t>DALARNAS LÄN</t>
        </is>
      </c>
      <c r="E1941" t="inlineStr">
        <is>
          <t>LEKSAND</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14140-2022</t>
        </is>
      </c>
      <c r="B1942" s="1" t="n">
        <v>44651</v>
      </c>
      <c r="C1942" s="1" t="n">
        <v>46114</v>
      </c>
      <c r="D1942" t="inlineStr">
        <is>
          <t>DALARNAS LÄN</t>
        </is>
      </c>
      <c r="E1942" t="inlineStr">
        <is>
          <t>LEKSAND</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42735-2021</t>
        </is>
      </c>
      <c r="B1943" s="1" t="n">
        <v>44428.60674768518</v>
      </c>
      <c r="C1943" s="1" t="n">
        <v>46114</v>
      </c>
      <c r="D1943" t="inlineStr">
        <is>
          <t>DALARNAS LÄN</t>
        </is>
      </c>
      <c r="E1943" t="inlineStr">
        <is>
          <t>AVESTA</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2181-2022</t>
        </is>
      </c>
      <c r="B1944" s="1" t="n">
        <v>44578</v>
      </c>
      <c r="C1944" s="1" t="n">
        <v>46114</v>
      </c>
      <c r="D1944" t="inlineStr">
        <is>
          <t>DALARNAS LÄN</t>
        </is>
      </c>
      <c r="E1944" t="inlineStr">
        <is>
          <t>RÄTTVIK</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54407-2022</t>
        </is>
      </c>
      <c r="B1945" s="1" t="n">
        <v>44882.54866898148</v>
      </c>
      <c r="C1945" s="1" t="n">
        <v>46114</v>
      </c>
      <c r="D1945" t="inlineStr">
        <is>
          <t>DALARNAS LÄN</t>
        </is>
      </c>
      <c r="E1945" t="inlineStr">
        <is>
          <t>ÄLVDALEN</t>
        </is>
      </c>
      <c r="F1945" t="inlineStr">
        <is>
          <t>Bergvik skog väst AB</t>
        </is>
      </c>
      <c r="G1945" t="n">
        <v>3.5</v>
      </c>
      <c r="H1945" t="n">
        <v>0</v>
      </c>
      <c r="I1945" t="n">
        <v>0</v>
      </c>
      <c r="J1945" t="n">
        <v>0</v>
      </c>
      <c r="K1945" t="n">
        <v>0</v>
      </c>
      <c r="L1945" t="n">
        <v>0</v>
      </c>
      <c r="M1945" t="n">
        <v>0</v>
      </c>
      <c r="N1945" t="n">
        <v>0</v>
      </c>
      <c r="O1945" t="n">
        <v>0</v>
      </c>
      <c r="P1945" t="n">
        <v>0</v>
      </c>
      <c r="Q1945" t="n">
        <v>0</v>
      </c>
      <c r="R1945" s="2" t="inlineStr"/>
    </row>
    <row r="1946" ht="15" customHeight="1">
      <c r="A1946" t="inlineStr">
        <is>
          <t>A 55398-2022</t>
        </is>
      </c>
      <c r="B1946" s="1" t="n">
        <v>44887.5738425926</v>
      </c>
      <c r="C1946" s="1" t="n">
        <v>46114</v>
      </c>
      <c r="D1946" t="inlineStr">
        <is>
          <t>DALARNAS LÄN</t>
        </is>
      </c>
      <c r="E1946" t="inlineStr">
        <is>
          <t>GAGNEF</t>
        </is>
      </c>
      <c r="G1946" t="n">
        <v>0.2</v>
      </c>
      <c r="H1946" t="n">
        <v>0</v>
      </c>
      <c r="I1946" t="n">
        <v>0</v>
      </c>
      <c r="J1946" t="n">
        <v>0</v>
      </c>
      <c r="K1946" t="n">
        <v>0</v>
      </c>
      <c r="L1946" t="n">
        <v>0</v>
      </c>
      <c r="M1946" t="n">
        <v>0</v>
      </c>
      <c r="N1946" t="n">
        <v>0</v>
      </c>
      <c r="O1946" t="n">
        <v>0</v>
      </c>
      <c r="P1946" t="n">
        <v>0</v>
      </c>
      <c r="Q1946" t="n">
        <v>0</v>
      </c>
      <c r="R1946" s="2" t="inlineStr"/>
    </row>
    <row r="1947" ht="15" customHeight="1">
      <c r="A1947" t="inlineStr">
        <is>
          <t>A 51277-2021</t>
        </is>
      </c>
      <c r="B1947" s="1" t="n">
        <v>44461</v>
      </c>
      <c r="C1947" s="1" t="n">
        <v>46114</v>
      </c>
      <c r="D1947" t="inlineStr">
        <is>
          <t>DALARNAS LÄN</t>
        </is>
      </c>
      <c r="E1947" t="inlineStr">
        <is>
          <t>ORSA</t>
        </is>
      </c>
      <c r="F1947" t="inlineStr">
        <is>
          <t>Allmännings- och besparingsskogar</t>
        </is>
      </c>
      <c r="G1947" t="n">
        <v>0.2</v>
      </c>
      <c r="H1947" t="n">
        <v>0</v>
      </c>
      <c r="I1947" t="n">
        <v>0</v>
      </c>
      <c r="J1947" t="n">
        <v>0</v>
      </c>
      <c r="K1947" t="n">
        <v>0</v>
      </c>
      <c r="L1947" t="n">
        <v>0</v>
      </c>
      <c r="M1947" t="n">
        <v>0</v>
      </c>
      <c r="N1947" t="n">
        <v>0</v>
      </c>
      <c r="O1947" t="n">
        <v>0</v>
      </c>
      <c r="P1947" t="n">
        <v>0</v>
      </c>
      <c r="Q1947" t="n">
        <v>0</v>
      </c>
      <c r="R1947" s="2" t="inlineStr"/>
    </row>
    <row r="1948" ht="15" customHeight="1">
      <c r="A1948" t="inlineStr">
        <is>
          <t>A 39164-2021</t>
        </is>
      </c>
      <c r="B1948" s="1" t="n">
        <v>44412</v>
      </c>
      <c r="C1948" s="1" t="n">
        <v>46114</v>
      </c>
      <c r="D1948" t="inlineStr">
        <is>
          <t>DALARNAS LÄN</t>
        </is>
      </c>
      <c r="E1948" t="inlineStr">
        <is>
          <t>AVESTA</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31714-2021</t>
        </is>
      </c>
      <c r="B1949" s="1" t="n">
        <v>44369.82663194444</v>
      </c>
      <c r="C1949" s="1" t="n">
        <v>46114</v>
      </c>
      <c r="D1949" t="inlineStr">
        <is>
          <t>DALARNAS LÄN</t>
        </is>
      </c>
      <c r="E1949" t="inlineStr">
        <is>
          <t>ÄLVDALEN</t>
        </is>
      </c>
      <c r="F1949" t="inlineStr">
        <is>
          <t>Sveaskog</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56098-2021</t>
        </is>
      </c>
      <c r="B1950" s="1" t="n">
        <v>44477</v>
      </c>
      <c r="C1950" s="1" t="n">
        <v>46114</v>
      </c>
      <c r="D1950" t="inlineStr">
        <is>
          <t>DALARNAS LÄN</t>
        </is>
      </c>
      <c r="E1950" t="inlineStr">
        <is>
          <t>VANSBRO</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13189-2022</t>
        </is>
      </c>
      <c r="B1951" s="1" t="n">
        <v>44644</v>
      </c>
      <c r="C1951" s="1" t="n">
        <v>46114</v>
      </c>
      <c r="D1951" t="inlineStr">
        <is>
          <t>DALARNAS LÄN</t>
        </is>
      </c>
      <c r="E1951" t="inlineStr">
        <is>
          <t>FALUN</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41333-2022</t>
        </is>
      </c>
      <c r="B1952" s="1" t="n">
        <v>44826</v>
      </c>
      <c r="C1952" s="1" t="n">
        <v>46114</v>
      </c>
      <c r="D1952" t="inlineStr">
        <is>
          <t>DALARNAS LÄN</t>
        </is>
      </c>
      <c r="E1952" t="inlineStr">
        <is>
          <t>MALUNG-SÄLEN</t>
        </is>
      </c>
      <c r="F1952" t="inlineStr">
        <is>
          <t>Allmännings- och besparingsskogar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27282-2021</t>
        </is>
      </c>
      <c r="B1953" s="1" t="n">
        <v>44351</v>
      </c>
      <c r="C1953" s="1" t="n">
        <v>46114</v>
      </c>
      <c r="D1953" t="inlineStr">
        <is>
          <t>DALARNAS LÄN</t>
        </is>
      </c>
      <c r="E1953" t="inlineStr">
        <is>
          <t>RÄTTVIK</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35593-2022</t>
        </is>
      </c>
      <c r="B1954" s="1" t="n">
        <v>44799</v>
      </c>
      <c r="C1954" s="1" t="n">
        <v>46114</v>
      </c>
      <c r="D1954" t="inlineStr">
        <is>
          <t>DALARNAS LÄN</t>
        </is>
      </c>
      <c r="E1954" t="inlineStr">
        <is>
          <t>BORLÄNGE</t>
        </is>
      </c>
      <c r="F1954" t="inlineStr">
        <is>
          <t>Bergvik skog väst AB</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51278-2021</t>
        </is>
      </c>
      <c r="B1955" s="1" t="n">
        <v>44461</v>
      </c>
      <c r="C1955" s="1" t="n">
        <v>46114</v>
      </c>
      <c r="D1955" t="inlineStr">
        <is>
          <t>DALARNAS LÄN</t>
        </is>
      </c>
      <c r="E1955" t="inlineStr">
        <is>
          <t>ORSA</t>
        </is>
      </c>
      <c r="F1955" t="inlineStr">
        <is>
          <t>Allmännings- och besparingsskogar</t>
        </is>
      </c>
      <c r="G1955" t="n">
        <v>0.2</v>
      </c>
      <c r="H1955" t="n">
        <v>0</v>
      </c>
      <c r="I1955" t="n">
        <v>0</v>
      </c>
      <c r="J1955" t="n">
        <v>0</v>
      </c>
      <c r="K1955" t="n">
        <v>0</v>
      </c>
      <c r="L1955" t="n">
        <v>0</v>
      </c>
      <c r="M1955" t="n">
        <v>0</v>
      </c>
      <c r="N1955" t="n">
        <v>0</v>
      </c>
      <c r="O1955" t="n">
        <v>0</v>
      </c>
      <c r="P1955" t="n">
        <v>0</v>
      </c>
      <c r="Q1955" t="n">
        <v>0</v>
      </c>
      <c r="R1955" s="2" t="inlineStr"/>
    </row>
    <row r="1956" ht="15" customHeight="1">
      <c r="A1956" t="inlineStr">
        <is>
          <t>A 15929-2022</t>
        </is>
      </c>
      <c r="B1956" s="1" t="n">
        <v>44664</v>
      </c>
      <c r="C1956" s="1" t="n">
        <v>46114</v>
      </c>
      <c r="D1956" t="inlineStr">
        <is>
          <t>DALARNAS LÄN</t>
        </is>
      </c>
      <c r="E1956" t="inlineStr">
        <is>
          <t>FALUN</t>
        </is>
      </c>
      <c r="F1956" t="inlineStr">
        <is>
          <t>Kyrkan</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33166-2022</t>
        </is>
      </c>
      <c r="B1957" s="1" t="n">
        <v>44785.59811342593</v>
      </c>
      <c r="C1957" s="1" t="n">
        <v>46114</v>
      </c>
      <c r="D1957" t="inlineStr">
        <is>
          <t>DALARNAS LÄN</t>
        </is>
      </c>
      <c r="E1957" t="inlineStr">
        <is>
          <t>GAGNEF</t>
        </is>
      </c>
      <c r="F1957" t="inlineStr">
        <is>
          <t>Bergvik skog väst AB</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33168-2022</t>
        </is>
      </c>
      <c r="B1958" s="1" t="n">
        <v>44785.59934027777</v>
      </c>
      <c r="C1958" s="1" t="n">
        <v>46114</v>
      </c>
      <c r="D1958" t="inlineStr">
        <is>
          <t>DALARNAS LÄN</t>
        </is>
      </c>
      <c r="E1958" t="inlineStr">
        <is>
          <t>GAGNEF</t>
        </is>
      </c>
      <c r="F1958" t="inlineStr">
        <is>
          <t>Bergvik skog väst AB</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35720-2021</t>
        </is>
      </c>
      <c r="B1959" s="1" t="n">
        <v>44386</v>
      </c>
      <c r="C1959" s="1" t="n">
        <v>46114</v>
      </c>
      <c r="D1959" t="inlineStr">
        <is>
          <t>DALARNAS LÄN</t>
        </is>
      </c>
      <c r="E1959" t="inlineStr">
        <is>
          <t>LUDVIKA</t>
        </is>
      </c>
      <c r="F1959" t="inlineStr">
        <is>
          <t>Kyrkan</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31647-2021</t>
        </is>
      </c>
      <c r="B1960" s="1" t="n">
        <v>44369.63069444444</v>
      </c>
      <c r="C1960" s="1" t="n">
        <v>46114</v>
      </c>
      <c r="D1960" t="inlineStr">
        <is>
          <t>DALARNAS LÄN</t>
        </is>
      </c>
      <c r="E1960" t="inlineStr">
        <is>
          <t>ORSA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57002-2021</t>
        </is>
      </c>
      <c r="B1961" s="1" t="n">
        <v>44482.46922453704</v>
      </c>
      <c r="C1961" s="1" t="n">
        <v>46114</v>
      </c>
      <c r="D1961" t="inlineStr">
        <is>
          <t>DALARNAS LÄN</t>
        </is>
      </c>
      <c r="E1961" t="inlineStr">
        <is>
          <t>LUDVIKA</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63267-2021</t>
        </is>
      </c>
      <c r="B1962" s="1" t="n">
        <v>44508</v>
      </c>
      <c r="C1962" s="1" t="n">
        <v>46114</v>
      </c>
      <c r="D1962" t="inlineStr">
        <is>
          <t>DALARNAS LÄN</t>
        </is>
      </c>
      <c r="E1962" t="inlineStr">
        <is>
          <t>LUDVIKA</t>
        </is>
      </c>
      <c r="F1962" t="inlineStr">
        <is>
          <t>Bergvik skog väst AB</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45155-2021</t>
        </is>
      </c>
      <c r="B1963" s="1" t="n">
        <v>44439</v>
      </c>
      <c r="C1963" s="1" t="n">
        <v>46114</v>
      </c>
      <c r="D1963" t="inlineStr">
        <is>
          <t>DALARNAS LÄN</t>
        </is>
      </c>
      <c r="E1963" t="inlineStr">
        <is>
          <t>LEKSAND</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49737-2021</t>
        </is>
      </c>
      <c r="B1964" s="1" t="n">
        <v>44454</v>
      </c>
      <c r="C1964" s="1" t="n">
        <v>46114</v>
      </c>
      <c r="D1964" t="inlineStr">
        <is>
          <t>DALARNAS LÄN</t>
        </is>
      </c>
      <c r="E1964" t="inlineStr">
        <is>
          <t>BORLÄNGE</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28011-2021</t>
        </is>
      </c>
      <c r="B1965" s="1" t="n">
        <v>44355.35329861111</v>
      </c>
      <c r="C1965" s="1" t="n">
        <v>46114</v>
      </c>
      <c r="D1965" t="inlineStr">
        <is>
          <t>DALARNAS LÄN</t>
        </is>
      </c>
      <c r="E1965" t="inlineStr">
        <is>
          <t>ÄLVDALEN</t>
        </is>
      </c>
      <c r="F1965" t="inlineStr">
        <is>
          <t>Sveaskog</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7081-2022</t>
        </is>
      </c>
      <c r="B1966" s="1" t="n">
        <v>44603.5813425926</v>
      </c>
      <c r="C1966" s="1" t="n">
        <v>46114</v>
      </c>
      <c r="D1966" t="inlineStr">
        <is>
          <t>DALARNAS LÄN</t>
        </is>
      </c>
      <c r="E1966" t="inlineStr">
        <is>
          <t>MALUNG-SÄLEN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31143-2022</t>
        </is>
      </c>
      <c r="B1967" s="1" t="n">
        <v>44770.43327546296</v>
      </c>
      <c r="C1967" s="1" t="n">
        <v>46114</v>
      </c>
      <c r="D1967" t="inlineStr">
        <is>
          <t>DALARNAS LÄN</t>
        </is>
      </c>
      <c r="E1967" t="inlineStr">
        <is>
          <t>SMEDJEBACKEN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54279-2021</t>
        </is>
      </c>
      <c r="B1968" s="1" t="n">
        <v>44470</v>
      </c>
      <c r="C1968" s="1" t="n">
        <v>46114</v>
      </c>
      <c r="D1968" t="inlineStr">
        <is>
          <t>DALARNAS LÄN</t>
        </is>
      </c>
      <c r="E1968" t="inlineStr">
        <is>
          <t>LUDVIKA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68230-2021</t>
        </is>
      </c>
      <c r="B1969" s="1" t="n">
        <v>44526</v>
      </c>
      <c r="C1969" s="1" t="n">
        <v>46114</v>
      </c>
      <c r="D1969" t="inlineStr">
        <is>
          <t>DALARNAS LÄN</t>
        </is>
      </c>
      <c r="E1969" t="inlineStr">
        <is>
          <t>ORSA</t>
        </is>
      </c>
      <c r="F1969" t="inlineStr">
        <is>
          <t>Kyrkan</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27841-2022</t>
        </is>
      </c>
      <c r="B1970" s="1" t="n">
        <v>44743.61864583333</v>
      </c>
      <c r="C1970" s="1" t="n">
        <v>46114</v>
      </c>
      <c r="D1970" t="inlineStr">
        <is>
          <t>DALARNAS LÄN</t>
        </is>
      </c>
      <c r="E1970" t="inlineStr">
        <is>
          <t>MALUNG-SÄLEN</t>
        </is>
      </c>
      <c r="F1970" t="inlineStr">
        <is>
          <t>Kommuner</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33256-2022</t>
        </is>
      </c>
      <c r="B1971" s="1" t="n">
        <v>44787</v>
      </c>
      <c r="C1971" s="1" t="n">
        <v>46114</v>
      </c>
      <c r="D1971" t="inlineStr">
        <is>
          <t>DALARNAS LÄN</t>
        </is>
      </c>
      <c r="E1971" t="inlineStr">
        <is>
          <t>SMEDJEBACKEN</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33257-2022</t>
        </is>
      </c>
      <c r="B1972" s="1" t="n">
        <v>44787</v>
      </c>
      <c r="C1972" s="1" t="n">
        <v>46114</v>
      </c>
      <c r="D1972" t="inlineStr">
        <is>
          <t>DALARNAS LÄN</t>
        </is>
      </c>
      <c r="E1972" t="inlineStr">
        <is>
          <t>SMEDJEBACKEN</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12066-2022</t>
        </is>
      </c>
      <c r="B1973" s="1" t="n">
        <v>44636</v>
      </c>
      <c r="C1973" s="1" t="n">
        <v>46114</v>
      </c>
      <c r="D1973" t="inlineStr">
        <is>
          <t>DALARNAS LÄN</t>
        </is>
      </c>
      <c r="E1973" t="inlineStr">
        <is>
          <t>ÄLVDALEN</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27423-2022</t>
        </is>
      </c>
      <c r="B1974" s="1" t="n">
        <v>44742.52592592593</v>
      </c>
      <c r="C1974" s="1" t="n">
        <v>46114</v>
      </c>
      <c r="D1974" t="inlineStr">
        <is>
          <t>DALARNAS LÄN</t>
        </is>
      </c>
      <c r="E1974" t="inlineStr">
        <is>
          <t>BORLÄNGE</t>
        </is>
      </c>
      <c r="G1974" t="n">
        <v>0.2</v>
      </c>
      <c r="H1974" t="n">
        <v>0</v>
      </c>
      <c r="I1974" t="n">
        <v>0</v>
      </c>
      <c r="J1974" t="n">
        <v>0</v>
      </c>
      <c r="K1974" t="n">
        <v>0</v>
      </c>
      <c r="L1974" t="n">
        <v>0</v>
      </c>
      <c r="M1974" t="n">
        <v>0</v>
      </c>
      <c r="N1974" t="n">
        <v>0</v>
      </c>
      <c r="O1974" t="n">
        <v>0</v>
      </c>
      <c r="P1974" t="n">
        <v>0</v>
      </c>
      <c r="Q1974" t="n">
        <v>0</v>
      </c>
      <c r="R1974" s="2" t="inlineStr"/>
    </row>
    <row r="1975" ht="15" customHeight="1">
      <c r="A1975" t="inlineStr">
        <is>
          <t>A 58961-2021</t>
        </is>
      </c>
      <c r="B1975" s="1" t="n">
        <v>44489.94246527777</v>
      </c>
      <c r="C1975" s="1" t="n">
        <v>46114</v>
      </c>
      <c r="D1975" t="inlineStr">
        <is>
          <t>DALARNAS LÄN</t>
        </is>
      </c>
      <c r="E1975" t="inlineStr">
        <is>
          <t>MORA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28567-2022</t>
        </is>
      </c>
      <c r="B1976" s="1" t="n">
        <v>44748</v>
      </c>
      <c r="C1976" s="1" t="n">
        <v>46114</v>
      </c>
      <c r="D1976" t="inlineStr">
        <is>
          <t>DALARNAS LÄN</t>
        </is>
      </c>
      <c r="E1976" t="inlineStr">
        <is>
          <t>RÄTTVIK</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48639-2022</t>
        </is>
      </c>
      <c r="B1977" s="1" t="n">
        <v>44859</v>
      </c>
      <c r="C1977" s="1" t="n">
        <v>46114</v>
      </c>
      <c r="D1977" t="inlineStr">
        <is>
          <t>DALARNAS LÄN</t>
        </is>
      </c>
      <c r="E1977" t="inlineStr">
        <is>
          <t>HEDEMORA</t>
        </is>
      </c>
      <c r="F1977" t="inlineStr">
        <is>
          <t>Sveaskog</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22905-2022</t>
        </is>
      </c>
      <c r="B1978" s="1" t="n">
        <v>44715.60085648148</v>
      </c>
      <c r="C1978" s="1" t="n">
        <v>46114</v>
      </c>
      <c r="D1978" t="inlineStr">
        <is>
          <t>DALARNAS LÄN</t>
        </is>
      </c>
      <c r="E1978" t="inlineStr">
        <is>
          <t>SÄTER</t>
        </is>
      </c>
      <c r="F1978" t="inlineStr">
        <is>
          <t>Bergvik skog väst AB</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22920-2022</t>
        </is>
      </c>
      <c r="B1979" s="1" t="n">
        <v>44715.63222222222</v>
      </c>
      <c r="C1979" s="1" t="n">
        <v>46114</v>
      </c>
      <c r="D1979" t="inlineStr">
        <is>
          <t>DALARNAS LÄN</t>
        </is>
      </c>
      <c r="E1979" t="inlineStr">
        <is>
          <t>LUDVIKA</t>
        </is>
      </c>
      <c r="F1979" t="inlineStr">
        <is>
          <t>Bergvik skog väst AB</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38957-2022</t>
        </is>
      </c>
      <c r="B1980" s="1" t="n">
        <v>44816</v>
      </c>
      <c r="C1980" s="1" t="n">
        <v>46114</v>
      </c>
      <c r="D1980" t="inlineStr">
        <is>
          <t>DALARNAS LÄN</t>
        </is>
      </c>
      <c r="E1980" t="inlineStr">
        <is>
          <t>ÄLVDALEN</t>
        </is>
      </c>
      <c r="F1980" t="inlineStr">
        <is>
          <t>Sveaskog</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67282-2021</t>
        </is>
      </c>
      <c r="B1981" s="1" t="n">
        <v>44523.6131712963</v>
      </c>
      <c r="C1981" s="1" t="n">
        <v>46114</v>
      </c>
      <c r="D1981" t="inlineStr">
        <is>
          <t>DALARNAS LÄN</t>
        </is>
      </c>
      <c r="E1981" t="inlineStr">
        <is>
          <t>HEDEMORA</t>
        </is>
      </c>
      <c r="F1981" t="inlineStr">
        <is>
          <t>Övriga Aktiebolag</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49581-2022</t>
        </is>
      </c>
      <c r="B1982" s="1" t="n">
        <v>44862.36287037037</v>
      </c>
      <c r="C1982" s="1" t="n">
        <v>46114</v>
      </c>
      <c r="D1982" t="inlineStr">
        <is>
          <t>DALARNAS LÄN</t>
        </is>
      </c>
      <c r="E1982" t="inlineStr">
        <is>
          <t>LEKSAND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48456-2022</t>
        </is>
      </c>
      <c r="B1983" s="1" t="n">
        <v>44858.66387731482</v>
      </c>
      <c r="C1983" s="1" t="n">
        <v>46114</v>
      </c>
      <c r="D1983" t="inlineStr">
        <is>
          <t>DALARNAS LÄN</t>
        </is>
      </c>
      <c r="E1983" t="inlineStr">
        <is>
          <t>MORA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56153-2021</t>
        </is>
      </c>
      <c r="B1984" s="1" t="n">
        <v>44477</v>
      </c>
      <c r="C1984" s="1" t="n">
        <v>46114</v>
      </c>
      <c r="D1984" t="inlineStr">
        <is>
          <t>DALARNAS LÄN</t>
        </is>
      </c>
      <c r="E1984" t="inlineStr">
        <is>
          <t>LEKSAND</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34927-2022</t>
        </is>
      </c>
      <c r="B1985" s="1" t="n">
        <v>44796.60181712963</v>
      </c>
      <c r="C1985" s="1" t="n">
        <v>46114</v>
      </c>
      <c r="D1985" t="inlineStr">
        <is>
          <t>DALARNAS LÄN</t>
        </is>
      </c>
      <c r="E1985" t="inlineStr">
        <is>
          <t>MORA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35080-2022</t>
        </is>
      </c>
      <c r="B1986" s="1" t="n">
        <v>44797</v>
      </c>
      <c r="C1986" s="1" t="n">
        <v>46114</v>
      </c>
      <c r="D1986" t="inlineStr">
        <is>
          <t>DALARNAS LÄN</t>
        </is>
      </c>
      <c r="E1986" t="inlineStr">
        <is>
          <t>LEKSAND</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72647-2021</t>
        </is>
      </c>
      <c r="B1987" s="1" t="n">
        <v>44546.58559027778</v>
      </c>
      <c r="C1987" s="1" t="n">
        <v>46114</v>
      </c>
      <c r="D1987" t="inlineStr">
        <is>
          <t>DALARNAS LÄN</t>
        </is>
      </c>
      <c r="E1987" t="inlineStr">
        <is>
          <t>BORLÄNGE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37771-2022</t>
        </is>
      </c>
      <c r="B1988" s="1" t="n">
        <v>44810.63806712963</v>
      </c>
      <c r="C1988" s="1" t="n">
        <v>46114</v>
      </c>
      <c r="D1988" t="inlineStr">
        <is>
          <t>DALARNAS LÄN</t>
        </is>
      </c>
      <c r="E1988" t="inlineStr">
        <is>
          <t>MORA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70098-2021</t>
        </is>
      </c>
      <c r="B1989" s="1" t="n">
        <v>44533</v>
      </c>
      <c r="C1989" s="1" t="n">
        <v>46114</v>
      </c>
      <c r="D1989" t="inlineStr">
        <is>
          <t>DALARNAS LÄN</t>
        </is>
      </c>
      <c r="E1989" t="inlineStr">
        <is>
          <t>LEKSAND</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69512-2021</t>
        </is>
      </c>
      <c r="B1990" s="1" t="n">
        <v>44531.80703703704</v>
      </c>
      <c r="C1990" s="1" t="n">
        <v>46114</v>
      </c>
      <c r="D1990" t="inlineStr">
        <is>
          <t>DALARNAS LÄN</t>
        </is>
      </c>
      <c r="E1990" t="inlineStr">
        <is>
          <t>SMEDJEBACKEN</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28901-2022</t>
        </is>
      </c>
      <c r="B1991" s="1" t="n">
        <v>44749.55309027778</v>
      </c>
      <c r="C1991" s="1" t="n">
        <v>46114</v>
      </c>
      <c r="D1991" t="inlineStr">
        <is>
          <t>DALARNAS LÄN</t>
        </is>
      </c>
      <c r="E1991" t="inlineStr">
        <is>
          <t>RÄTTVIK</t>
        </is>
      </c>
      <c r="F1991" t="inlineStr">
        <is>
          <t>Sveaskog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72846-2021</t>
        </is>
      </c>
      <c r="B1992" s="1" t="n">
        <v>44547</v>
      </c>
      <c r="C1992" s="1" t="n">
        <v>46114</v>
      </c>
      <c r="D1992" t="inlineStr">
        <is>
          <t>DALARNAS LÄN</t>
        </is>
      </c>
      <c r="E1992" t="inlineStr">
        <is>
          <t>ÄLVDALEN</t>
        </is>
      </c>
      <c r="F1992" t="inlineStr">
        <is>
          <t>Bergvik skog öst AB</t>
        </is>
      </c>
      <c r="G1992" t="n">
        <v>1.5</v>
      </c>
      <c r="H1992" t="n">
        <v>0</v>
      </c>
      <c r="I1992" t="n">
        <v>0</v>
      </c>
      <c r="J1992" t="n">
        <v>0</v>
      </c>
      <c r="K1992" t="n">
        <v>0</v>
      </c>
      <c r="L1992" t="n">
        <v>0</v>
      </c>
      <c r="M1992" t="n">
        <v>0</v>
      </c>
      <c r="N1992" t="n">
        <v>0</v>
      </c>
      <c r="O1992" t="n">
        <v>0</v>
      </c>
      <c r="P1992" t="n">
        <v>0</v>
      </c>
      <c r="Q1992" t="n">
        <v>0</v>
      </c>
      <c r="R1992" s="2" t="inlineStr"/>
    </row>
    <row r="1993" ht="15" customHeight="1">
      <c r="A1993" t="inlineStr">
        <is>
          <t>A 13094-2022</t>
        </is>
      </c>
      <c r="B1993" s="1" t="n">
        <v>44643</v>
      </c>
      <c r="C1993" s="1" t="n">
        <v>46114</v>
      </c>
      <c r="D1993" t="inlineStr">
        <is>
          <t>DALARNAS LÄN</t>
        </is>
      </c>
      <c r="E1993" t="inlineStr">
        <is>
          <t>VANSBRO</t>
        </is>
      </c>
      <c r="F1993" t="inlineStr">
        <is>
          <t>Kyrkan</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67045-2021</t>
        </is>
      </c>
      <c r="B1994" s="1" t="n">
        <v>44522</v>
      </c>
      <c r="C1994" s="1" t="n">
        <v>46114</v>
      </c>
      <c r="D1994" t="inlineStr">
        <is>
          <t>DALARNAS LÄN</t>
        </is>
      </c>
      <c r="E1994" t="inlineStr">
        <is>
          <t>MORA</t>
        </is>
      </c>
      <c r="G1994" t="n">
        <v>0.2</v>
      </c>
      <c r="H1994" t="n">
        <v>0</v>
      </c>
      <c r="I1994" t="n">
        <v>0</v>
      </c>
      <c r="J1994" t="n">
        <v>0</v>
      </c>
      <c r="K1994" t="n">
        <v>0</v>
      </c>
      <c r="L1994" t="n">
        <v>0</v>
      </c>
      <c r="M1994" t="n">
        <v>0</v>
      </c>
      <c r="N1994" t="n">
        <v>0</v>
      </c>
      <c r="O1994" t="n">
        <v>0</v>
      </c>
      <c r="P1994" t="n">
        <v>0</v>
      </c>
      <c r="Q1994" t="n">
        <v>0</v>
      </c>
      <c r="R1994" s="2" t="inlineStr"/>
    </row>
    <row r="1995" ht="15" customHeight="1">
      <c r="A1995" t="inlineStr">
        <is>
          <t>A 13900-2022</t>
        </is>
      </c>
      <c r="B1995" s="1" t="n">
        <v>44650.3603125</v>
      </c>
      <c r="C1995" s="1" t="n">
        <v>46114</v>
      </c>
      <c r="D1995" t="inlineStr">
        <is>
          <t>DALARNAS LÄN</t>
        </is>
      </c>
      <c r="E1995" t="inlineStr">
        <is>
          <t>SÄTER</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60418-2021</t>
        </is>
      </c>
      <c r="B1996" s="1" t="n">
        <v>44495</v>
      </c>
      <c r="C1996" s="1" t="n">
        <v>46114</v>
      </c>
      <c r="D1996" t="inlineStr">
        <is>
          <t>DALARNAS LÄN</t>
        </is>
      </c>
      <c r="E1996" t="inlineStr">
        <is>
          <t>HEDEMORA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20990-2021</t>
        </is>
      </c>
      <c r="B1997" s="1" t="n">
        <v>44319</v>
      </c>
      <c r="C1997" s="1" t="n">
        <v>46114</v>
      </c>
      <c r="D1997" t="inlineStr">
        <is>
          <t>DALARNAS LÄN</t>
        </is>
      </c>
      <c r="E1997" t="inlineStr">
        <is>
          <t>SMEDJEBACKEN</t>
        </is>
      </c>
      <c r="F1997" t="inlineStr">
        <is>
          <t>Kyrkan</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8546-2022</t>
        </is>
      </c>
      <c r="B1998" s="1" t="n">
        <v>44613</v>
      </c>
      <c r="C1998" s="1" t="n">
        <v>46114</v>
      </c>
      <c r="D1998" t="inlineStr">
        <is>
          <t>DALARNAS LÄN</t>
        </is>
      </c>
      <c r="E1998" t="inlineStr">
        <is>
          <t>MORA</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23725-2022</t>
        </is>
      </c>
      <c r="B1999" s="1" t="n">
        <v>44722.33388888889</v>
      </c>
      <c r="C1999" s="1" t="n">
        <v>46114</v>
      </c>
      <c r="D1999" t="inlineStr">
        <is>
          <t>DALARNAS LÄN</t>
        </is>
      </c>
      <c r="E1999" t="inlineStr">
        <is>
          <t>ORSA</t>
        </is>
      </c>
      <c r="F1999" t="inlineStr">
        <is>
          <t>Bergvik skog öst AB</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28427-2022</t>
        </is>
      </c>
      <c r="B2000" s="1" t="n">
        <v>44748</v>
      </c>
      <c r="C2000" s="1" t="n">
        <v>46114</v>
      </c>
      <c r="D2000" t="inlineStr">
        <is>
          <t>DALARNAS LÄN</t>
        </is>
      </c>
      <c r="E2000" t="inlineStr">
        <is>
          <t>SÄTER</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14744-2022</t>
        </is>
      </c>
      <c r="B2001" s="1" t="n">
        <v>44656.37616898148</v>
      </c>
      <c r="C2001" s="1" t="n">
        <v>46114</v>
      </c>
      <c r="D2001" t="inlineStr">
        <is>
          <t>DALARNAS LÄN</t>
        </is>
      </c>
      <c r="E2001" t="inlineStr">
        <is>
          <t>MORA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22931-2021</t>
        </is>
      </c>
      <c r="B2002" s="1" t="n">
        <v>44326</v>
      </c>
      <c r="C2002" s="1" t="n">
        <v>46114</v>
      </c>
      <c r="D2002" t="inlineStr">
        <is>
          <t>DALARNAS LÄN</t>
        </is>
      </c>
      <c r="E2002" t="inlineStr">
        <is>
          <t>MORA</t>
        </is>
      </c>
      <c r="G2002" t="n">
        <v>4.4</v>
      </c>
      <c r="H2002" t="n">
        <v>0</v>
      </c>
      <c r="I2002" t="n">
        <v>0</v>
      </c>
      <c r="J2002" t="n">
        <v>0</v>
      </c>
      <c r="K2002" t="n">
        <v>0</v>
      </c>
      <c r="L2002" t="n">
        <v>0</v>
      </c>
      <c r="M2002" t="n">
        <v>0</v>
      </c>
      <c r="N2002" t="n">
        <v>0</v>
      </c>
      <c r="O2002" t="n">
        <v>0</v>
      </c>
      <c r="P2002" t="n">
        <v>0</v>
      </c>
      <c r="Q2002" t="n">
        <v>0</v>
      </c>
      <c r="R2002" s="2" t="inlineStr"/>
    </row>
    <row r="2003" ht="15" customHeight="1">
      <c r="A2003" t="inlineStr">
        <is>
          <t>A 24992-2021</t>
        </is>
      </c>
      <c r="B2003" s="1" t="n">
        <v>44341</v>
      </c>
      <c r="C2003" s="1" t="n">
        <v>46114</v>
      </c>
      <c r="D2003" t="inlineStr">
        <is>
          <t>DALARNAS LÄN</t>
        </is>
      </c>
      <c r="E2003" t="inlineStr">
        <is>
          <t>BORLÄNGE</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24317-2021</t>
        </is>
      </c>
      <c r="B2004" s="1" t="n">
        <v>44337.3552662037</v>
      </c>
      <c r="C2004" s="1" t="n">
        <v>46114</v>
      </c>
      <c r="D2004" t="inlineStr">
        <is>
          <t>DALARNAS LÄN</t>
        </is>
      </c>
      <c r="E2004" t="inlineStr">
        <is>
          <t>BORLÄNGE</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48493-2021</t>
        </is>
      </c>
      <c r="B2005" s="1" t="n">
        <v>44452</v>
      </c>
      <c r="C2005" s="1" t="n">
        <v>46114</v>
      </c>
      <c r="D2005" t="inlineStr">
        <is>
          <t>DALARNAS LÄN</t>
        </is>
      </c>
      <c r="E2005" t="inlineStr">
        <is>
          <t>BORLÄNGE</t>
        </is>
      </c>
      <c r="G2005" t="n">
        <v>10.3</v>
      </c>
      <c r="H2005" t="n">
        <v>0</v>
      </c>
      <c r="I2005" t="n">
        <v>0</v>
      </c>
      <c r="J2005" t="n">
        <v>0</v>
      </c>
      <c r="K2005" t="n">
        <v>0</v>
      </c>
      <c r="L2005" t="n">
        <v>0</v>
      </c>
      <c r="M2005" t="n">
        <v>0</v>
      </c>
      <c r="N2005" t="n">
        <v>0</v>
      </c>
      <c r="O2005" t="n">
        <v>0</v>
      </c>
      <c r="P2005" t="n">
        <v>0</v>
      </c>
      <c r="Q2005" t="n">
        <v>0</v>
      </c>
      <c r="R2005" s="2" t="inlineStr"/>
    </row>
    <row r="2006" ht="15" customHeight="1">
      <c r="A2006" t="inlineStr">
        <is>
          <t>A 24393-2022</t>
        </is>
      </c>
      <c r="B2006" s="1" t="n">
        <v>44726</v>
      </c>
      <c r="C2006" s="1" t="n">
        <v>46114</v>
      </c>
      <c r="D2006" t="inlineStr">
        <is>
          <t>DALARNAS LÄN</t>
        </is>
      </c>
      <c r="E2006" t="inlineStr">
        <is>
          <t>MORA</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33689-2021</t>
        </is>
      </c>
      <c r="B2007" s="1" t="n">
        <v>44378</v>
      </c>
      <c r="C2007" s="1" t="n">
        <v>46114</v>
      </c>
      <c r="D2007" t="inlineStr">
        <is>
          <t>DALARNAS LÄN</t>
        </is>
      </c>
      <c r="E2007" t="inlineStr">
        <is>
          <t>ÄLVDALEN</t>
        </is>
      </c>
      <c r="F2007" t="inlineStr">
        <is>
          <t>Bergvik skog väst AB</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32635-2021</t>
        </is>
      </c>
      <c r="B2008" s="1" t="n">
        <v>44374</v>
      </c>
      <c r="C2008" s="1" t="n">
        <v>46114</v>
      </c>
      <c r="D2008" t="inlineStr">
        <is>
          <t>DALARNAS LÄN</t>
        </is>
      </c>
      <c r="E2008" t="inlineStr">
        <is>
          <t>LEKSAND</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40938-2021</t>
        </is>
      </c>
      <c r="B2009" s="1" t="n">
        <v>44421.53498842593</v>
      </c>
      <c r="C2009" s="1" t="n">
        <v>46114</v>
      </c>
      <c r="D2009" t="inlineStr">
        <is>
          <t>DALARNAS LÄN</t>
        </is>
      </c>
      <c r="E2009" t="inlineStr">
        <is>
          <t>HEDEMORA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30969-2021</t>
        </is>
      </c>
      <c r="B2010" s="1" t="n">
        <v>44365.89862268518</v>
      </c>
      <c r="C2010" s="1" t="n">
        <v>46114</v>
      </c>
      <c r="D2010" t="inlineStr">
        <is>
          <t>DALARNAS LÄN</t>
        </is>
      </c>
      <c r="E2010" t="inlineStr">
        <is>
          <t>ÄLVDALEN</t>
        </is>
      </c>
      <c r="F2010" t="inlineStr">
        <is>
          <t>Sveaskog</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22900-2021</t>
        </is>
      </c>
      <c r="B2011" s="1" t="n">
        <v>44328.47465277778</v>
      </c>
      <c r="C2011" s="1" t="n">
        <v>46114</v>
      </c>
      <c r="D2011" t="inlineStr">
        <is>
          <t>DALARNAS LÄN</t>
        </is>
      </c>
      <c r="E2011" t="inlineStr">
        <is>
          <t>FALUN</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1976-2022</t>
        </is>
      </c>
      <c r="B2012" s="1" t="n">
        <v>44575.54618055555</v>
      </c>
      <c r="C2012" s="1" t="n">
        <v>46114</v>
      </c>
      <c r="D2012" t="inlineStr">
        <is>
          <t>DALARNAS LÄN</t>
        </is>
      </c>
      <c r="E2012" t="inlineStr">
        <is>
          <t>HEDEMORA</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32613-2021</t>
        </is>
      </c>
      <c r="B2013" s="1" t="n">
        <v>44375.39219907407</v>
      </c>
      <c r="C2013" s="1" t="n">
        <v>46114</v>
      </c>
      <c r="D2013" t="inlineStr">
        <is>
          <t>DALARNAS LÄN</t>
        </is>
      </c>
      <c r="E2013" t="inlineStr">
        <is>
          <t>AVESTA</t>
        </is>
      </c>
      <c r="G2013" t="n">
        <v>12.1</v>
      </c>
      <c r="H2013" t="n">
        <v>0</v>
      </c>
      <c r="I2013" t="n">
        <v>0</v>
      </c>
      <c r="J2013" t="n">
        <v>0</v>
      </c>
      <c r="K2013" t="n">
        <v>0</v>
      </c>
      <c r="L2013" t="n">
        <v>0</v>
      </c>
      <c r="M2013" t="n">
        <v>0</v>
      </c>
      <c r="N2013" t="n">
        <v>0</v>
      </c>
      <c r="O2013" t="n">
        <v>0</v>
      </c>
      <c r="P2013" t="n">
        <v>0</v>
      </c>
      <c r="Q2013" t="n">
        <v>0</v>
      </c>
      <c r="R2013" s="2" t="inlineStr"/>
    </row>
    <row r="2014" ht="15" customHeight="1">
      <c r="A2014" t="inlineStr">
        <is>
          <t>A 26215-2022</t>
        </is>
      </c>
      <c r="B2014" s="1" t="n">
        <v>44735.4421412037</v>
      </c>
      <c r="C2014" s="1" t="n">
        <v>46114</v>
      </c>
      <c r="D2014" t="inlineStr">
        <is>
          <t>DALARNAS LÄN</t>
        </is>
      </c>
      <c r="E2014" t="inlineStr">
        <is>
          <t>ORSA</t>
        </is>
      </c>
      <c r="F2014" t="inlineStr">
        <is>
          <t>Bergvik skog öst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34382-2022</t>
        </is>
      </c>
      <c r="B2015" s="1" t="n">
        <v>44792.4921412037</v>
      </c>
      <c r="C2015" s="1" t="n">
        <v>46114</v>
      </c>
      <c r="D2015" t="inlineStr">
        <is>
          <t>DALARNAS LÄN</t>
        </is>
      </c>
      <c r="E2015" t="inlineStr">
        <is>
          <t>SMEDJEBACKEN</t>
        </is>
      </c>
      <c r="F2015" t="inlineStr">
        <is>
          <t>Sveaskog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24223-2022</t>
        </is>
      </c>
      <c r="B2016" s="1" t="n">
        <v>44725</v>
      </c>
      <c r="C2016" s="1" t="n">
        <v>46114</v>
      </c>
      <c r="D2016" t="inlineStr">
        <is>
          <t>DALARNAS LÄN</t>
        </is>
      </c>
      <c r="E2016" t="inlineStr">
        <is>
          <t>SÄTER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45040-2021</t>
        </is>
      </c>
      <c r="B2017" s="1" t="n">
        <v>44438</v>
      </c>
      <c r="C2017" s="1" t="n">
        <v>46114</v>
      </c>
      <c r="D2017" t="inlineStr">
        <is>
          <t>DALARNAS LÄN</t>
        </is>
      </c>
      <c r="E2017" t="inlineStr">
        <is>
          <t>LEKSAND</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56428-2021</t>
        </is>
      </c>
      <c r="B2018" s="1" t="n">
        <v>44480</v>
      </c>
      <c r="C2018" s="1" t="n">
        <v>46114</v>
      </c>
      <c r="D2018" t="inlineStr">
        <is>
          <t>DALARNAS LÄN</t>
        </is>
      </c>
      <c r="E2018" t="inlineStr">
        <is>
          <t>AVESTA</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34216-2022</t>
        </is>
      </c>
      <c r="B2019" s="1" t="n">
        <v>44791.67481481482</v>
      </c>
      <c r="C2019" s="1" t="n">
        <v>46114</v>
      </c>
      <c r="D2019" t="inlineStr">
        <is>
          <t>DALARNAS LÄN</t>
        </is>
      </c>
      <c r="E2019" t="inlineStr">
        <is>
          <t>SMEDJEBACKEN</t>
        </is>
      </c>
      <c r="F2019" t="inlineStr">
        <is>
          <t>Bergvik skog väst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4000-2022</t>
        </is>
      </c>
      <c r="B2020" s="1" t="n">
        <v>44587.86618055555</v>
      </c>
      <c r="C2020" s="1" t="n">
        <v>46114</v>
      </c>
      <c r="D2020" t="inlineStr">
        <is>
          <t>DALARNAS LÄN</t>
        </is>
      </c>
      <c r="E2020" t="inlineStr">
        <is>
          <t>FALUN</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2836-2022</t>
        </is>
      </c>
      <c r="B2021" s="1" t="n">
        <v>44581</v>
      </c>
      <c r="C2021" s="1" t="n">
        <v>46114</v>
      </c>
      <c r="D2021" t="inlineStr">
        <is>
          <t>DALARNAS LÄN</t>
        </is>
      </c>
      <c r="E2021" t="inlineStr">
        <is>
          <t>SMEDJEBACKEN</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41199-2021</t>
        </is>
      </c>
      <c r="B2022" s="1" t="n">
        <v>44424</v>
      </c>
      <c r="C2022" s="1" t="n">
        <v>46114</v>
      </c>
      <c r="D2022" t="inlineStr">
        <is>
          <t>DALARNAS LÄN</t>
        </is>
      </c>
      <c r="E2022" t="inlineStr">
        <is>
          <t>RÄTTVIK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22363-2022</t>
        </is>
      </c>
      <c r="B2023" s="1" t="n">
        <v>44713</v>
      </c>
      <c r="C2023" s="1" t="n">
        <v>46114</v>
      </c>
      <c r="D2023" t="inlineStr">
        <is>
          <t>DALARNAS LÄN</t>
        </is>
      </c>
      <c r="E2023" t="inlineStr">
        <is>
          <t>BORLÄNGE</t>
        </is>
      </c>
      <c r="F2023" t="inlineStr">
        <is>
          <t>Naturvårdsverket</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29574-2022</t>
        </is>
      </c>
      <c r="B2024" s="1" t="n">
        <v>44754.39405092593</v>
      </c>
      <c r="C2024" s="1" t="n">
        <v>46114</v>
      </c>
      <c r="D2024" t="inlineStr">
        <is>
          <t>DALARNAS LÄN</t>
        </is>
      </c>
      <c r="E2024" t="inlineStr">
        <is>
          <t>VANSBRO</t>
        </is>
      </c>
      <c r="F2024" t="inlineStr">
        <is>
          <t>Bergvik skog öst AB</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29575-2022</t>
        </is>
      </c>
      <c r="B2025" s="1" t="n">
        <v>44754.39853009259</v>
      </c>
      <c r="C2025" s="1" t="n">
        <v>46114</v>
      </c>
      <c r="D2025" t="inlineStr">
        <is>
          <t>DALARNAS LÄN</t>
        </is>
      </c>
      <c r="E2025" t="inlineStr">
        <is>
          <t>VANSBRO</t>
        </is>
      </c>
      <c r="F2025" t="inlineStr">
        <is>
          <t>Bergvik skog öst AB</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38773-2022</t>
        </is>
      </c>
      <c r="B2026" s="1" t="n">
        <v>44816.40621527778</v>
      </c>
      <c r="C2026" s="1" t="n">
        <v>46114</v>
      </c>
      <c r="D2026" t="inlineStr">
        <is>
          <t>DALARNAS LÄN</t>
        </is>
      </c>
      <c r="E2026" t="inlineStr">
        <is>
          <t>VANSBRO</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38243-2022</t>
        </is>
      </c>
      <c r="B2027" s="1" t="n">
        <v>44812</v>
      </c>
      <c r="C2027" s="1" t="n">
        <v>46114</v>
      </c>
      <c r="D2027" t="inlineStr">
        <is>
          <t>DALARNAS LÄN</t>
        </is>
      </c>
      <c r="E2027" t="inlineStr">
        <is>
          <t>SÄTER</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38253-2022</t>
        </is>
      </c>
      <c r="B2028" s="1" t="n">
        <v>44812.48827546297</v>
      </c>
      <c r="C2028" s="1" t="n">
        <v>46114</v>
      </c>
      <c r="D2028" t="inlineStr">
        <is>
          <t>DALARNAS LÄN</t>
        </is>
      </c>
      <c r="E2028" t="inlineStr">
        <is>
          <t>VANSBRO</t>
        </is>
      </c>
      <c r="F2028" t="inlineStr">
        <is>
          <t>Bergvik skog väst AB</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52134-2022</t>
        </is>
      </c>
      <c r="B2029" s="1" t="n">
        <v>44873.44424768518</v>
      </c>
      <c r="C2029" s="1" t="n">
        <v>46114</v>
      </c>
      <c r="D2029" t="inlineStr">
        <is>
          <t>DALARNAS LÄN</t>
        </is>
      </c>
      <c r="E2029" t="inlineStr">
        <is>
          <t>FALUN</t>
        </is>
      </c>
      <c r="F2029" t="inlineStr">
        <is>
          <t>Bergvik skog väst AB</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64315-2021</t>
        </is>
      </c>
      <c r="B2030" s="1" t="n">
        <v>44511</v>
      </c>
      <c r="C2030" s="1" t="n">
        <v>46114</v>
      </c>
      <c r="D2030" t="inlineStr">
        <is>
          <t>DALARNAS LÄN</t>
        </is>
      </c>
      <c r="E2030" t="inlineStr">
        <is>
          <t>RÄTTVIK</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61000-2021</t>
        </is>
      </c>
      <c r="B2031" s="1" t="n">
        <v>44497</v>
      </c>
      <c r="C2031" s="1" t="n">
        <v>46114</v>
      </c>
      <c r="D2031" t="inlineStr">
        <is>
          <t>DALARNAS LÄN</t>
        </is>
      </c>
      <c r="E2031" t="inlineStr">
        <is>
          <t>ORSA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61005-2021</t>
        </is>
      </c>
      <c r="B2032" s="1" t="n">
        <v>44497</v>
      </c>
      <c r="C2032" s="1" t="n">
        <v>46114</v>
      </c>
      <c r="D2032" t="inlineStr">
        <is>
          <t>DALARNAS LÄN</t>
        </is>
      </c>
      <c r="E2032" t="inlineStr">
        <is>
          <t>ORSA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30449-2022</t>
        </is>
      </c>
      <c r="B2033" s="1" t="n">
        <v>44761.59276620371</v>
      </c>
      <c r="C2033" s="1" t="n">
        <v>46114</v>
      </c>
      <c r="D2033" t="inlineStr">
        <is>
          <t>DALARNAS LÄN</t>
        </is>
      </c>
      <c r="E2033" t="inlineStr">
        <is>
          <t>LEKSAND</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38008-2022</t>
        </is>
      </c>
      <c r="B2034" s="1" t="n">
        <v>44811.59392361111</v>
      </c>
      <c r="C2034" s="1" t="n">
        <v>46114</v>
      </c>
      <c r="D2034" t="inlineStr">
        <is>
          <t>DALARNAS LÄN</t>
        </is>
      </c>
      <c r="E2034" t="inlineStr">
        <is>
          <t>MALUNG-SÄLEN</t>
        </is>
      </c>
      <c r="F2034" t="inlineStr">
        <is>
          <t>Bergvik skog väst AB</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38050-2022</t>
        </is>
      </c>
      <c r="B2035" s="1" t="n">
        <v>44811</v>
      </c>
      <c r="C2035" s="1" t="n">
        <v>46114</v>
      </c>
      <c r="D2035" t="inlineStr">
        <is>
          <t>DALARNAS LÄN</t>
        </is>
      </c>
      <c r="E2035" t="inlineStr">
        <is>
          <t>MALUNG-SÄLEN</t>
        </is>
      </c>
      <c r="F2035" t="inlineStr">
        <is>
          <t>Bergvik skog öst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2454-2022</t>
        </is>
      </c>
      <c r="B2036" s="1" t="n">
        <v>44579</v>
      </c>
      <c r="C2036" s="1" t="n">
        <v>46114</v>
      </c>
      <c r="D2036" t="inlineStr">
        <is>
          <t>DALARNAS LÄN</t>
        </is>
      </c>
      <c r="E2036" t="inlineStr">
        <is>
          <t>BORLÄNGE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49232-2021</t>
        </is>
      </c>
      <c r="B2037" s="1" t="n">
        <v>44454</v>
      </c>
      <c r="C2037" s="1" t="n">
        <v>46114</v>
      </c>
      <c r="D2037" t="inlineStr">
        <is>
          <t>DALARNAS LÄN</t>
        </is>
      </c>
      <c r="E2037" t="inlineStr">
        <is>
          <t>RÄTTVIK</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40192-2022</t>
        </is>
      </c>
      <c r="B2038" s="1" t="n">
        <v>44818</v>
      </c>
      <c r="C2038" s="1" t="n">
        <v>46114</v>
      </c>
      <c r="D2038" t="inlineStr">
        <is>
          <t>DALARNAS LÄN</t>
        </is>
      </c>
      <c r="E2038" t="inlineStr">
        <is>
          <t>RÄTTVIK</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60342-2021</t>
        </is>
      </c>
      <c r="B2039" s="1" t="n">
        <v>44495</v>
      </c>
      <c r="C2039" s="1" t="n">
        <v>46114</v>
      </c>
      <c r="D2039" t="inlineStr">
        <is>
          <t>DALARNAS LÄN</t>
        </is>
      </c>
      <c r="E2039" t="inlineStr">
        <is>
          <t>BORLÄNGE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56996-2021</t>
        </is>
      </c>
      <c r="B2040" s="1" t="n">
        <v>44482.46025462963</v>
      </c>
      <c r="C2040" s="1" t="n">
        <v>46114</v>
      </c>
      <c r="D2040" t="inlineStr">
        <is>
          <t>DALARNAS LÄN</t>
        </is>
      </c>
      <c r="E2040" t="inlineStr">
        <is>
          <t>LUDVIKA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42496-2022</t>
        </is>
      </c>
      <c r="B2041" s="1" t="n">
        <v>44831</v>
      </c>
      <c r="C2041" s="1" t="n">
        <v>46114</v>
      </c>
      <c r="D2041" t="inlineStr">
        <is>
          <t>DALARNAS LÄN</t>
        </is>
      </c>
      <c r="E2041" t="inlineStr">
        <is>
          <t>SMEDJEBACKEN</t>
        </is>
      </c>
      <c r="F2041" t="inlineStr">
        <is>
          <t>Sveaskog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19411-2024</t>
        </is>
      </c>
      <c r="B2042" s="1" t="n">
        <v>45429.40702546296</v>
      </c>
      <c r="C2042" s="1" t="n">
        <v>46114</v>
      </c>
      <c r="D2042" t="inlineStr">
        <is>
          <t>DALARNAS LÄN</t>
        </is>
      </c>
      <c r="E2042" t="inlineStr">
        <is>
          <t>SMEDJEBACKEN</t>
        </is>
      </c>
      <c r="F2042" t="inlineStr">
        <is>
          <t>Sveaskog</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23953-2023</t>
        </is>
      </c>
      <c r="B2043" s="1" t="n">
        <v>45078.62092592593</v>
      </c>
      <c r="C2043" s="1" t="n">
        <v>46114</v>
      </c>
      <c r="D2043" t="inlineStr">
        <is>
          <t>DALARNAS LÄN</t>
        </is>
      </c>
      <c r="E2043" t="inlineStr">
        <is>
          <t>MALUNG-SÄLEN</t>
        </is>
      </c>
      <c r="F2043" t="inlineStr">
        <is>
          <t>Bergvik skog öst AB</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21322-2022</t>
        </is>
      </c>
      <c r="B2044" s="1" t="n">
        <v>44705</v>
      </c>
      <c r="C2044" s="1" t="n">
        <v>46114</v>
      </c>
      <c r="D2044" t="inlineStr">
        <is>
          <t>DALARNAS LÄN</t>
        </is>
      </c>
      <c r="E2044" t="inlineStr">
        <is>
          <t>BORLÄNGE</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1276-2022</t>
        </is>
      </c>
      <c r="B2045" s="1" t="n">
        <v>44572</v>
      </c>
      <c r="C2045" s="1" t="n">
        <v>46114</v>
      </c>
      <c r="D2045" t="inlineStr">
        <is>
          <t>DALARNAS LÄN</t>
        </is>
      </c>
      <c r="E2045" t="inlineStr">
        <is>
          <t>SÄTER</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34508-2022</t>
        </is>
      </c>
      <c r="B2046" s="1" t="n">
        <v>44792</v>
      </c>
      <c r="C2046" s="1" t="n">
        <v>46114</v>
      </c>
      <c r="D2046" t="inlineStr">
        <is>
          <t>DALARNAS LÄN</t>
        </is>
      </c>
      <c r="E2046" t="inlineStr">
        <is>
          <t>FALUN</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34509-2022</t>
        </is>
      </c>
      <c r="B2047" s="1" t="n">
        <v>44792</v>
      </c>
      <c r="C2047" s="1" t="n">
        <v>46114</v>
      </c>
      <c r="D2047" t="inlineStr">
        <is>
          <t>DALARNAS LÄN</t>
        </is>
      </c>
      <c r="E2047" t="inlineStr">
        <is>
          <t>FALUN</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3722-2024</t>
        </is>
      </c>
      <c r="B2048" s="1" t="n">
        <v>45321.4805787037</v>
      </c>
      <c r="C2048" s="1" t="n">
        <v>46114</v>
      </c>
      <c r="D2048" t="inlineStr">
        <is>
          <t>DALARNAS LÄN</t>
        </is>
      </c>
      <c r="E2048" t="inlineStr">
        <is>
          <t>RÄTTVIK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63152-2023</t>
        </is>
      </c>
      <c r="B2049" s="1" t="n">
        <v>45273</v>
      </c>
      <c r="C2049" s="1" t="n">
        <v>46114</v>
      </c>
      <c r="D2049" t="inlineStr">
        <is>
          <t>DALARNAS LÄN</t>
        </is>
      </c>
      <c r="E2049" t="inlineStr">
        <is>
          <t>SÄTER</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21832-2021</t>
        </is>
      </c>
      <c r="B2050" s="1" t="n">
        <v>44322.6378125</v>
      </c>
      <c r="C2050" s="1" t="n">
        <v>46114</v>
      </c>
      <c r="D2050" t="inlineStr">
        <is>
          <t>DALARNAS LÄN</t>
        </is>
      </c>
      <c r="E2050" t="inlineStr">
        <is>
          <t>ÄLVDALEN</t>
        </is>
      </c>
      <c r="F2050" t="inlineStr">
        <is>
          <t>Allmännings- och besparingsskogar</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18040-2024</t>
        </is>
      </c>
      <c r="B2051" s="1" t="n">
        <v>45420.36664351852</v>
      </c>
      <c r="C2051" s="1" t="n">
        <v>46114</v>
      </c>
      <c r="D2051" t="inlineStr">
        <is>
          <t>DALARNAS LÄN</t>
        </is>
      </c>
      <c r="E2051" t="inlineStr">
        <is>
          <t>LEKSAND</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22596-2024</t>
        </is>
      </c>
      <c r="B2052" s="1" t="n">
        <v>45447.614375</v>
      </c>
      <c r="C2052" s="1" t="n">
        <v>46114</v>
      </c>
      <c r="D2052" t="inlineStr">
        <is>
          <t>DALARNAS LÄN</t>
        </is>
      </c>
      <c r="E2052" t="inlineStr">
        <is>
          <t>GAGNEF</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1601-2022</t>
        </is>
      </c>
      <c r="B2053" s="1" t="n">
        <v>44573.70490740741</v>
      </c>
      <c r="C2053" s="1" t="n">
        <v>46114</v>
      </c>
      <c r="D2053" t="inlineStr">
        <is>
          <t>DALARNAS LÄN</t>
        </is>
      </c>
      <c r="E2053" t="inlineStr">
        <is>
          <t>RÄTTVIK</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51886-2022</t>
        </is>
      </c>
      <c r="B2054" s="1" t="n">
        <v>44872</v>
      </c>
      <c r="C2054" s="1" t="n">
        <v>46114</v>
      </c>
      <c r="D2054" t="inlineStr">
        <is>
          <t>DALARNAS LÄN</t>
        </is>
      </c>
      <c r="E2054" t="inlineStr">
        <is>
          <t>LUDVIKA</t>
        </is>
      </c>
      <c r="F2054" t="inlineStr">
        <is>
          <t>Bergvik skog väst AB</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41840-2024</t>
        </is>
      </c>
      <c r="B2055" s="1" t="n">
        <v>45561.42170138889</v>
      </c>
      <c r="C2055" s="1" t="n">
        <v>46114</v>
      </c>
      <c r="D2055" t="inlineStr">
        <is>
          <t>DALARNAS LÄN</t>
        </is>
      </c>
      <c r="E2055" t="inlineStr">
        <is>
          <t>LEKSAND</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26430-2024</t>
        </is>
      </c>
      <c r="B2056" s="1" t="n">
        <v>45469.48158564815</v>
      </c>
      <c r="C2056" s="1" t="n">
        <v>46114</v>
      </c>
      <c r="D2056" t="inlineStr">
        <is>
          <t>DALARNAS LÄN</t>
        </is>
      </c>
      <c r="E2056" t="inlineStr">
        <is>
          <t>SMEDJEBACKEN</t>
        </is>
      </c>
      <c r="F2056" t="inlineStr">
        <is>
          <t>Bergvik skog väst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35193-2024</t>
        </is>
      </c>
      <c r="B2057" s="1" t="n">
        <v>45530.46568287037</v>
      </c>
      <c r="C2057" s="1" t="n">
        <v>46114</v>
      </c>
      <c r="D2057" t="inlineStr">
        <is>
          <t>DALARNAS LÄN</t>
        </is>
      </c>
      <c r="E2057" t="inlineStr">
        <is>
          <t>FALUN</t>
        </is>
      </c>
      <c r="G2057" t="n">
        <v>2</v>
      </c>
      <c r="H2057" t="n">
        <v>0</v>
      </c>
      <c r="I2057" t="n">
        <v>0</v>
      </c>
      <c r="J2057" t="n">
        <v>0</v>
      </c>
      <c r="K2057" t="n">
        <v>0</v>
      </c>
      <c r="L2057" t="n">
        <v>0</v>
      </c>
      <c r="M2057" t="n">
        <v>0</v>
      </c>
      <c r="N2057" t="n">
        <v>0</v>
      </c>
      <c r="O2057" t="n">
        <v>0</v>
      </c>
      <c r="P2057" t="n">
        <v>0</v>
      </c>
      <c r="Q2057" t="n">
        <v>0</v>
      </c>
      <c r="R2057" s="2" t="inlineStr"/>
    </row>
    <row r="2058" ht="15" customHeight="1">
      <c r="A2058" t="inlineStr">
        <is>
          <t>A 20594-2025</t>
        </is>
      </c>
      <c r="B2058" s="1" t="n">
        <v>45775.74009259259</v>
      </c>
      <c r="C2058" s="1" t="n">
        <v>46114</v>
      </c>
      <c r="D2058" t="inlineStr">
        <is>
          <t>DALARNAS LÄN</t>
        </is>
      </c>
      <c r="E2058" t="inlineStr">
        <is>
          <t>MORA</t>
        </is>
      </c>
      <c r="G2058" t="n">
        <v>8.199999999999999</v>
      </c>
      <c r="H2058" t="n">
        <v>0</v>
      </c>
      <c r="I2058" t="n">
        <v>0</v>
      </c>
      <c r="J2058" t="n">
        <v>0</v>
      </c>
      <c r="K2058" t="n">
        <v>0</v>
      </c>
      <c r="L2058" t="n">
        <v>0</v>
      </c>
      <c r="M2058" t="n">
        <v>0</v>
      </c>
      <c r="N2058" t="n">
        <v>0</v>
      </c>
      <c r="O2058" t="n">
        <v>0</v>
      </c>
      <c r="P2058" t="n">
        <v>0</v>
      </c>
      <c r="Q2058" t="n">
        <v>0</v>
      </c>
      <c r="R2058" s="2" t="inlineStr"/>
    </row>
    <row r="2059" ht="15" customHeight="1">
      <c r="A2059" t="inlineStr">
        <is>
          <t>A 35287-2024</t>
        </is>
      </c>
      <c r="B2059" s="1" t="n">
        <v>45530</v>
      </c>
      <c r="C2059" s="1" t="n">
        <v>46114</v>
      </c>
      <c r="D2059" t="inlineStr">
        <is>
          <t>DALARNAS LÄN</t>
        </is>
      </c>
      <c r="E2059" t="inlineStr">
        <is>
          <t>MORA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35288-2024</t>
        </is>
      </c>
      <c r="B2060" s="1" t="n">
        <v>45530.64337962963</v>
      </c>
      <c r="C2060" s="1" t="n">
        <v>46114</v>
      </c>
      <c r="D2060" t="inlineStr">
        <is>
          <t>DALARNAS LÄN</t>
        </is>
      </c>
      <c r="E2060" t="inlineStr">
        <is>
          <t>VANSBRO</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2991-2025</t>
        </is>
      </c>
      <c r="B2061" s="1" t="n">
        <v>45678.53384259259</v>
      </c>
      <c r="C2061" s="1" t="n">
        <v>46114</v>
      </c>
      <c r="D2061" t="inlineStr">
        <is>
          <t>DALARNAS LÄN</t>
        </is>
      </c>
      <c r="E2061" t="inlineStr">
        <is>
          <t>FALUN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54875-2023</t>
        </is>
      </c>
      <c r="B2062" s="1" t="n">
        <v>45236.61521990741</v>
      </c>
      <c r="C2062" s="1" t="n">
        <v>46114</v>
      </c>
      <c r="D2062" t="inlineStr">
        <is>
          <t>DALARNAS LÄN</t>
        </is>
      </c>
      <c r="E2062" t="inlineStr">
        <is>
          <t>GAGNEF</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58812-2023</t>
        </is>
      </c>
      <c r="B2063" s="1" t="n">
        <v>45252.37432870371</v>
      </c>
      <c r="C2063" s="1" t="n">
        <v>46114</v>
      </c>
      <c r="D2063" t="inlineStr">
        <is>
          <t>DALARNAS LÄN</t>
        </is>
      </c>
      <c r="E2063" t="inlineStr">
        <is>
          <t>AVESTA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58345-2024</t>
        </is>
      </c>
      <c r="B2064" s="1" t="n">
        <v>45632.64725694444</v>
      </c>
      <c r="C2064" s="1" t="n">
        <v>46114</v>
      </c>
      <c r="D2064" t="inlineStr">
        <is>
          <t>DALARNAS LÄN</t>
        </is>
      </c>
      <c r="E2064" t="inlineStr">
        <is>
          <t>MALUNG-SÄLEN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58903-2023</t>
        </is>
      </c>
      <c r="B2065" s="1" t="n">
        <v>45252.50012731482</v>
      </c>
      <c r="C2065" s="1" t="n">
        <v>46114</v>
      </c>
      <c r="D2065" t="inlineStr">
        <is>
          <t>DALARNAS LÄN</t>
        </is>
      </c>
      <c r="E2065" t="inlineStr">
        <is>
          <t>BORLÄNGE</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19619-2024</t>
        </is>
      </c>
      <c r="B2066" s="1" t="n">
        <v>45432.32908564815</v>
      </c>
      <c r="C2066" s="1" t="n">
        <v>46114</v>
      </c>
      <c r="D2066" t="inlineStr">
        <is>
          <t>DALARNAS LÄN</t>
        </is>
      </c>
      <c r="E2066" t="inlineStr">
        <is>
          <t>RÄTTVIK</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58412-2024</t>
        </is>
      </c>
      <c r="B2067" s="1" t="n">
        <v>45634</v>
      </c>
      <c r="C2067" s="1" t="n">
        <v>46114</v>
      </c>
      <c r="D2067" t="inlineStr">
        <is>
          <t>DALARNAS LÄN</t>
        </is>
      </c>
      <c r="E2067" t="inlineStr">
        <is>
          <t>FALUN</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46141-2022</t>
        </is>
      </c>
      <c r="B2068" s="1" t="n">
        <v>44846</v>
      </c>
      <c r="C2068" s="1" t="n">
        <v>46114</v>
      </c>
      <c r="D2068" t="inlineStr">
        <is>
          <t>DALARNAS LÄN</t>
        </is>
      </c>
      <c r="E2068" t="inlineStr">
        <is>
          <t>LEKSAND</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36214-2024</t>
        </is>
      </c>
      <c r="B2069" s="1" t="n">
        <v>45534.46560185185</v>
      </c>
      <c r="C2069" s="1" t="n">
        <v>46114</v>
      </c>
      <c r="D2069" t="inlineStr">
        <is>
          <t>DALARNAS LÄN</t>
        </is>
      </c>
      <c r="E2069" t="inlineStr">
        <is>
          <t>BORLÄNGE</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56686-2022</t>
        </is>
      </c>
      <c r="B2070" s="1" t="n">
        <v>44893</v>
      </c>
      <c r="C2070" s="1" t="n">
        <v>46114</v>
      </c>
      <c r="D2070" t="inlineStr">
        <is>
          <t>DALARNAS LÄN</t>
        </is>
      </c>
      <c r="E2070" t="inlineStr">
        <is>
          <t>LUDVIKA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36217-2024</t>
        </is>
      </c>
      <c r="B2071" s="1" t="n">
        <v>45534.46862268518</v>
      </c>
      <c r="C2071" s="1" t="n">
        <v>46114</v>
      </c>
      <c r="D2071" t="inlineStr">
        <is>
          <t>DALARNAS LÄN</t>
        </is>
      </c>
      <c r="E2071" t="inlineStr">
        <is>
          <t>BORLÄNGE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4616-2025</t>
        </is>
      </c>
      <c r="B2072" s="1" t="n">
        <v>45687.59722222222</v>
      </c>
      <c r="C2072" s="1" t="n">
        <v>46114</v>
      </c>
      <c r="D2072" t="inlineStr">
        <is>
          <t>DALARNAS LÄN</t>
        </is>
      </c>
      <c r="E2072" t="inlineStr">
        <is>
          <t>AVESTA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422-2023</t>
        </is>
      </c>
      <c r="B2073" s="1" t="n">
        <v>44929.6525</v>
      </c>
      <c r="C2073" s="1" t="n">
        <v>46114</v>
      </c>
      <c r="D2073" t="inlineStr">
        <is>
          <t>DALARNAS LÄN</t>
        </is>
      </c>
      <c r="E2073" t="inlineStr">
        <is>
          <t>BORLÄNGE</t>
        </is>
      </c>
      <c r="F2073" t="inlineStr">
        <is>
          <t>Bergvik skog väst AB</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490-2023</t>
        </is>
      </c>
      <c r="B2074" s="1" t="n">
        <v>44930</v>
      </c>
      <c r="C2074" s="1" t="n">
        <v>46114</v>
      </c>
      <c r="D2074" t="inlineStr">
        <is>
          <t>DALARNAS LÄN</t>
        </is>
      </c>
      <c r="E2074" t="inlineStr">
        <is>
          <t>RÄTTVIK</t>
        </is>
      </c>
      <c r="G2074" t="n">
        <v>8.4</v>
      </c>
      <c r="H2074" t="n">
        <v>0</v>
      </c>
      <c r="I2074" t="n">
        <v>0</v>
      </c>
      <c r="J2074" t="n">
        <v>0</v>
      </c>
      <c r="K2074" t="n">
        <v>0</v>
      </c>
      <c r="L2074" t="n">
        <v>0</v>
      </c>
      <c r="M2074" t="n">
        <v>0</v>
      </c>
      <c r="N2074" t="n">
        <v>0</v>
      </c>
      <c r="O2074" t="n">
        <v>0</v>
      </c>
      <c r="P2074" t="n">
        <v>0</v>
      </c>
      <c r="Q2074" t="n">
        <v>0</v>
      </c>
      <c r="R2074" s="2" t="inlineStr"/>
    </row>
    <row r="2075" ht="15" customHeight="1">
      <c r="A2075" t="inlineStr">
        <is>
          <t>A 492-2023</t>
        </is>
      </c>
      <c r="B2075" s="1" t="n">
        <v>44930</v>
      </c>
      <c r="C2075" s="1" t="n">
        <v>46114</v>
      </c>
      <c r="D2075" t="inlineStr">
        <is>
          <t>DALARNAS LÄN</t>
        </is>
      </c>
      <c r="E2075" t="inlineStr">
        <is>
          <t>RÄTTVIK</t>
        </is>
      </c>
      <c r="G2075" t="n">
        <v>7.1</v>
      </c>
      <c r="H2075" t="n">
        <v>0</v>
      </c>
      <c r="I2075" t="n">
        <v>0</v>
      </c>
      <c r="J2075" t="n">
        <v>0</v>
      </c>
      <c r="K2075" t="n">
        <v>0</v>
      </c>
      <c r="L2075" t="n">
        <v>0</v>
      </c>
      <c r="M2075" t="n">
        <v>0</v>
      </c>
      <c r="N2075" t="n">
        <v>0</v>
      </c>
      <c r="O2075" t="n">
        <v>0</v>
      </c>
      <c r="P2075" t="n">
        <v>0</v>
      </c>
      <c r="Q2075" t="n">
        <v>0</v>
      </c>
      <c r="R2075" s="2" t="inlineStr"/>
    </row>
    <row r="2076" ht="15" customHeight="1">
      <c r="A2076" t="inlineStr">
        <is>
          <t>A 493-2023</t>
        </is>
      </c>
      <c r="B2076" s="1" t="n">
        <v>44930</v>
      </c>
      <c r="C2076" s="1" t="n">
        <v>46114</v>
      </c>
      <c r="D2076" t="inlineStr">
        <is>
          <t>DALARNAS LÄN</t>
        </is>
      </c>
      <c r="E2076" t="inlineStr">
        <is>
          <t>RÄTTVIK</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49051-2024</t>
        </is>
      </c>
      <c r="B2077" s="1" t="n">
        <v>45594.57820601852</v>
      </c>
      <c r="C2077" s="1" t="n">
        <v>46114</v>
      </c>
      <c r="D2077" t="inlineStr">
        <is>
          <t>DALARNAS LÄN</t>
        </is>
      </c>
      <c r="E2077" t="inlineStr">
        <is>
          <t>LUDVIKA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28592-2023</t>
        </is>
      </c>
      <c r="B2078" s="1" t="n">
        <v>45103</v>
      </c>
      <c r="C2078" s="1" t="n">
        <v>46114</v>
      </c>
      <c r="D2078" t="inlineStr">
        <is>
          <t>DALARNAS LÄN</t>
        </is>
      </c>
      <c r="E2078" t="inlineStr">
        <is>
          <t>LEKSAND</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45060-2022</t>
        </is>
      </c>
      <c r="B2079" s="1" t="n">
        <v>44841.75935185186</v>
      </c>
      <c r="C2079" s="1" t="n">
        <v>46114</v>
      </c>
      <c r="D2079" t="inlineStr">
        <is>
          <t>DALARNAS LÄN</t>
        </is>
      </c>
      <c r="E2079" t="inlineStr">
        <is>
          <t>LUDVIKA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14616-2024</t>
        </is>
      </c>
      <c r="B2080" s="1" t="n">
        <v>45397.2624537037</v>
      </c>
      <c r="C2080" s="1" t="n">
        <v>46114</v>
      </c>
      <c r="D2080" t="inlineStr">
        <is>
          <t>DALARNAS LÄN</t>
        </is>
      </c>
      <c r="E2080" t="inlineStr">
        <is>
          <t>LEKSAND</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56119-2021</t>
        </is>
      </c>
      <c r="B2081" s="1" t="n">
        <v>44477</v>
      </c>
      <c r="C2081" s="1" t="n">
        <v>46114</v>
      </c>
      <c r="D2081" t="inlineStr">
        <is>
          <t>DALARNAS LÄN</t>
        </is>
      </c>
      <c r="E2081" t="inlineStr">
        <is>
          <t>LUDVIKA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56711-2021</t>
        </is>
      </c>
      <c r="B2082" s="1" t="n">
        <v>44481.41222222222</v>
      </c>
      <c r="C2082" s="1" t="n">
        <v>46114</v>
      </c>
      <c r="D2082" t="inlineStr">
        <is>
          <t>DALARNAS LÄN</t>
        </is>
      </c>
      <c r="E2082" t="inlineStr">
        <is>
          <t>ORSA</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61233-2024</t>
        </is>
      </c>
      <c r="B2083" s="1" t="n">
        <v>45645.67467592593</v>
      </c>
      <c r="C2083" s="1" t="n">
        <v>46114</v>
      </c>
      <c r="D2083" t="inlineStr">
        <is>
          <t>DALARNAS LÄN</t>
        </is>
      </c>
      <c r="E2083" t="inlineStr">
        <is>
          <t>MALUNG-SÄLEN</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33400-2021</t>
        </is>
      </c>
      <c r="B2084" s="1" t="n">
        <v>44377</v>
      </c>
      <c r="C2084" s="1" t="n">
        <v>46114</v>
      </c>
      <c r="D2084" t="inlineStr">
        <is>
          <t>DALARNAS LÄN</t>
        </is>
      </c>
      <c r="E2084" t="inlineStr">
        <is>
          <t>RÄTTVIK</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8707-2023</t>
        </is>
      </c>
      <c r="B2085" s="1" t="n">
        <v>44978</v>
      </c>
      <c r="C2085" s="1" t="n">
        <v>46114</v>
      </c>
      <c r="D2085" t="inlineStr">
        <is>
          <t>DALARNAS LÄN</t>
        </is>
      </c>
      <c r="E2085" t="inlineStr">
        <is>
          <t>MALUNG-SÄLEN</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50501-2022</t>
        </is>
      </c>
      <c r="B2086" s="1" t="n">
        <v>44866.54778935185</v>
      </c>
      <c r="C2086" s="1" t="n">
        <v>46114</v>
      </c>
      <c r="D2086" t="inlineStr">
        <is>
          <t>DALARNAS LÄN</t>
        </is>
      </c>
      <c r="E2086" t="inlineStr">
        <is>
          <t>SÄTER</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24009-2024</t>
        </is>
      </c>
      <c r="B2087" s="1" t="n">
        <v>45456.40030092592</v>
      </c>
      <c r="C2087" s="1" t="n">
        <v>46114</v>
      </c>
      <c r="D2087" t="inlineStr">
        <is>
          <t>DALARNAS LÄN</t>
        </is>
      </c>
      <c r="E2087" t="inlineStr">
        <is>
          <t>ÄLVDALEN</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60165-2023</t>
        </is>
      </c>
      <c r="B2088" s="1" t="n">
        <v>45258.56001157407</v>
      </c>
      <c r="C2088" s="1" t="n">
        <v>46114</v>
      </c>
      <c r="D2088" t="inlineStr">
        <is>
          <t>DALARNAS LÄN</t>
        </is>
      </c>
      <c r="E2088" t="inlineStr">
        <is>
          <t>RÄTTVIK</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42302-2023</t>
        </is>
      </c>
      <c r="B2089" s="1" t="n">
        <v>45175</v>
      </c>
      <c r="C2089" s="1" t="n">
        <v>46114</v>
      </c>
      <c r="D2089" t="inlineStr">
        <is>
          <t>DALARNAS LÄN</t>
        </is>
      </c>
      <c r="E2089" t="inlineStr">
        <is>
          <t>FALUN</t>
        </is>
      </c>
      <c r="G2089" t="n">
        <v>8.5</v>
      </c>
      <c r="H2089" t="n">
        <v>0</v>
      </c>
      <c r="I2089" t="n">
        <v>0</v>
      </c>
      <c r="J2089" t="n">
        <v>0</v>
      </c>
      <c r="K2089" t="n">
        <v>0</v>
      </c>
      <c r="L2089" t="n">
        <v>0</v>
      </c>
      <c r="M2089" t="n">
        <v>0</v>
      </c>
      <c r="N2089" t="n">
        <v>0</v>
      </c>
      <c r="O2089" t="n">
        <v>0</v>
      </c>
      <c r="P2089" t="n">
        <v>0</v>
      </c>
      <c r="Q2089" t="n">
        <v>0</v>
      </c>
      <c r="R2089" s="2" t="inlineStr"/>
    </row>
    <row r="2090" ht="15" customHeight="1">
      <c r="A2090" t="inlineStr">
        <is>
          <t>A 14193-2022</t>
        </is>
      </c>
      <c r="B2090" s="1" t="n">
        <v>44651</v>
      </c>
      <c r="C2090" s="1" t="n">
        <v>46114</v>
      </c>
      <c r="D2090" t="inlineStr">
        <is>
          <t>DALARNAS LÄN</t>
        </is>
      </c>
      <c r="E2090" t="inlineStr">
        <is>
          <t>RÄTTVIK</t>
        </is>
      </c>
      <c r="G2090" t="n">
        <v>2.3</v>
      </c>
      <c r="H2090" t="n">
        <v>0</v>
      </c>
      <c r="I2090" t="n">
        <v>0</v>
      </c>
      <c r="J2090" t="n">
        <v>0</v>
      </c>
      <c r="K2090" t="n">
        <v>0</v>
      </c>
      <c r="L2090" t="n">
        <v>0</v>
      </c>
      <c r="M2090" t="n">
        <v>0</v>
      </c>
      <c r="N2090" t="n">
        <v>0</v>
      </c>
      <c r="O2090" t="n">
        <v>0</v>
      </c>
      <c r="P2090" t="n">
        <v>0</v>
      </c>
      <c r="Q2090" t="n">
        <v>0</v>
      </c>
      <c r="R2090" s="2" t="inlineStr"/>
    </row>
    <row r="2091" ht="15" customHeight="1">
      <c r="A2091" t="inlineStr">
        <is>
          <t>A 11416-2022</t>
        </is>
      </c>
      <c r="B2091" s="1" t="n">
        <v>44630.5793287037</v>
      </c>
      <c r="C2091" s="1" t="n">
        <v>46114</v>
      </c>
      <c r="D2091" t="inlineStr">
        <is>
          <t>DALARNAS LÄN</t>
        </is>
      </c>
      <c r="E2091" t="inlineStr">
        <is>
          <t>SÄTER</t>
        </is>
      </c>
      <c r="G2091" t="n">
        <v>10.1</v>
      </c>
      <c r="H2091" t="n">
        <v>0</v>
      </c>
      <c r="I2091" t="n">
        <v>0</v>
      </c>
      <c r="J2091" t="n">
        <v>0</v>
      </c>
      <c r="K2091" t="n">
        <v>0</v>
      </c>
      <c r="L2091" t="n">
        <v>0</v>
      </c>
      <c r="M2091" t="n">
        <v>0</v>
      </c>
      <c r="N2091" t="n">
        <v>0</v>
      </c>
      <c r="O2091" t="n">
        <v>0</v>
      </c>
      <c r="P2091" t="n">
        <v>0</v>
      </c>
      <c r="Q2091" t="n">
        <v>0</v>
      </c>
      <c r="R2091" s="2" t="inlineStr"/>
    </row>
    <row r="2092" ht="15" customHeight="1">
      <c r="A2092" t="inlineStr">
        <is>
          <t>A 25125-2024</t>
        </is>
      </c>
      <c r="B2092" s="1" t="n">
        <v>45462</v>
      </c>
      <c r="C2092" s="1" t="n">
        <v>46114</v>
      </c>
      <c r="D2092" t="inlineStr">
        <is>
          <t>DALARNAS LÄN</t>
        </is>
      </c>
      <c r="E2092" t="inlineStr">
        <is>
          <t>SMEDJEBACKEN</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7519-2024</t>
        </is>
      </c>
      <c r="B2093" s="1" t="n">
        <v>45348.34381944445</v>
      </c>
      <c r="C2093" s="1" t="n">
        <v>46114</v>
      </c>
      <c r="D2093" t="inlineStr">
        <is>
          <t>DALARNAS LÄN</t>
        </is>
      </c>
      <c r="E2093" t="inlineStr">
        <is>
          <t>FALUN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6262-2023</t>
        </is>
      </c>
      <c r="B2094" s="1" t="n">
        <v>44963</v>
      </c>
      <c r="C2094" s="1" t="n">
        <v>46114</v>
      </c>
      <c r="D2094" t="inlineStr">
        <is>
          <t>DALARNAS LÄN</t>
        </is>
      </c>
      <c r="E2094" t="inlineStr">
        <is>
          <t>AVESTA</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10774-2024</t>
        </is>
      </c>
      <c r="B2095" s="1" t="n">
        <v>45369.58125</v>
      </c>
      <c r="C2095" s="1" t="n">
        <v>46114</v>
      </c>
      <c r="D2095" t="inlineStr">
        <is>
          <t>DALARNAS LÄN</t>
        </is>
      </c>
      <c r="E2095" t="inlineStr">
        <is>
          <t>BORLÄNGE</t>
        </is>
      </c>
      <c r="F2095" t="inlineStr">
        <is>
          <t>Bergvik skog väst AB</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22938-2023</t>
        </is>
      </c>
      <c r="B2096" s="1" t="n">
        <v>45072</v>
      </c>
      <c r="C2096" s="1" t="n">
        <v>46114</v>
      </c>
      <c r="D2096" t="inlineStr">
        <is>
          <t>DALARNAS LÄN</t>
        </is>
      </c>
      <c r="E2096" t="inlineStr">
        <is>
          <t>FALUN</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36667-2023</t>
        </is>
      </c>
      <c r="B2097" s="1" t="n">
        <v>45153</v>
      </c>
      <c r="C2097" s="1" t="n">
        <v>46114</v>
      </c>
      <c r="D2097" t="inlineStr">
        <is>
          <t>DALARNAS LÄN</t>
        </is>
      </c>
      <c r="E2097" t="inlineStr">
        <is>
          <t>SMEDJEBACKEN</t>
        </is>
      </c>
      <c r="F2097" t="inlineStr">
        <is>
          <t>Sveaskog</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44995-2024</t>
        </is>
      </c>
      <c r="B2098" s="1" t="n">
        <v>45575</v>
      </c>
      <c r="C2098" s="1" t="n">
        <v>46114</v>
      </c>
      <c r="D2098" t="inlineStr">
        <is>
          <t>DALARNAS LÄN</t>
        </is>
      </c>
      <c r="E2098" t="inlineStr">
        <is>
          <t>VANSBRO</t>
        </is>
      </c>
      <c r="F2098" t="inlineStr">
        <is>
          <t>Övriga statliga verk och myndigheter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4680-2023</t>
        </is>
      </c>
      <c r="B2099" s="1" t="n">
        <v>44957</v>
      </c>
      <c r="C2099" s="1" t="n">
        <v>46114</v>
      </c>
      <c r="D2099" t="inlineStr">
        <is>
          <t>DALARNAS LÄN</t>
        </is>
      </c>
      <c r="E2099" t="inlineStr">
        <is>
          <t>VANSBRO</t>
        </is>
      </c>
      <c r="F2099" t="inlineStr">
        <is>
          <t>Bergvik skog öst AB</t>
        </is>
      </c>
      <c r="G2099" t="n">
        <v>3.6</v>
      </c>
      <c r="H2099" t="n">
        <v>0</v>
      </c>
      <c r="I2099" t="n">
        <v>0</v>
      </c>
      <c r="J2099" t="n">
        <v>0</v>
      </c>
      <c r="K2099" t="n">
        <v>0</v>
      </c>
      <c r="L2099" t="n">
        <v>0</v>
      </c>
      <c r="M2099" t="n">
        <v>0</v>
      </c>
      <c r="N2099" t="n">
        <v>0</v>
      </c>
      <c r="O2099" t="n">
        <v>0</v>
      </c>
      <c r="P2099" t="n">
        <v>0</v>
      </c>
      <c r="Q2099" t="n">
        <v>0</v>
      </c>
      <c r="R2099" s="2" t="inlineStr"/>
    </row>
    <row r="2100" ht="15" customHeight="1">
      <c r="A2100" t="inlineStr">
        <is>
          <t>A 55078-2022</t>
        </is>
      </c>
      <c r="B2100" s="1" t="n">
        <v>44886</v>
      </c>
      <c r="C2100" s="1" t="n">
        <v>46114</v>
      </c>
      <c r="D2100" t="inlineStr">
        <is>
          <t>DALARNAS LÄN</t>
        </is>
      </c>
      <c r="E2100" t="inlineStr">
        <is>
          <t>VANSBRO</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4700-2023</t>
        </is>
      </c>
      <c r="B2101" s="1" t="n">
        <v>44957.47851851852</v>
      </c>
      <c r="C2101" s="1" t="n">
        <v>46114</v>
      </c>
      <c r="D2101" t="inlineStr">
        <is>
          <t>DALARNAS LÄN</t>
        </is>
      </c>
      <c r="E2101" t="inlineStr">
        <is>
          <t>FALUN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62130-2023</t>
        </is>
      </c>
      <c r="B2102" s="1" t="n">
        <v>45267.34677083333</v>
      </c>
      <c r="C2102" s="1" t="n">
        <v>46114</v>
      </c>
      <c r="D2102" t="inlineStr">
        <is>
          <t>DALARNAS LÄN</t>
        </is>
      </c>
      <c r="E2102" t="inlineStr">
        <is>
          <t>AVESTA</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21973-2024</t>
        </is>
      </c>
      <c r="B2103" s="1" t="n">
        <v>45443.52902777777</v>
      </c>
      <c r="C2103" s="1" t="n">
        <v>46114</v>
      </c>
      <c r="D2103" t="inlineStr">
        <is>
          <t>DALARNAS LÄN</t>
        </is>
      </c>
      <c r="E2103" t="inlineStr">
        <is>
          <t>VANSBRO</t>
        </is>
      </c>
      <c r="F2103" t="inlineStr">
        <is>
          <t>Bergvik skog väst AB</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62207-2023</t>
        </is>
      </c>
      <c r="B2104" s="1" t="n">
        <v>45267</v>
      </c>
      <c r="C2104" s="1" t="n">
        <v>46114</v>
      </c>
      <c r="D2104" t="inlineStr">
        <is>
          <t>DALARNAS LÄN</t>
        </is>
      </c>
      <c r="E2104" t="inlineStr">
        <is>
          <t>RÄTTVIK</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24757-2021</t>
        </is>
      </c>
      <c r="B2105" s="1" t="n">
        <v>44340</v>
      </c>
      <c r="C2105" s="1" t="n">
        <v>46114</v>
      </c>
      <c r="D2105" t="inlineStr">
        <is>
          <t>DALARNAS LÄN</t>
        </is>
      </c>
      <c r="E2105" t="inlineStr">
        <is>
          <t>RÄTTVIK</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31884-2023</t>
        </is>
      </c>
      <c r="B2106" s="1" t="n">
        <v>45118.65828703704</v>
      </c>
      <c r="C2106" s="1" t="n">
        <v>46114</v>
      </c>
      <c r="D2106" t="inlineStr">
        <is>
          <t>DALARNAS LÄN</t>
        </is>
      </c>
      <c r="E2106" t="inlineStr">
        <is>
          <t>FALUN</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53273-2022</t>
        </is>
      </c>
      <c r="B2107" s="1" t="n">
        <v>44876.94532407408</v>
      </c>
      <c r="C2107" s="1" t="n">
        <v>46114</v>
      </c>
      <c r="D2107" t="inlineStr">
        <is>
          <t>DALARNAS LÄN</t>
        </is>
      </c>
      <c r="E2107" t="inlineStr">
        <is>
          <t>SMEDJEBACKEN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25463-2023</t>
        </is>
      </c>
      <c r="B2108" s="1" t="n">
        <v>45082</v>
      </c>
      <c r="C2108" s="1" t="n">
        <v>46114</v>
      </c>
      <c r="D2108" t="inlineStr">
        <is>
          <t>DALARNAS LÄN</t>
        </is>
      </c>
      <c r="E2108" t="inlineStr">
        <is>
          <t>AVESTA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51328-2024</t>
        </is>
      </c>
      <c r="B2109" s="1" t="n">
        <v>45604.33951388889</v>
      </c>
      <c r="C2109" s="1" t="n">
        <v>46114</v>
      </c>
      <c r="D2109" t="inlineStr">
        <is>
          <t>DALARNAS LÄN</t>
        </is>
      </c>
      <c r="E2109" t="inlineStr">
        <is>
          <t>SÄTER</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51339-2024</t>
        </is>
      </c>
      <c r="B2110" s="1" t="n">
        <v>45604.34466435185</v>
      </c>
      <c r="C2110" s="1" t="n">
        <v>46114</v>
      </c>
      <c r="D2110" t="inlineStr">
        <is>
          <t>DALARNAS LÄN</t>
        </is>
      </c>
      <c r="E2110" t="inlineStr">
        <is>
          <t>SÄTER</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33163-2022</t>
        </is>
      </c>
      <c r="B2111" s="1" t="n">
        <v>44785.59181712963</v>
      </c>
      <c r="C2111" s="1" t="n">
        <v>46114</v>
      </c>
      <c r="D2111" t="inlineStr">
        <is>
          <t>DALARNAS LÄN</t>
        </is>
      </c>
      <c r="E2111" t="inlineStr">
        <is>
          <t>BORLÄNGE</t>
        </is>
      </c>
      <c r="G2111" t="n">
        <v>10</v>
      </c>
      <c r="H2111" t="n">
        <v>0</v>
      </c>
      <c r="I2111" t="n">
        <v>0</v>
      </c>
      <c r="J2111" t="n">
        <v>0</v>
      </c>
      <c r="K2111" t="n">
        <v>0</v>
      </c>
      <c r="L2111" t="n">
        <v>0</v>
      </c>
      <c r="M2111" t="n">
        <v>0</v>
      </c>
      <c r="N2111" t="n">
        <v>0</v>
      </c>
      <c r="O2111" t="n">
        <v>0</v>
      </c>
      <c r="P2111" t="n">
        <v>0</v>
      </c>
      <c r="Q2111" t="n">
        <v>0</v>
      </c>
      <c r="R2111" s="2" t="inlineStr"/>
    </row>
    <row r="2112" ht="15" customHeight="1">
      <c r="A2112" t="inlineStr">
        <is>
          <t>A 629-2025</t>
        </is>
      </c>
      <c r="B2112" s="1" t="n">
        <v>45660</v>
      </c>
      <c r="C2112" s="1" t="n">
        <v>46114</v>
      </c>
      <c r="D2112" t="inlineStr">
        <is>
          <t>DALARNAS LÄN</t>
        </is>
      </c>
      <c r="E2112" t="inlineStr">
        <is>
          <t>ÄLVDALEN</t>
        </is>
      </c>
      <c r="F2112" t="inlineStr">
        <is>
          <t>Allmännings- och besparingsskogar</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43677-2024</t>
        </is>
      </c>
      <c r="B2113" s="1" t="n">
        <v>45569.56986111111</v>
      </c>
      <c r="C2113" s="1" t="n">
        <v>46114</v>
      </c>
      <c r="D2113" t="inlineStr">
        <is>
          <t>DALARNAS LÄN</t>
        </is>
      </c>
      <c r="E2113" t="inlineStr">
        <is>
          <t>MALUNG-SÄLEN</t>
        </is>
      </c>
      <c r="F2113" t="inlineStr">
        <is>
          <t>Kyrkan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43694-2024</t>
        </is>
      </c>
      <c r="B2114" s="1" t="n">
        <v>45569</v>
      </c>
      <c r="C2114" s="1" t="n">
        <v>46114</v>
      </c>
      <c r="D2114" t="inlineStr">
        <is>
          <t>DALARNAS LÄN</t>
        </is>
      </c>
      <c r="E2114" t="inlineStr">
        <is>
          <t>LUDVIKA</t>
        </is>
      </c>
      <c r="F2114" t="inlineStr">
        <is>
          <t>Bergvik skog väst AB</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39770-2022</t>
        </is>
      </c>
      <c r="B2115" s="1" t="n">
        <v>44819</v>
      </c>
      <c r="C2115" s="1" t="n">
        <v>46114</v>
      </c>
      <c r="D2115" t="inlineStr">
        <is>
          <t>DALARNAS LÄN</t>
        </is>
      </c>
      <c r="E2115" t="inlineStr">
        <is>
          <t>RÄTTVIK</t>
        </is>
      </c>
      <c r="G2115" t="n">
        <v>3.5</v>
      </c>
      <c r="H2115" t="n">
        <v>0</v>
      </c>
      <c r="I2115" t="n">
        <v>0</v>
      </c>
      <c r="J2115" t="n">
        <v>0</v>
      </c>
      <c r="K2115" t="n">
        <v>0</v>
      </c>
      <c r="L2115" t="n">
        <v>0</v>
      </c>
      <c r="M2115" t="n">
        <v>0</v>
      </c>
      <c r="N2115" t="n">
        <v>0</v>
      </c>
      <c r="O2115" t="n">
        <v>0</v>
      </c>
      <c r="P2115" t="n">
        <v>0</v>
      </c>
      <c r="Q2115" t="n">
        <v>0</v>
      </c>
      <c r="R2115" s="2" t="inlineStr"/>
    </row>
    <row r="2116" ht="15" customHeight="1">
      <c r="A2116" t="inlineStr">
        <is>
          <t>A 5418-2025</t>
        </is>
      </c>
      <c r="B2116" s="1" t="n">
        <v>45692.68561342593</v>
      </c>
      <c r="C2116" s="1" t="n">
        <v>46114</v>
      </c>
      <c r="D2116" t="inlineStr">
        <is>
          <t>DALARNAS LÄN</t>
        </is>
      </c>
      <c r="E2116" t="inlineStr">
        <is>
          <t>MORA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2098-2025</t>
        </is>
      </c>
      <c r="B2117" s="1" t="n">
        <v>45672</v>
      </c>
      <c r="C2117" s="1" t="n">
        <v>46114</v>
      </c>
      <c r="D2117" t="inlineStr">
        <is>
          <t>DALARNAS LÄN</t>
        </is>
      </c>
      <c r="E2117" t="inlineStr">
        <is>
          <t>RÄTTVIK</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51866-2024</t>
        </is>
      </c>
      <c r="B2118" s="1" t="n">
        <v>45607.55261574074</v>
      </c>
      <c r="C2118" s="1" t="n">
        <v>46114</v>
      </c>
      <c r="D2118" t="inlineStr">
        <is>
          <t>DALARNAS LÄN</t>
        </is>
      </c>
      <c r="E2118" t="inlineStr">
        <is>
          <t>FALUN</t>
        </is>
      </c>
      <c r="F2118" t="inlineStr">
        <is>
          <t>Bergvik skog väst AB</t>
        </is>
      </c>
      <c r="G2118" t="n">
        <v>10.2</v>
      </c>
      <c r="H2118" t="n">
        <v>0</v>
      </c>
      <c r="I2118" t="n">
        <v>0</v>
      </c>
      <c r="J2118" t="n">
        <v>0</v>
      </c>
      <c r="K2118" t="n">
        <v>0</v>
      </c>
      <c r="L2118" t="n">
        <v>0</v>
      </c>
      <c r="M2118" t="n">
        <v>0</v>
      </c>
      <c r="N2118" t="n">
        <v>0</v>
      </c>
      <c r="O2118" t="n">
        <v>0</v>
      </c>
      <c r="P2118" t="n">
        <v>0</v>
      </c>
      <c r="Q2118" t="n">
        <v>0</v>
      </c>
      <c r="R2118" s="2" t="inlineStr"/>
    </row>
    <row r="2119" ht="15" customHeight="1">
      <c r="A2119" t="inlineStr">
        <is>
          <t>A 49781-2023</t>
        </is>
      </c>
      <c r="B2119" s="1" t="n">
        <v>45212.60275462963</v>
      </c>
      <c r="C2119" s="1" t="n">
        <v>46114</v>
      </c>
      <c r="D2119" t="inlineStr">
        <is>
          <t>DALARNAS LÄN</t>
        </is>
      </c>
      <c r="E2119" t="inlineStr">
        <is>
          <t>ORSA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49805-2023</t>
        </is>
      </c>
      <c r="B2120" s="1" t="n">
        <v>45212.65407407407</v>
      </c>
      <c r="C2120" s="1" t="n">
        <v>46114</v>
      </c>
      <c r="D2120" t="inlineStr">
        <is>
          <t>DALARNAS LÄN</t>
        </is>
      </c>
      <c r="E2120" t="inlineStr">
        <is>
          <t>LUDVIKA</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14209-2024</t>
        </is>
      </c>
      <c r="B2121" s="1" t="n">
        <v>45393</v>
      </c>
      <c r="C2121" s="1" t="n">
        <v>46114</v>
      </c>
      <c r="D2121" t="inlineStr">
        <is>
          <t>DALARNAS LÄN</t>
        </is>
      </c>
      <c r="E2121" t="inlineStr">
        <is>
          <t>RÄTTVIK</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22984-2022</t>
        </is>
      </c>
      <c r="B2122" s="1" t="n">
        <v>44718</v>
      </c>
      <c r="C2122" s="1" t="n">
        <v>46114</v>
      </c>
      <c r="D2122" t="inlineStr">
        <is>
          <t>DALARNAS LÄN</t>
        </is>
      </c>
      <c r="E2122" t="inlineStr">
        <is>
          <t>SMEDJEBACKEN</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23041-2022</t>
        </is>
      </c>
      <c r="B2123" s="1" t="n">
        <v>44719</v>
      </c>
      <c r="C2123" s="1" t="n">
        <v>46114</v>
      </c>
      <c r="D2123" t="inlineStr">
        <is>
          <t>DALARNAS LÄN</t>
        </is>
      </c>
      <c r="E2123" t="inlineStr">
        <is>
          <t>RÄTTVIK</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34738-2023</t>
        </is>
      </c>
      <c r="B2124" s="1" t="n">
        <v>45141.37741898148</v>
      </c>
      <c r="C2124" s="1" t="n">
        <v>46114</v>
      </c>
      <c r="D2124" t="inlineStr">
        <is>
          <t>DALARNAS LÄN</t>
        </is>
      </c>
      <c r="E2124" t="inlineStr">
        <is>
          <t>VANSBRO</t>
        </is>
      </c>
      <c r="F2124" t="inlineStr">
        <is>
          <t>Bergvik skog väst AB</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56481-2024</t>
        </is>
      </c>
      <c r="B2125" s="1" t="n">
        <v>45625.4747337963</v>
      </c>
      <c r="C2125" s="1" t="n">
        <v>46114</v>
      </c>
      <c r="D2125" t="inlineStr">
        <is>
          <t>DALARNAS LÄN</t>
        </is>
      </c>
      <c r="E2125" t="inlineStr">
        <is>
          <t>FALUN</t>
        </is>
      </c>
      <c r="F2125" t="inlineStr">
        <is>
          <t>Bergvik skog väst AB</t>
        </is>
      </c>
      <c r="G2125" t="n">
        <v>8.199999999999999</v>
      </c>
      <c r="H2125" t="n">
        <v>0</v>
      </c>
      <c r="I2125" t="n">
        <v>0</v>
      </c>
      <c r="J2125" t="n">
        <v>0</v>
      </c>
      <c r="K2125" t="n">
        <v>0</v>
      </c>
      <c r="L2125" t="n">
        <v>0</v>
      </c>
      <c r="M2125" t="n">
        <v>0</v>
      </c>
      <c r="N2125" t="n">
        <v>0</v>
      </c>
      <c r="O2125" t="n">
        <v>0</v>
      </c>
      <c r="P2125" t="n">
        <v>0</v>
      </c>
      <c r="Q2125" t="n">
        <v>0</v>
      </c>
      <c r="R2125" s="2" t="inlineStr"/>
    </row>
    <row r="2126" ht="15" customHeight="1">
      <c r="A2126" t="inlineStr">
        <is>
          <t>A 17176-2025</t>
        </is>
      </c>
      <c r="B2126" s="1" t="n">
        <v>45756.37520833333</v>
      </c>
      <c r="C2126" s="1" t="n">
        <v>46114</v>
      </c>
      <c r="D2126" t="inlineStr">
        <is>
          <t>DALARNAS LÄN</t>
        </is>
      </c>
      <c r="E2126" t="inlineStr">
        <is>
          <t>MORA</t>
        </is>
      </c>
      <c r="F2126" t="inlineStr">
        <is>
          <t>Bergvik skog öst AB</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27791-2023</t>
        </is>
      </c>
      <c r="B2127" s="1" t="n">
        <v>45098</v>
      </c>
      <c r="C2127" s="1" t="n">
        <v>46114</v>
      </c>
      <c r="D2127" t="inlineStr">
        <is>
          <t>DALARNAS LÄN</t>
        </is>
      </c>
      <c r="E2127" t="inlineStr">
        <is>
          <t>LEKSAND</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54423-2024</t>
        </is>
      </c>
      <c r="B2128" s="1" t="n">
        <v>45617.4893287037</v>
      </c>
      <c r="C2128" s="1" t="n">
        <v>46114</v>
      </c>
      <c r="D2128" t="inlineStr">
        <is>
          <t>DALARNAS LÄN</t>
        </is>
      </c>
      <c r="E2128" t="inlineStr">
        <is>
          <t>VANSBRO</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52525-2022</t>
        </is>
      </c>
      <c r="B2129" s="1" t="n">
        <v>44874</v>
      </c>
      <c r="C2129" s="1" t="n">
        <v>46114</v>
      </c>
      <c r="D2129" t="inlineStr">
        <is>
          <t>DALARNAS LÄN</t>
        </is>
      </c>
      <c r="E2129" t="inlineStr">
        <is>
          <t>MORA</t>
        </is>
      </c>
      <c r="F2129" t="inlineStr">
        <is>
          <t>Bergvik skog öst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19685-2025</t>
        </is>
      </c>
      <c r="B2130" s="1" t="n">
        <v>45770.86954861111</v>
      </c>
      <c r="C2130" s="1" t="n">
        <v>46114</v>
      </c>
      <c r="D2130" t="inlineStr">
        <is>
          <t>DALARNAS LÄN</t>
        </is>
      </c>
      <c r="E2130" t="inlineStr">
        <is>
          <t>GAGNEF</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52801-2023</t>
        </is>
      </c>
      <c r="B2131" s="1" t="n">
        <v>45219</v>
      </c>
      <c r="C2131" s="1" t="n">
        <v>46114</v>
      </c>
      <c r="D2131" t="inlineStr">
        <is>
          <t>DALARNAS LÄN</t>
        </is>
      </c>
      <c r="E2131" t="inlineStr">
        <is>
          <t>LEKSAND</t>
        </is>
      </c>
      <c r="G2131" t="n">
        <v>4.9</v>
      </c>
      <c r="H2131" t="n">
        <v>0</v>
      </c>
      <c r="I2131" t="n">
        <v>0</v>
      </c>
      <c r="J2131" t="n">
        <v>0</v>
      </c>
      <c r="K2131" t="n">
        <v>0</v>
      </c>
      <c r="L2131" t="n">
        <v>0</v>
      </c>
      <c r="M2131" t="n">
        <v>0</v>
      </c>
      <c r="N2131" t="n">
        <v>0</v>
      </c>
      <c r="O2131" t="n">
        <v>0</v>
      </c>
      <c r="P2131" t="n">
        <v>0</v>
      </c>
      <c r="Q2131" t="n">
        <v>0</v>
      </c>
      <c r="R2131" s="2" t="inlineStr"/>
    </row>
    <row r="2132" ht="15" customHeight="1">
      <c r="A2132" t="inlineStr">
        <is>
          <t>A 49043-2024</t>
        </is>
      </c>
      <c r="B2132" s="1" t="n">
        <v>45594.5666550926</v>
      </c>
      <c r="C2132" s="1" t="n">
        <v>46114</v>
      </c>
      <c r="D2132" t="inlineStr">
        <is>
          <t>DALARNAS LÄN</t>
        </is>
      </c>
      <c r="E2132" t="inlineStr">
        <is>
          <t>LUDVIKA</t>
        </is>
      </c>
      <c r="F2132" t="inlineStr">
        <is>
          <t>Naturvårdsverket</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4856-2024</t>
        </is>
      </c>
      <c r="B2133" s="1" t="n">
        <v>45329</v>
      </c>
      <c r="C2133" s="1" t="n">
        <v>46114</v>
      </c>
      <c r="D2133" t="inlineStr">
        <is>
          <t>DALARNAS LÄN</t>
        </is>
      </c>
      <c r="E2133" t="inlineStr">
        <is>
          <t>FALUN</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2469-2025</t>
        </is>
      </c>
      <c r="B2134" s="1" t="n">
        <v>45674.473125</v>
      </c>
      <c r="C2134" s="1" t="n">
        <v>46114</v>
      </c>
      <c r="D2134" t="inlineStr">
        <is>
          <t>DALARNAS LÄN</t>
        </is>
      </c>
      <c r="E2134" t="inlineStr">
        <is>
          <t>MALUNG-SÄLEN</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9781-2024</t>
        </is>
      </c>
      <c r="B2135" s="1" t="n">
        <v>45362.66299768518</v>
      </c>
      <c r="C2135" s="1" t="n">
        <v>46114</v>
      </c>
      <c r="D2135" t="inlineStr">
        <is>
          <t>DALARNAS LÄN</t>
        </is>
      </c>
      <c r="E2135" t="inlineStr">
        <is>
          <t>LEKSAND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24732-2023</t>
        </is>
      </c>
      <c r="B2136" s="1" t="n">
        <v>45084.57900462963</v>
      </c>
      <c r="C2136" s="1" t="n">
        <v>46114</v>
      </c>
      <c r="D2136" t="inlineStr">
        <is>
          <t>DALARNAS LÄN</t>
        </is>
      </c>
      <c r="E2136" t="inlineStr">
        <is>
          <t>FALUN</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58835-2024</t>
        </is>
      </c>
      <c r="B2137" s="1" t="n">
        <v>45636.37861111111</v>
      </c>
      <c r="C2137" s="1" t="n">
        <v>46114</v>
      </c>
      <c r="D2137" t="inlineStr">
        <is>
          <t>DALARNAS LÄN</t>
        </is>
      </c>
      <c r="E2137" t="inlineStr">
        <is>
          <t>RÄTTVIK</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25172-2022</t>
        </is>
      </c>
      <c r="B2138" s="1" t="n">
        <v>44729.58356481481</v>
      </c>
      <c r="C2138" s="1" t="n">
        <v>46114</v>
      </c>
      <c r="D2138" t="inlineStr">
        <is>
          <t>DALARNAS LÄN</t>
        </is>
      </c>
      <c r="E2138" t="inlineStr">
        <is>
          <t>ORSA</t>
        </is>
      </c>
      <c r="F2138" t="inlineStr">
        <is>
          <t>Bergvik skog öst AB</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48390-2024</t>
        </is>
      </c>
      <c r="B2139" s="1" t="n">
        <v>45590.60216435185</v>
      </c>
      <c r="C2139" s="1" t="n">
        <v>46114</v>
      </c>
      <c r="D2139" t="inlineStr">
        <is>
          <t>DALARNAS LÄN</t>
        </is>
      </c>
      <c r="E2139" t="inlineStr">
        <is>
          <t>MORA</t>
        </is>
      </c>
      <c r="G2139" t="n">
        <v>5</v>
      </c>
      <c r="H2139" t="n">
        <v>0</v>
      </c>
      <c r="I2139" t="n">
        <v>0</v>
      </c>
      <c r="J2139" t="n">
        <v>0</v>
      </c>
      <c r="K2139" t="n">
        <v>0</v>
      </c>
      <c r="L2139" t="n">
        <v>0</v>
      </c>
      <c r="M2139" t="n">
        <v>0</v>
      </c>
      <c r="N2139" t="n">
        <v>0</v>
      </c>
      <c r="O2139" t="n">
        <v>0</v>
      </c>
      <c r="P2139" t="n">
        <v>0</v>
      </c>
      <c r="Q2139" t="n">
        <v>0</v>
      </c>
      <c r="R2139" s="2" t="inlineStr"/>
    </row>
    <row r="2140" ht="15" customHeight="1">
      <c r="A2140" t="inlineStr">
        <is>
          <t>A 71817-2021</t>
        </is>
      </c>
      <c r="B2140" s="1" t="n">
        <v>44543.59780092593</v>
      </c>
      <c r="C2140" s="1" t="n">
        <v>46114</v>
      </c>
      <c r="D2140" t="inlineStr">
        <is>
          <t>DALARNAS LÄN</t>
        </is>
      </c>
      <c r="E2140" t="inlineStr">
        <is>
          <t>LEKSAND</t>
        </is>
      </c>
      <c r="F2140" t="inlineStr">
        <is>
          <t>Bergvik skog väst AB</t>
        </is>
      </c>
      <c r="G2140" t="n">
        <v>3</v>
      </c>
      <c r="H2140" t="n">
        <v>0</v>
      </c>
      <c r="I2140" t="n">
        <v>0</v>
      </c>
      <c r="J2140" t="n">
        <v>0</v>
      </c>
      <c r="K2140" t="n">
        <v>0</v>
      </c>
      <c r="L2140" t="n">
        <v>0</v>
      </c>
      <c r="M2140" t="n">
        <v>0</v>
      </c>
      <c r="N2140" t="n">
        <v>0</v>
      </c>
      <c r="O2140" t="n">
        <v>0</v>
      </c>
      <c r="P2140" t="n">
        <v>0</v>
      </c>
      <c r="Q2140" t="n">
        <v>0</v>
      </c>
      <c r="R2140" s="2" t="inlineStr"/>
    </row>
    <row r="2141" ht="15" customHeight="1">
      <c r="A2141" t="inlineStr">
        <is>
          <t>A 29820-2023</t>
        </is>
      </c>
      <c r="B2141" s="1" t="n">
        <v>45107.56135416667</v>
      </c>
      <c r="C2141" s="1" t="n">
        <v>46114</v>
      </c>
      <c r="D2141" t="inlineStr">
        <is>
          <t>DALARNAS LÄN</t>
        </is>
      </c>
      <c r="E2141" t="inlineStr">
        <is>
          <t>SMEDJEBACKEN</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30889-2024</t>
        </is>
      </c>
      <c r="B2142" s="1" t="n">
        <v>45498.40660879629</v>
      </c>
      <c r="C2142" s="1" t="n">
        <v>46114</v>
      </c>
      <c r="D2142" t="inlineStr">
        <is>
          <t>DALARNAS LÄN</t>
        </is>
      </c>
      <c r="E2142" t="inlineStr">
        <is>
          <t>VANSBRO</t>
        </is>
      </c>
      <c r="F2142" t="inlineStr">
        <is>
          <t>Bergvik skog öst AB</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30175-2023</t>
        </is>
      </c>
      <c r="B2143" s="1" t="n">
        <v>45110</v>
      </c>
      <c r="C2143" s="1" t="n">
        <v>46114</v>
      </c>
      <c r="D2143" t="inlineStr">
        <is>
          <t>DALARNAS LÄN</t>
        </is>
      </c>
      <c r="E2143" t="inlineStr">
        <is>
          <t>LEKSAND</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28415-2021</t>
        </is>
      </c>
      <c r="B2144" s="1" t="n">
        <v>44356.49241898148</v>
      </c>
      <c r="C2144" s="1" t="n">
        <v>46114</v>
      </c>
      <c r="D2144" t="inlineStr">
        <is>
          <t>DALARNAS LÄN</t>
        </is>
      </c>
      <c r="E2144" t="inlineStr">
        <is>
          <t>MALUNG-SÄLEN</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2929-2022</t>
        </is>
      </c>
      <c r="B2145" s="1" t="n">
        <v>44581.60393518519</v>
      </c>
      <c r="C2145" s="1" t="n">
        <v>46114</v>
      </c>
      <c r="D2145" t="inlineStr">
        <is>
          <t>DALARNAS LÄN</t>
        </is>
      </c>
      <c r="E2145" t="inlineStr">
        <is>
          <t>SÄTER</t>
        </is>
      </c>
      <c r="G2145" t="n">
        <v>7</v>
      </c>
      <c r="H2145" t="n">
        <v>0</v>
      </c>
      <c r="I2145" t="n">
        <v>0</v>
      </c>
      <c r="J2145" t="n">
        <v>0</v>
      </c>
      <c r="K2145" t="n">
        <v>0</v>
      </c>
      <c r="L2145" t="n">
        <v>0</v>
      </c>
      <c r="M2145" t="n">
        <v>0</v>
      </c>
      <c r="N2145" t="n">
        <v>0</v>
      </c>
      <c r="O2145" t="n">
        <v>0</v>
      </c>
      <c r="P2145" t="n">
        <v>0</v>
      </c>
      <c r="Q2145" t="n">
        <v>0</v>
      </c>
      <c r="R2145" s="2" t="inlineStr"/>
    </row>
    <row r="2146" ht="15" customHeight="1">
      <c r="A2146" t="inlineStr">
        <is>
          <t>A 35008-2024</t>
        </is>
      </c>
      <c r="B2146" s="1" t="n">
        <v>45527</v>
      </c>
      <c r="C2146" s="1" t="n">
        <v>46114</v>
      </c>
      <c r="D2146" t="inlineStr">
        <is>
          <t>DALARNAS LÄN</t>
        </is>
      </c>
      <c r="E2146" t="inlineStr">
        <is>
          <t>SMEDJEBACKEN</t>
        </is>
      </c>
      <c r="F2146" t="inlineStr">
        <is>
          <t>Bergvik skog väst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29850-2022</t>
        </is>
      </c>
      <c r="B2147" s="1" t="n">
        <v>44755</v>
      </c>
      <c r="C2147" s="1" t="n">
        <v>46114</v>
      </c>
      <c r="D2147" t="inlineStr">
        <is>
          <t>DALARNAS LÄN</t>
        </is>
      </c>
      <c r="E2147" t="inlineStr">
        <is>
          <t>FALUN</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11617-2024</t>
        </is>
      </c>
      <c r="B2148" s="1" t="n">
        <v>45373.42898148148</v>
      </c>
      <c r="C2148" s="1" t="n">
        <v>46114</v>
      </c>
      <c r="D2148" t="inlineStr">
        <is>
          <t>DALARNAS LÄN</t>
        </is>
      </c>
      <c r="E2148" t="inlineStr">
        <is>
          <t>LEKSAND</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62368-2023</t>
        </is>
      </c>
      <c r="B2149" s="1" t="n">
        <v>45268</v>
      </c>
      <c r="C2149" s="1" t="n">
        <v>46114</v>
      </c>
      <c r="D2149" t="inlineStr">
        <is>
          <t>DALARNAS LÄN</t>
        </is>
      </c>
      <c r="E2149" t="inlineStr">
        <is>
          <t>SÄTER</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59101-2024</t>
        </is>
      </c>
      <c r="B2150" s="1" t="n">
        <v>45637.34074074074</v>
      </c>
      <c r="C2150" s="1" t="n">
        <v>46114</v>
      </c>
      <c r="D2150" t="inlineStr">
        <is>
          <t>DALARNAS LÄN</t>
        </is>
      </c>
      <c r="E2150" t="inlineStr">
        <is>
          <t>MORA</t>
        </is>
      </c>
      <c r="F2150" t="inlineStr">
        <is>
          <t>Allmännings- och besparingsskogar</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59103-2024</t>
        </is>
      </c>
      <c r="B2151" s="1" t="n">
        <v>45637.34184027778</v>
      </c>
      <c r="C2151" s="1" t="n">
        <v>46114</v>
      </c>
      <c r="D2151" t="inlineStr">
        <is>
          <t>DALARNAS LÄN</t>
        </is>
      </c>
      <c r="E2151" t="inlineStr">
        <is>
          <t>LEKSAND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72284-2021</t>
        </is>
      </c>
      <c r="B2152" s="1" t="n">
        <v>44545.36940972223</v>
      </c>
      <c r="C2152" s="1" t="n">
        <v>46114</v>
      </c>
      <c r="D2152" t="inlineStr">
        <is>
          <t>DALARNAS LÄN</t>
        </is>
      </c>
      <c r="E2152" t="inlineStr">
        <is>
          <t>ORSA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56715-2023</t>
        </is>
      </c>
      <c r="B2153" s="1" t="n">
        <v>45244.32862268519</v>
      </c>
      <c r="C2153" s="1" t="n">
        <v>46114</v>
      </c>
      <c r="D2153" t="inlineStr">
        <is>
          <t>DALARNAS LÄN</t>
        </is>
      </c>
      <c r="E2153" t="inlineStr">
        <is>
          <t>MALUNG-SÄLEN</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53718-2022</t>
        </is>
      </c>
      <c r="B2154" s="1" t="n">
        <v>44880.39084490741</v>
      </c>
      <c r="C2154" s="1" t="n">
        <v>46114</v>
      </c>
      <c r="D2154" t="inlineStr">
        <is>
          <t>DALARNAS LÄN</t>
        </is>
      </c>
      <c r="E2154" t="inlineStr">
        <is>
          <t>SMEDJEBACKEN</t>
        </is>
      </c>
      <c r="F2154" t="inlineStr">
        <is>
          <t>Sveaskog</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48922-2024</t>
        </is>
      </c>
      <c r="B2155" s="1" t="n">
        <v>45594.37241898148</v>
      </c>
      <c r="C2155" s="1" t="n">
        <v>46114</v>
      </c>
      <c r="D2155" t="inlineStr">
        <is>
          <t>DALARNAS LÄN</t>
        </is>
      </c>
      <c r="E2155" t="inlineStr">
        <is>
          <t>LUDVIKA</t>
        </is>
      </c>
      <c r="F2155" t="inlineStr">
        <is>
          <t>Bergvik skog väst AB</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41435-2023</t>
        </is>
      </c>
      <c r="B2156" s="1" t="n">
        <v>45170</v>
      </c>
      <c r="C2156" s="1" t="n">
        <v>46114</v>
      </c>
      <c r="D2156" t="inlineStr">
        <is>
          <t>DALARNAS LÄN</t>
        </is>
      </c>
      <c r="E2156" t="inlineStr">
        <is>
          <t>HEDEMORA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34853-2024</t>
        </is>
      </c>
      <c r="B2157" s="1" t="n">
        <v>45527.32375</v>
      </c>
      <c r="C2157" s="1" t="n">
        <v>46114</v>
      </c>
      <c r="D2157" t="inlineStr">
        <is>
          <t>DALARNAS LÄN</t>
        </is>
      </c>
      <c r="E2157" t="inlineStr">
        <is>
          <t>GAGNEF</t>
        </is>
      </c>
      <c r="F2157" t="inlineStr">
        <is>
          <t>Bergvik skog väst AB</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45706-2024</t>
        </is>
      </c>
      <c r="B2158" s="1" t="n">
        <v>45579.57643518518</v>
      </c>
      <c r="C2158" s="1" t="n">
        <v>46114</v>
      </c>
      <c r="D2158" t="inlineStr">
        <is>
          <t>DALARNAS LÄN</t>
        </is>
      </c>
      <c r="E2158" t="inlineStr">
        <is>
          <t>GAGNEF</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11442-2022</t>
        </is>
      </c>
      <c r="B2159" s="1" t="n">
        <v>44630.62788194444</v>
      </c>
      <c r="C2159" s="1" t="n">
        <v>46114</v>
      </c>
      <c r="D2159" t="inlineStr">
        <is>
          <t>DALARNAS LÄN</t>
        </is>
      </c>
      <c r="E2159" t="inlineStr">
        <is>
          <t>MORA</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38117-2023</t>
        </is>
      </c>
      <c r="B2160" s="1" t="n">
        <v>45161</v>
      </c>
      <c r="C2160" s="1" t="n">
        <v>46114</v>
      </c>
      <c r="D2160" t="inlineStr">
        <is>
          <t>DALARNAS LÄN</t>
        </is>
      </c>
      <c r="E2160" t="inlineStr">
        <is>
          <t>LEKSAND</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16105-2024</t>
        </is>
      </c>
      <c r="B2161" s="1" t="n">
        <v>45406.45538194444</v>
      </c>
      <c r="C2161" s="1" t="n">
        <v>46114</v>
      </c>
      <c r="D2161" t="inlineStr">
        <is>
          <t>DALARNAS LÄN</t>
        </is>
      </c>
      <c r="E2161" t="inlineStr">
        <is>
          <t>RÄTTVIK</t>
        </is>
      </c>
      <c r="G2161" t="n">
        <v>11.4</v>
      </c>
      <c r="H2161" t="n">
        <v>0</v>
      </c>
      <c r="I2161" t="n">
        <v>0</v>
      </c>
      <c r="J2161" t="n">
        <v>0</v>
      </c>
      <c r="K2161" t="n">
        <v>0</v>
      </c>
      <c r="L2161" t="n">
        <v>0</v>
      </c>
      <c r="M2161" t="n">
        <v>0</v>
      </c>
      <c r="N2161" t="n">
        <v>0</v>
      </c>
      <c r="O2161" t="n">
        <v>0</v>
      </c>
      <c r="P2161" t="n">
        <v>0</v>
      </c>
      <c r="Q2161" t="n">
        <v>0</v>
      </c>
      <c r="R2161" s="2" t="inlineStr"/>
    </row>
    <row r="2162" ht="15" customHeight="1">
      <c r="A2162" t="inlineStr">
        <is>
          <t>A 30162-2024</t>
        </is>
      </c>
      <c r="B2162" s="1" t="n">
        <v>45489.65583333333</v>
      </c>
      <c r="C2162" s="1" t="n">
        <v>46114</v>
      </c>
      <c r="D2162" t="inlineStr">
        <is>
          <t>DALARNAS LÄN</t>
        </is>
      </c>
      <c r="E2162" t="inlineStr">
        <is>
          <t>BORLÄNGE</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62306-2023</t>
        </is>
      </c>
      <c r="B2163" s="1" t="n">
        <v>45266</v>
      </c>
      <c r="C2163" s="1" t="n">
        <v>46114</v>
      </c>
      <c r="D2163" t="inlineStr">
        <is>
          <t>DALARNAS LÄN</t>
        </is>
      </c>
      <c r="E2163" t="inlineStr">
        <is>
          <t>LEKSAND</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41439-2022</t>
        </is>
      </c>
      <c r="B2164" s="1" t="n">
        <v>44826</v>
      </c>
      <c r="C2164" s="1" t="n">
        <v>46114</v>
      </c>
      <c r="D2164" t="inlineStr">
        <is>
          <t>DALARNAS LÄN</t>
        </is>
      </c>
      <c r="E2164" t="inlineStr">
        <is>
          <t>FALUN</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3818-2025</t>
        </is>
      </c>
      <c r="B2165" s="1" t="n">
        <v>45681.70396990741</v>
      </c>
      <c r="C2165" s="1" t="n">
        <v>46114</v>
      </c>
      <c r="D2165" t="inlineStr">
        <is>
          <t>DALARNAS LÄN</t>
        </is>
      </c>
      <c r="E2165" t="inlineStr">
        <is>
          <t>GAGNEF</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3819-2025</t>
        </is>
      </c>
      <c r="B2166" s="1" t="n">
        <v>45681.7072337963</v>
      </c>
      <c r="C2166" s="1" t="n">
        <v>46114</v>
      </c>
      <c r="D2166" t="inlineStr">
        <is>
          <t>DALARNAS LÄN</t>
        </is>
      </c>
      <c r="E2166" t="inlineStr">
        <is>
          <t>GAGNEF</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3822-2025</t>
        </is>
      </c>
      <c r="B2167" s="1" t="n">
        <v>45681.7166087963</v>
      </c>
      <c r="C2167" s="1" t="n">
        <v>46114</v>
      </c>
      <c r="D2167" t="inlineStr">
        <is>
          <t>DALARNAS LÄN</t>
        </is>
      </c>
      <c r="E2167" t="inlineStr">
        <is>
          <t>GAGNEF</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51675-2022</t>
        </is>
      </c>
      <c r="B2168" s="1" t="n">
        <v>44867</v>
      </c>
      <c r="C2168" s="1" t="n">
        <v>46114</v>
      </c>
      <c r="D2168" t="inlineStr">
        <is>
          <t>DALARNAS LÄN</t>
        </is>
      </c>
      <c r="E2168" t="inlineStr">
        <is>
          <t>MALUNG-SÄLEN</t>
        </is>
      </c>
      <c r="G2168" t="n">
        <v>0.1</v>
      </c>
      <c r="H2168" t="n">
        <v>0</v>
      </c>
      <c r="I2168" t="n">
        <v>0</v>
      </c>
      <c r="J2168" t="n">
        <v>0</v>
      </c>
      <c r="K2168" t="n">
        <v>0</v>
      </c>
      <c r="L2168" t="n">
        <v>0</v>
      </c>
      <c r="M2168" t="n">
        <v>0</v>
      </c>
      <c r="N2168" t="n">
        <v>0</v>
      </c>
      <c r="O2168" t="n">
        <v>0</v>
      </c>
      <c r="P2168" t="n">
        <v>0</v>
      </c>
      <c r="Q2168" t="n">
        <v>0</v>
      </c>
      <c r="R2168" s="2" t="inlineStr"/>
    </row>
    <row r="2169" ht="15" customHeight="1">
      <c r="A2169" t="inlineStr">
        <is>
          <t>A 15393-2023</t>
        </is>
      </c>
      <c r="B2169" s="1" t="n">
        <v>45016</v>
      </c>
      <c r="C2169" s="1" t="n">
        <v>46114</v>
      </c>
      <c r="D2169" t="inlineStr">
        <is>
          <t>DALARNAS LÄN</t>
        </is>
      </c>
      <c r="E2169" t="inlineStr">
        <is>
          <t>BORLÄNGE</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33426-2024</t>
        </is>
      </c>
      <c r="B2170" s="1" t="n">
        <v>45519.51989583333</v>
      </c>
      <c r="C2170" s="1" t="n">
        <v>46114</v>
      </c>
      <c r="D2170" t="inlineStr">
        <is>
          <t>DALARNAS LÄN</t>
        </is>
      </c>
      <c r="E2170" t="inlineStr">
        <is>
          <t>MALUNG-SÄLEN</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55778-2021</t>
        </is>
      </c>
      <c r="B2171" s="1" t="n">
        <v>44476</v>
      </c>
      <c r="C2171" s="1" t="n">
        <v>46114</v>
      </c>
      <c r="D2171" t="inlineStr">
        <is>
          <t>DALARNAS LÄN</t>
        </is>
      </c>
      <c r="E2171" t="inlineStr">
        <is>
          <t>ÄLVDALEN</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58778-2023</t>
        </is>
      </c>
      <c r="B2172" s="1" t="n">
        <v>45252</v>
      </c>
      <c r="C2172" s="1" t="n">
        <v>46114</v>
      </c>
      <c r="D2172" t="inlineStr">
        <is>
          <t>DALARNAS LÄN</t>
        </is>
      </c>
      <c r="E2172" t="inlineStr">
        <is>
          <t>SMEDJEBACKEN</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13812-2023</t>
        </is>
      </c>
      <c r="B2173" s="1" t="n">
        <v>45007</v>
      </c>
      <c r="C2173" s="1" t="n">
        <v>46114</v>
      </c>
      <c r="D2173" t="inlineStr">
        <is>
          <t>DALARNAS LÄN</t>
        </is>
      </c>
      <c r="E2173" t="inlineStr">
        <is>
          <t>MALUNG-SÄLEN</t>
        </is>
      </c>
      <c r="G2173" t="n">
        <v>18.7</v>
      </c>
      <c r="H2173" t="n">
        <v>0</v>
      </c>
      <c r="I2173" t="n">
        <v>0</v>
      </c>
      <c r="J2173" t="n">
        <v>0</v>
      </c>
      <c r="K2173" t="n">
        <v>0</v>
      </c>
      <c r="L2173" t="n">
        <v>0</v>
      </c>
      <c r="M2173" t="n">
        <v>0</v>
      </c>
      <c r="N2173" t="n">
        <v>0</v>
      </c>
      <c r="O2173" t="n">
        <v>0</v>
      </c>
      <c r="P2173" t="n">
        <v>0</v>
      </c>
      <c r="Q2173" t="n">
        <v>0</v>
      </c>
      <c r="R2173" s="2" t="inlineStr"/>
    </row>
    <row r="2174" ht="15" customHeight="1">
      <c r="A2174" t="inlineStr">
        <is>
          <t>A 59763-2023</t>
        </is>
      </c>
      <c r="B2174" s="1" t="n">
        <v>45257</v>
      </c>
      <c r="C2174" s="1" t="n">
        <v>46114</v>
      </c>
      <c r="D2174" t="inlineStr">
        <is>
          <t>DALARNAS LÄN</t>
        </is>
      </c>
      <c r="E2174" t="inlineStr">
        <is>
          <t>LEKSAND</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39096-2021</t>
        </is>
      </c>
      <c r="B2175" s="1" t="n">
        <v>44412</v>
      </c>
      <c r="C2175" s="1" t="n">
        <v>46114</v>
      </c>
      <c r="D2175" t="inlineStr">
        <is>
          <t>DALARNAS LÄN</t>
        </is>
      </c>
      <c r="E2175" t="inlineStr">
        <is>
          <t>FALUN</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34030-2024</t>
        </is>
      </c>
      <c r="B2176" s="1" t="n">
        <v>45523.59195601852</v>
      </c>
      <c r="C2176" s="1" t="n">
        <v>46114</v>
      </c>
      <c r="D2176" t="inlineStr">
        <is>
          <t>DALARNAS LÄN</t>
        </is>
      </c>
      <c r="E2176" t="inlineStr">
        <is>
          <t>RÄTTVIK</t>
        </is>
      </c>
      <c r="F2176" t="inlineStr">
        <is>
          <t>Bergvik skog väst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56459-2022</t>
        </is>
      </c>
      <c r="B2177" s="1" t="n">
        <v>44893.3391550926</v>
      </c>
      <c r="C2177" s="1" t="n">
        <v>46114</v>
      </c>
      <c r="D2177" t="inlineStr">
        <is>
          <t>DALARNAS LÄN</t>
        </is>
      </c>
      <c r="E2177" t="inlineStr">
        <is>
          <t>RÄTTVIK</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49496-2024</t>
        </is>
      </c>
      <c r="B2178" s="1" t="n">
        <v>45596.36693287037</v>
      </c>
      <c r="C2178" s="1" t="n">
        <v>46114</v>
      </c>
      <c r="D2178" t="inlineStr">
        <is>
          <t>DALARNAS LÄN</t>
        </is>
      </c>
      <c r="E2178" t="inlineStr">
        <is>
          <t>RÄTTVIK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19992-2023</t>
        </is>
      </c>
      <c r="B2179" s="1" t="n">
        <v>45054.61501157407</v>
      </c>
      <c r="C2179" s="1" t="n">
        <v>46114</v>
      </c>
      <c r="D2179" t="inlineStr">
        <is>
          <t>DALARNAS LÄN</t>
        </is>
      </c>
      <c r="E2179" t="inlineStr">
        <is>
          <t>ÄLVDALEN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33674-2023</t>
        </is>
      </c>
      <c r="B2180" s="1" t="n">
        <v>45132</v>
      </c>
      <c r="C2180" s="1" t="n">
        <v>46114</v>
      </c>
      <c r="D2180" t="inlineStr">
        <is>
          <t>DALARNAS LÄN</t>
        </is>
      </c>
      <c r="E2180" t="inlineStr">
        <is>
          <t>LEKSAND</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31954-2024</t>
        </is>
      </c>
      <c r="B2181" s="1" t="n">
        <v>45510.47663194445</v>
      </c>
      <c r="C2181" s="1" t="n">
        <v>46114</v>
      </c>
      <c r="D2181" t="inlineStr">
        <is>
          <t>DALARNAS LÄN</t>
        </is>
      </c>
      <c r="E2181" t="inlineStr">
        <is>
          <t>MALUNG-SÄLEN</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31959-2024</t>
        </is>
      </c>
      <c r="B2182" s="1" t="n">
        <v>45510.52006944444</v>
      </c>
      <c r="C2182" s="1" t="n">
        <v>46114</v>
      </c>
      <c r="D2182" t="inlineStr">
        <is>
          <t>DALARNAS LÄN</t>
        </is>
      </c>
      <c r="E2182" t="inlineStr">
        <is>
          <t>AVESTA</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31971-2024</t>
        </is>
      </c>
      <c r="B2183" s="1" t="n">
        <v>45510.55171296297</v>
      </c>
      <c r="C2183" s="1" t="n">
        <v>46114</v>
      </c>
      <c r="D2183" t="inlineStr">
        <is>
          <t>DALARNAS LÄN</t>
        </is>
      </c>
      <c r="E2183" t="inlineStr">
        <is>
          <t>LEKSAND</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57746-2022</t>
        </is>
      </c>
      <c r="B2184" s="1" t="n">
        <v>44897.58142361111</v>
      </c>
      <c r="C2184" s="1" t="n">
        <v>46114</v>
      </c>
      <c r="D2184" t="inlineStr">
        <is>
          <t>DALARNAS LÄN</t>
        </is>
      </c>
      <c r="E2184" t="inlineStr">
        <is>
          <t>MALUNG-SÄLEN</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48214-2023</t>
        </is>
      </c>
      <c r="B2185" s="1" t="n">
        <v>45205.48114583334</v>
      </c>
      <c r="C2185" s="1" t="n">
        <v>46114</v>
      </c>
      <c r="D2185" t="inlineStr">
        <is>
          <t>DALARNAS LÄN</t>
        </is>
      </c>
      <c r="E2185" t="inlineStr">
        <is>
          <t>SMEDJEBACKEN</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46165-2021</t>
        </is>
      </c>
      <c r="B2186" s="1" t="n">
        <v>44442</v>
      </c>
      <c r="C2186" s="1" t="n">
        <v>46114</v>
      </c>
      <c r="D2186" t="inlineStr">
        <is>
          <t>DALARNAS LÄN</t>
        </is>
      </c>
      <c r="E2186" t="inlineStr">
        <is>
          <t>VANSBRO</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13568-2024</t>
        </is>
      </c>
      <c r="B2187" s="1" t="n">
        <v>45389.33204861111</v>
      </c>
      <c r="C2187" s="1" t="n">
        <v>46114</v>
      </c>
      <c r="D2187" t="inlineStr">
        <is>
          <t>DALARNAS LÄN</t>
        </is>
      </c>
      <c r="E2187" t="inlineStr">
        <is>
          <t>FALUN</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20513-2023</t>
        </is>
      </c>
      <c r="B2188" s="1" t="n">
        <v>45057.46729166667</v>
      </c>
      <c r="C2188" s="1" t="n">
        <v>46114</v>
      </c>
      <c r="D2188" t="inlineStr">
        <is>
          <t>DALARNAS LÄN</t>
        </is>
      </c>
      <c r="E2188" t="inlineStr">
        <is>
          <t>GAGNEF</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49938-2023</t>
        </is>
      </c>
      <c r="B2189" s="1" t="n">
        <v>45215</v>
      </c>
      <c r="C2189" s="1" t="n">
        <v>46114</v>
      </c>
      <c r="D2189" t="inlineStr">
        <is>
          <t>DALARNAS LÄN</t>
        </is>
      </c>
      <c r="E2189" t="inlineStr">
        <is>
          <t>BORLÄNGE</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8068-2024</t>
        </is>
      </c>
      <c r="B2190" s="1" t="n">
        <v>45351.41524305556</v>
      </c>
      <c r="C2190" s="1" t="n">
        <v>46114</v>
      </c>
      <c r="D2190" t="inlineStr">
        <is>
          <t>DALARNAS LÄN</t>
        </is>
      </c>
      <c r="E2190" t="inlineStr">
        <is>
          <t>MORA</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46887-2024</t>
        </is>
      </c>
      <c r="B2191" s="1" t="n">
        <v>45583.66347222222</v>
      </c>
      <c r="C2191" s="1" t="n">
        <v>46114</v>
      </c>
      <c r="D2191" t="inlineStr">
        <is>
          <t>DALARNAS LÄN</t>
        </is>
      </c>
      <c r="E2191" t="inlineStr">
        <is>
          <t>MALUNG-SÄLEN</t>
        </is>
      </c>
      <c r="F2191" t="inlineStr">
        <is>
          <t>Bergvik skog väst AB</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49944-2023</t>
        </is>
      </c>
      <c r="B2192" s="1" t="n">
        <v>45215.36112268519</v>
      </c>
      <c r="C2192" s="1" t="n">
        <v>46114</v>
      </c>
      <c r="D2192" t="inlineStr">
        <is>
          <t>DALARNAS LÄN</t>
        </is>
      </c>
      <c r="E2192" t="inlineStr">
        <is>
          <t>RÄTTVIK</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36040-2023</t>
        </is>
      </c>
      <c r="B2193" s="1" t="n">
        <v>45148</v>
      </c>
      <c r="C2193" s="1" t="n">
        <v>46114</v>
      </c>
      <c r="D2193" t="inlineStr">
        <is>
          <t>DALARNAS LÄN</t>
        </is>
      </c>
      <c r="E2193" t="inlineStr">
        <is>
          <t>RÄTTVIK</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8100-2024</t>
        </is>
      </c>
      <c r="B2194" s="1" t="n">
        <v>45351.46583333334</v>
      </c>
      <c r="C2194" s="1" t="n">
        <v>46114</v>
      </c>
      <c r="D2194" t="inlineStr">
        <is>
          <t>DALARNAS LÄN</t>
        </is>
      </c>
      <c r="E2194" t="inlineStr">
        <is>
          <t>MORA</t>
        </is>
      </c>
      <c r="G2194" t="n">
        <v>3.2</v>
      </c>
      <c r="H2194" t="n">
        <v>0</v>
      </c>
      <c r="I2194" t="n">
        <v>0</v>
      </c>
      <c r="J2194" t="n">
        <v>0</v>
      </c>
      <c r="K2194" t="n">
        <v>0</v>
      </c>
      <c r="L2194" t="n">
        <v>0</v>
      </c>
      <c r="M2194" t="n">
        <v>0</v>
      </c>
      <c r="N2194" t="n">
        <v>0</v>
      </c>
      <c r="O2194" t="n">
        <v>0</v>
      </c>
      <c r="P2194" t="n">
        <v>0</v>
      </c>
      <c r="Q2194" t="n">
        <v>0</v>
      </c>
      <c r="R2194" s="2" t="inlineStr"/>
    </row>
    <row r="2195" ht="15" customHeight="1">
      <c r="A2195" t="inlineStr">
        <is>
          <t>A 8162-2024</t>
        </is>
      </c>
      <c r="B2195" s="1" t="n">
        <v>45349</v>
      </c>
      <c r="C2195" s="1" t="n">
        <v>46114</v>
      </c>
      <c r="D2195" t="inlineStr">
        <is>
          <t>DALARNAS LÄN</t>
        </is>
      </c>
      <c r="E2195" t="inlineStr">
        <is>
          <t>LUDVIKA</t>
        </is>
      </c>
      <c r="F2195" t="inlineStr">
        <is>
          <t>Allmännings- och besparingsskogar</t>
        </is>
      </c>
      <c r="G2195" t="n">
        <v>6.9</v>
      </c>
      <c r="H2195" t="n">
        <v>0</v>
      </c>
      <c r="I2195" t="n">
        <v>0</v>
      </c>
      <c r="J2195" t="n">
        <v>0</v>
      </c>
      <c r="K2195" t="n">
        <v>0</v>
      </c>
      <c r="L2195" t="n">
        <v>0</v>
      </c>
      <c r="M2195" t="n">
        <v>0</v>
      </c>
      <c r="N2195" t="n">
        <v>0</v>
      </c>
      <c r="O2195" t="n">
        <v>0</v>
      </c>
      <c r="P2195" t="n">
        <v>0</v>
      </c>
      <c r="Q2195" t="n">
        <v>0</v>
      </c>
      <c r="R2195" s="2" t="inlineStr"/>
      <c r="U2195">
        <f>HYPERLINK("https://klasma.github.io/Logging_2085/knärot/A 8162-2024 karta knärot.png", "A 8162-2024")</f>
        <v/>
      </c>
      <c r="V2195">
        <f>HYPERLINK("https://klasma.github.io/Logging_2085/klagomål/A 8162-2024 FSC-klagomål.docx", "A 8162-2024")</f>
        <v/>
      </c>
      <c r="W2195">
        <f>HYPERLINK("https://klasma.github.io/Logging_2085/klagomålsmail/A 8162-2024 FSC-klagomål mail.docx", "A 8162-2024")</f>
        <v/>
      </c>
      <c r="X2195">
        <f>HYPERLINK("https://klasma.github.io/Logging_2085/tillsyn/A 8162-2024 tillsynsbegäran.docx", "A 8162-2024")</f>
        <v/>
      </c>
      <c r="Y2195">
        <f>HYPERLINK("https://klasma.github.io/Logging_2085/tillsynsmail/A 8162-2024 tillsynsbegäran mail.docx", "A 8162-2024")</f>
        <v/>
      </c>
    </row>
    <row r="2196" ht="15" customHeight="1">
      <c r="A2196" t="inlineStr">
        <is>
          <t>A 43874-2024</t>
        </is>
      </c>
      <c r="B2196" s="1" t="n">
        <v>45572.38476851852</v>
      </c>
      <c r="C2196" s="1" t="n">
        <v>46114</v>
      </c>
      <c r="D2196" t="inlineStr">
        <is>
          <t>DALARNAS LÄN</t>
        </is>
      </c>
      <c r="E2196" t="inlineStr">
        <is>
          <t>MORA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23899-2023</t>
        </is>
      </c>
      <c r="B2197" s="1" t="n">
        <v>45078</v>
      </c>
      <c r="C2197" s="1" t="n">
        <v>46114</v>
      </c>
      <c r="D2197" t="inlineStr">
        <is>
          <t>DALARNAS LÄN</t>
        </is>
      </c>
      <c r="E2197" t="inlineStr">
        <is>
          <t>VANSBRO</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49904-2021</t>
        </is>
      </c>
      <c r="B2198" s="1" t="n">
        <v>44455.77041666667</v>
      </c>
      <c r="C2198" s="1" t="n">
        <v>46114</v>
      </c>
      <c r="D2198" t="inlineStr">
        <is>
          <t>DALARNAS LÄN</t>
        </is>
      </c>
      <c r="E2198" t="inlineStr">
        <is>
          <t>HEDEMORA</t>
        </is>
      </c>
      <c r="F2198" t="inlineStr">
        <is>
          <t>Sveaskog</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1590-2023</t>
        </is>
      </c>
      <c r="B2199" s="1" t="n">
        <v>44937</v>
      </c>
      <c r="C2199" s="1" t="n">
        <v>46114</v>
      </c>
      <c r="D2199" t="inlineStr">
        <is>
          <t>DALARNAS LÄN</t>
        </is>
      </c>
      <c r="E2199" t="inlineStr">
        <is>
          <t>MALUNG-SÄLEN</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18484-2024</t>
        </is>
      </c>
      <c r="B2200" s="1" t="n">
        <v>45425.52559027778</v>
      </c>
      <c r="C2200" s="1" t="n">
        <v>46114</v>
      </c>
      <c r="D2200" t="inlineStr">
        <is>
          <t>DALARNAS LÄN</t>
        </is>
      </c>
      <c r="E2200" t="inlineStr">
        <is>
          <t>LEKSAND</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18487-2024</t>
        </is>
      </c>
      <c r="B2201" s="1" t="n">
        <v>45425.5419212963</v>
      </c>
      <c r="C2201" s="1" t="n">
        <v>46114</v>
      </c>
      <c r="D2201" t="inlineStr">
        <is>
          <t>DALARNAS LÄN</t>
        </is>
      </c>
      <c r="E2201" t="inlineStr">
        <is>
          <t>RÄTTVIK</t>
        </is>
      </c>
      <c r="F2201" t="inlineStr">
        <is>
          <t>Sveaskog</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38422-2024</t>
        </is>
      </c>
      <c r="B2202" s="1" t="n">
        <v>45546.36997685185</v>
      </c>
      <c r="C2202" s="1" t="n">
        <v>46114</v>
      </c>
      <c r="D2202" t="inlineStr">
        <is>
          <t>DALARNAS LÄN</t>
        </is>
      </c>
      <c r="E2202" t="inlineStr">
        <is>
          <t>GAGNEF</t>
        </is>
      </c>
      <c r="F2202" t="inlineStr">
        <is>
          <t>Bergvik skog väst AB</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9037-2025</t>
        </is>
      </c>
      <c r="B2203" s="1" t="n">
        <v>45713.6208912037</v>
      </c>
      <c r="C2203" s="1" t="n">
        <v>46114</v>
      </c>
      <c r="D2203" t="inlineStr">
        <is>
          <t>DALARNAS LÄN</t>
        </is>
      </c>
      <c r="E2203" t="inlineStr">
        <is>
          <t>MALUNG-SÄLEN</t>
        </is>
      </c>
      <c r="G2203" t="n">
        <v>0.9</v>
      </c>
      <c r="H2203" t="n">
        <v>0</v>
      </c>
      <c r="I2203" t="n">
        <v>0</v>
      </c>
      <c r="J2203" t="n">
        <v>0</v>
      </c>
      <c r="K2203" t="n">
        <v>0</v>
      </c>
      <c r="L2203" t="n">
        <v>0</v>
      </c>
      <c r="M2203" t="n">
        <v>0</v>
      </c>
      <c r="N2203" t="n">
        <v>0</v>
      </c>
      <c r="O2203" t="n">
        <v>0</v>
      </c>
      <c r="P2203" t="n">
        <v>0</v>
      </c>
      <c r="Q2203" t="n">
        <v>0</v>
      </c>
      <c r="R2203" s="2" t="inlineStr"/>
    </row>
    <row r="2204" ht="15" customHeight="1">
      <c r="A2204" t="inlineStr">
        <is>
          <t>A 27615-2023</t>
        </is>
      </c>
      <c r="B2204" s="1" t="n">
        <v>45097</v>
      </c>
      <c r="C2204" s="1" t="n">
        <v>46114</v>
      </c>
      <c r="D2204" t="inlineStr">
        <is>
          <t>DALARNAS LÄN</t>
        </is>
      </c>
      <c r="E2204" t="inlineStr">
        <is>
          <t>ÄLVDALEN</t>
        </is>
      </c>
      <c r="F2204" t="inlineStr">
        <is>
          <t>Bergvik skog väst AB</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33024-2024</t>
        </is>
      </c>
      <c r="B2205" s="1" t="n">
        <v>45517.56828703704</v>
      </c>
      <c r="C2205" s="1" t="n">
        <v>46114</v>
      </c>
      <c r="D2205" t="inlineStr">
        <is>
          <t>DALARNAS LÄN</t>
        </is>
      </c>
      <c r="E2205" t="inlineStr">
        <is>
          <t>SMEDJEBACKEN</t>
        </is>
      </c>
      <c r="F2205" t="inlineStr">
        <is>
          <t>Övriga Aktiebolag</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36285-2024</t>
        </is>
      </c>
      <c r="B2206" s="1" t="n">
        <v>45534.59008101852</v>
      </c>
      <c r="C2206" s="1" t="n">
        <v>46114</v>
      </c>
      <c r="D2206" t="inlineStr">
        <is>
          <t>DALARNAS LÄN</t>
        </is>
      </c>
      <c r="E2206" t="inlineStr">
        <is>
          <t>ÄLVDALEN</t>
        </is>
      </c>
      <c r="G2206" t="n">
        <v>4.9</v>
      </c>
      <c r="H2206" t="n">
        <v>0</v>
      </c>
      <c r="I2206" t="n">
        <v>0</v>
      </c>
      <c r="J2206" t="n">
        <v>0</v>
      </c>
      <c r="K2206" t="n">
        <v>0</v>
      </c>
      <c r="L2206" t="n">
        <v>0</v>
      </c>
      <c r="M2206" t="n">
        <v>0</v>
      </c>
      <c r="N2206" t="n">
        <v>0</v>
      </c>
      <c r="O2206" t="n">
        <v>0</v>
      </c>
      <c r="P2206" t="n">
        <v>0</v>
      </c>
      <c r="Q2206" t="n">
        <v>0</v>
      </c>
      <c r="R2206" s="2" t="inlineStr"/>
    </row>
    <row r="2207" ht="15" customHeight="1">
      <c r="A2207" t="inlineStr">
        <is>
          <t>A 53048-2024</t>
        </is>
      </c>
      <c r="B2207" s="1" t="n">
        <v>45611.45319444445</v>
      </c>
      <c r="C2207" s="1" t="n">
        <v>46114</v>
      </c>
      <c r="D2207" t="inlineStr">
        <is>
          <t>DALARNAS LÄN</t>
        </is>
      </c>
      <c r="E2207" t="inlineStr">
        <is>
          <t>LUDVIKA</t>
        </is>
      </c>
      <c r="F2207" t="inlineStr">
        <is>
          <t>Bergvik skog väst AB</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41212-2022</t>
        </is>
      </c>
      <c r="B2208" s="1" t="n">
        <v>44826.2996875</v>
      </c>
      <c r="C2208" s="1" t="n">
        <v>46114</v>
      </c>
      <c r="D2208" t="inlineStr">
        <is>
          <t>DALARNAS LÄN</t>
        </is>
      </c>
      <c r="E2208" t="inlineStr">
        <is>
          <t>RÄTTVIK</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11418-2023</t>
        </is>
      </c>
      <c r="B2209" s="1" t="n">
        <v>44993</v>
      </c>
      <c r="C2209" s="1" t="n">
        <v>46114</v>
      </c>
      <c r="D2209" t="inlineStr">
        <is>
          <t>DALARNAS LÄN</t>
        </is>
      </c>
      <c r="E2209" t="inlineStr">
        <is>
          <t>LEKSAND</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44724-2024</t>
        </is>
      </c>
      <c r="B2210" s="1" t="n">
        <v>45574</v>
      </c>
      <c r="C2210" s="1" t="n">
        <v>46114</v>
      </c>
      <c r="D2210" t="inlineStr">
        <is>
          <t>DALARNAS LÄN</t>
        </is>
      </c>
      <c r="E2210" t="inlineStr">
        <is>
          <t>SÄTER</t>
        </is>
      </c>
      <c r="F2210" t="inlineStr">
        <is>
          <t>Bergvik skog väst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47839-2022</t>
        </is>
      </c>
      <c r="B2211" s="1" t="n">
        <v>44855</v>
      </c>
      <c r="C2211" s="1" t="n">
        <v>46114</v>
      </c>
      <c r="D2211" t="inlineStr">
        <is>
          <t>DALARNAS LÄN</t>
        </is>
      </c>
      <c r="E2211" t="inlineStr">
        <is>
          <t>SMEDJEBACKEN</t>
        </is>
      </c>
      <c r="F2211" t="inlineStr">
        <is>
          <t>Sveaskog</t>
        </is>
      </c>
      <c r="G2211" t="n">
        <v>6.1</v>
      </c>
      <c r="H2211" t="n">
        <v>0</v>
      </c>
      <c r="I2211" t="n">
        <v>0</v>
      </c>
      <c r="J2211" t="n">
        <v>0</v>
      </c>
      <c r="K2211" t="n">
        <v>0</v>
      </c>
      <c r="L2211" t="n">
        <v>0</v>
      </c>
      <c r="M2211" t="n">
        <v>0</v>
      </c>
      <c r="N2211" t="n">
        <v>0</v>
      </c>
      <c r="O2211" t="n">
        <v>0</v>
      </c>
      <c r="P2211" t="n">
        <v>0</v>
      </c>
      <c r="Q2211" t="n">
        <v>0</v>
      </c>
      <c r="R2211" s="2" t="inlineStr"/>
    </row>
    <row r="2212" ht="15" customHeight="1">
      <c r="A2212" t="inlineStr">
        <is>
          <t>A 40407-2024</t>
        </is>
      </c>
      <c r="B2212" s="1" t="n">
        <v>45555</v>
      </c>
      <c r="C2212" s="1" t="n">
        <v>46114</v>
      </c>
      <c r="D2212" t="inlineStr">
        <is>
          <t>DALARNAS LÄN</t>
        </is>
      </c>
      <c r="E2212" t="inlineStr">
        <is>
          <t>LEKSAND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40458-2024</t>
        </is>
      </c>
      <c r="B2213" s="1" t="n">
        <v>45555.5039699074</v>
      </c>
      <c r="C2213" s="1" t="n">
        <v>46114</v>
      </c>
      <c r="D2213" t="inlineStr">
        <is>
          <t>DALARNAS LÄN</t>
        </is>
      </c>
      <c r="E2213" t="inlineStr">
        <is>
          <t>RÄTTVIK</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33180-2024</t>
        </is>
      </c>
      <c r="B2214" s="1" t="n">
        <v>45518.44481481481</v>
      </c>
      <c r="C2214" s="1" t="n">
        <v>46114</v>
      </c>
      <c r="D2214" t="inlineStr">
        <is>
          <t>DALARNAS LÄN</t>
        </is>
      </c>
      <c r="E2214" t="inlineStr">
        <is>
          <t>LEKSAND</t>
        </is>
      </c>
      <c r="G2214" t="n">
        <v>7.6</v>
      </c>
      <c r="H2214" t="n">
        <v>0</v>
      </c>
      <c r="I2214" t="n">
        <v>0</v>
      </c>
      <c r="J2214" t="n">
        <v>0</v>
      </c>
      <c r="K2214" t="n">
        <v>0</v>
      </c>
      <c r="L2214" t="n">
        <v>0</v>
      </c>
      <c r="M2214" t="n">
        <v>0</v>
      </c>
      <c r="N2214" t="n">
        <v>0</v>
      </c>
      <c r="O2214" t="n">
        <v>0</v>
      </c>
      <c r="P2214" t="n">
        <v>0</v>
      </c>
      <c r="Q2214" t="n">
        <v>0</v>
      </c>
      <c r="R2214" s="2" t="inlineStr"/>
    </row>
    <row r="2215" ht="15" customHeight="1">
      <c r="A2215" t="inlineStr">
        <is>
          <t>A 15443-2025</t>
        </is>
      </c>
      <c r="B2215" s="1" t="n">
        <v>45747.48371527778</v>
      </c>
      <c r="C2215" s="1" t="n">
        <v>46114</v>
      </c>
      <c r="D2215" t="inlineStr">
        <is>
          <t>DALARNAS LÄN</t>
        </is>
      </c>
      <c r="E2215" t="inlineStr">
        <is>
          <t>MORA</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29833-2023</t>
        </is>
      </c>
      <c r="B2216" s="1" t="n">
        <v>45107.57693287037</v>
      </c>
      <c r="C2216" s="1" t="n">
        <v>46114</v>
      </c>
      <c r="D2216" t="inlineStr">
        <is>
          <t>DALARNAS LÄN</t>
        </is>
      </c>
      <c r="E2216" t="inlineStr">
        <is>
          <t>SÄTER</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34764-2021</t>
        </is>
      </c>
      <c r="B2217" s="1" t="n">
        <v>44382.91297453704</v>
      </c>
      <c r="C2217" s="1" t="n">
        <v>46114</v>
      </c>
      <c r="D2217" t="inlineStr">
        <is>
          <t>DALARNAS LÄN</t>
        </is>
      </c>
      <c r="E2217" t="inlineStr">
        <is>
          <t>FALUN</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9837-2024</t>
        </is>
      </c>
      <c r="B2218" s="1" t="n">
        <v>45363.29458333334</v>
      </c>
      <c r="C2218" s="1" t="n">
        <v>46114</v>
      </c>
      <c r="D2218" t="inlineStr">
        <is>
          <t>DALARNAS LÄN</t>
        </is>
      </c>
      <c r="E2218" t="inlineStr">
        <is>
          <t>FALUN</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18024-2025</t>
        </is>
      </c>
      <c r="B2219" s="1" t="n">
        <v>45761</v>
      </c>
      <c r="C2219" s="1" t="n">
        <v>46114</v>
      </c>
      <c r="D2219" t="inlineStr">
        <is>
          <t>DALARNAS LÄN</t>
        </is>
      </c>
      <c r="E2219" t="inlineStr">
        <is>
          <t>FALUN</t>
        </is>
      </c>
      <c r="F2219" t="inlineStr">
        <is>
          <t>Bergvik skog väst AB</t>
        </is>
      </c>
      <c r="G2219" t="n">
        <v>5.1</v>
      </c>
      <c r="H2219" t="n">
        <v>0</v>
      </c>
      <c r="I2219" t="n">
        <v>0</v>
      </c>
      <c r="J2219" t="n">
        <v>0</v>
      </c>
      <c r="K2219" t="n">
        <v>0</v>
      </c>
      <c r="L2219" t="n">
        <v>0</v>
      </c>
      <c r="M2219" t="n">
        <v>0</v>
      </c>
      <c r="N2219" t="n">
        <v>0</v>
      </c>
      <c r="O2219" t="n">
        <v>0</v>
      </c>
      <c r="P2219" t="n">
        <v>0</v>
      </c>
      <c r="Q2219" t="n">
        <v>0</v>
      </c>
      <c r="R2219" s="2" t="inlineStr"/>
    </row>
    <row r="2220" ht="15" customHeight="1">
      <c r="A2220" t="inlineStr">
        <is>
          <t>A 22388-2024</t>
        </is>
      </c>
      <c r="B2220" s="1" t="n">
        <v>45446</v>
      </c>
      <c r="C2220" s="1" t="n">
        <v>46114</v>
      </c>
      <c r="D2220" t="inlineStr">
        <is>
          <t>DALARNAS LÄN</t>
        </is>
      </c>
      <c r="E2220" t="inlineStr">
        <is>
          <t>LEKSAND</t>
        </is>
      </c>
      <c r="F2220" t="inlineStr">
        <is>
          <t>Bergvik skog väst AB</t>
        </is>
      </c>
      <c r="G2220" t="n">
        <v>5.3</v>
      </c>
      <c r="H2220" t="n">
        <v>0</v>
      </c>
      <c r="I2220" t="n">
        <v>0</v>
      </c>
      <c r="J2220" t="n">
        <v>0</v>
      </c>
      <c r="K2220" t="n">
        <v>0</v>
      </c>
      <c r="L2220" t="n">
        <v>0</v>
      </c>
      <c r="M2220" t="n">
        <v>0</v>
      </c>
      <c r="N2220" t="n">
        <v>0</v>
      </c>
      <c r="O2220" t="n">
        <v>0</v>
      </c>
      <c r="P2220" t="n">
        <v>0</v>
      </c>
      <c r="Q2220" t="n">
        <v>0</v>
      </c>
      <c r="R2220" s="2" t="inlineStr"/>
    </row>
    <row r="2221" ht="15" customHeight="1">
      <c r="A2221" t="inlineStr">
        <is>
          <t>A 39247-2021</t>
        </is>
      </c>
      <c r="B2221" s="1" t="n">
        <v>44413</v>
      </c>
      <c r="C2221" s="1" t="n">
        <v>46114</v>
      </c>
      <c r="D2221" t="inlineStr">
        <is>
          <t>DALARNAS LÄN</t>
        </is>
      </c>
      <c r="E2221" t="inlineStr">
        <is>
          <t>LUDVIKA</t>
        </is>
      </c>
      <c r="G2221" t="n">
        <v>6</v>
      </c>
      <c r="H2221" t="n">
        <v>0</v>
      </c>
      <c r="I2221" t="n">
        <v>0</v>
      </c>
      <c r="J2221" t="n">
        <v>0</v>
      </c>
      <c r="K2221" t="n">
        <v>0</v>
      </c>
      <c r="L2221" t="n">
        <v>0</v>
      </c>
      <c r="M2221" t="n">
        <v>0</v>
      </c>
      <c r="N2221" t="n">
        <v>0</v>
      </c>
      <c r="O2221" t="n">
        <v>0</v>
      </c>
      <c r="P2221" t="n">
        <v>0</v>
      </c>
      <c r="Q2221" t="n">
        <v>0</v>
      </c>
      <c r="R2221" s="2" t="inlineStr"/>
    </row>
    <row r="2222" ht="15" customHeight="1">
      <c r="A2222" t="inlineStr">
        <is>
          <t>A 49888-2023</t>
        </is>
      </c>
      <c r="B2222" s="1" t="n">
        <v>45213</v>
      </c>
      <c r="C2222" s="1" t="n">
        <v>46114</v>
      </c>
      <c r="D2222" t="inlineStr">
        <is>
          <t>DALARNAS LÄN</t>
        </is>
      </c>
      <c r="E2222" t="inlineStr">
        <is>
          <t>BORLÄNGE</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26688-2021</t>
        </is>
      </c>
      <c r="B2223" s="1" t="n">
        <v>44349</v>
      </c>
      <c r="C2223" s="1" t="n">
        <v>46114</v>
      </c>
      <c r="D2223" t="inlineStr">
        <is>
          <t>DALARNAS LÄN</t>
        </is>
      </c>
      <c r="E2223" t="inlineStr">
        <is>
          <t>RÄTTVIK</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26693-2021</t>
        </is>
      </c>
      <c r="B2224" s="1" t="n">
        <v>44349.32005787037</v>
      </c>
      <c r="C2224" s="1" t="n">
        <v>46114</v>
      </c>
      <c r="D2224" t="inlineStr">
        <is>
          <t>DALARNAS LÄN</t>
        </is>
      </c>
      <c r="E2224" t="inlineStr">
        <is>
          <t>MALUNG-SÄLEN</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31728-2024</t>
        </is>
      </c>
      <c r="B2225" s="1" t="n">
        <v>45509.34517361111</v>
      </c>
      <c r="C2225" s="1" t="n">
        <v>46114</v>
      </c>
      <c r="D2225" t="inlineStr">
        <is>
          <t>DALARNAS LÄN</t>
        </is>
      </c>
      <c r="E2225" t="inlineStr">
        <is>
          <t>LEKSAND</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48644-2023</t>
        </is>
      </c>
      <c r="B2226" s="1" t="n">
        <v>45208.58997685185</v>
      </c>
      <c r="C2226" s="1" t="n">
        <v>46114</v>
      </c>
      <c r="D2226" t="inlineStr">
        <is>
          <t>DALARNAS LÄN</t>
        </is>
      </c>
      <c r="E2226" t="inlineStr">
        <is>
          <t>LEKSAND</t>
        </is>
      </c>
      <c r="F2226" t="inlineStr">
        <is>
          <t>Bergvik skog väst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22000-2022</t>
        </is>
      </c>
      <c r="B2227" s="1" t="n">
        <v>44711</v>
      </c>
      <c r="C2227" s="1" t="n">
        <v>46114</v>
      </c>
      <c r="D2227" t="inlineStr">
        <is>
          <t>DALARNAS LÄN</t>
        </is>
      </c>
      <c r="E2227" t="inlineStr">
        <is>
          <t>LUDVIKA</t>
        </is>
      </c>
      <c r="F2227" t="inlineStr">
        <is>
          <t>Bergvik skog väst AB</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57895-2022</t>
        </is>
      </c>
      <c r="B2228" s="1" t="n">
        <v>44900</v>
      </c>
      <c r="C2228" s="1" t="n">
        <v>46114</v>
      </c>
      <c r="D2228" t="inlineStr">
        <is>
          <t>DALARNAS LÄN</t>
        </is>
      </c>
      <c r="E2228" t="inlineStr">
        <is>
          <t>MALUNG-SÄLEN</t>
        </is>
      </c>
      <c r="F2228" t="inlineStr">
        <is>
          <t>Allmännings- och besparingsskogar</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3854-2024</t>
        </is>
      </c>
      <c r="B2229" s="1" t="n">
        <v>45322</v>
      </c>
      <c r="C2229" s="1" t="n">
        <v>46114</v>
      </c>
      <c r="D2229" t="inlineStr">
        <is>
          <t>DALARNAS LÄN</t>
        </is>
      </c>
      <c r="E2229" t="inlineStr">
        <is>
          <t>VANSBRO</t>
        </is>
      </c>
      <c r="F2229" t="inlineStr">
        <is>
          <t>Kyrkan</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15863-2023</t>
        </is>
      </c>
      <c r="B2230" s="1" t="n">
        <v>45022</v>
      </c>
      <c r="C2230" s="1" t="n">
        <v>46114</v>
      </c>
      <c r="D2230" t="inlineStr">
        <is>
          <t>DALARNAS LÄN</t>
        </is>
      </c>
      <c r="E2230" t="inlineStr">
        <is>
          <t>HEDEMORA</t>
        </is>
      </c>
      <c r="F2230" t="inlineStr">
        <is>
          <t>Bergvik skog väst AB</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74324-2021</t>
        </is>
      </c>
      <c r="B2231" s="1" t="n">
        <v>44558</v>
      </c>
      <c r="C2231" s="1" t="n">
        <v>46114</v>
      </c>
      <c r="D2231" t="inlineStr">
        <is>
          <t>DALARNAS LÄN</t>
        </is>
      </c>
      <c r="E2231" t="inlineStr">
        <is>
          <t>ÄLVDALEN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11408-2025</t>
        </is>
      </c>
      <c r="B2232" s="1" t="n">
        <v>45726.58685185185</v>
      </c>
      <c r="C2232" s="1" t="n">
        <v>46114</v>
      </c>
      <c r="D2232" t="inlineStr">
        <is>
          <t>DALARNAS LÄN</t>
        </is>
      </c>
      <c r="E2232" t="inlineStr">
        <is>
          <t>VANSBRO</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24486-2024</t>
        </is>
      </c>
      <c r="B2233" s="1" t="n">
        <v>45459.62336805555</v>
      </c>
      <c r="C2233" s="1" t="n">
        <v>46114</v>
      </c>
      <c r="D2233" t="inlineStr">
        <is>
          <t>DALARNAS LÄN</t>
        </is>
      </c>
      <c r="E2233" t="inlineStr">
        <is>
          <t>HEDEMORA</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17510-2022</t>
        </is>
      </c>
      <c r="B2234" s="1" t="n">
        <v>44679.54954861111</v>
      </c>
      <c r="C2234" s="1" t="n">
        <v>46114</v>
      </c>
      <c r="D2234" t="inlineStr">
        <is>
          <t>DALARNAS LÄN</t>
        </is>
      </c>
      <c r="E2234" t="inlineStr">
        <is>
          <t>BORLÄNGE</t>
        </is>
      </c>
      <c r="F2234" t="inlineStr">
        <is>
          <t>Kommuner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11046-2022</t>
        </is>
      </c>
      <c r="B2235" s="1" t="n">
        <v>44628</v>
      </c>
      <c r="C2235" s="1" t="n">
        <v>46114</v>
      </c>
      <c r="D2235" t="inlineStr">
        <is>
          <t>DALARNAS LÄN</t>
        </is>
      </c>
      <c r="E2235" t="inlineStr">
        <is>
          <t>HEDEMORA</t>
        </is>
      </c>
      <c r="F2235" t="inlineStr">
        <is>
          <t>Bergvik skog väst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65275-2021</t>
        </is>
      </c>
      <c r="B2236" s="1" t="n">
        <v>44515</v>
      </c>
      <c r="C2236" s="1" t="n">
        <v>46114</v>
      </c>
      <c r="D2236" t="inlineStr">
        <is>
          <t>DALARNAS LÄN</t>
        </is>
      </c>
      <c r="E2236" t="inlineStr">
        <is>
          <t>MALUNG-SÄLEN</t>
        </is>
      </c>
      <c r="F2236" t="inlineStr">
        <is>
          <t>Allmännings- och besparingsskogar</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60099-2024</t>
        </is>
      </c>
      <c r="B2237" s="1" t="n">
        <v>45642.55645833333</v>
      </c>
      <c r="C2237" s="1" t="n">
        <v>46114</v>
      </c>
      <c r="D2237" t="inlineStr">
        <is>
          <t>DALARNAS LÄN</t>
        </is>
      </c>
      <c r="E2237" t="inlineStr">
        <is>
          <t>MORA</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60306-2022</t>
        </is>
      </c>
      <c r="B2238" s="1" t="n">
        <v>44910</v>
      </c>
      <c r="C2238" s="1" t="n">
        <v>46114</v>
      </c>
      <c r="D2238" t="inlineStr">
        <is>
          <t>DALARNAS LÄN</t>
        </is>
      </c>
      <c r="E2238" t="inlineStr">
        <is>
          <t>FALUN</t>
        </is>
      </c>
      <c r="G2238" t="n">
        <v>18.2</v>
      </c>
      <c r="H2238" t="n">
        <v>0</v>
      </c>
      <c r="I2238" t="n">
        <v>0</v>
      </c>
      <c r="J2238" t="n">
        <v>0</v>
      </c>
      <c r="K2238" t="n">
        <v>0</v>
      </c>
      <c r="L2238" t="n">
        <v>0</v>
      </c>
      <c r="M2238" t="n">
        <v>0</v>
      </c>
      <c r="N2238" t="n">
        <v>0</v>
      </c>
      <c r="O2238" t="n">
        <v>0</v>
      </c>
      <c r="P2238" t="n">
        <v>0</v>
      </c>
      <c r="Q2238" t="n">
        <v>0</v>
      </c>
      <c r="R2238" s="2" t="inlineStr"/>
    </row>
    <row r="2239" ht="15" customHeight="1">
      <c r="A2239" t="inlineStr">
        <is>
          <t>A 45608-2023</t>
        </is>
      </c>
      <c r="B2239" s="1" t="n">
        <v>45194.64940972222</v>
      </c>
      <c r="C2239" s="1" t="n">
        <v>46114</v>
      </c>
      <c r="D2239" t="inlineStr">
        <is>
          <t>DALARNAS LÄN</t>
        </is>
      </c>
      <c r="E2239" t="inlineStr">
        <is>
          <t>VANSBRO</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6971-2023</t>
        </is>
      </c>
      <c r="B2240" s="1" t="n">
        <v>44967</v>
      </c>
      <c r="C2240" s="1" t="n">
        <v>46114</v>
      </c>
      <c r="D2240" t="inlineStr">
        <is>
          <t>DALARNAS LÄN</t>
        </is>
      </c>
      <c r="E2240" t="inlineStr">
        <is>
          <t>AVESTA</t>
        </is>
      </c>
      <c r="G2240" t="n">
        <v>5.5</v>
      </c>
      <c r="H2240" t="n">
        <v>0</v>
      </c>
      <c r="I2240" t="n">
        <v>0</v>
      </c>
      <c r="J2240" t="n">
        <v>0</v>
      </c>
      <c r="K2240" t="n">
        <v>0</v>
      </c>
      <c r="L2240" t="n">
        <v>0</v>
      </c>
      <c r="M2240" t="n">
        <v>0</v>
      </c>
      <c r="N2240" t="n">
        <v>0</v>
      </c>
      <c r="O2240" t="n">
        <v>0</v>
      </c>
      <c r="P2240" t="n">
        <v>0</v>
      </c>
      <c r="Q2240" t="n">
        <v>0</v>
      </c>
      <c r="R2240" s="2" t="inlineStr"/>
    </row>
    <row r="2241" ht="15" customHeight="1">
      <c r="A2241" t="inlineStr">
        <is>
          <t>A 34003-2024</t>
        </is>
      </c>
      <c r="B2241" s="1" t="n">
        <v>45523.55704861111</v>
      </c>
      <c r="C2241" s="1" t="n">
        <v>46114</v>
      </c>
      <c r="D2241" t="inlineStr">
        <is>
          <t>DALARNAS LÄN</t>
        </is>
      </c>
      <c r="E2241" t="inlineStr">
        <is>
          <t>FALUN</t>
        </is>
      </c>
      <c r="F2241" t="inlineStr">
        <is>
          <t>Bergvik skog väst AB</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34009-2024</t>
        </is>
      </c>
      <c r="B2242" s="1" t="n">
        <v>45523.56410879629</v>
      </c>
      <c r="C2242" s="1" t="n">
        <v>46114</v>
      </c>
      <c r="D2242" t="inlineStr">
        <is>
          <t>DALARNAS LÄN</t>
        </is>
      </c>
      <c r="E2242" t="inlineStr">
        <is>
          <t>FALUN</t>
        </is>
      </c>
      <c r="F2242" t="inlineStr">
        <is>
          <t>Bergvik skog väst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70099-2021</t>
        </is>
      </c>
      <c r="B2243" s="1" t="n">
        <v>44533</v>
      </c>
      <c r="C2243" s="1" t="n">
        <v>46114</v>
      </c>
      <c r="D2243" t="inlineStr">
        <is>
          <t>DALARNAS LÄN</t>
        </is>
      </c>
      <c r="E2243" t="inlineStr">
        <is>
          <t>LEKSAND</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325-2023</t>
        </is>
      </c>
      <c r="B2244" s="1" t="n">
        <v>44929</v>
      </c>
      <c r="C2244" s="1" t="n">
        <v>46114</v>
      </c>
      <c r="D2244" t="inlineStr">
        <is>
          <t>DALARNAS LÄN</t>
        </is>
      </c>
      <c r="E2244" t="inlineStr">
        <is>
          <t>LEKSAND</t>
        </is>
      </c>
      <c r="F2244" t="inlineStr">
        <is>
          <t>Övriga Aktiebolag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20491-2025</t>
        </is>
      </c>
      <c r="B2245" s="1" t="n">
        <v>45775.56512731482</v>
      </c>
      <c r="C2245" s="1" t="n">
        <v>46114</v>
      </c>
      <c r="D2245" t="inlineStr">
        <is>
          <t>DALARNAS LÄN</t>
        </is>
      </c>
      <c r="E2245" t="inlineStr">
        <is>
          <t>SÄTER</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20514-2025</t>
        </is>
      </c>
      <c r="B2246" s="1" t="n">
        <v>45775.59604166666</v>
      </c>
      <c r="C2246" s="1" t="n">
        <v>46114</v>
      </c>
      <c r="D2246" t="inlineStr">
        <is>
          <t>DALARNAS LÄN</t>
        </is>
      </c>
      <c r="E2246" t="inlineStr">
        <is>
          <t>MALUNG-SÄLEN</t>
        </is>
      </c>
      <c r="F2246" t="inlineStr">
        <is>
          <t>Bergvik skog öst AB</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13965-2023</t>
        </is>
      </c>
      <c r="B2247" s="1" t="n">
        <v>45008.4775</v>
      </c>
      <c r="C2247" s="1" t="n">
        <v>46114</v>
      </c>
      <c r="D2247" t="inlineStr">
        <is>
          <t>DALARNAS LÄN</t>
        </is>
      </c>
      <c r="E2247" t="inlineStr">
        <is>
          <t>AVESTA</t>
        </is>
      </c>
      <c r="G2247" t="n">
        <v>4.2</v>
      </c>
      <c r="H2247" t="n">
        <v>0</v>
      </c>
      <c r="I2247" t="n">
        <v>0</v>
      </c>
      <c r="J2247" t="n">
        <v>0</v>
      </c>
      <c r="K2247" t="n">
        <v>0</v>
      </c>
      <c r="L2247" t="n">
        <v>0</v>
      </c>
      <c r="M2247" t="n">
        <v>0</v>
      </c>
      <c r="N2247" t="n">
        <v>0</v>
      </c>
      <c r="O2247" t="n">
        <v>0</v>
      </c>
      <c r="P2247" t="n">
        <v>0</v>
      </c>
      <c r="Q2247" t="n">
        <v>0</v>
      </c>
      <c r="R2247" s="2" t="inlineStr"/>
    </row>
    <row r="2248" ht="15" customHeight="1">
      <c r="A2248" t="inlineStr">
        <is>
          <t>A 56571-2023</t>
        </is>
      </c>
      <c r="B2248" s="1" t="n">
        <v>45243</v>
      </c>
      <c r="C2248" s="1" t="n">
        <v>46114</v>
      </c>
      <c r="D2248" t="inlineStr">
        <is>
          <t>DALARNAS LÄN</t>
        </is>
      </c>
      <c r="E2248" t="inlineStr">
        <is>
          <t>AVESTA</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3277-2024</t>
        </is>
      </c>
      <c r="B2249" s="1" t="n">
        <v>45317.4196875</v>
      </c>
      <c r="C2249" s="1" t="n">
        <v>46114</v>
      </c>
      <c r="D2249" t="inlineStr">
        <is>
          <t>DALARNAS LÄN</t>
        </is>
      </c>
      <c r="E2249" t="inlineStr">
        <is>
          <t>LUDVIKA</t>
        </is>
      </c>
      <c r="G2249" t="n">
        <v>0.3</v>
      </c>
      <c r="H2249" t="n">
        <v>0</v>
      </c>
      <c r="I2249" t="n">
        <v>0</v>
      </c>
      <c r="J2249" t="n">
        <v>0</v>
      </c>
      <c r="K2249" t="n">
        <v>0</v>
      </c>
      <c r="L2249" t="n">
        <v>0</v>
      </c>
      <c r="M2249" t="n">
        <v>0</v>
      </c>
      <c r="N2249" t="n">
        <v>0</v>
      </c>
      <c r="O2249" t="n">
        <v>0</v>
      </c>
      <c r="P2249" t="n">
        <v>0</v>
      </c>
      <c r="Q2249" t="n">
        <v>0</v>
      </c>
      <c r="R2249" s="2" t="inlineStr"/>
    </row>
    <row r="2250" ht="15" customHeight="1">
      <c r="A2250" t="inlineStr">
        <is>
          <t>A 3278-2024</t>
        </is>
      </c>
      <c r="B2250" s="1" t="n">
        <v>45317.41975694444</v>
      </c>
      <c r="C2250" s="1" t="n">
        <v>46114</v>
      </c>
      <c r="D2250" t="inlineStr">
        <is>
          <t>DALARNAS LÄN</t>
        </is>
      </c>
      <c r="E2250" t="inlineStr">
        <is>
          <t>FALUN</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43662-2022</t>
        </is>
      </c>
      <c r="B2251" s="1" t="n">
        <v>44837</v>
      </c>
      <c r="C2251" s="1" t="n">
        <v>46114</v>
      </c>
      <c r="D2251" t="inlineStr">
        <is>
          <t>DALARNAS LÄN</t>
        </is>
      </c>
      <c r="E2251" t="inlineStr">
        <is>
          <t>BORLÄNGE</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52418-2023</t>
        </is>
      </c>
      <c r="B2252" s="1" t="n">
        <v>45225.29825231482</v>
      </c>
      <c r="C2252" s="1" t="n">
        <v>46114</v>
      </c>
      <c r="D2252" t="inlineStr">
        <is>
          <t>DALARNAS LÄN</t>
        </is>
      </c>
      <c r="E2252" t="inlineStr">
        <is>
          <t>MALUNG-SÄLEN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48923-2024</t>
        </is>
      </c>
      <c r="B2253" s="1" t="n">
        <v>45594.3728125</v>
      </c>
      <c r="C2253" s="1" t="n">
        <v>46114</v>
      </c>
      <c r="D2253" t="inlineStr">
        <is>
          <t>DALARNAS LÄN</t>
        </is>
      </c>
      <c r="E2253" t="inlineStr">
        <is>
          <t>VANSBRO</t>
        </is>
      </c>
      <c r="F2253" t="inlineStr">
        <is>
          <t>Bergvik skog väst AB</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56246-2024</t>
        </is>
      </c>
      <c r="B2254" s="1" t="n">
        <v>45624.63408564815</v>
      </c>
      <c r="C2254" s="1" t="n">
        <v>46114</v>
      </c>
      <c r="D2254" t="inlineStr">
        <is>
          <t>DALARNAS LÄN</t>
        </is>
      </c>
      <c r="E2254" t="inlineStr">
        <is>
          <t>FALUN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35212-2024</t>
        </is>
      </c>
      <c r="B2255" s="1" t="n">
        <v>45530.48623842592</v>
      </c>
      <c r="C2255" s="1" t="n">
        <v>46114</v>
      </c>
      <c r="D2255" t="inlineStr">
        <is>
          <t>DALARNAS LÄN</t>
        </is>
      </c>
      <c r="E2255" t="inlineStr">
        <is>
          <t>FALUN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23868-2024</t>
        </is>
      </c>
      <c r="B2256" s="1" t="n">
        <v>45455.60853009259</v>
      </c>
      <c r="C2256" s="1" t="n">
        <v>46114</v>
      </c>
      <c r="D2256" t="inlineStr">
        <is>
          <t>DALARNAS LÄN</t>
        </is>
      </c>
      <c r="E2256" t="inlineStr">
        <is>
          <t>VANSBRO</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23896-2024</t>
        </is>
      </c>
      <c r="B2257" s="1" t="n">
        <v>45455.6758449074</v>
      </c>
      <c r="C2257" s="1" t="n">
        <v>46114</v>
      </c>
      <c r="D2257" t="inlineStr">
        <is>
          <t>DALARNAS LÄN</t>
        </is>
      </c>
      <c r="E2257" t="inlineStr">
        <is>
          <t>LEKSAND</t>
        </is>
      </c>
      <c r="F2257" t="inlineStr">
        <is>
          <t>Övriga Aktiebolag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51608-2024</t>
        </is>
      </c>
      <c r="B2258" s="1" t="n">
        <v>45604.68635416667</v>
      </c>
      <c r="C2258" s="1" t="n">
        <v>46114</v>
      </c>
      <c r="D2258" t="inlineStr">
        <is>
          <t>DALARNAS LÄN</t>
        </is>
      </c>
      <c r="E2258" t="inlineStr">
        <is>
          <t>FALUN</t>
        </is>
      </c>
      <c r="F2258" t="inlineStr">
        <is>
          <t>Bergvik skog väst AB</t>
        </is>
      </c>
      <c r="G2258" t="n">
        <v>3</v>
      </c>
      <c r="H2258" t="n">
        <v>0</v>
      </c>
      <c r="I2258" t="n">
        <v>0</v>
      </c>
      <c r="J2258" t="n">
        <v>0</v>
      </c>
      <c r="K2258" t="n">
        <v>0</v>
      </c>
      <c r="L2258" t="n">
        <v>0</v>
      </c>
      <c r="M2258" t="n">
        <v>0</v>
      </c>
      <c r="N2258" t="n">
        <v>0</v>
      </c>
      <c r="O2258" t="n">
        <v>0</v>
      </c>
      <c r="P2258" t="n">
        <v>0</v>
      </c>
      <c r="Q2258" t="n">
        <v>0</v>
      </c>
      <c r="R2258" s="2" t="inlineStr"/>
    </row>
    <row r="2259" ht="15" customHeight="1">
      <c r="A2259" t="inlineStr">
        <is>
          <t>A 4074-2025</t>
        </is>
      </c>
      <c r="B2259" s="1" t="n">
        <v>45684.63780092593</v>
      </c>
      <c r="C2259" s="1" t="n">
        <v>46114</v>
      </c>
      <c r="D2259" t="inlineStr">
        <is>
          <t>DALARNAS LÄN</t>
        </is>
      </c>
      <c r="E2259" t="inlineStr">
        <is>
          <t>MALUNG-SÄLEN</t>
        </is>
      </c>
      <c r="G2259" t="n">
        <v>5.4</v>
      </c>
      <c r="H2259" t="n">
        <v>0</v>
      </c>
      <c r="I2259" t="n">
        <v>0</v>
      </c>
      <c r="J2259" t="n">
        <v>0</v>
      </c>
      <c r="K2259" t="n">
        <v>0</v>
      </c>
      <c r="L2259" t="n">
        <v>0</v>
      </c>
      <c r="M2259" t="n">
        <v>0</v>
      </c>
      <c r="N2259" t="n">
        <v>0</v>
      </c>
      <c r="O2259" t="n">
        <v>0</v>
      </c>
      <c r="P2259" t="n">
        <v>0</v>
      </c>
      <c r="Q2259" t="n">
        <v>0</v>
      </c>
      <c r="R2259" s="2" t="inlineStr"/>
    </row>
    <row r="2260" ht="15" customHeight="1">
      <c r="A2260" t="inlineStr">
        <is>
          <t>A 43324-2023</t>
        </is>
      </c>
      <c r="B2260" s="1" t="n">
        <v>45183.62677083333</v>
      </c>
      <c r="C2260" s="1" t="n">
        <v>46114</v>
      </c>
      <c r="D2260" t="inlineStr">
        <is>
          <t>DALARNAS LÄN</t>
        </is>
      </c>
      <c r="E2260" t="inlineStr">
        <is>
          <t>BORLÄNGE</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24297-2024</t>
        </is>
      </c>
      <c r="B2261" s="1" t="n">
        <v>45457.46788194445</v>
      </c>
      <c r="C2261" s="1" t="n">
        <v>46114</v>
      </c>
      <c r="D2261" t="inlineStr">
        <is>
          <t>DALARNAS LÄN</t>
        </is>
      </c>
      <c r="E2261" t="inlineStr">
        <is>
          <t>FALUN</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13237-2024</t>
        </is>
      </c>
      <c r="B2262" s="1" t="n">
        <v>45386.55716435185</v>
      </c>
      <c r="C2262" s="1" t="n">
        <v>46114</v>
      </c>
      <c r="D2262" t="inlineStr">
        <is>
          <t>DALARNAS LÄN</t>
        </is>
      </c>
      <c r="E2262" t="inlineStr">
        <is>
          <t>FALUN</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59236-2024</t>
        </is>
      </c>
      <c r="B2263" s="1" t="n">
        <v>45637.58795138889</v>
      </c>
      <c r="C2263" s="1" t="n">
        <v>46114</v>
      </c>
      <c r="D2263" t="inlineStr">
        <is>
          <t>DALARNAS LÄN</t>
        </is>
      </c>
      <c r="E2263" t="inlineStr">
        <is>
          <t>LEKSAND</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59323-2024</t>
        </is>
      </c>
      <c r="B2264" s="1" t="n">
        <v>45637.71758101852</v>
      </c>
      <c r="C2264" s="1" t="n">
        <v>46114</v>
      </c>
      <c r="D2264" t="inlineStr">
        <is>
          <t>DALARNAS LÄN</t>
        </is>
      </c>
      <c r="E2264" t="inlineStr">
        <is>
          <t>FALUN</t>
        </is>
      </c>
      <c r="G2264" t="n">
        <v>4.3</v>
      </c>
      <c r="H2264" t="n">
        <v>0</v>
      </c>
      <c r="I2264" t="n">
        <v>0</v>
      </c>
      <c r="J2264" t="n">
        <v>0</v>
      </c>
      <c r="K2264" t="n">
        <v>0</v>
      </c>
      <c r="L2264" t="n">
        <v>0</v>
      </c>
      <c r="M2264" t="n">
        <v>0</v>
      </c>
      <c r="N2264" t="n">
        <v>0</v>
      </c>
      <c r="O2264" t="n">
        <v>0</v>
      </c>
      <c r="P2264" t="n">
        <v>0</v>
      </c>
      <c r="Q2264" t="n">
        <v>0</v>
      </c>
      <c r="R2264" s="2" t="inlineStr"/>
    </row>
    <row r="2265" ht="15" customHeight="1">
      <c r="A2265" t="inlineStr">
        <is>
          <t>A 59089-2023</t>
        </is>
      </c>
      <c r="B2265" s="1" t="n">
        <v>45252.9509837963</v>
      </c>
      <c r="C2265" s="1" t="n">
        <v>46114</v>
      </c>
      <c r="D2265" t="inlineStr">
        <is>
          <t>DALARNAS LÄN</t>
        </is>
      </c>
      <c r="E2265" t="inlineStr">
        <is>
          <t>MALUNG-SÄLEN</t>
        </is>
      </c>
      <c r="G2265" t="n">
        <v>6.2</v>
      </c>
      <c r="H2265" t="n">
        <v>0</v>
      </c>
      <c r="I2265" t="n">
        <v>0</v>
      </c>
      <c r="J2265" t="n">
        <v>0</v>
      </c>
      <c r="K2265" t="n">
        <v>0</v>
      </c>
      <c r="L2265" t="n">
        <v>0</v>
      </c>
      <c r="M2265" t="n">
        <v>0</v>
      </c>
      <c r="N2265" t="n">
        <v>0</v>
      </c>
      <c r="O2265" t="n">
        <v>0</v>
      </c>
      <c r="P2265" t="n">
        <v>0</v>
      </c>
      <c r="Q2265" t="n">
        <v>0</v>
      </c>
      <c r="R2265" s="2" t="inlineStr"/>
    </row>
    <row r="2266" ht="15" customHeight="1">
      <c r="A2266" t="inlineStr">
        <is>
          <t>A 43981-2024</t>
        </is>
      </c>
      <c r="B2266" s="1" t="n">
        <v>45572.4962037037</v>
      </c>
      <c r="C2266" s="1" t="n">
        <v>46114</v>
      </c>
      <c r="D2266" t="inlineStr">
        <is>
          <t>DALARNAS LÄN</t>
        </is>
      </c>
      <c r="E2266" t="inlineStr">
        <is>
          <t>LUDVIKA</t>
        </is>
      </c>
      <c r="F2266" t="inlineStr">
        <is>
          <t>Bergvik skog väst AB</t>
        </is>
      </c>
      <c r="G2266" t="n">
        <v>8.199999999999999</v>
      </c>
      <c r="H2266" t="n">
        <v>0</v>
      </c>
      <c r="I2266" t="n">
        <v>0</v>
      </c>
      <c r="J2266" t="n">
        <v>0</v>
      </c>
      <c r="K2266" t="n">
        <v>0</v>
      </c>
      <c r="L2266" t="n">
        <v>0</v>
      </c>
      <c r="M2266" t="n">
        <v>0</v>
      </c>
      <c r="N2266" t="n">
        <v>0</v>
      </c>
      <c r="O2266" t="n">
        <v>0</v>
      </c>
      <c r="P2266" t="n">
        <v>0</v>
      </c>
      <c r="Q2266" t="n">
        <v>0</v>
      </c>
      <c r="R2266" s="2" t="inlineStr"/>
    </row>
    <row r="2267" ht="15" customHeight="1">
      <c r="A2267" t="inlineStr">
        <is>
          <t>A 45207-2023</t>
        </is>
      </c>
      <c r="B2267" s="1" t="n">
        <v>45191</v>
      </c>
      <c r="C2267" s="1" t="n">
        <v>46114</v>
      </c>
      <c r="D2267" t="inlineStr">
        <is>
          <t>DALARNAS LÄN</t>
        </is>
      </c>
      <c r="E2267" t="inlineStr">
        <is>
          <t>MALUNG-SÄLEN</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5738-2025</t>
        </is>
      </c>
      <c r="B2268" s="1" t="n">
        <v>45694.50859953704</v>
      </c>
      <c r="C2268" s="1" t="n">
        <v>46114</v>
      </c>
      <c r="D2268" t="inlineStr">
        <is>
          <t>DALARNAS LÄN</t>
        </is>
      </c>
      <c r="E2268" t="inlineStr">
        <is>
          <t>FALUN</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33082-2024</t>
        </is>
      </c>
      <c r="B2269" s="1" t="n">
        <v>45517</v>
      </c>
      <c r="C2269" s="1" t="n">
        <v>46114</v>
      </c>
      <c r="D2269" t="inlineStr">
        <is>
          <t>DALARNAS LÄN</t>
        </is>
      </c>
      <c r="E2269" t="inlineStr">
        <is>
          <t>RÄTTVIK</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65249-2021</t>
        </is>
      </c>
      <c r="B2270" s="1" t="n">
        <v>44515</v>
      </c>
      <c r="C2270" s="1" t="n">
        <v>46114</v>
      </c>
      <c r="D2270" t="inlineStr">
        <is>
          <t>DALARNAS LÄN</t>
        </is>
      </c>
      <c r="E2270" t="inlineStr">
        <is>
          <t>SMEDJEBACKEN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8126-2024</t>
        </is>
      </c>
      <c r="B2271" s="1" t="n">
        <v>45351.53083333333</v>
      </c>
      <c r="C2271" s="1" t="n">
        <v>46114</v>
      </c>
      <c r="D2271" t="inlineStr">
        <is>
          <t>DALARNAS LÄN</t>
        </is>
      </c>
      <c r="E2271" t="inlineStr">
        <is>
          <t>RÄTTVIK</t>
        </is>
      </c>
      <c r="G2271" t="n">
        <v>4.3</v>
      </c>
      <c r="H2271" t="n">
        <v>0</v>
      </c>
      <c r="I2271" t="n">
        <v>0</v>
      </c>
      <c r="J2271" t="n">
        <v>0</v>
      </c>
      <c r="K2271" t="n">
        <v>0</v>
      </c>
      <c r="L2271" t="n">
        <v>0</v>
      </c>
      <c r="M2271" t="n">
        <v>0</v>
      </c>
      <c r="N2271" t="n">
        <v>0</v>
      </c>
      <c r="O2271" t="n">
        <v>0</v>
      </c>
      <c r="P2271" t="n">
        <v>0</v>
      </c>
      <c r="Q2271" t="n">
        <v>0</v>
      </c>
      <c r="R2271" s="2" t="inlineStr"/>
    </row>
    <row r="2272" ht="15" customHeight="1">
      <c r="A2272" t="inlineStr">
        <is>
          <t>A 61585-2023</t>
        </is>
      </c>
      <c r="B2272" s="1" t="n">
        <v>45265.48141203704</v>
      </c>
      <c r="C2272" s="1" t="n">
        <v>46114</v>
      </c>
      <c r="D2272" t="inlineStr">
        <is>
          <t>DALARNAS LÄN</t>
        </is>
      </c>
      <c r="E2272" t="inlineStr">
        <is>
          <t>AVESTA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15686-2024</t>
        </is>
      </c>
      <c r="B2273" s="1" t="n">
        <v>45404.4404050926</v>
      </c>
      <c r="C2273" s="1" t="n">
        <v>46114</v>
      </c>
      <c r="D2273" t="inlineStr">
        <is>
          <t>DALARNAS LÄN</t>
        </is>
      </c>
      <c r="E2273" t="inlineStr">
        <is>
          <t>GAGNEF</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61502-2023</t>
        </is>
      </c>
      <c r="B2274" s="1" t="n">
        <v>45264</v>
      </c>
      <c r="C2274" s="1" t="n">
        <v>46114</v>
      </c>
      <c r="D2274" t="inlineStr">
        <is>
          <t>DALARNAS LÄN</t>
        </is>
      </c>
      <c r="E2274" t="inlineStr">
        <is>
          <t>LEKSAND</t>
        </is>
      </c>
      <c r="G2274" t="n">
        <v>5.2</v>
      </c>
      <c r="H2274" t="n">
        <v>0</v>
      </c>
      <c r="I2274" t="n">
        <v>0</v>
      </c>
      <c r="J2274" t="n">
        <v>0</v>
      </c>
      <c r="K2274" t="n">
        <v>0</v>
      </c>
      <c r="L2274" t="n">
        <v>0</v>
      </c>
      <c r="M2274" t="n">
        <v>0</v>
      </c>
      <c r="N2274" t="n">
        <v>0</v>
      </c>
      <c r="O2274" t="n">
        <v>0</v>
      </c>
      <c r="P2274" t="n">
        <v>0</v>
      </c>
      <c r="Q2274" t="n">
        <v>0</v>
      </c>
      <c r="R2274" s="2" t="inlineStr"/>
    </row>
    <row r="2275" ht="15" customHeight="1">
      <c r="A2275" t="inlineStr">
        <is>
          <t>A 15296-2025</t>
        </is>
      </c>
      <c r="B2275" s="1" t="n">
        <v>45745.81983796296</v>
      </c>
      <c r="C2275" s="1" t="n">
        <v>46114</v>
      </c>
      <c r="D2275" t="inlineStr">
        <is>
          <t>DALARNAS LÄN</t>
        </is>
      </c>
      <c r="E2275" t="inlineStr">
        <is>
          <t>FALUN</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26717-2023</t>
        </is>
      </c>
      <c r="B2276" s="1" t="n">
        <v>45093</v>
      </c>
      <c r="C2276" s="1" t="n">
        <v>46114</v>
      </c>
      <c r="D2276" t="inlineStr">
        <is>
          <t>DALARNAS LÄN</t>
        </is>
      </c>
      <c r="E2276" t="inlineStr">
        <is>
          <t>RÄTTVIK</t>
        </is>
      </c>
      <c r="F2276" t="inlineStr">
        <is>
          <t>Bergvik skog väst AB</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10410-2025</t>
        </is>
      </c>
      <c r="B2277" s="1" t="n">
        <v>45720.63201388889</v>
      </c>
      <c r="C2277" s="1" t="n">
        <v>46114</v>
      </c>
      <c r="D2277" t="inlineStr">
        <is>
          <t>DALARNAS LÄN</t>
        </is>
      </c>
      <c r="E2277" t="inlineStr">
        <is>
          <t>RÄTTVIK</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6106-2022</t>
        </is>
      </c>
      <c r="B2278" s="1" t="n">
        <v>44599</v>
      </c>
      <c r="C2278" s="1" t="n">
        <v>46114</v>
      </c>
      <c r="D2278" t="inlineStr">
        <is>
          <t>DALARNAS LÄN</t>
        </is>
      </c>
      <c r="E2278" t="inlineStr">
        <is>
          <t>MALUNG-SÄLEN</t>
        </is>
      </c>
      <c r="G2278" t="n">
        <v>9</v>
      </c>
      <c r="H2278" t="n">
        <v>0</v>
      </c>
      <c r="I2278" t="n">
        <v>0</v>
      </c>
      <c r="J2278" t="n">
        <v>0</v>
      </c>
      <c r="K2278" t="n">
        <v>0</v>
      </c>
      <c r="L2278" t="n">
        <v>0</v>
      </c>
      <c r="M2278" t="n">
        <v>0</v>
      </c>
      <c r="N2278" t="n">
        <v>0</v>
      </c>
      <c r="O2278" t="n">
        <v>0</v>
      </c>
      <c r="P2278" t="n">
        <v>0</v>
      </c>
      <c r="Q2278" t="n">
        <v>0</v>
      </c>
      <c r="R2278" s="2" t="inlineStr"/>
    </row>
    <row r="2279" ht="15" customHeight="1">
      <c r="A2279" t="inlineStr">
        <is>
          <t>A 33317-2023</t>
        </is>
      </c>
      <c r="B2279" s="1" t="n">
        <v>45127.84586805556</v>
      </c>
      <c r="C2279" s="1" t="n">
        <v>46114</v>
      </c>
      <c r="D2279" t="inlineStr">
        <is>
          <t>DALARNAS LÄN</t>
        </is>
      </c>
      <c r="E2279" t="inlineStr">
        <is>
          <t>LEKSAND</t>
        </is>
      </c>
      <c r="G2279" t="n">
        <v>2.7</v>
      </c>
      <c r="H2279" t="n">
        <v>0</v>
      </c>
      <c r="I2279" t="n">
        <v>0</v>
      </c>
      <c r="J2279" t="n">
        <v>0</v>
      </c>
      <c r="K2279" t="n">
        <v>0</v>
      </c>
      <c r="L2279" t="n">
        <v>0</v>
      </c>
      <c r="M2279" t="n">
        <v>0</v>
      </c>
      <c r="N2279" t="n">
        <v>0</v>
      </c>
      <c r="O2279" t="n">
        <v>0</v>
      </c>
      <c r="P2279" t="n">
        <v>0</v>
      </c>
      <c r="Q2279" t="n">
        <v>0</v>
      </c>
      <c r="R2279" s="2" t="inlineStr"/>
    </row>
    <row r="2280" ht="15" customHeight="1">
      <c r="A2280" t="inlineStr">
        <is>
          <t>A 60040-2023</t>
        </is>
      </c>
      <c r="B2280" s="1" t="n">
        <v>45256</v>
      </c>
      <c r="C2280" s="1" t="n">
        <v>46114</v>
      </c>
      <c r="D2280" t="inlineStr">
        <is>
          <t>DALARNAS LÄN</t>
        </is>
      </c>
      <c r="E2280" t="inlineStr">
        <is>
          <t>LEKSAND</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51160-2023</t>
        </is>
      </c>
      <c r="B2281" s="1" t="n">
        <v>45219.37885416667</v>
      </c>
      <c r="C2281" s="1" t="n">
        <v>46114</v>
      </c>
      <c r="D2281" t="inlineStr">
        <is>
          <t>DALARNAS LÄN</t>
        </is>
      </c>
      <c r="E2281" t="inlineStr">
        <is>
          <t>LUDVIKA</t>
        </is>
      </c>
      <c r="F2281" t="inlineStr">
        <is>
          <t>Bergvik skog väst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51164-2023</t>
        </is>
      </c>
      <c r="B2282" s="1" t="n">
        <v>45219.38086805555</v>
      </c>
      <c r="C2282" s="1" t="n">
        <v>46114</v>
      </c>
      <c r="D2282" t="inlineStr">
        <is>
          <t>DALARNAS LÄN</t>
        </is>
      </c>
      <c r="E2282" t="inlineStr">
        <is>
          <t>SMEDJEBACKEN</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44957-2021</t>
        </is>
      </c>
      <c r="B2283" s="1" t="n">
        <v>44438.71809027778</v>
      </c>
      <c r="C2283" s="1" t="n">
        <v>46114</v>
      </c>
      <c r="D2283" t="inlineStr">
        <is>
          <t>DALARNAS LÄN</t>
        </is>
      </c>
      <c r="E2283" t="inlineStr">
        <is>
          <t>HEDEMORA</t>
        </is>
      </c>
      <c r="F2283" t="inlineStr">
        <is>
          <t>Sveaskog</t>
        </is>
      </c>
      <c r="G2283" t="n">
        <v>4.5</v>
      </c>
      <c r="H2283" t="n">
        <v>0</v>
      </c>
      <c r="I2283" t="n">
        <v>0</v>
      </c>
      <c r="J2283" t="n">
        <v>0</v>
      </c>
      <c r="K2283" t="n">
        <v>0</v>
      </c>
      <c r="L2283" t="n">
        <v>0</v>
      </c>
      <c r="M2283" t="n">
        <v>0</v>
      </c>
      <c r="N2283" t="n">
        <v>0</v>
      </c>
      <c r="O2283" t="n">
        <v>0</v>
      </c>
      <c r="P2283" t="n">
        <v>0</v>
      </c>
      <c r="Q2283" t="n">
        <v>0</v>
      </c>
      <c r="R2283" s="2" t="inlineStr"/>
    </row>
    <row r="2284" ht="15" customHeight="1">
      <c r="A2284" t="inlineStr">
        <is>
          <t>A 53229-2023</t>
        </is>
      </c>
      <c r="B2284" s="1" t="n">
        <v>45229.48306712963</v>
      </c>
      <c r="C2284" s="1" t="n">
        <v>46114</v>
      </c>
      <c r="D2284" t="inlineStr">
        <is>
          <t>DALARNAS LÄN</t>
        </is>
      </c>
      <c r="E2284" t="inlineStr">
        <is>
          <t>ORSA</t>
        </is>
      </c>
      <c r="F2284" t="inlineStr">
        <is>
          <t>Allmännings- och besparingsskogar</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50774-2024</t>
        </is>
      </c>
      <c r="B2285" s="1" t="n">
        <v>45602.45038194444</v>
      </c>
      <c r="C2285" s="1" t="n">
        <v>46114</v>
      </c>
      <c r="D2285" t="inlineStr">
        <is>
          <t>DALARNAS LÄN</t>
        </is>
      </c>
      <c r="E2285" t="inlineStr">
        <is>
          <t>FALUN</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7021-2022</t>
        </is>
      </c>
      <c r="B2286" s="1" t="n">
        <v>44602</v>
      </c>
      <c r="C2286" s="1" t="n">
        <v>46114</v>
      </c>
      <c r="D2286" t="inlineStr">
        <is>
          <t>DALARNAS LÄN</t>
        </is>
      </c>
      <c r="E2286" t="inlineStr">
        <is>
          <t>RÄTTVIK</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61055-2023</t>
        </is>
      </c>
      <c r="B2287" s="1" t="n">
        <v>45261</v>
      </c>
      <c r="C2287" s="1" t="n">
        <v>46114</v>
      </c>
      <c r="D2287" t="inlineStr">
        <is>
          <t>DALARNAS LÄN</t>
        </is>
      </c>
      <c r="E2287" t="inlineStr">
        <is>
          <t>LEKSAND</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34277-2022</t>
        </is>
      </c>
      <c r="B2288" s="1" t="n">
        <v>44791</v>
      </c>
      <c r="C2288" s="1" t="n">
        <v>46114</v>
      </c>
      <c r="D2288" t="inlineStr">
        <is>
          <t>DALARNAS LÄN</t>
        </is>
      </c>
      <c r="E2288" t="inlineStr">
        <is>
          <t>VANSBRO</t>
        </is>
      </c>
      <c r="G2288" t="n">
        <v>3.1</v>
      </c>
      <c r="H2288" t="n">
        <v>0</v>
      </c>
      <c r="I2288" t="n">
        <v>0</v>
      </c>
      <c r="J2288" t="n">
        <v>0</v>
      </c>
      <c r="K2288" t="n">
        <v>0</v>
      </c>
      <c r="L2288" t="n">
        <v>0</v>
      </c>
      <c r="M2288" t="n">
        <v>0</v>
      </c>
      <c r="N2288" t="n">
        <v>0</v>
      </c>
      <c r="O2288" t="n">
        <v>0</v>
      </c>
      <c r="P2288" t="n">
        <v>0</v>
      </c>
      <c r="Q2288" t="n">
        <v>0</v>
      </c>
      <c r="R2288" s="2" t="inlineStr"/>
    </row>
    <row r="2289" ht="15" customHeight="1">
      <c r="A2289" t="inlineStr">
        <is>
          <t>A 24142-2021</t>
        </is>
      </c>
      <c r="B2289" s="1" t="n">
        <v>44336</v>
      </c>
      <c r="C2289" s="1" t="n">
        <v>46114</v>
      </c>
      <c r="D2289" t="inlineStr">
        <is>
          <t>DALARNAS LÄN</t>
        </is>
      </c>
      <c r="E2289" t="inlineStr">
        <is>
          <t>LEKSAND</t>
        </is>
      </c>
      <c r="F2289" t="inlineStr">
        <is>
          <t>Bergvik skog väst AB</t>
        </is>
      </c>
      <c r="G2289" t="n">
        <v>18.9</v>
      </c>
      <c r="H2289" t="n">
        <v>0</v>
      </c>
      <c r="I2289" t="n">
        <v>0</v>
      </c>
      <c r="J2289" t="n">
        <v>0</v>
      </c>
      <c r="K2289" t="n">
        <v>0</v>
      </c>
      <c r="L2289" t="n">
        <v>0</v>
      </c>
      <c r="M2289" t="n">
        <v>0</v>
      </c>
      <c r="N2289" t="n">
        <v>0</v>
      </c>
      <c r="O2289" t="n">
        <v>0</v>
      </c>
      <c r="P2289" t="n">
        <v>0</v>
      </c>
      <c r="Q2289" t="n">
        <v>0</v>
      </c>
      <c r="R2289" s="2" t="inlineStr"/>
    </row>
    <row r="2290" ht="15" customHeight="1">
      <c r="A2290" t="inlineStr">
        <is>
          <t>A 37705-2024</t>
        </is>
      </c>
      <c r="B2290" s="1" t="n">
        <v>45541.62380787037</v>
      </c>
      <c r="C2290" s="1" t="n">
        <v>46114</v>
      </c>
      <c r="D2290" t="inlineStr">
        <is>
          <t>DALARNAS LÄN</t>
        </is>
      </c>
      <c r="E2290" t="inlineStr">
        <is>
          <t>FALUN</t>
        </is>
      </c>
      <c r="G2290" t="n">
        <v>4.5</v>
      </c>
      <c r="H2290" t="n">
        <v>0</v>
      </c>
      <c r="I2290" t="n">
        <v>0</v>
      </c>
      <c r="J2290" t="n">
        <v>0</v>
      </c>
      <c r="K2290" t="n">
        <v>0</v>
      </c>
      <c r="L2290" t="n">
        <v>0</v>
      </c>
      <c r="M2290" t="n">
        <v>0</v>
      </c>
      <c r="N2290" t="n">
        <v>0</v>
      </c>
      <c r="O2290" t="n">
        <v>0</v>
      </c>
      <c r="P2290" t="n">
        <v>0</v>
      </c>
      <c r="Q2290" t="n">
        <v>0</v>
      </c>
      <c r="R2290" s="2" t="inlineStr"/>
    </row>
    <row r="2291" ht="15" customHeight="1">
      <c r="A2291" t="inlineStr">
        <is>
          <t>A 498-2025</t>
        </is>
      </c>
      <c r="B2291" s="1" t="n">
        <v>45664.46653935185</v>
      </c>
      <c r="C2291" s="1" t="n">
        <v>46114</v>
      </c>
      <c r="D2291" t="inlineStr">
        <is>
          <t>DALARNAS LÄN</t>
        </is>
      </c>
      <c r="E2291" t="inlineStr">
        <is>
          <t>SÄTER</t>
        </is>
      </c>
      <c r="G2291" t="n">
        <v>4.5</v>
      </c>
      <c r="H2291" t="n">
        <v>0</v>
      </c>
      <c r="I2291" t="n">
        <v>0</v>
      </c>
      <c r="J2291" t="n">
        <v>0</v>
      </c>
      <c r="K2291" t="n">
        <v>0</v>
      </c>
      <c r="L2291" t="n">
        <v>0</v>
      </c>
      <c r="M2291" t="n">
        <v>0</v>
      </c>
      <c r="N2291" t="n">
        <v>0</v>
      </c>
      <c r="O2291" t="n">
        <v>0</v>
      </c>
      <c r="P2291" t="n">
        <v>0</v>
      </c>
      <c r="Q2291" t="n">
        <v>0</v>
      </c>
      <c r="R2291" s="2" t="inlineStr"/>
      <c r="U2291">
        <f>HYPERLINK("https://klasma.github.io/Logging_2082/knärot/A 498-2025 karta knärot.png", "A 498-2025")</f>
        <v/>
      </c>
      <c r="V2291">
        <f>HYPERLINK("https://klasma.github.io/Logging_2082/klagomål/A 498-2025 FSC-klagomål.docx", "A 498-2025")</f>
        <v/>
      </c>
      <c r="W2291">
        <f>HYPERLINK("https://klasma.github.io/Logging_2082/klagomålsmail/A 498-2025 FSC-klagomål mail.docx", "A 498-2025")</f>
        <v/>
      </c>
      <c r="X2291">
        <f>HYPERLINK("https://klasma.github.io/Logging_2082/tillsyn/A 498-2025 tillsynsbegäran.docx", "A 498-2025")</f>
        <v/>
      </c>
      <c r="Y2291">
        <f>HYPERLINK("https://klasma.github.io/Logging_2082/tillsynsmail/A 498-2025 tillsynsbegäran mail.docx", "A 498-2025")</f>
        <v/>
      </c>
    </row>
    <row r="2292" ht="15" customHeight="1">
      <c r="A2292" t="inlineStr">
        <is>
          <t>A 3970-2025</t>
        </is>
      </c>
      <c r="B2292" s="1" t="n">
        <v>45684.52469907407</v>
      </c>
      <c r="C2292" s="1" t="n">
        <v>46114</v>
      </c>
      <c r="D2292" t="inlineStr">
        <is>
          <t>DALARNAS LÄN</t>
        </is>
      </c>
      <c r="E2292" t="inlineStr">
        <is>
          <t>SMEDJEBACKEN</t>
        </is>
      </c>
      <c r="G2292" t="n">
        <v>6.5</v>
      </c>
      <c r="H2292" t="n">
        <v>0</v>
      </c>
      <c r="I2292" t="n">
        <v>0</v>
      </c>
      <c r="J2292" t="n">
        <v>0</v>
      </c>
      <c r="K2292" t="n">
        <v>0</v>
      </c>
      <c r="L2292" t="n">
        <v>0</v>
      </c>
      <c r="M2292" t="n">
        <v>0</v>
      </c>
      <c r="N2292" t="n">
        <v>0</v>
      </c>
      <c r="O2292" t="n">
        <v>0</v>
      </c>
      <c r="P2292" t="n">
        <v>0</v>
      </c>
      <c r="Q2292" t="n">
        <v>0</v>
      </c>
      <c r="R2292" s="2" t="inlineStr"/>
    </row>
    <row r="2293" ht="15" customHeight="1">
      <c r="A2293" t="inlineStr">
        <is>
          <t>A 2042-2025</t>
        </is>
      </c>
      <c r="B2293" s="1" t="n">
        <v>45671</v>
      </c>
      <c r="C2293" s="1" t="n">
        <v>46114</v>
      </c>
      <c r="D2293" t="inlineStr">
        <is>
          <t>DALARNAS LÄN</t>
        </is>
      </c>
      <c r="E2293" t="inlineStr">
        <is>
          <t>RÄTTVIK</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27047-2021</t>
        </is>
      </c>
      <c r="B2294" s="1" t="n">
        <v>44350</v>
      </c>
      <c r="C2294" s="1" t="n">
        <v>46114</v>
      </c>
      <c r="D2294" t="inlineStr">
        <is>
          <t>DALARNAS LÄN</t>
        </is>
      </c>
      <c r="E2294" t="inlineStr">
        <is>
          <t>MALUNG-SÄLEN</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57016-2024</t>
        </is>
      </c>
      <c r="B2295" s="1" t="n">
        <v>45628.80193287037</v>
      </c>
      <c r="C2295" s="1" t="n">
        <v>46114</v>
      </c>
      <c r="D2295" t="inlineStr">
        <is>
          <t>DALARNAS LÄN</t>
        </is>
      </c>
      <c r="E2295" t="inlineStr">
        <is>
          <t>SÄTER</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61405-2023</t>
        </is>
      </c>
      <c r="B2296" s="1" t="n">
        <v>45264.65987268519</v>
      </c>
      <c r="C2296" s="1" t="n">
        <v>46114</v>
      </c>
      <c r="D2296" t="inlineStr">
        <is>
          <t>DALARNAS LÄN</t>
        </is>
      </c>
      <c r="E2296" t="inlineStr">
        <is>
          <t>MORA</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44992-2024</t>
        </is>
      </c>
      <c r="B2297" s="1" t="n">
        <v>45575</v>
      </c>
      <c r="C2297" s="1" t="n">
        <v>46114</v>
      </c>
      <c r="D2297" t="inlineStr">
        <is>
          <t>DALARNAS LÄN</t>
        </is>
      </c>
      <c r="E2297" t="inlineStr">
        <is>
          <t>SÄTER</t>
        </is>
      </c>
      <c r="F2297" t="inlineStr">
        <is>
          <t>Bergvik skog väst AB</t>
        </is>
      </c>
      <c r="G2297" t="n">
        <v>9.9</v>
      </c>
      <c r="H2297" t="n">
        <v>0</v>
      </c>
      <c r="I2297" t="n">
        <v>0</v>
      </c>
      <c r="J2297" t="n">
        <v>0</v>
      </c>
      <c r="K2297" t="n">
        <v>0</v>
      </c>
      <c r="L2297" t="n">
        <v>0</v>
      </c>
      <c r="M2297" t="n">
        <v>0</v>
      </c>
      <c r="N2297" t="n">
        <v>0</v>
      </c>
      <c r="O2297" t="n">
        <v>0</v>
      </c>
      <c r="P2297" t="n">
        <v>0</v>
      </c>
      <c r="Q2297" t="n">
        <v>0</v>
      </c>
      <c r="R2297" s="2" t="inlineStr"/>
    </row>
    <row r="2298" ht="15" customHeight="1">
      <c r="A2298" t="inlineStr">
        <is>
          <t>A 19299-2025</t>
        </is>
      </c>
      <c r="B2298" s="1" t="n">
        <v>45769.56340277778</v>
      </c>
      <c r="C2298" s="1" t="n">
        <v>46114</v>
      </c>
      <c r="D2298" t="inlineStr">
        <is>
          <t>DALARNAS LÄN</t>
        </is>
      </c>
      <c r="E2298" t="inlineStr">
        <is>
          <t>MALUNG-SÄLEN</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18322-2025</t>
        </is>
      </c>
      <c r="B2299" s="1" t="n">
        <v>45762.47291666667</v>
      </c>
      <c r="C2299" s="1" t="n">
        <v>46114</v>
      </c>
      <c r="D2299" t="inlineStr">
        <is>
          <t>DALARNAS LÄN</t>
        </is>
      </c>
      <c r="E2299" t="inlineStr">
        <is>
          <t>MALUNG-SÄLEN</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34038-2024</t>
        </is>
      </c>
      <c r="B2300" s="1" t="n">
        <v>45523.59578703704</v>
      </c>
      <c r="C2300" s="1" t="n">
        <v>46114</v>
      </c>
      <c r="D2300" t="inlineStr">
        <is>
          <t>DALARNAS LÄN</t>
        </is>
      </c>
      <c r="E2300" t="inlineStr">
        <is>
          <t>LEKSAND</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19337-2025</t>
        </is>
      </c>
      <c r="B2301" s="1" t="n">
        <v>45769.59185185185</v>
      </c>
      <c r="C2301" s="1" t="n">
        <v>46114</v>
      </c>
      <c r="D2301" t="inlineStr">
        <is>
          <t>DALARNAS LÄN</t>
        </is>
      </c>
      <c r="E2301" t="inlineStr">
        <is>
          <t>GAGNEF</t>
        </is>
      </c>
      <c r="G2301" t="n">
        <v>13.8</v>
      </c>
      <c r="H2301" t="n">
        <v>0</v>
      </c>
      <c r="I2301" t="n">
        <v>0</v>
      </c>
      <c r="J2301" t="n">
        <v>0</v>
      </c>
      <c r="K2301" t="n">
        <v>0</v>
      </c>
      <c r="L2301" t="n">
        <v>0</v>
      </c>
      <c r="M2301" t="n">
        <v>0</v>
      </c>
      <c r="N2301" t="n">
        <v>0</v>
      </c>
      <c r="O2301" t="n">
        <v>0</v>
      </c>
      <c r="P2301" t="n">
        <v>0</v>
      </c>
      <c r="Q2301" t="n">
        <v>0</v>
      </c>
      <c r="R2301" s="2" t="inlineStr"/>
    </row>
    <row r="2302" ht="15" customHeight="1">
      <c r="A2302" t="inlineStr">
        <is>
          <t>A 34041-2024</t>
        </is>
      </c>
      <c r="B2302" s="1" t="n">
        <v>45523.59895833334</v>
      </c>
      <c r="C2302" s="1" t="n">
        <v>46114</v>
      </c>
      <c r="D2302" t="inlineStr">
        <is>
          <t>DALARNAS LÄN</t>
        </is>
      </c>
      <c r="E2302" t="inlineStr">
        <is>
          <t>LEKSAND</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7332-2022</t>
        </is>
      </c>
      <c r="B2303" s="1" t="n">
        <v>44606.54209490741</v>
      </c>
      <c r="C2303" s="1" t="n">
        <v>46114</v>
      </c>
      <c r="D2303" t="inlineStr">
        <is>
          <t>DALARNAS LÄN</t>
        </is>
      </c>
      <c r="E2303" t="inlineStr">
        <is>
          <t>BORLÄNGE</t>
        </is>
      </c>
      <c r="F2303" t="inlineStr">
        <is>
          <t>Bergvik skog väst AB</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41642-2023</t>
        </is>
      </c>
      <c r="B2304" s="1" t="n">
        <v>45175</v>
      </c>
      <c r="C2304" s="1" t="n">
        <v>46114</v>
      </c>
      <c r="D2304" t="inlineStr">
        <is>
          <t>DALARNAS LÄN</t>
        </is>
      </c>
      <c r="E2304" t="inlineStr">
        <is>
          <t>HEDEMORA</t>
        </is>
      </c>
      <c r="G2304" t="n">
        <v>2.8</v>
      </c>
      <c r="H2304" t="n">
        <v>0</v>
      </c>
      <c r="I2304" t="n">
        <v>0</v>
      </c>
      <c r="J2304" t="n">
        <v>0</v>
      </c>
      <c r="K2304" t="n">
        <v>0</v>
      </c>
      <c r="L2304" t="n">
        <v>0</v>
      </c>
      <c r="M2304" t="n">
        <v>0</v>
      </c>
      <c r="N2304" t="n">
        <v>0</v>
      </c>
      <c r="O2304" t="n">
        <v>0</v>
      </c>
      <c r="P2304" t="n">
        <v>0</v>
      </c>
      <c r="Q2304" t="n">
        <v>0</v>
      </c>
      <c r="R2304" s="2" t="inlineStr"/>
    </row>
    <row r="2305" ht="15" customHeight="1">
      <c r="A2305" t="inlineStr">
        <is>
          <t>A 30572-2021</t>
        </is>
      </c>
      <c r="B2305" s="1" t="n">
        <v>44364.83369212963</v>
      </c>
      <c r="C2305" s="1" t="n">
        <v>46114</v>
      </c>
      <c r="D2305" t="inlineStr">
        <is>
          <t>DALARNAS LÄN</t>
        </is>
      </c>
      <c r="E2305" t="inlineStr">
        <is>
          <t>HEDEMORA</t>
        </is>
      </c>
      <c r="F2305" t="inlineStr">
        <is>
          <t>Sveaskog</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68219-2021</t>
        </is>
      </c>
      <c r="B2306" s="1" t="n">
        <v>44526.57060185185</v>
      </c>
      <c r="C2306" s="1" t="n">
        <v>46114</v>
      </c>
      <c r="D2306" t="inlineStr">
        <is>
          <t>DALARNAS LÄN</t>
        </is>
      </c>
      <c r="E2306" t="inlineStr">
        <is>
          <t>ÄLVDALEN</t>
        </is>
      </c>
      <c r="F2306" t="inlineStr">
        <is>
          <t>Kyrkan</t>
        </is>
      </c>
      <c r="G2306" t="n">
        <v>2.7</v>
      </c>
      <c r="H2306" t="n">
        <v>0</v>
      </c>
      <c r="I2306" t="n">
        <v>0</v>
      </c>
      <c r="J2306" t="n">
        <v>0</v>
      </c>
      <c r="K2306" t="n">
        <v>0</v>
      </c>
      <c r="L2306" t="n">
        <v>0</v>
      </c>
      <c r="M2306" t="n">
        <v>0</v>
      </c>
      <c r="N2306" t="n">
        <v>0</v>
      </c>
      <c r="O2306" t="n">
        <v>0</v>
      </c>
      <c r="P2306" t="n">
        <v>0</v>
      </c>
      <c r="Q2306" t="n">
        <v>0</v>
      </c>
      <c r="R2306" s="2" t="inlineStr"/>
    </row>
    <row r="2307" ht="15" customHeight="1">
      <c r="A2307" t="inlineStr">
        <is>
          <t>A 17908-2022</t>
        </is>
      </c>
      <c r="B2307" s="1" t="n">
        <v>44683.53989583333</v>
      </c>
      <c r="C2307" s="1" t="n">
        <v>46114</v>
      </c>
      <c r="D2307" t="inlineStr">
        <is>
          <t>DALARNAS LÄN</t>
        </is>
      </c>
      <c r="E2307" t="inlineStr">
        <is>
          <t>SMEDJEBACKEN</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41371-2022</t>
        </is>
      </c>
      <c r="B2308" s="1" t="n">
        <v>44826.57543981481</v>
      </c>
      <c r="C2308" s="1" t="n">
        <v>46114</v>
      </c>
      <c r="D2308" t="inlineStr">
        <is>
          <t>DALARNAS LÄN</t>
        </is>
      </c>
      <c r="E2308" t="inlineStr">
        <is>
          <t>VANSBRO</t>
        </is>
      </c>
      <c r="F2308" t="inlineStr">
        <is>
          <t>Bergvik skog öst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31929-2024</t>
        </is>
      </c>
      <c r="B2309" s="1" t="n">
        <v>45510.40587962963</v>
      </c>
      <c r="C2309" s="1" t="n">
        <v>46114</v>
      </c>
      <c r="D2309" t="inlineStr">
        <is>
          <t>DALARNAS LÄN</t>
        </is>
      </c>
      <c r="E2309" t="inlineStr">
        <is>
          <t>MORA</t>
        </is>
      </c>
      <c r="G2309" t="n">
        <v>10.8</v>
      </c>
      <c r="H2309" t="n">
        <v>0</v>
      </c>
      <c r="I2309" t="n">
        <v>0</v>
      </c>
      <c r="J2309" t="n">
        <v>0</v>
      </c>
      <c r="K2309" t="n">
        <v>0</v>
      </c>
      <c r="L2309" t="n">
        <v>0</v>
      </c>
      <c r="M2309" t="n">
        <v>0</v>
      </c>
      <c r="N2309" t="n">
        <v>0</v>
      </c>
      <c r="O2309" t="n">
        <v>0</v>
      </c>
      <c r="P2309" t="n">
        <v>0</v>
      </c>
      <c r="Q2309" t="n">
        <v>0</v>
      </c>
      <c r="R2309" s="2" t="inlineStr"/>
    </row>
    <row r="2310" ht="15" customHeight="1">
      <c r="A2310" t="inlineStr">
        <is>
          <t>A 43254-2023</t>
        </is>
      </c>
      <c r="B2310" s="1" t="n">
        <v>45183.49590277778</v>
      </c>
      <c r="C2310" s="1" t="n">
        <v>46114</v>
      </c>
      <c r="D2310" t="inlineStr">
        <is>
          <t>DALARNAS LÄN</t>
        </is>
      </c>
      <c r="E2310" t="inlineStr">
        <is>
          <t>VANSBRO</t>
        </is>
      </c>
      <c r="F2310" t="inlineStr">
        <is>
          <t>Bergvik skog öst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29591-2024</t>
        </is>
      </c>
      <c r="B2311" s="1" t="n">
        <v>45484.58222222222</v>
      </c>
      <c r="C2311" s="1" t="n">
        <v>46114</v>
      </c>
      <c r="D2311" t="inlineStr">
        <is>
          <t>DALARNAS LÄN</t>
        </is>
      </c>
      <c r="E2311" t="inlineStr">
        <is>
          <t>HEDEMORA</t>
        </is>
      </c>
      <c r="F2311" t="inlineStr">
        <is>
          <t>Bergvik skog väst AB</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38034-2024</t>
        </is>
      </c>
      <c r="B2312" s="1" t="n">
        <v>45544.67094907408</v>
      </c>
      <c r="C2312" s="1" t="n">
        <v>46114</v>
      </c>
      <c r="D2312" t="inlineStr">
        <is>
          <t>DALARNAS LÄN</t>
        </is>
      </c>
      <c r="E2312" t="inlineStr">
        <is>
          <t>VANSBRO</t>
        </is>
      </c>
      <c r="F2312" t="inlineStr">
        <is>
          <t>Övriga statliga verk och myndigheter</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38074-2024</t>
        </is>
      </c>
      <c r="B2313" s="1" t="n">
        <v>45545</v>
      </c>
      <c r="C2313" s="1" t="n">
        <v>46114</v>
      </c>
      <c r="D2313" t="inlineStr">
        <is>
          <t>DALARNAS LÄN</t>
        </is>
      </c>
      <c r="E2313" t="inlineStr">
        <is>
          <t>GAGNEF</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14832-2025</t>
        </is>
      </c>
      <c r="B2314" s="1" t="n">
        <v>45743</v>
      </c>
      <c r="C2314" s="1" t="n">
        <v>46114</v>
      </c>
      <c r="D2314" t="inlineStr">
        <is>
          <t>DALARNAS LÄN</t>
        </is>
      </c>
      <c r="E2314" t="inlineStr">
        <is>
          <t>MORA</t>
        </is>
      </c>
      <c r="G2314" t="n">
        <v>9.1</v>
      </c>
      <c r="H2314" t="n">
        <v>0</v>
      </c>
      <c r="I2314" t="n">
        <v>0</v>
      </c>
      <c r="J2314" t="n">
        <v>0</v>
      </c>
      <c r="K2314" t="n">
        <v>0</v>
      </c>
      <c r="L2314" t="n">
        <v>0</v>
      </c>
      <c r="M2314" t="n">
        <v>0</v>
      </c>
      <c r="N2314" t="n">
        <v>0</v>
      </c>
      <c r="O2314" t="n">
        <v>0</v>
      </c>
      <c r="P2314" t="n">
        <v>0</v>
      </c>
      <c r="Q2314" t="n">
        <v>0</v>
      </c>
      <c r="R2314" s="2" t="inlineStr"/>
    </row>
    <row r="2315" ht="15" customHeight="1">
      <c r="A2315" t="inlineStr">
        <is>
          <t>A 14865-2025</t>
        </is>
      </c>
      <c r="B2315" s="1" t="n">
        <v>45743.43929398148</v>
      </c>
      <c r="C2315" s="1" t="n">
        <v>46114</v>
      </c>
      <c r="D2315" t="inlineStr">
        <is>
          <t>DALARNAS LÄN</t>
        </is>
      </c>
      <c r="E2315" t="inlineStr">
        <is>
          <t>LEKSAND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28032-2024</t>
        </is>
      </c>
      <c r="B2316" s="1" t="n">
        <v>45476.49346064815</v>
      </c>
      <c r="C2316" s="1" t="n">
        <v>46114</v>
      </c>
      <c r="D2316" t="inlineStr">
        <is>
          <t>DALARNAS LÄN</t>
        </is>
      </c>
      <c r="E2316" t="inlineStr">
        <is>
          <t>LEKSAND</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8697-2023</t>
        </is>
      </c>
      <c r="B2317" s="1" t="n">
        <v>44978</v>
      </c>
      <c r="C2317" s="1" t="n">
        <v>46114</v>
      </c>
      <c r="D2317" t="inlineStr">
        <is>
          <t>DALARNAS LÄN</t>
        </is>
      </c>
      <c r="E2317" t="inlineStr">
        <is>
          <t>SÄTER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55485-2024</t>
        </is>
      </c>
      <c r="B2318" s="1" t="n">
        <v>45622.44318287037</v>
      </c>
      <c r="C2318" s="1" t="n">
        <v>46114</v>
      </c>
      <c r="D2318" t="inlineStr">
        <is>
          <t>DALARNAS LÄN</t>
        </is>
      </c>
      <c r="E2318" t="inlineStr">
        <is>
          <t>LUDVIKA</t>
        </is>
      </c>
      <c r="F2318" t="inlineStr">
        <is>
          <t>Naturvårdsverket</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43540-2024</t>
        </is>
      </c>
      <c r="B2319" s="1" t="n">
        <v>45569.36322916667</v>
      </c>
      <c r="C2319" s="1" t="n">
        <v>46114</v>
      </c>
      <c r="D2319" t="inlineStr">
        <is>
          <t>DALARNAS LÄN</t>
        </is>
      </c>
      <c r="E2319" t="inlineStr">
        <is>
          <t>RÄTTVIK</t>
        </is>
      </c>
      <c r="F2319" t="inlineStr">
        <is>
          <t>Bergvik skog väst AB</t>
        </is>
      </c>
      <c r="G2319" t="n">
        <v>38.1</v>
      </c>
      <c r="H2319" t="n">
        <v>0</v>
      </c>
      <c r="I2319" t="n">
        <v>0</v>
      </c>
      <c r="J2319" t="n">
        <v>0</v>
      </c>
      <c r="K2319" t="n">
        <v>0</v>
      </c>
      <c r="L2319" t="n">
        <v>0</v>
      </c>
      <c r="M2319" t="n">
        <v>0</v>
      </c>
      <c r="N2319" t="n">
        <v>0</v>
      </c>
      <c r="O2319" t="n">
        <v>0</v>
      </c>
      <c r="P2319" t="n">
        <v>0</v>
      </c>
      <c r="Q2319" t="n">
        <v>0</v>
      </c>
      <c r="R2319" s="2" t="inlineStr"/>
    </row>
    <row r="2320" ht="15" customHeight="1">
      <c r="A2320" t="inlineStr">
        <is>
          <t>A 55691-2022</t>
        </is>
      </c>
      <c r="B2320" s="1" t="n">
        <v>44888</v>
      </c>
      <c r="C2320" s="1" t="n">
        <v>46114</v>
      </c>
      <c r="D2320" t="inlineStr">
        <is>
          <t>DALARNAS LÄN</t>
        </is>
      </c>
      <c r="E2320" t="inlineStr">
        <is>
          <t>ORSA</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36442-2024</t>
        </is>
      </c>
      <c r="B2321" s="1" t="n">
        <v>45537.30159722222</v>
      </c>
      <c r="C2321" s="1" t="n">
        <v>46114</v>
      </c>
      <c r="D2321" t="inlineStr">
        <is>
          <t>DALARNAS LÄN</t>
        </is>
      </c>
      <c r="E2321" t="inlineStr">
        <is>
          <t>RÄTTVIK</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41961-2024</t>
        </is>
      </c>
      <c r="B2322" s="1" t="n">
        <v>45561</v>
      </c>
      <c r="C2322" s="1" t="n">
        <v>46114</v>
      </c>
      <c r="D2322" t="inlineStr">
        <is>
          <t>DALARNAS LÄN</t>
        </is>
      </c>
      <c r="E2322" t="inlineStr">
        <is>
          <t>SÄTER</t>
        </is>
      </c>
      <c r="F2322" t="inlineStr">
        <is>
          <t>Bergvik skog väst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1804-2024</t>
        </is>
      </c>
      <c r="B2323" s="1" t="n">
        <v>45307.59216435185</v>
      </c>
      <c r="C2323" s="1" t="n">
        <v>46114</v>
      </c>
      <c r="D2323" t="inlineStr">
        <is>
          <t>DALARNAS LÄN</t>
        </is>
      </c>
      <c r="E2323" t="inlineStr">
        <is>
          <t>ÄLVDALEN</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46252-2022</t>
        </is>
      </c>
      <c r="B2324" s="1" t="n">
        <v>44847.63186342592</v>
      </c>
      <c r="C2324" s="1" t="n">
        <v>46114</v>
      </c>
      <c r="D2324" t="inlineStr">
        <is>
          <t>DALARNAS LÄN</t>
        </is>
      </c>
      <c r="E2324" t="inlineStr">
        <is>
          <t>FALUN</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32768-2023</t>
        </is>
      </c>
      <c r="B2325" s="1" t="n">
        <v>45123</v>
      </c>
      <c r="C2325" s="1" t="n">
        <v>46114</v>
      </c>
      <c r="D2325" t="inlineStr">
        <is>
          <t>DALARNAS LÄN</t>
        </is>
      </c>
      <c r="E2325" t="inlineStr">
        <is>
          <t>AVESTA</t>
        </is>
      </c>
      <c r="G2325" t="n">
        <v>3.3</v>
      </c>
      <c r="H2325" t="n">
        <v>0</v>
      </c>
      <c r="I2325" t="n">
        <v>0</v>
      </c>
      <c r="J2325" t="n">
        <v>0</v>
      </c>
      <c r="K2325" t="n">
        <v>0</v>
      </c>
      <c r="L2325" t="n">
        <v>0</v>
      </c>
      <c r="M2325" t="n">
        <v>0</v>
      </c>
      <c r="N2325" t="n">
        <v>0</v>
      </c>
      <c r="O2325" t="n">
        <v>0</v>
      </c>
      <c r="P2325" t="n">
        <v>0</v>
      </c>
      <c r="Q2325" t="n">
        <v>0</v>
      </c>
      <c r="R2325" s="2" t="inlineStr"/>
    </row>
    <row r="2326" ht="15" customHeight="1">
      <c r="A2326" t="inlineStr">
        <is>
          <t>A 32771-2023</t>
        </is>
      </c>
      <c r="B2326" s="1" t="n">
        <v>45123</v>
      </c>
      <c r="C2326" s="1" t="n">
        <v>46114</v>
      </c>
      <c r="D2326" t="inlineStr">
        <is>
          <t>DALARNAS LÄN</t>
        </is>
      </c>
      <c r="E2326" t="inlineStr">
        <is>
          <t>AVESTA</t>
        </is>
      </c>
      <c r="G2326" t="n">
        <v>4.3</v>
      </c>
      <c r="H2326" t="n">
        <v>0</v>
      </c>
      <c r="I2326" t="n">
        <v>0</v>
      </c>
      <c r="J2326" t="n">
        <v>0</v>
      </c>
      <c r="K2326" t="n">
        <v>0</v>
      </c>
      <c r="L2326" t="n">
        <v>0</v>
      </c>
      <c r="M2326" t="n">
        <v>0</v>
      </c>
      <c r="N2326" t="n">
        <v>0</v>
      </c>
      <c r="O2326" t="n">
        <v>0</v>
      </c>
      <c r="P2326" t="n">
        <v>0</v>
      </c>
      <c r="Q2326" t="n">
        <v>0</v>
      </c>
      <c r="R2326" s="2" t="inlineStr"/>
    </row>
    <row r="2327" ht="15" customHeight="1">
      <c r="A2327" t="inlineStr">
        <is>
          <t>A 2710-2024</t>
        </is>
      </c>
      <c r="B2327" s="1" t="n">
        <v>45314</v>
      </c>
      <c r="C2327" s="1" t="n">
        <v>46114</v>
      </c>
      <c r="D2327" t="inlineStr">
        <is>
          <t>DALARNAS LÄN</t>
        </is>
      </c>
      <c r="E2327" t="inlineStr">
        <is>
          <t>AVESTA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2717-2024</t>
        </is>
      </c>
      <c r="B2328" s="1" t="n">
        <v>45314.49222222222</v>
      </c>
      <c r="C2328" s="1" t="n">
        <v>46114</v>
      </c>
      <c r="D2328" t="inlineStr">
        <is>
          <t>DALARNAS LÄN</t>
        </is>
      </c>
      <c r="E2328" t="inlineStr">
        <is>
          <t>ORSA</t>
        </is>
      </c>
      <c r="F2328" t="inlineStr">
        <is>
          <t>Bergvik skog öst AB</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43432-2024</t>
        </is>
      </c>
      <c r="B2329" s="1" t="n">
        <v>45568.64337962963</v>
      </c>
      <c r="C2329" s="1" t="n">
        <v>46114</v>
      </c>
      <c r="D2329" t="inlineStr">
        <is>
          <t>DALARNAS LÄN</t>
        </is>
      </c>
      <c r="E2329" t="inlineStr">
        <is>
          <t>MORA</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4544-2025</t>
        </is>
      </c>
      <c r="B2330" s="1" t="n">
        <v>45687.39811342592</v>
      </c>
      <c r="C2330" s="1" t="n">
        <v>46114</v>
      </c>
      <c r="D2330" t="inlineStr">
        <is>
          <t>DALARNAS LÄN</t>
        </is>
      </c>
      <c r="E2330" t="inlineStr">
        <is>
          <t>LUDVIKA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7140-2024</t>
        </is>
      </c>
      <c r="B2331" s="1" t="n">
        <v>45344</v>
      </c>
      <c r="C2331" s="1" t="n">
        <v>46114</v>
      </c>
      <c r="D2331" t="inlineStr">
        <is>
          <t>DALARNAS LÄN</t>
        </is>
      </c>
      <c r="E2331" t="inlineStr">
        <is>
          <t>RÄTTVIK</t>
        </is>
      </c>
      <c r="G2331" t="n">
        <v>5.9</v>
      </c>
      <c r="H2331" t="n">
        <v>0</v>
      </c>
      <c r="I2331" t="n">
        <v>0</v>
      </c>
      <c r="J2331" t="n">
        <v>0</v>
      </c>
      <c r="K2331" t="n">
        <v>0</v>
      </c>
      <c r="L2331" t="n">
        <v>0</v>
      </c>
      <c r="M2331" t="n">
        <v>0</v>
      </c>
      <c r="N2331" t="n">
        <v>0</v>
      </c>
      <c r="O2331" t="n">
        <v>0</v>
      </c>
      <c r="P2331" t="n">
        <v>0</v>
      </c>
      <c r="Q2331" t="n">
        <v>0</v>
      </c>
      <c r="R2331" s="2" t="inlineStr"/>
    </row>
    <row r="2332" ht="15" customHeight="1">
      <c r="A2332" t="inlineStr">
        <is>
          <t>A 64561-2023</t>
        </is>
      </c>
      <c r="B2332" s="1" t="n">
        <v>45281</v>
      </c>
      <c r="C2332" s="1" t="n">
        <v>46114</v>
      </c>
      <c r="D2332" t="inlineStr">
        <is>
          <t>DALARNAS LÄN</t>
        </is>
      </c>
      <c r="E2332" t="inlineStr">
        <is>
          <t>AVESTA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64565-2023</t>
        </is>
      </c>
      <c r="B2333" s="1" t="n">
        <v>45281</v>
      </c>
      <c r="C2333" s="1" t="n">
        <v>46114</v>
      </c>
      <c r="D2333" t="inlineStr">
        <is>
          <t>DALARNAS LÄN</t>
        </is>
      </c>
      <c r="E2333" t="inlineStr">
        <is>
          <t>SÄTER</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64610-2023</t>
        </is>
      </c>
      <c r="B2334" s="1" t="n">
        <v>45281</v>
      </c>
      <c r="C2334" s="1" t="n">
        <v>46114</v>
      </c>
      <c r="D2334" t="inlineStr">
        <is>
          <t>DALARNAS LÄN</t>
        </is>
      </c>
      <c r="E2334" t="inlineStr">
        <is>
          <t>SÄTER</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19880-2025</t>
        </is>
      </c>
      <c r="B2335" s="1" t="n">
        <v>45771.55671296296</v>
      </c>
      <c r="C2335" s="1" t="n">
        <v>46114</v>
      </c>
      <c r="D2335" t="inlineStr">
        <is>
          <t>DALARNAS LÄN</t>
        </is>
      </c>
      <c r="E2335" t="inlineStr">
        <is>
          <t>FALUN</t>
        </is>
      </c>
      <c r="F2335" t="inlineStr">
        <is>
          <t>Bergvik skog väst AB</t>
        </is>
      </c>
      <c r="G2335" t="n">
        <v>11.4</v>
      </c>
      <c r="H2335" t="n">
        <v>0</v>
      </c>
      <c r="I2335" t="n">
        <v>0</v>
      </c>
      <c r="J2335" t="n">
        <v>0</v>
      </c>
      <c r="K2335" t="n">
        <v>0</v>
      </c>
      <c r="L2335" t="n">
        <v>0</v>
      </c>
      <c r="M2335" t="n">
        <v>0</v>
      </c>
      <c r="N2335" t="n">
        <v>0</v>
      </c>
      <c r="O2335" t="n">
        <v>0</v>
      </c>
      <c r="P2335" t="n">
        <v>0</v>
      </c>
      <c r="Q2335" t="n">
        <v>0</v>
      </c>
      <c r="R2335" s="2" t="inlineStr"/>
    </row>
    <row r="2336" ht="15" customHeight="1">
      <c r="A2336" t="inlineStr">
        <is>
          <t>A 45099-2024</t>
        </is>
      </c>
      <c r="B2336" s="1" t="n">
        <v>45575.58675925926</v>
      </c>
      <c r="C2336" s="1" t="n">
        <v>46114</v>
      </c>
      <c r="D2336" t="inlineStr">
        <is>
          <t>DALARNAS LÄN</t>
        </is>
      </c>
      <c r="E2336" t="inlineStr">
        <is>
          <t>SÄTER</t>
        </is>
      </c>
      <c r="F2336" t="inlineStr">
        <is>
          <t>Bergvik skog väst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18702-2025</t>
        </is>
      </c>
      <c r="B2337" s="1" t="n">
        <v>45763.63166666667</v>
      </c>
      <c r="C2337" s="1" t="n">
        <v>46114</v>
      </c>
      <c r="D2337" t="inlineStr">
        <is>
          <t>DALARNAS LÄN</t>
        </is>
      </c>
      <c r="E2337" t="inlineStr">
        <is>
          <t>MORA</t>
        </is>
      </c>
      <c r="G2337" t="n">
        <v>3.6</v>
      </c>
      <c r="H2337" t="n">
        <v>0</v>
      </c>
      <c r="I2337" t="n">
        <v>0</v>
      </c>
      <c r="J2337" t="n">
        <v>0</v>
      </c>
      <c r="K2337" t="n">
        <v>0</v>
      </c>
      <c r="L2337" t="n">
        <v>0</v>
      </c>
      <c r="M2337" t="n">
        <v>0</v>
      </c>
      <c r="N2337" t="n">
        <v>0</v>
      </c>
      <c r="O2337" t="n">
        <v>0</v>
      </c>
      <c r="P2337" t="n">
        <v>0</v>
      </c>
      <c r="Q2337" t="n">
        <v>0</v>
      </c>
      <c r="R2337" s="2" t="inlineStr"/>
    </row>
    <row r="2338" ht="15" customHeight="1">
      <c r="A2338" t="inlineStr">
        <is>
          <t>A 49063-2023</t>
        </is>
      </c>
      <c r="B2338" s="1" t="n">
        <v>45210</v>
      </c>
      <c r="C2338" s="1" t="n">
        <v>46114</v>
      </c>
      <c r="D2338" t="inlineStr">
        <is>
          <t>DALARNAS LÄN</t>
        </is>
      </c>
      <c r="E2338" t="inlineStr">
        <is>
          <t>ÄLVDALEN</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52059-2024</t>
        </is>
      </c>
      <c r="B2339" s="1" t="n">
        <v>45608.35609953704</v>
      </c>
      <c r="C2339" s="1" t="n">
        <v>46114</v>
      </c>
      <c r="D2339" t="inlineStr">
        <is>
          <t>DALARNAS LÄN</t>
        </is>
      </c>
      <c r="E2339" t="inlineStr">
        <is>
          <t>LEKSAND</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45161-2021</t>
        </is>
      </c>
      <c r="B2340" s="1" t="n">
        <v>44439.48746527778</v>
      </c>
      <c r="C2340" s="1" t="n">
        <v>46114</v>
      </c>
      <c r="D2340" t="inlineStr">
        <is>
          <t>DALARNAS LÄN</t>
        </is>
      </c>
      <c r="E2340" t="inlineStr">
        <is>
          <t>SÄTER</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12490-2025</t>
        </is>
      </c>
      <c r="B2341" s="1" t="n">
        <v>45730.59239583334</v>
      </c>
      <c r="C2341" s="1" t="n">
        <v>46114</v>
      </c>
      <c r="D2341" t="inlineStr">
        <is>
          <t>DALARNAS LÄN</t>
        </is>
      </c>
      <c r="E2341" t="inlineStr">
        <is>
          <t>MORA</t>
        </is>
      </c>
      <c r="F2341" t="inlineStr">
        <is>
          <t>Bergvik skog öst AB</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21839-2022</t>
        </is>
      </c>
      <c r="B2342" s="1" t="n">
        <v>44711</v>
      </c>
      <c r="C2342" s="1" t="n">
        <v>46114</v>
      </c>
      <c r="D2342" t="inlineStr">
        <is>
          <t>DALARNAS LÄN</t>
        </is>
      </c>
      <c r="E2342" t="inlineStr">
        <is>
          <t>LEKSAND</t>
        </is>
      </c>
      <c r="F2342" t="inlineStr">
        <is>
          <t>Bergvik skog väst AB</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15767-2023</t>
        </is>
      </c>
      <c r="B2343" s="1" t="n">
        <v>45021</v>
      </c>
      <c r="C2343" s="1" t="n">
        <v>46114</v>
      </c>
      <c r="D2343" t="inlineStr">
        <is>
          <t>DALARNAS LÄN</t>
        </is>
      </c>
      <c r="E2343" t="inlineStr">
        <is>
          <t>RÄTTVIK</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46454-2024</t>
        </is>
      </c>
      <c r="B2344" s="1" t="n">
        <v>45582</v>
      </c>
      <c r="C2344" s="1" t="n">
        <v>46114</v>
      </c>
      <c r="D2344" t="inlineStr">
        <is>
          <t>DALARNAS LÄN</t>
        </is>
      </c>
      <c r="E2344" t="inlineStr">
        <is>
          <t>ORSA</t>
        </is>
      </c>
      <c r="F2344" t="inlineStr">
        <is>
          <t>Övriga statliga verk och myndigheter</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1898-2025</t>
        </is>
      </c>
      <c r="B2345" s="1" t="n">
        <v>45671.64038194445</v>
      </c>
      <c r="C2345" s="1" t="n">
        <v>46114</v>
      </c>
      <c r="D2345" t="inlineStr">
        <is>
          <t>DALARNAS LÄN</t>
        </is>
      </c>
      <c r="E2345" t="inlineStr">
        <is>
          <t>AVESTA</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55230-2024</t>
        </is>
      </c>
      <c r="B2346" s="1" t="n">
        <v>45621.57976851852</v>
      </c>
      <c r="C2346" s="1" t="n">
        <v>46114</v>
      </c>
      <c r="D2346" t="inlineStr">
        <is>
          <t>DALARNAS LÄN</t>
        </is>
      </c>
      <c r="E2346" t="inlineStr">
        <is>
          <t>MALUNG-SÄLEN</t>
        </is>
      </c>
      <c r="F2346" t="inlineStr">
        <is>
          <t>Kommuner</t>
        </is>
      </c>
      <c r="G2346" t="n">
        <v>3.6</v>
      </c>
      <c r="H2346" t="n">
        <v>0</v>
      </c>
      <c r="I2346" t="n">
        <v>0</v>
      </c>
      <c r="J2346" t="n">
        <v>0</v>
      </c>
      <c r="K2346" t="n">
        <v>0</v>
      </c>
      <c r="L2346" t="n">
        <v>0</v>
      </c>
      <c r="M2346" t="n">
        <v>0</v>
      </c>
      <c r="N2346" t="n">
        <v>0</v>
      </c>
      <c r="O2346" t="n">
        <v>0</v>
      </c>
      <c r="P2346" t="n">
        <v>0</v>
      </c>
      <c r="Q2346" t="n">
        <v>0</v>
      </c>
      <c r="R2346" s="2" t="inlineStr"/>
    </row>
    <row r="2347" ht="15" customHeight="1">
      <c r="A2347" t="inlineStr">
        <is>
          <t>A 55267-2024</t>
        </is>
      </c>
      <c r="B2347" s="1" t="n">
        <v>45621.60984953704</v>
      </c>
      <c r="C2347" s="1" t="n">
        <v>46114</v>
      </c>
      <c r="D2347" t="inlineStr">
        <is>
          <t>DALARNAS LÄN</t>
        </is>
      </c>
      <c r="E2347" t="inlineStr">
        <is>
          <t>VANSBRO</t>
        </is>
      </c>
      <c r="F2347" t="inlineStr">
        <is>
          <t>Bergvik skog väst AB</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55268-2024</t>
        </is>
      </c>
      <c r="B2348" s="1" t="n">
        <v>45621.61266203703</v>
      </c>
      <c r="C2348" s="1" t="n">
        <v>46114</v>
      </c>
      <c r="D2348" t="inlineStr">
        <is>
          <t>DALARNAS LÄN</t>
        </is>
      </c>
      <c r="E2348" t="inlineStr">
        <is>
          <t>LEKSAND</t>
        </is>
      </c>
      <c r="G2348" t="n">
        <v>4.2</v>
      </c>
      <c r="H2348" t="n">
        <v>0</v>
      </c>
      <c r="I2348" t="n">
        <v>0</v>
      </c>
      <c r="J2348" t="n">
        <v>0</v>
      </c>
      <c r="K2348" t="n">
        <v>0</v>
      </c>
      <c r="L2348" t="n">
        <v>0</v>
      </c>
      <c r="M2348" t="n">
        <v>0</v>
      </c>
      <c r="N2348" t="n">
        <v>0</v>
      </c>
      <c r="O2348" t="n">
        <v>0</v>
      </c>
      <c r="P2348" t="n">
        <v>0</v>
      </c>
      <c r="Q2348" t="n">
        <v>0</v>
      </c>
      <c r="R2348" s="2" t="inlineStr"/>
    </row>
    <row r="2349" ht="15" customHeight="1">
      <c r="A2349" t="inlineStr">
        <is>
          <t>A 55263-2023</t>
        </is>
      </c>
      <c r="B2349" s="1" t="n">
        <v>45231</v>
      </c>
      <c r="C2349" s="1" t="n">
        <v>46114</v>
      </c>
      <c r="D2349" t="inlineStr">
        <is>
          <t>DALARNAS LÄN</t>
        </is>
      </c>
      <c r="E2349" t="inlineStr">
        <is>
          <t>RÄTTVIK</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55270-2023</t>
        </is>
      </c>
      <c r="B2350" s="1" t="n">
        <v>45231</v>
      </c>
      <c r="C2350" s="1" t="n">
        <v>46114</v>
      </c>
      <c r="D2350" t="inlineStr">
        <is>
          <t>DALARNAS LÄN</t>
        </is>
      </c>
      <c r="E2350" t="inlineStr">
        <is>
          <t>RÄTTVIK</t>
        </is>
      </c>
      <c r="G2350" t="n">
        <v>5.9</v>
      </c>
      <c r="H2350" t="n">
        <v>0</v>
      </c>
      <c r="I2350" t="n">
        <v>0</v>
      </c>
      <c r="J2350" t="n">
        <v>0</v>
      </c>
      <c r="K2350" t="n">
        <v>0</v>
      </c>
      <c r="L2350" t="n">
        <v>0</v>
      </c>
      <c r="M2350" t="n">
        <v>0</v>
      </c>
      <c r="N2350" t="n">
        <v>0</v>
      </c>
      <c r="O2350" t="n">
        <v>0</v>
      </c>
      <c r="P2350" t="n">
        <v>0</v>
      </c>
      <c r="Q2350" t="n">
        <v>0</v>
      </c>
      <c r="R2350" s="2" t="inlineStr"/>
    </row>
    <row r="2351" ht="15" customHeight="1">
      <c r="A2351" t="inlineStr">
        <is>
          <t>A 26752-2023</t>
        </is>
      </c>
      <c r="B2351" s="1" t="n">
        <v>45093.44674768519</v>
      </c>
      <c r="C2351" s="1" t="n">
        <v>46114</v>
      </c>
      <c r="D2351" t="inlineStr">
        <is>
          <t>DALARNAS LÄN</t>
        </is>
      </c>
      <c r="E2351" t="inlineStr">
        <is>
          <t>MALUNG-SÄLEN</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8743-2023</t>
        </is>
      </c>
      <c r="B2352" s="1" t="n">
        <v>44978</v>
      </c>
      <c r="C2352" s="1" t="n">
        <v>46114</v>
      </c>
      <c r="D2352" t="inlineStr">
        <is>
          <t>DALARNAS LÄN</t>
        </is>
      </c>
      <c r="E2352" t="inlineStr">
        <is>
          <t>LEKSAND</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45349-2024</t>
        </is>
      </c>
      <c r="B2353" s="1" t="n">
        <v>45576</v>
      </c>
      <c r="C2353" s="1" t="n">
        <v>46114</v>
      </c>
      <c r="D2353" t="inlineStr">
        <is>
          <t>DALARNAS LÄN</t>
        </is>
      </c>
      <c r="E2353" t="inlineStr">
        <is>
          <t>MORA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58871-2024</t>
        </is>
      </c>
      <c r="B2354" s="1" t="n">
        <v>45636.43981481482</v>
      </c>
      <c r="C2354" s="1" t="n">
        <v>46114</v>
      </c>
      <c r="D2354" t="inlineStr">
        <is>
          <t>DALARNAS LÄN</t>
        </is>
      </c>
      <c r="E2354" t="inlineStr">
        <is>
          <t>MALUNG-SÄLEN</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34882-2022</t>
        </is>
      </c>
      <c r="B2355" s="1" t="n">
        <v>44796.504375</v>
      </c>
      <c r="C2355" s="1" t="n">
        <v>46114</v>
      </c>
      <c r="D2355" t="inlineStr">
        <is>
          <t>DALARNAS LÄN</t>
        </is>
      </c>
      <c r="E2355" t="inlineStr">
        <is>
          <t>VANSBRO</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15020-2023</t>
        </is>
      </c>
      <c r="B2356" s="1" t="n">
        <v>45015.6196412037</v>
      </c>
      <c r="C2356" s="1" t="n">
        <v>46114</v>
      </c>
      <c r="D2356" t="inlineStr">
        <is>
          <t>DALARNAS LÄN</t>
        </is>
      </c>
      <c r="E2356" t="inlineStr">
        <is>
          <t>LEKSAND</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58508-2022</t>
        </is>
      </c>
      <c r="B2357" s="1" t="n">
        <v>44902.39201388889</v>
      </c>
      <c r="C2357" s="1" t="n">
        <v>46114</v>
      </c>
      <c r="D2357" t="inlineStr">
        <is>
          <t>DALARNAS LÄN</t>
        </is>
      </c>
      <c r="E2357" t="inlineStr">
        <is>
          <t>FALUN</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13577-2023</t>
        </is>
      </c>
      <c r="B2358" s="1" t="n">
        <v>45006.54171296296</v>
      </c>
      <c r="C2358" s="1" t="n">
        <v>46114</v>
      </c>
      <c r="D2358" t="inlineStr">
        <is>
          <t>DALARNAS LÄN</t>
        </is>
      </c>
      <c r="E2358" t="inlineStr">
        <is>
          <t>FALUN</t>
        </is>
      </c>
      <c r="G2358" t="n">
        <v>6.2</v>
      </c>
      <c r="H2358" t="n">
        <v>0</v>
      </c>
      <c r="I2358" t="n">
        <v>0</v>
      </c>
      <c r="J2358" t="n">
        <v>0</v>
      </c>
      <c r="K2358" t="n">
        <v>0</v>
      </c>
      <c r="L2358" t="n">
        <v>0</v>
      </c>
      <c r="M2358" t="n">
        <v>0</v>
      </c>
      <c r="N2358" t="n">
        <v>0</v>
      </c>
      <c r="O2358" t="n">
        <v>0</v>
      </c>
      <c r="P2358" t="n">
        <v>0</v>
      </c>
      <c r="Q2358" t="n">
        <v>0</v>
      </c>
      <c r="R2358" s="2" t="inlineStr"/>
    </row>
    <row r="2359" ht="15" customHeight="1">
      <c r="A2359" t="inlineStr">
        <is>
          <t>A 1624-2024</t>
        </is>
      </c>
      <c r="B2359" s="1" t="n">
        <v>45306</v>
      </c>
      <c r="C2359" s="1" t="n">
        <v>46114</v>
      </c>
      <c r="D2359" t="inlineStr">
        <is>
          <t>DALARNAS LÄN</t>
        </is>
      </c>
      <c r="E2359" t="inlineStr">
        <is>
          <t>ORSA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3643-2024</t>
        </is>
      </c>
      <c r="B2360" s="1" t="n">
        <v>45321.30668981482</v>
      </c>
      <c r="C2360" s="1" t="n">
        <v>46114</v>
      </c>
      <c r="D2360" t="inlineStr">
        <is>
          <t>DALARNAS LÄN</t>
        </is>
      </c>
      <c r="E2360" t="inlineStr">
        <is>
          <t>RÄTTVIK</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60649-2024</t>
        </is>
      </c>
      <c r="B2361" s="1" t="n">
        <v>45644.4359375</v>
      </c>
      <c r="C2361" s="1" t="n">
        <v>46114</v>
      </c>
      <c r="D2361" t="inlineStr">
        <is>
          <t>DALARNAS LÄN</t>
        </is>
      </c>
      <c r="E2361" t="inlineStr">
        <is>
          <t>MALUNG-SÄLEN</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8552-2023</t>
        </is>
      </c>
      <c r="B2362" s="1" t="n">
        <v>44977.61744212963</v>
      </c>
      <c r="C2362" s="1" t="n">
        <v>46114</v>
      </c>
      <c r="D2362" t="inlineStr">
        <is>
          <t>DALARNAS LÄN</t>
        </is>
      </c>
      <c r="E2362" t="inlineStr">
        <is>
          <t>RÄTTVIK</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26622-2023</t>
        </is>
      </c>
      <c r="B2363" s="1" t="n">
        <v>45092.70679398148</v>
      </c>
      <c r="C2363" s="1" t="n">
        <v>46114</v>
      </c>
      <c r="D2363" t="inlineStr">
        <is>
          <t>DALARNAS LÄN</t>
        </is>
      </c>
      <c r="E2363" t="inlineStr">
        <is>
          <t>GAGNEF</t>
        </is>
      </c>
      <c r="F2363" t="inlineStr">
        <is>
          <t>Bergvik skog väst AB</t>
        </is>
      </c>
      <c r="G2363" t="n">
        <v>10.5</v>
      </c>
      <c r="H2363" t="n">
        <v>0</v>
      </c>
      <c r="I2363" t="n">
        <v>0</v>
      </c>
      <c r="J2363" t="n">
        <v>0</v>
      </c>
      <c r="K2363" t="n">
        <v>0</v>
      </c>
      <c r="L2363" t="n">
        <v>0</v>
      </c>
      <c r="M2363" t="n">
        <v>0</v>
      </c>
      <c r="N2363" t="n">
        <v>0</v>
      </c>
      <c r="O2363" t="n">
        <v>0</v>
      </c>
      <c r="P2363" t="n">
        <v>0</v>
      </c>
      <c r="Q2363" t="n">
        <v>0</v>
      </c>
      <c r="R2363" s="2" t="inlineStr"/>
    </row>
    <row r="2364" ht="15" customHeight="1">
      <c r="A2364" t="inlineStr">
        <is>
          <t>A 20623-2022</t>
        </is>
      </c>
      <c r="B2364" s="1" t="n">
        <v>44700</v>
      </c>
      <c r="C2364" s="1" t="n">
        <v>46114</v>
      </c>
      <c r="D2364" t="inlineStr">
        <is>
          <t>DALARNAS LÄN</t>
        </is>
      </c>
      <c r="E2364" t="inlineStr">
        <is>
          <t>SMEDJEBACKEN</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55671-2024</t>
        </is>
      </c>
      <c r="B2365" s="1" t="n">
        <v>45622.65269675926</v>
      </c>
      <c r="C2365" s="1" t="n">
        <v>46114</v>
      </c>
      <c r="D2365" t="inlineStr">
        <is>
          <t>DALARNAS LÄN</t>
        </is>
      </c>
      <c r="E2365" t="inlineStr">
        <is>
          <t>MORA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37971-2024</t>
        </is>
      </c>
      <c r="B2366" s="1" t="n">
        <v>45544</v>
      </c>
      <c r="C2366" s="1" t="n">
        <v>46114</v>
      </c>
      <c r="D2366" t="inlineStr">
        <is>
          <t>DALARNAS LÄN</t>
        </is>
      </c>
      <c r="E2366" t="inlineStr">
        <is>
          <t>MORA</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28312-2022</t>
        </is>
      </c>
      <c r="B2367" s="1" t="n">
        <v>44747.36041666667</v>
      </c>
      <c r="C2367" s="1" t="n">
        <v>46114</v>
      </c>
      <c r="D2367" t="inlineStr">
        <is>
          <t>DALARNAS LÄN</t>
        </is>
      </c>
      <c r="E2367" t="inlineStr">
        <is>
          <t>BORLÄNGE</t>
        </is>
      </c>
      <c r="G2367" t="n">
        <v>2.4</v>
      </c>
      <c r="H2367" t="n">
        <v>0</v>
      </c>
      <c r="I2367" t="n">
        <v>0</v>
      </c>
      <c r="J2367" t="n">
        <v>0</v>
      </c>
      <c r="K2367" t="n">
        <v>0</v>
      </c>
      <c r="L2367" t="n">
        <v>0</v>
      </c>
      <c r="M2367" t="n">
        <v>0</v>
      </c>
      <c r="N2367" t="n">
        <v>0</v>
      </c>
      <c r="O2367" t="n">
        <v>0</v>
      </c>
      <c r="P2367" t="n">
        <v>0</v>
      </c>
      <c r="Q2367" t="n">
        <v>0</v>
      </c>
      <c r="R2367" s="2" t="inlineStr"/>
    </row>
    <row r="2368" ht="15" customHeight="1">
      <c r="A2368" t="inlineStr">
        <is>
          <t>A 46905-2023</t>
        </is>
      </c>
      <c r="B2368" s="1" t="n">
        <v>45201.37068287037</v>
      </c>
      <c r="C2368" s="1" t="n">
        <v>46114</v>
      </c>
      <c r="D2368" t="inlineStr">
        <is>
          <t>DALARNAS LÄN</t>
        </is>
      </c>
      <c r="E2368" t="inlineStr">
        <is>
          <t>RÄTTVIK</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43725-2021</t>
        </is>
      </c>
      <c r="B2369" s="1" t="n">
        <v>44433</v>
      </c>
      <c r="C2369" s="1" t="n">
        <v>46114</v>
      </c>
      <c r="D2369" t="inlineStr">
        <is>
          <t>DALARNAS LÄN</t>
        </is>
      </c>
      <c r="E2369" t="inlineStr">
        <is>
          <t>SÄTER</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30737-2024</t>
        </is>
      </c>
      <c r="B2370" s="1" t="n">
        <v>45496.64188657407</v>
      </c>
      <c r="C2370" s="1" t="n">
        <v>46114</v>
      </c>
      <c r="D2370" t="inlineStr">
        <is>
          <t>DALARNAS LÄN</t>
        </is>
      </c>
      <c r="E2370" t="inlineStr">
        <is>
          <t>AVESTA</t>
        </is>
      </c>
      <c r="F2370" t="inlineStr">
        <is>
          <t>Sveaskog</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61070-2024</t>
        </is>
      </c>
      <c r="B2371" s="1" t="n">
        <v>45645.50170138889</v>
      </c>
      <c r="C2371" s="1" t="n">
        <v>46114</v>
      </c>
      <c r="D2371" t="inlineStr">
        <is>
          <t>DALARNAS LÄN</t>
        </is>
      </c>
      <c r="E2371" t="inlineStr">
        <is>
          <t>ÄLVDALEN</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15360-2023</t>
        </is>
      </c>
      <c r="B2372" s="1" t="n">
        <v>45019</v>
      </c>
      <c r="C2372" s="1" t="n">
        <v>46114</v>
      </c>
      <c r="D2372" t="inlineStr">
        <is>
          <t>DALARNAS LÄN</t>
        </is>
      </c>
      <c r="E2372" t="inlineStr">
        <is>
          <t>SMEDJEBACKEN</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15361-2023</t>
        </is>
      </c>
      <c r="B2373" s="1" t="n">
        <v>45019</v>
      </c>
      <c r="C2373" s="1" t="n">
        <v>46114</v>
      </c>
      <c r="D2373" t="inlineStr">
        <is>
          <t>DALARNAS LÄN</t>
        </is>
      </c>
      <c r="E2373" t="inlineStr">
        <is>
          <t>AVESTA</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12249-2025</t>
        </is>
      </c>
      <c r="B2374" s="1" t="n">
        <v>45729.60373842593</v>
      </c>
      <c r="C2374" s="1" t="n">
        <v>46114</v>
      </c>
      <c r="D2374" t="inlineStr">
        <is>
          <t>DALARNAS LÄN</t>
        </is>
      </c>
      <c r="E2374" t="inlineStr">
        <is>
          <t>AVESTA</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5085-2024</t>
        </is>
      </c>
      <c r="B2375" s="1" t="n">
        <v>45330.34628472223</v>
      </c>
      <c r="C2375" s="1" t="n">
        <v>46114</v>
      </c>
      <c r="D2375" t="inlineStr">
        <is>
          <t>DALARNAS LÄN</t>
        </is>
      </c>
      <c r="E2375" t="inlineStr">
        <is>
          <t>FALUN</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58864-2024</t>
        </is>
      </c>
      <c r="B2376" s="1" t="n">
        <v>45636.41715277778</v>
      </c>
      <c r="C2376" s="1" t="n">
        <v>46114</v>
      </c>
      <c r="D2376" t="inlineStr">
        <is>
          <t>DALARNAS LÄN</t>
        </is>
      </c>
      <c r="E2376" t="inlineStr">
        <is>
          <t>SÄTER</t>
        </is>
      </c>
      <c r="G2376" t="n">
        <v>10.9</v>
      </c>
      <c r="H2376" t="n">
        <v>0</v>
      </c>
      <c r="I2376" t="n">
        <v>0</v>
      </c>
      <c r="J2376" t="n">
        <v>0</v>
      </c>
      <c r="K2376" t="n">
        <v>0</v>
      </c>
      <c r="L2376" t="n">
        <v>0</v>
      </c>
      <c r="M2376" t="n">
        <v>0</v>
      </c>
      <c r="N2376" t="n">
        <v>0</v>
      </c>
      <c r="O2376" t="n">
        <v>0</v>
      </c>
      <c r="P2376" t="n">
        <v>0</v>
      </c>
      <c r="Q2376" t="n">
        <v>0</v>
      </c>
      <c r="R2376" s="2" t="inlineStr"/>
    </row>
    <row r="2377" ht="15" customHeight="1">
      <c r="A2377" t="inlineStr">
        <is>
          <t>A 39674-2023</t>
        </is>
      </c>
      <c r="B2377" s="1" t="n">
        <v>45167</v>
      </c>
      <c r="C2377" s="1" t="n">
        <v>46114</v>
      </c>
      <c r="D2377" t="inlineStr">
        <is>
          <t>DALARNAS LÄN</t>
        </is>
      </c>
      <c r="E2377" t="inlineStr">
        <is>
          <t>MORA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58018-2022</t>
        </is>
      </c>
      <c r="B2378" s="1" t="n">
        <v>44900.53383101852</v>
      </c>
      <c r="C2378" s="1" t="n">
        <v>46114</v>
      </c>
      <c r="D2378" t="inlineStr">
        <is>
          <t>DALARNAS LÄN</t>
        </is>
      </c>
      <c r="E2378" t="inlineStr">
        <is>
          <t>HEDEMORA</t>
        </is>
      </c>
      <c r="G2378" t="n">
        <v>3.6</v>
      </c>
      <c r="H2378" t="n">
        <v>0</v>
      </c>
      <c r="I2378" t="n">
        <v>0</v>
      </c>
      <c r="J2378" t="n">
        <v>0</v>
      </c>
      <c r="K2378" t="n">
        <v>0</v>
      </c>
      <c r="L2378" t="n">
        <v>0</v>
      </c>
      <c r="M2378" t="n">
        <v>0</v>
      </c>
      <c r="N2378" t="n">
        <v>0</v>
      </c>
      <c r="O2378" t="n">
        <v>0</v>
      </c>
      <c r="P2378" t="n">
        <v>0</v>
      </c>
      <c r="Q2378" t="n">
        <v>0</v>
      </c>
      <c r="R2378" s="2" t="inlineStr"/>
    </row>
    <row r="2379" ht="15" customHeight="1">
      <c r="A2379" t="inlineStr">
        <is>
          <t>A 57470-2023</t>
        </is>
      </c>
      <c r="B2379" s="1" t="n">
        <v>45246</v>
      </c>
      <c r="C2379" s="1" t="n">
        <v>46114</v>
      </c>
      <c r="D2379" t="inlineStr">
        <is>
          <t>DALARNAS LÄN</t>
        </is>
      </c>
      <c r="E2379" t="inlineStr">
        <is>
          <t>ÄLVDALEN</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57533-2023</t>
        </is>
      </c>
      <c r="B2380" s="1" t="n">
        <v>45246</v>
      </c>
      <c r="C2380" s="1" t="n">
        <v>46114</v>
      </c>
      <c r="D2380" t="inlineStr">
        <is>
          <t>DALARNAS LÄN</t>
        </is>
      </c>
      <c r="E2380" t="inlineStr">
        <is>
          <t>BORLÄNGE</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28660-2024</t>
        </is>
      </c>
      <c r="B2381" s="1" t="n">
        <v>45478</v>
      </c>
      <c r="C2381" s="1" t="n">
        <v>46114</v>
      </c>
      <c r="D2381" t="inlineStr">
        <is>
          <t>DALARNAS LÄN</t>
        </is>
      </c>
      <c r="E2381" t="inlineStr">
        <is>
          <t>RÄTTVIK</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52323-2023</t>
        </is>
      </c>
      <c r="B2382" s="1" t="n">
        <v>45224.64626157407</v>
      </c>
      <c r="C2382" s="1" t="n">
        <v>46114</v>
      </c>
      <c r="D2382" t="inlineStr">
        <is>
          <t>DALARNAS LÄN</t>
        </is>
      </c>
      <c r="E2382" t="inlineStr">
        <is>
          <t>MALUNG-SÄLEN</t>
        </is>
      </c>
      <c r="F2382" t="inlineStr">
        <is>
          <t>Bergvik skog öst AB</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31958-2024</t>
        </is>
      </c>
      <c r="B2383" s="1" t="n">
        <v>45510.51506944445</v>
      </c>
      <c r="C2383" s="1" t="n">
        <v>46114</v>
      </c>
      <c r="D2383" t="inlineStr">
        <is>
          <t>DALARNAS LÄN</t>
        </is>
      </c>
      <c r="E2383" t="inlineStr">
        <is>
          <t>LUDVIKA</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17759-2023</t>
        </is>
      </c>
      <c r="B2384" s="1" t="n">
        <v>45037.48765046296</v>
      </c>
      <c r="C2384" s="1" t="n">
        <v>46114</v>
      </c>
      <c r="D2384" t="inlineStr">
        <is>
          <t>DALARNAS LÄN</t>
        </is>
      </c>
      <c r="E2384" t="inlineStr">
        <is>
          <t>LEKSAND</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43713-2024</t>
        </is>
      </c>
      <c r="B2385" s="1" t="n">
        <v>45569.60569444444</v>
      </c>
      <c r="C2385" s="1" t="n">
        <v>46114</v>
      </c>
      <c r="D2385" t="inlineStr">
        <is>
          <t>DALARNAS LÄN</t>
        </is>
      </c>
      <c r="E2385" t="inlineStr">
        <is>
          <t>BORLÄNGE</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68204-2021</t>
        </is>
      </c>
      <c r="B2386" s="1" t="n">
        <v>44526</v>
      </c>
      <c r="C2386" s="1" t="n">
        <v>46114</v>
      </c>
      <c r="D2386" t="inlineStr">
        <is>
          <t>DALARNAS LÄN</t>
        </is>
      </c>
      <c r="E2386" t="inlineStr">
        <is>
          <t>ÄLVDALEN</t>
        </is>
      </c>
      <c r="F2386" t="inlineStr">
        <is>
          <t>Kyrkan</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32015-2024</t>
        </is>
      </c>
      <c r="B2387" s="1" t="n">
        <v>45510.63439814815</v>
      </c>
      <c r="C2387" s="1" t="n">
        <v>46114</v>
      </c>
      <c r="D2387" t="inlineStr">
        <is>
          <t>DALARNAS LÄN</t>
        </is>
      </c>
      <c r="E2387" t="inlineStr">
        <is>
          <t>MALUNG-SÄLEN</t>
        </is>
      </c>
      <c r="F2387" t="inlineStr">
        <is>
          <t>Bergvik skog väst AB</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52429-2023</t>
        </is>
      </c>
      <c r="B2388" s="1" t="n">
        <v>45225.32844907408</v>
      </c>
      <c r="C2388" s="1" t="n">
        <v>46114</v>
      </c>
      <c r="D2388" t="inlineStr">
        <is>
          <t>DALARNAS LÄN</t>
        </is>
      </c>
      <c r="E2388" t="inlineStr">
        <is>
          <t>MALUNG-SÄLEN</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2941-2024</t>
        </is>
      </c>
      <c r="B2389" s="1" t="n">
        <v>45315.61822916667</v>
      </c>
      <c r="C2389" s="1" t="n">
        <v>46114</v>
      </c>
      <c r="D2389" t="inlineStr">
        <is>
          <t>DALARNAS LÄN</t>
        </is>
      </c>
      <c r="E2389" t="inlineStr">
        <is>
          <t>VANSBRO</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8666-2025</t>
        </is>
      </c>
      <c r="B2390" s="1" t="n">
        <v>45712.41024305556</v>
      </c>
      <c r="C2390" s="1" t="n">
        <v>46114</v>
      </c>
      <c r="D2390" t="inlineStr">
        <is>
          <t>DALARNAS LÄN</t>
        </is>
      </c>
      <c r="E2390" t="inlineStr">
        <is>
          <t>FALUN</t>
        </is>
      </c>
      <c r="G2390" t="n">
        <v>6.2</v>
      </c>
      <c r="H2390" t="n">
        <v>0</v>
      </c>
      <c r="I2390" t="n">
        <v>0</v>
      </c>
      <c r="J2390" t="n">
        <v>0</v>
      </c>
      <c r="K2390" t="n">
        <v>0</v>
      </c>
      <c r="L2390" t="n">
        <v>0</v>
      </c>
      <c r="M2390" t="n">
        <v>0</v>
      </c>
      <c r="N2390" t="n">
        <v>0</v>
      </c>
      <c r="O2390" t="n">
        <v>0</v>
      </c>
      <c r="P2390" t="n">
        <v>0</v>
      </c>
      <c r="Q2390" t="n">
        <v>0</v>
      </c>
      <c r="R2390" s="2" t="inlineStr"/>
    </row>
    <row r="2391" ht="15" customHeight="1">
      <c r="A2391" t="inlineStr">
        <is>
          <t>A 17500-2025</t>
        </is>
      </c>
      <c r="B2391" s="1" t="n">
        <v>45757.54954861111</v>
      </c>
      <c r="C2391" s="1" t="n">
        <v>46114</v>
      </c>
      <c r="D2391" t="inlineStr">
        <is>
          <t>DALARNAS LÄN</t>
        </is>
      </c>
      <c r="E2391" t="inlineStr">
        <is>
          <t>ORSA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69483-2021</t>
        </is>
      </c>
      <c r="B2392" s="1" t="n">
        <v>44531</v>
      </c>
      <c r="C2392" s="1" t="n">
        <v>46114</v>
      </c>
      <c r="D2392" t="inlineStr">
        <is>
          <t>DALARNAS LÄN</t>
        </is>
      </c>
      <c r="E2392" t="inlineStr">
        <is>
          <t>MORA</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23934-2023</t>
        </is>
      </c>
      <c r="B2393" s="1" t="n">
        <v>45078.59590277778</v>
      </c>
      <c r="C2393" s="1" t="n">
        <v>46114</v>
      </c>
      <c r="D2393" t="inlineStr">
        <is>
          <t>DALARNAS LÄN</t>
        </is>
      </c>
      <c r="E2393" t="inlineStr">
        <is>
          <t>HEDEMORA</t>
        </is>
      </c>
      <c r="F2393" t="inlineStr">
        <is>
          <t>Sveaskog</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38569-2023</t>
        </is>
      </c>
      <c r="B2394" s="1" t="n">
        <v>45162.61471064815</v>
      </c>
      <c r="C2394" s="1" t="n">
        <v>46114</v>
      </c>
      <c r="D2394" t="inlineStr">
        <is>
          <t>DALARNAS LÄN</t>
        </is>
      </c>
      <c r="E2394" t="inlineStr">
        <is>
          <t>MALUNG-SÄLEN</t>
        </is>
      </c>
      <c r="F2394" t="inlineStr">
        <is>
          <t>Bergvik skog öst AB</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58842-2023</t>
        </is>
      </c>
      <c r="B2395" s="1" t="n">
        <v>45252</v>
      </c>
      <c r="C2395" s="1" t="n">
        <v>46114</v>
      </c>
      <c r="D2395" t="inlineStr">
        <is>
          <t>DALARNAS LÄN</t>
        </is>
      </c>
      <c r="E2395" t="inlineStr">
        <is>
          <t>FALUN</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47654-2024</t>
        </is>
      </c>
      <c r="B2396" s="1" t="n">
        <v>45588.38447916666</v>
      </c>
      <c r="C2396" s="1" t="n">
        <v>46114</v>
      </c>
      <c r="D2396" t="inlineStr">
        <is>
          <t>DALARNAS LÄN</t>
        </is>
      </c>
      <c r="E2396" t="inlineStr">
        <is>
          <t>SMEDJEBACKEN</t>
        </is>
      </c>
      <c r="F2396" t="inlineStr">
        <is>
          <t>Sveaskog</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47661-2024</t>
        </is>
      </c>
      <c r="B2397" s="1" t="n">
        <v>45588.3869212963</v>
      </c>
      <c r="C2397" s="1" t="n">
        <v>46114</v>
      </c>
      <c r="D2397" t="inlineStr">
        <is>
          <t>DALARNAS LÄN</t>
        </is>
      </c>
      <c r="E2397" t="inlineStr">
        <is>
          <t>SMEDJEBACKEN</t>
        </is>
      </c>
      <c r="F2397" t="inlineStr">
        <is>
          <t>Sveaskog</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9108-2024</t>
        </is>
      </c>
      <c r="B2398" s="1" t="n">
        <v>45357.96072916667</v>
      </c>
      <c r="C2398" s="1" t="n">
        <v>46114</v>
      </c>
      <c r="D2398" t="inlineStr">
        <is>
          <t>DALARNAS LÄN</t>
        </is>
      </c>
      <c r="E2398" t="inlineStr">
        <is>
          <t>ÄLVDALEN</t>
        </is>
      </c>
      <c r="F2398" t="inlineStr">
        <is>
          <t>Övriga Aktiebolag</t>
        </is>
      </c>
      <c r="G2398" t="n">
        <v>24.4</v>
      </c>
      <c r="H2398" t="n">
        <v>0</v>
      </c>
      <c r="I2398" t="n">
        <v>0</v>
      </c>
      <c r="J2398" t="n">
        <v>0</v>
      </c>
      <c r="K2398" t="n">
        <v>0</v>
      </c>
      <c r="L2398" t="n">
        <v>0</v>
      </c>
      <c r="M2398" t="n">
        <v>0</v>
      </c>
      <c r="N2398" t="n">
        <v>0</v>
      </c>
      <c r="O2398" t="n">
        <v>0</v>
      </c>
      <c r="P2398" t="n">
        <v>0</v>
      </c>
      <c r="Q2398" t="n">
        <v>0</v>
      </c>
      <c r="R2398" s="2" t="inlineStr"/>
    </row>
    <row r="2399" ht="15" customHeight="1">
      <c r="A2399" t="inlineStr">
        <is>
          <t>A 39734-2021</t>
        </is>
      </c>
      <c r="B2399" s="1" t="n">
        <v>44414</v>
      </c>
      <c r="C2399" s="1" t="n">
        <v>46114</v>
      </c>
      <c r="D2399" t="inlineStr">
        <is>
          <t>DALARNAS LÄN</t>
        </is>
      </c>
      <c r="E2399" t="inlineStr">
        <is>
          <t>SMEDJEBACKEN</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47666-2024</t>
        </is>
      </c>
      <c r="B2400" s="1" t="n">
        <v>45588.39283564815</v>
      </c>
      <c r="C2400" s="1" t="n">
        <v>46114</v>
      </c>
      <c r="D2400" t="inlineStr">
        <is>
          <t>DALARNAS LÄN</t>
        </is>
      </c>
      <c r="E2400" t="inlineStr">
        <is>
          <t>ÄLVDALEN</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31788-2022</t>
        </is>
      </c>
      <c r="B2401" s="1" t="n">
        <v>44776</v>
      </c>
      <c r="C2401" s="1" t="n">
        <v>46114</v>
      </c>
      <c r="D2401" t="inlineStr">
        <is>
          <t>DALARNAS LÄN</t>
        </is>
      </c>
      <c r="E2401" t="inlineStr">
        <is>
          <t>SMEDJEBACKEN</t>
        </is>
      </c>
      <c r="F2401" t="inlineStr">
        <is>
          <t>Bergvik skog väst AB</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40994-2024</t>
        </is>
      </c>
      <c r="B2402" s="1" t="n">
        <v>45558</v>
      </c>
      <c r="C2402" s="1" t="n">
        <v>46114</v>
      </c>
      <c r="D2402" t="inlineStr">
        <is>
          <t>DALARNAS LÄN</t>
        </is>
      </c>
      <c r="E2402" t="inlineStr">
        <is>
          <t>RÄTTVIK</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4407-2023</t>
        </is>
      </c>
      <c r="B2403" s="1" t="n">
        <v>44956</v>
      </c>
      <c r="C2403" s="1" t="n">
        <v>46114</v>
      </c>
      <c r="D2403" t="inlineStr">
        <is>
          <t>DALARNAS LÄN</t>
        </is>
      </c>
      <c r="E2403" t="inlineStr">
        <is>
          <t>SÄTER</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55202-2023</t>
        </is>
      </c>
      <c r="B2404" s="1" t="n">
        <v>45237.58881944444</v>
      </c>
      <c r="C2404" s="1" t="n">
        <v>46114</v>
      </c>
      <c r="D2404" t="inlineStr">
        <is>
          <t>DALARNAS LÄN</t>
        </is>
      </c>
      <c r="E2404" t="inlineStr">
        <is>
          <t>MALUNG-SÄLEN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37034-2024</t>
        </is>
      </c>
      <c r="B2405" s="1" t="n">
        <v>45539.40148148148</v>
      </c>
      <c r="C2405" s="1" t="n">
        <v>46114</v>
      </c>
      <c r="D2405" t="inlineStr">
        <is>
          <t>DALARNAS LÄN</t>
        </is>
      </c>
      <c r="E2405" t="inlineStr">
        <is>
          <t>RÄTTVIK</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3651-2024</t>
        </is>
      </c>
      <c r="B2406" s="1" t="n">
        <v>45321.33197916667</v>
      </c>
      <c r="C2406" s="1" t="n">
        <v>46114</v>
      </c>
      <c r="D2406" t="inlineStr">
        <is>
          <t>DALARNAS LÄN</t>
        </is>
      </c>
      <c r="E2406" t="inlineStr">
        <is>
          <t>RÄTTVIK</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3686-2024</t>
        </is>
      </c>
      <c r="B2407" s="1" t="n">
        <v>45321.40265046297</v>
      </c>
      <c r="C2407" s="1" t="n">
        <v>46114</v>
      </c>
      <c r="D2407" t="inlineStr">
        <is>
          <t>DALARNAS LÄN</t>
        </is>
      </c>
      <c r="E2407" t="inlineStr">
        <is>
          <t>RÄTTVIK</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4374-2024</t>
        </is>
      </c>
      <c r="B2408" s="1" t="n">
        <v>45326.73876157407</v>
      </c>
      <c r="C2408" s="1" t="n">
        <v>46114</v>
      </c>
      <c r="D2408" t="inlineStr">
        <is>
          <t>DALARNAS LÄN</t>
        </is>
      </c>
      <c r="E2408" t="inlineStr">
        <is>
          <t>GAGNEF</t>
        </is>
      </c>
      <c r="G2408" t="n">
        <v>3.5</v>
      </c>
      <c r="H2408" t="n">
        <v>0</v>
      </c>
      <c r="I2408" t="n">
        <v>0</v>
      </c>
      <c r="J2408" t="n">
        <v>0</v>
      </c>
      <c r="K2408" t="n">
        <v>0</v>
      </c>
      <c r="L2408" t="n">
        <v>0</v>
      </c>
      <c r="M2408" t="n">
        <v>0</v>
      </c>
      <c r="N2408" t="n">
        <v>0</v>
      </c>
      <c r="O2408" t="n">
        <v>0</v>
      </c>
      <c r="P2408" t="n">
        <v>0</v>
      </c>
      <c r="Q2408" t="n">
        <v>0</v>
      </c>
      <c r="R2408" s="2" t="inlineStr"/>
    </row>
    <row r="2409" ht="15" customHeight="1">
      <c r="A2409" t="inlineStr">
        <is>
          <t>A 7146-2024</t>
        </is>
      </c>
      <c r="B2409" s="1" t="n">
        <v>45344.38203703704</v>
      </c>
      <c r="C2409" s="1" t="n">
        <v>46114</v>
      </c>
      <c r="D2409" t="inlineStr">
        <is>
          <t>DALARNAS LÄN</t>
        </is>
      </c>
      <c r="E2409" t="inlineStr">
        <is>
          <t>RÄTTVIK</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37050-2024</t>
        </is>
      </c>
      <c r="B2410" s="1" t="n">
        <v>45539.43168981482</v>
      </c>
      <c r="C2410" s="1" t="n">
        <v>46114</v>
      </c>
      <c r="D2410" t="inlineStr">
        <is>
          <t>DALARNAS LÄN</t>
        </is>
      </c>
      <c r="E2410" t="inlineStr">
        <is>
          <t>RÄTTVIK</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72575-2021</t>
        </is>
      </c>
      <c r="B2411" s="1" t="n">
        <v>44546</v>
      </c>
      <c r="C2411" s="1" t="n">
        <v>46114</v>
      </c>
      <c r="D2411" t="inlineStr">
        <is>
          <t>DALARNAS LÄN</t>
        </is>
      </c>
      <c r="E2411" t="inlineStr">
        <is>
          <t>LEKSAND</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72581-2021</t>
        </is>
      </c>
      <c r="B2412" s="1" t="n">
        <v>44546.46354166666</v>
      </c>
      <c r="C2412" s="1" t="n">
        <v>46114</v>
      </c>
      <c r="D2412" t="inlineStr">
        <is>
          <t>DALARNAS LÄN</t>
        </is>
      </c>
      <c r="E2412" t="inlineStr">
        <is>
          <t>LEKSAND</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60922-2021</t>
        </is>
      </c>
      <c r="B2413" s="1" t="n">
        <v>44496</v>
      </c>
      <c r="C2413" s="1" t="n">
        <v>46114</v>
      </c>
      <c r="D2413" t="inlineStr">
        <is>
          <t>DALARNAS LÄN</t>
        </is>
      </c>
      <c r="E2413" t="inlineStr">
        <is>
          <t>SMEDJEBACKEN</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33140-2024</t>
        </is>
      </c>
      <c r="B2414" s="1" t="n">
        <v>45518.34582175926</v>
      </c>
      <c r="C2414" s="1" t="n">
        <v>46114</v>
      </c>
      <c r="D2414" t="inlineStr">
        <is>
          <t>DALARNAS LÄN</t>
        </is>
      </c>
      <c r="E2414" t="inlineStr">
        <is>
          <t>RÄTTVIK</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33143-2024</t>
        </is>
      </c>
      <c r="B2415" s="1" t="n">
        <v>45518</v>
      </c>
      <c r="C2415" s="1" t="n">
        <v>46114</v>
      </c>
      <c r="D2415" t="inlineStr">
        <is>
          <t>DALARNAS LÄN</t>
        </is>
      </c>
      <c r="E2415" t="inlineStr">
        <is>
          <t>LEKSAND</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61872-2024</t>
        </is>
      </c>
      <c r="B2416" s="1" t="n">
        <v>45651.86974537037</v>
      </c>
      <c r="C2416" s="1" t="n">
        <v>46114</v>
      </c>
      <c r="D2416" t="inlineStr">
        <is>
          <t>DALARNAS LÄN</t>
        </is>
      </c>
      <c r="E2416" t="inlineStr">
        <is>
          <t>GAGNEF</t>
        </is>
      </c>
      <c r="G2416" t="n">
        <v>6.7</v>
      </c>
      <c r="H2416" t="n">
        <v>0</v>
      </c>
      <c r="I2416" t="n">
        <v>0</v>
      </c>
      <c r="J2416" t="n">
        <v>0</v>
      </c>
      <c r="K2416" t="n">
        <v>0</v>
      </c>
      <c r="L2416" t="n">
        <v>0</v>
      </c>
      <c r="M2416" t="n">
        <v>0</v>
      </c>
      <c r="N2416" t="n">
        <v>0</v>
      </c>
      <c r="O2416" t="n">
        <v>0</v>
      </c>
      <c r="P2416" t="n">
        <v>0</v>
      </c>
      <c r="Q2416" t="n">
        <v>0</v>
      </c>
      <c r="R2416" s="2" t="inlineStr"/>
    </row>
    <row r="2417" ht="15" customHeight="1">
      <c r="A2417" t="inlineStr">
        <is>
          <t>A 56848-2022</t>
        </is>
      </c>
      <c r="B2417" s="1" t="n">
        <v>44894.48662037037</v>
      </c>
      <c r="C2417" s="1" t="n">
        <v>46114</v>
      </c>
      <c r="D2417" t="inlineStr">
        <is>
          <t>DALARNAS LÄN</t>
        </is>
      </c>
      <c r="E2417" t="inlineStr">
        <is>
          <t>MALUNG-SÄLEN</t>
        </is>
      </c>
      <c r="F2417" t="inlineStr">
        <is>
          <t>Bergvik skog öst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29499-2024</t>
        </is>
      </c>
      <c r="B2418" s="1" t="n">
        <v>45484</v>
      </c>
      <c r="C2418" s="1" t="n">
        <v>46114</v>
      </c>
      <c r="D2418" t="inlineStr">
        <is>
          <t>DALARNAS LÄN</t>
        </is>
      </c>
      <c r="E2418" t="inlineStr">
        <is>
          <t>ORSA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61035-2021</t>
        </is>
      </c>
      <c r="B2419" s="1" t="n">
        <v>44497</v>
      </c>
      <c r="C2419" s="1" t="n">
        <v>46114</v>
      </c>
      <c r="D2419" t="inlineStr">
        <is>
          <t>DALARNAS LÄN</t>
        </is>
      </c>
      <c r="E2419" t="inlineStr">
        <is>
          <t>FALUN</t>
        </is>
      </c>
      <c r="F2419" t="inlineStr">
        <is>
          <t>Kyrkan</t>
        </is>
      </c>
      <c r="G2419" t="n">
        <v>13.8</v>
      </c>
      <c r="H2419" t="n">
        <v>0</v>
      </c>
      <c r="I2419" t="n">
        <v>0</v>
      </c>
      <c r="J2419" t="n">
        <v>0</v>
      </c>
      <c r="K2419" t="n">
        <v>0</v>
      </c>
      <c r="L2419" t="n">
        <v>0</v>
      </c>
      <c r="M2419" t="n">
        <v>0</v>
      </c>
      <c r="N2419" t="n">
        <v>0</v>
      </c>
      <c r="O2419" t="n">
        <v>0</v>
      </c>
      <c r="P2419" t="n">
        <v>0</v>
      </c>
      <c r="Q2419" t="n">
        <v>0</v>
      </c>
      <c r="R2419" s="2" t="inlineStr"/>
    </row>
    <row r="2420" ht="15" customHeight="1">
      <c r="A2420" t="inlineStr">
        <is>
          <t>A 49661-2021</t>
        </is>
      </c>
      <c r="B2420" s="1" t="n">
        <v>44455.4653125</v>
      </c>
      <c r="C2420" s="1" t="n">
        <v>46114</v>
      </c>
      <c r="D2420" t="inlineStr">
        <is>
          <t>DALARNAS LÄN</t>
        </is>
      </c>
      <c r="E2420" t="inlineStr">
        <is>
          <t>SÄTER</t>
        </is>
      </c>
      <c r="G2420" t="n">
        <v>5.7</v>
      </c>
      <c r="H2420" t="n">
        <v>0</v>
      </c>
      <c r="I2420" t="n">
        <v>0</v>
      </c>
      <c r="J2420" t="n">
        <v>0</v>
      </c>
      <c r="K2420" t="n">
        <v>0</v>
      </c>
      <c r="L2420" t="n">
        <v>0</v>
      </c>
      <c r="M2420" t="n">
        <v>0</v>
      </c>
      <c r="N2420" t="n">
        <v>0</v>
      </c>
      <c r="O2420" t="n">
        <v>0</v>
      </c>
      <c r="P2420" t="n">
        <v>0</v>
      </c>
      <c r="Q2420" t="n">
        <v>0</v>
      </c>
      <c r="R2420" s="2" t="inlineStr"/>
    </row>
    <row r="2421" ht="15" customHeight="1">
      <c r="A2421" t="inlineStr">
        <is>
          <t>A 18148-2025</t>
        </is>
      </c>
      <c r="B2421" s="1" t="n">
        <v>45761.61626157408</v>
      </c>
      <c r="C2421" s="1" t="n">
        <v>46114</v>
      </c>
      <c r="D2421" t="inlineStr">
        <is>
          <t>DALARNAS LÄN</t>
        </is>
      </c>
      <c r="E2421" t="inlineStr">
        <is>
          <t>FALUN</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13572-2025</t>
        </is>
      </c>
      <c r="B2422" s="1" t="n">
        <v>45736.57638888889</v>
      </c>
      <c r="C2422" s="1" t="n">
        <v>46114</v>
      </c>
      <c r="D2422" t="inlineStr">
        <is>
          <t>DALARNAS LÄN</t>
        </is>
      </c>
      <c r="E2422" t="inlineStr">
        <is>
          <t>RÄTTVIK</t>
        </is>
      </c>
      <c r="G2422" t="n">
        <v>2.6</v>
      </c>
      <c r="H2422" t="n">
        <v>0</v>
      </c>
      <c r="I2422" t="n">
        <v>0</v>
      </c>
      <c r="J2422" t="n">
        <v>0</v>
      </c>
      <c r="K2422" t="n">
        <v>0</v>
      </c>
      <c r="L2422" t="n">
        <v>0</v>
      </c>
      <c r="M2422" t="n">
        <v>0</v>
      </c>
      <c r="N2422" t="n">
        <v>0</v>
      </c>
      <c r="O2422" t="n">
        <v>0</v>
      </c>
      <c r="P2422" t="n">
        <v>0</v>
      </c>
      <c r="Q2422" t="n">
        <v>0</v>
      </c>
      <c r="R2422" s="2" t="inlineStr"/>
    </row>
    <row r="2423" ht="15" customHeight="1">
      <c r="A2423" t="inlineStr">
        <is>
          <t>A 13575-2025</t>
        </is>
      </c>
      <c r="B2423" s="1" t="n">
        <v>45736.57871527778</v>
      </c>
      <c r="C2423" s="1" t="n">
        <v>46114</v>
      </c>
      <c r="D2423" t="inlineStr">
        <is>
          <t>DALARNAS LÄN</t>
        </is>
      </c>
      <c r="E2423" t="inlineStr">
        <is>
          <t>ORSA</t>
        </is>
      </c>
      <c r="F2423" t="inlineStr">
        <is>
          <t>Bergvik skog öst AB</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29010-2022</t>
        </is>
      </c>
      <c r="B2424" s="1" t="n">
        <v>44747</v>
      </c>
      <c r="C2424" s="1" t="n">
        <v>46114</v>
      </c>
      <c r="D2424" t="inlineStr">
        <is>
          <t>DALARNAS LÄN</t>
        </is>
      </c>
      <c r="E2424" t="inlineStr">
        <is>
          <t>RÄTTVIK</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15870-2025</t>
        </is>
      </c>
      <c r="B2425" s="1" t="n">
        <v>45749.37135416667</v>
      </c>
      <c r="C2425" s="1" t="n">
        <v>46114</v>
      </c>
      <c r="D2425" t="inlineStr">
        <is>
          <t>DALARNAS LÄN</t>
        </is>
      </c>
      <c r="E2425" t="inlineStr">
        <is>
          <t>ORSA</t>
        </is>
      </c>
      <c r="F2425" t="inlineStr">
        <is>
          <t>Bergvik skog öst AB</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42672-2022</t>
        </is>
      </c>
      <c r="B2426" s="1" t="n">
        <v>44832.32884259259</v>
      </c>
      <c r="C2426" s="1" t="n">
        <v>46114</v>
      </c>
      <c r="D2426" t="inlineStr">
        <is>
          <t>DALARNAS LÄN</t>
        </is>
      </c>
      <c r="E2426" t="inlineStr">
        <is>
          <t>MALUNG-SÄLEN</t>
        </is>
      </c>
      <c r="G2426" t="n">
        <v>2.6</v>
      </c>
      <c r="H2426" t="n">
        <v>0</v>
      </c>
      <c r="I2426" t="n">
        <v>0</v>
      </c>
      <c r="J2426" t="n">
        <v>0</v>
      </c>
      <c r="K2426" t="n">
        <v>0</v>
      </c>
      <c r="L2426" t="n">
        <v>0</v>
      </c>
      <c r="M2426" t="n">
        <v>0</v>
      </c>
      <c r="N2426" t="n">
        <v>0</v>
      </c>
      <c r="O2426" t="n">
        <v>0</v>
      </c>
      <c r="P2426" t="n">
        <v>0</v>
      </c>
      <c r="Q2426" t="n">
        <v>0</v>
      </c>
      <c r="R2426" s="2" t="inlineStr"/>
    </row>
    <row r="2427" ht="15" customHeight="1">
      <c r="A2427" t="inlineStr">
        <is>
          <t>A 17999-2025</t>
        </is>
      </c>
      <c r="B2427" s="1" t="n">
        <v>45761</v>
      </c>
      <c r="C2427" s="1" t="n">
        <v>46114</v>
      </c>
      <c r="D2427" t="inlineStr">
        <is>
          <t>DALARNAS LÄN</t>
        </is>
      </c>
      <c r="E2427" t="inlineStr">
        <is>
          <t>LUDVIKA</t>
        </is>
      </c>
      <c r="F2427" t="inlineStr">
        <is>
          <t>Naturvårdsverket</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57817-2023</t>
        </is>
      </c>
      <c r="B2428" s="1" t="n">
        <v>45247</v>
      </c>
      <c r="C2428" s="1" t="n">
        <v>46114</v>
      </c>
      <c r="D2428" t="inlineStr">
        <is>
          <t>DALARNAS LÄN</t>
        </is>
      </c>
      <c r="E2428" t="inlineStr">
        <is>
          <t>ÄLVDALEN</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58363-2023</t>
        </is>
      </c>
      <c r="B2429" s="1" t="n">
        <v>45245</v>
      </c>
      <c r="C2429" s="1" t="n">
        <v>46114</v>
      </c>
      <c r="D2429" t="inlineStr">
        <is>
          <t>DALARNAS LÄN</t>
        </is>
      </c>
      <c r="E2429" t="inlineStr">
        <is>
          <t>MALUNG-SÄLEN</t>
        </is>
      </c>
      <c r="G2429" t="n">
        <v>3.6</v>
      </c>
      <c r="H2429" t="n">
        <v>0</v>
      </c>
      <c r="I2429" t="n">
        <v>0</v>
      </c>
      <c r="J2429" t="n">
        <v>0</v>
      </c>
      <c r="K2429" t="n">
        <v>0</v>
      </c>
      <c r="L2429" t="n">
        <v>0</v>
      </c>
      <c r="M2429" t="n">
        <v>0</v>
      </c>
      <c r="N2429" t="n">
        <v>0</v>
      </c>
      <c r="O2429" t="n">
        <v>0</v>
      </c>
      <c r="P2429" t="n">
        <v>0</v>
      </c>
      <c r="Q2429" t="n">
        <v>0</v>
      </c>
      <c r="R2429" s="2" t="inlineStr"/>
    </row>
    <row r="2430" ht="15" customHeight="1">
      <c r="A2430" t="inlineStr">
        <is>
          <t>A 15784-2025</t>
        </is>
      </c>
      <c r="B2430" s="1" t="n">
        <v>45748.62056712963</v>
      </c>
      <c r="C2430" s="1" t="n">
        <v>46114</v>
      </c>
      <c r="D2430" t="inlineStr">
        <is>
          <t>DALARNAS LÄN</t>
        </is>
      </c>
      <c r="E2430" t="inlineStr">
        <is>
          <t>FALUN</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45361-2022</t>
        </is>
      </c>
      <c r="B2431" s="1" t="n">
        <v>44844.62275462963</v>
      </c>
      <c r="C2431" s="1" t="n">
        <v>46114</v>
      </c>
      <c r="D2431" t="inlineStr">
        <is>
          <t>DALARNAS LÄN</t>
        </is>
      </c>
      <c r="E2431" t="inlineStr">
        <is>
          <t>LUDVIKA</t>
        </is>
      </c>
      <c r="F2431" t="inlineStr">
        <is>
          <t>Bergvik skog väst AB</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15861-2025</t>
        </is>
      </c>
      <c r="B2432" s="1" t="n">
        <v>45749.35199074074</v>
      </c>
      <c r="C2432" s="1" t="n">
        <v>46114</v>
      </c>
      <c r="D2432" t="inlineStr">
        <is>
          <t>DALARNAS LÄN</t>
        </is>
      </c>
      <c r="E2432" t="inlineStr">
        <is>
          <t>GAGNEF</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35353-2024</t>
        </is>
      </c>
      <c r="B2433" s="1" t="n">
        <v>45531.30570601852</v>
      </c>
      <c r="C2433" s="1" t="n">
        <v>46114</v>
      </c>
      <c r="D2433" t="inlineStr">
        <is>
          <t>DALARNAS LÄN</t>
        </is>
      </c>
      <c r="E2433" t="inlineStr">
        <is>
          <t>LUDVIKA</t>
        </is>
      </c>
      <c r="F2433" t="inlineStr">
        <is>
          <t>Bergvik skog väst AB</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32301-2024</t>
        </is>
      </c>
      <c r="B2434" s="1" t="n">
        <v>45512.44429398148</v>
      </c>
      <c r="C2434" s="1" t="n">
        <v>46114</v>
      </c>
      <c r="D2434" t="inlineStr">
        <is>
          <t>DALARNAS LÄN</t>
        </is>
      </c>
      <c r="E2434" t="inlineStr">
        <is>
          <t>LUDVIKA</t>
        </is>
      </c>
      <c r="F2434" t="inlineStr">
        <is>
          <t>Bergvik skog väst AB</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38143-2024</t>
        </is>
      </c>
      <c r="B2435" s="1" t="n">
        <v>45545.42612268519</v>
      </c>
      <c r="C2435" s="1" t="n">
        <v>46114</v>
      </c>
      <c r="D2435" t="inlineStr">
        <is>
          <t>DALARNAS LÄN</t>
        </is>
      </c>
      <c r="E2435" t="inlineStr">
        <is>
          <t>FALUN</t>
        </is>
      </c>
      <c r="G2435" t="n">
        <v>0.3</v>
      </c>
      <c r="H2435" t="n">
        <v>0</v>
      </c>
      <c r="I2435" t="n">
        <v>0</v>
      </c>
      <c r="J2435" t="n">
        <v>0</v>
      </c>
      <c r="K2435" t="n">
        <v>0</v>
      </c>
      <c r="L2435" t="n">
        <v>0</v>
      </c>
      <c r="M2435" t="n">
        <v>0</v>
      </c>
      <c r="N2435" t="n">
        <v>0</v>
      </c>
      <c r="O2435" t="n">
        <v>0</v>
      </c>
      <c r="P2435" t="n">
        <v>0</v>
      </c>
      <c r="Q2435" t="n">
        <v>0</v>
      </c>
      <c r="R2435" s="2" t="inlineStr"/>
    </row>
    <row r="2436" ht="15" customHeight="1">
      <c r="A2436" t="inlineStr">
        <is>
          <t>A 57560-2024</t>
        </is>
      </c>
      <c r="B2436" s="1" t="n">
        <v>45630.4566550926</v>
      </c>
      <c r="C2436" s="1" t="n">
        <v>46114</v>
      </c>
      <c r="D2436" t="inlineStr">
        <is>
          <t>DALARNAS LÄN</t>
        </is>
      </c>
      <c r="E2436" t="inlineStr">
        <is>
          <t>ÄLVDALEN</t>
        </is>
      </c>
      <c r="G2436" t="n">
        <v>9.199999999999999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32359-2024</t>
        </is>
      </c>
      <c r="B2437" s="1" t="n">
        <v>45512.56623842593</v>
      </c>
      <c r="C2437" s="1" t="n">
        <v>46114</v>
      </c>
      <c r="D2437" t="inlineStr">
        <is>
          <t>DALARNAS LÄN</t>
        </is>
      </c>
      <c r="E2437" t="inlineStr">
        <is>
          <t>ÄLVDALEN</t>
        </is>
      </c>
      <c r="F2437" t="inlineStr">
        <is>
          <t>Sveaskog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56083-2023</t>
        </is>
      </c>
      <c r="B2438" s="1" t="n">
        <v>45240</v>
      </c>
      <c r="C2438" s="1" t="n">
        <v>46114</v>
      </c>
      <c r="D2438" t="inlineStr">
        <is>
          <t>DALARNAS LÄN</t>
        </is>
      </c>
      <c r="E2438" t="inlineStr">
        <is>
          <t>GAGNEF</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33022-2024</t>
        </is>
      </c>
      <c r="B2439" s="1" t="n">
        <v>45517.56021990741</v>
      </c>
      <c r="C2439" s="1" t="n">
        <v>46114</v>
      </c>
      <c r="D2439" t="inlineStr">
        <is>
          <t>DALARNAS LÄN</t>
        </is>
      </c>
      <c r="E2439" t="inlineStr">
        <is>
          <t>SMEDJEBACKEN</t>
        </is>
      </c>
      <c r="F2439" t="inlineStr">
        <is>
          <t>Sveaskog</t>
        </is>
      </c>
      <c r="G2439" t="n">
        <v>6.5</v>
      </c>
      <c r="H2439" t="n">
        <v>0</v>
      </c>
      <c r="I2439" t="n">
        <v>0</v>
      </c>
      <c r="J2439" t="n">
        <v>0</v>
      </c>
      <c r="K2439" t="n">
        <v>0</v>
      </c>
      <c r="L2439" t="n">
        <v>0</v>
      </c>
      <c r="M2439" t="n">
        <v>0</v>
      </c>
      <c r="N2439" t="n">
        <v>0</v>
      </c>
      <c r="O2439" t="n">
        <v>0</v>
      </c>
      <c r="P2439" t="n">
        <v>0</v>
      </c>
      <c r="Q2439" t="n">
        <v>0</v>
      </c>
      <c r="R2439" s="2" t="inlineStr"/>
    </row>
    <row r="2440" ht="15" customHeight="1">
      <c r="A2440" t="inlineStr">
        <is>
          <t>A 37125-2024</t>
        </is>
      </c>
      <c r="B2440" s="1" t="n">
        <v>45539.5587037037</v>
      </c>
      <c r="C2440" s="1" t="n">
        <v>46114</v>
      </c>
      <c r="D2440" t="inlineStr">
        <is>
          <t>DALARNAS LÄN</t>
        </is>
      </c>
      <c r="E2440" t="inlineStr">
        <is>
          <t>RÄTTVIK</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60814-2022</t>
        </is>
      </c>
      <c r="B2441" s="1" t="n">
        <v>44914</v>
      </c>
      <c r="C2441" s="1" t="n">
        <v>46114</v>
      </c>
      <c r="D2441" t="inlineStr">
        <is>
          <t>DALARNAS LÄN</t>
        </is>
      </c>
      <c r="E2441" t="inlineStr">
        <is>
          <t>SMEDJEBACKEN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37761-2024</t>
        </is>
      </c>
      <c r="B2442" s="1" t="n">
        <v>45541.78678240741</v>
      </c>
      <c r="C2442" s="1" t="n">
        <v>46114</v>
      </c>
      <c r="D2442" t="inlineStr">
        <is>
          <t>DALARNAS LÄN</t>
        </is>
      </c>
      <c r="E2442" t="inlineStr">
        <is>
          <t>HEDEMORA</t>
        </is>
      </c>
      <c r="F2442" t="inlineStr">
        <is>
          <t>Sveaskog</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47126-2021</t>
        </is>
      </c>
      <c r="B2443" s="1" t="n">
        <v>44446.78168981482</v>
      </c>
      <c r="C2443" s="1" t="n">
        <v>46114</v>
      </c>
      <c r="D2443" t="inlineStr">
        <is>
          <t>DALARNAS LÄN</t>
        </is>
      </c>
      <c r="E2443" t="inlineStr">
        <is>
          <t>ORSA</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30411-2024</t>
        </is>
      </c>
      <c r="B2444" s="1" t="n">
        <v>45491.62447916667</v>
      </c>
      <c r="C2444" s="1" t="n">
        <v>46114</v>
      </c>
      <c r="D2444" t="inlineStr">
        <is>
          <t>DALARNAS LÄN</t>
        </is>
      </c>
      <c r="E2444" t="inlineStr">
        <is>
          <t>ÄLVDALEN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18837-2023</t>
        </is>
      </c>
      <c r="B2445" s="1" t="n">
        <v>45044.42940972222</v>
      </c>
      <c r="C2445" s="1" t="n">
        <v>46114</v>
      </c>
      <c r="D2445" t="inlineStr">
        <is>
          <t>DALARNAS LÄN</t>
        </is>
      </c>
      <c r="E2445" t="inlineStr">
        <is>
          <t>LEKSAND</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13770-2025</t>
        </is>
      </c>
      <c r="B2446" s="1" t="n">
        <v>45737.43738425926</v>
      </c>
      <c r="C2446" s="1" t="n">
        <v>46114</v>
      </c>
      <c r="D2446" t="inlineStr">
        <is>
          <t>DALARNAS LÄN</t>
        </is>
      </c>
      <c r="E2446" t="inlineStr">
        <is>
          <t>RÄTTVIK</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322-2024</t>
        </is>
      </c>
      <c r="B2447" s="1" t="n">
        <v>45295</v>
      </c>
      <c r="C2447" s="1" t="n">
        <v>46114</v>
      </c>
      <c r="D2447" t="inlineStr">
        <is>
          <t>DALARNAS LÄN</t>
        </is>
      </c>
      <c r="E2447" t="inlineStr">
        <is>
          <t>GAGNEF</t>
        </is>
      </c>
      <c r="G2447" t="n">
        <v>11.1</v>
      </c>
      <c r="H2447" t="n">
        <v>0</v>
      </c>
      <c r="I2447" t="n">
        <v>0</v>
      </c>
      <c r="J2447" t="n">
        <v>0</v>
      </c>
      <c r="K2447" t="n">
        <v>0</v>
      </c>
      <c r="L2447" t="n">
        <v>0</v>
      </c>
      <c r="M2447" t="n">
        <v>0</v>
      </c>
      <c r="N2447" t="n">
        <v>0</v>
      </c>
      <c r="O2447" t="n">
        <v>0</v>
      </c>
      <c r="P2447" t="n">
        <v>0</v>
      </c>
      <c r="Q2447" t="n">
        <v>0</v>
      </c>
      <c r="R2447" s="2" t="inlineStr"/>
    </row>
    <row r="2448" ht="15" customHeight="1">
      <c r="A2448" t="inlineStr">
        <is>
          <t>A 28275-2023</t>
        </is>
      </c>
      <c r="B2448" s="1" t="n">
        <v>45099</v>
      </c>
      <c r="C2448" s="1" t="n">
        <v>46114</v>
      </c>
      <c r="D2448" t="inlineStr">
        <is>
          <t>DALARNAS LÄN</t>
        </is>
      </c>
      <c r="E2448" t="inlineStr">
        <is>
          <t>FALUN</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17494-2025</t>
        </is>
      </c>
      <c r="B2449" s="1" t="n">
        <v>45757.52033564815</v>
      </c>
      <c r="C2449" s="1" t="n">
        <v>46114</v>
      </c>
      <c r="D2449" t="inlineStr">
        <is>
          <t>DALARNAS LÄN</t>
        </is>
      </c>
      <c r="E2449" t="inlineStr">
        <is>
          <t>MORA</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48990-2023</t>
        </is>
      </c>
      <c r="B2450" s="1" t="n">
        <v>45209.64740740741</v>
      </c>
      <c r="C2450" s="1" t="n">
        <v>46114</v>
      </c>
      <c r="D2450" t="inlineStr">
        <is>
          <t>DALARNAS LÄN</t>
        </is>
      </c>
      <c r="E2450" t="inlineStr">
        <is>
          <t>ORSA</t>
        </is>
      </c>
      <c r="F2450" t="inlineStr">
        <is>
          <t>Allmännings- och besparingsskogar</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50911-2024</t>
        </is>
      </c>
      <c r="B2451" s="1" t="n">
        <v>45602.7022337963</v>
      </c>
      <c r="C2451" s="1" t="n">
        <v>46114</v>
      </c>
      <c r="D2451" t="inlineStr">
        <is>
          <t>DALARNAS LÄN</t>
        </is>
      </c>
      <c r="E2451" t="inlineStr">
        <is>
          <t>MORA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74258-2021</t>
        </is>
      </c>
      <c r="B2452" s="1" t="n">
        <v>44558.6503125</v>
      </c>
      <c r="C2452" s="1" t="n">
        <v>46114</v>
      </c>
      <c r="D2452" t="inlineStr">
        <is>
          <t>DALARNAS LÄN</t>
        </is>
      </c>
      <c r="E2452" t="inlineStr">
        <is>
          <t>FALUN</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2722-2025</t>
        </is>
      </c>
      <c r="B2453" s="1" t="n">
        <v>45677.43952546296</v>
      </c>
      <c r="C2453" s="1" t="n">
        <v>46114</v>
      </c>
      <c r="D2453" t="inlineStr">
        <is>
          <t>DALARNAS LÄN</t>
        </is>
      </c>
      <c r="E2453" t="inlineStr">
        <is>
          <t>MALUNG-SÄLEN</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2734-2025</t>
        </is>
      </c>
      <c r="B2454" s="1" t="n">
        <v>45677</v>
      </c>
      <c r="C2454" s="1" t="n">
        <v>46114</v>
      </c>
      <c r="D2454" t="inlineStr">
        <is>
          <t>DALARNAS LÄN</t>
        </is>
      </c>
      <c r="E2454" t="inlineStr">
        <is>
          <t>RÄTTVIK</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2736-2025</t>
        </is>
      </c>
      <c r="B2455" s="1" t="n">
        <v>45677.45149305555</v>
      </c>
      <c r="C2455" s="1" t="n">
        <v>46114</v>
      </c>
      <c r="D2455" t="inlineStr">
        <is>
          <t>DALARNAS LÄN</t>
        </is>
      </c>
      <c r="E2455" t="inlineStr">
        <is>
          <t>MALUNG-SÄLEN</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1790-2024</t>
        </is>
      </c>
      <c r="B2456" s="1" t="n">
        <v>45307.5731712963</v>
      </c>
      <c r="C2456" s="1" t="n">
        <v>46114</v>
      </c>
      <c r="D2456" t="inlineStr">
        <is>
          <t>DALARNAS LÄN</t>
        </is>
      </c>
      <c r="E2456" t="inlineStr">
        <is>
          <t>ÄLVDALEN</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54137-2023</t>
        </is>
      </c>
      <c r="B2457" s="1" t="n">
        <v>45232.43732638889</v>
      </c>
      <c r="C2457" s="1" t="n">
        <v>46114</v>
      </c>
      <c r="D2457" t="inlineStr">
        <is>
          <t>DALARNAS LÄN</t>
        </is>
      </c>
      <c r="E2457" t="inlineStr">
        <is>
          <t>AVESTA</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54199-2023</t>
        </is>
      </c>
      <c r="B2458" s="1" t="n">
        <v>45225</v>
      </c>
      <c r="C2458" s="1" t="n">
        <v>46114</v>
      </c>
      <c r="D2458" t="inlineStr">
        <is>
          <t>DALARNAS LÄN</t>
        </is>
      </c>
      <c r="E2458" t="inlineStr">
        <is>
          <t>RÄTTVIK</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41480-2023</t>
        </is>
      </c>
      <c r="B2459" s="1" t="n">
        <v>45172</v>
      </c>
      <c r="C2459" s="1" t="n">
        <v>46114</v>
      </c>
      <c r="D2459" t="inlineStr">
        <is>
          <t>DALARNAS LÄN</t>
        </is>
      </c>
      <c r="E2459" t="inlineStr">
        <is>
          <t>SMEDJEBACKEN</t>
        </is>
      </c>
      <c r="F2459" t="inlineStr">
        <is>
          <t>Bergvik skog väst AB</t>
        </is>
      </c>
      <c r="G2459" t="n">
        <v>9.699999999999999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34368-2024</t>
        </is>
      </c>
      <c r="B2460" s="1" t="n">
        <v>45525.38068287037</v>
      </c>
      <c r="C2460" s="1" t="n">
        <v>46114</v>
      </c>
      <c r="D2460" t="inlineStr">
        <is>
          <t>DALARNAS LÄN</t>
        </is>
      </c>
      <c r="E2460" t="inlineStr">
        <is>
          <t>RÄTTVIK</t>
        </is>
      </c>
      <c r="F2460" t="inlineStr">
        <is>
          <t>Bergvik skog väst AB</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41604-2023</t>
        </is>
      </c>
      <c r="B2461" s="1" t="n">
        <v>45175.65046296296</v>
      </c>
      <c r="C2461" s="1" t="n">
        <v>46114</v>
      </c>
      <c r="D2461" t="inlineStr">
        <is>
          <t>DALARNAS LÄN</t>
        </is>
      </c>
      <c r="E2461" t="inlineStr">
        <is>
          <t>FALUN</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36725-2021</t>
        </is>
      </c>
      <c r="B2462" s="1" t="n">
        <v>44392.57740740741</v>
      </c>
      <c r="C2462" s="1" t="n">
        <v>46114</v>
      </c>
      <c r="D2462" t="inlineStr">
        <is>
          <t>DALARNAS LÄN</t>
        </is>
      </c>
      <c r="E2462" t="inlineStr">
        <is>
          <t>FALUN</t>
        </is>
      </c>
      <c r="G2462" t="n">
        <v>7.1</v>
      </c>
      <c r="H2462" t="n">
        <v>0</v>
      </c>
      <c r="I2462" t="n">
        <v>0</v>
      </c>
      <c r="J2462" t="n">
        <v>0</v>
      </c>
      <c r="K2462" t="n">
        <v>0</v>
      </c>
      <c r="L2462" t="n">
        <v>0</v>
      </c>
      <c r="M2462" t="n">
        <v>0</v>
      </c>
      <c r="N2462" t="n">
        <v>0</v>
      </c>
      <c r="O2462" t="n">
        <v>0</v>
      </c>
      <c r="P2462" t="n">
        <v>0</v>
      </c>
      <c r="Q2462" t="n">
        <v>0</v>
      </c>
      <c r="R2462" s="2" t="inlineStr"/>
    </row>
    <row r="2463" ht="15" customHeight="1">
      <c r="A2463" t="inlineStr">
        <is>
          <t>A 43377-2022</t>
        </is>
      </c>
      <c r="B2463" s="1" t="n">
        <v>44834</v>
      </c>
      <c r="C2463" s="1" t="n">
        <v>46114</v>
      </c>
      <c r="D2463" t="inlineStr">
        <is>
          <t>DALARNAS LÄN</t>
        </is>
      </c>
      <c r="E2463" t="inlineStr">
        <is>
          <t>FALUN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11680-2022</t>
        </is>
      </c>
      <c r="B2464" s="1" t="n">
        <v>44634</v>
      </c>
      <c r="C2464" s="1" t="n">
        <v>46114</v>
      </c>
      <c r="D2464" t="inlineStr">
        <is>
          <t>DALARNAS LÄN</t>
        </is>
      </c>
      <c r="E2464" t="inlineStr">
        <is>
          <t>GAGNEF</t>
        </is>
      </c>
      <c r="G2464" t="n">
        <v>7.8</v>
      </c>
      <c r="H2464" t="n">
        <v>0</v>
      </c>
      <c r="I2464" t="n">
        <v>0</v>
      </c>
      <c r="J2464" t="n">
        <v>0</v>
      </c>
      <c r="K2464" t="n">
        <v>0</v>
      </c>
      <c r="L2464" t="n">
        <v>0</v>
      </c>
      <c r="M2464" t="n">
        <v>0</v>
      </c>
      <c r="N2464" t="n">
        <v>0</v>
      </c>
      <c r="O2464" t="n">
        <v>0</v>
      </c>
      <c r="P2464" t="n">
        <v>0</v>
      </c>
      <c r="Q2464" t="n">
        <v>0</v>
      </c>
      <c r="R2464" s="2" t="inlineStr"/>
    </row>
    <row r="2465" ht="15" customHeight="1">
      <c r="A2465" t="inlineStr">
        <is>
          <t>A 5672-2023</t>
        </is>
      </c>
      <c r="B2465" s="1" t="n">
        <v>44960.65628472222</v>
      </c>
      <c r="C2465" s="1" t="n">
        <v>46114</v>
      </c>
      <c r="D2465" t="inlineStr">
        <is>
          <t>DALARNAS LÄN</t>
        </is>
      </c>
      <c r="E2465" t="inlineStr">
        <is>
          <t>LUDVIKA</t>
        </is>
      </c>
      <c r="F2465" t="inlineStr">
        <is>
          <t>Naturvårdsverket</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5680-2023</t>
        </is>
      </c>
      <c r="B2466" s="1" t="n">
        <v>44960</v>
      </c>
      <c r="C2466" s="1" t="n">
        <v>46114</v>
      </c>
      <c r="D2466" t="inlineStr">
        <is>
          <t>DALARNAS LÄN</t>
        </is>
      </c>
      <c r="E2466" t="inlineStr">
        <is>
          <t>FALUN</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57761-2022</t>
        </is>
      </c>
      <c r="B2467" s="1" t="n">
        <v>44890</v>
      </c>
      <c r="C2467" s="1" t="n">
        <v>46114</v>
      </c>
      <c r="D2467" t="inlineStr">
        <is>
          <t>DALARNAS LÄN</t>
        </is>
      </c>
      <c r="E2467" t="inlineStr">
        <is>
          <t>RÄTTVIK</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61054-2024</t>
        </is>
      </c>
      <c r="B2468" s="1" t="n">
        <v>45645</v>
      </c>
      <c r="C2468" s="1" t="n">
        <v>46114</v>
      </c>
      <c r="D2468" t="inlineStr">
        <is>
          <t>DALARNAS LÄN</t>
        </is>
      </c>
      <c r="E2468" t="inlineStr">
        <is>
          <t>LUDVIKA</t>
        </is>
      </c>
      <c r="F2468" t="inlineStr">
        <is>
          <t>Bergvik skog väst AB</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15340-2025</t>
        </is>
      </c>
      <c r="B2469" s="1" t="n">
        <v>45747.36768518519</v>
      </c>
      <c r="C2469" s="1" t="n">
        <v>46114</v>
      </c>
      <c r="D2469" t="inlineStr">
        <is>
          <t>DALARNAS LÄN</t>
        </is>
      </c>
      <c r="E2469" t="inlineStr">
        <is>
          <t>MALUNG-SÄLEN</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46670-2024</t>
        </is>
      </c>
      <c r="B2470" s="1" t="n">
        <v>45583.37766203703</v>
      </c>
      <c r="C2470" s="1" t="n">
        <v>46114</v>
      </c>
      <c r="D2470" t="inlineStr">
        <is>
          <t>DALARNAS LÄN</t>
        </is>
      </c>
      <c r="E2470" t="inlineStr">
        <is>
          <t>AVESTA</t>
        </is>
      </c>
      <c r="F2470" t="inlineStr">
        <is>
          <t>Sveaskog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46676-2024</t>
        </is>
      </c>
      <c r="B2471" s="1" t="n">
        <v>45583.38604166666</v>
      </c>
      <c r="C2471" s="1" t="n">
        <v>46114</v>
      </c>
      <c r="D2471" t="inlineStr">
        <is>
          <t>DALARNAS LÄN</t>
        </is>
      </c>
      <c r="E2471" t="inlineStr">
        <is>
          <t>AVESTA</t>
        </is>
      </c>
      <c r="F2471" t="inlineStr">
        <is>
          <t>Sveaskog</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61117-2024</t>
        </is>
      </c>
      <c r="B2472" s="1" t="n">
        <v>45645</v>
      </c>
      <c r="C2472" s="1" t="n">
        <v>46114</v>
      </c>
      <c r="D2472" t="inlineStr">
        <is>
          <t>DALARNAS LÄN</t>
        </is>
      </c>
      <c r="E2472" t="inlineStr">
        <is>
          <t>RÄTTVIK</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41257-2024</t>
        </is>
      </c>
      <c r="B2473" s="1" t="n">
        <v>45559.58381944444</v>
      </c>
      <c r="C2473" s="1" t="n">
        <v>46114</v>
      </c>
      <c r="D2473" t="inlineStr">
        <is>
          <t>DALARNAS LÄN</t>
        </is>
      </c>
      <c r="E2473" t="inlineStr">
        <is>
          <t>BORLÄNGE</t>
        </is>
      </c>
      <c r="G2473" t="n">
        <v>2.8</v>
      </c>
      <c r="H2473" t="n">
        <v>0</v>
      </c>
      <c r="I2473" t="n">
        <v>0</v>
      </c>
      <c r="J2473" t="n">
        <v>0</v>
      </c>
      <c r="K2473" t="n">
        <v>0</v>
      </c>
      <c r="L2473" t="n">
        <v>0</v>
      </c>
      <c r="M2473" t="n">
        <v>0</v>
      </c>
      <c r="N2473" t="n">
        <v>0</v>
      </c>
      <c r="O2473" t="n">
        <v>0</v>
      </c>
      <c r="P2473" t="n">
        <v>0</v>
      </c>
      <c r="Q2473" t="n">
        <v>0</v>
      </c>
      <c r="R2473" s="2" t="inlineStr"/>
    </row>
    <row r="2474" ht="15" customHeight="1">
      <c r="A2474" t="inlineStr">
        <is>
          <t>A 39406-2024</t>
        </is>
      </c>
      <c r="B2474" s="1" t="n">
        <v>45551.559375</v>
      </c>
      <c r="C2474" s="1" t="n">
        <v>46114</v>
      </c>
      <c r="D2474" t="inlineStr">
        <is>
          <t>DALARNAS LÄN</t>
        </is>
      </c>
      <c r="E2474" t="inlineStr">
        <is>
          <t>SÄTER</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30998-2022</t>
        </is>
      </c>
      <c r="B2475" s="1" t="n">
        <v>44768</v>
      </c>
      <c r="C2475" s="1" t="n">
        <v>46114</v>
      </c>
      <c r="D2475" t="inlineStr">
        <is>
          <t>DALARNAS LÄN</t>
        </is>
      </c>
      <c r="E2475" t="inlineStr">
        <is>
          <t>MORA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41276-2024</t>
        </is>
      </c>
      <c r="B2476" s="1" t="n">
        <v>45559.59444444445</v>
      </c>
      <c r="C2476" s="1" t="n">
        <v>46114</v>
      </c>
      <c r="D2476" t="inlineStr">
        <is>
          <t>DALARNAS LÄN</t>
        </is>
      </c>
      <c r="E2476" t="inlineStr">
        <is>
          <t>BORLÄNGE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15440-2024</t>
        </is>
      </c>
      <c r="B2477" s="1" t="n">
        <v>45401.4194212963</v>
      </c>
      <c r="C2477" s="1" t="n">
        <v>46114</v>
      </c>
      <c r="D2477" t="inlineStr">
        <is>
          <t>DALARNAS LÄN</t>
        </is>
      </c>
      <c r="E2477" t="inlineStr">
        <is>
          <t>MORA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41324-2024</t>
        </is>
      </c>
      <c r="B2478" s="1" t="n">
        <v>45559.65381944444</v>
      </c>
      <c r="C2478" s="1" t="n">
        <v>46114</v>
      </c>
      <c r="D2478" t="inlineStr">
        <is>
          <t>DALARNAS LÄN</t>
        </is>
      </c>
      <c r="E2478" t="inlineStr">
        <is>
          <t>MALUNG-SÄLEN</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62470-2022</t>
        </is>
      </c>
      <c r="B2479" s="1" t="n">
        <v>44924.5246875</v>
      </c>
      <c r="C2479" s="1" t="n">
        <v>46114</v>
      </c>
      <c r="D2479" t="inlineStr">
        <is>
          <t>DALARNAS LÄN</t>
        </is>
      </c>
      <c r="E2479" t="inlineStr">
        <is>
          <t>SÄTER</t>
        </is>
      </c>
      <c r="F2479" t="inlineStr">
        <is>
          <t>Kommuner</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47071-2022</t>
        </is>
      </c>
      <c r="B2480" s="1" t="n">
        <v>44852</v>
      </c>
      <c r="C2480" s="1" t="n">
        <v>46114</v>
      </c>
      <c r="D2480" t="inlineStr">
        <is>
          <t>DALARNAS LÄN</t>
        </is>
      </c>
      <c r="E2480" t="inlineStr">
        <is>
          <t>LUDVIKA</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56553-2023</t>
        </is>
      </c>
      <c r="B2481" s="1" t="n">
        <v>45243.588125</v>
      </c>
      <c r="C2481" s="1" t="n">
        <v>46114</v>
      </c>
      <c r="D2481" t="inlineStr">
        <is>
          <t>DALARNAS LÄN</t>
        </is>
      </c>
      <c r="E2481" t="inlineStr">
        <is>
          <t>RÄTTVIK</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52942-2023</t>
        </is>
      </c>
      <c r="B2482" s="1" t="n">
        <v>45226.57532407407</v>
      </c>
      <c r="C2482" s="1" t="n">
        <v>46114</v>
      </c>
      <c r="D2482" t="inlineStr">
        <is>
          <t>DALARNAS LÄN</t>
        </is>
      </c>
      <c r="E2482" t="inlineStr">
        <is>
          <t>MALUNG-SÄLEN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47143-2022</t>
        </is>
      </c>
      <c r="B2483" s="1" t="n">
        <v>44852</v>
      </c>
      <c r="C2483" s="1" t="n">
        <v>46114</v>
      </c>
      <c r="D2483" t="inlineStr">
        <is>
          <t>DALARNAS LÄN</t>
        </is>
      </c>
      <c r="E2483" t="inlineStr">
        <is>
          <t>MORA</t>
        </is>
      </c>
      <c r="G2483" t="n">
        <v>3.9</v>
      </c>
      <c r="H2483" t="n">
        <v>0</v>
      </c>
      <c r="I2483" t="n">
        <v>0</v>
      </c>
      <c r="J2483" t="n">
        <v>0</v>
      </c>
      <c r="K2483" t="n">
        <v>0</v>
      </c>
      <c r="L2483" t="n">
        <v>0</v>
      </c>
      <c r="M2483" t="n">
        <v>0</v>
      </c>
      <c r="N2483" t="n">
        <v>0</v>
      </c>
      <c r="O2483" t="n">
        <v>0</v>
      </c>
      <c r="P2483" t="n">
        <v>0</v>
      </c>
      <c r="Q2483" t="n">
        <v>0</v>
      </c>
      <c r="R2483" s="2" t="inlineStr"/>
    </row>
    <row r="2484" ht="15" customHeight="1">
      <c r="A2484" t="inlineStr">
        <is>
          <t>A 47109-2024</t>
        </is>
      </c>
      <c r="B2484" s="1" t="n">
        <v>45586.55450231482</v>
      </c>
      <c r="C2484" s="1" t="n">
        <v>46114</v>
      </c>
      <c r="D2484" t="inlineStr">
        <is>
          <t>DALARNAS LÄN</t>
        </is>
      </c>
      <c r="E2484" t="inlineStr">
        <is>
          <t>BORLÄNGE</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17416-2025</t>
        </is>
      </c>
      <c r="B2485" s="1" t="n">
        <v>45757.37561342592</v>
      </c>
      <c r="C2485" s="1" t="n">
        <v>46114</v>
      </c>
      <c r="D2485" t="inlineStr">
        <is>
          <t>DALARNAS LÄN</t>
        </is>
      </c>
      <c r="E2485" t="inlineStr">
        <is>
          <t>SMEDJEBACKEN</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30957-2023</t>
        </is>
      </c>
      <c r="B2486" s="1" t="n">
        <v>45113</v>
      </c>
      <c r="C2486" s="1" t="n">
        <v>46114</v>
      </c>
      <c r="D2486" t="inlineStr">
        <is>
          <t>DALARNAS LÄN</t>
        </is>
      </c>
      <c r="E2486" t="inlineStr">
        <is>
          <t>GAGNEF</t>
        </is>
      </c>
      <c r="F2486" t="inlineStr">
        <is>
          <t>Bergvik skog väst AB</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35917-2023</t>
        </is>
      </c>
      <c r="B2487" s="1" t="n">
        <v>45148</v>
      </c>
      <c r="C2487" s="1" t="n">
        <v>46114</v>
      </c>
      <c r="D2487" t="inlineStr">
        <is>
          <t>DALARNAS LÄN</t>
        </is>
      </c>
      <c r="E2487" t="inlineStr">
        <is>
          <t>FALUN</t>
        </is>
      </c>
      <c r="F2487" t="inlineStr">
        <is>
          <t>Bergvik skog väst AB</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2275-2024</t>
        </is>
      </c>
      <c r="B2488" s="1" t="n">
        <v>45310</v>
      </c>
      <c r="C2488" s="1" t="n">
        <v>46114</v>
      </c>
      <c r="D2488" t="inlineStr">
        <is>
          <t>DALARNAS LÄN</t>
        </is>
      </c>
      <c r="E2488" t="inlineStr">
        <is>
          <t>SMEDJEBACKEN</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9716-2024</t>
        </is>
      </c>
      <c r="B2489" s="1" t="n">
        <v>45362</v>
      </c>
      <c r="C2489" s="1" t="n">
        <v>46114</v>
      </c>
      <c r="D2489" t="inlineStr">
        <is>
          <t>DALARNAS LÄN</t>
        </is>
      </c>
      <c r="E2489" t="inlineStr">
        <is>
          <t>FALUN</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402-2024</t>
        </is>
      </c>
      <c r="B2490" s="1" t="n">
        <v>45296.45545138889</v>
      </c>
      <c r="C2490" s="1" t="n">
        <v>46114</v>
      </c>
      <c r="D2490" t="inlineStr">
        <is>
          <t>DALARNAS LÄN</t>
        </is>
      </c>
      <c r="E2490" t="inlineStr">
        <is>
          <t>LEKSAND</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2517-2024</t>
        </is>
      </c>
      <c r="B2491" s="1" t="n">
        <v>45313</v>
      </c>
      <c r="C2491" s="1" t="n">
        <v>46114</v>
      </c>
      <c r="D2491" t="inlineStr">
        <is>
          <t>DALARNAS LÄN</t>
        </is>
      </c>
      <c r="E2491" t="inlineStr">
        <is>
          <t>LEKSAND</t>
        </is>
      </c>
      <c r="F2491" t="inlineStr">
        <is>
          <t>Bergvik skog väst AB</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9937-2024</t>
        </is>
      </c>
      <c r="B2492" s="1" t="n">
        <v>45363.58723379629</v>
      </c>
      <c r="C2492" s="1" t="n">
        <v>46114</v>
      </c>
      <c r="D2492" t="inlineStr">
        <is>
          <t>DALARNAS LÄN</t>
        </is>
      </c>
      <c r="E2492" t="inlineStr">
        <is>
          <t>RÄTTVIK</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14995-2023</t>
        </is>
      </c>
      <c r="B2493" s="1" t="n">
        <v>45015</v>
      </c>
      <c r="C2493" s="1" t="n">
        <v>46114</v>
      </c>
      <c r="D2493" t="inlineStr">
        <is>
          <t>DALARNAS LÄN</t>
        </is>
      </c>
      <c r="E2493" t="inlineStr">
        <is>
          <t>BORLÄNGE</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45122-2023</t>
        </is>
      </c>
      <c r="B2494" s="1" t="n">
        <v>45191.44871527778</v>
      </c>
      <c r="C2494" s="1" t="n">
        <v>46114</v>
      </c>
      <c r="D2494" t="inlineStr">
        <is>
          <t>DALARNAS LÄN</t>
        </is>
      </c>
      <c r="E2494" t="inlineStr">
        <is>
          <t>ÄLVDALEN</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30291-2024</t>
        </is>
      </c>
      <c r="B2495" s="1" t="n">
        <v>45490.64978009259</v>
      </c>
      <c r="C2495" s="1" t="n">
        <v>46114</v>
      </c>
      <c r="D2495" t="inlineStr">
        <is>
          <t>DALARNAS LÄN</t>
        </is>
      </c>
      <c r="E2495" t="inlineStr">
        <is>
          <t>ORSA</t>
        </is>
      </c>
      <c r="F2495" t="inlineStr">
        <is>
          <t>Bergvik skog öst AB</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15629-2022</t>
        </is>
      </c>
      <c r="B2496" s="1" t="n">
        <v>44662.77332175926</v>
      </c>
      <c r="C2496" s="1" t="n">
        <v>46114</v>
      </c>
      <c r="D2496" t="inlineStr">
        <is>
          <t>DALARNAS LÄN</t>
        </is>
      </c>
      <c r="E2496" t="inlineStr">
        <is>
          <t>GAGNEF</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52167-2024</t>
        </is>
      </c>
      <c r="B2497" s="1" t="n">
        <v>45608.53949074074</v>
      </c>
      <c r="C2497" s="1" t="n">
        <v>46114</v>
      </c>
      <c r="D2497" t="inlineStr">
        <is>
          <t>DALARNAS LÄN</t>
        </is>
      </c>
      <c r="E2497" t="inlineStr">
        <is>
          <t>ÄLVDALEN</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19226-2025</t>
        </is>
      </c>
      <c r="B2498" s="1" t="n">
        <v>45769</v>
      </c>
      <c r="C2498" s="1" t="n">
        <v>46114</v>
      </c>
      <c r="D2498" t="inlineStr">
        <is>
          <t>DALARNAS LÄN</t>
        </is>
      </c>
      <c r="E2498" t="inlineStr">
        <is>
          <t>LUDVIKA</t>
        </is>
      </c>
      <c r="F2498" t="inlineStr">
        <is>
          <t>Bergvik skog väst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13565-2024</t>
        </is>
      </c>
      <c r="B2499" s="1" t="n">
        <v>45389.3240162037</v>
      </c>
      <c r="C2499" s="1" t="n">
        <v>46114</v>
      </c>
      <c r="D2499" t="inlineStr">
        <is>
          <t>DALARNAS LÄN</t>
        </is>
      </c>
      <c r="E2499" t="inlineStr">
        <is>
          <t>FALUN</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31034-2024</t>
        </is>
      </c>
      <c r="B2500" s="1" t="n">
        <v>45501.47048611111</v>
      </c>
      <c r="C2500" s="1" t="n">
        <v>46114</v>
      </c>
      <c r="D2500" t="inlineStr">
        <is>
          <t>DALARNAS LÄN</t>
        </is>
      </c>
      <c r="E2500" t="inlineStr">
        <is>
          <t>SMEDJEBACKEN</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68383-2021</t>
        </is>
      </c>
      <c r="B2501" s="1" t="n">
        <v>44529</v>
      </c>
      <c r="C2501" s="1" t="n">
        <v>46114</v>
      </c>
      <c r="D2501" t="inlineStr">
        <is>
          <t>DALARNAS LÄN</t>
        </is>
      </c>
      <c r="E2501" t="inlineStr">
        <is>
          <t>ÄLVDALEN</t>
        </is>
      </c>
      <c r="F2501" t="inlineStr">
        <is>
          <t>Sveaskog</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23413-2024</t>
        </is>
      </c>
      <c r="B2502" s="1" t="n">
        <v>45453.59372685185</v>
      </c>
      <c r="C2502" s="1" t="n">
        <v>46114</v>
      </c>
      <c r="D2502" t="inlineStr">
        <is>
          <t>DALARNAS LÄN</t>
        </is>
      </c>
      <c r="E2502" t="inlineStr">
        <is>
          <t>MALUNG-SÄLEN</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49139-2022</t>
        </is>
      </c>
      <c r="B2503" s="1" t="n">
        <v>44860.72960648148</v>
      </c>
      <c r="C2503" s="1" t="n">
        <v>46114</v>
      </c>
      <c r="D2503" t="inlineStr">
        <is>
          <t>DALARNAS LÄN</t>
        </is>
      </c>
      <c r="E2503" t="inlineStr">
        <is>
          <t>SMEDJEBACKEN</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13809-2025</t>
        </is>
      </c>
      <c r="B2504" s="1" t="n">
        <v>45737.49886574074</v>
      </c>
      <c r="C2504" s="1" t="n">
        <v>46114</v>
      </c>
      <c r="D2504" t="inlineStr">
        <is>
          <t>DALARNAS LÄN</t>
        </is>
      </c>
      <c r="E2504" t="inlineStr">
        <is>
          <t>LUDVIKA</t>
        </is>
      </c>
      <c r="F2504" t="inlineStr">
        <is>
          <t>Bergvik skog väst AB</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57430-2022</t>
        </is>
      </c>
      <c r="B2505" s="1" t="n">
        <v>44896</v>
      </c>
      <c r="C2505" s="1" t="n">
        <v>46114</v>
      </c>
      <c r="D2505" t="inlineStr">
        <is>
          <t>DALARNAS LÄN</t>
        </is>
      </c>
      <c r="E2505" t="inlineStr">
        <is>
          <t>SÄTER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57475-2022</t>
        </is>
      </c>
      <c r="B2506" s="1" t="n">
        <v>44896</v>
      </c>
      <c r="C2506" s="1" t="n">
        <v>46114</v>
      </c>
      <c r="D2506" t="inlineStr">
        <is>
          <t>DALARNAS LÄN</t>
        </is>
      </c>
      <c r="E2506" t="inlineStr">
        <is>
          <t>MORA</t>
        </is>
      </c>
      <c r="G2506" t="n">
        <v>5.7</v>
      </c>
      <c r="H2506" t="n">
        <v>0</v>
      </c>
      <c r="I2506" t="n">
        <v>0</v>
      </c>
      <c r="J2506" t="n">
        <v>0</v>
      </c>
      <c r="K2506" t="n">
        <v>0</v>
      </c>
      <c r="L2506" t="n">
        <v>0</v>
      </c>
      <c r="M2506" t="n">
        <v>0</v>
      </c>
      <c r="N2506" t="n">
        <v>0</v>
      </c>
      <c r="O2506" t="n">
        <v>0</v>
      </c>
      <c r="P2506" t="n">
        <v>0</v>
      </c>
      <c r="Q2506" t="n">
        <v>0</v>
      </c>
      <c r="R2506" s="2" t="inlineStr"/>
    </row>
    <row r="2507" ht="15" customHeight="1">
      <c r="A2507" t="inlineStr">
        <is>
          <t>A 61288-2022</t>
        </is>
      </c>
      <c r="B2507" s="1" t="n">
        <v>44915</v>
      </c>
      <c r="C2507" s="1" t="n">
        <v>46114</v>
      </c>
      <c r="D2507" t="inlineStr">
        <is>
          <t>DALARNAS LÄN</t>
        </is>
      </c>
      <c r="E2507" t="inlineStr">
        <is>
          <t>LEKSAND</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28307-2022</t>
        </is>
      </c>
      <c r="B2508" s="1" t="n">
        <v>44747</v>
      </c>
      <c r="C2508" s="1" t="n">
        <v>46114</v>
      </c>
      <c r="D2508" t="inlineStr">
        <is>
          <t>DALARNAS LÄN</t>
        </is>
      </c>
      <c r="E2508" t="inlineStr">
        <is>
          <t>GAGNEF</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8430-2024</t>
        </is>
      </c>
      <c r="B2509" s="1" t="n">
        <v>45353.41157407407</v>
      </c>
      <c r="C2509" s="1" t="n">
        <v>46114</v>
      </c>
      <c r="D2509" t="inlineStr">
        <is>
          <t>DALARNAS LÄN</t>
        </is>
      </c>
      <c r="E2509" t="inlineStr">
        <is>
          <t>ORSA</t>
        </is>
      </c>
      <c r="G2509" t="n">
        <v>14.4</v>
      </c>
      <c r="H2509" t="n">
        <v>0</v>
      </c>
      <c r="I2509" t="n">
        <v>0</v>
      </c>
      <c r="J2509" t="n">
        <v>0</v>
      </c>
      <c r="K2509" t="n">
        <v>0</v>
      </c>
      <c r="L2509" t="n">
        <v>0</v>
      </c>
      <c r="M2509" t="n">
        <v>0</v>
      </c>
      <c r="N2509" t="n">
        <v>0</v>
      </c>
      <c r="O2509" t="n">
        <v>0</v>
      </c>
      <c r="P2509" t="n">
        <v>0</v>
      </c>
      <c r="Q2509" t="n">
        <v>0</v>
      </c>
      <c r="R2509" s="2" t="inlineStr"/>
    </row>
    <row r="2510" ht="15" customHeight="1">
      <c r="A2510" t="inlineStr">
        <is>
          <t>A 15685-2024</t>
        </is>
      </c>
      <c r="B2510" s="1" t="n">
        <v>45404.44038194444</v>
      </c>
      <c r="C2510" s="1" t="n">
        <v>46114</v>
      </c>
      <c r="D2510" t="inlineStr">
        <is>
          <t>DALARNAS LÄN</t>
        </is>
      </c>
      <c r="E2510" t="inlineStr">
        <is>
          <t>GAGNEF</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61883-2022</t>
        </is>
      </c>
      <c r="B2511" s="1" t="n">
        <v>44917.67262731482</v>
      </c>
      <c r="C2511" s="1" t="n">
        <v>46114</v>
      </c>
      <c r="D2511" t="inlineStr">
        <is>
          <t>DALARNAS LÄN</t>
        </is>
      </c>
      <c r="E2511" t="inlineStr">
        <is>
          <t>HEDEMORA</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58853-2022</t>
        </is>
      </c>
      <c r="B2512" s="1" t="n">
        <v>44903</v>
      </c>
      <c r="C2512" s="1" t="n">
        <v>46114</v>
      </c>
      <c r="D2512" t="inlineStr">
        <is>
          <t>DALARNAS LÄN</t>
        </is>
      </c>
      <c r="E2512" t="inlineStr">
        <is>
          <t>ORSA</t>
        </is>
      </c>
      <c r="F2512" t="inlineStr">
        <is>
          <t>Bergvik skog öst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57424-2024</t>
        </is>
      </c>
      <c r="B2513" s="1" t="n">
        <v>45629.8154050926</v>
      </c>
      <c r="C2513" s="1" t="n">
        <v>46114</v>
      </c>
      <c r="D2513" t="inlineStr">
        <is>
          <t>DALARNAS LÄN</t>
        </is>
      </c>
      <c r="E2513" t="inlineStr">
        <is>
          <t>MALUNG-SÄLEN</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2973-2023</t>
        </is>
      </c>
      <c r="B2514" s="1" t="n">
        <v>44945</v>
      </c>
      <c r="C2514" s="1" t="n">
        <v>46114</v>
      </c>
      <c r="D2514" t="inlineStr">
        <is>
          <t>DALARNAS LÄN</t>
        </is>
      </c>
      <c r="E2514" t="inlineStr">
        <is>
          <t>FALUN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28473-2024</t>
        </is>
      </c>
      <c r="B2515" s="1" t="n">
        <v>45477.73017361111</v>
      </c>
      <c r="C2515" s="1" t="n">
        <v>46114</v>
      </c>
      <c r="D2515" t="inlineStr">
        <is>
          <t>DALARNAS LÄN</t>
        </is>
      </c>
      <c r="E2515" t="inlineStr">
        <is>
          <t>ÄLVDALEN</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28479-2024</t>
        </is>
      </c>
      <c r="B2516" s="1" t="n">
        <v>45477.74017361111</v>
      </c>
      <c r="C2516" s="1" t="n">
        <v>46114</v>
      </c>
      <c r="D2516" t="inlineStr">
        <is>
          <t>DALARNAS LÄN</t>
        </is>
      </c>
      <c r="E2516" t="inlineStr">
        <is>
          <t>ÄLVDALEN</t>
        </is>
      </c>
      <c r="G2516" t="n">
        <v>4.1</v>
      </c>
      <c r="H2516" t="n">
        <v>0</v>
      </c>
      <c r="I2516" t="n">
        <v>0</v>
      </c>
      <c r="J2516" t="n">
        <v>0</v>
      </c>
      <c r="K2516" t="n">
        <v>0</v>
      </c>
      <c r="L2516" t="n">
        <v>0</v>
      </c>
      <c r="M2516" t="n">
        <v>0</v>
      </c>
      <c r="N2516" t="n">
        <v>0</v>
      </c>
      <c r="O2516" t="n">
        <v>0</v>
      </c>
      <c r="P2516" t="n">
        <v>0</v>
      </c>
      <c r="Q2516" t="n">
        <v>0</v>
      </c>
      <c r="R2516" s="2" t="inlineStr"/>
    </row>
    <row r="2517" ht="15" customHeight="1">
      <c r="A2517" t="inlineStr">
        <is>
          <t>A 34674-2023</t>
        </is>
      </c>
      <c r="B2517" s="1" t="n">
        <v>45140</v>
      </c>
      <c r="C2517" s="1" t="n">
        <v>46114</v>
      </c>
      <c r="D2517" t="inlineStr">
        <is>
          <t>DALARNAS LÄN</t>
        </is>
      </c>
      <c r="E2517" t="inlineStr">
        <is>
          <t>BORLÄNGE</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40801-2024</t>
        </is>
      </c>
      <c r="B2518" s="1" t="n">
        <v>45558.52905092593</v>
      </c>
      <c r="C2518" s="1" t="n">
        <v>46114</v>
      </c>
      <c r="D2518" t="inlineStr">
        <is>
          <t>DALARNAS LÄN</t>
        </is>
      </c>
      <c r="E2518" t="inlineStr">
        <is>
          <t>HEDEMORA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713-2022</t>
        </is>
      </c>
      <c r="B2519" s="1" t="n">
        <v>44568</v>
      </c>
      <c r="C2519" s="1" t="n">
        <v>46114</v>
      </c>
      <c r="D2519" t="inlineStr">
        <is>
          <t>DALARNAS LÄN</t>
        </is>
      </c>
      <c r="E2519" t="inlineStr">
        <is>
          <t>ÄLVDALEN</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53982-2024</t>
        </is>
      </c>
      <c r="B2520" s="1" t="n">
        <v>45615</v>
      </c>
      <c r="C2520" s="1" t="n">
        <v>46114</v>
      </c>
      <c r="D2520" t="inlineStr">
        <is>
          <t>DALARNAS LÄN</t>
        </is>
      </c>
      <c r="E2520" t="inlineStr">
        <is>
          <t>SMEDJEBACKEN</t>
        </is>
      </c>
      <c r="F2520" t="inlineStr">
        <is>
          <t>Bergvik skog väst AB</t>
        </is>
      </c>
      <c r="G2520" t="n">
        <v>10</v>
      </c>
      <c r="H2520" t="n">
        <v>0</v>
      </c>
      <c r="I2520" t="n">
        <v>0</v>
      </c>
      <c r="J2520" t="n">
        <v>0</v>
      </c>
      <c r="K2520" t="n">
        <v>0</v>
      </c>
      <c r="L2520" t="n">
        <v>0</v>
      </c>
      <c r="M2520" t="n">
        <v>0</v>
      </c>
      <c r="N2520" t="n">
        <v>0</v>
      </c>
      <c r="O2520" t="n">
        <v>0</v>
      </c>
      <c r="P2520" t="n">
        <v>0</v>
      </c>
      <c r="Q2520" t="n">
        <v>0</v>
      </c>
      <c r="R2520" s="2" t="inlineStr"/>
    </row>
    <row r="2521" ht="15" customHeight="1">
      <c r="A2521" t="inlineStr">
        <is>
          <t>A 34186-2023</t>
        </is>
      </c>
      <c r="B2521" s="1" t="n">
        <v>45138.3903125</v>
      </c>
      <c r="C2521" s="1" t="n">
        <v>46114</v>
      </c>
      <c r="D2521" t="inlineStr">
        <is>
          <t>DALARNAS LÄN</t>
        </is>
      </c>
      <c r="E2521" t="inlineStr">
        <is>
          <t>AVESTA</t>
        </is>
      </c>
      <c r="G2521" t="n">
        <v>8.5</v>
      </c>
      <c r="H2521" t="n">
        <v>0</v>
      </c>
      <c r="I2521" t="n">
        <v>0</v>
      </c>
      <c r="J2521" t="n">
        <v>0</v>
      </c>
      <c r="K2521" t="n">
        <v>0</v>
      </c>
      <c r="L2521" t="n">
        <v>0</v>
      </c>
      <c r="M2521" t="n">
        <v>0</v>
      </c>
      <c r="N2521" t="n">
        <v>0</v>
      </c>
      <c r="O2521" t="n">
        <v>0</v>
      </c>
      <c r="P2521" t="n">
        <v>0</v>
      </c>
      <c r="Q2521" t="n">
        <v>0</v>
      </c>
      <c r="R2521" s="2" t="inlineStr"/>
    </row>
    <row r="2522" ht="15" customHeight="1">
      <c r="A2522" t="inlineStr">
        <is>
          <t>A 3638-2024</t>
        </is>
      </c>
      <c r="B2522" s="1" t="n">
        <v>45321</v>
      </c>
      <c r="C2522" s="1" t="n">
        <v>46114</v>
      </c>
      <c r="D2522" t="inlineStr">
        <is>
          <t>DALARNAS LÄN</t>
        </is>
      </c>
      <c r="E2522" t="inlineStr">
        <is>
          <t>RÄTTVIK</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47867-2022</t>
        </is>
      </c>
      <c r="B2523" s="1" t="n">
        <v>44855.42674768518</v>
      </c>
      <c r="C2523" s="1" t="n">
        <v>46114</v>
      </c>
      <c r="D2523" t="inlineStr">
        <is>
          <t>DALARNAS LÄN</t>
        </is>
      </c>
      <c r="E2523" t="inlineStr">
        <is>
          <t>AVESTA</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863-2022</t>
        </is>
      </c>
      <c r="B2524" s="1" t="n">
        <v>44571.43868055556</v>
      </c>
      <c r="C2524" s="1" t="n">
        <v>46114</v>
      </c>
      <c r="D2524" t="inlineStr">
        <is>
          <t>DALARNAS LÄN</t>
        </is>
      </c>
      <c r="E2524" t="inlineStr">
        <is>
          <t>AVESTA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646-2022</t>
        </is>
      </c>
      <c r="B2525" s="1" t="n">
        <v>44568</v>
      </c>
      <c r="C2525" s="1" t="n">
        <v>46114</v>
      </c>
      <c r="D2525" t="inlineStr">
        <is>
          <t>DALARNAS LÄN</t>
        </is>
      </c>
      <c r="E2525" t="inlineStr">
        <is>
          <t>SMEDJEBACKEN</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49756-2021</t>
        </is>
      </c>
      <c r="B2526" s="1" t="n">
        <v>44455</v>
      </c>
      <c r="C2526" s="1" t="n">
        <v>46114</v>
      </c>
      <c r="D2526" t="inlineStr">
        <is>
          <t>DALARNAS LÄN</t>
        </is>
      </c>
      <c r="E2526" t="inlineStr">
        <is>
          <t>SÄTER</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59142-2024</t>
        </is>
      </c>
      <c r="B2527" s="1" t="n">
        <v>45637.44667824074</v>
      </c>
      <c r="C2527" s="1" t="n">
        <v>46114</v>
      </c>
      <c r="D2527" t="inlineStr">
        <is>
          <t>DALARNAS LÄN</t>
        </is>
      </c>
      <c r="E2527" t="inlineStr">
        <is>
          <t>VANSBRO</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13639-2022</t>
        </is>
      </c>
      <c r="B2528" s="1" t="n">
        <v>44648.63498842593</v>
      </c>
      <c r="C2528" s="1" t="n">
        <v>46114</v>
      </c>
      <c r="D2528" t="inlineStr">
        <is>
          <t>DALARNAS LÄN</t>
        </is>
      </c>
      <c r="E2528" t="inlineStr">
        <is>
          <t>VANSBRO</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4955-2025</t>
        </is>
      </c>
      <c r="B2529" s="1" t="n">
        <v>45689.54017361111</v>
      </c>
      <c r="C2529" s="1" t="n">
        <v>46114</v>
      </c>
      <c r="D2529" t="inlineStr">
        <is>
          <t>DALARNAS LÄN</t>
        </is>
      </c>
      <c r="E2529" t="inlineStr">
        <is>
          <t>VANSBRO</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59199-2024</t>
        </is>
      </c>
      <c r="B2530" s="1" t="n">
        <v>45637</v>
      </c>
      <c r="C2530" s="1" t="n">
        <v>46114</v>
      </c>
      <c r="D2530" t="inlineStr">
        <is>
          <t>DALARNAS LÄN</t>
        </is>
      </c>
      <c r="E2530" t="inlineStr">
        <is>
          <t>LEKSAND</t>
        </is>
      </c>
      <c r="G2530" t="n">
        <v>5.4</v>
      </c>
      <c r="H2530" t="n">
        <v>0</v>
      </c>
      <c r="I2530" t="n">
        <v>0</v>
      </c>
      <c r="J2530" t="n">
        <v>0</v>
      </c>
      <c r="K2530" t="n">
        <v>0</v>
      </c>
      <c r="L2530" t="n">
        <v>0</v>
      </c>
      <c r="M2530" t="n">
        <v>0</v>
      </c>
      <c r="N2530" t="n">
        <v>0</v>
      </c>
      <c r="O2530" t="n">
        <v>0</v>
      </c>
      <c r="P2530" t="n">
        <v>0</v>
      </c>
      <c r="Q2530" t="n">
        <v>0</v>
      </c>
      <c r="R2530" s="2" t="inlineStr"/>
    </row>
    <row r="2531" ht="15" customHeight="1">
      <c r="A2531" t="inlineStr">
        <is>
          <t>A 42802-2024</t>
        </is>
      </c>
      <c r="B2531" s="1" t="n">
        <v>45566.56403935186</v>
      </c>
      <c r="C2531" s="1" t="n">
        <v>46114</v>
      </c>
      <c r="D2531" t="inlineStr">
        <is>
          <t>DALARNAS LÄN</t>
        </is>
      </c>
      <c r="E2531" t="inlineStr">
        <is>
          <t>MALUNG-SÄLEN</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2579-2022</t>
        </is>
      </c>
      <c r="B2532" s="1" t="n">
        <v>44580</v>
      </c>
      <c r="C2532" s="1" t="n">
        <v>46114</v>
      </c>
      <c r="D2532" t="inlineStr">
        <is>
          <t>DALARNAS LÄN</t>
        </is>
      </c>
      <c r="E2532" t="inlineStr">
        <is>
          <t>LEKSAND</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21703-2023</t>
        </is>
      </c>
      <c r="B2533" s="1" t="n">
        <v>45064</v>
      </c>
      <c r="C2533" s="1" t="n">
        <v>46114</v>
      </c>
      <c r="D2533" t="inlineStr">
        <is>
          <t>DALARNAS LÄN</t>
        </is>
      </c>
      <c r="E2533" t="inlineStr">
        <is>
          <t>SMEDJEBACKEN</t>
        </is>
      </c>
      <c r="F2533" t="inlineStr">
        <is>
          <t>Övriga Aktiebolag</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33330-2024</t>
        </is>
      </c>
      <c r="B2534" s="1" t="n">
        <v>45519</v>
      </c>
      <c r="C2534" s="1" t="n">
        <v>46114</v>
      </c>
      <c r="D2534" t="inlineStr">
        <is>
          <t>DALARNAS LÄN</t>
        </is>
      </c>
      <c r="E2534" t="inlineStr">
        <is>
          <t>LUDVIKA</t>
        </is>
      </c>
      <c r="G2534" t="n">
        <v>4.9</v>
      </c>
      <c r="H2534" t="n">
        <v>0</v>
      </c>
      <c r="I2534" t="n">
        <v>0</v>
      </c>
      <c r="J2534" t="n">
        <v>0</v>
      </c>
      <c r="K2534" t="n">
        <v>0</v>
      </c>
      <c r="L2534" t="n">
        <v>0</v>
      </c>
      <c r="M2534" t="n">
        <v>0</v>
      </c>
      <c r="N2534" t="n">
        <v>0</v>
      </c>
      <c r="O2534" t="n">
        <v>0</v>
      </c>
      <c r="P2534" t="n">
        <v>0</v>
      </c>
      <c r="Q2534" t="n">
        <v>0</v>
      </c>
      <c r="R2534" s="2" t="inlineStr"/>
    </row>
    <row r="2535" ht="15" customHeight="1">
      <c r="A2535" t="inlineStr">
        <is>
          <t>A 16842-2021</t>
        </is>
      </c>
      <c r="B2535" s="1" t="n">
        <v>44295.39846064815</v>
      </c>
      <c r="C2535" s="1" t="n">
        <v>46114</v>
      </c>
      <c r="D2535" t="inlineStr">
        <is>
          <t>DALARNAS LÄN</t>
        </is>
      </c>
      <c r="E2535" t="inlineStr">
        <is>
          <t>SMEDJEBACKEN</t>
        </is>
      </c>
      <c r="F2535" t="inlineStr">
        <is>
          <t>Sveaskog</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44710-2021</t>
        </is>
      </c>
      <c r="B2536" s="1" t="n">
        <v>44438.37149305556</v>
      </c>
      <c r="C2536" s="1" t="n">
        <v>46114</v>
      </c>
      <c r="D2536" t="inlineStr">
        <is>
          <t>DALARNAS LÄN</t>
        </is>
      </c>
      <c r="E2536" t="inlineStr">
        <is>
          <t>AVESTA</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54206-2023</t>
        </is>
      </c>
      <c r="B2537" s="1" t="n">
        <v>45225</v>
      </c>
      <c r="C2537" s="1" t="n">
        <v>46114</v>
      </c>
      <c r="D2537" t="inlineStr">
        <is>
          <t>DALARNAS LÄN</t>
        </is>
      </c>
      <c r="E2537" t="inlineStr">
        <is>
          <t>RÄTTVIK</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35363-2024</t>
        </is>
      </c>
      <c r="B2538" s="1" t="n">
        <v>45531.34050925926</v>
      </c>
      <c r="C2538" s="1" t="n">
        <v>46114</v>
      </c>
      <c r="D2538" t="inlineStr">
        <is>
          <t>DALARNAS LÄN</t>
        </is>
      </c>
      <c r="E2538" t="inlineStr">
        <is>
          <t>MORA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57013-2023</t>
        </is>
      </c>
      <c r="B2539" s="1" t="n">
        <v>45244</v>
      </c>
      <c r="C2539" s="1" t="n">
        <v>46114</v>
      </c>
      <c r="D2539" t="inlineStr">
        <is>
          <t>DALARNAS LÄN</t>
        </is>
      </c>
      <c r="E2539" t="inlineStr">
        <is>
          <t>LEKSAND</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33895-2024</t>
        </is>
      </c>
      <c r="B2540" s="1" t="n">
        <v>45523.34726851852</v>
      </c>
      <c r="C2540" s="1" t="n">
        <v>46114</v>
      </c>
      <c r="D2540" t="inlineStr">
        <is>
          <t>DALARNAS LÄN</t>
        </is>
      </c>
      <c r="E2540" t="inlineStr">
        <is>
          <t>SMEDJEBACKEN</t>
        </is>
      </c>
      <c r="G2540" t="n">
        <v>5.6</v>
      </c>
      <c r="H2540" t="n">
        <v>0</v>
      </c>
      <c r="I2540" t="n">
        <v>0</v>
      </c>
      <c r="J2540" t="n">
        <v>0</v>
      </c>
      <c r="K2540" t="n">
        <v>0</v>
      </c>
      <c r="L2540" t="n">
        <v>0</v>
      </c>
      <c r="M2540" t="n">
        <v>0</v>
      </c>
      <c r="N2540" t="n">
        <v>0</v>
      </c>
      <c r="O2540" t="n">
        <v>0</v>
      </c>
      <c r="P2540" t="n">
        <v>0</v>
      </c>
      <c r="Q2540" t="n">
        <v>0</v>
      </c>
      <c r="R2540" s="2" t="inlineStr"/>
    </row>
    <row r="2541" ht="15" customHeight="1">
      <c r="A2541" t="inlineStr">
        <is>
          <t>A 53717-2023</t>
        </is>
      </c>
      <c r="B2541" s="1" t="n">
        <v>45230</v>
      </c>
      <c r="C2541" s="1" t="n">
        <v>46114</v>
      </c>
      <c r="D2541" t="inlineStr">
        <is>
          <t>DALARNAS LÄN</t>
        </is>
      </c>
      <c r="E2541" t="inlineStr">
        <is>
          <t>LEKSAND</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59345-2023</t>
        </is>
      </c>
      <c r="B2542" s="1" t="n">
        <v>45253.65384259259</v>
      </c>
      <c r="C2542" s="1" t="n">
        <v>46114</v>
      </c>
      <c r="D2542" t="inlineStr">
        <is>
          <t>DALARNAS LÄN</t>
        </is>
      </c>
      <c r="E2542" t="inlineStr">
        <is>
          <t>RÄTTVIK</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51496-2023</t>
        </is>
      </c>
      <c r="B2543" s="1" t="n">
        <v>45222</v>
      </c>
      <c r="C2543" s="1" t="n">
        <v>46114</v>
      </c>
      <c r="D2543" t="inlineStr">
        <is>
          <t>DALARNAS LÄN</t>
        </is>
      </c>
      <c r="E2543" t="inlineStr">
        <is>
          <t>GAGNEF</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52868-2023</t>
        </is>
      </c>
      <c r="B2544" s="1" t="n">
        <v>45226.4590625</v>
      </c>
      <c r="C2544" s="1" t="n">
        <v>46114</v>
      </c>
      <c r="D2544" t="inlineStr">
        <is>
          <t>DALARNAS LÄN</t>
        </is>
      </c>
      <c r="E2544" t="inlineStr">
        <is>
          <t>LUDVIKA</t>
        </is>
      </c>
      <c r="F2544" t="inlineStr">
        <is>
          <t>Bergvik skog väst AB</t>
        </is>
      </c>
      <c r="G2544" t="n">
        <v>8.699999999999999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25534-2023</t>
        </is>
      </c>
      <c r="B2545" s="1" t="n">
        <v>45089</v>
      </c>
      <c r="C2545" s="1" t="n">
        <v>46114</v>
      </c>
      <c r="D2545" t="inlineStr">
        <is>
          <t>DALARNAS LÄN</t>
        </is>
      </c>
      <c r="E2545" t="inlineStr">
        <is>
          <t>MALUNG-SÄLEN</t>
        </is>
      </c>
      <c r="G2545" t="n">
        <v>2.6</v>
      </c>
      <c r="H2545" t="n">
        <v>0</v>
      </c>
      <c r="I2545" t="n">
        <v>0</v>
      </c>
      <c r="J2545" t="n">
        <v>0</v>
      </c>
      <c r="K2545" t="n">
        <v>0</v>
      </c>
      <c r="L2545" t="n">
        <v>0</v>
      </c>
      <c r="M2545" t="n">
        <v>0</v>
      </c>
      <c r="N2545" t="n">
        <v>0</v>
      </c>
      <c r="O2545" t="n">
        <v>0</v>
      </c>
      <c r="P2545" t="n">
        <v>0</v>
      </c>
      <c r="Q2545" t="n">
        <v>0</v>
      </c>
      <c r="R2545" s="2" t="inlineStr"/>
    </row>
    <row r="2546" ht="15" customHeight="1">
      <c r="A2546" t="inlineStr">
        <is>
          <t>A 2140-2024</t>
        </is>
      </c>
      <c r="B2546" s="1" t="n">
        <v>45309</v>
      </c>
      <c r="C2546" s="1" t="n">
        <v>46114</v>
      </c>
      <c r="D2546" t="inlineStr">
        <is>
          <t>DALARNAS LÄN</t>
        </is>
      </c>
      <c r="E2546" t="inlineStr">
        <is>
          <t>LEKSAND</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22629-2024</t>
        </is>
      </c>
      <c r="B2547" s="1" t="n">
        <v>45447.66854166667</v>
      </c>
      <c r="C2547" s="1" t="n">
        <v>46114</v>
      </c>
      <c r="D2547" t="inlineStr">
        <is>
          <t>DALARNAS LÄN</t>
        </is>
      </c>
      <c r="E2547" t="inlineStr">
        <is>
          <t>AVESTA</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6881-2024</t>
        </is>
      </c>
      <c r="B2548" s="1" t="n">
        <v>45342.8779050926</v>
      </c>
      <c r="C2548" s="1" t="n">
        <v>46114</v>
      </c>
      <c r="D2548" t="inlineStr">
        <is>
          <t>DALARNAS LÄN</t>
        </is>
      </c>
      <c r="E2548" t="inlineStr">
        <is>
          <t>HEDEMORA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44307-2021</t>
        </is>
      </c>
      <c r="B2549" s="1" t="n">
        <v>44435</v>
      </c>
      <c r="C2549" s="1" t="n">
        <v>46114</v>
      </c>
      <c r="D2549" t="inlineStr">
        <is>
          <t>DALARNAS LÄN</t>
        </is>
      </c>
      <c r="E2549" t="inlineStr">
        <is>
          <t>MORA</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49203-2023</t>
        </is>
      </c>
      <c r="B2550" s="1" t="n">
        <v>45210</v>
      </c>
      <c r="C2550" s="1" t="n">
        <v>46114</v>
      </c>
      <c r="D2550" t="inlineStr">
        <is>
          <t>DALARNAS LÄN</t>
        </is>
      </c>
      <c r="E2550" t="inlineStr">
        <is>
          <t>ÄLVDALEN</t>
        </is>
      </c>
      <c r="F2550" t="inlineStr">
        <is>
          <t>Bergvik skog väst AB</t>
        </is>
      </c>
      <c r="G2550" t="n">
        <v>18.2</v>
      </c>
      <c r="H2550" t="n">
        <v>0</v>
      </c>
      <c r="I2550" t="n">
        <v>0</v>
      </c>
      <c r="J2550" t="n">
        <v>0</v>
      </c>
      <c r="K2550" t="n">
        <v>0</v>
      </c>
      <c r="L2550" t="n">
        <v>0</v>
      </c>
      <c r="M2550" t="n">
        <v>0</v>
      </c>
      <c r="N2550" t="n">
        <v>0</v>
      </c>
      <c r="O2550" t="n">
        <v>0</v>
      </c>
      <c r="P2550" t="n">
        <v>0</v>
      </c>
      <c r="Q2550" t="n">
        <v>0</v>
      </c>
      <c r="R2550" s="2" t="inlineStr"/>
    </row>
    <row r="2551" ht="15" customHeight="1">
      <c r="A2551" t="inlineStr">
        <is>
          <t>A 23615-2024</t>
        </is>
      </c>
      <c r="B2551" s="1" t="n">
        <v>45454.43050925926</v>
      </c>
      <c r="C2551" s="1" t="n">
        <v>46114</v>
      </c>
      <c r="D2551" t="inlineStr">
        <is>
          <t>DALARNAS LÄN</t>
        </is>
      </c>
      <c r="E2551" t="inlineStr">
        <is>
          <t>LEKSAND</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59674-2021</t>
        </is>
      </c>
      <c r="B2552" s="1" t="n">
        <v>44494</v>
      </c>
      <c r="C2552" s="1" t="n">
        <v>46114</v>
      </c>
      <c r="D2552" t="inlineStr">
        <is>
          <t>DALARNAS LÄN</t>
        </is>
      </c>
      <c r="E2552" t="inlineStr">
        <is>
          <t>BORLÄNGE</t>
        </is>
      </c>
      <c r="G2552" t="n">
        <v>1</v>
      </c>
      <c r="H2552" t="n">
        <v>0</v>
      </c>
      <c r="I2552" t="n">
        <v>0</v>
      </c>
      <c r="J2552" t="n">
        <v>0</v>
      </c>
      <c r="K2552" t="n">
        <v>0</v>
      </c>
      <c r="L2552" t="n">
        <v>0</v>
      </c>
      <c r="M2552" t="n">
        <v>0</v>
      </c>
      <c r="N2552" t="n">
        <v>0</v>
      </c>
      <c r="O2552" t="n">
        <v>0</v>
      </c>
      <c r="P2552" t="n">
        <v>0</v>
      </c>
      <c r="Q2552" t="n">
        <v>0</v>
      </c>
      <c r="R2552" s="2" t="inlineStr"/>
      <c r="U2552">
        <f>HYPERLINK("https://klasma.github.io/Logging_2081/knärot/A 59674-2021 karta knärot.png", "A 59674-2021")</f>
        <v/>
      </c>
      <c r="V2552">
        <f>HYPERLINK("https://klasma.github.io/Logging_2081/klagomål/A 59674-2021 FSC-klagomål.docx", "A 59674-2021")</f>
        <v/>
      </c>
      <c r="W2552">
        <f>HYPERLINK("https://klasma.github.io/Logging_2081/klagomålsmail/A 59674-2021 FSC-klagomål mail.docx", "A 59674-2021")</f>
        <v/>
      </c>
      <c r="X2552">
        <f>HYPERLINK("https://klasma.github.io/Logging_2081/tillsyn/A 59674-2021 tillsynsbegäran.docx", "A 59674-2021")</f>
        <v/>
      </c>
      <c r="Y2552">
        <f>HYPERLINK("https://klasma.github.io/Logging_2081/tillsynsmail/A 59674-2021 tillsynsbegäran mail.docx", "A 59674-2021")</f>
        <v/>
      </c>
    </row>
    <row r="2553" ht="15" customHeight="1">
      <c r="A2553" t="inlineStr">
        <is>
          <t>A 37501-2022</t>
        </is>
      </c>
      <c r="B2553" s="1" t="n">
        <v>44809.57108796296</v>
      </c>
      <c r="C2553" s="1" t="n">
        <v>46114</v>
      </c>
      <c r="D2553" t="inlineStr">
        <is>
          <t>DALARNAS LÄN</t>
        </is>
      </c>
      <c r="E2553" t="inlineStr">
        <is>
          <t>SMEDJEBACKEN</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40561-2021</t>
        </is>
      </c>
      <c r="B2554" s="1" t="n">
        <v>44420</v>
      </c>
      <c r="C2554" s="1" t="n">
        <v>46114</v>
      </c>
      <c r="D2554" t="inlineStr">
        <is>
          <t>DALARNAS LÄN</t>
        </is>
      </c>
      <c r="E2554" t="inlineStr">
        <is>
          <t>SMEDJEBACKEN</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11593-2025</t>
        </is>
      </c>
      <c r="B2555" s="1" t="n">
        <v>45727</v>
      </c>
      <c r="C2555" s="1" t="n">
        <v>46114</v>
      </c>
      <c r="D2555" t="inlineStr">
        <is>
          <t>DALARNAS LÄN</t>
        </is>
      </c>
      <c r="E2555" t="inlineStr">
        <is>
          <t>MALUNG-SÄLEN</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34923-2022</t>
        </is>
      </c>
      <c r="B2556" s="1" t="n">
        <v>44796</v>
      </c>
      <c r="C2556" s="1" t="n">
        <v>46114</v>
      </c>
      <c r="D2556" t="inlineStr">
        <is>
          <t>DALARNAS LÄN</t>
        </is>
      </c>
      <c r="E2556" t="inlineStr">
        <is>
          <t>MORA</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34953-2022</t>
        </is>
      </c>
      <c r="B2557" s="1" t="n">
        <v>44796.64291666666</v>
      </c>
      <c r="C2557" s="1" t="n">
        <v>46114</v>
      </c>
      <c r="D2557" t="inlineStr">
        <is>
          <t>DALARNAS LÄN</t>
        </is>
      </c>
      <c r="E2557" t="inlineStr">
        <is>
          <t>FALUN</t>
        </is>
      </c>
      <c r="G2557" t="n">
        <v>5.8</v>
      </c>
      <c r="H2557" t="n">
        <v>0</v>
      </c>
      <c r="I2557" t="n">
        <v>0</v>
      </c>
      <c r="J2557" t="n">
        <v>0</v>
      </c>
      <c r="K2557" t="n">
        <v>0</v>
      </c>
      <c r="L2557" t="n">
        <v>0</v>
      </c>
      <c r="M2557" t="n">
        <v>0</v>
      </c>
      <c r="N2557" t="n">
        <v>0</v>
      </c>
      <c r="O2557" t="n">
        <v>0</v>
      </c>
      <c r="P2557" t="n">
        <v>0</v>
      </c>
      <c r="Q2557" t="n">
        <v>0</v>
      </c>
      <c r="R2557" s="2" t="inlineStr"/>
    </row>
    <row r="2558" ht="15" customHeight="1">
      <c r="A2558" t="inlineStr">
        <is>
          <t>A 57146-2022</t>
        </is>
      </c>
      <c r="B2558" s="1" t="n">
        <v>44895</v>
      </c>
      <c r="C2558" s="1" t="n">
        <v>46114</v>
      </c>
      <c r="D2558" t="inlineStr">
        <is>
          <t>DALARNAS LÄN</t>
        </is>
      </c>
      <c r="E2558" t="inlineStr">
        <is>
          <t>SMEDJEBACKEN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10359-2023</t>
        </is>
      </c>
      <c r="B2559" s="1" t="n">
        <v>44987.37292824074</v>
      </c>
      <c r="C2559" s="1" t="n">
        <v>46114</v>
      </c>
      <c r="D2559" t="inlineStr">
        <is>
          <t>DALARNAS LÄN</t>
        </is>
      </c>
      <c r="E2559" t="inlineStr">
        <is>
          <t>ORSA</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5922-2025</t>
        </is>
      </c>
      <c r="B2560" s="1" t="n">
        <v>45695.42762731481</v>
      </c>
      <c r="C2560" s="1" t="n">
        <v>46114</v>
      </c>
      <c r="D2560" t="inlineStr">
        <is>
          <t>DALARNAS LÄN</t>
        </is>
      </c>
      <c r="E2560" t="inlineStr">
        <is>
          <t>MORA</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36932-2023</t>
        </is>
      </c>
      <c r="B2561" s="1" t="n">
        <v>45154</v>
      </c>
      <c r="C2561" s="1" t="n">
        <v>46114</v>
      </c>
      <c r="D2561" t="inlineStr">
        <is>
          <t>DALARNAS LÄN</t>
        </is>
      </c>
      <c r="E2561" t="inlineStr">
        <is>
          <t>LEKSAND</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57310-2024</t>
        </is>
      </c>
      <c r="B2562" s="1" t="n">
        <v>45629.60636574074</v>
      </c>
      <c r="C2562" s="1" t="n">
        <v>46114</v>
      </c>
      <c r="D2562" t="inlineStr">
        <is>
          <t>DALARNAS LÄN</t>
        </is>
      </c>
      <c r="E2562" t="inlineStr">
        <is>
          <t>LUDVIKA</t>
        </is>
      </c>
      <c r="F2562" t="inlineStr">
        <is>
          <t>Naturvårdsverket</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57925-2024</t>
        </is>
      </c>
      <c r="B2563" s="1" t="n">
        <v>45630</v>
      </c>
      <c r="C2563" s="1" t="n">
        <v>46114</v>
      </c>
      <c r="D2563" t="inlineStr">
        <is>
          <t>DALARNAS LÄN</t>
        </is>
      </c>
      <c r="E2563" t="inlineStr">
        <is>
          <t>LEKSAND</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30248-2023</t>
        </is>
      </c>
      <c r="B2564" s="1" t="n">
        <v>45110</v>
      </c>
      <c r="C2564" s="1" t="n">
        <v>46114</v>
      </c>
      <c r="D2564" t="inlineStr">
        <is>
          <t>DALARNAS LÄN</t>
        </is>
      </c>
      <c r="E2564" t="inlineStr">
        <is>
          <t>BORLÄNGE</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30253-2023</t>
        </is>
      </c>
      <c r="B2565" s="1" t="n">
        <v>45110</v>
      </c>
      <c r="C2565" s="1" t="n">
        <v>46114</v>
      </c>
      <c r="D2565" t="inlineStr">
        <is>
          <t>DALARNAS LÄN</t>
        </is>
      </c>
      <c r="E2565" t="inlineStr">
        <is>
          <t>BORLÄNGE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25296-2022</t>
        </is>
      </c>
      <c r="B2566" s="1" t="n">
        <v>44730.98890046297</v>
      </c>
      <c r="C2566" s="1" t="n">
        <v>46114</v>
      </c>
      <c r="D2566" t="inlineStr">
        <is>
          <t>DALARNAS LÄN</t>
        </is>
      </c>
      <c r="E2566" t="inlineStr">
        <is>
          <t>LUDVIKA</t>
        </is>
      </c>
      <c r="F2566" t="inlineStr">
        <is>
          <t>Bergvik skog väst AB</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23103-2024</t>
        </is>
      </c>
      <c r="B2567" s="1" t="n">
        <v>45450</v>
      </c>
      <c r="C2567" s="1" t="n">
        <v>46114</v>
      </c>
      <c r="D2567" t="inlineStr">
        <is>
          <t>DALARNAS LÄN</t>
        </is>
      </c>
      <c r="E2567" t="inlineStr">
        <is>
          <t>LUDVIKA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22349-2024</t>
        </is>
      </c>
      <c r="B2568" s="1" t="n">
        <v>45446</v>
      </c>
      <c r="C2568" s="1" t="n">
        <v>46114</v>
      </c>
      <c r="D2568" t="inlineStr">
        <is>
          <t>DALARNAS LÄN</t>
        </is>
      </c>
      <c r="E2568" t="inlineStr">
        <is>
          <t>LEKSAND</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31702-2023</t>
        </is>
      </c>
      <c r="B2569" s="1" t="n">
        <v>45105</v>
      </c>
      <c r="C2569" s="1" t="n">
        <v>46114</v>
      </c>
      <c r="D2569" t="inlineStr">
        <is>
          <t>DALARNAS LÄN</t>
        </is>
      </c>
      <c r="E2569" t="inlineStr">
        <is>
          <t>LUDVIKA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15318-2025</t>
        </is>
      </c>
      <c r="B2570" s="1" t="n">
        <v>45747.31387731482</v>
      </c>
      <c r="C2570" s="1" t="n">
        <v>46114</v>
      </c>
      <c r="D2570" t="inlineStr">
        <is>
          <t>DALARNAS LÄN</t>
        </is>
      </c>
      <c r="E2570" t="inlineStr">
        <is>
          <t>FALUN</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55965-2022</t>
        </is>
      </c>
      <c r="B2571" s="1" t="n">
        <v>44889.43208333333</v>
      </c>
      <c r="C2571" s="1" t="n">
        <v>46114</v>
      </c>
      <c r="D2571" t="inlineStr">
        <is>
          <t>DALARNAS LÄN</t>
        </is>
      </c>
      <c r="E2571" t="inlineStr">
        <is>
          <t>RÄTTVIK</t>
        </is>
      </c>
      <c r="G2571" t="n">
        <v>0.5</v>
      </c>
      <c r="H2571" t="n">
        <v>0</v>
      </c>
      <c r="I2571" t="n">
        <v>0</v>
      </c>
      <c r="J2571" t="n">
        <v>0</v>
      </c>
      <c r="K2571" t="n">
        <v>0</v>
      </c>
      <c r="L2571" t="n">
        <v>0</v>
      </c>
      <c r="M2571" t="n">
        <v>0</v>
      </c>
      <c r="N2571" t="n">
        <v>0</v>
      </c>
      <c r="O2571" t="n">
        <v>0</v>
      </c>
      <c r="P2571" t="n">
        <v>0</v>
      </c>
      <c r="Q2571" t="n">
        <v>0</v>
      </c>
      <c r="R2571" s="2" t="inlineStr"/>
    </row>
    <row r="2572" ht="15" customHeight="1">
      <c r="A2572" t="inlineStr">
        <is>
          <t>A 3951-2023</t>
        </is>
      </c>
      <c r="B2572" s="1" t="n">
        <v>44952.38577546296</v>
      </c>
      <c r="C2572" s="1" t="n">
        <v>46114</v>
      </c>
      <c r="D2572" t="inlineStr">
        <is>
          <t>DALARNAS LÄN</t>
        </is>
      </c>
      <c r="E2572" t="inlineStr">
        <is>
          <t>ORSA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60246-2022</t>
        </is>
      </c>
      <c r="B2573" s="1" t="n">
        <v>44910.46317129629</v>
      </c>
      <c r="C2573" s="1" t="n">
        <v>46114</v>
      </c>
      <c r="D2573" t="inlineStr">
        <is>
          <t>DALARNAS LÄN</t>
        </is>
      </c>
      <c r="E2573" t="inlineStr">
        <is>
          <t>MALUNG-SÄLEN</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15322-2025</t>
        </is>
      </c>
      <c r="B2574" s="1" t="n">
        <v>45747.32240740741</v>
      </c>
      <c r="C2574" s="1" t="n">
        <v>46114</v>
      </c>
      <c r="D2574" t="inlineStr">
        <is>
          <t>DALARNAS LÄN</t>
        </is>
      </c>
      <c r="E2574" t="inlineStr">
        <is>
          <t>SMEDJEBACKEN</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37774-2022</t>
        </is>
      </c>
      <c r="B2575" s="1" t="n">
        <v>44810.64164351852</v>
      </c>
      <c r="C2575" s="1" t="n">
        <v>46114</v>
      </c>
      <c r="D2575" t="inlineStr">
        <is>
          <t>DALARNAS LÄN</t>
        </is>
      </c>
      <c r="E2575" t="inlineStr">
        <is>
          <t>MORA</t>
        </is>
      </c>
      <c r="F2575" t="inlineStr">
        <is>
          <t>Bergvik skog väst AB</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5010-2023</t>
        </is>
      </c>
      <c r="B2576" s="1" t="n">
        <v>44956</v>
      </c>
      <c r="C2576" s="1" t="n">
        <v>46114</v>
      </c>
      <c r="D2576" t="inlineStr">
        <is>
          <t>DALARNAS LÄN</t>
        </is>
      </c>
      <c r="E2576" t="inlineStr">
        <is>
          <t>HEDEMORA</t>
        </is>
      </c>
      <c r="F2576" t="inlineStr">
        <is>
          <t>Bergvik skog väst AB</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59444-2024</t>
        </is>
      </c>
      <c r="B2577" s="1" t="n">
        <v>45638.45292824074</v>
      </c>
      <c r="C2577" s="1" t="n">
        <v>46114</v>
      </c>
      <c r="D2577" t="inlineStr">
        <is>
          <t>DALARNAS LÄN</t>
        </is>
      </c>
      <c r="E2577" t="inlineStr">
        <is>
          <t>ÄLVDALEN</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59448-2024</t>
        </is>
      </c>
      <c r="B2578" s="1" t="n">
        <v>45638.46208333333</v>
      </c>
      <c r="C2578" s="1" t="n">
        <v>46114</v>
      </c>
      <c r="D2578" t="inlineStr">
        <is>
          <t>DALARNAS LÄN</t>
        </is>
      </c>
      <c r="E2578" t="inlineStr">
        <is>
          <t>LUDVIKA</t>
        </is>
      </c>
      <c r="F2578" t="inlineStr">
        <is>
          <t>Bergvik skog väst AB</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18029-2025</t>
        </is>
      </c>
      <c r="B2579" s="1" t="n">
        <v>45761.44954861111</v>
      </c>
      <c r="C2579" s="1" t="n">
        <v>46114</v>
      </c>
      <c r="D2579" t="inlineStr">
        <is>
          <t>DALARNAS LÄN</t>
        </is>
      </c>
      <c r="E2579" t="inlineStr">
        <is>
          <t>MALUNG-SÄLEN</t>
        </is>
      </c>
      <c r="F2579" t="inlineStr">
        <is>
          <t>Övriga statliga verk och myndigheter</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18096-2024</t>
        </is>
      </c>
      <c r="B2580" s="1" t="n">
        <v>45420.47038194445</v>
      </c>
      <c r="C2580" s="1" t="n">
        <v>46114</v>
      </c>
      <c r="D2580" t="inlineStr">
        <is>
          <t>DALARNAS LÄN</t>
        </is>
      </c>
      <c r="E2580" t="inlineStr">
        <is>
          <t>SMEDJEBACKEN</t>
        </is>
      </c>
      <c r="F2580" t="inlineStr">
        <is>
          <t>Sveaskog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57533-2022</t>
        </is>
      </c>
      <c r="B2581" s="1" t="n">
        <v>44896.68393518519</v>
      </c>
      <c r="C2581" s="1" t="n">
        <v>46114</v>
      </c>
      <c r="D2581" t="inlineStr">
        <is>
          <t>DALARNAS LÄN</t>
        </is>
      </c>
      <c r="E2581" t="inlineStr">
        <is>
          <t>ORSA</t>
        </is>
      </c>
      <c r="F2581" t="inlineStr">
        <is>
          <t>Bergvik skog öst AB</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12225-2025</t>
        </is>
      </c>
      <c r="B2582" s="1" t="n">
        <v>45729.5565162037</v>
      </c>
      <c r="C2582" s="1" t="n">
        <v>46114</v>
      </c>
      <c r="D2582" t="inlineStr">
        <is>
          <t>DALARNAS LÄN</t>
        </is>
      </c>
      <c r="E2582" t="inlineStr">
        <is>
          <t>SÄTER</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48493-2024</t>
        </is>
      </c>
      <c r="B2583" s="1" t="n">
        <v>45592.73224537037</v>
      </c>
      <c r="C2583" s="1" t="n">
        <v>46114</v>
      </c>
      <c r="D2583" t="inlineStr">
        <is>
          <t>DALARNAS LÄN</t>
        </is>
      </c>
      <c r="E2583" t="inlineStr">
        <is>
          <t>MALUNG-SÄLEN</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48552-2024</t>
        </is>
      </c>
      <c r="B2584" s="1" t="n">
        <v>45593.37266203704</v>
      </c>
      <c r="C2584" s="1" t="n">
        <v>46114</v>
      </c>
      <c r="D2584" t="inlineStr">
        <is>
          <t>DALARNAS LÄN</t>
        </is>
      </c>
      <c r="E2584" t="inlineStr">
        <is>
          <t>ÄLVDALEN</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6579-2023</t>
        </is>
      </c>
      <c r="B2585" s="1" t="n">
        <v>44960</v>
      </c>
      <c r="C2585" s="1" t="n">
        <v>46114</v>
      </c>
      <c r="D2585" t="inlineStr">
        <is>
          <t>DALARNAS LÄN</t>
        </is>
      </c>
      <c r="E2585" t="inlineStr">
        <is>
          <t>LUDVIKA</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51329-2024</t>
        </is>
      </c>
      <c r="B2586" s="1" t="n">
        <v>45604.34008101852</v>
      </c>
      <c r="C2586" s="1" t="n">
        <v>46114</v>
      </c>
      <c r="D2586" t="inlineStr">
        <is>
          <t>DALARNAS LÄN</t>
        </is>
      </c>
      <c r="E2586" t="inlineStr">
        <is>
          <t>SÄTER</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51973-2022</t>
        </is>
      </c>
      <c r="B2587" s="1" t="n">
        <v>44872</v>
      </c>
      <c r="C2587" s="1" t="n">
        <v>46114</v>
      </c>
      <c r="D2587" t="inlineStr">
        <is>
          <t>DALARNAS LÄN</t>
        </is>
      </c>
      <c r="E2587" t="inlineStr">
        <is>
          <t>RÄTTVIK</t>
        </is>
      </c>
      <c r="G2587" t="n">
        <v>8</v>
      </c>
      <c r="H2587" t="n">
        <v>0</v>
      </c>
      <c r="I2587" t="n">
        <v>0</v>
      </c>
      <c r="J2587" t="n">
        <v>0</v>
      </c>
      <c r="K2587" t="n">
        <v>0</v>
      </c>
      <c r="L2587" t="n">
        <v>0</v>
      </c>
      <c r="M2587" t="n">
        <v>0</v>
      </c>
      <c r="N2587" t="n">
        <v>0</v>
      </c>
      <c r="O2587" t="n">
        <v>0</v>
      </c>
      <c r="P2587" t="n">
        <v>0</v>
      </c>
      <c r="Q2587" t="n">
        <v>0</v>
      </c>
      <c r="R2587" s="2" t="inlineStr"/>
    </row>
    <row r="2588" ht="15" customHeight="1">
      <c r="A2588" t="inlineStr">
        <is>
          <t>A 138-2025</t>
        </is>
      </c>
      <c r="B2588" s="1" t="n">
        <v>45659.57883101852</v>
      </c>
      <c r="C2588" s="1" t="n">
        <v>46114</v>
      </c>
      <c r="D2588" t="inlineStr">
        <is>
          <t>DALARNAS LÄN</t>
        </is>
      </c>
      <c r="E2588" t="inlineStr">
        <is>
          <t>MALUNG-SÄLEN</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143-2025</t>
        </is>
      </c>
      <c r="B2589" s="1" t="n">
        <v>45659.58495370371</v>
      </c>
      <c r="C2589" s="1" t="n">
        <v>46114</v>
      </c>
      <c r="D2589" t="inlineStr">
        <is>
          <t>DALARNAS LÄN</t>
        </is>
      </c>
      <c r="E2589" t="inlineStr">
        <is>
          <t>FALUN</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43222-2023</t>
        </is>
      </c>
      <c r="B2590" s="1" t="n">
        <v>45183.45549768519</v>
      </c>
      <c r="C2590" s="1" t="n">
        <v>46114</v>
      </c>
      <c r="D2590" t="inlineStr">
        <is>
          <t>DALARNAS LÄN</t>
        </is>
      </c>
      <c r="E2590" t="inlineStr">
        <is>
          <t>FALUN</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48728-2022</t>
        </is>
      </c>
      <c r="B2591" s="1" t="n">
        <v>44859.52145833334</v>
      </c>
      <c r="C2591" s="1" t="n">
        <v>46114</v>
      </c>
      <c r="D2591" t="inlineStr">
        <is>
          <t>DALARNAS LÄN</t>
        </is>
      </c>
      <c r="E2591" t="inlineStr">
        <is>
          <t>MORA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48740-2022</t>
        </is>
      </c>
      <c r="B2592" s="1" t="n">
        <v>44859</v>
      </c>
      <c r="C2592" s="1" t="n">
        <v>46114</v>
      </c>
      <c r="D2592" t="inlineStr">
        <is>
          <t>DALARNAS LÄN</t>
        </is>
      </c>
      <c r="E2592" t="inlineStr">
        <is>
          <t>LUDVIKA</t>
        </is>
      </c>
      <c r="F2592" t="inlineStr">
        <is>
          <t>Bergvik skog väst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1505-2025</t>
        </is>
      </c>
      <c r="B2593" s="1" t="n">
        <v>45670.42971064815</v>
      </c>
      <c r="C2593" s="1" t="n">
        <v>46114</v>
      </c>
      <c r="D2593" t="inlineStr">
        <is>
          <t>DALARNAS LÄN</t>
        </is>
      </c>
      <c r="E2593" t="inlineStr">
        <is>
          <t>SMEDJEBACKEN</t>
        </is>
      </c>
      <c r="F2593" t="inlineStr">
        <is>
          <t>Sveaskog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57247-2024</t>
        </is>
      </c>
      <c r="B2594" s="1" t="n">
        <v>45629.55177083334</v>
      </c>
      <c r="C2594" s="1" t="n">
        <v>46114</v>
      </c>
      <c r="D2594" t="inlineStr">
        <is>
          <t>DALARNAS LÄN</t>
        </is>
      </c>
      <c r="E2594" t="inlineStr">
        <is>
          <t>LUDVIKA</t>
        </is>
      </c>
      <c r="F2594" t="inlineStr">
        <is>
          <t>Bergvik skog väst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43533-2023</t>
        </is>
      </c>
      <c r="B2595" s="1" t="n">
        <v>45184.53412037037</v>
      </c>
      <c r="C2595" s="1" t="n">
        <v>46114</v>
      </c>
      <c r="D2595" t="inlineStr">
        <is>
          <t>DALARNAS LÄN</t>
        </is>
      </c>
      <c r="E2595" t="inlineStr">
        <is>
          <t>MORA</t>
        </is>
      </c>
      <c r="F2595" t="inlineStr">
        <is>
          <t>Bergvik skog väst AB</t>
        </is>
      </c>
      <c r="G2595" t="n">
        <v>10.3</v>
      </c>
      <c r="H2595" t="n">
        <v>0</v>
      </c>
      <c r="I2595" t="n">
        <v>0</v>
      </c>
      <c r="J2595" t="n">
        <v>0</v>
      </c>
      <c r="K2595" t="n">
        <v>0</v>
      </c>
      <c r="L2595" t="n">
        <v>0</v>
      </c>
      <c r="M2595" t="n">
        <v>0</v>
      </c>
      <c r="N2595" t="n">
        <v>0</v>
      </c>
      <c r="O2595" t="n">
        <v>0</v>
      </c>
      <c r="P2595" t="n">
        <v>0</v>
      </c>
      <c r="Q2595" t="n">
        <v>0</v>
      </c>
      <c r="R2595" s="2" t="inlineStr"/>
    </row>
    <row r="2596" ht="15" customHeight="1">
      <c r="A2596" t="inlineStr">
        <is>
          <t>A 27720-2024</t>
        </is>
      </c>
      <c r="B2596" s="1" t="n">
        <v>45475.39222222222</v>
      </c>
      <c r="C2596" s="1" t="n">
        <v>46114</v>
      </c>
      <c r="D2596" t="inlineStr">
        <is>
          <t>DALARNAS LÄN</t>
        </is>
      </c>
      <c r="E2596" t="inlineStr">
        <is>
          <t>BORLÄNGE</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30147-2024</t>
        </is>
      </c>
      <c r="B2597" s="1" t="n">
        <v>45488</v>
      </c>
      <c r="C2597" s="1" t="n">
        <v>46114</v>
      </c>
      <c r="D2597" t="inlineStr">
        <is>
          <t>DALARNAS LÄN</t>
        </is>
      </c>
      <c r="E2597" t="inlineStr">
        <is>
          <t>ÄLVDALEN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10983-2023</t>
        </is>
      </c>
      <c r="B2598" s="1" t="n">
        <v>44991.62319444444</v>
      </c>
      <c r="C2598" s="1" t="n">
        <v>46114</v>
      </c>
      <c r="D2598" t="inlineStr">
        <is>
          <t>DALARNAS LÄN</t>
        </is>
      </c>
      <c r="E2598" t="inlineStr">
        <is>
          <t>RÄTTVIK</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32383-2024</t>
        </is>
      </c>
      <c r="B2599" s="1" t="n">
        <v>45512.62424768518</v>
      </c>
      <c r="C2599" s="1" t="n">
        <v>46114</v>
      </c>
      <c r="D2599" t="inlineStr">
        <is>
          <t>DALARNAS LÄN</t>
        </is>
      </c>
      <c r="E2599" t="inlineStr">
        <is>
          <t>VANSBRO</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11004-2023</t>
        </is>
      </c>
      <c r="B2600" s="1" t="n">
        <v>44986</v>
      </c>
      <c r="C2600" s="1" t="n">
        <v>46114</v>
      </c>
      <c r="D2600" t="inlineStr">
        <is>
          <t>DALARNAS LÄN</t>
        </is>
      </c>
      <c r="E2600" t="inlineStr">
        <is>
          <t>LEKSAND</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3482-2025</t>
        </is>
      </c>
      <c r="B2601" s="1" t="n">
        <v>45680.54168981482</v>
      </c>
      <c r="C2601" s="1" t="n">
        <v>46114</v>
      </c>
      <c r="D2601" t="inlineStr">
        <is>
          <t>DALARNAS LÄN</t>
        </is>
      </c>
      <c r="E2601" t="inlineStr">
        <is>
          <t>VANSBRO</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57193-2022</t>
        </is>
      </c>
      <c r="B2602" s="1" t="n">
        <v>44895</v>
      </c>
      <c r="C2602" s="1" t="n">
        <v>46114</v>
      </c>
      <c r="D2602" t="inlineStr">
        <is>
          <t>DALARNAS LÄN</t>
        </is>
      </c>
      <c r="E2602" t="inlineStr">
        <is>
          <t>LUDVIKA</t>
        </is>
      </c>
      <c r="F2602" t="inlineStr">
        <is>
          <t>Bergvik skog väst AB</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32410-2024</t>
        </is>
      </c>
      <c r="B2603" s="1" t="n">
        <v>45512.70077546296</v>
      </c>
      <c r="C2603" s="1" t="n">
        <v>46114</v>
      </c>
      <c r="D2603" t="inlineStr">
        <is>
          <t>DALARNAS LÄN</t>
        </is>
      </c>
      <c r="E2603" t="inlineStr">
        <is>
          <t>MORA</t>
        </is>
      </c>
      <c r="F2603" t="inlineStr">
        <is>
          <t>Bergvik skog väst AB</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15193-2022</t>
        </is>
      </c>
      <c r="B2604" s="1" t="n">
        <v>44658</v>
      </c>
      <c r="C2604" s="1" t="n">
        <v>46114</v>
      </c>
      <c r="D2604" t="inlineStr">
        <is>
          <t>DALARNAS LÄN</t>
        </is>
      </c>
      <c r="E2604" t="inlineStr">
        <is>
          <t>FALUN</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9459-2023</t>
        </is>
      </c>
      <c r="B2605" s="1" t="n">
        <v>44977</v>
      </c>
      <c r="C2605" s="1" t="n">
        <v>46114</v>
      </c>
      <c r="D2605" t="inlineStr">
        <is>
          <t>DALARNAS LÄN</t>
        </is>
      </c>
      <c r="E2605" t="inlineStr">
        <is>
          <t>LEKSAND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12927-2023</t>
        </is>
      </c>
      <c r="B2606" s="1" t="n">
        <v>45001</v>
      </c>
      <c r="C2606" s="1" t="n">
        <v>46114</v>
      </c>
      <c r="D2606" t="inlineStr">
        <is>
          <t>DALARNAS LÄN</t>
        </is>
      </c>
      <c r="E2606" t="inlineStr">
        <is>
          <t>FALUN</t>
        </is>
      </c>
      <c r="G2606" t="n">
        <v>0.3</v>
      </c>
      <c r="H2606" t="n">
        <v>0</v>
      </c>
      <c r="I2606" t="n">
        <v>0</v>
      </c>
      <c r="J2606" t="n">
        <v>0</v>
      </c>
      <c r="K2606" t="n">
        <v>0</v>
      </c>
      <c r="L2606" t="n">
        <v>0</v>
      </c>
      <c r="M2606" t="n">
        <v>0</v>
      </c>
      <c r="N2606" t="n">
        <v>0</v>
      </c>
      <c r="O2606" t="n">
        <v>0</v>
      </c>
      <c r="P2606" t="n">
        <v>0</v>
      </c>
      <c r="Q2606" t="n">
        <v>0</v>
      </c>
      <c r="R2606" s="2" t="inlineStr"/>
      <c r="U2606">
        <f>HYPERLINK("https://klasma.github.io/Logging_2080/knärot/A 12927-2023 karta knärot.png", "A 12927-2023")</f>
        <v/>
      </c>
      <c r="V2606">
        <f>HYPERLINK("https://klasma.github.io/Logging_2080/klagomål/A 12927-2023 FSC-klagomål.docx", "A 12927-2023")</f>
        <v/>
      </c>
      <c r="W2606">
        <f>HYPERLINK("https://klasma.github.io/Logging_2080/klagomålsmail/A 12927-2023 FSC-klagomål mail.docx", "A 12927-2023")</f>
        <v/>
      </c>
      <c r="X2606">
        <f>HYPERLINK("https://klasma.github.io/Logging_2080/tillsyn/A 12927-2023 tillsynsbegäran.docx", "A 12927-2023")</f>
        <v/>
      </c>
      <c r="Y2606">
        <f>HYPERLINK("https://klasma.github.io/Logging_2080/tillsynsmail/A 12927-2023 tillsynsbegäran mail.docx", "A 12927-2023")</f>
        <v/>
      </c>
    </row>
    <row r="2607" ht="15" customHeight="1">
      <c r="A2607" t="inlineStr">
        <is>
          <t>A 60762-2022</t>
        </is>
      </c>
      <c r="B2607" s="1" t="n">
        <v>44914</v>
      </c>
      <c r="C2607" s="1" t="n">
        <v>46114</v>
      </c>
      <c r="D2607" t="inlineStr">
        <is>
          <t>DALARNAS LÄN</t>
        </is>
      </c>
      <c r="E2607" t="inlineStr">
        <is>
          <t>SMEDJEBACKEN</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60764-2022</t>
        </is>
      </c>
      <c r="B2608" s="1" t="n">
        <v>44914</v>
      </c>
      <c r="C2608" s="1" t="n">
        <v>46114</v>
      </c>
      <c r="D2608" t="inlineStr">
        <is>
          <t>DALARNAS LÄN</t>
        </is>
      </c>
      <c r="E2608" t="inlineStr">
        <is>
          <t>SMEDJEBACKEN</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58772-2022</t>
        </is>
      </c>
      <c r="B2609" s="1" t="n">
        <v>44903</v>
      </c>
      <c r="C2609" s="1" t="n">
        <v>46114</v>
      </c>
      <c r="D2609" t="inlineStr">
        <is>
          <t>DALARNAS LÄN</t>
        </is>
      </c>
      <c r="E2609" t="inlineStr">
        <is>
          <t>MALUNG-SÄLEN</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26672-2022</t>
        </is>
      </c>
      <c r="B2610" s="1" t="n">
        <v>44739</v>
      </c>
      <c r="C2610" s="1" t="n">
        <v>46114</v>
      </c>
      <c r="D2610" t="inlineStr">
        <is>
          <t>DALARNAS LÄN</t>
        </is>
      </c>
      <c r="E2610" t="inlineStr">
        <is>
          <t>MALUNG-SÄLEN</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27143-2022</t>
        </is>
      </c>
      <c r="B2611" s="1" t="n">
        <v>44741.50043981482</v>
      </c>
      <c r="C2611" s="1" t="n">
        <v>46114</v>
      </c>
      <c r="D2611" t="inlineStr">
        <is>
          <t>DALARNAS LÄN</t>
        </is>
      </c>
      <c r="E2611" t="inlineStr">
        <is>
          <t>MALUNG-SÄLEN</t>
        </is>
      </c>
      <c r="F2611" t="inlineStr">
        <is>
          <t>Kommuner</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8006-2025</t>
        </is>
      </c>
      <c r="B2612" s="1" t="n">
        <v>45706</v>
      </c>
      <c r="C2612" s="1" t="n">
        <v>46114</v>
      </c>
      <c r="D2612" t="inlineStr">
        <is>
          <t>DALARNAS LÄN</t>
        </is>
      </c>
      <c r="E2612" t="inlineStr">
        <is>
          <t>GAGNEF</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47854-2023</t>
        </is>
      </c>
      <c r="B2613" s="1" t="n">
        <v>45198</v>
      </c>
      <c r="C2613" s="1" t="n">
        <v>46114</v>
      </c>
      <c r="D2613" t="inlineStr">
        <is>
          <t>DALARNAS LÄN</t>
        </is>
      </c>
      <c r="E2613" t="inlineStr">
        <is>
          <t>LEKSAND</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36900-2022</t>
        </is>
      </c>
      <c r="B2614" s="1" t="n">
        <v>44805.71435185185</v>
      </c>
      <c r="C2614" s="1" t="n">
        <v>46114</v>
      </c>
      <c r="D2614" t="inlineStr">
        <is>
          <t>DALARNAS LÄN</t>
        </is>
      </c>
      <c r="E2614" t="inlineStr">
        <is>
          <t>HEDEMORA</t>
        </is>
      </c>
      <c r="F2614" t="inlineStr">
        <is>
          <t>Sveaskog</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62156-2023</t>
        </is>
      </c>
      <c r="B2615" s="1" t="n">
        <v>45267</v>
      </c>
      <c r="C2615" s="1" t="n">
        <v>46114</v>
      </c>
      <c r="D2615" t="inlineStr">
        <is>
          <t>DALARNAS LÄN</t>
        </is>
      </c>
      <c r="E2615" t="inlineStr">
        <is>
          <t>FALUN</t>
        </is>
      </c>
      <c r="G2615" t="n">
        <v>0.1</v>
      </c>
      <c r="H2615" t="n">
        <v>0</v>
      </c>
      <c r="I2615" t="n">
        <v>0</v>
      </c>
      <c r="J2615" t="n">
        <v>0</v>
      </c>
      <c r="K2615" t="n">
        <v>0</v>
      </c>
      <c r="L2615" t="n">
        <v>0</v>
      </c>
      <c r="M2615" t="n">
        <v>0</v>
      </c>
      <c r="N2615" t="n">
        <v>0</v>
      </c>
      <c r="O2615" t="n">
        <v>0</v>
      </c>
      <c r="P2615" t="n">
        <v>0</v>
      </c>
      <c r="Q2615" t="n">
        <v>0</v>
      </c>
      <c r="R2615" s="2" t="inlineStr"/>
    </row>
    <row r="2616" ht="15" customHeight="1">
      <c r="A2616" t="inlineStr">
        <is>
          <t>A 51388-2024</t>
        </is>
      </c>
      <c r="B2616" s="1" t="n">
        <v>45604.40155092593</v>
      </c>
      <c r="C2616" s="1" t="n">
        <v>46114</v>
      </c>
      <c r="D2616" t="inlineStr">
        <is>
          <t>DALARNAS LÄN</t>
        </is>
      </c>
      <c r="E2616" t="inlineStr">
        <is>
          <t>MALUNG-SÄLEN</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38737-2023</t>
        </is>
      </c>
      <c r="B2617" s="1" t="n">
        <v>45161</v>
      </c>
      <c r="C2617" s="1" t="n">
        <v>46114</v>
      </c>
      <c r="D2617" t="inlineStr">
        <is>
          <t>DALARNAS LÄN</t>
        </is>
      </c>
      <c r="E2617" t="inlineStr">
        <is>
          <t>RÄTTVIK</t>
        </is>
      </c>
      <c r="F2617" t="inlineStr">
        <is>
          <t>Kommuner</t>
        </is>
      </c>
      <c r="G2617" t="n">
        <v>4.9</v>
      </c>
      <c r="H2617" t="n">
        <v>0</v>
      </c>
      <c r="I2617" t="n">
        <v>0</v>
      </c>
      <c r="J2617" t="n">
        <v>0</v>
      </c>
      <c r="K2617" t="n">
        <v>0</v>
      </c>
      <c r="L2617" t="n">
        <v>0</v>
      </c>
      <c r="M2617" t="n">
        <v>0</v>
      </c>
      <c r="N2617" t="n">
        <v>0</v>
      </c>
      <c r="O2617" t="n">
        <v>0</v>
      </c>
      <c r="P2617" t="n">
        <v>0</v>
      </c>
      <c r="Q2617" t="n">
        <v>0</v>
      </c>
      <c r="R2617" s="2" t="inlineStr"/>
    </row>
    <row r="2618" ht="15" customHeight="1">
      <c r="A2618" t="inlineStr">
        <is>
          <t>A 30198-2024</t>
        </is>
      </c>
      <c r="B2618" s="1" t="n">
        <v>45490.34765046297</v>
      </c>
      <c r="C2618" s="1" t="n">
        <v>46114</v>
      </c>
      <c r="D2618" t="inlineStr">
        <is>
          <t>DALARNAS LÄN</t>
        </is>
      </c>
      <c r="E2618" t="inlineStr">
        <is>
          <t>LEKSAND</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59718-2023</t>
        </is>
      </c>
      <c r="B2619" s="1" t="n">
        <v>45257</v>
      </c>
      <c r="C2619" s="1" t="n">
        <v>46114</v>
      </c>
      <c r="D2619" t="inlineStr">
        <is>
          <t>DALARNAS LÄN</t>
        </is>
      </c>
      <c r="E2619" t="inlineStr">
        <is>
          <t>LEKSAND</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41046-2023</t>
        </is>
      </c>
      <c r="B2620" s="1" t="n">
        <v>45173</v>
      </c>
      <c r="C2620" s="1" t="n">
        <v>46114</v>
      </c>
      <c r="D2620" t="inlineStr">
        <is>
          <t>DALARNAS LÄN</t>
        </is>
      </c>
      <c r="E2620" t="inlineStr">
        <is>
          <t>RÄTTVIK</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32688-2024</t>
        </is>
      </c>
      <c r="B2621" s="1" t="n">
        <v>45515.83091435185</v>
      </c>
      <c r="C2621" s="1" t="n">
        <v>46114</v>
      </c>
      <c r="D2621" t="inlineStr">
        <is>
          <t>DALARNAS LÄN</t>
        </is>
      </c>
      <c r="E2621" t="inlineStr">
        <is>
          <t>LEKSAND</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21224-2023</t>
        </is>
      </c>
      <c r="B2622" s="1" t="n">
        <v>45062.53523148148</v>
      </c>
      <c r="C2622" s="1" t="n">
        <v>46114</v>
      </c>
      <c r="D2622" t="inlineStr">
        <is>
          <t>DALARNAS LÄN</t>
        </is>
      </c>
      <c r="E2622" t="inlineStr">
        <is>
          <t>SMEDJEBACKEN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69624-2021</t>
        </is>
      </c>
      <c r="B2623" s="1" t="n">
        <v>44532.41442129629</v>
      </c>
      <c r="C2623" s="1" t="n">
        <v>46114</v>
      </c>
      <c r="D2623" t="inlineStr">
        <is>
          <t>DALARNAS LÄN</t>
        </is>
      </c>
      <c r="E2623" t="inlineStr">
        <is>
          <t>HEDEMORA</t>
        </is>
      </c>
      <c r="G2623" t="n">
        <v>0.4</v>
      </c>
      <c r="H2623" t="n">
        <v>0</v>
      </c>
      <c r="I2623" t="n">
        <v>0</v>
      </c>
      <c r="J2623" t="n">
        <v>0</v>
      </c>
      <c r="K2623" t="n">
        <v>0</v>
      </c>
      <c r="L2623" t="n">
        <v>0</v>
      </c>
      <c r="M2623" t="n">
        <v>0</v>
      </c>
      <c r="N2623" t="n">
        <v>0</v>
      </c>
      <c r="O2623" t="n">
        <v>0</v>
      </c>
      <c r="P2623" t="n">
        <v>0</v>
      </c>
      <c r="Q2623" t="n">
        <v>0</v>
      </c>
      <c r="R2623" s="2" t="inlineStr"/>
    </row>
    <row r="2624" ht="15" customHeight="1">
      <c r="A2624" t="inlineStr">
        <is>
          <t>A 593-2024</t>
        </is>
      </c>
      <c r="B2624" s="1" t="n">
        <v>45299.63049768518</v>
      </c>
      <c r="C2624" s="1" t="n">
        <v>46114</v>
      </c>
      <c r="D2624" t="inlineStr">
        <is>
          <t>DALARNAS LÄN</t>
        </is>
      </c>
      <c r="E2624" t="inlineStr">
        <is>
          <t>ORSA</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20482-2024</t>
        </is>
      </c>
      <c r="B2625" s="1" t="n">
        <v>45435.72424768518</v>
      </c>
      <c r="C2625" s="1" t="n">
        <v>46114</v>
      </c>
      <c r="D2625" t="inlineStr">
        <is>
          <t>DALARNAS LÄN</t>
        </is>
      </c>
      <c r="E2625" t="inlineStr">
        <is>
          <t>GAGNEF</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64299-2023</t>
        </is>
      </c>
      <c r="B2626" s="1" t="n">
        <v>45279</v>
      </c>
      <c r="C2626" s="1" t="n">
        <v>46114</v>
      </c>
      <c r="D2626" t="inlineStr">
        <is>
          <t>DALARNAS LÄN</t>
        </is>
      </c>
      <c r="E2626" t="inlineStr">
        <is>
          <t>RÄTTVIK</t>
        </is>
      </c>
      <c r="G2626" t="n">
        <v>4.7</v>
      </c>
      <c r="H2626" t="n">
        <v>0</v>
      </c>
      <c r="I2626" t="n">
        <v>0</v>
      </c>
      <c r="J2626" t="n">
        <v>0</v>
      </c>
      <c r="K2626" t="n">
        <v>0</v>
      </c>
      <c r="L2626" t="n">
        <v>0</v>
      </c>
      <c r="M2626" t="n">
        <v>0</v>
      </c>
      <c r="N2626" t="n">
        <v>0</v>
      </c>
      <c r="O2626" t="n">
        <v>0</v>
      </c>
      <c r="P2626" t="n">
        <v>0</v>
      </c>
      <c r="Q2626" t="n">
        <v>0</v>
      </c>
      <c r="R2626" s="2" t="inlineStr"/>
    </row>
    <row r="2627" ht="15" customHeight="1">
      <c r="A2627" t="inlineStr">
        <is>
          <t>A 64327-2023</t>
        </is>
      </c>
      <c r="B2627" s="1" t="n">
        <v>45280</v>
      </c>
      <c r="C2627" s="1" t="n">
        <v>46114</v>
      </c>
      <c r="D2627" t="inlineStr">
        <is>
          <t>DALARNAS LÄN</t>
        </is>
      </c>
      <c r="E2627" t="inlineStr">
        <is>
          <t>MORA</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7395-2025</t>
        </is>
      </c>
      <c r="B2628" s="1" t="n">
        <v>45705.34516203704</v>
      </c>
      <c r="C2628" s="1" t="n">
        <v>46114</v>
      </c>
      <c r="D2628" t="inlineStr">
        <is>
          <t>DALARNAS LÄN</t>
        </is>
      </c>
      <c r="E2628" t="inlineStr">
        <is>
          <t>LEKSAND</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16744-2025</t>
        </is>
      </c>
      <c r="B2629" s="1" t="n">
        <v>45754</v>
      </c>
      <c r="C2629" s="1" t="n">
        <v>46114</v>
      </c>
      <c r="D2629" t="inlineStr">
        <is>
          <t>DALARNAS LÄN</t>
        </is>
      </c>
      <c r="E2629" t="inlineStr">
        <is>
          <t>LEKSAND</t>
        </is>
      </c>
      <c r="F2629" t="inlineStr">
        <is>
          <t>Bergvik skog väst AB</t>
        </is>
      </c>
      <c r="G2629" t="n">
        <v>1.8</v>
      </c>
      <c r="H2629" t="n">
        <v>0</v>
      </c>
      <c r="I2629" t="n">
        <v>0</v>
      </c>
      <c r="J2629" t="n">
        <v>0</v>
      </c>
      <c r="K2629" t="n">
        <v>0</v>
      </c>
      <c r="L2629" t="n">
        <v>0</v>
      </c>
      <c r="M2629" t="n">
        <v>0</v>
      </c>
      <c r="N2629" t="n">
        <v>0</v>
      </c>
      <c r="O2629" t="n">
        <v>0</v>
      </c>
      <c r="P2629" t="n">
        <v>0</v>
      </c>
      <c r="Q2629" t="n">
        <v>0</v>
      </c>
      <c r="R2629" s="2" t="inlineStr"/>
    </row>
    <row r="2630" ht="15" customHeight="1">
      <c r="A2630" t="inlineStr">
        <is>
          <t>A 51640-2024</t>
        </is>
      </c>
      <c r="B2630" s="1" t="n">
        <v>45605.73349537037</v>
      </c>
      <c r="C2630" s="1" t="n">
        <v>46114</v>
      </c>
      <c r="D2630" t="inlineStr">
        <is>
          <t>DALARNAS LÄN</t>
        </is>
      </c>
      <c r="E2630" t="inlineStr">
        <is>
          <t>FALUN</t>
        </is>
      </c>
      <c r="G2630" t="n">
        <v>7.7</v>
      </c>
      <c r="H2630" t="n">
        <v>0</v>
      </c>
      <c r="I2630" t="n">
        <v>0</v>
      </c>
      <c r="J2630" t="n">
        <v>0</v>
      </c>
      <c r="K2630" t="n">
        <v>0</v>
      </c>
      <c r="L2630" t="n">
        <v>0</v>
      </c>
      <c r="M2630" t="n">
        <v>0</v>
      </c>
      <c r="N2630" t="n">
        <v>0</v>
      </c>
      <c r="O2630" t="n">
        <v>0</v>
      </c>
      <c r="P2630" t="n">
        <v>0</v>
      </c>
      <c r="Q2630" t="n">
        <v>0</v>
      </c>
      <c r="R2630" s="2" t="inlineStr"/>
    </row>
    <row r="2631" ht="15" customHeight="1">
      <c r="A2631" t="inlineStr">
        <is>
          <t>A 17145-2024</t>
        </is>
      </c>
      <c r="B2631" s="1" t="n">
        <v>45412</v>
      </c>
      <c r="C2631" s="1" t="n">
        <v>46114</v>
      </c>
      <c r="D2631" t="inlineStr">
        <is>
          <t>DALARNAS LÄN</t>
        </is>
      </c>
      <c r="E2631" t="inlineStr">
        <is>
          <t>MORA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5653-2025</t>
        </is>
      </c>
      <c r="B2632" s="1" t="n">
        <v>45693.7193287037</v>
      </c>
      <c r="C2632" s="1" t="n">
        <v>46114</v>
      </c>
      <c r="D2632" t="inlineStr">
        <is>
          <t>DALARNAS LÄN</t>
        </is>
      </c>
      <c r="E2632" t="inlineStr">
        <is>
          <t>RÄTTVIK</t>
        </is>
      </c>
      <c r="F2632" t="inlineStr">
        <is>
          <t>Bergvik skog väst AB</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206-2023</t>
        </is>
      </c>
      <c r="B2633" s="1" t="n">
        <v>44928</v>
      </c>
      <c r="C2633" s="1" t="n">
        <v>46114</v>
      </c>
      <c r="D2633" t="inlineStr">
        <is>
          <t>DALARNAS LÄN</t>
        </is>
      </c>
      <c r="E2633" t="inlineStr">
        <is>
          <t>MALUNG-SÄLEN</t>
        </is>
      </c>
      <c r="G2633" t="n">
        <v>7.6</v>
      </c>
      <c r="H2633" t="n">
        <v>0</v>
      </c>
      <c r="I2633" t="n">
        <v>0</v>
      </c>
      <c r="J2633" t="n">
        <v>0</v>
      </c>
      <c r="K2633" t="n">
        <v>0</v>
      </c>
      <c r="L2633" t="n">
        <v>0</v>
      </c>
      <c r="M2633" t="n">
        <v>0</v>
      </c>
      <c r="N2633" t="n">
        <v>0</v>
      </c>
      <c r="O2633" t="n">
        <v>0</v>
      </c>
      <c r="P2633" t="n">
        <v>0</v>
      </c>
      <c r="Q2633" t="n">
        <v>0</v>
      </c>
      <c r="R2633" s="2" t="inlineStr"/>
    </row>
    <row r="2634" ht="15" customHeight="1">
      <c r="A2634" t="inlineStr">
        <is>
          <t>A 8785-2022</t>
        </is>
      </c>
      <c r="B2634" s="1" t="n">
        <v>44614</v>
      </c>
      <c r="C2634" s="1" t="n">
        <v>46114</v>
      </c>
      <c r="D2634" t="inlineStr">
        <is>
          <t>DALARNAS LÄN</t>
        </is>
      </c>
      <c r="E2634" t="inlineStr">
        <is>
          <t>AVESTA</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18386-2024</t>
        </is>
      </c>
      <c r="B2635" s="1" t="n">
        <v>45424.71232638889</v>
      </c>
      <c r="C2635" s="1" t="n">
        <v>46114</v>
      </c>
      <c r="D2635" t="inlineStr">
        <is>
          <t>DALARNAS LÄN</t>
        </is>
      </c>
      <c r="E2635" t="inlineStr">
        <is>
          <t>SMEDJEBACKEN</t>
        </is>
      </c>
      <c r="F2635" t="inlineStr">
        <is>
          <t>Sveaskog</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41180-2024</t>
        </is>
      </c>
      <c r="B2636" s="1" t="n">
        <v>45559.50664351852</v>
      </c>
      <c r="C2636" s="1" t="n">
        <v>46114</v>
      </c>
      <c r="D2636" t="inlineStr">
        <is>
          <t>DALARNAS LÄN</t>
        </is>
      </c>
      <c r="E2636" t="inlineStr">
        <is>
          <t>FALUN</t>
        </is>
      </c>
      <c r="F2636" t="inlineStr">
        <is>
          <t>Bergvik skog väst AB</t>
        </is>
      </c>
      <c r="G2636" t="n">
        <v>32.3</v>
      </c>
      <c r="H2636" t="n">
        <v>0</v>
      </c>
      <c r="I2636" t="n">
        <v>0</v>
      </c>
      <c r="J2636" t="n">
        <v>0</v>
      </c>
      <c r="K2636" t="n">
        <v>0</v>
      </c>
      <c r="L2636" t="n">
        <v>0</v>
      </c>
      <c r="M2636" t="n">
        <v>0</v>
      </c>
      <c r="N2636" t="n">
        <v>0</v>
      </c>
      <c r="O2636" t="n">
        <v>0</v>
      </c>
      <c r="P2636" t="n">
        <v>0</v>
      </c>
      <c r="Q2636" t="n">
        <v>0</v>
      </c>
      <c r="R2636" s="2" t="inlineStr"/>
    </row>
    <row r="2637" ht="15" customHeight="1">
      <c r="A2637" t="inlineStr">
        <is>
          <t>A 295-2023</t>
        </is>
      </c>
      <c r="B2637" s="1" t="n">
        <v>44922</v>
      </c>
      <c r="C2637" s="1" t="n">
        <v>46114</v>
      </c>
      <c r="D2637" t="inlineStr">
        <is>
          <t>DALARNAS LÄN</t>
        </is>
      </c>
      <c r="E2637" t="inlineStr">
        <is>
          <t>RÄTTVIK</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39918-2024</t>
        </is>
      </c>
      <c r="B2638" s="1" t="n">
        <v>45553.53296296296</v>
      </c>
      <c r="C2638" s="1" t="n">
        <v>46114</v>
      </c>
      <c r="D2638" t="inlineStr">
        <is>
          <t>DALARNAS LÄN</t>
        </is>
      </c>
      <c r="E2638" t="inlineStr">
        <is>
          <t>FALUN</t>
        </is>
      </c>
      <c r="F2638" t="inlineStr">
        <is>
          <t>Bergvik skog väst AB</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39924-2024</t>
        </is>
      </c>
      <c r="B2639" s="1" t="n">
        <v>45553.54315972222</v>
      </c>
      <c r="C2639" s="1" t="n">
        <v>46114</v>
      </c>
      <c r="D2639" t="inlineStr">
        <is>
          <t>DALARNAS LÄN</t>
        </is>
      </c>
      <c r="E2639" t="inlineStr">
        <is>
          <t>FALUN</t>
        </is>
      </c>
      <c r="F2639" t="inlineStr">
        <is>
          <t>Bergvik skog väst AB</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49270-2024</t>
        </is>
      </c>
      <c r="B2640" s="1" t="n">
        <v>45595.49896990741</v>
      </c>
      <c r="C2640" s="1" t="n">
        <v>46114</v>
      </c>
      <c r="D2640" t="inlineStr">
        <is>
          <t>DALARNAS LÄN</t>
        </is>
      </c>
      <c r="E2640" t="inlineStr">
        <is>
          <t>ORSA</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8381-2024</t>
        </is>
      </c>
      <c r="B2641" s="1" t="n">
        <v>45352.64135416667</v>
      </c>
      <c r="C2641" s="1" t="n">
        <v>46114</v>
      </c>
      <c r="D2641" t="inlineStr">
        <is>
          <t>DALARNAS LÄN</t>
        </is>
      </c>
      <c r="E2641" t="inlineStr">
        <is>
          <t>RÄTTVIK</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57388-2022</t>
        </is>
      </c>
      <c r="B2642" s="1" t="n">
        <v>44896.46638888889</v>
      </c>
      <c r="C2642" s="1" t="n">
        <v>46114</v>
      </c>
      <c r="D2642" t="inlineStr">
        <is>
          <t>DALARNAS LÄN</t>
        </is>
      </c>
      <c r="E2642" t="inlineStr">
        <is>
          <t>MALUNG-SÄLEN</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43125-2024</t>
        </is>
      </c>
      <c r="B2643" s="1" t="n">
        <v>45567</v>
      </c>
      <c r="C2643" s="1" t="n">
        <v>46114</v>
      </c>
      <c r="D2643" t="inlineStr">
        <is>
          <t>DALARNAS LÄN</t>
        </is>
      </c>
      <c r="E2643" t="inlineStr">
        <is>
          <t>SÄTER</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19939-2024</t>
        </is>
      </c>
      <c r="B2644" s="1" t="n">
        <v>45433.61042824074</v>
      </c>
      <c r="C2644" s="1" t="n">
        <v>46114</v>
      </c>
      <c r="D2644" t="inlineStr">
        <is>
          <t>DALARNAS LÄN</t>
        </is>
      </c>
      <c r="E2644" t="inlineStr">
        <is>
          <t>FALUN</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41326-2024</t>
        </is>
      </c>
      <c r="B2645" s="1" t="n">
        <v>45559.65771990741</v>
      </c>
      <c r="C2645" s="1" t="n">
        <v>46114</v>
      </c>
      <c r="D2645" t="inlineStr">
        <is>
          <t>DALARNAS LÄN</t>
        </is>
      </c>
      <c r="E2645" t="inlineStr">
        <is>
          <t>SMEDJEBACKEN</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47379-2023</t>
        </is>
      </c>
      <c r="B2646" s="1" t="n">
        <v>45202</v>
      </c>
      <c r="C2646" s="1" t="n">
        <v>46114</v>
      </c>
      <c r="D2646" t="inlineStr">
        <is>
          <t>DALARNAS LÄN</t>
        </is>
      </c>
      <c r="E2646" t="inlineStr">
        <is>
          <t>MALUNG-SÄLEN</t>
        </is>
      </c>
      <c r="G2646" t="n">
        <v>5.9</v>
      </c>
      <c r="H2646" t="n">
        <v>0</v>
      </c>
      <c r="I2646" t="n">
        <v>0</v>
      </c>
      <c r="J2646" t="n">
        <v>0</v>
      </c>
      <c r="K2646" t="n">
        <v>0</v>
      </c>
      <c r="L2646" t="n">
        <v>0</v>
      </c>
      <c r="M2646" t="n">
        <v>0</v>
      </c>
      <c r="N2646" t="n">
        <v>0</v>
      </c>
      <c r="O2646" t="n">
        <v>0</v>
      </c>
      <c r="P2646" t="n">
        <v>0</v>
      </c>
      <c r="Q2646" t="n">
        <v>0</v>
      </c>
      <c r="R2646" s="2" t="inlineStr"/>
    </row>
    <row r="2647" ht="15" customHeight="1">
      <c r="A2647" t="inlineStr">
        <is>
          <t>A 18112-2022</t>
        </is>
      </c>
      <c r="B2647" s="1" t="n">
        <v>44684.49467592593</v>
      </c>
      <c r="C2647" s="1" t="n">
        <v>46114</v>
      </c>
      <c r="D2647" t="inlineStr">
        <is>
          <t>DALARNAS LÄN</t>
        </is>
      </c>
      <c r="E2647" t="inlineStr">
        <is>
          <t>AVESTA</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60518-2023</t>
        </is>
      </c>
      <c r="B2648" s="1" t="n">
        <v>45259</v>
      </c>
      <c r="C2648" s="1" t="n">
        <v>46114</v>
      </c>
      <c r="D2648" t="inlineStr">
        <is>
          <t>DALARNAS LÄN</t>
        </is>
      </c>
      <c r="E2648" t="inlineStr">
        <is>
          <t>BORLÄNGE</t>
        </is>
      </c>
      <c r="F2648" t="inlineStr">
        <is>
          <t>Bergvik skog väst AB</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49974-2024</t>
        </is>
      </c>
      <c r="B2649" s="1" t="n">
        <v>45597.66034722222</v>
      </c>
      <c r="C2649" s="1" t="n">
        <v>46114</v>
      </c>
      <c r="D2649" t="inlineStr">
        <is>
          <t>DALARNAS LÄN</t>
        </is>
      </c>
      <c r="E2649" t="inlineStr">
        <is>
          <t>RÄTTVIK</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49986-2024</t>
        </is>
      </c>
      <c r="B2650" s="1" t="n">
        <v>45597.80002314815</v>
      </c>
      <c r="C2650" s="1" t="n">
        <v>46114</v>
      </c>
      <c r="D2650" t="inlineStr">
        <is>
          <t>DALARNAS LÄN</t>
        </is>
      </c>
      <c r="E2650" t="inlineStr">
        <is>
          <t>FALUN</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50001-2024</t>
        </is>
      </c>
      <c r="B2651" s="1" t="n">
        <v>45598</v>
      </c>
      <c r="C2651" s="1" t="n">
        <v>46114</v>
      </c>
      <c r="D2651" t="inlineStr">
        <is>
          <t>DALARNAS LÄN</t>
        </is>
      </c>
      <c r="E2651" t="inlineStr">
        <is>
          <t>AVESTA</t>
        </is>
      </c>
      <c r="F2651" t="inlineStr">
        <is>
          <t>Sveaskog</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22640-2023</t>
        </is>
      </c>
      <c r="B2652" s="1" t="n">
        <v>45071</v>
      </c>
      <c r="C2652" s="1" t="n">
        <v>46114</v>
      </c>
      <c r="D2652" t="inlineStr">
        <is>
          <t>DALARNAS LÄN</t>
        </is>
      </c>
      <c r="E2652" t="inlineStr">
        <is>
          <t>MALUNG-SÄLEN</t>
        </is>
      </c>
      <c r="F2652" t="inlineStr">
        <is>
          <t>Bergvik skog öst AB</t>
        </is>
      </c>
      <c r="G2652" t="n">
        <v>1.8</v>
      </c>
      <c r="H2652" t="n">
        <v>0</v>
      </c>
      <c r="I2652" t="n">
        <v>0</v>
      </c>
      <c r="J2652" t="n">
        <v>0</v>
      </c>
      <c r="K2652" t="n">
        <v>0</v>
      </c>
      <c r="L2652" t="n">
        <v>0</v>
      </c>
      <c r="M2652" t="n">
        <v>0</v>
      </c>
      <c r="N2652" t="n">
        <v>0</v>
      </c>
      <c r="O2652" t="n">
        <v>0</v>
      </c>
      <c r="P2652" t="n">
        <v>0</v>
      </c>
      <c r="Q2652" t="n">
        <v>0</v>
      </c>
      <c r="R2652" s="2" t="inlineStr"/>
    </row>
    <row r="2653" ht="15" customHeight="1">
      <c r="A2653" t="inlineStr">
        <is>
          <t>A 50003-2024</t>
        </is>
      </c>
      <c r="B2653" s="1" t="n">
        <v>45598</v>
      </c>
      <c r="C2653" s="1" t="n">
        <v>46114</v>
      </c>
      <c r="D2653" t="inlineStr">
        <is>
          <t>DALARNAS LÄN</t>
        </is>
      </c>
      <c r="E2653" t="inlineStr">
        <is>
          <t>AVESTA</t>
        </is>
      </c>
      <c r="F2653" t="inlineStr">
        <is>
          <t>Sveaskog</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11237-2024</t>
        </is>
      </c>
      <c r="B2654" s="1" t="n">
        <v>45371.61341435185</v>
      </c>
      <c r="C2654" s="1" t="n">
        <v>46114</v>
      </c>
      <c r="D2654" t="inlineStr">
        <is>
          <t>DALARNAS LÄN</t>
        </is>
      </c>
      <c r="E2654" t="inlineStr">
        <is>
          <t>LUDVIKA</t>
        </is>
      </c>
      <c r="G2654" t="n">
        <v>20.8</v>
      </c>
      <c r="H2654" t="n">
        <v>0</v>
      </c>
      <c r="I2654" t="n">
        <v>0</v>
      </c>
      <c r="J2654" t="n">
        <v>0</v>
      </c>
      <c r="K2654" t="n">
        <v>0</v>
      </c>
      <c r="L2654" t="n">
        <v>0</v>
      </c>
      <c r="M2654" t="n">
        <v>0</v>
      </c>
      <c r="N2654" t="n">
        <v>0</v>
      </c>
      <c r="O2654" t="n">
        <v>0</v>
      </c>
      <c r="P2654" t="n">
        <v>0</v>
      </c>
      <c r="Q2654" t="n">
        <v>0</v>
      </c>
      <c r="R2654" s="2" t="inlineStr"/>
    </row>
    <row r="2655" ht="15" customHeight="1">
      <c r="A2655" t="inlineStr">
        <is>
          <t>A 28633-2023</t>
        </is>
      </c>
      <c r="B2655" s="1" t="n">
        <v>45103.61575231481</v>
      </c>
      <c r="C2655" s="1" t="n">
        <v>46114</v>
      </c>
      <c r="D2655" t="inlineStr">
        <is>
          <t>DALARNAS LÄN</t>
        </is>
      </c>
      <c r="E2655" t="inlineStr">
        <is>
          <t>LEKSAND</t>
        </is>
      </c>
      <c r="F2655" t="inlineStr">
        <is>
          <t>Bergvik skog väst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45197-2023</t>
        </is>
      </c>
      <c r="B2656" s="1" t="n">
        <v>45191</v>
      </c>
      <c r="C2656" s="1" t="n">
        <v>46114</v>
      </c>
      <c r="D2656" t="inlineStr">
        <is>
          <t>DALARNAS LÄN</t>
        </is>
      </c>
      <c r="E2656" t="inlineStr">
        <is>
          <t>MALUNG-SÄLEN</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36862-2021</t>
        </is>
      </c>
      <c r="B2657" s="1" t="n">
        <v>44393</v>
      </c>
      <c r="C2657" s="1" t="n">
        <v>46114</v>
      </c>
      <c r="D2657" t="inlineStr">
        <is>
          <t>DALARNAS LÄN</t>
        </is>
      </c>
      <c r="E2657" t="inlineStr">
        <is>
          <t>LUDVIKA</t>
        </is>
      </c>
      <c r="F2657" t="inlineStr">
        <is>
          <t>Bergvik skog väst AB</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4994-2025</t>
        </is>
      </c>
      <c r="B2658" s="1" t="n">
        <v>45691.35427083333</v>
      </c>
      <c r="C2658" s="1" t="n">
        <v>46114</v>
      </c>
      <c r="D2658" t="inlineStr">
        <is>
          <t>DALARNAS LÄN</t>
        </is>
      </c>
      <c r="E2658" t="inlineStr">
        <is>
          <t>MORA</t>
        </is>
      </c>
      <c r="G2658" t="n">
        <v>4.6</v>
      </c>
      <c r="H2658" t="n">
        <v>0</v>
      </c>
      <c r="I2658" t="n">
        <v>0</v>
      </c>
      <c r="J2658" t="n">
        <v>0</v>
      </c>
      <c r="K2658" t="n">
        <v>0</v>
      </c>
      <c r="L2658" t="n">
        <v>0</v>
      </c>
      <c r="M2658" t="n">
        <v>0</v>
      </c>
      <c r="N2658" t="n">
        <v>0</v>
      </c>
      <c r="O2658" t="n">
        <v>0</v>
      </c>
      <c r="P2658" t="n">
        <v>0</v>
      </c>
      <c r="Q2658" t="n">
        <v>0</v>
      </c>
      <c r="R2658" s="2" t="inlineStr"/>
    </row>
    <row r="2659" ht="15" customHeight="1">
      <c r="A2659" t="inlineStr">
        <is>
          <t>A 46559-2023</t>
        </is>
      </c>
      <c r="B2659" s="1" t="n">
        <v>45187</v>
      </c>
      <c r="C2659" s="1" t="n">
        <v>46114</v>
      </c>
      <c r="D2659" t="inlineStr">
        <is>
          <t>DALARNAS LÄN</t>
        </is>
      </c>
      <c r="E2659" t="inlineStr">
        <is>
          <t>ÄLVDALEN</t>
        </is>
      </c>
      <c r="G2659" t="n">
        <v>9.6</v>
      </c>
      <c r="H2659" t="n">
        <v>0</v>
      </c>
      <c r="I2659" t="n">
        <v>0</v>
      </c>
      <c r="J2659" t="n">
        <v>0</v>
      </c>
      <c r="K2659" t="n">
        <v>0</v>
      </c>
      <c r="L2659" t="n">
        <v>0</v>
      </c>
      <c r="M2659" t="n">
        <v>0</v>
      </c>
      <c r="N2659" t="n">
        <v>0</v>
      </c>
      <c r="O2659" t="n">
        <v>0</v>
      </c>
      <c r="P2659" t="n">
        <v>0</v>
      </c>
      <c r="Q2659" t="n">
        <v>0</v>
      </c>
      <c r="R2659" s="2" t="inlineStr"/>
    </row>
    <row r="2660" ht="15" customHeight="1">
      <c r="A2660" t="inlineStr">
        <is>
          <t>A 46577-2023</t>
        </is>
      </c>
      <c r="B2660" s="1" t="n">
        <v>45198</v>
      </c>
      <c r="C2660" s="1" t="n">
        <v>46114</v>
      </c>
      <c r="D2660" t="inlineStr">
        <is>
          <t>DALARNAS LÄN</t>
        </is>
      </c>
      <c r="E2660" t="inlineStr">
        <is>
          <t>SÄTER</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18313-2024</t>
        </is>
      </c>
      <c r="B2661" s="1" t="n">
        <v>45422.49016203704</v>
      </c>
      <c r="C2661" s="1" t="n">
        <v>46114</v>
      </c>
      <c r="D2661" t="inlineStr">
        <is>
          <t>DALARNAS LÄN</t>
        </is>
      </c>
      <c r="E2661" t="inlineStr">
        <is>
          <t>SÄTER</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11859-2024</t>
        </is>
      </c>
      <c r="B2662" s="1" t="n">
        <v>45376.44569444445</v>
      </c>
      <c r="C2662" s="1" t="n">
        <v>46114</v>
      </c>
      <c r="D2662" t="inlineStr">
        <is>
          <t>DALARNAS LÄN</t>
        </is>
      </c>
      <c r="E2662" t="inlineStr">
        <is>
          <t>LEKSAND</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36466-2023</t>
        </is>
      </c>
      <c r="B2663" s="1" t="n">
        <v>45152</v>
      </c>
      <c r="C2663" s="1" t="n">
        <v>46114</v>
      </c>
      <c r="D2663" t="inlineStr">
        <is>
          <t>DALARNAS LÄN</t>
        </is>
      </c>
      <c r="E2663" t="inlineStr">
        <is>
          <t>MALUNG-SÄLEN</t>
        </is>
      </c>
      <c r="F2663" t="inlineStr">
        <is>
          <t>Bergvik skog väst AB</t>
        </is>
      </c>
      <c r="G2663" t="n">
        <v>0.2</v>
      </c>
      <c r="H2663" t="n">
        <v>0</v>
      </c>
      <c r="I2663" t="n">
        <v>0</v>
      </c>
      <c r="J2663" t="n">
        <v>0</v>
      </c>
      <c r="K2663" t="n">
        <v>0</v>
      </c>
      <c r="L2663" t="n">
        <v>0</v>
      </c>
      <c r="M2663" t="n">
        <v>0</v>
      </c>
      <c r="N2663" t="n">
        <v>0</v>
      </c>
      <c r="O2663" t="n">
        <v>0</v>
      </c>
      <c r="P2663" t="n">
        <v>0</v>
      </c>
      <c r="Q2663" t="n">
        <v>0</v>
      </c>
      <c r="R2663" s="2" t="inlineStr"/>
    </row>
    <row r="2664" ht="15" customHeight="1">
      <c r="A2664" t="inlineStr">
        <is>
          <t>A 29535-2023</t>
        </is>
      </c>
      <c r="B2664" s="1" t="n">
        <v>45106</v>
      </c>
      <c r="C2664" s="1" t="n">
        <v>46114</v>
      </c>
      <c r="D2664" t="inlineStr">
        <is>
          <t>DALARNAS LÄN</t>
        </is>
      </c>
      <c r="E2664" t="inlineStr">
        <is>
          <t>LUDVIKA</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1966-2024</t>
        </is>
      </c>
      <c r="B2665" s="1" t="n">
        <v>45308</v>
      </c>
      <c r="C2665" s="1" t="n">
        <v>46114</v>
      </c>
      <c r="D2665" t="inlineStr">
        <is>
          <t>DALARNAS LÄN</t>
        </is>
      </c>
      <c r="E2665" t="inlineStr">
        <is>
          <t>BORLÄNGE</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35-2025</t>
        </is>
      </c>
      <c r="B2666" s="1" t="n">
        <v>45659.31378472222</v>
      </c>
      <c r="C2666" s="1" t="n">
        <v>46114</v>
      </c>
      <c r="D2666" t="inlineStr">
        <is>
          <t>DALARNAS LÄN</t>
        </is>
      </c>
      <c r="E2666" t="inlineStr">
        <is>
          <t>MALUNG-SÄLEN</t>
        </is>
      </c>
      <c r="G2666" t="n">
        <v>11.5</v>
      </c>
      <c r="H2666" t="n">
        <v>0</v>
      </c>
      <c r="I2666" t="n">
        <v>0</v>
      </c>
      <c r="J2666" t="n">
        <v>0</v>
      </c>
      <c r="K2666" t="n">
        <v>0</v>
      </c>
      <c r="L2666" t="n">
        <v>0</v>
      </c>
      <c r="M2666" t="n">
        <v>0</v>
      </c>
      <c r="N2666" t="n">
        <v>0</v>
      </c>
      <c r="O2666" t="n">
        <v>0</v>
      </c>
      <c r="P2666" t="n">
        <v>0</v>
      </c>
      <c r="Q2666" t="n">
        <v>0</v>
      </c>
      <c r="R2666" s="2" t="inlineStr"/>
    </row>
    <row r="2667" ht="15" customHeight="1">
      <c r="A2667" t="inlineStr">
        <is>
          <t>A 32014-2024</t>
        </is>
      </c>
      <c r="B2667" s="1" t="n">
        <v>45510.63341435185</v>
      </c>
      <c r="C2667" s="1" t="n">
        <v>46114</v>
      </c>
      <c r="D2667" t="inlineStr">
        <is>
          <t>DALARNAS LÄN</t>
        </is>
      </c>
      <c r="E2667" t="inlineStr">
        <is>
          <t>MALUNG-SÄLEN</t>
        </is>
      </c>
      <c r="F2667" t="inlineStr">
        <is>
          <t>Bergvik skog väst AB</t>
        </is>
      </c>
      <c r="G2667" t="n">
        <v>13.5</v>
      </c>
      <c r="H2667" t="n">
        <v>0</v>
      </c>
      <c r="I2667" t="n">
        <v>0</v>
      </c>
      <c r="J2667" t="n">
        <v>0</v>
      </c>
      <c r="K2667" t="n">
        <v>0</v>
      </c>
      <c r="L2667" t="n">
        <v>0</v>
      </c>
      <c r="M2667" t="n">
        <v>0</v>
      </c>
      <c r="N2667" t="n">
        <v>0</v>
      </c>
      <c r="O2667" t="n">
        <v>0</v>
      </c>
      <c r="P2667" t="n">
        <v>0</v>
      </c>
      <c r="Q2667" t="n">
        <v>0</v>
      </c>
      <c r="R2667" s="2" t="inlineStr"/>
    </row>
    <row r="2668" ht="15" customHeight="1">
      <c r="A2668" t="inlineStr">
        <is>
          <t>A 47778-2021</t>
        </is>
      </c>
      <c r="B2668" s="1" t="n">
        <v>44448</v>
      </c>
      <c r="C2668" s="1" t="n">
        <v>46114</v>
      </c>
      <c r="D2668" t="inlineStr">
        <is>
          <t>DALARNAS LÄN</t>
        </is>
      </c>
      <c r="E2668" t="inlineStr">
        <is>
          <t>ORSA</t>
        </is>
      </c>
      <c r="F2668" t="inlineStr">
        <is>
          <t>Bergvik skog öst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44679-2023</t>
        </is>
      </c>
      <c r="B2669" s="1" t="n">
        <v>45189.83035879629</v>
      </c>
      <c r="C2669" s="1" t="n">
        <v>46114</v>
      </c>
      <c r="D2669" t="inlineStr">
        <is>
          <t>DALARNAS LÄN</t>
        </is>
      </c>
      <c r="E2669" t="inlineStr">
        <is>
          <t>VANSBRO</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18529-2024</t>
        </is>
      </c>
      <c r="B2670" s="1" t="n">
        <v>45425</v>
      </c>
      <c r="C2670" s="1" t="n">
        <v>46114</v>
      </c>
      <c r="D2670" t="inlineStr">
        <is>
          <t>DALARNAS LÄN</t>
        </is>
      </c>
      <c r="E2670" t="inlineStr">
        <is>
          <t>BORLÄNGE</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14892-2024</t>
        </is>
      </c>
      <c r="B2671" s="1" t="n">
        <v>45398.57138888889</v>
      </c>
      <c r="C2671" s="1" t="n">
        <v>46114</v>
      </c>
      <c r="D2671" t="inlineStr">
        <is>
          <t>DALARNAS LÄN</t>
        </is>
      </c>
      <c r="E2671" t="inlineStr">
        <is>
          <t>RÄTTVIK</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15993-2025</t>
        </is>
      </c>
      <c r="B2672" s="1" t="n">
        <v>45749.58428240741</v>
      </c>
      <c r="C2672" s="1" t="n">
        <v>46114</v>
      </c>
      <c r="D2672" t="inlineStr">
        <is>
          <t>DALARNAS LÄN</t>
        </is>
      </c>
      <c r="E2672" t="inlineStr">
        <is>
          <t>MORA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16029-2025</t>
        </is>
      </c>
      <c r="B2673" s="1" t="n">
        <v>45749</v>
      </c>
      <c r="C2673" s="1" t="n">
        <v>46114</v>
      </c>
      <c r="D2673" t="inlineStr">
        <is>
          <t>DALARNAS LÄN</t>
        </is>
      </c>
      <c r="E2673" t="inlineStr">
        <is>
          <t>RÄTTVIK</t>
        </is>
      </c>
      <c r="F2673" t="inlineStr">
        <is>
          <t>Bergvik skog väst AB</t>
        </is>
      </c>
      <c r="G2673" t="n">
        <v>16.9</v>
      </c>
      <c r="H2673" t="n">
        <v>0</v>
      </c>
      <c r="I2673" t="n">
        <v>0</v>
      </c>
      <c r="J2673" t="n">
        <v>0</v>
      </c>
      <c r="K2673" t="n">
        <v>0</v>
      </c>
      <c r="L2673" t="n">
        <v>0</v>
      </c>
      <c r="M2673" t="n">
        <v>0</v>
      </c>
      <c r="N2673" t="n">
        <v>0</v>
      </c>
      <c r="O2673" t="n">
        <v>0</v>
      </c>
      <c r="P2673" t="n">
        <v>0</v>
      </c>
      <c r="Q2673" t="n">
        <v>0</v>
      </c>
      <c r="R2673" s="2" t="inlineStr"/>
    </row>
    <row r="2674" ht="15" customHeight="1">
      <c r="A2674" t="inlineStr">
        <is>
          <t>A 43419-2024</t>
        </is>
      </c>
      <c r="B2674" s="1" t="n">
        <v>45568</v>
      </c>
      <c r="C2674" s="1" t="n">
        <v>46114</v>
      </c>
      <c r="D2674" t="inlineStr">
        <is>
          <t>DALARNAS LÄN</t>
        </is>
      </c>
      <c r="E2674" t="inlineStr">
        <is>
          <t>LEKSAND</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29771-2024</t>
        </is>
      </c>
      <c r="B2675" s="1" t="n">
        <v>45485.44567129629</v>
      </c>
      <c r="C2675" s="1" t="n">
        <v>46114</v>
      </c>
      <c r="D2675" t="inlineStr">
        <is>
          <t>DALARNAS LÄN</t>
        </is>
      </c>
      <c r="E2675" t="inlineStr">
        <is>
          <t>MALUNG-SÄLEN</t>
        </is>
      </c>
      <c r="F2675" t="inlineStr">
        <is>
          <t>Bergvik skog öst AB</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19553-2025</t>
        </is>
      </c>
      <c r="B2676" s="1" t="n">
        <v>45770</v>
      </c>
      <c r="C2676" s="1" t="n">
        <v>46114</v>
      </c>
      <c r="D2676" t="inlineStr">
        <is>
          <t>DALARNAS LÄN</t>
        </is>
      </c>
      <c r="E2676" t="inlineStr">
        <is>
          <t>ÄLVDALEN</t>
        </is>
      </c>
      <c r="F2676" t="inlineStr">
        <is>
          <t>Sveaskog</t>
        </is>
      </c>
      <c r="G2676" t="n">
        <v>25.2</v>
      </c>
      <c r="H2676" t="n">
        <v>0</v>
      </c>
      <c r="I2676" t="n">
        <v>0</v>
      </c>
      <c r="J2676" t="n">
        <v>0</v>
      </c>
      <c r="K2676" t="n">
        <v>0</v>
      </c>
      <c r="L2676" t="n">
        <v>0</v>
      </c>
      <c r="M2676" t="n">
        <v>0</v>
      </c>
      <c r="N2676" t="n">
        <v>0</v>
      </c>
      <c r="O2676" t="n">
        <v>0</v>
      </c>
      <c r="P2676" t="n">
        <v>0</v>
      </c>
      <c r="Q2676" t="n">
        <v>0</v>
      </c>
      <c r="R2676" s="2" t="inlineStr"/>
    </row>
    <row r="2677" ht="15" customHeight="1">
      <c r="A2677" t="inlineStr">
        <is>
          <t>A 46672-2023</t>
        </is>
      </c>
      <c r="B2677" s="1" t="n">
        <v>45194</v>
      </c>
      <c r="C2677" s="1" t="n">
        <v>46114</v>
      </c>
      <c r="D2677" t="inlineStr">
        <is>
          <t>DALARNAS LÄN</t>
        </is>
      </c>
      <c r="E2677" t="inlineStr">
        <is>
          <t>RÄTTVIK</t>
        </is>
      </c>
      <c r="G2677" t="n">
        <v>2.1</v>
      </c>
      <c r="H2677" t="n">
        <v>0</v>
      </c>
      <c r="I2677" t="n">
        <v>0</v>
      </c>
      <c r="J2677" t="n">
        <v>0</v>
      </c>
      <c r="K2677" t="n">
        <v>0</v>
      </c>
      <c r="L2677" t="n">
        <v>0</v>
      </c>
      <c r="M2677" t="n">
        <v>0</v>
      </c>
      <c r="N2677" t="n">
        <v>0</v>
      </c>
      <c r="O2677" t="n">
        <v>0</v>
      </c>
      <c r="P2677" t="n">
        <v>0</v>
      </c>
      <c r="Q2677" t="n">
        <v>0</v>
      </c>
      <c r="R2677" s="2" t="inlineStr"/>
    </row>
    <row r="2678" ht="15" customHeight="1">
      <c r="A2678" t="inlineStr">
        <is>
          <t>A 47087-2024</t>
        </is>
      </c>
      <c r="B2678" s="1" t="n">
        <v>45586.50946759259</v>
      </c>
      <c r="C2678" s="1" t="n">
        <v>46114</v>
      </c>
      <c r="D2678" t="inlineStr">
        <is>
          <t>DALARNAS LÄN</t>
        </is>
      </c>
      <c r="E2678" t="inlineStr">
        <is>
          <t>ÄLVDALEN</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48716-2022</t>
        </is>
      </c>
      <c r="B2679" s="1" t="n">
        <v>44859.5005787037</v>
      </c>
      <c r="C2679" s="1" t="n">
        <v>46114</v>
      </c>
      <c r="D2679" t="inlineStr">
        <is>
          <t>DALARNAS LÄN</t>
        </is>
      </c>
      <c r="E2679" t="inlineStr">
        <is>
          <t>SMEDJEBACKEN</t>
        </is>
      </c>
      <c r="F2679" t="inlineStr">
        <is>
          <t>Sveaskog</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3179-2023</t>
        </is>
      </c>
      <c r="B2680" s="1" t="n">
        <v>44946</v>
      </c>
      <c r="C2680" s="1" t="n">
        <v>46114</v>
      </c>
      <c r="D2680" t="inlineStr">
        <is>
          <t>DALARNAS LÄN</t>
        </is>
      </c>
      <c r="E2680" t="inlineStr">
        <is>
          <t>MALUNG-SÄLEN</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32560-2024</t>
        </is>
      </c>
      <c r="B2681" s="1" t="n">
        <v>45513.52782407407</v>
      </c>
      <c r="C2681" s="1" t="n">
        <v>46114</v>
      </c>
      <c r="D2681" t="inlineStr">
        <is>
          <t>DALARNAS LÄN</t>
        </is>
      </c>
      <c r="E2681" t="inlineStr">
        <is>
          <t>RÄTTVIK</t>
        </is>
      </c>
      <c r="F2681" t="inlineStr">
        <is>
          <t>Sveaskog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53984-2023</t>
        </is>
      </c>
      <c r="B2682" s="1" t="n">
        <v>45231</v>
      </c>
      <c r="C2682" s="1" t="n">
        <v>46114</v>
      </c>
      <c r="D2682" t="inlineStr">
        <is>
          <t>DALARNAS LÄN</t>
        </is>
      </c>
      <c r="E2682" t="inlineStr">
        <is>
          <t>MALUNG-SÄLEN</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16807-2025</t>
        </is>
      </c>
      <c r="B2683" s="1" t="n">
        <v>45754</v>
      </c>
      <c r="C2683" s="1" t="n">
        <v>46114</v>
      </c>
      <c r="D2683" t="inlineStr">
        <is>
          <t>DALARNAS LÄN</t>
        </is>
      </c>
      <c r="E2683" t="inlineStr">
        <is>
          <t>LUDVIKA</t>
        </is>
      </c>
      <c r="F2683" t="inlineStr">
        <is>
          <t>Naturvårdsverket</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56012-2023</t>
        </is>
      </c>
      <c r="B2684" s="1" t="n">
        <v>45240</v>
      </c>
      <c r="C2684" s="1" t="n">
        <v>46114</v>
      </c>
      <c r="D2684" t="inlineStr">
        <is>
          <t>DALARNAS LÄN</t>
        </is>
      </c>
      <c r="E2684" t="inlineStr">
        <is>
          <t>MORA</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60625-2023</t>
        </is>
      </c>
      <c r="B2685" s="1" t="n">
        <v>45260.38826388889</v>
      </c>
      <c r="C2685" s="1" t="n">
        <v>46114</v>
      </c>
      <c r="D2685" t="inlineStr">
        <is>
          <t>DALARNAS LÄN</t>
        </is>
      </c>
      <c r="E2685" t="inlineStr">
        <is>
          <t>BORLÄNGE</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15772-2025</t>
        </is>
      </c>
      <c r="B2686" s="1" t="n">
        <v>45748.59069444444</v>
      </c>
      <c r="C2686" s="1" t="n">
        <v>46114</v>
      </c>
      <c r="D2686" t="inlineStr">
        <is>
          <t>DALARNAS LÄN</t>
        </is>
      </c>
      <c r="E2686" t="inlineStr">
        <is>
          <t>ORSA</t>
        </is>
      </c>
      <c r="F2686" t="inlineStr">
        <is>
          <t>Bergvik skog öst AB</t>
        </is>
      </c>
      <c r="G2686" t="n">
        <v>3.8</v>
      </c>
      <c r="H2686" t="n">
        <v>0</v>
      </c>
      <c r="I2686" t="n">
        <v>0</v>
      </c>
      <c r="J2686" t="n">
        <v>0</v>
      </c>
      <c r="K2686" t="n">
        <v>0</v>
      </c>
      <c r="L2686" t="n">
        <v>0</v>
      </c>
      <c r="M2686" t="n">
        <v>0</v>
      </c>
      <c r="N2686" t="n">
        <v>0</v>
      </c>
      <c r="O2686" t="n">
        <v>0</v>
      </c>
      <c r="P2686" t="n">
        <v>0</v>
      </c>
      <c r="Q2686" t="n">
        <v>0</v>
      </c>
      <c r="R2686" s="2" t="inlineStr"/>
    </row>
    <row r="2687" ht="15" customHeight="1">
      <c r="A2687" t="inlineStr">
        <is>
          <t>A 60674-2023</t>
        </is>
      </c>
      <c r="B2687" s="1" t="n">
        <v>45260.46609953704</v>
      </c>
      <c r="C2687" s="1" t="n">
        <v>46114</v>
      </c>
      <c r="D2687" t="inlineStr">
        <is>
          <t>DALARNAS LÄN</t>
        </is>
      </c>
      <c r="E2687" t="inlineStr">
        <is>
          <t>MORA</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10401-2023</t>
        </is>
      </c>
      <c r="B2688" s="1" t="n">
        <v>44987.47634259259</v>
      </c>
      <c r="C2688" s="1" t="n">
        <v>46114</v>
      </c>
      <c r="D2688" t="inlineStr">
        <is>
          <t>DALARNAS LÄN</t>
        </is>
      </c>
      <c r="E2688" t="inlineStr">
        <is>
          <t>SMEDJEBACKEN</t>
        </is>
      </c>
      <c r="F2688" t="inlineStr">
        <is>
          <t>Kommuner</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16827-2025</t>
        </is>
      </c>
      <c r="B2689" s="1" t="n">
        <v>45754.65372685185</v>
      </c>
      <c r="C2689" s="1" t="n">
        <v>46114</v>
      </c>
      <c r="D2689" t="inlineStr">
        <is>
          <t>DALARNAS LÄN</t>
        </is>
      </c>
      <c r="E2689" t="inlineStr">
        <is>
          <t>VANSBRO</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16832-2025</t>
        </is>
      </c>
      <c r="B2690" s="1" t="n">
        <v>45754.66079861111</v>
      </c>
      <c r="C2690" s="1" t="n">
        <v>46114</v>
      </c>
      <c r="D2690" t="inlineStr">
        <is>
          <t>DALARNAS LÄN</t>
        </is>
      </c>
      <c r="E2690" t="inlineStr">
        <is>
          <t>VANSBRO</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16876-2025</t>
        </is>
      </c>
      <c r="B2691" s="1" t="n">
        <v>45755.28888888889</v>
      </c>
      <c r="C2691" s="1" t="n">
        <v>46114</v>
      </c>
      <c r="D2691" t="inlineStr">
        <is>
          <t>DALARNAS LÄN</t>
        </is>
      </c>
      <c r="E2691" t="inlineStr">
        <is>
          <t>RÄTTVIK</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30860-2024</t>
        </is>
      </c>
      <c r="B2692" s="1" t="n">
        <v>45497.69108796296</v>
      </c>
      <c r="C2692" s="1" t="n">
        <v>46114</v>
      </c>
      <c r="D2692" t="inlineStr">
        <is>
          <t>DALARNAS LÄN</t>
        </is>
      </c>
      <c r="E2692" t="inlineStr">
        <is>
          <t>LEKSAND</t>
        </is>
      </c>
      <c r="F2692" t="inlineStr">
        <is>
          <t>Bergvik skog väst AB</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5298-2023</t>
        </is>
      </c>
      <c r="B2693" s="1" t="n">
        <v>44959.54355324074</v>
      </c>
      <c r="C2693" s="1" t="n">
        <v>46114</v>
      </c>
      <c r="D2693" t="inlineStr">
        <is>
          <t>DALARNAS LÄN</t>
        </is>
      </c>
      <c r="E2693" t="inlineStr">
        <is>
          <t>MORA</t>
        </is>
      </c>
      <c r="F2693" t="inlineStr">
        <is>
          <t>Bergvik skog väst AB</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30864-2024</t>
        </is>
      </c>
      <c r="B2694" s="1" t="n">
        <v>45497.71550925926</v>
      </c>
      <c r="C2694" s="1" t="n">
        <v>46114</v>
      </c>
      <c r="D2694" t="inlineStr">
        <is>
          <t>DALARNAS LÄN</t>
        </is>
      </c>
      <c r="E2694" t="inlineStr">
        <is>
          <t>LEKSAND</t>
        </is>
      </c>
      <c r="F2694" t="inlineStr">
        <is>
          <t>Bergvik skog väst AB</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36422-2024</t>
        </is>
      </c>
      <c r="B2695" s="1" t="n">
        <v>45536.65696759259</v>
      </c>
      <c r="C2695" s="1" t="n">
        <v>46114</v>
      </c>
      <c r="D2695" t="inlineStr">
        <is>
          <t>DALARNAS LÄN</t>
        </is>
      </c>
      <c r="E2695" t="inlineStr">
        <is>
          <t>BORLÄNGE</t>
        </is>
      </c>
      <c r="G2695" t="n">
        <v>12.8</v>
      </c>
      <c r="H2695" t="n">
        <v>0</v>
      </c>
      <c r="I2695" t="n">
        <v>0</v>
      </c>
      <c r="J2695" t="n">
        <v>0</v>
      </c>
      <c r="K2695" t="n">
        <v>0</v>
      </c>
      <c r="L2695" t="n">
        <v>0</v>
      </c>
      <c r="M2695" t="n">
        <v>0</v>
      </c>
      <c r="N2695" t="n">
        <v>0</v>
      </c>
      <c r="O2695" t="n">
        <v>0</v>
      </c>
      <c r="P2695" t="n">
        <v>0</v>
      </c>
      <c r="Q2695" t="n">
        <v>0</v>
      </c>
      <c r="R2695" s="2" t="inlineStr"/>
    </row>
    <row r="2696" ht="15" customHeight="1">
      <c r="A2696" t="inlineStr">
        <is>
          <t>A 36423-2024</t>
        </is>
      </c>
      <c r="B2696" s="1" t="n">
        <v>45536.66635416666</v>
      </c>
      <c r="C2696" s="1" t="n">
        <v>46114</v>
      </c>
      <c r="D2696" t="inlineStr">
        <is>
          <t>DALARNAS LÄN</t>
        </is>
      </c>
      <c r="E2696" t="inlineStr">
        <is>
          <t>BORLÄNGE</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8172-2024</t>
        </is>
      </c>
      <c r="B2697" s="1" t="n">
        <v>45349</v>
      </c>
      <c r="C2697" s="1" t="n">
        <v>46114</v>
      </c>
      <c r="D2697" t="inlineStr">
        <is>
          <t>DALARNAS LÄN</t>
        </is>
      </c>
      <c r="E2697" t="inlineStr">
        <is>
          <t>LUDVIKA</t>
        </is>
      </c>
      <c r="F2697" t="inlineStr">
        <is>
          <t>Allmännings- och besparingsskogar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8175-2024</t>
        </is>
      </c>
      <c r="B2698" s="1" t="n">
        <v>45349</v>
      </c>
      <c r="C2698" s="1" t="n">
        <v>46114</v>
      </c>
      <c r="D2698" t="inlineStr">
        <is>
          <t>DALARNAS LÄN</t>
        </is>
      </c>
      <c r="E2698" t="inlineStr">
        <is>
          <t>LUDVIKA</t>
        </is>
      </c>
      <c r="F2698" t="inlineStr">
        <is>
          <t>Allmännings- och besparingsskogar</t>
        </is>
      </c>
      <c r="G2698" t="n">
        <v>3.8</v>
      </c>
      <c r="H2698" t="n">
        <v>0</v>
      </c>
      <c r="I2698" t="n">
        <v>0</v>
      </c>
      <c r="J2698" t="n">
        <v>0</v>
      </c>
      <c r="K2698" t="n">
        <v>0</v>
      </c>
      <c r="L2698" t="n">
        <v>0</v>
      </c>
      <c r="M2698" t="n">
        <v>0</v>
      </c>
      <c r="N2698" t="n">
        <v>0</v>
      </c>
      <c r="O2698" t="n">
        <v>0</v>
      </c>
      <c r="P2698" t="n">
        <v>0</v>
      </c>
      <c r="Q2698" t="n">
        <v>0</v>
      </c>
      <c r="R2698" s="2" t="inlineStr"/>
    </row>
    <row r="2699" ht="15" customHeight="1">
      <c r="A2699" t="inlineStr">
        <is>
          <t>A 56969-2024</t>
        </is>
      </c>
      <c r="B2699" s="1" t="n">
        <v>45628.66434027778</v>
      </c>
      <c r="C2699" s="1" t="n">
        <v>46114</v>
      </c>
      <c r="D2699" t="inlineStr">
        <is>
          <t>DALARNAS LÄN</t>
        </is>
      </c>
      <c r="E2699" t="inlineStr">
        <is>
          <t>MALUNG-SÄLEN</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51151-2023</t>
        </is>
      </c>
      <c r="B2700" s="1" t="n">
        <v>45219</v>
      </c>
      <c r="C2700" s="1" t="n">
        <v>46114</v>
      </c>
      <c r="D2700" t="inlineStr">
        <is>
          <t>DALARNAS LÄN</t>
        </is>
      </c>
      <c r="E2700" t="inlineStr">
        <is>
          <t>GAGNEF</t>
        </is>
      </c>
      <c r="G2700" t="n">
        <v>3.1</v>
      </c>
      <c r="H2700" t="n">
        <v>0</v>
      </c>
      <c r="I2700" t="n">
        <v>0</v>
      </c>
      <c r="J2700" t="n">
        <v>0</v>
      </c>
      <c r="K2700" t="n">
        <v>0</v>
      </c>
      <c r="L2700" t="n">
        <v>0</v>
      </c>
      <c r="M2700" t="n">
        <v>0</v>
      </c>
      <c r="N2700" t="n">
        <v>0</v>
      </c>
      <c r="O2700" t="n">
        <v>0</v>
      </c>
      <c r="P2700" t="n">
        <v>0</v>
      </c>
      <c r="Q2700" t="n">
        <v>0</v>
      </c>
      <c r="R2700" s="2" t="inlineStr"/>
    </row>
    <row r="2701" ht="15" customHeight="1">
      <c r="A2701" t="inlineStr">
        <is>
          <t>A 38277-2024</t>
        </is>
      </c>
      <c r="B2701" s="1" t="n">
        <v>45545.61171296296</v>
      </c>
      <c r="C2701" s="1" t="n">
        <v>46114</v>
      </c>
      <c r="D2701" t="inlineStr">
        <is>
          <t>DALARNAS LÄN</t>
        </is>
      </c>
      <c r="E2701" t="inlineStr">
        <is>
          <t>ÄLVDALEN</t>
        </is>
      </c>
      <c r="G2701" t="n">
        <v>8.199999999999999</v>
      </c>
      <c r="H2701" t="n">
        <v>0</v>
      </c>
      <c r="I2701" t="n">
        <v>0</v>
      </c>
      <c r="J2701" t="n">
        <v>0</v>
      </c>
      <c r="K2701" t="n">
        <v>0</v>
      </c>
      <c r="L2701" t="n">
        <v>0</v>
      </c>
      <c r="M2701" t="n">
        <v>0</v>
      </c>
      <c r="N2701" t="n">
        <v>0</v>
      </c>
      <c r="O2701" t="n">
        <v>0</v>
      </c>
      <c r="P2701" t="n">
        <v>0</v>
      </c>
      <c r="Q2701" t="n">
        <v>0</v>
      </c>
      <c r="R2701" s="2" t="inlineStr"/>
    </row>
    <row r="2702" ht="15" customHeight="1">
      <c r="A2702" t="inlineStr">
        <is>
          <t>A 57015-2024</t>
        </is>
      </c>
      <c r="B2702" s="1" t="n">
        <v>45628.79650462963</v>
      </c>
      <c r="C2702" s="1" t="n">
        <v>46114</v>
      </c>
      <c r="D2702" t="inlineStr">
        <is>
          <t>DALARNAS LÄN</t>
        </is>
      </c>
      <c r="E2702" t="inlineStr">
        <is>
          <t>SÄTER</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54216-2023</t>
        </is>
      </c>
      <c r="B2703" s="1" t="n">
        <v>45232.57947916666</v>
      </c>
      <c r="C2703" s="1" t="n">
        <v>46114</v>
      </c>
      <c r="D2703" t="inlineStr">
        <is>
          <t>DALARNAS LÄN</t>
        </is>
      </c>
      <c r="E2703" t="inlineStr">
        <is>
          <t>FALUN</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51233-2023</t>
        </is>
      </c>
      <c r="B2704" s="1" t="n">
        <v>45219.46238425926</v>
      </c>
      <c r="C2704" s="1" t="n">
        <v>46114</v>
      </c>
      <c r="D2704" t="inlineStr">
        <is>
          <t>DALARNAS LÄN</t>
        </is>
      </c>
      <c r="E2704" t="inlineStr">
        <is>
          <t>FALUN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58832-2022</t>
        </is>
      </c>
      <c r="B2705" s="1" t="n">
        <v>44903.47903935185</v>
      </c>
      <c r="C2705" s="1" t="n">
        <v>46114</v>
      </c>
      <c r="D2705" t="inlineStr">
        <is>
          <t>DALARNAS LÄN</t>
        </is>
      </c>
      <c r="E2705" t="inlineStr">
        <is>
          <t>MALUNG-SÄLEN</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57859-2022</t>
        </is>
      </c>
      <c r="B2706" s="1" t="n">
        <v>44898</v>
      </c>
      <c r="C2706" s="1" t="n">
        <v>46114</v>
      </c>
      <c r="D2706" t="inlineStr">
        <is>
          <t>DALARNAS LÄN</t>
        </is>
      </c>
      <c r="E2706" t="inlineStr">
        <is>
          <t>MORA</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57260-2021</t>
        </is>
      </c>
      <c r="B2707" s="1" t="n">
        <v>44482</v>
      </c>
      <c r="C2707" s="1" t="n">
        <v>46114</v>
      </c>
      <c r="D2707" t="inlineStr">
        <is>
          <t>DALARNAS LÄN</t>
        </is>
      </c>
      <c r="E2707" t="inlineStr">
        <is>
          <t>SMEDJEBACKEN</t>
        </is>
      </c>
      <c r="F2707" t="inlineStr">
        <is>
          <t>Bergvik skog väst AB</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57269-2021</t>
        </is>
      </c>
      <c r="B2708" s="1" t="n">
        <v>44482</v>
      </c>
      <c r="C2708" s="1" t="n">
        <v>46114</v>
      </c>
      <c r="D2708" t="inlineStr">
        <is>
          <t>DALARNAS LÄN</t>
        </is>
      </c>
      <c r="E2708" t="inlineStr">
        <is>
          <t>SMEDJEBACKEN</t>
        </is>
      </c>
      <c r="F2708" t="inlineStr">
        <is>
          <t>Bergvik skog väst AB</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51253-2023</t>
        </is>
      </c>
      <c r="B2709" s="1" t="n">
        <v>45219</v>
      </c>
      <c r="C2709" s="1" t="n">
        <v>46114</v>
      </c>
      <c r="D2709" t="inlineStr">
        <is>
          <t>DALARNAS LÄN</t>
        </is>
      </c>
      <c r="E2709" t="inlineStr">
        <is>
          <t>MORA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51305-2023</t>
        </is>
      </c>
      <c r="B2710" s="1" t="n">
        <v>45219</v>
      </c>
      <c r="C2710" s="1" t="n">
        <v>46114</v>
      </c>
      <c r="D2710" t="inlineStr">
        <is>
          <t>DALARNAS LÄN</t>
        </is>
      </c>
      <c r="E2710" t="inlineStr">
        <is>
          <t>ORSA</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51320-2023</t>
        </is>
      </c>
      <c r="B2711" s="1" t="n">
        <v>45219.57456018519</v>
      </c>
      <c r="C2711" s="1" t="n">
        <v>46114</v>
      </c>
      <c r="D2711" t="inlineStr">
        <is>
          <t>DALARNAS LÄN</t>
        </is>
      </c>
      <c r="E2711" t="inlineStr">
        <is>
          <t>LEKSAND</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57110-2021</t>
        </is>
      </c>
      <c r="B2712" s="1" t="n">
        <v>44482</v>
      </c>
      <c r="C2712" s="1" t="n">
        <v>46114</v>
      </c>
      <c r="D2712" t="inlineStr">
        <is>
          <t>DALARNAS LÄN</t>
        </is>
      </c>
      <c r="E2712" t="inlineStr">
        <is>
          <t>MORA</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7656-2023</t>
        </is>
      </c>
      <c r="B2713" s="1" t="n">
        <v>44972</v>
      </c>
      <c r="C2713" s="1" t="n">
        <v>46114</v>
      </c>
      <c r="D2713" t="inlineStr">
        <is>
          <t>DALARNAS LÄN</t>
        </is>
      </c>
      <c r="E2713" t="inlineStr">
        <is>
          <t>FALUN</t>
        </is>
      </c>
      <c r="G2713" t="n">
        <v>26.1</v>
      </c>
      <c r="H2713" t="n">
        <v>0</v>
      </c>
      <c r="I2713" t="n">
        <v>0</v>
      </c>
      <c r="J2713" t="n">
        <v>0</v>
      </c>
      <c r="K2713" t="n">
        <v>0</v>
      </c>
      <c r="L2713" t="n">
        <v>0</v>
      </c>
      <c r="M2713" t="n">
        <v>0</v>
      </c>
      <c r="N2713" t="n">
        <v>0</v>
      </c>
      <c r="O2713" t="n">
        <v>0</v>
      </c>
      <c r="P2713" t="n">
        <v>0</v>
      </c>
      <c r="Q2713" t="n">
        <v>0</v>
      </c>
      <c r="R2713" s="2" t="inlineStr"/>
    </row>
    <row r="2714" ht="15" customHeight="1">
      <c r="A2714" t="inlineStr">
        <is>
          <t>A 46604-2021</t>
        </is>
      </c>
      <c r="B2714" s="1" t="n">
        <v>44445.55202546297</v>
      </c>
      <c r="C2714" s="1" t="n">
        <v>46114</v>
      </c>
      <c r="D2714" t="inlineStr">
        <is>
          <t>DALARNAS LÄN</t>
        </is>
      </c>
      <c r="E2714" t="inlineStr">
        <is>
          <t>MALUNG-SÄLEN</t>
        </is>
      </c>
      <c r="G2714" t="n">
        <v>9.699999999999999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5883-2024</t>
        </is>
      </c>
      <c r="B2715" s="1" t="n">
        <v>45335.69585648148</v>
      </c>
      <c r="C2715" s="1" t="n">
        <v>46114</v>
      </c>
      <c r="D2715" t="inlineStr">
        <is>
          <t>DALARNAS LÄN</t>
        </is>
      </c>
      <c r="E2715" t="inlineStr">
        <is>
          <t>ÄLVDALEN</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18888-2022</t>
        </is>
      </c>
      <c r="B2716" s="1" t="n">
        <v>44690.56789351852</v>
      </c>
      <c r="C2716" s="1" t="n">
        <v>46114</v>
      </c>
      <c r="D2716" t="inlineStr">
        <is>
          <t>DALARNAS LÄN</t>
        </is>
      </c>
      <c r="E2716" t="inlineStr">
        <is>
          <t>SÄTER</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60049-2022</t>
        </is>
      </c>
      <c r="B2717" s="1" t="n">
        <v>44909.52246527778</v>
      </c>
      <c r="C2717" s="1" t="n">
        <v>46114</v>
      </c>
      <c r="D2717" t="inlineStr">
        <is>
          <t>DALARNAS LÄN</t>
        </is>
      </c>
      <c r="E2717" t="inlineStr">
        <is>
          <t>SMEDJEBACKEN</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60088-2022</t>
        </is>
      </c>
      <c r="B2718" s="1" t="n">
        <v>44909</v>
      </c>
      <c r="C2718" s="1" t="n">
        <v>46114</v>
      </c>
      <c r="D2718" t="inlineStr">
        <is>
          <t>DALARNAS LÄN</t>
        </is>
      </c>
      <c r="E2718" t="inlineStr">
        <is>
          <t>FALUN</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37337-2023</t>
        </is>
      </c>
      <c r="B2719" s="1" t="n">
        <v>45156.4499074074</v>
      </c>
      <c r="C2719" s="1" t="n">
        <v>46114</v>
      </c>
      <c r="D2719" t="inlineStr">
        <is>
          <t>DALARNAS LÄN</t>
        </is>
      </c>
      <c r="E2719" t="inlineStr">
        <is>
          <t>FALUN</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440-2025</t>
        </is>
      </c>
      <c r="B2720" s="1" t="n">
        <v>45664.3863425926</v>
      </c>
      <c r="C2720" s="1" t="n">
        <v>46114</v>
      </c>
      <c r="D2720" t="inlineStr">
        <is>
          <t>DALARNAS LÄN</t>
        </is>
      </c>
      <c r="E2720" t="inlineStr">
        <is>
          <t>RÄTTVIK</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11857-2023</t>
        </is>
      </c>
      <c r="B2721" s="1" t="n">
        <v>44995</v>
      </c>
      <c r="C2721" s="1" t="n">
        <v>46114</v>
      </c>
      <c r="D2721" t="inlineStr">
        <is>
          <t>DALARNAS LÄN</t>
        </is>
      </c>
      <c r="E2721" t="inlineStr">
        <is>
          <t>MORA</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37534-2022</t>
        </is>
      </c>
      <c r="B2722" s="1" t="n">
        <v>44809.62644675926</v>
      </c>
      <c r="C2722" s="1" t="n">
        <v>46114</v>
      </c>
      <c r="D2722" t="inlineStr">
        <is>
          <t>DALARNAS LÄN</t>
        </is>
      </c>
      <c r="E2722" t="inlineStr">
        <is>
          <t>AVESTA</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37293-2021</t>
        </is>
      </c>
      <c r="B2723" s="1" t="n">
        <v>44397</v>
      </c>
      <c r="C2723" s="1" t="n">
        <v>46114</v>
      </c>
      <c r="D2723" t="inlineStr">
        <is>
          <t>DALARNAS LÄN</t>
        </is>
      </c>
      <c r="E2723" t="inlineStr">
        <is>
          <t>FALUN</t>
        </is>
      </c>
      <c r="G2723" t="n">
        <v>0.1</v>
      </c>
      <c r="H2723" t="n">
        <v>0</v>
      </c>
      <c r="I2723" t="n">
        <v>0</v>
      </c>
      <c r="J2723" t="n">
        <v>0</v>
      </c>
      <c r="K2723" t="n">
        <v>0</v>
      </c>
      <c r="L2723" t="n">
        <v>0</v>
      </c>
      <c r="M2723" t="n">
        <v>0</v>
      </c>
      <c r="N2723" t="n">
        <v>0</v>
      </c>
      <c r="O2723" t="n">
        <v>0</v>
      </c>
      <c r="P2723" t="n">
        <v>0</v>
      </c>
      <c r="Q2723" t="n">
        <v>0</v>
      </c>
      <c r="R2723" s="2" t="inlineStr"/>
    </row>
    <row r="2724" ht="15" customHeight="1">
      <c r="A2724" t="inlineStr">
        <is>
          <t>A 38170-2023</t>
        </is>
      </c>
      <c r="B2724" s="1" t="n">
        <v>45161.42324074074</v>
      </c>
      <c r="C2724" s="1" t="n">
        <v>46114</v>
      </c>
      <c r="D2724" t="inlineStr">
        <is>
          <t>DALARNAS LÄN</t>
        </is>
      </c>
      <c r="E2724" t="inlineStr">
        <is>
          <t>LUDVIKA</t>
        </is>
      </c>
      <c r="F2724" t="inlineStr">
        <is>
          <t>Bergvik skog väst AB</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28630-2023</t>
        </is>
      </c>
      <c r="B2725" s="1" t="n">
        <v>45103.61003472222</v>
      </c>
      <c r="C2725" s="1" t="n">
        <v>46114</v>
      </c>
      <c r="D2725" t="inlineStr">
        <is>
          <t>DALARNAS LÄN</t>
        </is>
      </c>
      <c r="E2725" t="inlineStr">
        <is>
          <t>LEKSAND</t>
        </is>
      </c>
      <c r="F2725" t="inlineStr">
        <is>
          <t>Bergvik skog väst AB</t>
        </is>
      </c>
      <c r="G2725" t="n">
        <v>0.3</v>
      </c>
      <c r="H2725" t="n">
        <v>0</v>
      </c>
      <c r="I2725" t="n">
        <v>0</v>
      </c>
      <c r="J2725" t="n">
        <v>0</v>
      </c>
      <c r="K2725" t="n">
        <v>0</v>
      </c>
      <c r="L2725" t="n">
        <v>0</v>
      </c>
      <c r="M2725" t="n">
        <v>0</v>
      </c>
      <c r="N2725" t="n">
        <v>0</v>
      </c>
      <c r="O2725" t="n">
        <v>0</v>
      </c>
      <c r="P2725" t="n">
        <v>0</v>
      </c>
      <c r="Q2725" t="n">
        <v>0</v>
      </c>
      <c r="R2725" s="2" t="inlineStr"/>
    </row>
    <row r="2726" ht="15" customHeight="1">
      <c r="A2726" t="inlineStr">
        <is>
          <t>A 38754-2023</t>
        </is>
      </c>
      <c r="B2726" s="1" t="n">
        <v>45163</v>
      </c>
      <c r="C2726" s="1" t="n">
        <v>46114</v>
      </c>
      <c r="D2726" t="inlineStr">
        <is>
          <t>DALARNAS LÄN</t>
        </is>
      </c>
      <c r="E2726" t="inlineStr">
        <is>
          <t>BORLÄNGE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7605-2025</t>
        </is>
      </c>
      <c r="B2727" s="1" t="n">
        <v>45705.66449074074</v>
      </c>
      <c r="C2727" s="1" t="n">
        <v>46114</v>
      </c>
      <c r="D2727" t="inlineStr">
        <is>
          <t>DALARNAS LÄN</t>
        </is>
      </c>
      <c r="E2727" t="inlineStr">
        <is>
          <t>MALUNG-SÄLEN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42953-2022</t>
        </is>
      </c>
      <c r="B2728" s="1" t="n">
        <v>44833.40231481481</v>
      </c>
      <c r="C2728" s="1" t="n">
        <v>46114</v>
      </c>
      <c r="D2728" t="inlineStr">
        <is>
          <t>DALARNAS LÄN</t>
        </is>
      </c>
      <c r="E2728" t="inlineStr">
        <is>
          <t>FALUN</t>
        </is>
      </c>
      <c r="G2728" t="n">
        <v>4.3</v>
      </c>
      <c r="H2728" t="n">
        <v>0</v>
      </c>
      <c r="I2728" t="n">
        <v>0</v>
      </c>
      <c r="J2728" t="n">
        <v>0</v>
      </c>
      <c r="K2728" t="n">
        <v>0</v>
      </c>
      <c r="L2728" t="n">
        <v>0</v>
      </c>
      <c r="M2728" t="n">
        <v>0</v>
      </c>
      <c r="N2728" t="n">
        <v>0</v>
      </c>
      <c r="O2728" t="n">
        <v>0</v>
      </c>
      <c r="P2728" t="n">
        <v>0</v>
      </c>
      <c r="Q2728" t="n">
        <v>0</v>
      </c>
      <c r="R2728" s="2" t="inlineStr"/>
    </row>
    <row r="2729" ht="15" customHeight="1">
      <c r="A2729" t="inlineStr">
        <is>
          <t>A 61249-2023</t>
        </is>
      </c>
      <c r="B2729" s="1" t="n">
        <v>45264</v>
      </c>
      <c r="C2729" s="1" t="n">
        <v>46114</v>
      </c>
      <c r="D2729" t="inlineStr">
        <is>
          <t>DALARNAS LÄN</t>
        </is>
      </c>
      <c r="E2729" t="inlineStr">
        <is>
          <t>MORA</t>
        </is>
      </c>
      <c r="F2729" t="inlineStr">
        <is>
          <t>Allmännings- och besparingsskogar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61252-2023</t>
        </is>
      </c>
      <c r="B2730" s="1" t="n">
        <v>45261</v>
      </c>
      <c r="C2730" s="1" t="n">
        <v>46114</v>
      </c>
      <c r="D2730" t="inlineStr">
        <is>
          <t>DALARNAS LÄN</t>
        </is>
      </c>
      <c r="E2730" t="inlineStr">
        <is>
          <t>LEKSAND</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60094-2023</t>
        </is>
      </c>
      <c r="B2731" s="1" t="n">
        <v>45258</v>
      </c>
      <c r="C2731" s="1" t="n">
        <v>46114</v>
      </c>
      <c r="D2731" t="inlineStr">
        <is>
          <t>DALARNAS LÄN</t>
        </is>
      </c>
      <c r="E2731" t="inlineStr">
        <is>
          <t>FALUN</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47631-2023</t>
        </is>
      </c>
      <c r="B2732" s="1" t="n">
        <v>45203</v>
      </c>
      <c r="C2732" s="1" t="n">
        <v>46114</v>
      </c>
      <c r="D2732" t="inlineStr">
        <is>
          <t>DALARNAS LÄN</t>
        </is>
      </c>
      <c r="E2732" t="inlineStr">
        <is>
          <t>FALUN</t>
        </is>
      </c>
      <c r="G2732" t="n">
        <v>2</v>
      </c>
      <c r="H2732" t="n">
        <v>0</v>
      </c>
      <c r="I2732" t="n">
        <v>0</v>
      </c>
      <c r="J2732" t="n">
        <v>0</v>
      </c>
      <c r="K2732" t="n">
        <v>0</v>
      </c>
      <c r="L2732" t="n">
        <v>0</v>
      </c>
      <c r="M2732" t="n">
        <v>0</v>
      </c>
      <c r="N2732" t="n">
        <v>0</v>
      </c>
      <c r="O2732" t="n">
        <v>0</v>
      </c>
      <c r="P2732" t="n">
        <v>0</v>
      </c>
      <c r="Q2732" t="n">
        <v>0</v>
      </c>
      <c r="R2732" s="2" t="inlineStr"/>
    </row>
    <row r="2733" ht="15" customHeight="1">
      <c r="A2733" t="inlineStr">
        <is>
          <t>A 61384-2024</t>
        </is>
      </c>
      <c r="B2733" s="1" t="n">
        <v>45646.40943287037</v>
      </c>
      <c r="C2733" s="1" t="n">
        <v>46114</v>
      </c>
      <c r="D2733" t="inlineStr">
        <is>
          <t>DALARNAS LÄN</t>
        </is>
      </c>
      <c r="E2733" t="inlineStr">
        <is>
          <t>LUDVIKA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562-2024</t>
        </is>
      </c>
      <c r="B2734" s="1" t="n">
        <v>45299.56534722223</v>
      </c>
      <c r="C2734" s="1" t="n">
        <v>46114</v>
      </c>
      <c r="D2734" t="inlineStr">
        <is>
          <t>DALARNAS LÄN</t>
        </is>
      </c>
      <c r="E2734" t="inlineStr">
        <is>
          <t>RÄTTVIK</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1215-2024</t>
        </is>
      </c>
      <c r="B2735" s="1" t="n">
        <v>45302</v>
      </c>
      <c r="C2735" s="1" t="n">
        <v>46114</v>
      </c>
      <c r="D2735" t="inlineStr">
        <is>
          <t>DALARNAS LÄN</t>
        </is>
      </c>
      <c r="E2735" t="inlineStr">
        <is>
          <t>LEKSAND</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8473-2022</t>
        </is>
      </c>
      <c r="B2736" s="1" t="n">
        <v>44613.34505787037</v>
      </c>
      <c r="C2736" s="1" t="n">
        <v>46114</v>
      </c>
      <c r="D2736" t="inlineStr">
        <is>
          <t>DALARNAS LÄN</t>
        </is>
      </c>
      <c r="E2736" t="inlineStr">
        <is>
          <t>BORLÄNGE</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47957-2023</t>
        </is>
      </c>
      <c r="B2737" s="1" t="n">
        <v>45204.59157407407</v>
      </c>
      <c r="C2737" s="1" t="n">
        <v>46114</v>
      </c>
      <c r="D2737" t="inlineStr">
        <is>
          <t>DALARNAS LÄN</t>
        </is>
      </c>
      <c r="E2737" t="inlineStr">
        <is>
          <t>MALUNG-SÄLEN</t>
        </is>
      </c>
      <c r="F2737" t="inlineStr">
        <is>
          <t>Bergvik skog öst AB</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25935-2023</t>
        </is>
      </c>
      <c r="B2738" s="1" t="n">
        <v>45090.68675925926</v>
      </c>
      <c r="C2738" s="1" t="n">
        <v>46114</v>
      </c>
      <c r="D2738" t="inlineStr">
        <is>
          <t>DALARNAS LÄN</t>
        </is>
      </c>
      <c r="E2738" t="inlineStr">
        <is>
          <t>MORA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41729-2024</t>
        </is>
      </c>
      <c r="B2739" s="1" t="n">
        <v>45560.90378472222</v>
      </c>
      <c r="C2739" s="1" t="n">
        <v>46114</v>
      </c>
      <c r="D2739" t="inlineStr">
        <is>
          <t>DALARNAS LÄN</t>
        </is>
      </c>
      <c r="E2739" t="inlineStr">
        <is>
          <t>AVESTA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12016-2024</t>
        </is>
      </c>
      <c r="B2740" s="1" t="n">
        <v>45377.34850694444</v>
      </c>
      <c r="C2740" s="1" t="n">
        <v>46114</v>
      </c>
      <c r="D2740" t="inlineStr">
        <is>
          <t>DALARNAS LÄN</t>
        </is>
      </c>
      <c r="E2740" t="inlineStr">
        <is>
          <t>VANSBRO</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22367-2024</t>
        </is>
      </c>
      <c r="B2741" s="1" t="n">
        <v>45446.64342592593</v>
      </c>
      <c r="C2741" s="1" t="n">
        <v>46114</v>
      </c>
      <c r="D2741" t="inlineStr">
        <is>
          <t>DALARNAS LÄN</t>
        </is>
      </c>
      <c r="E2741" t="inlineStr">
        <is>
          <t>SMEDJEBACKEN</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752-2023</t>
        </is>
      </c>
      <c r="B2742" s="1" t="n">
        <v>44931.36048611111</v>
      </c>
      <c r="C2742" s="1" t="n">
        <v>46114</v>
      </c>
      <c r="D2742" t="inlineStr">
        <is>
          <t>DALARNAS LÄN</t>
        </is>
      </c>
      <c r="E2742" t="inlineStr">
        <is>
          <t>MALUNG-SÄLEN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17321-2024</t>
        </is>
      </c>
      <c r="B2743" s="1" t="n">
        <v>45414.53782407408</v>
      </c>
      <c r="C2743" s="1" t="n">
        <v>46114</v>
      </c>
      <c r="D2743" t="inlineStr">
        <is>
          <t>DALARNAS LÄN</t>
        </is>
      </c>
      <c r="E2743" t="inlineStr">
        <is>
          <t>GAGNEF</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40654-2022</t>
        </is>
      </c>
      <c r="B2744" s="1" t="n">
        <v>44824.35642361111</v>
      </c>
      <c r="C2744" s="1" t="n">
        <v>46114</v>
      </c>
      <c r="D2744" t="inlineStr">
        <is>
          <t>DALARNAS LÄN</t>
        </is>
      </c>
      <c r="E2744" t="inlineStr">
        <is>
          <t>BORLÄNGE</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17850-2025</t>
        </is>
      </c>
      <c r="B2745" s="1" t="n">
        <v>45758.60162037037</v>
      </c>
      <c r="C2745" s="1" t="n">
        <v>46114</v>
      </c>
      <c r="D2745" t="inlineStr">
        <is>
          <t>DALARNAS LÄN</t>
        </is>
      </c>
      <c r="E2745" t="inlineStr">
        <is>
          <t>ORSA</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35161-2023</t>
        </is>
      </c>
      <c r="B2746" s="1" t="n">
        <v>45145.57525462963</v>
      </c>
      <c r="C2746" s="1" t="n">
        <v>46114</v>
      </c>
      <c r="D2746" t="inlineStr">
        <is>
          <t>DALARNAS LÄN</t>
        </is>
      </c>
      <c r="E2746" t="inlineStr">
        <is>
          <t>ÄLVDALEN</t>
        </is>
      </c>
      <c r="F2746" t="inlineStr">
        <is>
          <t>Sveaskog</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56305-2021</t>
        </is>
      </c>
      <c r="B2747" s="1" t="n">
        <v>44477</v>
      </c>
      <c r="C2747" s="1" t="n">
        <v>46114</v>
      </c>
      <c r="D2747" t="inlineStr">
        <is>
          <t>DALARNAS LÄN</t>
        </is>
      </c>
      <c r="E2747" t="inlineStr">
        <is>
          <t>SMEDJEBACKEN</t>
        </is>
      </c>
      <c r="F2747" t="inlineStr">
        <is>
          <t>Bergvik skog väst AB</t>
        </is>
      </c>
      <c r="G2747" t="n">
        <v>14.2</v>
      </c>
      <c r="H2747" t="n">
        <v>0</v>
      </c>
      <c r="I2747" t="n">
        <v>0</v>
      </c>
      <c r="J2747" t="n">
        <v>0</v>
      </c>
      <c r="K2747" t="n">
        <v>0</v>
      </c>
      <c r="L2747" t="n">
        <v>0</v>
      </c>
      <c r="M2747" t="n">
        <v>0</v>
      </c>
      <c r="N2747" t="n">
        <v>0</v>
      </c>
      <c r="O2747" t="n">
        <v>0</v>
      </c>
      <c r="P2747" t="n">
        <v>0</v>
      </c>
      <c r="Q2747" t="n">
        <v>0</v>
      </c>
      <c r="R2747" s="2" t="inlineStr"/>
    </row>
    <row r="2748" ht="15" customHeight="1">
      <c r="A2748" t="inlineStr">
        <is>
          <t>A 23408-2024</t>
        </is>
      </c>
      <c r="B2748" s="1" t="n">
        <v>45453.58515046296</v>
      </c>
      <c r="C2748" s="1" t="n">
        <v>46114</v>
      </c>
      <c r="D2748" t="inlineStr">
        <is>
          <t>DALARNAS LÄN</t>
        </is>
      </c>
      <c r="E2748" t="inlineStr">
        <is>
          <t>RÄTTVIK</t>
        </is>
      </c>
      <c r="F2748" t="inlineStr">
        <is>
          <t>Allmännings- och besparingsskogar</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5519-2025</t>
        </is>
      </c>
      <c r="B2749" s="1" t="n">
        <v>45693.40930555556</v>
      </c>
      <c r="C2749" s="1" t="n">
        <v>46114</v>
      </c>
      <c r="D2749" t="inlineStr">
        <is>
          <t>DALARNAS LÄN</t>
        </is>
      </c>
      <c r="E2749" t="inlineStr">
        <is>
          <t>GAGNEF</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28049-2021</t>
        </is>
      </c>
      <c r="B2750" s="1" t="n">
        <v>44355</v>
      </c>
      <c r="C2750" s="1" t="n">
        <v>46114</v>
      </c>
      <c r="D2750" t="inlineStr">
        <is>
          <t>DALARNAS LÄN</t>
        </is>
      </c>
      <c r="E2750" t="inlineStr">
        <is>
          <t>SMEDJEBACKEN</t>
        </is>
      </c>
      <c r="F2750" t="inlineStr">
        <is>
          <t>Sveaskog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4953-2025</t>
        </is>
      </c>
      <c r="B2751" s="1" t="n">
        <v>45689.52416666667</v>
      </c>
      <c r="C2751" s="1" t="n">
        <v>46114</v>
      </c>
      <c r="D2751" t="inlineStr">
        <is>
          <t>DALARNAS LÄN</t>
        </is>
      </c>
      <c r="E2751" t="inlineStr">
        <is>
          <t>VANSBRO</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23517-2024</t>
        </is>
      </c>
      <c r="B2752" s="1" t="n">
        <v>45453.90877314815</v>
      </c>
      <c r="C2752" s="1" t="n">
        <v>46114</v>
      </c>
      <c r="D2752" t="inlineStr">
        <is>
          <t>DALARNAS LÄN</t>
        </is>
      </c>
      <c r="E2752" t="inlineStr">
        <is>
          <t>AVESTA</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23057-2024</t>
        </is>
      </c>
      <c r="B2753" s="1" t="n">
        <v>45450</v>
      </c>
      <c r="C2753" s="1" t="n">
        <v>46114</v>
      </c>
      <c r="D2753" t="inlineStr">
        <is>
          <t>DALARNAS LÄN</t>
        </is>
      </c>
      <c r="E2753" t="inlineStr">
        <is>
          <t>MORA</t>
        </is>
      </c>
      <c r="F2753" t="inlineStr">
        <is>
          <t>Bergvik skog väst AB</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55461-2024</t>
        </is>
      </c>
      <c r="B2754" s="1" t="n">
        <v>45622.42818287037</v>
      </c>
      <c r="C2754" s="1" t="n">
        <v>46114</v>
      </c>
      <c r="D2754" t="inlineStr">
        <is>
          <t>DALARNAS LÄN</t>
        </is>
      </c>
      <c r="E2754" t="inlineStr">
        <is>
          <t>RÄTTVIK</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32125-2024</t>
        </is>
      </c>
      <c r="B2755" s="1" t="n">
        <v>45511</v>
      </c>
      <c r="C2755" s="1" t="n">
        <v>46114</v>
      </c>
      <c r="D2755" t="inlineStr">
        <is>
          <t>DALARNAS LÄN</t>
        </is>
      </c>
      <c r="E2755" t="inlineStr">
        <is>
          <t>ORSA</t>
        </is>
      </c>
      <c r="F2755" t="inlineStr">
        <is>
          <t>Allmännings- och besparingsskogar</t>
        </is>
      </c>
      <c r="G2755" t="n">
        <v>5.2</v>
      </c>
      <c r="H2755" t="n">
        <v>0</v>
      </c>
      <c r="I2755" t="n">
        <v>0</v>
      </c>
      <c r="J2755" t="n">
        <v>0</v>
      </c>
      <c r="K2755" t="n">
        <v>0</v>
      </c>
      <c r="L2755" t="n">
        <v>0</v>
      </c>
      <c r="M2755" t="n">
        <v>0</v>
      </c>
      <c r="N2755" t="n">
        <v>0</v>
      </c>
      <c r="O2755" t="n">
        <v>0</v>
      </c>
      <c r="P2755" t="n">
        <v>0</v>
      </c>
      <c r="Q2755" t="n">
        <v>0</v>
      </c>
      <c r="R2755" s="2" t="inlineStr"/>
    </row>
    <row r="2756" ht="15" customHeight="1">
      <c r="A2756" t="inlineStr">
        <is>
          <t>A 45562-2023</t>
        </is>
      </c>
      <c r="B2756" s="1" t="n">
        <v>45194.59378472222</v>
      </c>
      <c r="C2756" s="1" t="n">
        <v>46114</v>
      </c>
      <c r="D2756" t="inlineStr">
        <is>
          <t>DALARNAS LÄN</t>
        </is>
      </c>
      <c r="E2756" t="inlineStr">
        <is>
          <t>MORA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55472-2024</t>
        </is>
      </c>
      <c r="B2757" s="1" t="n">
        <v>45622.43274305556</v>
      </c>
      <c r="C2757" s="1" t="n">
        <v>46114</v>
      </c>
      <c r="D2757" t="inlineStr">
        <is>
          <t>DALARNAS LÄN</t>
        </is>
      </c>
      <c r="E2757" t="inlineStr">
        <is>
          <t>LUDVIKA</t>
        </is>
      </c>
      <c r="F2757" t="inlineStr">
        <is>
          <t>Naturvårdsverket</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60023-2024</t>
        </is>
      </c>
      <c r="B2758" s="1" t="n">
        <v>45642.44747685185</v>
      </c>
      <c r="C2758" s="1" t="n">
        <v>46114</v>
      </c>
      <c r="D2758" t="inlineStr">
        <is>
          <t>DALARNAS LÄN</t>
        </is>
      </c>
      <c r="E2758" t="inlineStr">
        <is>
          <t>SMEDJEBACKEN</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62565-2023</t>
        </is>
      </c>
      <c r="B2759" s="1" t="n">
        <v>45269</v>
      </c>
      <c r="C2759" s="1" t="n">
        <v>46114</v>
      </c>
      <c r="D2759" t="inlineStr">
        <is>
          <t>DALARNAS LÄN</t>
        </is>
      </c>
      <c r="E2759" t="inlineStr">
        <is>
          <t>AVESTA</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51510-2023</t>
        </is>
      </c>
      <c r="B2760" s="1" t="n">
        <v>45222</v>
      </c>
      <c r="C2760" s="1" t="n">
        <v>46114</v>
      </c>
      <c r="D2760" t="inlineStr">
        <is>
          <t>DALARNAS LÄN</t>
        </is>
      </c>
      <c r="E2760" t="inlineStr">
        <is>
          <t>FALUN</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10628-2025</t>
        </is>
      </c>
      <c r="B2761" s="1" t="n">
        <v>45721.63273148148</v>
      </c>
      <c r="C2761" s="1" t="n">
        <v>46114</v>
      </c>
      <c r="D2761" t="inlineStr">
        <is>
          <t>DALARNAS LÄN</t>
        </is>
      </c>
      <c r="E2761" t="inlineStr">
        <is>
          <t>MALUNG-SÄLEN</t>
        </is>
      </c>
      <c r="G2761" t="n">
        <v>7.4</v>
      </c>
      <c r="H2761" t="n">
        <v>0</v>
      </c>
      <c r="I2761" t="n">
        <v>0</v>
      </c>
      <c r="J2761" t="n">
        <v>0</v>
      </c>
      <c r="K2761" t="n">
        <v>0</v>
      </c>
      <c r="L2761" t="n">
        <v>0</v>
      </c>
      <c r="M2761" t="n">
        <v>0</v>
      </c>
      <c r="N2761" t="n">
        <v>0</v>
      </c>
      <c r="O2761" t="n">
        <v>0</v>
      </c>
      <c r="P2761" t="n">
        <v>0</v>
      </c>
      <c r="Q2761" t="n">
        <v>0</v>
      </c>
      <c r="R2761" s="2" t="inlineStr"/>
    </row>
    <row r="2762" ht="15" customHeight="1">
      <c r="A2762" t="inlineStr">
        <is>
          <t>A 51563-2023</t>
        </is>
      </c>
      <c r="B2762" s="1" t="n">
        <v>45222</v>
      </c>
      <c r="C2762" s="1" t="n">
        <v>46114</v>
      </c>
      <c r="D2762" t="inlineStr">
        <is>
          <t>DALARNAS LÄN</t>
        </is>
      </c>
      <c r="E2762" t="inlineStr">
        <is>
          <t>ORSA</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51570-2023</t>
        </is>
      </c>
      <c r="B2763" s="1" t="n">
        <v>45222</v>
      </c>
      <c r="C2763" s="1" t="n">
        <v>46114</v>
      </c>
      <c r="D2763" t="inlineStr">
        <is>
          <t>DALARNAS LÄN</t>
        </is>
      </c>
      <c r="E2763" t="inlineStr">
        <is>
          <t>MORA</t>
        </is>
      </c>
      <c r="G2763" t="n">
        <v>10.1</v>
      </c>
      <c r="H2763" t="n">
        <v>0</v>
      </c>
      <c r="I2763" t="n">
        <v>0</v>
      </c>
      <c r="J2763" t="n">
        <v>0</v>
      </c>
      <c r="K2763" t="n">
        <v>0</v>
      </c>
      <c r="L2763" t="n">
        <v>0</v>
      </c>
      <c r="M2763" t="n">
        <v>0</v>
      </c>
      <c r="N2763" t="n">
        <v>0</v>
      </c>
      <c r="O2763" t="n">
        <v>0</v>
      </c>
      <c r="P2763" t="n">
        <v>0</v>
      </c>
      <c r="Q2763" t="n">
        <v>0</v>
      </c>
      <c r="R2763" s="2" t="inlineStr"/>
    </row>
    <row r="2764" ht="15" customHeight="1">
      <c r="A2764" t="inlineStr">
        <is>
          <t>A 35446-2024</t>
        </is>
      </c>
      <c r="B2764" s="1" t="n">
        <v>45531.43714120371</v>
      </c>
      <c r="C2764" s="1" t="n">
        <v>46114</v>
      </c>
      <c r="D2764" t="inlineStr">
        <is>
          <t>DALARNAS LÄN</t>
        </is>
      </c>
      <c r="E2764" t="inlineStr">
        <is>
          <t>FALUN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44015-2023</t>
        </is>
      </c>
      <c r="B2765" s="1" t="n">
        <v>45182</v>
      </c>
      <c r="C2765" s="1" t="n">
        <v>46114</v>
      </c>
      <c r="D2765" t="inlineStr">
        <is>
          <t>DALARNAS LÄN</t>
        </is>
      </c>
      <c r="E2765" t="inlineStr">
        <is>
          <t>RÄTTVIK</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51140-2024</t>
        </is>
      </c>
      <c r="B2766" s="1" t="n">
        <v>45603.54407407407</v>
      </c>
      <c r="C2766" s="1" t="n">
        <v>46114</v>
      </c>
      <c r="D2766" t="inlineStr">
        <is>
          <t>DALARNAS LÄN</t>
        </is>
      </c>
      <c r="E2766" t="inlineStr">
        <is>
          <t>VANSBRO</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50536-2024</t>
        </is>
      </c>
      <c r="B2767" s="1" t="n">
        <v>45601.56956018518</v>
      </c>
      <c r="C2767" s="1" t="n">
        <v>46114</v>
      </c>
      <c r="D2767" t="inlineStr">
        <is>
          <t>DALARNAS LÄN</t>
        </is>
      </c>
      <c r="E2767" t="inlineStr">
        <is>
          <t>GAGNEF</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56225-2023</t>
        </is>
      </c>
      <c r="B2768" s="1" t="n">
        <v>45240</v>
      </c>
      <c r="C2768" s="1" t="n">
        <v>46114</v>
      </c>
      <c r="D2768" t="inlineStr">
        <is>
          <t>DALARNAS LÄN</t>
        </is>
      </c>
      <c r="E2768" t="inlineStr">
        <is>
          <t>SÄTER</t>
        </is>
      </c>
      <c r="G2768" t="n">
        <v>4.8</v>
      </c>
      <c r="H2768" t="n">
        <v>0</v>
      </c>
      <c r="I2768" t="n">
        <v>0</v>
      </c>
      <c r="J2768" t="n">
        <v>0</v>
      </c>
      <c r="K2768" t="n">
        <v>0</v>
      </c>
      <c r="L2768" t="n">
        <v>0</v>
      </c>
      <c r="M2768" t="n">
        <v>0</v>
      </c>
      <c r="N2768" t="n">
        <v>0</v>
      </c>
      <c r="O2768" t="n">
        <v>0</v>
      </c>
      <c r="P2768" t="n">
        <v>0</v>
      </c>
      <c r="Q2768" t="n">
        <v>0</v>
      </c>
      <c r="R2768" s="2" t="inlineStr"/>
    </row>
    <row r="2769" ht="15" customHeight="1">
      <c r="A2769" t="inlineStr">
        <is>
          <t>A 51168-2024</t>
        </is>
      </c>
      <c r="B2769" s="1" t="n">
        <v>45603.58619212963</v>
      </c>
      <c r="C2769" s="1" t="n">
        <v>46114</v>
      </c>
      <c r="D2769" t="inlineStr">
        <is>
          <t>DALARNAS LÄN</t>
        </is>
      </c>
      <c r="E2769" t="inlineStr">
        <is>
          <t>MORA</t>
        </is>
      </c>
      <c r="G2769" t="n">
        <v>3</v>
      </c>
      <c r="H2769" t="n">
        <v>0</v>
      </c>
      <c r="I2769" t="n">
        <v>0</v>
      </c>
      <c r="J2769" t="n">
        <v>0</v>
      </c>
      <c r="K2769" t="n">
        <v>0</v>
      </c>
      <c r="L2769" t="n">
        <v>0</v>
      </c>
      <c r="M2769" t="n">
        <v>0</v>
      </c>
      <c r="N2769" t="n">
        <v>0</v>
      </c>
      <c r="O2769" t="n">
        <v>0</v>
      </c>
      <c r="P2769" t="n">
        <v>0</v>
      </c>
      <c r="Q2769" t="n">
        <v>0</v>
      </c>
      <c r="R2769" s="2" t="inlineStr"/>
    </row>
    <row r="2770" ht="15" customHeight="1">
      <c r="A2770" t="inlineStr">
        <is>
          <t>A 59177-2023</t>
        </is>
      </c>
      <c r="B2770" s="1" t="n">
        <v>45253</v>
      </c>
      <c r="C2770" s="1" t="n">
        <v>46114</v>
      </c>
      <c r="D2770" t="inlineStr">
        <is>
          <t>DALARNAS LÄN</t>
        </is>
      </c>
      <c r="E2770" t="inlineStr">
        <is>
          <t>ÄLVDALEN</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59182-2023</t>
        </is>
      </c>
      <c r="B2771" s="1" t="n">
        <v>45253</v>
      </c>
      <c r="C2771" s="1" t="n">
        <v>46114</v>
      </c>
      <c r="D2771" t="inlineStr">
        <is>
          <t>DALARNAS LÄN</t>
        </is>
      </c>
      <c r="E2771" t="inlineStr">
        <is>
          <t>MORA</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15174-2024</t>
        </is>
      </c>
      <c r="B2772" s="1" t="n">
        <v>45400.35174768518</v>
      </c>
      <c r="C2772" s="1" t="n">
        <v>46114</v>
      </c>
      <c r="D2772" t="inlineStr">
        <is>
          <t>DALARNAS LÄN</t>
        </is>
      </c>
      <c r="E2772" t="inlineStr">
        <is>
          <t>FALUN</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58411-2024</t>
        </is>
      </c>
      <c r="B2773" s="1" t="n">
        <v>45634.75663194444</v>
      </c>
      <c r="C2773" s="1" t="n">
        <v>46114</v>
      </c>
      <c r="D2773" t="inlineStr">
        <is>
          <t>DALARNAS LÄN</t>
        </is>
      </c>
      <c r="E2773" t="inlineStr">
        <is>
          <t>FALUN</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32584-2024</t>
        </is>
      </c>
      <c r="B2774" s="1" t="n">
        <v>45513.58015046296</v>
      </c>
      <c r="C2774" s="1" t="n">
        <v>46114</v>
      </c>
      <c r="D2774" t="inlineStr">
        <is>
          <t>DALARNAS LÄN</t>
        </is>
      </c>
      <c r="E2774" t="inlineStr">
        <is>
          <t>FALUN</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56975-2023</t>
        </is>
      </c>
      <c r="B2775" s="1" t="n">
        <v>45244</v>
      </c>
      <c r="C2775" s="1" t="n">
        <v>46114</v>
      </c>
      <c r="D2775" t="inlineStr">
        <is>
          <t>DALARNAS LÄN</t>
        </is>
      </c>
      <c r="E2775" t="inlineStr">
        <is>
          <t>ORSA</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35556-2024</t>
        </is>
      </c>
      <c r="B2776" s="1" t="n">
        <v>45531.61996527778</v>
      </c>
      <c r="C2776" s="1" t="n">
        <v>46114</v>
      </c>
      <c r="D2776" t="inlineStr">
        <is>
          <t>DALARNAS LÄN</t>
        </is>
      </c>
      <c r="E2776" t="inlineStr">
        <is>
          <t>RÄTTVIK</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17276-2021</t>
        </is>
      </c>
      <c r="B2777" s="1" t="n">
        <v>44298.57814814815</v>
      </c>
      <c r="C2777" s="1" t="n">
        <v>46114</v>
      </c>
      <c r="D2777" t="inlineStr">
        <is>
          <t>DALARNAS LÄN</t>
        </is>
      </c>
      <c r="E2777" t="inlineStr">
        <is>
          <t>VANSBRO</t>
        </is>
      </c>
      <c r="F2777" t="inlineStr">
        <is>
          <t>Bergvik skog väst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45959-2024</t>
        </is>
      </c>
      <c r="B2778" s="1" t="n">
        <v>45580.56954861111</v>
      </c>
      <c r="C2778" s="1" t="n">
        <v>46114</v>
      </c>
      <c r="D2778" t="inlineStr">
        <is>
          <t>DALARNAS LÄN</t>
        </is>
      </c>
      <c r="E2778" t="inlineStr">
        <is>
          <t>BORLÄNGE</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53177-2024</t>
        </is>
      </c>
      <c r="B2779" s="1" t="n">
        <v>45611</v>
      </c>
      <c r="C2779" s="1" t="n">
        <v>46114</v>
      </c>
      <c r="D2779" t="inlineStr">
        <is>
          <t>DALARNAS LÄN</t>
        </is>
      </c>
      <c r="E2779" t="inlineStr">
        <is>
          <t>FALUN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702-2024</t>
        </is>
      </c>
      <c r="B2780" s="1" t="n">
        <v>45300.3930787037</v>
      </c>
      <c r="C2780" s="1" t="n">
        <v>46114</v>
      </c>
      <c r="D2780" t="inlineStr">
        <is>
          <t>DALARNAS LÄN</t>
        </is>
      </c>
      <c r="E2780" t="inlineStr">
        <is>
          <t>RÄTTVIK</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36600-2023</t>
        </is>
      </c>
      <c r="B2781" s="1" t="n">
        <v>45153</v>
      </c>
      <c r="C2781" s="1" t="n">
        <v>46114</v>
      </c>
      <c r="D2781" t="inlineStr">
        <is>
          <t>DALARNAS LÄN</t>
        </is>
      </c>
      <c r="E2781" t="inlineStr">
        <is>
          <t>MORA</t>
        </is>
      </c>
      <c r="G2781" t="n">
        <v>7.3</v>
      </c>
      <c r="H2781" t="n">
        <v>0</v>
      </c>
      <c r="I2781" t="n">
        <v>0</v>
      </c>
      <c r="J2781" t="n">
        <v>0</v>
      </c>
      <c r="K2781" t="n">
        <v>0</v>
      </c>
      <c r="L2781" t="n">
        <v>0</v>
      </c>
      <c r="M2781" t="n">
        <v>0</v>
      </c>
      <c r="N2781" t="n">
        <v>0</v>
      </c>
      <c r="O2781" t="n">
        <v>0</v>
      </c>
      <c r="P2781" t="n">
        <v>0</v>
      </c>
      <c r="Q2781" t="n">
        <v>0</v>
      </c>
      <c r="R2781" s="2" t="inlineStr"/>
    </row>
    <row r="2782" ht="15" customHeight="1">
      <c r="A2782" t="inlineStr">
        <is>
          <t>A 5583-2025</t>
        </is>
      </c>
      <c r="B2782" s="1" t="n">
        <v>45693.55244212963</v>
      </c>
      <c r="C2782" s="1" t="n">
        <v>46114</v>
      </c>
      <c r="D2782" t="inlineStr">
        <is>
          <t>DALARNAS LÄN</t>
        </is>
      </c>
      <c r="E2782" t="inlineStr">
        <is>
          <t>ÄLVDALEN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48522-2023</t>
        </is>
      </c>
      <c r="B2783" s="1" t="n">
        <v>45208.35689814815</v>
      </c>
      <c r="C2783" s="1" t="n">
        <v>46114</v>
      </c>
      <c r="D2783" t="inlineStr">
        <is>
          <t>DALARNAS LÄN</t>
        </is>
      </c>
      <c r="E2783" t="inlineStr">
        <is>
          <t>LUDVIKA</t>
        </is>
      </c>
      <c r="F2783" t="inlineStr">
        <is>
          <t>Bergvik skog väst AB</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57740-2023</t>
        </is>
      </c>
      <c r="B2784" s="1" t="n">
        <v>45243</v>
      </c>
      <c r="C2784" s="1" t="n">
        <v>46114</v>
      </c>
      <c r="D2784" t="inlineStr">
        <is>
          <t>DALARNAS LÄN</t>
        </is>
      </c>
      <c r="E2784" t="inlineStr">
        <is>
          <t>RÄTTVIK</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19330-2025</t>
        </is>
      </c>
      <c r="B2785" s="1" t="n">
        <v>45769</v>
      </c>
      <c r="C2785" s="1" t="n">
        <v>46114</v>
      </c>
      <c r="D2785" t="inlineStr">
        <is>
          <t>DALARNAS LÄN</t>
        </is>
      </c>
      <c r="E2785" t="inlineStr">
        <is>
          <t>LEKSAND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19346-2025</t>
        </is>
      </c>
      <c r="B2786" s="1" t="n">
        <v>45769.60106481481</v>
      </c>
      <c r="C2786" s="1" t="n">
        <v>46114</v>
      </c>
      <c r="D2786" t="inlineStr">
        <is>
          <t>DALARNAS LÄN</t>
        </is>
      </c>
      <c r="E2786" t="inlineStr">
        <is>
          <t>GAGNEF</t>
        </is>
      </c>
      <c r="G2786" t="n">
        <v>4.1</v>
      </c>
      <c r="H2786" t="n">
        <v>0</v>
      </c>
      <c r="I2786" t="n">
        <v>0</v>
      </c>
      <c r="J2786" t="n">
        <v>0</v>
      </c>
      <c r="K2786" t="n">
        <v>0</v>
      </c>
      <c r="L2786" t="n">
        <v>0</v>
      </c>
      <c r="M2786" t="n">
        <v>0</v>
      </c>
      <c r="N2786" t="n">
        <v>0</v>
      </c>
      <c r="O2786" t="n">
        <v>0</v>
      </c>
      <c r="P2786" t="n">
        <v>0</v>
      </c>
      <c r="Q2786" t="n">
        <v>0</v>
      </c>
      <c r="R2786" s="2" t="inlineStr"/>
    </row>
    <row r="2787" ht="15" customHeight="1">
      <c r="A2787" t="inlineStr">
        <is>
          <t>A 38560-2023</t>
        </is>
      </c>
      <c r="B2787" s="1" t="n">
        <v>45162.60524305556</v>
      </c>
      <c r="C2787" s="1" t="n">
        <v>46114</v>
      </c>
      <c r="D2787" t="inlineStr">
        <is>
          <t>DALARNAS LÄN</t>
        </is>
      </c>
      <c r="E2787" t="inlineStr">
        <is>
          <t>MALUNG-SÄLEN</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9672-2024</t>
        </is>
      </c>
      <c r="B2788" s="1" t="n">
        <v>45362.46164351852</v>
      </c>
      <c r="C2788" s="1" t="n">
        <v>46114</v>
      </c>
      <c r="D2788" t="inlineStr">
        <is>
          <t>DALARNAS LÄN</t>
        </is>
      </c>
      <c r="E2788" t="inlineStr">
        <is>
          <t>RÄTTVIK</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24959-2024</t>
        </is>
      </c>
      <c r="B2789" s="1" t="n">
        <v>45461.64259259259</v>
      </c>
      <c r="C2789" s="1" t="n">
        <v>46114</v>
      </c>
      <c r="D2789" t="inlineStr">
        <is>
          <t>DALARNAS LÄN</t>
        </is>
      </c>
      <c r="E2789" t="inlineStr">
        <is>
          <t>MALUNG-SÄLEN</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24962-2024</t>
        </is>
      </c>
      <c r="B2790" s="1" t="n">
        <v>45461.64377314815</v>
      </c>
      <c r="C2790" s="1" t="n">
        <v>46114</v>
      </c>
      <c r="D2790" t="inlineStr">
        <is>
          <t>DALARNAS LÄN</t>
        </is>
      </c>
      <c r="E2790" t="inlineStr">
        <is>
          <t>MALUNG-SÄLEN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61279-2023</t>
        </is>
      </c>
      <c r="B2791" s="1" t="n">
        <v>45264.5270949074</v>
      </c>
      <c r="C2791" s="1" t="n">
        <v>46114</v>
      </c>
      <c r="D2791" t="inlineStr">
        <is>
          <t>DALARNAS LÄN</t>
        </is>
      </c>
      <c r="E2791" t="inlineStr">
        <is>
          <t>ORSA</t>
        </is>
      </c>
      <c r="G2791" t="n">
        <v>0.2</v>
      </c>
      <c r="H2791" t="n">
        <v>0</v>
      </c>
      <c r="I2791" t="n">
        <v>0</v>
      </c>
      <c r="J2791" t="n">
        <v>0</v>
      </c>
      <c r="K2791" t="n">
        <v>0</v>
      </c>
      <c r="L2791" t="n">
        <v>0</v>
      </c>
      <c r="M2791" t="n">
        <v>0</v>
      </c>
      <c r="N2791" t="n">
        <v>0</v>
      </c>
      <c r="O2791" t="n">
        <v>0</v>
      </c>
      <c r="P2791" t="n">
        <v>0</v>
      </c>
      <c r="Q2791" t="n">
        <v>0</v>
      </c>
      <c r="R2791" s="2" t="inlineStr"/>
    </row>
    <row r="2792" ht="15" customHeight="1">
      <c r="A2792" t="inlineStr">
        <is>
          <t>A 61378-2023</t>
        </is>
      </c>
      <c r="B2792" s="1" t="n">
        <v>45264</v>
      </c>
      <c r="C2792" s="1" t="n">
        <v>46114</v>
      </c>
      <c r="D2792" t="inlineStr">
        <is>
          <t>DALARNAS LÄN</t>
        </is>
      </c>
      <c r="E2792" t="inlineStr">
        <is>
          <t>SMEDJEBACKEN</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60683-2024</t>
        </is>
      </c>
      <c r="B2793" s="1" t="n">
        <v>45644.46488425926</v>
      </c>
      <c r="C2793" s="1" t="n">
        <v>46114</v>
      </c>
      <c r="D2793" t="inlineStr">
        <is>
          <t>DALARNAS LÄN</t>
        </is>
      </c>
      <c r="E2793" t="inlineStr">
        <is>
          <t>SMEDJEBACKEN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60740-2024</t>
        </is>
      </c>
      <c r="B2794" s="1" t="n">
        <v>45644</v>
      </c>
      <c r="C2794" s="1" t="n">
        <v>46114</v>
      </c>
      <c r="D2794" t="inlineStr">
        <is>
          <t>DALARNAS LÄN</t>
        </is>
      </c>
      <c r="E2794" t="inlineStr">
        <is>
          <t>BORLÄNGE</t>
        </is>
      </c>
      <c r="G2794" t="n">
        <v>4.3</v>
      </c>
      <c r="H2794" t="n">
        <v>0</v>
      </c>
      <c r="I2794" t="n">
        <v>0</v>
      </c>
      <c r="J2794" t="n">
        <v>0</v>
      </c>
      <c r="K2794" t="n">
        <v>0</v>
      </c>
      <c r="L2794" t="n">
        <v>0</v>
      </c>
      <c r="M2794" t="n">
        <v>0</v>
      </c>
      <c r="N2794" t="n">
        <v>0</v>
      </c>
      <c r="O2794" t="n">
        <v>0</v>
      </c>
      <c r="P2794" t="n">
        <v>0</v>
      </c>
      <c r="Q2794" t="n">
        <v>0</v>
      </c>
      <c r="R2794" s="2" t="inlineStr"/>
    </row>
    <row r="2795" ht="15" customHeight="1">
      <c r="A2795" t="inlineStr">
        <is>
          <t>A 44491-2023</t>
        </is>
      </c>
      <c r="B2795" s="1" t="n">
        <v>45183</v>
      </c>
      <c r="C2795" s="1" t="n">
        <v>46114</v>
      </c>
      <c r="D2795" t="inlineStr">
        <is>
          <t>DALARNAS LÄN</t>
        </is>
      </c>
      <c r="E2795" t="inlineStr">
        <is>
          <t>LEKSAND</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46943-2023</t>
        </is>
      </c>
      <c r="B2796" s="1" t="n">
        <v>45201.42883101852</v>
      </c>
      <c r="C2796" s="1" t="n">
        <v>46114</v>
      </c>
      <c r="D2796" t="inlineStr">
        <is>
          <t>DALARNAS LÄN</t>
        </is>
      </c>
      <c r="E2796" t="inlineStr">
        <is>
          <t>RÄTTVIK</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62622-2022</t>
        </is>
      </c>
      <c r="B2797" s="1" t="n">
        <v>44925</v>
      </c>
      <c r="C2797" s="1" t="n">
        <v>46114</v>
      </c>
      <c r="D2797" t="inlineStr">
        <is>
          <t>DALARNAS LÄN</t>
        </is>
      </c>
      <c r="E2797" t="inlineStr">
        <is>
          <t>VANSBRO</t>
        </is>
      </c>
      <c r="F2797" t="inlineStr">
        <is>
          <t>Bergvik skog väst AB</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44119-2022</t>
        </is>
      </c>
      <c r="B2798" s="1" t="n">
        <v>44839.39157407408</v>
      </c>
      <c r="C2798" s="1" t="n">
        <v>46114</v>
      </c>
      <c r="D2798" t="inlineStr">
        <is>
          <t>DALARNAS LÄN</t>
        </is>
      </c>
      <c r="E2798" t="inlineStr">
        <is>
          <t>ÄLVDALEN</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2906-2022</t>
        </is>
      </c>
      <c r="B2799" s="1" t="n">
        <v>44581</v>
      </c>
      <c r="C2799" s="1" t="n">
        <v>46114</v>
      </c>
      <c r="D2799" t="inlineStr">
        <is>
          <t>DALARNAS LÄN</t>
        </is>
      </c>
      <c r="E2799" t="inlineStr">
        <is>
          <t>FALUN</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16522-2025</t>
        </is>
      </c>
      <c r="B2800" s="1" t="n">
        <v>45751.63969907408</v>
      </c>
      <c r="C2800" s="1" t="n">
        <v>46114</v>
      </c>
      <c r="D2800" t="inlineStr">
        <is>
          <t>DALARNAS LÄN</t>
        </is>
      </c>
      <c r="E2800" t="inlineStr">
        <is>
          <t>AVESTA</t>
        </is>
      </c>
      <c r="G2800" t="n">
        <v>0.3</v>
      </c>
      <c r="H2800" t="n">
        <v>0</v>
      </c>
      <c r="I2800" t="n">
        <v>0</v>
      </c>
      <c r="J2800" t="n">
        <v>0</v>
      </c>
      <c r="K2800" t="n">
        <v>0</v>
      </c>
      <c r="L2800" t="n">
        <v>0</v>
      </c>
      <c r="M2800" t="n">
        <v>0</v>
      </c>
      <c r="N2800" t="n">
        <v>0</v>
      </c>
      <c r="O2800" t="n">
        <v>0</v>
      </c>
      <c r="P2800" t="n">
        <v>0</v>
      </c>
      <c r="Q2800" t="n">
        <v>0</v>
      </c>
      <c r="R2800" s="2" t="inlineStr"/>
    </row>
    <row r="2801" ht="15" customHeight="1">
      <c r="A2801" t="inlineStr">
        <is>
          <t>A 48715-2022</t>
        </is>
      </c>
      <c r="B2801" s="1" t="n">
        <v>44859.49887731481</v>
      </c>
      <c r="C2801" s="1" t="n">
        <v>46114</v>
      </c>
      <c r="D2801" t="inlineStr">
        <is>
          <t>DALARNAS LÄN</t>
        </is>
      </c>
      <c r="E2801" t="inlineStr">
        <is>
          <t>LUDVIKA</t>
        </is>
      </c>
      <c r="F2801" t="inlineStr">
        <is>
          <t>Naturvårdsverket</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36494-2022</t>
        </is>
      </c>
      <c r="B2802" s="1" t="n">
        <v>44804.47018518519</v>
      </c>
      <c r="C2802" s="1" t="n">
        <v>46114</v>
      </c>
      <c r="D2802" t="inlineStr">
        <is>
          <t>DALARNAS LÄN</t>
        </is>
      </c>
      <c r="E2802" t="inlineStr">
        <is>
          <t>MALUNG-SÄLEN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59995-2023</t>
        </is>
      </c>
      <c r="B2803" s="1" t="n">
        <v>45254</v>
      </c>
      <c r="C2803" s="1" t="n">
        <v>46114</v>
      </c>
      <c r="D2803" t="inlineStr">
        <is>
          <t>DALARNAS LÄN</t>
        </is>
      </c>
      <c r="E2803" t="inlineStr">
        <is>
          <t>MORA</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60024-2023</t>
        </is>
      </c>
      <c r="B2804" s="1" t="n">
        <v>45258</v>
      </c>
      <c r="C2804" s="1" t="n">
        <v>46114</v>
      </c>
      <c r="D2804" t="inlineStr">
        <is>
          <t>DALARNAS LÄN</t>
        </is>
      </c>
      <c r="E2804" t="inlineStr">
        <is>
          <t>LEKSAND</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56445-2024</t>
        </is>
      </c>
      <c r="B2805" s="1" t="n">
        <v>45625.42575231481</v>
      </c>
      <c r="C2805" s="1" t="n">
        <v>46114</v>
      </c>
      <c r="D2805" t="inlineStr">
        <is>
          <t>DALARNAS LÄN</t>
        </is>
      </c>
      <c r="E2805" t="inlineStr">
        <is>
          <t>LUDVIKA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14698-2025</t>
        </is>
      </c>
      <c r="B2806" s="1" t="n">
        <v>45742.59943287037</v>
      </c>
      <c r="C2806" s="1" t="n">
        <v>46114</v>
      </c>
      <c r="D2806" t="inlineStr">
        <is>
          <t>DALARNAS LÄN</t>
        </is>
      </c>
      <c r="E2806" t="inlineStr">
        <is>
          <t>RÄTTVIK</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14701-2025</t>
        </is>
      </c>
      <c r="B2807" s="1" t="n">
        <v>45742.60391203704</v>
      </c>
      <c r="C2807" s="1" t="n">
        <v>46114</v>
      </c>
      <c r="D2807" t="inlineStr">
        <is>
          <t>DALARNAS LÄN</t>
        </is>
      </c>
      <c r="E2807" t="inlineStr">
        <is>
          <t>RÄTTVIK</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16392-2024</t>
        </is>
      </c>
      <c r="B2808" s="1" t="n">
        <v>45407.62380787037</v>
      </c>
      <c r="C2808" s="1" t="n">
        <v>46114</v>
      </c>
      <c r="D2808" t="inlineStr">
        <is>
          <t>DALARNAS LÄN</t>
        </is>
      </c>
      <c r="E2808" t="inlineStr">
        <is>
          <t>ORSA</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16413-2024</t>
        </is>
      </c>
      <c r="B2809" s="1" t="n">
        <v>45407.64223379629</v>
      </c>
      <c r="C2809" s="1" t="n">
        <v>46114</v>
      </c>
      <c r="D2809" t="inlineStr">
        <is>
          <t>DALARNAS LÄN</t>
        </is>
      </c>
      <c r="E2809" t="inlineStr">
        <is>
          <t>HEDEMORA</t>
        </is>
      </c>
      <c r="F2809" t="inlineStr">
        <is>
          <t>Sveaskog</t>
        </is>
      </c>
      <c r="G2809" t="n">
        <v>0.4</v>
      </c>
      <c r="H2809" t="n">
        <v>0</v>
      </c>
      <c r="I2809" t="n">
        <v>0</v>
      </c>
      <c r="J2809" t="n">
        <v>0</v>
      </c>
      <c r="K2809" t="n">
        <v>0</v>
      </c>
      <c r="L2809" t="n">
        <v>0</v>
      </c>
      <c r="M2809" t="n">
        <v>0</v>
      </c>
      <c r="N2809" t="n">
        <v>0</v>
      </c>
      <c r="O2809" t="n">
        <v>0</v>
      </c>
      <c r="P2809" t="n">
        <v>0</v>
      </c>
      <c r="Q2809" t="n">
        <v>0</v>
      </c>
      <c r="R2809" s="2" t="inlineStr"/>
    </row>
    <row r="2810" ht="15" customHeight="1">
      <c r="A2810" t="inlineStr">
        <is>
          <t>A 10268-2024</t>
        </is>
      </c>
      <c r="B2810" s="1" t="n">
        <v>45365.44188657407</v>
      </c>
      <c r="C2810" s="1" t="n">
        <v>46114</v>
      </c>
      <c r="D2810" t="inlineStr">
        <is>
          <t>DALARNAS LÄN</t>
        </is>
      </c>
      <c r="E2810" t="inlineStr">
        <is>
          <t>FALUN</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59826-2023</t>
        </is>
      </c>
      <c r="B2811" s="1" t="n">
        <v>45254</v>
      </c>
      <c r="C2811" s="1" t="n">
        <v>46114</v>
      </c>
      <c r="D2811" t="inlineStr">
        <is>
          <t>DALARNAS LÄN</t>
        </is>
      </c>
      <c r="E2811" t="inlineStr">
        <is>
          <t>LEKSAND</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17779-2021</t>
        </is>
      </c>
      <c r="B2812" s="1" t="n">
        <v>44300.60414351852</v>
      </c>
      <c r="C2812" s="1" t="n">
        <v>46114</v>
      </c>
      <c r="D2812" t="inlineStr">
        <is>
          <t>DALARNAS LÄN</t>
        </is>
      </c>
      <c r="E2812" t="inlineStr">
        <is>
          <t>RÄTTVIK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3342-2022</t>
        </is>
      </c>
      <c r="B2813" s="1" t="n">
        <v>44585</v>
      </c>
      <c r="C2813" s="1" t="n">
        <v>46114</v>
      </c>
      <c r="D2813" t="inlineStr">
        <is>
          <t>DALARNAS LÄN</t>
        </is>
      </c>
      <c r="E2813" t="inlineStr">
        <is>
          <t>SÄTER</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37280-2024</t>
        </is>
      </c>
      <c r="B2814" s="1" t="n">
        <v>45540.42568287037</v>
      </c>
      <c r="C2814" s="1" t="n">
        <v>46114</v>
      </c>
      <c r="D2814" t="inlineStr">
        <is>
          <t>DALARNAS LÄN</t>
        </is>
      </c>
      <c r="E2814" t="inlineStr">
        <is>
          <t>MALUNG-SÄLEN</t>
        </is>
      </c>
      <c r="F2814" t="inlineStr">
        <is>
          <t>Bergvik skog öst AB</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28913-2024</t>
        </is>
      </c>
      <c r="B2815" s="1" t="n">
        <v>45480.75318287037</v>
      </c>
      <c r="C2815" s="1" t="n">
        <v>46114</v>
      </c>
      <c r="D2815" t="inlineStr">
        <is>
          <t>DALARNAS LÄN</t>
        </is>
      </c>
      <c r="E2815" t="inlineStr">
        <is>
          <t>LEKSAND</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11426-2022</t>
        </is>
      </c>
      <c r="B2816" s="1" t="n">
        <v>44630</v>
      </c>
      <c r="C2816" s="1" t="n">
        <v>46114</v>
      </c>
      <c r="D2816" t="inlineStr">
        <is>
          <t>DALARNAS LÄN</t>
        </is>
      </c>
      <c r="E2816" t="inlineStr">
        <is>
          <t>SMEDJEBACKEN</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63371-2023</t>
        </is>
      </c>
      <c r="B2817" s="1" t="n">
        <v>45274.47642361111</v>
      </c>
      <c r="C2817" s="1" t="n">
        <v>46114</v>
      </c>
      <c r="D2817" t="inlineStr">
        <is>
          <t>DALARNAS LÄN</t>
        </is>
      </c>
      <c r="E2817" t="inlineStr">
        <is>
          <t>ORSA</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25590-2024</t>
        </is>
      </c>
      <c r="B2818" s="1" t="n">
        <v>45463</v>
      </c>
      <c r="C2818" s="1" t="n">
        <v>46114</v>
      </c>
      <c r="D2818" t="inlineStr">
        <is>
          <t>DALARNAS LÄN</t>
        </is>
      </c>
      <c r="E2818" t="inlineStr">
        <is>
          <t>FALUN</t>
        </is>
      </c>
      <c r="G2818" t="n">
        <v>12.2</v>
      </c>
      <c r="H2818" t="n">
        <v>0</v>
      </c>
      <c r="I2818" t="n">
        <v>0</v>
      </c>
      <c r="J2818" t="n">
        <v>0</v>
      </c>
      <c r="K2818" t="n">
        <v>0</v>
      </c>
      <c r="L2818" t="n">
        <v>0</v>
      </c>
      <c r="M2818" t="n">
        <v>0</v>
      </c>
      <c r="N2818" t="n">
        <v>0</v>
      </c>
      <c r="O2818" t="n">
        <v>0</v>
      </c>
      <c r="P2818" t="n">
        <v>0</v>
      </c>
      <c r="Q2818" t="n">
        <v>0</v>
      </c>
      <c r="R2818" s="2" t="inlineStr"/>
    </row>
    <row r="2819" ht="15" customHeight="1">
      <c r="A2819" t="inlineStr">
        <is>
          <t>A 1509-2024</t>
        </is>
      </c>
      <c r="B2819" s="1" t="n">
        <v>45306</v>
      </c>
      <c r="C2819" s="1" t="n">
        <v>46114</v>
      </c>
      <c r="D2819" t="inlineStr">
        <is>
          <t>DALARNAS LÄN</t>
        </is>
      </c>
      <c r="E2819" t="inlineStr">
        <is>
          <t>FALUN</t>
        </is>
      </c>
      <c r="G2819" t="n">
        <v>5.7</v>
      </c>
      <c r="H2819" t="n">
        <v>0</v>
      </c>
      <c r="I2819" t="n">
        <v>0</v>
      </c>
      <c r="J2819" t="n">
        <v>0</v>
      </c>
      <c r="K2819" t="n">
        <v>0</v>
      </c>
      <c r="L2819" t="n">
        <v>0</v>
      </c>
      <c r="M2819" t="n">
        <v>0</v>
      </c>
      <c r="N2819" t="n">
        <v>0</v>
      </c>
      <c r="O2819" t="n">
        <v>0</v>
      </c>
      <c r="P2819" t="n">
        <v>0</v>
      </c>
      <c r="Q2819" t="n">
        <v>0</v>
      </c>
      <c r="R2819" s="2" t="inlineStr"/>
    </row>
    <row r="2820" ht="15" customHeight="1">
      <c r="A2820" t="inlineStr">
        <is>
          <t>A 24465-2021</t>
        </is>
      </c>
      <c r="B2820" s="1" t="n">
        <v>44337</v>
      </c>
      <c r="C2820" s="1" t="n">
        <v>46114</v>
      </c>
      <c r="D2820" t="inlineStr">
        <is>
          <t>DALARNAS LÄN</t>
        </is>
      </c>
      <c r="E2820" t="inlineStr">
        <is>
          <t>MORA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45559-2024</t>
        </is>
      </c>
      <c r="B2821" s="1" t="n">
        <v>45579.35708333334</v>
      </c>
      <c r="C2821" s="1" t="n">
        <v>46114</v>
      </c>
      <c r="D2821" t="inlineStr">
        <is>
          <t>DALARNAS LÄN</t>
        </is>
      </c>
      <c r="E2821" t="inlineStr">
        <is>
          <t>LUDVIKA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39006-2024</t>
        </is>
      </c>
      <c r="B2822" s="1" t="n">
        <v>45548.42846064815</v>
      </c>
      <c r="C2822" s="1" t="n">
        <v>46114</v>
      </c>
      <c r="D2822" t="inlineStr">
        <is>
          <t>DALARNAS LÄN</t>
        </is>
      </c>
      <c r="E2822" t="inlineStr">
        <is>
          <t>ÄLVDALEN</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1047-2023</t>
        </is>
      </c>
      <c r="B2823" s="1" t="n">
        <v>44929</v>
      </c>
      <c r="C2823" s="1" t="n">
        <v>46114</v>
      </c>
      <c r="D2823" t="inlineStr">
        <is>
          <t>DALARNAS LÄN</t>
        </is>
      </c>
      <c r="E2823" t="inlineStr">
        <is>
          <t>LUDVIKA</t>
        </is>
      </c>
      <c r="F2823" t="inlineStr">
        <is>
          <t>Kommuner</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61270-2024</t>
        </is>
      </c>
      <c r="B2824" s="1" t="n">
        <v>45645.74694444444</v>
      </c>
      <c r="C2824" s="1" t="n">
        <v>46114</v>
      </c>
      <c r="D2824" t="inlineStr">
        <is>
          <t>DALARNAS LÄN</t>
        </is>
      </c>
      <c r="E2824" t="inlineStr">
        <is>
          <t>MORA</t>
        </is>
      </c>
      <c r="G2824" t="n">
        <v>5.1</v>
      </c>
      <c r="H2824" t="n">
        <v>0</v>
      </c>
      <c r="I2824" t="n">
        <v>0</v>
      </c>
      <c r="J2824" t="n">
        <v>0</v>
      </c>
      <c r="K2824" t="n">
        <v>0</v>
      </c>
      <c r="L2824" t="n">
        <v>0</v>
      </c>
      <c r="M2824" t="n">
        <v>0</v>
      </c>
      <c r="N2824" t="n">
        <v>0</v>
      </c>
      <c r="O2824" t="n">
        <v>0</v>
      </c>
      <c r="P2824" t="n">
        <v>0</v>
      </c>
      <c r="Q2824" t="n">
        <v>0</v>
      </c>
      <c r="R2824" s="2" t="inlineStr"/>
    </row>
    <row r="2825" ht="15" customHeight="1">
      <c r="A2825" t="inlineStr">
        <is>
          <t>A 14617-2024</t>
        </is>
      </c>
      <c r="B2825" s="1" t="n">
        <v>45397</v>
      </c>
      <c r="C2825" s="1" t="n">
        <v>46114</v>
      </c>
      <c r="D2825" t="inlineStr">
        <is>
          <t>DALARNAS LÄN</t>
        </is>
      </c>
      <c r="E2825" t="inlineStr">
        <is>
          <t>LEKSAND</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33408-2024</t>
        </is>
      </c>
      <c r="B2826" s="1" t="n">
        <v>45519.49454861111</v>
      </c>
      <c r="C2826" s="1" t="n">
        <v>46114</v>
      </c>
      <c r="D2826" t="inlineStr">
        <is>
          <t>DALARNAS LÄN</t>
        </is>
      </c>
      <c r="E2826" t="inlineStr">
        <is>
          <t>FALUN</t>
        </is>
      </c>
      <c r="F2826" t="inlineStr">
        <is>
          <t>Bergvik skog väst AB</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61276-2024</t>
        </is>
      </c>
      <c r="B2827" s="1" t="n">
        <v>45644</v>
      </c>
      <c r="C2827" s="1" t="n">
        <v>46114</v>
      </c>
      <c r="D2827" t="inlineStr">
        <is>
          <t>DALARNAS LÄN</t>
        </is>
      </c>
      <c r="E2827" t="inlineStr">
        <is>
          <t>RÄTTVIK</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61312-2024</t>
        </is>
      </c>
      <c r="B2828" s="1" t="n">
        <v>45646.30297453704</v>
      </c>
      <c r="C2828" s="1" t="n">
        <v>46114</v>
      </c>
      <c r="D2828" t="inlineStr">
        <is>
          <t>DALARNAS LÄN</t>
        </is>
      </c>
      <c r="E2828" t="inlineStr">
        <is>
          <t>MALUNG-SÄLEN</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53067-2024</t>
        </is>
      </c>
      <c r="B2829" s="1" t="n">
        <v>45611.47604166667</v>
      </c>
      <c r="C2829" s="1" t="n">
        <v>46114</v>
      </c>
      <c r="D2829" t="inlineStr">
        <is>
          <t>DALARNAS LÄN</t>
        </is>
      </c>
      <c r="E2829" t="inlineStr">
        <is>
          <t>FALUN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22270-2023</t>
        </is>
      </c>
      <c r="B2830" s="1" t="n">
        <v>45070.39284722223</v>
      </c>
      <c r="C2830" s="1" t="n">
        <v>46114</v>
      </c>
      <c r="D2830" t="inlineStr">
        <is>
          <t>DALARNAS LÄN</t>
        </is>
      </c>
      <c r="E2830" t="inlineStr">
        <is>
          <t>HEDEMORA</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49565-2022</t>
        </is>
      </c>
      <c r="B2831" s="1" t="n">
        <v>44862</v>
      </c>
      <c r="C2831" s="1" t="n">
        <v>46114</v>
      </c>
      <c r="D2831" t="inlineStr">
        <is>
          <t>DALARNAS LÄN</t>
        </is>
      </c>
      <c r="E2831" t="inlineStr">
        <is>
          <t>VANSBRO</t>
        </is>
      </c>
      <c r="F2831" t="inlineStr">
        <is>
          <t>Bergvik skog väst AB</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61614-2023</t>
        </is>
      </c>
      <c r="B2832" s="1" t="n">
        <v>45261</v>
      </c>
      <c r="C2832" s="1" t="n">
        <v>46114</v>
      </c>
      <c r="D2832" t="inlineStr">
        <is>
          <t>DALARNAS LÄN</t>
        </is>
      </c>
      <c r="E2832" t="inlineStr">
        <is>
          <t>LEKSAND</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6177-2025</t>
        </is>
      </c>
      <c r="B2833" s="1" t="n">
        <v>45698.44792824074</v>
      </c>
      <c r="C2833" s="1" t="n">
        <v>46114</v>
      </c>
      <c r="D2833" t="inlineStr">
        <is>
          <t>DALARNAS LÄN</t>
        </is>
      </c>
      <c r="E2833" t="inlineStr">
        <is>
          <t>SMEDJEBACKEN</t>
        </is>
      </c>
      <c r="G2833" t="n">
        <v>3.1</v>
      </c>
      <c r="H2833" t="n">
        <v>0</v>
      </c>
      <c r="I2833" t="n">
        <v>0</v>
      </c>
      <c r="J2833" t="n">
        <v>0</v>
      </c>
      <c r="K2833" t="n">
        <v>0</v>
      </c>
      <c r="L2833" t="n">
        <v>0</v>
      </c>
      <c r="M2833" t="n">
        <v>0</v>
      </c>
      <c r="N2833" t="n">
        <v>0</v>
      </c>
      <c r="O2833" t="n">
        <v>0</v>
      </c>
      <c r="P2833" t="n">
        <v>0</v>
      </c>
      <c r="Q2833" t="n">
        <v>0</v>
      </c>
      <c r="R2833" s="2" t="inlineStr"/>
    </row>
    <row r="2834" ht="15" customHeight="1">
      <c r="A2834" t="inlineStr">
        <is>
          <t>A 22772-2023</t>
        </is>
      </c>
      <c r="B2834" s="1" t="n">
        <v>45072</v>
      </c>
      <c r="C2834" s="1" t="n">
        <v>46114</v>
      </c>
      <c r="D2834" t="inlineStr">
        <is>
          <t>DALARNAS LÄN</t>
        </is>
      </c>
      <c r="E2834" t="inlineStr">
        <is>
          <t>MALUNG-SÄLEN</t>
        </is>
      </c>
      <c r="F2834" t="inlineStr">
        <is>
          <t>Bergvik skog öst AB</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60945-2024</t>
        </is>
      </c>
      <c r="B2835" s="1" t="n">
        <v>45645.37893518519</v>
      </c>
      <c r="C2835" s="1" t="n">
        <v>46114</v>
      </c>
      <c r="D2835" t="inlineStr">
        <is>
          <t>DALARNAS LÄN</t>
        </is>
      </c>
      <c r="E2835" t="inlineStr">
        <is>
          <t>LEKSAND</t>
        </is>
      </c>
      <c r="G2835" t="n">
        <v>2.2</v>
      </c>
      <c r="H2835" t="n">
        <v>0</v>
      </c>
      <c r="I2835" t="n">
        <v>0</v>
      </c>
      <c r="J2835" t="n">
        <v>0</v>
      </c>
      <c r="K2835" t="n">
        <v>0</v>
      </c>
      <c r="L2835" t="n">
        <v>0</v>
      </c>
      <c r="M2835" t="n">
        <v>0</v>
      </c>
      <c r="N2835" t="n">
        <v>0</v>
      </c>
      <c r="O2835" t="n">
        <v>0</v>
      </c>
      <c r="P2835" t="n">
        <v>0</v>
      </c>
      <c r="Q2835" t="n">
        <v>0</v>
      </c>
      <c r="R2835" s="2" t="inlineStr"/>
    </row>
    <row r="2836" ht="15" customHeight="1">
      <c r="A2836" t="inlineStr">
        <is>
          <t>A 64788-2023</t>
        </is>
      </c>
      <c r="B2836" s="1" t="n">
        <v>45282</v>
      </c>
      <c r="C2836" s="1" t="n">
        <v>46114</v>
      </c>
      <c r="D2836" t="inlineStr">
        <is>
          <t>DALARNAS LÄN</t>
        </is>
      </c>
      <c r="E2836" t="inlineStr">
        <is>
          <t>SÄTER</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43916-2024</t>
        </is>
      </c>
      <c r="B2837" s="1" t="n">
        <v>45572.43674768518</v>
      </c>
      <c r="C2837" s="1" t="n">
        <v>46114</v>
      </c>
      <c r="D2837" t="inlineStr">
        <is>
          <t>DALARNAS LÄN</t>
        </is>
      </c>
      <c r="E2837" t="inlineStr">
        <is>
          <t>GAGNEF</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55735-2023</t>
        </is>
      </c>
      <c r="B2838" s="1" t="n">
        <v>45239.43166666666</v>
      </c>
      <c r="C2838" s="1" t="n">
        <v>46114</v>
      </c>
      <c r="D2838" t="inlineStr">
        <is>
          <t>DALARNAS LÄN</t>
        </is>
      </c>
      <c r="E2838" t="inlineStr">
        <is>
          <t>BORLÄNGE</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48589-2023</t>
        </is>
      </c>
      <c r="B2839" s="1" t="n">
        <v>45208</v>
      </c>
      <c r="C2839" s="1" t="n">
        <v>46114</v>
      </c>
      <c r="D2839" t="inlineStr">
        <is>
          <t>DALARNAS LÄN</t>
        </is>
      </c>
      <c r="E2839" t="inlineStr">
        <is>
          <t>LUDVIKA</t>
        </is>
      </c>
      <c r="F2839" t="inlineStr">
        <is>
          <t>Naturvårdsverket</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48606-2023</t>
        </is>
      </c>
      <c r="B2840" s="1" t="n">
        <v>45208.53342592593</v>
      </c>
      <c r="C2840" s="1" t="n">
        <v>46114</v>
      </c>
      <c r="D2840" t="inlineStr">
        <is>
          <t>DALARNAS LÄN</t>
        </is>
      </c>
      <c r="E2840" t="inlineStr">
        <is>
          <t>BORLÄNGE</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23804-2024</t>
        </is>
      </c>
      <c r="B2841" s="1" t="n">
        <v>45455.44012731482</v>
      </c>
      <c r="C2841" s="1" t="n">
        <v>46114</v>
      </c>
      <c r="D2841" t="inlineStr">
        <is>
          <t>DALARNAS LÄN</t>
        </is>
      </c>
      <c r="E2841" t="inlineStr">
        <is>
          <t>SÄTER</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61919-2024</t>
        </is>
      </c>
      <c r="B2842" s="1" t="n">
        <v>45653.4371875</v>
      </c>
      <c r="C2842" s="1" t="n">
        <v>46114</v>
      </c>
      <c r="D2842" t="inlineStr">
        <is>
          <t>DALARNAS LÄN</t>
        </is>
      </c>
      <c r="E2842" t="inlineStr">
        <is>
          <t>RÄTTVIK</t>
        </is>
      </c>
      <c r="F2842" t="inlineStr">
        <is>
          <t>Kommuner</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51857-2022</t>
        </is>
      </c>
      <c r="B2843" s="1" t="n">
        <v>44867</v>
      </c>
      <c r="C2843" s="1" t="n">
        <v>46114</v>
      </c>
      <c r="D2843" t="inlineStr">
        <is>
          <t>DALARNAS LÄN</t>
        </is>
      </c>
      <c r="E2843" t="inlineStr">
        <is>
          <t>LEKSAND</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51870-2022</t>
        </is>
      </c>
      <c r="B2844" s="1" t="n">
        <v>44872</v>
      </c>
      <c r="C2844" s="1" t="n">
        <v>46114</v>
      </c>
      <c r="D2844" t="inlineStr">
        <is>
          <t>DALARNAS LÄN</t>
        </is>
      </c>
      <c r="E2844" t="inlineStr">
        <is>
          <t>FALUN</t>
        </is>
      </c>
      <c r="F2844" t="inlineStr">
        <is>
          <t>Bergvik skog väst AB</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47936-2024</t>
        </is>
      </c>
      <c r="B2845" s="1" t="n">
        <v>45589.34738425926</v>
      </c>
      <c r="C2845" s="1" t="n">
        <v>46114</v>
      </c>
      <c r="D2845" t="inlineStr">
        <is>
          <t>DALARNAS LÄN</t>
        </is>
      </c>
      <c r="E2845" t="inlineStr">
        <is>
          <t>ÄLVDALEN</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47956-2024</t>
        </is>
      </c>
      <c r="B2846" s="1" t="n">
        <v>45589.37105324074</v>
      </c>
      <c r="C2846" s="1" t="n">
        <v>46114</v>
      </c>
      <c r="D2846" t="inlineStr">
        <is>
          <t>DALARNAS LÄN</t>
        </is>
      </c>
      <c r="E2846" t="inlineStr">
        <is>
          <t>GAGNEF</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60673-2023</t>
        </is>
      </c>
      <c r="B2847" s="1" t="n">
        <v>45260.46438657407</v>
      </c>
      <c r="C2847" s="1" t="n">
        <v>46114</v>
      </c>
      <c r="D2847" t="inlineStr">
        <is>
          <t>DALARNAS LÄN</t>
        </is>
      </c>
      <c r="E2847" t="inlineStr">
        <is>
          <t>MORA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60692-2023</t>
        </is>
      </c>
      <c r="B2848" s="1" t="n">
        <v>45260.50008101852</v>
      </c>
      <c r="C2848" s="1" t="n">
        <v>46114</v>
      </c>
      <c r="D2848" t="inlineStr">
        <is>
          <t>DALARNAS LÄN</t>
        </is>
      </c>
      <c r="E2848" t="inlineStr">
        <is>
          <t>LEKSAND</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27717-2024</t>
        </is>
      </c>
      <c r="B2849" s="1" t="n">
        <v>45475.38892361111</v>
      </c>
      <c r="C2849" s="1" t="n">
        <v>46114</v>
      </c>
      <c r="D2849" t="inlineStr">
        <is>
          <t>DALARNAS LÄN</t>
        </is>
      </c>
      <c r="E2849" t="inlineStr">
        <is>
          <t>BORLÄNGE</t>
        </is>
      </c>
      <c r="G2849" t="n">
        <v>2.7</v>
      </c>
      <c r="H2849" t="n">
        <v>0</v>
      </c>
      <c r="I2849" t="n">
        <v>0</v>
      </c>
      <c r="J2849" t="n">
        <v>0</v>
      </c>
      <c r="K2849" t="n">
        <v>0</v>
      </c>
      <c r="L2849" t="n">
        <v>0</v>
      </c>
      <c r="M2849" t="n">
        <v>0</v>
      </c>
      <c r="N2849" t="n">
        <v>0</v>
      </c>
      <c r="O2849" t="n">
        <v>0</v>
      </c>
      <c r="P2849" t="n">
        <v>0</v>
      </c>
      <c r="Q2849" t="n">
        <v>0</v>
      </c>
      <c r="R2849" s="2" t="inlineStr"/>
    </row>
    <row r="2850" ht="15" customHeight="1">
      <c r="A2850" t="inlineStr">
        <is>
          <t>A 11136-2023</t>
        </is>
      </c>
      <c r="B2850" s="1" t="n">
        <v>44992</v>
      </c>
      <c r="C2850" s="1" t="n">
        <v>46114</v>
      </c>
      <c r="D2850" t="inlineStr">
        <is>
          <t>DALARNAS LÄN</t>
        </is>
      </c>
      <c r="E2850" t="inlineStr">
        <is>
          <t>BORLÄNGE</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11138-2023</t>
        </is>
      </c>
      <c r="B2851" s="1" t="n">
        <v>44992</v>
      </c>
      <c r="C2851" s="1" t="n">
        <v>46114</v>
      </c>
      <c r="D2851" t="inlineStr">
        <is>
          <t>DALARNAS LÄN</t>
        </is>
      </c>
      <c r="E2851" t="inlineStr">
        <is>
          <t>BORLÄNGE</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7467-2023</t>
        </is>
      </c>
      <c r="B2852" s="1" t="n">
        <v>44966</v>
      </c>
      <c r="C2852" s="1" t="n">
        <v>46114</v>
      </c>
      <c r="D2852" t="inlineStr">
        <is>
          <t>DALARNAS LÄN</t>
        </is>
      </c>
      <c r="E2852" t="inlineStr">
        <is>
          <t>LEKSAND</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35941-2023</t>
        </is>
      </c>
      <c r="B2853" s="1" t="n">
        <v>45148</v>
      </c>
      <c r="C2853" s="1" t="n">
        <v>46114</v>
      </c>
      <c r="D2853" t="inlineStr">
        <is>
          <t>DALARNAS LÄN</t>
        </is>
      </c>
      <c r="E2853" t="inlineStr">
        <is>
          <t>FALUN</t>
        </is>
      </c>
      <c r="G2853" t="n">
        <v>0.2</v>
      </c>
      <c r="H2853" t="n">
        <v>0</v>
      </c>
      <c r="I2853" t="n">
        <v>0</v>
      </c>
      <c r="J2853" t="n">
        <v>0</v>
      </c>
      <c r="K2853" t="n">
        <v>0</v>
      </c>
      <c r="L2853" t="n">
        <v>0</v>
      </c>
      <c r="M2853" t="n">
        <v>0</v>
      </c>
      <c r="N2853" t="n">
        <v>0</v>
      </c>
      <c r="O2853" t="n">
        <v>0</v>
      </c>
      <c r="P2853" t="n">
        <v>0</v>
      </c>
      <c r="Q2853" t="n">
        <v>0</v>
      </c>
      <c r="R2853" s="2" t="inlineStr"/>
    </row>
    <row r="2854" ht="15" customHeight="1">
      <c r="A2854" t="inlineStr">
        <is>
          <t>A 48623-2024</t>
        </is>
      </c>
      <c r="B2854" s="1" t="n">
        <v>45593.46292824074</v>
      </c>
      <c r="C2854" s="1" t="n">
        <v>46114</v>
      </c>
      <c r="D2854" t="inlineStr">
        <is>
          <t>DALARNAS LÄN</t>
        </is>
      </c>
      <c r="E2854" t="inlineStr">
        <is>
          <t>AVESTA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3900-2024</t>
        </is>
      </c>
      <c r="B2855" s="1" t="n">
        <v>45322</v>
      </c>
      <c r="C2855" s="1" t="n">
        <v>46114</v>
      </c>
      <c r="D2855" t="inlineStr">
        <is>
          <t>DALARNAS LÄN</t>
        </is>
      </c>
      <c r="E2855" t="inlineStr">
        <is>
          <t>ÄLVDALEN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3903-2024</t>
        </is>
      </c>
      <c r="B2856" s="1" t="n">
        <v>45322</v>
      </c>
      <c r="C2856" s="1" t="n">
        <v>46114</v>
      </c>
      <c r="D2856" t="inlineStr">
        <is>
          <t>DALARNAS LÄN</t>
        </is>
      </c>
      <c r="E2856" t="inlineStr">
        <is>
          <t>ÄLVDALEN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3914-2024</t>
        </is>
      </c>
      <c r="B2857" s="1" t="n">
        <v>45322</v>
      </c>
      <c r="C2857" s="1" t="n">
        <v>46114</v>
      </c>
      <c r="D2857" t="inlineStr">
        <is>
          <t>DALARNAS LÄN</t>
        </is>
      </c>
      <c r="E2857" t="inlineStr">
        <is>
          <t>ÄLVDALEN</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55379-2022</t>
        </is>
      </c>
      <c r="B2858" s="1" t="n">
        <v>44882</v>
      </c>
      <c r="C2858" s="1" t="n">
        <v>46114</v>
      </c>
      <c r="D2858" t="inlineStr">
        <is>
          <t>DALARNAS LÄN</t>
        </is>
      </c>
      <c r="E2858" t="inlineStr">
        <is>
          <t>RÄTTVIK</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30342-2023</t>
        </is>
      </c>
      <c r="B2859" s="1" t="n">
        <v>45111</v>
      </c>
      <c r="C2859" s="1" t="n">
        <v>46114</v>
      </c>
      <c r="D2859" t="inlineStr">
        <is>
          <t>DALARNAS LÄN</t>
        </is>
      </c>
      <c r="E2859" t="inlineStr">
        <is>
          <t>VANSBRO</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30502-2021</t>
        </is>
      </c>
      <c r="B2860" s="1" t="n">
        <v>44364.63512731482</v>
      </c>
      <c r="C2860" s="1" t="n">
        <v>46114</v>
      </c>
      <c r="D2860" t="inlineStr">
        <is>
          <t>DALARNAS LÄN</t>
        </is>
      </c>
      <c r="E2860" t="inlineStr">
        <is>
          <t>LUDVIKA</t>
        </is>
      </c>
      <c r="F2860" t="inlineStr">
        <is>
          <t>Bergvik skog väst AB</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64688-2023</t>
        </is>
      </c>
      <c r="B2861" s="1" t="n">
        <v>45281</v>
      </c>
      <c r="C2861" s="1" t="n">
        <v>46114</v>
      </c>
      <c r="D2861" t="inlineStr">
        <is>
          <t>DALARNAS LÄN</t>
        </is>
      </c>
      <c r="E2861" t="inlineStr">
        <is>
          <t>BORLÄNGE</t>
        </is>
      </c>
      <c r="F2861" t="inlineStr">
        <is>
          <t>Kyrkan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24083-2021</t>
        </is>
      </c>
      <c r="B2862" s="1" t="n">
        <v>44336</v>
      </c>
      <c r="C2862" s="1" t="n">
        <v>46114</v>
      </c>
      <c r="D2862" t="inlineStr">
        <is>
          <t>DALARNAS LÄN</t>
        </is>
      </c>
      <c r="E2862" t="inlineStr">
        <is>
          <t>ORSA</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59108-2022</t>
        </is>
      </c>
      <c r="B2863" s="1" t="n">
        <v>44904</v>
      </c>
      <c r="C2863" s="1" t="n">
        <v>46114</v>
      </c>
      <c r="D2863" t="inlineStr">
        <is>
          <t>DALARNAS LÄN</t>
        </is>
      </c>
      <c r="E2863" t="inlineStr">
        <is>
          <t>ÄLVDALEN</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42089-2024</t>
        </is>
      </c>
      <c r="B2864" s="1" t="n">
        <v>45562.34228009259</v>
      </c>
      <c r="C2864" s="1" t="n">
        <v>46114</v>
      </c>
      <c r="D2864" t="inlineStr">
        <is>
          <t>DALARNAS LÄN</t>
        </is>
      </c>
      <c r="E2864" t="inlineStr">
        <is>
          <t>RÄTTVIK</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40943-2024</t>
        </is>
      </c>
      <c r="B2865" s="1" t="n">
        <v>45558.64694444444</v>
      </c>
      <c r="C2865" s="1" t="n">
        <v>46114</v>
      </c>
      <c r="D2865" t="inlineStr">
        <is>
          <t>DALARNAS LÄN</t>
        </is>
      </c>
      <c r="E2865" t="inlineStr">
        <is>
          <t>SMEDJEBACKEN</t>
        </is>
      </c>
      <c r="F2865" t="inlineStr">
        <is>
          <t>Sveaskog</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15535-2023</t>
        </is>
      </c>
      <c r="B2866" s="1" t="n">
        <v>45020.56026620371</v>
      </c>
      <c r="C2866" s="1" t="n">
        <v>46114</v>
      </c>
      <c r="D2866" t="inlineStr">
        <is>
          <t>DALARNAS LÄN</t>
        </is>
      </c>
      <c r="E2866" t="inlineStr">
        <is>
          <t>FALUN</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20349-2021</t>
        </is>
      </c>
      <c r="B2867" s="1" t="n">
        <v>44315.41582175926</v>
      </c>
      <c r="C2867" s="1" t="n">
        <v>46114</v>
      </c>
      <c r="D2867" t="inlineStr">
        <is>
          <t>DALARNAS LÄN</t>
        </is>
      </c>
      <c r="E2867" t="inlineStr">
        <is>
          <t>ORSA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38692-2024</t>
        </is>
      </c>
      <c r="B2868" s="1" t="n">
        <v>45547.35722222222</v>
      </c>
      <c r="C2868" s="1" t="n">
        <v>46114</v>
      </c>
      <c r="D2868" t="inlineStr">
        <is>
          <t>DALARNAS LÄN</t>
        </is>
      </c>
      <c r="E2868" t="inlineStr">
        <is>
          <t>RÄTTVIK</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13633-2023</t>
        </is>
      </c>
      <c r="B2869" s="1" t="n">
        <v>45006</v>
      </c>
      <c r="C2869" s="1" t="n">
        <v>46114</v>
      </c>
      <c r="D2869" t="inlineStr">
        <is>
          <t>DALARNAS LÄN</t>
        </is>
      </c>
      <c r="E2869" t="inlineStr">
        <is>
          <t>SMEDJEBACKEN</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4375-2024</t>
        </is>
      </c>
      <c r="B2870" s="1" t="n">
        <v>45326.74480324074</v>
      </c>
      <c r="C2870" s="1" t="n">
        <v>46114</v>
      </c>
      <c r="D2870" t="inlineStr">
        <is>
          <t>DALARNAS LÄN</t>
        </is>
      </c>
      <c r="E2870" t="inlineStr">
        <is>
          <t>GAGNEF</t>
        </is>
      </c>
      <c r="G2870" t="n">
        <v>9.300000000000001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53090-2024</t>
        </is>
      </c>
      <c r="B2871" s="1" t="n">
        <v>45611.51700231482</v>
      </c>
      <c r="C2871" s="1" t="n">
        <v>46114</v>
      </c>
      <c r="D2871" t="inlineStr">
        <is>
          <t>DALARNAS LÄN</t>
        </is>
      </c>
      <c r="E2871" t="inlineStr">
        <is>
          <t>FALUN</t>
        </is>
      </c>
      <c r="F2871" t="inlineStr">
        <is>
          <t>Bergvik skog väst AB</t>
        </is>
      </c>
      <c r="G2871" t="n">
        <v>8.300000000000001</v>
      </c>
      <c r="H2871" t="n">
        <v>0</v>
      </c>
      <c r="I2871" t="n">
        <v>0</v>
      </c>
      <c r="J2871" t="n">
        <v>0</v>
      </c>
      <c r="K2871" t="n">
        <v>0</v>
      </c>
      <c r="L2871" t="n">
        <v>0</v>
      </c>
      <c r="M2871" t="n">
        <v>0</v>
      </c>
      <c r="N2871" t="n">
        <v>0</v>
      </c>
      <c r="O2871" t="n">
        <v>0</v>
      </c>
      <c r="P2871" t="n">
        <v>0</v>
      </c>
      <c r="Q2871" t="n">
        <v>0</v>
      </c>
      <c r="R2871" s="2" t="inlineStr"/>
    </row>
    <row r="2872" ht="15" customHeight="1">
      <c r="A2872" t="inlineStr">
        <is>
          <t>A 18197-2023</t>
        </is>
      </c>
      <c r="B2872" s="1" t="n">
        <v>45040</v>
      </c>
      <c r="C2872" s="1" t="n">
        <v>46114</v>
      </c>
      <c r="D2872" t="inlineStr">
        <is>
          <t>DALARNAS LÄN</t>
        </is>
      </c>
      <c r="E2872" t="inlineStr">
        <is>
          <t>AVESTA</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12582-2025</t>
        </is>
      </c>
      <c r="B2873" s="1" t="n">
        <v>45732.62988425926</v>
      </c>
      <c r="C2873" s="1" t="n">
        <v>46114</v>
      </c>
      <c r="D2873" t="inlineStr">
        <is>
          <t>DALARNAS LÄN</t>
        </is>
      </c>
      <c r="E2873" t="inlineStr">
        <is>
          <t>LEKSAND</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1723-2023</t>
        </is>
      </c>
      <c r="B2874" s="1" t="n">
        <v>44938.47299768519</v>
      </c>
      <c r="C2874" s="1" t="n">
        <v>46114</v>
      </c>
      <c r="D2874" t="inlineStr">
        <is>
          <t>DALARNAS LÄN</t>
        </is>
      </c>
      <c r="E2874" t="inlineStr">
        <is>
          <t>MALUNG-SÄLEN</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37710-2023</t>
        </is>
      </c>
      <c r="B2875" s="1" t="n">
        <v>45159.59186342593</v>
      </c>
      <c r="C2875" s="1" t="n">
        <v>46114</v>
      </c>
      <c r="D2875" t="inlineStr">
        <is>
          <t>DALARNAS LÄN</t>
        </is>
      </c>
      <c r="E2875" t="inlineStr">
        <is>
          <t>MORA</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26427-2022</t>
        </is>
      </c>
      <c r="B2876" s="1" t="n">
        <v>44736</v>
      </c>
      <c r="C2876" s="1" t="n">
        <v>46114</v>
      </c>
      <c r="D2876" t="inlineStr">
        <is>
          <t>DALARNAS LÄN</t>
        </is>
      </c>
      <c r="E2876" t="inlineStr">
        <is>
          <t>RÄTTVIK</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55893-2024</t>
        </is>
      </c>
      <c r="B2877" s="1" t="n">
        <v>45623.57366898148</v>
      </c>
      <c r="C2877" s="1" t="n">
        <v>46114</v>
      </c>
      <c r="D2877" t="inlineStr">
        <is>
          <t>DALARNAS LÄN</t>
        </is>
      </c>
      <c r="E2877" t="inlineStr">
        <is>
          <t>RÄTTVIK</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3196-2025</t>
        </is>
      </c>
      <c r="B2878" s="1" t="n">
        <v>45679.42957175926</v>
      </c>
      <c r="C2878" s="1" t="n">
        <v>46114</v>
      </c>
      <c r="D2878" t="inlineStr">
        <is>
          <t>DALARNAS LÄN</t>
        </is>
      </c>
      <c r="E2878" t="inlineStr">
        <is>
          <t>ÄLVDALEN</t>
        </is>
      </c>
      <c r="G2878" t="n">
        <v>5.2</v>
      </c>
      <c r="H2878" t="n">
        <v>0</v>
      </c>
      <c r="I2878" t="n">
        <v>0</v>
      </c>
      <c r="J2878" t="n">
        <v>0</v>
      </c>
      <c r="K2878" t="n">
        <v>0</v>
      </c>
      <c r="L2878" t="n">
        <v>0</v>
      </c>
      <c r="M2878" t="n">
        <v>0</v>
      </c>
      <c r="N2878" t="n">
        <v>0</v>
      </c>
      <c r="O2878" t="n">
        <v>0</v>
      </c>
      <c r="P2878" t="n">
        <v>0</v>
      </c>
      <c r="Q2878" t="n">
        <v>0</v>
      </c>
      <c r="R2878" s="2" t="inlineStr"/>
    </row>
    <row r="2879" ht="15" customHeight="1">
      <c r="A2879" t="inlineStr">
        <is>
          <t>A 2936-2025</t>
        </is>
      </c>
      <c r="B2879" s="1" t="n">
        <v>45678.37991898148</v>
      </c>
      <c r="C2879" s="1" t="n">
        <v>46114</v>
      </c>
      <c r="D2879" t="inlineStr">
        <is>
          <t>DALARNAS LÄN</t>
        </is>
      </c>
      <c r="E2879" t="inlineStr">
        <is>
          <t>RÄTTVIK</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5529-2025</t>
        </is>
      </c>
      <c r="B2880" s="1" t="n">
        <v>45693.43435185185</v>
      </c>
      <c r="C2880" s="1" t="n">
        <v>46114</v>
      </c>
      <c r="D2880" t="inlineStr">
        <is>
          <t>DALARNAS LÄN</t>
        </is>
      </c>
      <c r="E2880" t="inlineStr">
        <is>
          <t>BORLÄNGE</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38747-2023</t>
        </is>
      </c>
      <c r="B2881" s="1" t="n">
        <v>45163</v>
      </c>
      <c r="C2881" s="1" t="n">
        <v>46114</v>
      </c>
      <c r="D2881" t="inlineStr">
        <is>
          <t>DALARNAS LÄN</t>
        </is>
      </c>
      <c r="E2881" t="inlineStr">
        <is>
          <t>SMEDJEBACKEN</t>
        </is>
      </c>
      <c r="F2881" t="inlineStr">
        <is>
          <t>Sveaskog</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58336-2022</t>
        </is>
      </c>
      <c r="B2882" s="1" t="n">
        <v>44901.56976851852</v>
      </c>
      <c r="C2882" s="1" t="n">
        <v>46114</v>
      </c>
      <c r="D2882" t="inlineStr">
        <is>
          <t>DALARNAS LÄN</t>
        </is>
      </c>
      <c r="E2882" t="inlineStr">
        <is>
          <t>FALUN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55583-2023</t>
        </is>
      </c>
      <c r="B2883" s="1" t="n">
        <v>45238</v>
      </c>
      <c r="C2883" s="1" t="n">
        <v>46114</v>
      </c>
      <c r="D2883" t="inlineStr">
        <is>
          <t>DALARNAS LÄN</t>
        </is>
      </c>
      <c r="E2883" t="inlineStr">
        <is>
          <t>MALUNG-SÄLEN</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20930-2024</t>
        </is>
      </c>
      <c r="B2884" s="1" t="n">
        <v>45439.51907407407</v>
      </c>
      <c r="C2884" s="1" t="n">
        <v>46114</v>
      </c>
      <c r="D2884" t="inlineStr">
        <is>
          <t>DALARNAS LÄN</t>
        </is>
      </c>
      <c r="E2884" t="inlineStr">
        <is>
          <t>MORA</t>
        </is>
      </c>
      <c r="F2884" t="inlineStr">
        <is>
          <t>Bergvik skog väst AB</t>
        </is>
      </c>
      <c r="G2884" t="n">
        <v>5.3</v>
      </c>
      <c r="H2884" t="n">
        <v>0</v>
      </c>
      <c r="I2884" t="n">
        <v>0</v>
      </c>
      <c r="J2884" t="n">
        <v>0</v>
      </c>
      <c r="K2884" t="n">
        <v>0</v>
      </c>
      <c r="L2884" t="n">
        <v>0</v>
      </c>
      <c r="M2884" t="n">
        <v>0</v>
      </c>
      <c r="N2884" t="n">
        <v>0</v>
      </c>
      <c r="O2884" t="n">
        <v>0</v>
      </c>
      <c r="P2884" t="n">
        <v>0</v>
      </c>
      <c r="Q2884" t="n">
        <v>0</v>
      </c>
      <c r="R2884" s="2" t="inlineStr"/>
    </row>
    <row r="2885" ht="15" customHeight="1">
      <c r="A2885" t="inlineStr">
        <is>
          <t>A 42611-2022</t>
        </is>
      </c>
      <c r="B2885" s="1" t="n">
        <v>44831.81482638889</v>
      </c>
      <c r="C2885" s="1" t="n">
        <v>46114</v>
      </c>
      <c r="D2885" t="inlineStr">
        <is>
          <t>DALARNAS LÄN</t>
        </is>
      </c>
      <c r="E2885" t="inlineStr">
        <is>
          <t>MORA</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42649-2023</t>
        </is>
      </c>
      <c r="B2886" s="1" t="n">
        <v>45181.53310185186</v>
      </c>
      <c r="C2886" s="1" t="n">
        <v>46114</v>
      </c>
      <c r="D2886" t="inlineStr">
        <is>
          <t>DALARNAS LÄN</t>
        </is>
      </c>
      <c r="E2886" t="inlineStr">
        <is>
          <t>ÄLVDALEN</t>
        </is>
      </c>
      <c r="G2886" t="n">
        <v>5.3</v>
      </c>
      <c r="H2886" t="n">
        <v>0</v>
      </c>
      <c r="I2886" t="n">
        <v>0</v>
      </c>
      <c r="J2886" t="n">
        <v>0</v>
      </c>
      <c r="K2886" t="n">
        <v>0</v>
      </c>
      <c r="L2886" t="n">
        <v>0</v>
      </c>
      <c r="M2886" t="n">
        <v>0</v>
      </c>
      <c r="N2886" t="n">
        <v>0</v>
      </c>
      <c r="O2886" t="n">
        <v>0</v>
      </c>
      <c r="P2886" t="n">
        <v>0</v>
      </c>
      <c r="Q2886" t="n">
        <v>0</v>
      </c>
      <c r="R2886" s="2" t="inlineStr"/>
    </row>
    <row r="2887" ht="15" customHeight="1">
      <c r="A2887" t="inlineStr">
        <is>
          <t>A 17828-2023</t>
        </is>
      </c>
      <c r="B2887" s="1" t="n">
        <v>45037.60547453703</v>
      </c>
      <c r="C2887" s="1" t="n">
        <v>46114</v>
      </c>
      <c r="D2887" t="inlineStr">
        <is>
          <t>DALARNAS LÄN</t>
        </is>
      </c>
      <c r="E2887" t="inlineStr">
        <is>
          <t>MALUNG-SÄLEN</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19700-2025</t>
        </is>
      </c>
      <c r="B2888" s="1" t="n">
        <v>45771.32445601852</v>
      </c>
      <c r="C2888" s="1" t="n">
        <v>46114</v>
      </c>
      <c r="D2888" t="inlineStr">
        <is>
          <t>DALARNAS LÄN</t>
        </is>
      </c>
      <c r="E2888" t="inlineStr">
        <is>
          <t>LEKSAND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1267-2025</t>
        </is>
      </c>
      <c r="B2889" s="1" t="n">
        <v>45667</v>
      </c>
      <c r="C2889" s="1" t="n">
        <v>46114</v>
      </c>
      <c r="D2889" t="inlineStr">
        <is>
          <t>DALARNAS LÄN</t>
        </is>
      </c>
      <c r="E2889" t="inlineStr">
        <is>
          <t>LEKSAND</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19275-2024</t>
        </is>
      </c>
      <c r="B2890" s="1" t="n">
        <v>45428.64856481482</v>
      </c>
      <c r="C2890" s="1" t="n">
        <v>46114</v>
      </c>
      <c r="D2890" t="inlineStr">
        <is>
          <t>DALARNAS LÄN</t>
        </is>
      </c>
      <c r="E2890" t="inlineStr">
        <is>
          <t>MALUNG-SÄLEN</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52944-2024</t>
        </is>
      </c>
      <c r="B2891" s="1" t="n">
        <v>45610.82546296297</v>
      </c>
      <c r="C2891" s="1" t="n">
        <v>46114</v>
      </c>
      <c r="D2891" t="inlineStr">
        <is>
          <t>DALARNAS LÄN</t>
        </is>
      </c>
      <c r="E2891" t="inlineStr">
        <is>
          <t>HEDEMORA</t>
        </is>
      </c>
      <c r="F2891" t="inlineStr">
        <is>
          <t>Sveaskog</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41495-2024</t>
        </is>
      </c>
      <c r="B2892" s="1" t="n">
        <v>45560.45458333333</v>
      </c>
      <c r="C2892" s="1" t="n">
        <v>46114</v>
      </c>
      <c r="D2892" t="inlineStr">
        <is>
          <t>DALARNAS LÄN</t>
        </is>
      </c>
      <c r="E2892" t="inlineStr">
        <is>
          <t>LUDVIKA</t>
        </is>
      </c>
      <c r="F2892" t="inlineStr">
        <is>
          <t>Bergvik skog väst AB</t>
        </is>
      </c>
      <c r="G2892" t="n">
        <v>6.3</v>
      </c>
      <c r="H2892" t="n">
        <v>0</v>
      </c>
      <c r="I2892" t="n">
        <v>0</v>
      </c>
      <c r="J2892" t="n">
        <v>0</v>
      </c>
      <c r="K2892" t="n">
        <v>0</v>
      </c>
      <c r="L2892" t="n">
        <v>0</v>
      </c>
      <c r="M2892" t="n">
        <v>0</v>
      </c>
      <c r="N2892" t="n">
        <v>0</v>
      </c>
      <c r="O2892" t="n">
        <v>0</v>
      </c>
      <c r="P2892" t="n">
        <v>0</v>
      </c>
      <c r="Q2892" t="n">
        <v>0</v>
      </c>
      <c r="R2892" s="2" t="inlineStr"/>
    </row>
    <row r="2893" ht="15" customHeight="1">
      <c r="A2893" t="inlineStr">
        <is>
          <t>A 1307-2025</t>
        </is>
      </c>
      <c r="B2893" s="1" t="n">
        <v>45667.55133101852</v>
      </c>
      <c r="C2893" s="1" t="n">
        <v>46114</v>
      </c>
      <c r="D2893" t="inlineStr">
        <is>
          <t>DALARNAS LÄN</t>
        </is>
      </c>
      <c r="E2893" t="inlineStr">
        <is>
          <t>FALUN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17865-2025</t>
        </is>
      </c>
      <c r="B2894" s="1" t="n">
        <v>45758.62951388889</v>
      </c>
      <c r="C2894" s="1" t="n">
        <v>46114</v>
      </c>
      <c r="D2894" t="inlineStr">
        <is>
          <t>DALARNAS LÄN</t>
        </is>
      </c>
      <c r="E2894" t="inlineStr">
        <is>
          <t>MORA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30414-2024</t>
        </is>
      </c>
      <c r="B2895" s="1" t="n">
        <v>45491.63538194444</v>
      </c>
      <c r="C2895" s="1" t="n">
        <v>46114</v>
      </c>
      <c r="D2895" t="inlineStr">
        <is>
          <t>DALARNAS LÄN</t>
        </is>
      </c>
      <c r="E2895" t="inlineStr">
        <is>
          <t>ÄLVDALEN</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31000-2024</t>
        </is>
      </c>
      <c r="B2896" s="1" t="n">
        <v>45499.60596064815</v>
      </c>
      <c r="C2896" s="1" t="n">
        <v>46114</v>
      </c>
      <c r="D2896" t="inlineStr">
        <is>
          <t>DALARNAS LÄN</t>
        </is>
      </c>
      <c r="E2896" t="inlineStr">
        <is>
          <t>AVESTA</t>
        </is>
      </c>
      <c r="F2896" t="inlineStr">
        <is>
          <t>Sveaskog</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8579-2025</t>
        </is>
      </c>
      <c r="B2897" s="1" t="n">
        <v>45709</v>
      </c>
      <c r="C2897" s="1" t="n">
        <v>46114</v>
      </c>
      <c r="D2897" t="inlineStr">
        <is>
          <t>DALARNAS LÄN</t>
        </is>
      </c>
      <c r="E2897" t="inlineStr">
        <is>
          <t>ORSA</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14706-2025</t>
        </is>
      </c>
      <c r="B2898" s="1" t="n">
        <v>45742.60677083334</v>
      </c>
      <c r="C2898" s="1" t="n">
        <v>46114</v>
      </c>
      <c r="D2898" t="inlineStr">
        <is>
          <t>DALARNAS LÄN</t>
        </is>
      </c>
      <c r="E2898" t="inlineStr">
        <is>
          <t>RÄTTVIK</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24177-2023</t>
        </is>
      </c>
      <c r="B2899" s="1" t="n">
        <v>45079</v>
      </c>
      <c r="C2899" s="1" t="n">
        <v>46114</v>
      </c>
      <c r="D2899" t="inlineStr">
        <is>
          <t>DALARNAS LÄN</t>
        </is>
      </c>
      <c r="E2899" t="inlineStr">
        <is>
          <t>AVESTA</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14709-2025</t>
        </is>
      </c>
      <c r="B2900" s="1" t="n">
        <v>45742.60869212963</v>
      </c>
      <c r="C2900" s="1" t="n">
        <v>46114</v>
      </c>
      <c r="D2900" t="inlineStr">
        <is>
          <t>DALARNAS LÄN</t>
        </is>
      </c>
      <c r="E2900" t="inlineStr">
        <is>
          <t>RÄTTVIK</t>
        </is>
      </c>
      <c r="G2900" t="n">
        <v>5.4</v>
      </c>
      <c r="H2900" t="n">
        <v>0</v>
      </c>
      <c r="I2900" t="n">
        <v>0</v>
      </c>
      <c r="J2900" t="n">
        <v>0</v>
      </c>
      <c r="K2900" t="n">
        <v>0</v>
      </c>
      <c r="L2900" t="n">
        <v>0</v>
      </c>
      <c r="M2900" t="n">
        <v>0</v>
      </c>
      <c r="N2900" t="n">
        <v>0</v>
      </c>
      <c r="O2900" t="n">
        <v>0</v>
      </c>
      <c r="P2900" t="n">
        <v>0</v>
      </c>
      <c r="Q2900" t="n">
        <v>0</v>
      </c>
      <c r="R2900" s="2" t="inlineStr"/>
    </row>
    <row r="2901" ht="15" customHeight="1">
      <c r="A2901" t="inlineStr">
        <is>
          <t>A 51533-2021</t>
        </is>
      </c>
      <c r="B2901" s="1" t="n">
        <v>44462</v>
      </c>
      <c r="C2901" s="1" t="n">
        <v>46114</v>
      </c>
      <c r="D2901" t="inlineStr">
        <is>
          <t>DALARNAS LÄN</t>
        </is>
      </c>
      <c r="E2901" t="inlineStr">
        <is>
          <t>MALUNG-SÄLEN</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45355-2024</t>
        </is>
      </c>
      <c r="B2902" s="1" t="n">
        <v>45576</v>
      </c>
      <c r="C2902" s="1" t="n">
        <v>46114</v>
      </c>
      <c r="D2902" t="inlineStr">
        <is>
          <t>DALARNAS LÄN</t>
        </is>
      </c>
      <c r="E2902" t="inlineStr">
        <is>
          <t>MORA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45356-2024</t>
        </is>
      </c>
      <c r="B2903" s="1" t="n">
        <v>45576</v>
      </c>
      <c r="C2903" s="1" t="n">
        <v>46114</v>
      </c>
      <c r="D2903" t="inlineStr">
        <is>
          <t>DALARNAS LÄN</t>
        </is>
      </c>
      <c r="E2903" t="inlineStr">
        <is>
          <t>VANSBRO</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39824-2022</t>
        </is>
      </c>
      <c r="B2904" s="1" t="n">
        <v>44819.57239583333</v>
      </c>
      <c r="C2904" s="1" t="n">
        <v>46114</v>
      </c>
      <c r="D2904" t="inlineStr">
        <is>
          <t>DALARNAS LÄN</t>
        </is>
      </c>
      <c r="E2904" t="inlineStr">
        <is>
          <t>FALUN</t>
        </is>
      </c>
      <c r="G2904" t="n">
        <v>3.4</v>
      </c>
      <c r="H2904" t="n">
        <v>0</v>
      </c>
      <c r="I2904" t="n">
        <v>0</v>
      </c>
      <c r="J2904" t="n">
        <v>0</v>
      </c>
      <c r="K2904" t="n">
        <v>0</v>
      </c>
      <c r="L2904" t="n">
        <v>0</v>
      </c>
      <c r="M2904" t="n">
        <v>0</v>
      </c>
      <c r="N2904" t="n">
        <v>0</v>
      </c>
      <c r="O2904" t="n">
        <v>0</v>
      </c>
      <c r="P2904" t="n">
        <v>0</v>
      </c>
      <c r="Q2904" t="n">
        <v>0</v>
      </c>
      <c r="R2904" s="2" t="inlineStr"/>
    </row>
    <row r="2905" ht="15" customHeight="1">
      <c r="A2905" t="inlineStr">
        <is>
          <t>A 33673-2023</t>
        </is>
      </c>
      <c r="B2905" s="1" t="n">
        <v>45132</v>
      </c>
      <c r="C2905" s="1" t="n">
        <v>46114</v>
      </c>
      <c r="D2905" t="inlineStr">
        <is>
          <t>DALARNAS LÄN</t>
        </is>
      </c>
      <c r="E2905" t="inlineStr">
        <is>
          <t>ORSA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33676-2023</t>
        </is>
      </c>
      <c r="B2906" s="1" t="n">
        <v>45132.6291550926</v>
      </c>
      <c r="C2906" s="1" t="n">
        <v>46114</v>
      </c>
      <c r="D2906" t="inlineStr">
        <is>
          <t>DALARNAS LÄN</t>
        </is>
      </c>
      <c r="E2906" t="inlineStr">
        <is>
          <t>MORA</t>
        </is>
      </c>
      <c r="F2906" t="inlineStr">
        <is>
          <t>Bergvik skog öst AB</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29710-2022</t>
        </is>
      </c>
      <c r="B2907" s="1" t="n">
        <v>44755</v>
      </c>
      <c r="C2907" s="1" t="n">
        <v>46114</v>
      </c>
      <c r="D2907" t="inlineStr">
        <is>
          <t>DALARNAS LÄN</t>
        </is>
      </c>
      <c r="E2907" t="inlineStr">
        <is>
          <t>ÄLVDALEN</t>
        </is>
      </c>
      <c r="F2907" t="inlineStr">
        <is>
          <t>Sveaskog</t>
        </is>
      </c>
      <c r="G2907" t="n">
        <v>9.1</v>
      </c>
      <c r="H2907" t="n">
        <v>0</v>
      </c>
      <c r="I2907" t="n">
        <v>0</v>
      </c>
      <c r="J2907" t="n">
        <v>0</v>
      </c>
      <c r="K2907" t="n">
        <v>0</v>
      </c>
      <c r="L2907" t="n">
        <v>0</v>
      </c>
      <c r="M2907" t="n">
        <v>0</v>
      </c>
      <c r="N2907" t="n">
        <v>0</v>
      </c>
      <c r="O2907" t="n">
        <v>0</v>
      </c>
      <c r="P2907" t="n">
        <v>0</v>
      </c>
      <c r="Q2907" t="n">
        <v>0</v>
      </c>
      <c r="R2907" s="2" t="inlineStr"/>
    </row>
    <row r="2908" ht="15" customHeight="1">
      <c r="A2908" t="inlineStr">
        <is>
          <t>A 62080-2024</t>
        </is>
      </c>
      <c r="B2908" s="1" t="n">
        <v>45656.42575231481</v>
      </c>
      <c r="C2908" s="1" t="n">
        <v>46114</v>
      </c>
      <c r="D2908" t="inlineStr">
        <is>
          <t>DALARNAS LÄN</t>
        </is>
      </c>
      <c r="E2908" t="inlineStr">
        <is>
          <t>BORLÄNGE</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62116-2024</t>
        </is>
      </c>
      <c r="B2909" s="1" t="n">
        <v>45646</v>
      </c>
      <c r="C2909" s="1" t="n">
        <v>46114</v>
      </c>
      <c r="D2909" t="inlineStr">
        <is>
          <t>DALARNAS LÄN</t>
        </is>
      </c>
      <c r="E2909" t="inlineStr">
        <is>
          <t>LEKSAND</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53304-2023</t>
        </is>
      </c>
      <c r="B2910" s="1" t="n">
        <v>45229.59721064815</v>
      </c>
      <c r="C2910" s="1" t="n">
        <v>46114</v>
      </c>
      <c r="D2910" t="inlineStr">
        <is>
          <t>DALARNAS LÄN</t>
        </is>
      </c>
      <c r="E2910" t="inlineStr">
        <is>
          <t>RÄTTVIK</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59932-2023</t>
        </is>
      </c>
      <c r="B2911" s="1" t="n">
        <v>45257.66511574074</v>
      </c>
      <c r="C2911" s="1" t="n">
        <v>46114</v>
      </c>
      <c r="D2911" t="inlineStr">
        <is>
          <t>DALARNAS LÄN</t>
        </is>
      </c>
      <c r="E2911" t="inlineStr">
        <is>
          <t>AVESTA</t>
        </is>
      </c>
      <c r="G2911" t="n">
        <v>1.7</v>
      </c>
      <c r="H2911" t="n">
        <v>0</v>
      </c>
      <c r="I2911" t="n">
        <v>0</v>
      </c>
      <c r="J2911" t="n">
        <v>0</v>
      </c>
      <c r="K2911" t="n">
        <v>0</v>
      </c>
      <c r="L2911" t="n">
        <v>0</v>
      </c>
      <c r="M2911" t="n">
        <v>0</v>
      </c>
      <c r="N2911" t="n">
        <v>0</v>
      </c>
      <c r="O2911" t="n">
        <v>0</v>
      </c>
      <c r="P2911" t="n">
        <v>0</v>
      </c>
      <c r="Q2911" t="n">
        <v>0</v>
      </c>
      <c r="R2911" s="2" t="inlineStr"/>
    </row>
    <row r="2912" ht="15" customHeight="1">
      <c r="A2912" t="inlineStr">
        <is>
          <t>A 45405-2024</t>
        </is>
      </c>
      <c r="B2912" s="1" t="n">
        <v>45576</v>
      </c>
      <c r="C2912" s="1" t="n">
        <v>46114</v>
      </c>
      <c r="D2912" t="inlineStr">
        <is>
          <t>DALARNAS LÄN</t>
        </is>
      </c>
      <c r="E2912" t="inlineStr">
        <is>
          <t>LUDVIKA</t>
        </is>
      </c>
      <c r="F2912" t="inlineStr">
        <is>
          <t>Bergvik skog väst AB</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57530-2023</t>
        </is>
      </c>
      <c r="B2913" s="1" t="n">
        <v>45246</v>
      </c>
      <c r="C2913" s="1" t="n">
        <v>46114</v>
      </c>
      <c r="D2913" t="inlineStr">
        <is>
          <t>DALARNAS LÄN</t>
        </is>
      </c>
      <c r="E2913" t="inlineStr">
        <is>
          <t>BORLÄNGE</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28934-2023</t>
        </is>
      </c>
      <c r="B2914" s="1" t="n">
        <v>45104</v>
      </c>
      <c r="C2914" s="1" t="n">
        <v>46114</v>
      </c>
      <c r="D2914" t="inlineStr">
        <is>
          <t>DALARNAS LÄN</t>
        </is>
      </c>
      <c r="E2914" t="inlineStr">
        <is>
          <t>MORA</t>
        </is>
      </c>
      <c r="G2914" t="n">
        <v>8.800000000000001</v>
      </c>
      <c r="H2914" t="n">
        <v>0</v>
      </c>
      <c r="I2914" t="n">
        <v>0</v>
      </c>
      <c r="J2914" t="n">
        <v>0</v>
      </c>
      <c r="K2914" t="n">
        <v>0</v>
      </c>
      <c r="L2914" t="n">
        <v>0</v>
      </c>
      <c r="M2914" t="n">
        <v>0</v>
      </c>
      <c r="N2914" t="n">
        <v>0</v>
      </c>
      <c r="O2914" t="n">
        <v>0</v>
      </c>
      <c r="P2914" t="n">
        <v>0</v>
      </c>
      <c r="Q2914" t="n">
        <v>0</v>
      </c>
      <c r="R2914" s="2" t="inlineStr"/>
    </row>
    <row r="2915" ht="15" customHeight="1">
      <c r="A2915" t="inlineStr">
        <is>
          <t>A 61188-2024</t>
        </is>
      </c>
      <c r="B2915" s="1" t="n">
        <v>45645.62282407407</v>
      </c>
      <c r="C2915" s="1" t="n">
        <v>46114</v>
      </c>
      <c r="D2915" t="inlineStr">
        <is>
          <t>DALARNAS LÄN</t>
        </is>
      </c>
      <c r="E2915" t="inlineStr">
        <is>
          <t>MORA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41291-2021</t>
        </is>
      </c>
      <c r="B2916" s="1" t="n">
        <v>44424</v>
      </c>
      <c r="C2916" s="1" t="n">
        <v>46114</v>
      </c>
      <c r="D2916" t="inlineStr">
        <is>
          <t>DALARNAS LÄN</t>
        </is>
      </c>
      <c r="E2916" t="inlineStr">
        <is>
          <t>ORSA</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21446-2024</t>
        </is>
      </c>
      <c r="B2917" s="1" t="n">
        <v>45441.45840277777</v>
      </c>
      <c r="C2917" s="1" t="n">
        <v>46114</v>
      </c>
      <c r="D2917" t="inlineStr">
        <is>
          <t>DALARNAS LÄN</t>
        </is>
      </c>
      <c r="E2917" t="inlineStr">
        <is>
          <t>ORSA</t>
        </is>
      </c>
      <c r="G2917" t="n">
        <v>1.6</v>
      </c>
      <c r="H2917" t="n">
        <v>0</v>
      </c>
      <c r="I2917" t="n">
        <v>0</v>
      </c>
      <c r="J2917" t="n">
        <v>0</v>
      </c>
      <c r="K2917" t="n">
        <v>0</v>
      </c>
      <c r="L2917" t="n">
        <v>0</v>
      </c>
      <c r="M2917" t="n">
        <v>0</v>
      </c>
      <c r="N2917" t="n">
        <v>0</v>
      </c>
      <c r="O2917" t="n">
        <v>0</v>
      </c>
      <c r="P2917" t="n">
        <v>0</v>
      </c>
      <c r="Q2917" t="n">
        <v>0</v>
      </c>
      <c r="R2917" s="2" t="inlineStr"/>
    </row>
    <row r="2918" ht="15" customHeight="1">
      <c r="A2918" t="inlineStr">
        <is>
          <t>A 43903-2024</t>
        </is>
      </c>
      <c r="B2918" s="1" t="n">
        <v>45572</v>
      </c>
      <c r="C2918" s="1" t="n">
        <v>46114</v>
      </c>
      <c r="D2918" t="inlineStr">
        <is>
          <t>DALARNAS LÄN</t>
        </is>
      </c>
      <c r="E2918" t="inlineStr">
        <is>
          <t>ÄLVDALEN</t>
        </is>
      </c>
      <c r="F2918" t="inlineStr">
        <is>
          <t>Bergvik skog väst AB</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16833-2023</t>
        </is>
      </c>
      <c r="B2919" s="1" t="n">
        <v>45033</v>
      </c>
      <c r="C2919" s="1" t="n">
        <v>46114</v>
      </c>
      <c r="D2919" t="inlineStr">
        <is>
          <t>DALARNAS LÄN</t>
        </is>
      </c>
      <c r="E2919" t="inlineStr">
        <is>
          <t>RÄTTVIK</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37681-2024</t>
        </is>
      </c>
      <c r="B2920" s="1" t="n">
        <v>45541.58900462963</v>
      </c>
      <c r="C2920" s="1" t="n">
        <v>46114</v>
      </c>
      <c r="D2920" t="inlineStr">
        <is>
          <t>DALARNAS LÄN</t>
        </is>
      </c>
      <c r="E2920" t="inlineStr">
        <is>
          <t>MALUNG-SÄLEN</t>
        </is>
      </c>
      <c r="F2920" t="inlineStr">
        <is>
          <t>Bergvik skog öst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37695-2024</t>
        </is>
      </c>
      <c r="B2921" s="1" t="n">
        <v>45541.61094907407</v>
      </c>
      <c r="C2921" s="1" t="n">
        <v>46114</v>
      </c>
      <c r="D2921" t="inlineStr">
        <is>
          <t>DALARNAS LÄN</t>
        </is>
      </c>
      <c r="E2921" t="inlineStr">
        <is>
          <t>MORA</t>
        </is>
      </c>
      <c r="G2921" t="n">
        <v>19.7</v>
      </c>
      <c r="H2921" t="n">
        <v>0</v>
      </c>
      <c r="I2921" t="n">
        <v>0</v>
      </c>
      <c r="J2921" t="n">
        <v>0</v>
      </c>
      <c r="K2921" t="n">
        <v>0</v>
      </c>
      <c r="L2921" t="n">
        <v>0</v>
      </c>
      <c r="M2921" t="n">
        <v>0</v>
      </c>
      <c r="N2921" t="n">
        <v>0</v>
      </c>
      <c r="O2921" t="n">
        <v>0</v>
      </c>
      <c r="P2921" t="n">
        <v>0</v>
      </c>
      <c r="Q2921" t="n">
        <v>0</v>
      </c>
      <c r="R2921" s="2" t="inlineStr"/>
    </row>
    <row r="2922" ht="15" customHeight="1">
      <c r="A2922" t="inlineStr">
        <is>
          <t>A 37709-2024</t>
        </is>
      </c>
      <c r="B2922" s="1" t="n">
        <v>45541.62721064815</v>
      </c>
      <c r="C2922" s="1" t="n">
        <v>46114</v>
      </c>
      <c r="D2922" t="inlineStr">
        <is>
          <t>DALARNAS LÄN</t>
        </is>
      </c>
      <c r="E2922" t="inlineStr">
        <is>
          <t>FALUN</t>
        </is>
      </c>
      <c r="G2922" t="n">
        <v>0.4</v>
      </c>
      <c r="H2922" t="n">
        <v>0</v>
      </c>
      <c r="I2922" t="n">
        <v>0</v>
      </c>
      <c r="J2922" t="n">
        <v>0</v>
      </c>
      <c r="K2922" t="n">
        <v>0</v>
      </c>
      <c r="L2922" t="n">
        <v>0</v>
      </c>
      <c r="M2922" t="n">
        <v>0</v>
      </c>
      <c r="N2922" t="n">
        <v>0</v>
      </c>
      <c r="O2922" t="n">
        <v>0</v>
      </c>
      <c r="P2922" t="n">
        <v>0</v>
      </c>
      <c r="Q2922" t="n">
        <v>0</v>
      </c>
      <c r="R2922" s="2" t="inlineStr"/>
    </row>
    <row r="2923" ht="15" customHeight="1">
      <c r="A2923" t="inlineStr">
        <is>
          <t>A 11155-2025</t>
        </is>
      </c>
      <c r="B2923" s="1" t="n">
        <v>45723</v>
      </c>
      <c r="C2923" s="1" t="n">
        <v>46114</v>
      </c>
      <c r="D2923" t="inlineStr">
        <is>
          <t>DALARNAS LÄN</t>
        </is>
      </c>
      <c r="E2923" t="inlineStr">
        <is>
          <t>SMEDJEBACKEN</t>
        </is>
      </c>
      <c r="F2923" t="inlineStr">
        <is>
          <t>Bergvik skog väst AB</t>
        </is>
      </c>
      <c r="G2923" t="n">
        <v>6.3</v>
      </c>
      <c r="H2923" t="n">
        <v>0</v>
      </c>
      <c r="I2923" t="n">
        <v>0</v>
      </c>
      <c r="J2923" t="n">
        <v>0</v>
      </c>
      <c r="K2923" t="n">
        <v>0</v>
      </c>
      <c r="L2923" t="n">
        <v>0</v>
      </c>
      <c r="M2923" t="n">
        <v>0</v>
      </c>
      <c r="N2923" t="n">
        <v>0</v>
      </c>
      <c r="O2923" t="n">
        <v>0</v>
      </c>
      <c r="P2923" t="n">
        <v>0</v>
      </c>
      <c r="Q2923" t="n">
        <v>0</v>
      </c>
      <c r="R2923" s="2" t="inlineStr"/>
    </row>
    <row r="2924" ht="15" customHeight="1">
      <c r="A2924" t="inlineStr">
        <is>
          <t>A 57645-2022</t>
        </is>
      </c>
      <c r="B2924" s="1" t="n">
        <v>44897</v>
      </c>
      <c r="C2924" s="1" t="n">
        <v>46114</v>
      </c>
      <c r="D2924" t="inlineStr">
        <is>
          <t>DALARNAS LÄN</t>
        </is>
      </c>
      <c r="E2924" t="inlineStr">
        <is>
          <t>MALUNG-SÄLEN</t>
        </is>
      </c>
      <c r="G2924" t="n">
        <v>4.8</v>
      </c>
      <c r="H2924" t="n">
        <v>0</v>
      </c>
      <c r="I2924" t="n">
        <v>0</v>
      </c>
      <c r="J2924" t="n">
        <v>0</v>
      </c>
      <c r="K2924" t="n">
        <v>0</v>
      </c>
      <c r="L2924" t="n">
        <v>0</v>
      </c>
      <c r="M2924" t="n">
        <v>0</v>
      </c>
      <c r="N2924" t="n">
        <v>0</v>
      </c>
      <c r="O2924" t="n">
        <v>0</v>
      </c>
      <c r="P2924" t="n">
        <v>0</v>
      </c>
      <c r="Q2924" t="n">
        <v>0</v>
      </c>
      <c r="R2924" s="2" t="inlineStr"/>
    </row>
    <row r="2925" ht="15" customHeight="1">
      <c r="A2925" t="inlineStr">
        <is>
          <t>A 17161-2022</t>
        </is>
      </c>
      <c r="B2925" s="1" t="n">
        <v>44677.59837962963</v>
      </c>
      <c r="C2925" s="1" t="n">
        <v>46114</v>
      </c>
      <c r="D2925" t="inlineStr">
        <is>
          <t>DALARNAS LÄN</t>
        </is>
      </c>
      <c r="E2925" t="inlineStr">
        <is>
          <t>MALUNG-SÄLEN</t>
        </is>
      </c>
      <c r="F2925" t="inlineStr">
        <is>
          <t>Bergvik skog öst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42215-2024</t>
        </is>
      </c>
      <c r="B2926" s="1" t="n">
        <v>45562.53986111111</v>
      </c>
      <c r="C2926" s="1" t="n">
        <v>46114</v>
      </c>
      <c r="D2926" t="inlineStr">
        <is>
          <t>DALARNAS LÄN</t>
        </is>
      </c>
      <c r="E2926" t="inlineStr">
        <is>
          <t>LUDVIKA</t>
        </is>
      </c>
      <c r="F2926" t="inlineStr">
        <is>
          <t>Bergvik skog väst AB</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6169-2024</t>
        </is>
      </c>
      <c r="B2927" s="1" t="n">
        <v>45337.53060185185</v>
      </c>
      <c r="C2927" s="1" t="n">
        <v>46114</v>
      </c>
      <c r="D2927" t="inlineStr">
        <is>
          <t>DALARNAS LÄN</t>
        </is>
      </c>
      <c r="E2927" t="inlineStr">
        <is>
          <t>RÄTTVIK</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28108-2022</t>
        </is>
      </c>
      <c r="B2928" s="1" t="n">
        <v>44746</v>
      </c>
      <c r="C2928" s="1" t="n">
        <v>46114</v>
      </c>
      <c r="D2928" t="inlineStr">
        <is>
          <t>DALARNAS LÄN</t>
        </is>
      </c>
      <c r="E2928" t="inlineStr">
        <is>
          <t>AVESTA</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37055-2024</t>
        </is>
      </c>
      <c r="B2929" s="1" t="n">
        <v>45539.43597222222</v>
      </c>
      <c r="C2929" s="1" t="n">
        <v>46114</v>
      </c>
      <c r="D2929" t="inlineStr">
        <is>
          <t>DALARNAS LÄN</t>
        </is>
      </c>
      <c r="E2929" t="inlineStr">
        <is>
          <t>RÄTTVIK</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558-2025</t>
        </is>
      </c>
      <c r="B2930" s="1" t="n">
        <v>45664.53787037037</v>
      </c>
      <c r="C2930" s="1" t="n">
        <v>46114</v>
      </c>
      <c r="D2930" t="inlineStr">
        <is>
          <t>DALARNAS LÄN</t>
        </is>
      </c>
      <c r="E2930" t="inlineStr">
        <is>
          <t>BORLÄNGE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28282-2024</t>
        </is>
      </c>
      <c r="B2931" s="1" t="n">
        <v>45477.46177083333</v>
      </c>
      <c r="C2931" s="1" t="n">
        <v>46114</v>
      </c>
      <c r="D2931" t="inlineStr">
        <is>
          <t>DALARNAS LÄN</t>
        </is>
      </c>
      <c r="E2931" t="inlineStr">
        <is>
          <t>MALUNG-SÄLEN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17346-2025</t>
        </is>
      </c>
      <c r="B2932" s="1" t="n">
        <v>45756.6733912037</v>
      </c>
      <c r="C2932" s="1" t="n">
        <v>46114</v>
      </c>
      <c r="D2932" t="inlineStr">
        <is>
          <t>DALARNAS LÄN</t>
        </is>
      </c>
      <c r="E2932" t="inlineStr">
        <is>
          <t>AVESTA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1492-2025</t>
        </is>
      </c>
      <c r="B2933" s="1" t="n">
        <v>45670.40074074074</v>
      </c>
      <c r="C2933" s="1" t="n">
        <v>46114</v>
      </c>
      <c r="D2933" t="inlineStr">
        <is>
          <t>DALARNAS LÄN</t>
        </is>
      </c>
      <c r="E2933" t="inlineStr">
        <is>
          <t>BORLÄNGE</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28321-2024</t>
        </is>
      </c>
      <c r="B2934" s="1" t="n">
        <v>45477.50732638889</v>
      </c>
      <c r="C2934" s="1" t="n">
        <v>46114</v>
      </c>
      <c r="D2934" t="inlineStr">
        <is>
          <t>DALARNAS LÄN</t>
        </is>
      </c>
      <c r="E2934" t="inlineStr">
        <is>
          <t>BORLÄNGE</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1526-2025</t>
        </is>
      </c>
      <c r="B2935" s="1" t="n">
        <v>45670</v>
      </c>
      <c r="C2935" s="1" t="n">
        <v>46114</v>
      </c>
      <c r="D2935" t="inlineStr">
        <is>
          <t>DALARNAS LÄN</t>
        </is>
      </c>
      <c r="E2935" t="inlineStr">
        <is>
          <t>MALUNG-SÄLEN</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13063-2023</t>
        </is>
      </c>
      <c r="B2936" s="1" t="n">
        <v>45001</v>
      </c>
      <c r="C2936" s="1" t="n">
        <v>46114</v>
      </c>
      <c r="D2936" t="inlineStr">
        <is>
          <t>DALARNAS LÄN</t>
        </is>
      </c>
      <c r="E2936" t="inlineStr">
        <is>
          <t>LEKSAND</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13090-2023</t>
        </is>
      </c>
      <c r="B2937" s="1" t="n">
        <v>45002.4266087963</v>
      </c>
      <c r="C2937" s="1" t="n">
        <v>46114</v>
      </c>
      <c r="D2937" t="inlineStr">
        <is>
          <t>DALARNAS LÄN</t>
        </is>
      </c>
      <c r="E2937" t="inlineStr">
        <is>
          <t>RÄTTVIK</t>
        </is>
      </c>
      <c r="G2937" t="n">
        <v>0.5</v>
      </c>
      <c r="H2937" t="n">
        <v>0</v>
      </c>
      <c r="I2937" t="n">
        <v>0</v>
      </c>
      <c r="J2937" t="n">
        <v>0</v>
      </c>
      <c r="K2937" t="n">
        <v>0</v>
      </c>
      <c r="L2937" t="n">
        <v>0</v>
      </c>
      <c r="M2937" t="n">
        <v>0</v>
      </c>
      <c r="N2937" t="n">
        <v>0</v>
      </c>
      <c r="O2937" t="n">
        <v>0</v>
      </c>
      <c r="P2937" t="n">
        <v>0</v>
      </c>
      <c r="Q2937" t="n">
        <v>0</v>
      </c>
      <c r="R2937" s="2" t="inlineStr"/>
    </row>
    <row r="2938" ht="15" customHeight="1">
      <c r="A2938" t="inlineStr">
        <is>
          <t>A 35261-2024</t>
        </is>
      </c>
      <c r="B2938" s="1" t="n">
        <v>45530.58905092593</v>
      </c>
      <c r="C2938" s="1" t="n">
        <v>46114</v>
      </c>
      <c r="D2938" t="inlineStr">
        <is>
          <t>DALARNAS LÄN</t>
        </is>
      </c>
      <c r="E2938" t="inlineStr">
        <is>
          <t>MALUNG-SÄLEN</t>
        </is>
      </c>
      <c r="G2938" t="n">
        <v>1.8</v>
      </c>
      <c r="H2938" t="n">
        <v>0</v>
      </c>
      <c r="I2938" t="n">
        <v>0</v>
      </c>
      <c r="J2938" t="n">
        <v>0</v>
      </c>
      <c r="K2938" t="n">
        <v>0</v>
      </c>
      <c r="L2938" t="n">
        <v>0</v>
      </c>
      <c r="M2938" t="n">
        <v>0</v>
      </c>
      <c r="N2938" t="n">
        <v>0</v>
      </c>
      <c r="O2938" t="n">
        <v>0</v>
      </c>
      <c r="P2938" t="n">
        <v>0</v>
      </c>
      <c r="Q2938" t="n">
        <v>0</v>
      </c>
      <c r="R2938" s="2" t="inlineStr"/>
    </row>
    <row r="2939" ht="15" customHeight="1">
      <c r="A2939" t="inlineStr">
        <is>
          <t>A 35299-2024</t>
        </is>
      </c>
      <c r="B2939" s="1" t="n">
        <v>45530.66306712963</v>
      </c>
      <c r="C2939" s="1" t="n">
        <v>46114</v>
      </c>
      <c r="D2939" t="inlineStr">
        <is>
          <t>DALARNAS LÄN</t>
        </is>
      </c>
      <c r="E2939" t="inlineStr">
        <is>
          <t>VANSBRO</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30169-2023</t>
        </is>
      </c>
      <c r="B2940" s="1" t="n">
        <v>45110</v>
      </c>
      <c r="C2940" s="1" t="n">
        <v>46114</v>
      </c>
      <c r="D2940" t="inlineStr">
        <is>
          <t>DALARNAS LÄN</t>
        </is>
      </c>
      <c r="E2940" t="inlineStr">
        <is>
          <t>LEKSAND</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45309-2021</t>
        </is>
      </c>
      <c r="B2941" s="1" t="n">
        <v>44439.68940972222</v>
      </c>
      <c r="C2941" s="1" t="n">
        <v>46114</v>
      </c>
      <c r="D2941" t="inlineStr">
        <is>
          <t>DALARNAS LÄN</t>
        </is>
      </c>
      <c r="E2941" t="inlineStr">
        <is>
          <t>LUDVIKA</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14938-2023</t>
        </is>
      </c>
      <c r="B2942" s="1" t="n">
        <v>45015</v>
      </c>
      <c r="C2942" s="1" t="n">
        <v>46114</v>
      </c>
      <c r="D2942" t="inlineStr">
        <is>
          <t>DALARNAS LÄN</t>
        </is>
      </c>
      <c r="E2942" t="inlineStr">
        <is>
          <t>ÄLVDALEN</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14943-2023</t>
        </is>
      </c>
      <c r="B2943" s="1" t="n">
        <v>45015</v>
      </c>
      <c r="C2943" s="1" t="n">
        <v>46114</v>
      </c>
      <c r="D2943" t="inlineStr">
        <is>
          <t>DALARNAS LÄN</t>
        </is>
      </c>
      <c r="E2943" t="inlineStr">
        <is>
          <t>LEKSAND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35325-2024</t>
        </is>
      </c>
      <c r="B2944" s="1" t="n">
        <v>45530.71158564815</v>
      </c>
      <c r="C2944" s="1" t="n">
        <v>46114</v>
      </c>
      <c r="D2944" t="inlineStr">
        <is>
          <t>DALARNAS LÄN</t>
        </is>
      </c>
      <c r="E2944" t="inlineStr">
        <is>
          <t>MORA</t>
        </is>
      </c>
      <c r="G2944" t="n">
        <v>5</v>
      </c>
      <c r="H2944" t="n">
        <v>0</v>
      </c>
      <c r="I2944" t="n">
        <v>0</v>
      </c>
      <c r="J2944" t="n">
        <v>0</v>
      </c>
      <c r="K2944" t="n">
        <v>0</v>
      </c>
      <c r="L2944" t="n">
        <v>0</v>
      </c>
      <c r="M2944" t="n">
        <v>0</v>
      </c>
      <c r="N2944" t="n">
        <v>0</v>
      </c>
      <c r="O2944" t="n">
        <v>0</v>
      </c>
      <c r="P2944" t="n">
        <v>0</v>
      </c>
      <c r="Q2944" t="n">
        <v>0</v>
      </c>
      <c r="R2944" s="2" t="inlineStr"/>
    </row>
    <row r="2945" ht="15" customHeight="1">
      <c r="A2945" t="inlineStr">
        <is>
          <t>A 51080-2024</t>
        </is>
      </c>
      <c r="B2945" s="1" t="n">
        <v>45603.4574074074</v>
      </c>
      <c r="C2945" s="1" t="n">
        <v>46114</v>
      </c>
      <c r="D2945" t="inlineStr">
        <is>
          <t>DALARNAS LÄN</t>
        </is>
      </c>
      <c r="E2945" t="inlineStr">
        <is>
          <t>LUDVIKA</t>
        </is>
      </c>
      <c r="F2945" t="inlineStr">
        <is>
          <t>Naturvårdsverket</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44719-2024</t>
        </is>
      </c>
      <c r="B2946" s="1" t="n">
        <v>45574</v>
      </c>
      <c r="C2946" s="1" t="n">
        <v>46114</v>
      </c>
      <c r="D2946" t="inlineStr">
        <is>
          <t>DALARNAS LÄN</t>
        </is>
      </c>
      <c r="E2946" t="inlineStr">
        <is>
          <t>SÄTER</t>
        </is>
      </c>
      <c r="F2946" t="inlineStr">
        <is>
          <t>Bergvik skog väst AB</t>
        </is>
      </c>
      <c r="G2946" t="n">
        <v>10.8</v>
      </c>
      <c r="H2946" t="n">
        <v>0</v>
      </c>
      <c r="I2946" t="n">
        <v>0</v>
      </c>
      <c r="J2946" t="n">
        <v>0</v>
      </c>
      <c r="K2946" t="n">
        <v>0</v>
      </c>
      <c r="L2946" t="n">
        <v>0</v>
      </c>
      <c r="M2946" t="n">
        <v>0</v>
      </c>
      <c r="N2946" t="n">
        <v>0</v>
      </c>
      <c r="O2946" t="n">
        <v>0</v>
      </c>
      <c r="P2946" t="n">
        <v>0</v>
      </c>
      <c r="Q2946" t="n">
        <v>0</v>
      </c>
      <c r="R2946" s="2" t="inlineStr"/>
    </row>
    <row r="2947" ht="15" customHeight="1">
      <c r="A2947" t="inlineStr">
        <is>
          <t>A 44726-2024</t>
        </is>
      </c>
      <c r="B2947" s="1" t="n">
        <v>45574</v>
      </c>
      <c r="C2947" s="1" t="n">
        <v>46114</v>
      </c>
      <c r="D2947" t="inlineStr">
        <is>
          <t>DALARNAS LÄN</t>
        </is>
      </c>
      <c r="E2947" t="inlineStr">
        <is>
          <t>SÄTER</t>
        </is>
      </c>
      <c r="F2947" t="inlineStr">
        <is>
          <t>Bergvik skog väst AB</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44732-2024</t>
        </is>
      </c>
      <c r="B2948" s="1" t="n">
        <v>45574</v>
      </c>
      <c r="C2948" s="1" t="n">
        <v>46114</v>
      </c>
      <c r="D2948" t="inlineStr">
        <is>
          <t>DALARNAS LÄN</t>
        </is>
      </c>
      <c r="E2948" t="inlineStr">
        <is>
          <t>LUDVIKA</t>
        </is>
      </c>
      <c r="F2948" t="inlineStr">
        <is>
          <t>Bergvik skog väst AB</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28155-2023</t>
        </is>
      </c>
      <c r="B2949" s="1" t="n">
        <v>45099</v>
      </c>
      <c r="C2949" s="1" t="n">
        <v>46114</v>
      </c>
      <c r="D2949" t="inlineStr">
        <is>
          <t>DALARNAS LÄN</t>
        </is>
      </c>
      <c r="E2949" t="inlineStr">
        <is>
          <t>ORSA</t>
        </is>
      </c>
      <c r="F2949" t="inlineStr">
        <is>
          <t>Bergvik skog öst AB</t>
        </is>
      </c>
      <c r="G2949" t="n">
        <v>7.8</v>
      </c>
      <c r="H2949" t="n">
        <v>0</v>
      </c>
      <c r="I2949" t="n">
        <v>0</v>
      </c>
      <c r="J2949" t="n">
        <v>0</v>
      </c>
      <c r="K2949" t="n">
        <v>0</v>
      </c>
      <c r="L2949" t="n">
        <v>0</v>
      </c>
      <c r="M2949" t="n">
        <v>0</v>
      </c>
      <c r="N2949" t="n">
        <v>0</v>
      </c>
      <c r="O2949" t="n">
        <v>0</v>
      </c>
      <c r="P2949" t="n">
        <v>0</v>
      </c>
      <c r="Q2949" t="n">
        <v>0</v>
      </c>
      <c r="R2949" s="2" t="inlineStr"/>
    </row>
    <row r="2950" ht="15" customHeight="1">
      <c r="A2950" t="inlineStr">
        <is>
          <t>A 14538-2022</t>
        </is>
      </c>
      <c r="B2950" s="1" t="n">
        <v>44655.4495949074</v>
      </c>
      <c r="C2950" s="1" t="n">
        <v>46114</v>
      </c>
      <c r="D2950" t="inlineStr">
        <is>
          <t>DALARNAS LÄN</t>
        </is>
      </c>
      <c r="E2950" t="inlineStr">
        <is>
          <t>FALUN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51925-2023</t>
        </is>
      </c>
      <c r="B2951" s="1" t="n">
        <v>45223</v>
      </c>
      <c r="C2951" s="1" t="n">
        <v>46114</v>
      </c>
      <c r="D2951" t="inlineStr">
        <is>
          <t>DALARNAS LÄN</t>
        </is>
      </c>
      <c r="E2951" t="inlineStr">
        <is>
          <t>RÄTTVIK</t>
        </is>
      </c>
      <c r="F2951" t="inlineStr">
        <is>
          <t>Bergvik skog väst AB</t>
        </is>
      </c>
      <c r="G2951" t="n">
        <v>4</v>
      </c>
      <c r="H2951" t="n">
        <v>0</v>
      </c>
      <c r="I2951" t="n">
        <v>0</v>
      </c>
      <c r="J2951" t="n">
        <v>0</v>
      </c>
      <c r="K2951" t="n">
        <v>0</v>
      </c>
      <c r="L2951" t="n">
        <v>0</v>
      </c>
      <c r="M2951" t="n">
        <v>0</v>
      </c>
      <c r="N2951" t="n">
        <v>0</v>
      </c>
      <c r="O2951" t="n">
        <v>0</v>
      </c>
      <c r="P2951" t="n">
        <v>0</v>
      </c>
      <c r="Q2951" t="n">
        <v>0</v>
      </c>
      <c r="R2951" s="2" t="inlineStr"/>
    </row>
    <row r="2952" ht="15" customHeight="1">
      <c r="A2952" t="inlineStr">
        <is>
          <t>A 37750-2023</t>
        </is>
      </c>
      <c r="B2952" s="1" t="n">
        <v>45159</v>
      </c>
      <c r="C2952" s="1" t="n">
        <v>46114</v>
      </c>
      <c r="D2952" t="inlineStr">
        <is>
          <t>DALARNAS LÄN</t>
        </is>
      </c>
      <c r="E2952" t="inlineStr">
        <is>
          <t>FALUN</t>
        </is>
      </c>
      <c r="G2952" t="n">
        <v>20.2</v>
      </c>
      <c r="H2952" t="n">
        <v>0</v>
      </c>
      <c r="I2952" t="n">
        <v>0</v>
      </c>
      <c r="J2952" t="n">
        <v>0</v>
      </c>
      <c r="K2952" t="n">
        <v>0</v>
      </c>
      <c r="L2952" t="n">
        <v>0</v>
      </c>
      <c r="M2952" t="n">
        <v>0</v>
      </c>
      <c r="N2952" t="n">
        <v>0</v>
      </c>
      <c r="O2952" t="n">
        <v>0</v>
      </c>
      <c r="P2952" t="n">
        <v>0</v>
      </c>
      <c r="Q2952" t="n">
        <v>0</v>
      </c>
      <c r="R2952" s="2" t="inlineStr"/>
    </row>
    <row r="2953" ht="15" customHeight="1">
      <c r="A2953" t="inlineStr">
        <is>
          <t>A 15121-2025</t>
        </is>
      </c>
      <c r="B2953" s="1" t="n">
        <v>45744.31552083333</v>
      </c>
      <c r="C2953" s="1" t="n">
        <v>46114</v>
      </c>
      <c r="D2953" t="inlineStr">
        <is>
          <t>DALARNAS LÄN</t>
        </is>
      </c>
      <c r="E2953" t="inlineStr">
        <is>
          <t>FALUN</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14168-2025</t>
        </is>
      </c>
      <c r="B2954" s="1" t="n">
        <v>45740.51744212963</v>
      </c>
      <c r="C2954" s="1" t="n">
        <v>46114</v>
      </c>
      <c r="D2954" t="inlineStr">
        <is>
          <t>DALARNAS LÄN</t>
        </is>
      </c>
      <c r="E2954" t="inlineStr">
        <is>
          <t>SÄTER</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51975-2023</t>
        </is>
      </c>
      <c r="B2955" s="1" t="n">
        <v>45219</v>
      </c>
      <c r="C2955" s="1" t="n">
        <v>46114</v>
      </c>
      <c r="D2955" t="inlineStr">
        <is>
          <t>DALARNAS LÄN</t>
        </is>
      </c>
      <c r="E2955" t="inlineStr">
        <is>
          <t>MALUNG-SÄLEN</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51994-2023</t>
        </is>
      </c>
      <c r="B2956" s="1" t="n">
        <v>45223.5884375</v>
      </c>
      <c r="C2956" s="1" t="n">
        <v>46114</v>
      </c>
      <c r="D2956" t="inlineStr">
        <is>
          <t>DALARNAS LÄN</t>
        </is>
      </c>
      <c r="E2956" t="inlineStr">
        <is>
          <t>ORSA</t>
        </is>
      </c>
      <c r="G2956" t="n">
        <v>10.7</v>
      </c>
      <c r="H2956" t="n">
        <v>0</v>
      </c>
      <c r="I2956" t="n">
        <v>0</v>
      </c>
      <c r="J2956" t="n">
        <v>0</v>
      </c>
      <c r="K2956" t="n">
        <v>0</v>
      </c>
      <c r="L2956" t="n">
        <v>0</v>
      </c>
      <c r="M2956" t="n">
        <v>0</v>
      </c>
      <c r="N2956" t="n">
        <v>0</v>
      </c>
      <c r="O2956" t="n">
        <v>0</v>
      </c>
      <c r="P2956" t="n">
        <v>0</v>
      </c>
      <c r="Q2956" t="n">
        <v>0</v>
      </c>
      <c r="R2956" s="2" t="inlineStr"/>
    </row>
    <row r="2957" ht="15" customHeight="1">
      <c r="A2957" t="inlineStr">
        <is>
          <t>A 52026-2023</t>
        </is>
      </c>
      <c r="B2957" s="1" t="n">
        <v>45223.61996527778</v>
      </c>
      <c r="C2957" s="1" t="n">
        <v>46114</v>
      </c>
      <c r="D2957" t="inlineStr">
        <is>
          <t>DALARNAS LÄN</t>
        </is>
      </c>
      <c r="E2957" t="inlineStr">
        <is>
          <t>FALUN</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5766-2025</t>
        </is>
      </c>
      <c r="B2958" s="1" t="n">
        <v>45694.57893518519</v>
      </c>
      <c r="C2958" s="1" t="n">
        <v>46114</v>
      </c>
      <c r="D2958" t="inlineStr">
        <is>
          <t>DALARNAS LÄN</t>
        </is>
      </c>
      <c r="E2958" t="inlineStr">
        <is>
          <t>HEDEMORA</t>
        </is>
      </c>
      <c r="G2958" t="n">
        <v>4.9</v>
      </c>
      <c r="H2958" t="n">
        <v>0</v>
      </c>
      <c r="I2958" t="n">
        <v>0</v>
      </c>
      <c r="J2958" t="n">
        <v>0</v>
      </c>
      <c r="K2958" t="n">
        <v>0</v>
      </c>
      <c r="L2958" t="n">
        <v>0</v>
      </c>
      <c r="M2958" t="n">
        <v>0</v>
      </c>
      <c r="N2958" t="n">
        <v>0</v>
      </c>
      <c r="O2958" t="n">
        <v>0</v>
      </c>
      <c r="P2958" t="n">
        <v>0</v>
      </c>
      <c r="Q2958" t="n">
        <v>0</v>
      </c>
      <c r="R2958" s="2" t="inlineStr"/>
    </row>
    <row r="2959" ht="15" customHeight="1">
      <c r="A2959" t="inlineStr">
        <is>
          <t>A 5769-2025</t>
        </is>
      </c>
      <c r="B2959" s="1" t="n">
        <v>45694.59288194445</v>
      </c>
      <c r="C2959" s="1" t="n">
        <v>46114</v>
      </c>
      <c r="D2959" t="inlineStr">
        <is>
          <t>DALARNAS LÄN</t>
        </is>
      </c>
      <c r="E2959" t="inlineStr">
        <is>
          <t>MORA</t>
        </is>
      </c>
      <c r="G2959" t="n">
        <v>15.7</v>
      </c>
      <c r="H2959" t="n">
        <v>0</v>
      </c>
      <c r="I2959" t="n">
        <v>0</v>
      </c>
      <c r="J2959" t="n">
        <v>0</v>
      </c>
      <c r="K2959" t="n">
        <v>0</v>
      </c>
      <c r="L2959" t="n">
        <v>0</v>
      </c>
      <c r="M2959" t="n">
        <v>0</v>
      </c>
      <c r="N2959" t="n">
        <v>0</v>
      </c>
      <c r="O2959" t="n">
        <v>0</v>
      </c>
      <c r="P2959" t="n">
        <v>0</v>
      </c>
      <c r="Q2959" t="n">
        <v>0</v>
      </c>
      <c r="R2959" s="2" t="inlineStr"/>
    </row>
    <row r="2960" ht="15" customHeight="1">
      <c r="A2960" t="inlineStr">
        <is>
          <t>A 59921-2024</t>
        </is>
      </c>
      <c r="B2960" s="1" t="n">
        <v>45641.90386574074</v>
      </c>
      <c r="C2960" s="1" t="n">
        <v>46114</v>
      </c>
      <c r="D2960" t="inlineStr">
        <is>
          <t>DALARNAS LÄN</t>
        </is>
      </c>
      <c r="E2960" t="inlineStr">
        <is>
          <t>RÄTTVIK</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7617-2024</t>
        </is>
      </c>
      <c r="B2961" s="1" t="n">
        <v>45348.59315972222</v>
      </c>
      <c r="C2961" s="1" t="n">
        <v>46114</v>
      </c>
      <c r="D2961" t="inlineStr">
        <is>
          <t>DALARNAS LÄN</t>
        </is>
      </c>
      <c r="E2961" t="inlineStr">
        <is>
          <t>AVESTA</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47525-2024</t>
        </is>
      </c>
      <c r="B2962" s="1" t="n">
        <v>45587.6328587963</v>
      </c>
      <c r="C2962" s="1" t="n">
        <v>46114</v>
      </c>
      <c r="D2962" t="inlineStr">
        <is>
          <t>DALARNAS LÄN</t>
        </is>
      </c>
      <c r="E2962" t="inlineStr">
        <is>
          <t>ÄLVDALEN</t>
        </is>
      </c>
      <c r="F2962" t="inlineStr">
        <is>
          <t>Bergvik skog väst AB</t>
        </is>
      </c>
      <c r="G2962" t="n">
        <v>4.6</v>
      </c>
      <c r="H2962" t="n">
        <v>0</v>
      </c>
      <c r="I2962" t="n">
        <v>0</v>
      </c>
      <c r="J2962" t="n">
        <v>0</v>
      </c>
      <c r="K2962" t="n">
        <v>0</v>
      </c>
      <c r="L2962" t="n">
        <v>0</v>
      </c>
      <c r="M2962" t="n">
        <v>0</v>
      </c>
      <c r="N2962" t="n">
        <v>0</v>
      </c>
      <c r="O2962" t="n">
        <v>0</v>
      </c>
      <c r="P2962" t="n">
        <v>0</v>
      </c>
      <c r="Q2962" t="n">
        <v>0</v>
      </c>
      <c r="R2962" s="2" t="inlineStr"/>
    </row>
    <row r="2963" ht="15" customHeight="1">
      <c r="A2963" t="inlineStr">
        <is>
          <t>A 45512-2023</t>
        </is>
      </c>
      <c r="B2963" s="1" t="n">
        <v>45194.49178240741</v>
      </c>
      <c r="C2963" s="1" t="n">
        <v>46114</v>
      </c>
      <c r="D2963" t="inlineStr">
        <is>
          <t>DALARNAS LÄN</t>
        </is>
      </c>
      <c r="E2963" t="inlineStr">
        <is>
          <t>LEKSAND</t>
        </is>
      </c>
      <c r="F2963" t="inlineStr">
        <is>
          <t>Bergvik skog väst AB</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57608-2021</t>
        </is>
      </c>
      <c r="B2964" s="1" t="n">
        <v>44484</v>
      </c>
      <c r="C2964" s="1" t="n">
        <v>46114</v>
      </c>
      <c r="D2964" t="inlineStr">
        <is>
          <t>DALARNAS LÄN</t>
        </is>
      </c>
      <c r="E2964" t="inlineStr">
        <is>
          <t>MORA</t>
        </is>
      </c>
      <c r="G2964" t="n">
        <v>6.3</v>
      </c>
      <c r="H2964" t="n">
        <v>0</v>
      </c>
      <c r="I2964" t="n">
        <v>0</v>
      </c>
      <c r="J2964" t="n">
        <v>0</v>
      </c>
      <c r="K2964" t="n">
        <v>0</v>
      </c>
      <c r="L2964" t="n">
        <v>0</v>
      </c>
      <c r="M2964" t="n">
        <v>0</v>
      </c>
      <c r="N2964" t="n">
        <v>0</v>
      </c>
      <c r="O2964" t="n">
        <v>0</v>
      </c>
      <c r="P2964" t="n">
        <v>0</v>
      </c>
      <c r="Q2964" t="n">
        <v>0</v>
      </c>
      <c r="R2964" s="2" t="inlineStr"/>
    </row>
    <row r="2965" ht="15" customHeight="1">
      <c r="A2965" t="inlineStr">
        <is>
          <t>A 55290-2022</t>
        </is>
      </c>
      <c r="B2965" s="1" t="n">
        <v>44887</v>
      </c>
      <c r="C2965" s="1" t="n">
        <v>46114</v>
      </c>
      <c r="D2965" t="inlineStr">
        <is>
          <t>DALARNAS LÄN</t>
        </is>
      </c>
      <c r="E2965" t="inlineStr">
        <is>
          <t>FALUN</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19470-2024</t>
        </is>
      </c>
      <c r="B2966" s="1" t="n">
        <v>45429.53177083333</v>
      </c>
      <c r="C2966" s="1" t="n">
        <v>46114</v>
      </c>
      <c r="D2966" t="inlineStr">
        <is>
          <t>DALARNAS LÄN</t>
        </is>
      </c>
      <c r="E2966" t="inlineStr">
        <is>
          <t>SMEDJEBACKEN</t>
        </is>
      </c>
      <c r="F2966" t="inlineStr">
        <is>
          <t>Sveaskog</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19473-2024</t>
        </is>
      </c>
      <c r="B2967" s="1" t="n">
        <v>45429</v>
      </c>
      <c r="C2967" s="1" t="n">
        <v>46114</v>
      </c>
      <c r="D2967" t="inlineStr">
        <is>
          <t>DALARNAS LÄN</t>
        </is>
      </c>
      <c r="E2967" t="inlineStr">
        <is>
          <t>HEDEMORA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19514-2024</t>
        </is>
      </c>
      <c r="B2968" s="1" t="n">
        <v>45429.61107638889</v>
      </c>
      <c r="C2968" s="1" t="n">
        <v>46114</v>
      </c>
      <c r="D2968" t="inlineStr">
        <is>
          <t>DALARNAS LÄN</t>
        </is>
      </c>
      <c r="E2968" t="inlineStr">
        <is>
          <t>FALUN</t>
        </is>
      </c>
      <c r="F2968" t="inlineStr">
        <is>
          <t>Bergvik skog väst AB</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15416-2023</t>
        </is>
      </c>
      <c r="B2969" s="1" t="n">
        <v>45019.71342592593</v>
      </c>
      <c r="C2969" s="1" t="n">
        <v>46114</v>
      </c>
      <c r="D2969" t="inlineStr">
        <is>
          <t>DALARNAS LÄN</t>
        </is>
      </c>
      <c r="E2969" t="inlineStr">
        <is>
          <t>MORA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61195-2023</t>
        </is>
      </c>
      <c r="B2970" s="1" t="n">
        <v>45264.36013888889</v>
      </c>
      <c r="C2970" s="1" t="n">
        <v>46114</v>
      </c>
      <c r="D2970" t="inlineStr">
        <is>
          <t>DALARNAS LÄN</t>
        </is>
      </c>
      <c r="E2970" t="inlineStr">
        <is>
          <t>BORLÄNGE</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23501-2023</t>
        </is>
      </c>
      <c r="B2971" s="1" t="n">
        <v>45076.73979166667</v>
      </c>
      <c r="C2971" s="1" t="n">
        <v>46114</v>
      </c>
      <c r="D2971" t="inlineStr">
        <is>
          <t>DALARNAS LÄN</t>
        </is>
      </c>
      <c r="E2971" t="inlineStr">
        <is>
          <t>HEDEMORA</t>
        </is>
      </c>
      <c r="F2971" t="inlineStr">
        <is>
          <t>Sveaskog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5231-2024</t>
        </is>
      </c>
      <c r="B2972" s="1" t="n">
        <v>45330</v>
      </c>
      <c r="C2972" s="1" t="n">
        <v>46114</v>
      </c>
      <c r="D2972" t="inlineStr">
        <is>
          <t>DALARNAS LÄN</t>
        </is>
      </c>
      <c r="E2972" t="inlineStr">
        <is>
          <t>LEKSAND</t>
        </is>
      </c>
      <c r="F2972" t="inlineStr">
        <is>
          <t>Bergvik skog väst AB</t>
        </is>
      </c>
      <c r="G2972" t="n">
        <v>11.2</v>
      </c>
      <c r="H2972" t="n">
        <v>0</v>
      </c>
      <c r="I2972" t="n">
        <v>0</v>
      </c>
      <c r="J2972" t="n">
        <v>0</v>
      </c>
      <c r="K2972" t="n">
        <v>0</v>
      </c>
      <c r="L2972" t="n">
        <v>0</v>
      </c>
      <c r="M2972" t="n">
        <v>0</v>
      </c>
      <c r="N2972" t="n">
        <v>0</v>
      </c>
      <c r="O2972" t="n">
        <v>0</v>
      </c>
      <c r="P2972" t="n">
        <v>0</v>
      </c>
      <c r="Q2972" t="n">
        <v>0</v>
      </c>
      <c r="R2972" s="2" t="inlineStr"/>
    </row>
    <row r="2973" ht="15" customHeight="1">
      <c r="A2973" t="inlineStr">
        <is>
          <t>A 66232-2021</t>
        </is>
      </c>
      <c r="B2973" s="1" t="n">
        <v>44518.39234953704</v>
      </c>
      <c r="C2973" s="1" t="n">
        <v>46114</v>
      </c>
      <c r="D2973" t="inlineStr">
        <is>
          <t>DALARNAS LÄN</t>
        </is>
      </c>
      <c r="E2973" t="inlineStr">
        <is>
          <t>MORA</t>
        </is>
      </c>
      <c r="G2973" t="n">
        <v>8.300000000000001</v>
      </c>
      <c r="H2973" t="n">
        <v>0</v>
      </c>
      <c r="I2973" t="n">
        <v>0</v>
      </c>
      <c r="J2973" t="n">
        <v>0</v>
      </c>
      <c r="K2973" t="n">
        <v>0</v>
      </c>
      <c r="L2973" t="n">
        <v>0</v>
      </c>
      <c r="M2973" t="n">
        <v>0</v>
      </c>
      <c r="N2973" t="n">
        <v>0</v>
      </c>
      <c r="O2973" t="n">
        <v>0</v>
      </c>
      <c r="P2973" t="n">
        <v>0</v>
      </c>
      <c r="Q2973" t="n">
        <v>0</v>
      </c>
      <c r="R2973" s="2" t="inlineStr"/>
    </row>
    <row r="2974" ht="15" customHeight="1">
      <c r="A2974" t="inlineStr">
        <is>
          <t>A 16118-2023</t>
        </is>
      </c>
      <c r="B2974" s="1" t="n">
        <v>45027</v>
      </c>
      <c r="C2974" s="1" t="n">
        <v>46114</v>
      </c>
      <c r="D2974" t="inlineStr">
        <is>
          <t>DALARNAS LÄN</t>
        </is>
      </c>
      <c r="E2974" t="inlineStr">
        <is>
          <t>GAGNEF</t>
        </is>
      </c>
      <c r="G2974" t="n">
        <v>2.3</v>
      </c>
      <c r="H2974" t="n">
        <v>0</v>
      </c>
      <c r="I2974" t="n">
        <v>0</v>
      </c>
      <c r="J2974" t="n">
        <v>0</v>
      </c>
      <c r="K2974" t="n">
        <v>0</v>
      </c>
      <c r="L2974" t="n">
        <v>0</v>
      </c>
      <c r="M2974" t="n">
        <v>0</v>
      </c>
      <c r="N2974" t="n">
        <v>0</v>
      </c>
      <c r="O2974" t="n">
        <v>0</v>
      </c>
      <c r="P2974" t="n">
        <v>0</v>
      </c>
      <c r="Q2974" t="n">
        <v>0</v>
      </c>
      <c r="R2974" s="2" t="inlineStr"/>
    </row>
    <row r="2975" ht="15" customHeight="1">
      <c r="A2975" t="inlineStr">
        <is>
          <t>A 16137-2023</t>
        </is>
      </c>
      <c r="B2975" s="1" t="n">
        <v>45027</v>
      </c>
      <c r="C2975" s="1" t="n">
        <v>46114</v>
      </c>
      <c r="D2975" t="inlineStr">
        <is>
          <t>DALARNAS LÄN</t>
        </is>
      </c>
      <c r="E2975" t="inlineStr">
        <is>
          <t>LEKSAND</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24617-2022</t>
        </is>
      </c>
      <c r="B2976" s="1" t="n">
        <v>44727</v>
      </c>
      <c r="C2976" s="1" t="n">
        <v>46114</v>
      </c>
      <c r="D2976" t="inlineStr">
        <is>
          <t>DALARNAS LÄN</t>
        </is>
      </c>
      <c r="E2976" t="inlineStr">
        <is>
          <t>SÄTER</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54253-2023</t>
        </is>
      </c>
      <c r="B2977" s="1" t="n">
        <v>45232.63217592592</v>
      </c>
      <c r="C2977" s="1" t="n">
        <v>46114</v>
      </c>
      <c r="D2977" t="inlineStr">
        <is>
          <t>DALARNAS LÄN</t>
        </is>
      </c>
      <c r="E2977" t="inlineStr">
        <is>
          <t>MORA</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28388-2024</t>
        </is>
      </c>
      <c r="B2978" s="1" t="n">
        <v>45477.59960648148</v>
      </c>
      <c r="C2978" s="1" t="n">
        <v>46114</v>
      </c>
      <c r="D2978" t="inlineStr">
        <is>
          <t>DALARNAS LÄN</t>
        </is>
      </c>
      <c r="E2978" t="inlineStr">
        <is>
          <t>ORSA</t>
        </is>
      </c>
      <c r="F2978" t="inlineStr">
        <is>
          <t>Bergvik skog öst AB</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54289-2023</t>
        </is>
      </c>
      <c r="B2979" s="1" t="n">
        <v>45232.71193287037</v>
      </c>
      <c r="C2979" s="1" t="n">
        <v>46114</v>
      </c>
      <c r="D2979" t="inlineStr">
        <is>
          <t>DALARNAS LÄN</t>
        </is>
      </c>
      <c r="E2979" t="inlineStr">
        <is>
          <t>LEKSAND</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16388-2022</t>
        </is>
      </c>
      <c r="B2980" s="1" t="n">
        <v>44671</v>
      </c>
      <c r="C2980" s="1" t="n">
        <v>46114</v>
      </c>
      <c r="D2980" t="inlineStr">
        <is>
          <t>DALARNAS LÄN</t>
        </is>
      </c>
      <c r="E2980" t="inlineStr">
        <is>
          <t>GAGNEF</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49639-2024</t>
        </is>
      </c>
      <c r="B2981" s="1" t="n">
        <v>45596.60530092593</v>
      </c>
      <c r="C2981" s="1" t="n">
        <v>46114</v>
      </c>
      <c r="D2981" t="inlineStr">
        <is>
          <t>DALARNAS LÄN</t>
        </is>
      </c>
      <c r="E2981" t="inlineStr">
        <is>
          <t>FALUN</t>
        </is>
      </c>
      <c r="F2981" t="inlineStr">
        <is>
          <t>Bergvik skog väst AB</t>
        </is>
      </c>
      <c r="G2981" t="n">
        <v>3.6</v>
      </c>
      <c r="H2981" t="n">
        <v>0</v>
      </c>
      <c r="I2981" t="n">
        <v>0</v>
      </c>
      <c r="J2981" t="n">
        <v>0</v>
      </c>
      <c r="K2981" t="n">
        <v>0</v>
      </c>
      <c r="L2981" t="n">
        <v>0</v>
      </c>
      <c r="M2981" t="n">
        <v>0</v>
      </c>
      <c r="N2981" t="n">
        <v>0</v>
      </c>
      <c r="O2981" t="n">
        <v>0</v>
      </c>
      <c r="P2981" t="n">
        <v>0</v>
      </c>
      <c r="Q2981" t="n">
        <v>0</v>
      </c>
      <c r="R2981" s="2" t="inlineStr"/>
    </row>
    <row r="2982" ht="15" customHeight="1">
      <c r="A2982" t="inlineStr">
        <is>
          <t>A 63540-2023</t>
        </is>
      </c>
      <c r="B2982" s="1" t="n">
        <v>45275.31835648148</v>
      </c>
      <c r="C2982" s="1" t="n">
        <v>46114</v>
      </c>
      <c r="D2982" t="inlineStr">
        <is>
          <t>DALARNAS LÄN</t>
        </is>
      </c>
      <c r="E2982" t="inlineStr">
        <is>
          <t>RÄTTVIK</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56346-2022</t>
        </is>
      </c>
      <c r="B2983" s="1" t="n">
        <v>44890</v>
      </c>
      <c r="C2983" s="1" t="n">
        <v>46114</v>
      </c>
      <c r="D2983" t="inlineStr">
        <is>
          <t>DALARNAS LÄN</t>
        </is>
      </c>
      <c r="E2983" t="inlineStr">
        <is>
          <t>LUDVIKA</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50808-2023</t>
        </is>
      </c>
      <c r="B2984" s="1" t="n">
        <v>45217</v>
      </c>
      <c r="C2984" s="1" t="n">
        <v>46114</v>
      </c>
      <c r="D2984" t="inlineStr">
        <is>
          <t>DALARNAS LÄN</t>
        </is>
      </c>
      <c r="E2984" t="inlineStr">
        <is>
          <t>VANSBRO</t>
        </is>
      </c>
      <c r="F2984" t="inlineStr">
        <is>
          <t>Bergvik skog väst AB</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37691-2024</t>
        </is>
      </c>
      <c r="B2985" s="1" t="n">
        <v>45541</v>
      </c>
      <c r="C2985" s="1" t="n">
        <v>46114</v>
      </c>
      <c r="D2985" t="inlineStr">
        <is>
          <t>DALARNAS LÄN</t>
        </is>
      </c>
      <c r="E2985" t="inlineStr">
        <is>
          <t>AVESTA</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50885-2023</t>
        </is>
      </c>
      <c r="B2986" s="1" t="n">
        <v>45218.38459490741</v>
      </c>
      <c r="C2986" s="1" t="n">
        <v>46114</v>
      </c>
      <c r="D2986" t="inlineStr">
        <is>
          <t>DALARNAS LÄN</t>
        </is>
      </c>
      <c r="E2986" t="inlineStr">
        <is>
          <t>HEDEMORA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2729-2025</t>
        </is>
      </c>
      <c r="B2987" s="1" t="n">
        <v>45677.44365740741</v>
      </c>
      <c r="C2987" s="1" t="n">
        <v>46114</v>
      </c>
      <c r="D2987" t="inlineStr">
        <is>
          <t>DALARNAS LÄN</t>
        </is>
      </c>
      <c r="E2987" t="inlineStr">
        <is>
          <t>MALUNG-SÄLEN</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2756-2025</t>
        </is>
      </c>
      <c r="B2988" s="1" t="n">
        <v>45677</v>
      </c>
      <c r="C2988" s="1" t="n">
        <v>46114</v>
      </c>
      <c r="D2988" t="inlineStr">
        <is>
          <t>DALARNAS LÄN</t>
        </is>
      </c>
      <c r="E2988" t="inlineStr">
        <is>
          <t>FALUN</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24827-2022</t>
        </is>
      </c>
      <c r="B2989" s="1" t="n">
        <v>44728.4549537037</v>
      </c>
      <c r="C2989" s="1" t="n">
        <v>46114</v>
      </c>
      <c r="D2989" t="inlineStr">
        <is>
          <t>DALARNAS LÄN</t>
        </is>
      </c>
      <c r="E2989" t="inlineStr">
        <is>
          <t>VANSBRO</t>
        </is>
      </c>
      <c r="F2989" t="inlineStr">
        <is>
          <t>Bergvik skog öst AB</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24839-2022</t>
        </is>
      </c>
      <c r="B2990" s="1" t="n">
        <v>44728</v>
      </c>
      <c r="C2990" s="1" t="n">
        <v>46114</v>
      </c>
      <c r="D2990" t="inlineStr">
        <is>
          <t>DALARNAS LÄN</t>
        </is>
      </c>
      <c r="E2990" t="inlineStr">
        <is>
          <t>VANSBRO</t>
        </is>
      </c>
      <c r="F2990" t="inlineStr">
        <is>
          <t>Bergvik skog öst AB</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38004-2024</t>
        </is>
      </c>
      <c r="B2991" s="1" t="n">
        <v>45544</v>
      </c>
      <c r="C2991" s="1" t="n">
        <v>46114</v>
      </c>
      <c r="D2991" t="inlineStr">
        <is>
          <t>DALARNAS LÄN</t>
        </is>
      </c>
      <c r="E2991" t="inlineStr">
        <is>
          <t>RÄTTVIK</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52903-2024</t>
        </is>
      </c>
      <c r="B2992" s="1" t="n">
        <v>45610.6875462963</v>
      </c>
      <c r="C2992" s="1" t="n">
        <v>46114</v>
      </c>
      <c r="D2992" t="inlineStr">
        <is>
          <t>DALARNAS LÄN</t>
        </is>
      </c>
      <c r="E2992" t="inlineStr">
        <is>
          <t>ORSA</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32602-2023</t>
        </is>
      </c>
      <c r="B2993" s="1" t="n">
        <v>45121.52883101852</v>
      </c>
      <c r="C2993" s="1" t="n">
        <v>46114</v>
      </c>
      <c r="D2993" t="inlineStr">
        <is>
          <t>DALARNAS LÄN</t>
        </is>
      </c>
      <c r="E2993" t="inlineStr">
        <is>
          <t>MALUNG-SÄLEN</t>
        </is>
      </c>
      <c r="F2993" t="inlineStr">
        <is>
          <t>Bergvik skog öst AB</t>
        </is>
      </c>
      <c r="G2993" t="n">
        <v>0.4</v>
      </c>
      <c r="H2993" t="n">
        <v>0</v>
      </c>
      <c r="I2993" t="n">
        <v>0</v>
      </c>
      <c r="J2993" t="n">
        <v>0</v>
      </c>
      <c r="K2993" t="n">
        <v>0</v>
      </c>
      <c r="L2993" t="n">
        <v>0</v>
      </c>
      <c r="M2993" t="n">
        <v>0</v>
      </c>
      <c r="N2993" t="n">
        <v>0</v>
      </c>
      <c r="O2993" t="n">
        <v>0</v>
      </c>
      <c r="P2993" t="n">
        <v>0</v>
      </c>
      <c r="Q2993" t="n">
        <v>0</v>
      </c>
      <c r="R2993" s="2" t="inlineStr"/>
    </row>
    <row r="2994" ht="15" customHeight="1">
      <c r="A2994" t="inlineStr">
        <is>
          <t>A 11869-2024</t>
        </is>
      </c>
      <c r="B2994" s="1" t="n">
        <v>45376.45800925926</v>
      </c>
      <c r="C2994" s="1" t="n">
        <v>46114</v>
      </c>
      <c r="D2994" t="inlineStr">
        <is>
          <t>DALARNAS LÄN</t>
        </is>
      </c>
      <c r="E2994" t="inlineStr">
        <is>
          <t>LEKSAND</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17379-2025</t>
        </is>
      </c>
      <c r="B2995" s="1" t="n">
        <v>45757.29122685185</v>
      </c>
      <c r="C2995" s="1" t="n">
        <v>46114</v>
      </c>
      <c r="D2995" t="inlineStr">
        <is>
          <t>DALARNAS LÄN</t>
        </is>
      </c>
      <c r="E2995" t="inlineStr">
        <is>
          <t>RÄTTVIK</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17393-2025</t>
        </is>
      </c>
      <c r="B2996" s="1" t="n">
        <v>45757.34350694445</v>
      </c>
      <c r="C2996" s="1" t="n">
        <v>46114</v>
      </c>
      <c r="D2996" t="inlineStr">
        <is>
          <t>DALARNAS LÄN</t>
        </is>
      </c>
      <c r="E2996" t="inlineStr">
        <is>
          <t>MORA</t>
        </is>
      </c>
      <c r="G2996" t="n">
        <v>10.1</v>
      </c>
      <c r="H2996" t="n">
        <v>0</v>
      </c>
      <c r="I2996" t="n">
        <v>0</v>
      </c>
      <c r="J2996" t="n">
        <v>0</v>
      </c>
      <c r="K2996" t="n">
        <v>0</v>
      </c>
      <c r="L2996" t="n">
        <v>0</v>
      </c>
      <c r="M2996" t="n">
        <v>0</v>
      </c>
      <c r="N2996" t="n">
        <v>0</v>
      </c>
      <c r="O2996" t="n">
        <v>0</v>
      </c>
      <c r="P2996" t="n">
        <v>0</v>
      </c>
      <c r="Q2996" t="n">
        <v>0</v>
      </c>
      <c r="R2996" s="2" t="inlineStr"/>
    </row>
    <row r="2997" ht="15" customHeight="1">
      <c r="A2997" t="inlineStr">
        <is>
          <t>A 53828-2021</t>
        </is>
      </c>
      <c r="B2997" s="1" t="n">
        <v>44469.61916666666</v>
      </c>
      <c r="C2997" s="1" t="n">
        <v>46114</v>
      </c>
      <c r="D2997" t="inlineStr">
        <is>
          <t>DALARNAS LÄN</t>
        </is>
      </c>
      <c r="E2997" t="inlineStr">
        <is>
          <t>VANSBRO</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45045-2023</t>
        </is>
      </c>
      <c r="B2998" s="1" t="n">
        <v>45191.34273148148</v>
      </c>
      <c r="C2998" s="1" t="n">
        <v>46114</v>
      </c>
      <c r="D2998" t="inlineStr">
        <is>
          <t>DALARNAS LÄN</t>
        </is>
      </c>
      <c r="E2998" t="inlineStr">
        <is>
          <t>LUDVIKA</t>
        </is>
      </c>
      <c r="F2998" t="inlineStr">
        <is>
          <t>Sveaskog</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5847-2025</t>
        </is>
      </c>
      <c r="B2999" s="1" t="n">
        <v>45695.30824074074</v>
      </c>
      <c r="C2999" s="1" t="n">
        <v>46114</v>
      </c>
      <c r="D2999" t="inlineStr">
        <is>
          <t>DALARNAS LÄN</t>
        </is>
      </c>
      <c r="E2999" t="inlineStr">
        <is>
          <t>LEKSAND</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17687-2025</t>
        </is>
      </c>
      <c r="B3000" s="1" t="n">
        <v>45758.39491898148</v>
      </c>
      <c r="C3000" s="1" t="n">
        <v>46114</v>
      </c>
      <c r="D3000" t="inlineStr">
        <is>
          <t>DALARNAS LÄN</t>
        </is>
      </c>
      <c r="E3000" t="inlineStr">
        <is>
          <t>SMEDJEBACKEN</t>
        </is>
      </c>
      <c r="G3000" t="n">
        <v>2.9</v>
      </c>
      <c r="H3000" t="n">
        <v>0</v>
      </c>
      <c r="I3000" t="n">
        <v>0</v>
      </c>
      <c r="J3000" t="n">
        <v>0</v>
      </c>
      <c r="K3000" t="n">
        <v>0</v>
      </c>
      <c r="L3000" t="n">
        <v>0</v>
      </c>
      <c r="M3000" t="n">
        <v>0</v>
      </c>
      <c r="N3000" t="n">
        <v>0</v>
      </c>
      <c r="O3000" t="n">
        <v>0</v>
      </c>
      <c r="P3000" t="n">
        <v>0</v>
      </c>
      <c r="Q3000" t="n">
        <v>0</v>
      </c>
      <c r="R3000" s="2" t="inlineStr"/>
    </row>
    <row r="3001" ht="15" customHeight="1">
      <c r="A3001" t="inlineStr">
        <is>
          <t>A 8342-2025</t>
        </is>
      </c>
      <c r="B3001" s="1" t="n">
        <v>45708.67251157408</v>
      </c>
      <c r="C3001" s="1" t="n">
        <v>46114</v>
      </c>
      <c r="D3001" t="inlineStr">
        <is>
          <t>DALARNAS LÄN</t>
        </is>
      </c>
      <c r="E3001" t="inlineStr">
        <is>
          <t>HEDEMORA</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21018-2021</t>
        </is>
      </c>
      <c r="B3002" s="1" t="n">
        <v>44319.62157407407</v>
      </c>
      <c r="C3002" s="1" t="n">
        <v>46114</v>
      </c>
      <c r="D3002" t="inlineStr">
        <is>
          <t>DALARNAS LÄN</t>
        </is>
      </c>
      <c r="E3002" t="inlineStr">
        <is>
          <t>MALUNG-SÄLEN</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32666-2023</t>
        </is>
      </c>
      <c r="B3003" s="1" t="n">
        <v>45121</v>
      </c>
      <c r="C3003" s="1" t="n">
        <v>46114</v>
      </c>
      <c r="D3003" t="inlineStr">
        <is>
          <t>DALARNAS LÄN</t>
        </is>
      </c>
      <c r="E3003" t="inlineStr">
        <is>
          <t>LEKSAND</t>
        </is>
      </c>
      <c r="G3003" t="n">
        <v>9.9</v>
      </c>
      <c r="H3003" t="n">
        <v>0</v>
      </c>
      <c r="I3003" t="n">
        <v>0</v>
      </c>
      <c r="J3003" t="n">
        <v>0</v>
      </c>
      <c r="K3003" t="n">
        <v>0</v>
      </c>
      <c r="L3003" t="n">
        <v>0</v>
      </c>
      <c r="M3003" t="n">
        <v>0</v>
      </c>
      <c r="N3003" t="n">
        <v>0</v>
      </c>
      <c r="O3003" t="n">
        <v>0</v>
      </c>
      <c r="P3003" t="n">
        <v>0</v>
      </c>
      <c r="Q3003" t="n">
        <v>0</v>
      </c>
      <c r="R3003" s="2" t="inlineStr"/>
    </row>
    <row r="3004" ht="15" customHeight="1">
      <c r="A3004" t="inlineStr">
        <is>
          <t>A 3816-2025</t>
        </is>
      </c>
      <c r="B3004" s="1" t="n">
        <v>45681.69211805556</v>
      </c>
      <c r="C3004" s="1" t="n">
        <v>46114</v>
      </c>
      <c r="D3004" t="inlineStr">
        <is>
          <t>DALARNAS LÄN</t>
        </is>
      </c>
      <c r="E3004" t="inlineStr">
        <is>
          <t>GAGNEF</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16012-2025</t>
        </is>
      </c>
      <c r="B3005" s="1" t="n">
        <v>45749.60295138889</v>
      </c>
      <c r="C3005" s="1" t="n">
        <v>46114</v>
      </c>
      <c r="D3005" t="inlineStr">
        <is>
          <t>DALARNAS LÄN</t>
        </is>
      </c>
      <c r="E3005" t="inlineStr">
        <is>
          <t>MALUNG-SÄLEN</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27506-2023</t>
        </is>
      </c>
      <c r="B3006" s="1" t="n">
        <v>45097</v>
      </c>
      <c r="C3006" s="1" t="n">
        <v>46114</v>
      </c>
      <c r="D3006" t="inlineStr">
        <is>
          <t>DALARNAS LÄN</t>
        </is>
      </c>
      <c r="E3006" t="inlineStr">
        <is>
          <t>FALUN</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19618-2024</t>
        </is>
      </c>
      <c r="B3007" s="1" t="n">
        <v>45432.32896990741</v>
      </c>
      <c r="C3007" s="1" t="n">
        <v>46114</v>
      </c>
      <c r="D3007" t="inlineStr">
        <is>
          <t>DALARNAS LÄN</t>
        </is>
      </c>
      <c r="E3007" t="inlineStr">
        <is>
          <t>LEKSAND</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53863-2024</t>
        </is>
      </c>
      <c r="B3008" s="1" t="n">
        <v>45615.64232638889</v>
      </c>
      <c r="C3008" s="1" t="n">
        <v>46114</v>
      </c>
      <c r="D3008" t="inlineStr">
        <is>
          <t>DALARNAS LÄN</t>
        </is>
      </c>
      <c r="E3008" t="inlineStr">
        <is>
          <t>MALUNG-SÄLEN</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53146-2023</t>
        </is>
      </c>
      <c r="B3009" s="1" t="n">
        <v>45229.35541666667</v>
      </c>
      <c r="C3009" s="1" t="n">
        <v>46114</v>
      </c>
      <c r="D3009" t="inlineStr">
        <is>
          <t>DALARNAS LÄN</t>
        </is>
      </c>
      <c r="E3009" t="inlineStr">
        <is>
          <t>MALUNG-SÄLEN</t>
        </is>
      </c>
      <c r="F3009" t="inlineStr">
        <is>
          <t>Övriga statliga verk och myndigheter</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49906-2024</t>
        </is>
      </c>
      <c r="B3010" s="1" t="n">
        <v>45597.55230324074</v>
      </c>
      <c r="C3010" s="1" t="n">
        <v>46114</v>
      </c>
      <c r="D3010" t="inlineStr">
        <is>
          <t>DALARNAS LÄN</t>
        </is>
      </c>
      <c r="E3010" t="inlineStr">
        <is>
          <t>ÄLVDALEN</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39574-2023</t>
        </is>
      </c>
      <c r="B3011" s="1" t="n">
        <v>45167.4177199074</v>
      </c>
      <c r="C3011" s="1" t="n">
        <v>46114</v>
      </c>
      <c r="D3011" t="inlineStr">
        <is>
          <t>DALARNAS LÄN</t>
        </is>
      </c>
      <c r="E3011" t="inlineStr">
        <is>
          <t>BORLÄNGE</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74432-2021</t>
        </is>
      </c>
      <c r="B3012" s="1" t="n">
        <v>44560.4366087963</v>
      </c>
      <c r="C3012" s="1" t="n">
        <v>46114</v>
      </c>
      <c r="D3012" t="inlineStr">
        <is>
          <t>DALARNAS LÄN</t>
        </is>
      </c>
      <c r="E3012" t="inlineStr">
        <is>
          <t>LUDVIKA</t>
        </is>
      </c>
      <c r="F3012" t="inlineStr">
        <is>
          <t>Kommuner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14747-2024</t>
        </is>
      </c>
      <c r="B3013" s="1" t="n">
        <v>45397.63957175926</v>
      </c>
      <c r="C3013" s="1" t="n">
        <v>46114</v>
      </c>
      <c r="D3013" t="inlineStr">
        <is>
          <t>DALARNAS LÄN</t>
        </is>
      </c>
      <c r="E3013" t="inlineStr">
        <is>
          <t>SÄTER</t>
        </is>
      </c>
      <c r="F3013" t="inlineStr">
        <is>
          <t>Bergvik skog väst AB</t>
        </is>
      </c>
      <c r="G3013" t="n">
        <v>5.6</v>
      </c>
      <c r="H3013" t="n">
        <v>0</v>
      </c>
      <c r="I3013" t="n">
        <v>0</v>
      </c>
      <c r="J3013" t="n">
        <v>0</v>
      </c>
      <c r="K3013" t="n">
        <v>0</v>
      </c>
      <c r="L3013" t="n">
        <v>0</v>
      </c>
      <c r="M3013" t="n">
        <v>0</v>
      </c>
      <c r="N3013" t="n">
        <v>0</v>
      </c>
      <c r="O3013" t="n">
        <v>0</v>
      </c>
      <c r="P3013" t="n">
        <v>0</v>
      </c>
      <c r="Q3013" t="n">
        <v>0</v>
      </c>
      <c r="R3013" s="2" t="inlineStr"/>
    </row>
    <row r="3014" ht="15" customHeight="1">
      <c r="A3014" t="inlineStr">
        <is>
          <t>A 28029-2023</t>
        </is>
      </c>
      <c r="B3014" s="1" t="n">
        <v>45099</v>
      </c>
      <c r="C3014" s="1" t="n">
        <v>46114</v>
      </c>
      <c r="D3014" t="inlineStr">
        <is>
          <t>DALARNAS LÄN</t>
        </is>
      </c>
      <c r="E3014" t="inlineStr">
        <is>
          <t>HEDEMORA</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37046-2023</t>
        </is>
      </c>
      <c r="B3015" s="1" t="n">
        <v>45154</v>
      </c>
      <c r="C3015" s="1" t="n">
        <v>46114</v>
      </c>
      <c r="D3015" t="inlineStr">
        <is>
          <t>DALARNAS LÄN</t>
        </is>
      </c>
      <c r="E3015" t="inlineStr">
        <is>
          <t>SMEDJEBACKEN</t>
        </is>
      </c>
      <c r="G3015" t="n">
        <v>21.9</v>
      </c>
      <c r="H3015" t="n">
        <v>0</v>
      </c>
      <c r="I3015" t="n">
        <v>0</v>
      </c>
      <c r="J3015" t="n">
        <v>0</v>
      </c>
      <c r="K3015" t="n">
        <v>0</v>
      </c>
      <c r="L3015" t="n">
        <v>0</v>
      </c>
      <c r="M3015" t="n">
        <v>0</v>
      </c>
      <c r="N3015" t="n">
        <v>0</v>
      </c>
      <c r="O3015" t="n">
        <v>0</v>
      </c>
      <c r="P3015" t="n">
        <v>0</v>
      </c>
      <c r="Q3015" t="n">
        <v>0</v>
      </c>
      <c r="R3015" s="2" t="inlineStr"/>
    </row>
    <row r="3016" ht="15" customHeight="1">
      <c r="A3016" t="inlineStr">
        <is>
          <t>A 28039-2023</t>
        </is>
      </c>
      <c r="B3016" s="1" t="n">
        <v>45099</v>
      </c>
      <c r="C3016" s="1" t="n">
        <v>46114</v>
      </c>
      <c r="D3016" t="inlineStr">
        <is>
          <t>DALARNAS LÄN</t>
        </is>
      </c>
      <c r="E3016" t="inlineStr">
        <is>
          <t>BORLÄNGE</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57208-2023</t>
        </is>
      </c>
      <c r="B3017" s="1" t="n">
        <v>45245.48416666667</v>
      </c>
      <c r="C3017" s="1" t="n">
        <v>46114</v>
      </c>
      <c r="D3017" t="inlineStr">
        <is>
          <t>DALARNAS LÄN</t>
        </is>
      </c>
      <c r="E3017" t="inlineStr">
        <is>
          <t>RÄTTVIK</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60878-2023</t>
        </is>
      </c>
      <c r="B3018" s="1" t="n">
        <v>45259</v>
      </c>
      <c r="C3018" s="1" t="n">
        <v>46114</v>
      </c>
      <c r="D3018" t="inlineStr">
        <is>
          <t>DALARNAS LÄN</t>
        </is>
      </c>
      <c r="E3018" t="inlineStr">
        <is>
          <t>LEKSAND</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54928-2022</t>
        </is>
      </c>
      <c r="B3019" s="1" t="n">
        <v>44886.43664351852</v>
      </c>
      <c r="C3019" s="1" t="n">
        <v>46114</v>
      </c>
      <c r="D3019" t="inlineStr">
        <is>
          <t>DALARNAS LÄN</t>
        </is>
      </c>
      <c r="E3019" t="inlineStr">
        <is>
          <t>MALUNG-SÄLEN</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54932-2022</t>
        </is>
      </c>
      <c r="B3020" s="1" t="n">
        <v>44881</v>
      </c>
      <c r="C3020" s="1" t="n">
        <v>46114</v>
      </c>
      <c r="D3020" t="inlineStr">
        <is>
          <t>DALARNAS LÄN</t>
        </is>
      </c>
      <c r="E3020" t="inlineStr">
        <is>
          <t>MALUNG-SÄLEN</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17138-2024</t>
        </is>
      </c>
      <c r="B3021" s="1" t="n">
        <v>45412.62952546297</v>
      </c>
      <c r="C3021" s="1" t="n">
        <v>46114</v>
      </c>
      <c r="D3021" t="inlineStr">
        <is>
          <t>DALARNAS LÄN</t>
        </is>
      </c>
      <c r="E3021" t="inlineStr">
        <is>
          <t>RÄTTVIK</t>
        </is>
      </c>
      <c r="F3021" t="inlineStr">
        <is>
          <t>Sveaskog</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20931-2023</t>
        </is>
      </c>
      <c r="B3022" s="1" t="n">
        <v>45056</v>
      </c>
      <c r="C3022" s="1" t="n">
        <v>46114</v>
      </c>
      <c r="D3022" t="inlineStr">
        <is>
          <t>DALARNAS LÄN</t>
        </is>
      </c>
      <c r="E3022" t="inlineStr">
        <is>
          <t>MALUNG-SÄLEN</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53576-2023</t>
        </is>
      </c>
      <c r="B3023" s="1" t="n">
        <v>45230.50288194444</v>
      </c>
      <c r="C3023" s="1" t="n">
        <v>46114</v>
      </c>
      <c r="D3023" t="inlineStr">
        <is>
          <t>DALARNAS LÄN</t>
        </is>
      </c>
      <c r="E3023" t="inlineStr">
        <is>
          <t>HEDEMORA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53588-2023</t>
        </is>
      </c>
      <c r="B3024" s="1" t="n">
        <v>45230.53109953704</v>
      </c>
      <c r="C3024" s="1" t="n">
        <v>46114</v>
      </c>
      <c r="D3024" t="inlineStr">
        <is>
          <t>DALARNAS LÄN</t>
        </is>
      </c>
      <c r="E3024" t="inlineStr">
        <is>
          <t>HEDEMORA</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64099-2023</t>
        </is>
      </c>
      <c r="B3025" s="1" t="n">
        <v>45279.46009259259</v>
      </c>
      <c r="C3025" s="1" t="n">
        <v>46114</v>
      </c>
      <c r="D3025" t="inlineStr">
        <is>
          <t>DALARNAS LÄN</t>
        </is>
      </c>
      <c r="E3025" t="inlineStr">
        <is>
          <t>MORA</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5885-2024</t>
        </is>
      </c>
      <c r="B3026" s="1" t="n">
        <v>45335</v>
      </c>
      <c r="C3026" s="1" t="n">
        <v>46114</v>
      </c>
      <c r="D3026" t="inlineStr">
        <is>
          <t>DALARNAS LÄN</t>
        </is>
      </c>
      <c r="E3026" t="inlineStr">
        <is>
          <t>ÄLVDALEN</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54682-2023</t>
        </is>
      </c>
      <c r="B3027" s="1" t="n">
        <v>45235.90439814814</v>
      </c>
      <c r="C3027" s="1" t="n">
        <v>46114</v>
      </c>
      <c r="D3027" t="inlineStr">
        <is>
          <t>DALARNAS LÄN</t>
        </is>
      </c>
      <c r="E3027" t="inlineStr">
        <is>
          <t>LEKSAND</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25887-2023</t>
        </is>
      </c>
      <c r="B3028" s="1" t="n">
        <v>45090.62493055555</v>
      </c>
      <c r="C3028" s="1" t="n">
        <v>46114</v>
      </c>
      <c r="D3028" t="inlineStr">
        <is>
          <t>DALARNAS LÄN</t>
        </is>
      </c>
      <c r="E3028" t="inlineStr">
        <is>
          <t>MORA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25891-2023</t>
        </is>
      </c>
      <c r="B3029" s="1" t="n">
        <v>45085</v>
      </c>
      <c r="C3029" s="1" t="n">
        <v>46114</v>
      </c>
      <c r="D3029" t="inlineStr">
        <is>
          <t>DALARNAS LÄN</t>
        </is>
      </c>
      <c r="E3029" t="inlineStr">
        <is>
          <t>RÄTTVIK</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44864-2022</t>
        </is>
      </c>
      <c r="B3030" s="1" t="n">
        <v>44841</v>
      </c>
      <c r="C3030" s="1" t="n">
        <v>46114</v>
      </c>
      <c r="D3030" t="inlineStr">
        <is>
          <t>DALARNAS LÄN</t>
        </is>
      </c>
      <c r="E3030" t="inlineStr">
        <is>
          <t>VANSBRO</t>
        </is>
      </c>
      <c r="F3030" t="inlineStr">
        <is>
          <t>Bergvik skog öst AB</t>
        </is>
      </c>
      <c r="G3030" t="n">
        <v>4.6</v>
      </c>
      <c r="H3030" t="n">
        <v>0</v>
      </c>
      <c r="I3030" t="n">
        <v>0</v>
      </c>
      <c r="J3030" t="n">
        <v>0</v>
      </c>
      <c r="K3030" t="n">
        <v>0</v>
      </c>
      <c r="L3030" t="n">
        <v>0</v>
      </c>
      <c r="M3030" t="n">
        <v>0</v>
      </c>
      <c r="N3030" t="n">
        <v>0</v>
      </c>
      <c r="O3030" t="n">
        <v>0</v>
      </c>
      <c r="P3030" t="n">
        <v>0</v>
      </c>
      <c r="Q3030" t="n">
        <v>0</v>
      </c>
      <c r="R3030" s="2" t="inlineStr"/>
    </row>
    <row r="3031" ht="15" customHeight="1">
      <c r="A3031" t="inlineStr">
        <is>
          <t>A 33064-2025</t>
        </is>
      </c>
      <c r="B3031" s="1" t="n">
        <v>45840</v>
      </c>
      <c r="C3031" s="1" t="n">
        <v>46114</v>
      </c>
      <c r="D3031" t="inlineStr">
        <is>
          <t>DALARNAS LÄN</t>
        </is>
      </c>
      <c r="E3031" t="inlineStr">
        <is>
          <t>SMEDJEBACKEN</t>
        </is>
      </c>
      <c r="F3031" t="inlineStr">
        <is>
          <t>Övriga Aktiebolag</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33002-2025</t>
        </is>
      </c>
      <c r="B3032" s="1" t="n">
        <v>45840</v>
      </c>
      <c r="C3032" s="1" t="n">
        <v>46114</v>
      </c>
      <c r="D3032" t="inlineStr">
        <is>
          <t>DALARNAS LÄN</t>
        </is>
      </c>
      <c r="E3032" t="inlineStr">
        <is>
          <t>RÄTTVIK</t>
        </is>
      </c>
      <c r="F3032" t="inlineStr">
        <is>
          <t>Bergvik skog väst AB</t>
        </is>
      </c>
      <c r="G3032" t="n">
        <v>1.6</v>
      </c>
      <c r="H3032" t="n">
        <v>0</v>
      </c>
      <c r="I3032" t="n">
        <v>0</v>
      </c>
      <c r="J3032" t="n">
        <v>0</v>
      </c>
      <c r="K3032" t="n">
        <v>0</v>
      </c>
      <c r="L3032" t="n">
        <v>0</v>
      </c>
      <c r="M3032" t="n">
        <v>0</v>
      </c>
      <c r="N3032" t="n">
        <v>0</v>
      </c>
      <c r="O3032" t="n">
        <v>0</v>
      </c>
      <c r="P3032" t="n">
        <v>0</v>
      </c>
      <c r="Q3032" t="n">
        <v>0</v>
      </c>
      <c r="R3032" s="2" t="inlineStr"/>
    </row>
    <row r="3033" ht="15" customHeight="1">
      <c r="A3033" t="inlineStr">
        <is>
          <t>A 54141-2023</t>
        </is>
      </c>
      <c r="B3033" s="1" t="n">
        <v>45232</v>
      </c>
      <c r="C3033" s="1" t="n">
        <v>46114</v>
      </c>
      <c r="D3033" t="inlineStr">
        <is>
          <t>DALARNAS LÄN</t>
        </is>
      </c>
      <c r="E3033" t="inlineStr">
        <is>
          <t>SÄTER</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33003-2025</t>
        </is>
      </c>
      <c r="B3034" s="1" t="n">
        <v>45840.35265046296</v>
      </c>
      <c r="C3034" s="1" t="n">
        <v>46114</v>
      </c>
      <c r="D3034" t="inlineStr">
        <is>
          <t>DALARNAS LÄN</t>
        </is>
      </c>
      <c r="E3034" t="inlineStr">
        <is>
          <t>VANSBRO</t>
        </is>
      </c>
      <c r="G3034" t="n">
        <v>2.3</v>
      </c>
      <c r="H3034" t="n">
        <v>0</v>
      </c>
      <c r="I3034" t="n">
        <v>0</v>
      </c>
      <c r="J3034" t="n">
        <v>0</v>
      </c>
      <c r="K3034" t="n">
        <v>0</v>
      </c>
      <c r="L3034" t="n">
        <v>0</v>
      </c>
      <c r="M3034" t="n">
        <v>0</v>
      </c>
      <c r="N3034" t="n">
        <v>0</v>
      </c>
      <c r="O3034" t="n">
        <v>0</v>
      </c>
      <c r="P3034" t="n">
        <v>0</v>
      </c>
      <c r="Q3034" t="n">
        <v>0</v>
      </c>
      <c r="R3034" s="2" t="inlineStr"/>
      <c r="U3034">
        <f>HYPERLINK("https://klasma.github.io/Logging_2021/knärot/A 33003-2025 karta knärot.png", "A 33003-2025")</f>
        <v/>
      </c>
      <c r="V3034">
        <f>HYPERLINK("https://klasma.github.io/Logging_2021/klagomål/A 33003-2025 FSC-klagomål.docx", "A 33003-2025")</f>
        <v/>
      </c>
      <c r="W3034">
        <f>HYPERLINK("https://klasma.github.io/Logging_2021/klagomålsmail/A 33003-2025 FSC-klagomål mail.docx", "A 33003-2025")</f>
        <v/>
      </c>
      <c r="X3034">
        <f>HYPERLINK("https://klasma.github.io/Logging_2021/tillsyn/A 33003-2025 tillsynsbegäran.docx", "A 33003-2025")</f>
        <v/>
      </c>
      <c r="Y3034">
        <f>HYPERLINK("https://klasma.github.io/Logging_2021/tillsynsmail/A 33003-2025 tillsynsbegäran mail.docx", "A 33003-2025")</f>
        <v/>
      </c>
    </row>
    <row r="3035" ht="15" customHeight="1">
      <c r="A3035" t="inlineStr">
        <is>
          <t>A 21322-2023</t>
        </is>
      </c>
      <c r="B3035" s="1" t="n">
        <v>45058</v>
      </c>
      <c r="C3035" s="1" t="n">
        <v>46114</v>
      </c>
      <c r="D3035" t="inlineStr">
        <is>
          <t>DALARNAS LÄN</t>
        </is>
      </c>
      <c r="E3035" t="inlineStr">
        <is>
          <t>AVESTA</t>
        </is>
      </c>
      <c r="F3035" t="inlineStr">
        <is>
          <t>Bergvik skog väst AB</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33009-2025</t>
        </is>
      </c>
      <c r="B3036" s="1" t="n">
        <v>45840</v>
      </c>
      <c r="C3036" s="1" t="n">
        <v>46114</v>
      </c>
      <c r="D3036" t="inlineStr">
        <is>
          <t>DALARNAS LÄN</t>
        </is>
      </c>
      <c r="E3036" t="inlineStr">
        <is>
          <t>HEDEMORA</t>
        </is>
      </c>
      <c r="F3036" t="inlineStr">
        <is>
          <t>Kyrkan</t>
        </is>
      </c>
      <c r="G3036" t="n">
        <v>7.6</v>
      </c>
      <c r="H3036" t="n">
        <v>0</v>
      </c>
      <c r="I3036" t="n">
        <v>0</v>
      </c>
      <c r="J3036" t="n">
        <v>0</v>
      </c>
      <c r="K3036" t="n">
        <v>0</v>
      </c>
      <c r="L3036" t="n">
        <v>0</v>
      </c>
      <c r="M3036" t="n">
        <v>0</v>
      </c>
      <c r="N3036" t="n">
        <v>0</v>
      </c>
      <c r="O3036" t="n">
        <v>0</v>
      </c>
      <c r="P3036" t="n">
        <v>0</v>
      </c>
      <c r="Q3036" t="n">
        <v>0</v>
      </c>
      <c r="R3036" s="2" t="inlineStr"/>
    </row>
    <row r="3037" ht="15" customHeight="1">
      <c r="A3037" t="inlineStr">
        <is>
          <t>A 33017-2025</t>
        </is>
      </c>
      <c r="B3037" s="1" t="n">
        <v>45840</v>
      </c>
      <c r="C3037" s="1" t="n">
        <v>46114</v>
      </c>
      <c r="D3037" t="inlineStr">
        <is>
          <t>DALARNAS LÄN</t>
        </is>
      </c>
      <c r="E3037" t="inlineStr">
        <is>
          <t>SMEDJEBACKEN</t>
        </is>
      </c>
      <c r="F3037" t="inlineStr">
        <is>
          <t>Övriga Aktiebolag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33286-2025</t>
        </is>
      </c>
      <c r="B3038" s="1" t="n">
        <v>45840.81065972222</v>
      </c>
      <c r="C3038" s="1" t="n">
        <v>46114</v>
      </c>
      <c r="D3038" t="inlineStr">
        <is>
          <t>DALARNAS LÄN</t>
        </is>
      </c>
      <c r="E3038" t="inlineStr">
        <is>
          <t>HEDEMORA</t>
        </is>
      </c>
      <c r="F3038" t="inlineStr">
        <is>
          <t>Sveaskog</t>
        </is>
      </c>
      <c r="G3038" t="n">
        <v>7.1</v>
      </c>
      <c r="H3038" t="n">
        <v>0</v>
      </c>
      <c r="I3038" t="n">
        <v>0</v>
      </c>
      <c r="J3038" t="n">
        <v>0</v>
      </c>
      <c r="K3038" t="n">
        <v>0</v>
      </c>
      <c r="L3038" t="n">
        <v>0</v>
      </c>
      <c r="M3038" t="n">
        <v>0</v>
      </c>
      <c r="N3038" t="n">
        <v>0</v>
      </c>
      <c r="O3038" t="n">
        <v>0</v>
      </c>
      <c r="P3038" t="n">
        <v>0</v>
      </c>
      <c r="Q3038" t="n">
        <v>0</v>
      </c>
      <c r="R3038" s="2" t="inlineStr"/>
    </row>
    <row r="3039" ht="15" customHeight="1">
      <c r="A3039" t="inlineStr">
        <is>
          <t>A 1839-2025</t>
        </is>
      </c>
      <c r="B3039" s="1" t="n">
        <v>45671</v>
      </c>
      <c r="C3039" s="1" t="n">
        <v>46114</v>
      </c>
      <c r="D3039" t="inlineStr">
        <is>
          <t>DALARNAS LÄN</t>
        </is>
      </c>
      <c r="E3039" t="inlineStr">
        <is>
          <t>FALUN</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34783-2024</t>
        </is>
      </c>
      <c r="B3040" s="1" t="n">
        <v>45526</v>
      </c>
      <c r="C3040" s="1" t="n">
        <v>46114</v>
      </c>
      <c r="D3040" t="inlineStr">
        <is>
          <t>DALARNAS LÄN</t>
        </is>
      </c>
      <c r="E3040" t="inlineStr">
        <is>
          <t>BORLÄNGE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19024-2021</t>
        </is>
      </c>
      <c r="B3041" s="1" t="n">
        <v>44308.5053587963</v>
      </c>
      <c r="C3041" s="1" t="n">
        <v>46114</v>
      </c>
      <c r="D3041" t="inlineStr">
        <is>
          <t>DALARNAS LÄN</t>
        </is>
      </c>
      <c r="E3041" t="inlineStr">
        <is>
          <t>ORSA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36262-2023</t>
        </is>
      </c>
      <c r="B3042" s="1" t="n">
        <v>45151.9096875</v>
      </c>
      <c r="C3042" s="1" t="n">
        <v>46114</v>
      </c>
      <c r="D3042" t="inlineStr">
        <is>
          <t>DALARNAS LÄN</t>
        </is>
      </c>
      <c r="E3042" t="inlineStr">
        <is>
          <t>LEKSAND</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51601-2023</t>
        </is>
      </c>
      <c r="B3043" s="1" t="n">
        <v>45222.48548611111</v>
      </c>
      <c r="C3043" s="1" t="n">
        <v>46114</v>
      </c>
      <c r="D3043" t="inlineStr">
        <is>
          <t>DALARNAS LÄN</t>
        </is>
      </c>
      <c r="E3043" t="inlineStr">
        <is>
          <t>VANSBRO</t>
        </is>
      </c>
      <c r="F3043" t="inlineStr">
        <is>
          <t>Bergvik skog väst AB</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17583-2023</t>
        </is>
      </c>
      <c r="B3044" s="1" t="n">
        <v>45036.58005787037</v>
      </c>
      <c r="C3044" s="1" t="n">
        <v>46114</v>
      </c>
      <c r="D3044" t="inlineStr">
        <is>
          <t>DALARNAS LÄN</t>
        </is>
      </c>
      <c r="E3044" t="inlineStr">
        <is>
          <t>MALUNG-SÄLEN</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33214-2025</t>
        </is>
      </c>
      <c r="B3045" s="1" t="n">
        <v>45840.6295949074</v>
      </c>
      <c r="C3045" s="1" t="n">
        <v>46114</v>
      </c>
      <c r="D3045" t="inlineStr">
        <is>
          <t>DALARNAS LÄN</t>
        </is>
      </c>
      <c r="E3045" t="inlineStr">
        <is>
          <t>ORSA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24974-2025</t>
        </is>
      </c>
      <c r="B3046" s="1" t="n">
        <v>45799</v>
      </c>
      <c r="C3046" s="1" t="n">
        <v>46114</v>
      </c>
      <c r="D3046" t="inlineStr">
        <is>
          <t>DALARNAS LÄN</t>
        </is>
      </c>
      <c r="E3046" t="inlineStr">
        <is>
          <t>LUDVIKA</t>
        </is>
      </c>
      <c r="F3046" t="inlineStr">
        <is>
          <t>Bergvik skog väst AB</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1697-2025</t>
        </is>
      </c>
      <c r="B3047" s="1" t="n">
        <v>45670</v>
      </c>
      <c r="C3047" s="1" t="n">
        <v>46114</v>
      </c>
      <c r="D3047" t="inlineStr">
        <is>
          <t>DALARNAS LÄN</t>
        </is>
      </c>
      <c r="E3047" t="inlineStr">
        <is>
          <t>FALUN</t>
        </is>
      </c>
      <c r="G3047" t="n">
        <v>13.5</v>
      </c>
      <c r="H3047" t="n">
        <v>0</v>
      </c>
      <c r="I3047" t="n">
        <v>0</v>
      </c>
      <c r="J3047" t="n">
        <v>0</v>
      </c>
      <c r="K3047" t="n">
        <v>0</v>
      </c>
      <c r="L3047" t="n">
        <v>0</v>
      </c>
      <c r="M3047" t="n">
        <v>0</v>
      </c>
      <c r="N3047" t="n">
        <v>0</v>
      </c>
      <c r="O3047" t="n">
        <v>0</v>
      </c>
      <c r="P3047" t="n">
        <v>0</v>
      </c>
      <c r="Q3047" t="n">
        <v>0</v>
      </c>
      <c r="R3047" s="2" t="inlineStr"/>
    </row>
    <row r="3048" ht="15" customHeight="1">
      <c r="A3048" t="inlineStr">
        <is>
          <t>A 55961-2024</t>
        </is>
      </c>
      <c r="B3048" s="1" t="n">
        <v>45623.64104166667</v>
      </c>
      <c r="C3048" s="1" t="n">
        <v>46114</v>
      </c>
      <c r="D3048" t="inlineStr">
        <is>
          <t>DALARNAS LÄN</t>
        </is>
      </c>
      <c r="E3048" t="inlineStr">
        <is>
          <t>LUDVIKA</t>
        </is>
      </c>
      <c r="F3048" t="inlineStr">
        <is>
          <t>Bergvik skog väst AB</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33443-2025</t>
        </is>
      </c>
      <c r="B3049" s="1" t="n">
        <v>45841</v>
      </c>
      <c r="C3049" s="1" t="n">
        <v>46114</v>
      </c>
      <c r="D3049" t="inlineStr">
        <is>
          <t>DALARNAS LÄN</t>
        </is>
      </c>
      <c r="E3049" t="inlineStr">
        <is>
          <t>MORA</t>
        </is>
      </c>
      <c r="G3049" t="n">
        <v>2.7</v>
      </c>
      <c r="H3049" t="n">
        <v>0</v>
      </c>
      <c r="I3049" t="n">
        <v>0</v>
      </c>
      <c r="J3049" t="n">
        <v>0</v>
      </c>
      <c r="K3049" t="n">
        <v>0</v>
      </c>
      <c r="L3049" t="n">
        <v>0</v>
      </c>
      <c r="M3049" t="n">
        <v>0</v>
      </c>
      <c r="N3049" t="n">
        <v>0</v>
      </c>
      <c r="O3049" t="n">
        <v>0</v>
      </c>
      <c r="P3049" t="n">
        <v>0</v>
      </c>
      <c r="Q3049" t="n">
        <v>0</v>
      </c>
      <c r="R3049" s="2" t="inlineStr"/>
    </row>
    <row r="3050" ht="15" customHeight="1">
      <c r="A3050" t="inlineStr">
        <is>
          <t>A 33680-2025</t>
        </is>
      </c>
      <c r="B3050" s="1" t="n">
        <v>45841</v>
      </c>
      <c r="C3050" s="1" t="n">
        <v>46114</v>
      </c>
      <c r="D3050" t="inlineStr">
        <is>
          <t>DALARNAS LÄN</t>
        </is>
      </c>
      <c r="E3050" t="inlineStr">
        <is>
          <t>MALUNG-SÄLEN</t>
        </is>
      </c>
      <c r="F3050" t="inlineStr">
        <is>
          <t>Bergvik skog väst AB</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45440-2021</t>
        </is>
      </c>
      <c r="B3051" s="1" t="n">
        <v>44440</v>
      </c>
      <c r="C3051" s="1" t="n">
        <v>46114</v>
      </c>
      <c r="D3051" t="inlineStr">
        <is>
          <t>DALARNAS LÄN</t>
        </is>
      </c>
      <c r="E3051" t="inlineStr">
        <is>
          <t>MALUNG-SÄLEN</t>
        </is>
      </c>
      <c r="F3051" t="inlineStr">
        <is>
          <t>Kommuner</t>
        </is>
      </c>
      <c r="G3051" t="n">
        <v>1</v>
      </c>
      <c r="H3051" t="n">
        <v>0</v>
      </c>
      <c r="I3051" t="n">
        <v>0</v>
      </c>
      <c r="J3051" t="n">
        <v>0</v>
      </c>
      <c r="K3051" t="n">
        <v>0</v>
      </c>
      <c r="L3051" t="n">
        <v>0</v>
      </c>
      <c r="M3051" t="n">
        <v>0</v>
      </c>
      <c r="N3051" t="n">
        <v>0</v>
      </c>
      <c r="O3051" t="n">
        <v>0</v>
      </c>
      <c r="P3051" t="n">
        <v>0</v>
      </c>
      <c r="Q3051" t="n">
        <v>0</v>
      </c>
      <c r="R3051" s="2" t="inlineStr"/>
    </row>
    <row r="3052" ht="15" customHeight="1">
      <c r="A3052" t="inlineStr">
        <is>
          <t>A 33647-2025</t>
        </is>
      </c>
      <c r="B3052" s="1" t="n">
        <v>45841.65665509259</v>
      </c>
      <c r="C3052" s="1" t="n">
        <v>46114</v>
      </c>
      <c r="D3052" t="inlineStr">
        <is>
          <t>DALARNAS LÄN</t>
        </is>
      </c>
      <c r="E3052" t="inlineStr">
        <is>
          <t>MALUNG-SÄLEN</t>
        </is>
      </c>
      <c r="F3052" t="inlineStr">
        <is>
          <t>Övriga statliga verk och myndigheter</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23642-2024</t>
        </is>
      </c>
      <c r="B3053" s="1" t="n">
        <v>45454.49690972222</v>
      </c>
      <c r="C3053" s="1" t="n">
        <v>46114</v>
      </c>
      <c r="D3053" t="inlineStr">
        <is>
          <t>DALARNAS LÄN</t>
        </is>
      </c>
      <c r="E3053" t="inlineStr">
        <is>
          <t>FALUN</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33670-2025</t>
        </is>
      </c>
      <c r="B3054" s="1" t="n">
        <v>45841.67546296296</v>
      </c>
      <c r="C3054" s="1" t="n">
        <v>46114</v>
      </c>
      <c r="D3054" t="inlineStr">
        <is>
          <t>DALARNAS LÄN</t>
        </is>
      </c>
      <c r="E3054" t="inlineStr">
        <is>
          <t>MALUNG-SÄLEN</t>
        </is>
      </c>
      <c r="F3054" t="inlineStr">
        <is>
          <t>Bergvik skog väst AB</t>
        </is>
      </c>
      <c r="G3054" t="n">
        <v>8.5</v>
      </c>
      <c r="H3054" t="n">
        <v>0</v>
      </c>
      <c r="I3054" t="n">
        <v>0</v>
      </c>
      <c r="J3054" t="n">
        <v>0</v>
      </c>
      <c r="K3054" t="n">
        <v>0</v>
      </c>
      <c r="L3054" t="n">
        <v>0</v>
      </c>
      <c r="M3054" t="n">
        <v>0</v>
      </c>
      <c r="N3054" t="n">
        <v>0</v>
      </c>
      <c r="O3054" t="n">
        <v>0</v>
      </c>
      <c r="P3054" t="n">
        <v>0</v>
      </c>
      <c r="Q3054" t="n">
        <v>0</v>
      </c>
      <c r="R3054" s="2" t="inlineStr"/>
    </row>
    <row r="3055" ht="15" customHeight="1">
      <c r="A3055" t="inlineStr">
        <is>
          <t>A 33464-2025</t>
        </is>
      </c>
      <c r="B3055" s="1" t="n">
        <v>45841.48256944444</v>
      </c>
      <c r="C3055" s="1" t="n">
        <v>46114</v>
      </c>
      <c r="D3055" t="inlineStr">
        <is>
          <t>DALARNAS LÄN</t>
        </is>
      </c>
      <c r="E3055" t="inlineStr">
        <is>
          <t>SMEDJEBACKEN</t>
        </is>
      </c>
      <c r="F3055" t="inlineStr">
        <is>
          <t>Sveaskog</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33466-2025</t>
        </is>
      </c>
      <c r="B3056" s="1" t="n">
        <v>45841</v>
      </c>
      <c r="C3056" s="1" t="n">
        <v>46114</v>
      </c>
      <c r="D3056" t="inlineStr">
        <is>
          <t>DALARNAS LÄN</t>
        </is>
      </c>
      <c r="E3056" t="inlineStr">
        <is>
          <t>SMEDJEBACKEN</t>
        </is>
      </c>
      <c r="F3056" t="inlineStr">
        <is>
          <t>Sveaskog</t>
        </is>
      </c>
      <c r="G3056" t="n">
        <v>6.7</v>
      </c>
      <c r="H3056" t="n">
        <v>0</v>
      </c>
      <c r="I3056" t="n">
        <v>0</v>
      </c>
      <c r="J3056" t="n">
        <v>0</v>
      </c>
      <c r="K3056" t="n">
        <v>0</v>
      </c>
      <c r="L3056" t="n">
        <v>0</v>
      </c>
      <c r="M3056" t="n">
        <v>0</v>
      </c>
      <c r="N3056" t="n">
        <v>0</v>
      </c>
      <c r="O3056" t="n">
        <v>0</v>
      </c>
      <c r="P3056" t="n">
        <v>0</v>
      </c>
      <c r="Q3056" t="n">
        <v>0</v>
      </c>
      <c r="R3056" s="2" t="inlineStr"/>
    </row>
    <row r="3057" ht="15" customHeight="1">
      <c r="A3057" t="inlineStr">
        <is>
          <t>A 51953-2024</t>
        </is>
      </c>
      <c r="B3057" s="1" t="n">
        <v>45607.64084490741</v>
      </c>
      <c r="C3057" s="1" t="n">
        <v>46114</v>
      </c>
      <c r="D3057" t="inlineStr">
        <is>
          <t>DALARNAS LÄN</t>
        </is>
      </c>
      <c r="E3057" t="inlineStr">
        <is>
          <t>FALUN</t>
        </is>
      </c>
      <c r="F3057" t="inlineStr">
        <is>
          <t>Bergvik skog väst AB</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33170-2025</t>
        </is>
      </c>
      <c r="B3058" s="1" t="n">
        <v>45840</v>
      </c>
      <c r="C3058" s="1" t="n">
        <v>46114</v>
      </c>
      <c r="D3058" t="inlineStr">
        <is>
          <t>DALARNAS LÄN</t>
        </is>
      </c>
      <c r="E3058" t="inlineStr">
        <is>
          <t>FALUN</t>
        </is>
      </c>
      <c r="F3058" t="inlineStr">
        <is>
          <t>Bergvik skog väst AB</t>
        </is>
      </c>
      <c r="G3058" t="n">
        <v>21.1</v>
      </c>
      <c r="H3058" t="n">
        <v>0</v>
      </c>
      <c r="I3058" t="n">
        <v>0</v>
      </c>
      <c r="J3058" t="n">
        <v>0</v>
      </c>
      <c r="K3058" t="n">
        <v>0</v>
      </c>
      <c r="L3058" t="n">
        <v>0</v>
      </c>
      <c r="M3058" t="n">
        <v>0</v>
      </c>
      <c r="N3058" t="n">
        <v>0</v>
      </c>
      <c r="O3058" t="n">
        <v>0</v>
      </c>
      <c r="P3058" t="n">
        <v>0</v>
      </c>
      <c r="Q3058" t="n">
        <v>0</v>
      </c>
      <c r="R3058" s="2" t="inlineStr"/>
    </row>
    <row r="3059" ht="15" customHeight="1">
      <c r="A3059" t="inlineStr">
        <is>
          <t>A 51958-2024</t>
        </is>
      </c>
      <c r="B3059" s="1" t="n">
        <v>45607.64520833334</v>
      </c>
      <c r="C3059" s="1" t="n">
        <v>46114</v>
      </c>
      <c r="D3059" t="inlineStr">
        <is>
          <t>DALARNAS LÄN</t>
        </is>
      </c>
      <c r="E3059" t="inlineStr">
        <is>
          <t>FALUN</t>
        </is>
      </c>
      <c r="F3059" t="inlineStr">
        <is>
          <t>Bergvik skog väst AB</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22652-2024</t>
        </is>
      </c>
      <c r="B3060" s="1" t="n">
        <v>45447.90041666666</v>
      </c>
      <c r="C3060" s="1" t="n">
        <v>46114</v>
      </c>
      <c r="D3060" t="inlineStr">
        <is>
          <t>DALARNAS LÄN</t>
        </is>
      </c>
      <c r="E3060" t="inlineStr">
        <is>
          <t>BORLÄNGE</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33244-2025</t>
        </is>
      </c>
      <c r="B3061" s="1" t="n">
        <v>45840</v>
      </c>
      <c r="C3061" s="1" t="n">
        <v>46114</v>
      </c>
      <c r="D3061" t="inlineStr">
        <is>
          <t>DALARNAS LÄN</t>
        </is>
      </c>
      <c r="E3061" t="inlineStr">
        <is>
          <t>LUDVIKA</t>
        </is>
      </c>
      <c r="F3061" t="inlineStr">
        <is>
          <t>Bergvik skog väst AB</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29468-2022</t>
        </is>
      </c>
      <c r="B3062" s="1" t="n">
        <v>44753.56021990741</v>
      </c>
      <c r="C3062" s="1" t="n">
        <v>46114</v>
      </c>
      <c r="D3062" t="inlineStr">
        <is>
          <t>DALARNAS LÄN</t>
        </is>
      </c>
      <c r="E3062" t="inlineStr">
        <is>
          <t>AVESTA</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33542-2025</t>
        </is>
      </c>
      <c r="B3063" s="1" t="n">
        <v>45841</v>
      </c>
      <c r="C3063" s="1" t="n">
        <v>46114</v>
      </c>
      <c r="D3063" t="inlineStr">
        <is>
          <t>DALARNAS LÄN</t>
        </is>
      </c>
      <c r="E3063" t="inlineStr">
        <is>
          <t>FALUN</t>
        </is>
      </c>
      <c r="F3063" t="inlineStr">
        <is>
          <t>Bergvik skog väst AB</t>
        </is>
      </c>
      <c r="G3063" t="n">
        <v>2.6</v>
      </c>
      <c r="H3063" t="n">
        <v>0</v>
      </c>
      <c r="I3063" t="n">
        <v>0</v>
      </c>
      <c r="J3063" t="n">
        <v>0</v>
      </c>
      <c r="K3063" t="n">
        <v>0</v>
      </c>
      <c r="L3063" t="n">
        <v>0</v>
      </c>
      <c r="M3063" t="n">
        <v>0</v>
      </c>
      <c r="N3063" t="n">
        <v>0</v>
      </c>
      <c r="O3063" t="n">
        <v>0</v>
      </c>
      <c r="P3063" t="n">
        <v>0</v>
      </c>
      <c r="Q3063" t="n">
        <v>0</v>
      </c>
      <c r="R3063" s="2" t="inlineStr"/>
    </row>
    <row r="3064" ht="15" customHeight="1">
      <c r="A3064" t="inlineStr">
        <is>
          <t>A 17650-2025</t>
        </is>
      </c>
      <c r="B3064" s="1" t="n">
        <v>45758.33210648148</v>
      </c>
      <c r="C3064" s="1" t="n">
        <v>46114</v>
      </c>
      <c r="D3064" t="inlineStr">
        <is>
          <t>DALARNAS LÄN</t>
        </is>
      </c>
      <c r="E3064" t="inlineStr">
        <is>
          <t>SMEDJEBACKEN</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25276-2021</t>
        </is>
      </c>
      <c r="B3065" s="1" t="n">
        <v>44342</v>
      </c>
      <c r="C3065" s="1" t="n">
        <v>46114</v>
      </c>
      <c r="D3065" t="inlineStr">
        <is>
          <t>DALARNAS LÄN</t>
        </is>
      </c>
      <c r="E3065" t="inlineStr">
        <is>
          <t>FALUN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55280-2024</t>
        </is>
      </c>
      <c r="B3066" s="1" t="n">
        <v>45621.62524305555</v>
      </c>
      <c r="C3066" s="1" t="n">
        <v>46114</v>
      </c>
      <c r="D3066" t="inlineStr">
        <is>
          <t>DALARNAS LÄN</t>
        </is>
      </c>
      <c r="E3066" t="inlineStr">
        <is>
          <t>ORSA</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33374-2025</t>
        </is>
      </c>
      <c r="B3067" s="1" t="n">
        <v>45841.39582175926</v>
      </c>
      <c r="C3067" s="1" t="n">
        <v>46114</v>
      </c>
      <c r="D3067" t="inlineStr">
        <is>
          <t>DALARNAS LÄN</t>
        </is>
      </c>
      <c r="E3067" t="inlineStr">
        <is>
          <t>ORSA</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58234-2023</t>
        </is>
      </c>
      <c r="B3068" s="1" t="n">
        <v>45250.46398148148</v>
      </c>
      <c r="C3068" s="1" t="n">
        <v>46114</v>
      </c>
      <c r="D3068" t="inlineStr">
        <is>
          <t>DALARNAS LÄN</t>
        </is>
      </c>
      <c r="E3068" t="inlineStr">
        <is>
          <t>SMEDJEBACKEN</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25761-2021</t>
        </is>
      </c>
      <c r="B3069" s="1" t="n">
        <v>44343</v>
      </c>
      <c r="C3069" s="1" t="n">
        <v>46114</v>
      </c>
      <c r="D3069" t="inlineStr">
        <is>
          <t>DALARNAS LÄN</t>
        </is>
      </c>
      <c r="E3069" t="inlineStr">
        <is>
          <t>ORSA</t>
        </is>
      </c>
      <c r="G3069" t="n">
        <v>3.4</v>
      </c>
      <c r="H3069" t="n">
        <v>0</v>
      </c>
      <c r="I3069" t="n">
        <v>0</v>
      </c>
      <c r="J3069" t="n">
        <v>0</v>
      </c>
      <c r="K3069" t="n">
        <v>0</v>
      </c>
      <c r="L3069" t="n">
        <v>0</v>
      </c>
      <c r="M3069" t="n">
        <v>0</v>
      </c>
      <c r="N3069" t="n">
        <v>0</v>
      </c>
      <c r="O3069" t="n">
        <v>0</v>
      </c>
      <c r="P3069" t="n">
        <v>0</v>
      </c>
      <c r="Q3069" t="n">
        <v>0</v>
      </c>
      <c r="R3069" s="2" t="inlineStr"/>
    </row>
    <row r="3070" ht="15" customHeight="1">
      <c r="A3070" t="inlineStr">
        <is>
          <t>A 25791-2021</t>
        </is>
      </c>
      <c r="B3070" s="1" t="n">
        <v>44343.84296296296</v>
      </c>
      <c r="C3070" s="1" t="n">
        <v>46114</v>
      </c>
      <c r="D3070" t="inlineStr">
        <is>
          <t>DALARNAS LÄN</t>
        </is>
      </c>
      <c r="E3070" t="inlineStr">
        <is>
          <t>FALUN</t>
        </is>
      </c>
      <c r="F3070" t="inlineStr">
        <is>
          <t>Bergvik skog väst AB</t>
        </is>
      </c>
      <c r="G3070" t="n">
        <v>6.6</v>
      </c>
      <c r="H3070" t="n">
        <v>0</v>
      </c>
      <c r="I3070" t="n">
        <v>0</v>
      </c>
      <c r="J3070" t="n">
        <v>0</v>
      </c>
      <c r="K3070" t="n">
        <v>0</v>
      </c>
      <c r="L3070" t="n">
        <v>0</v>
      </c>
      <c r="M3070" t="n">
        <v>0</v>
      </c>
      <c r="N3070" t="n">
        <v>0</v>
      </c>
      <c r="O3070" t="n">
        <v>0</v>
      </c>
      <c r="P3070" t="n">
        <v>0</v>
      </c>
      <c r="Q3070" t="n">
        <v>0</v>
      </c>
      <c r="R3070" s="2" t="inlineStr"/>
    </row>
    <row r="3071" ht="15" customHeight="1">
      <c r="A3071" t="inlineStr">
        <is>
          <t>A 33659-2025</t>
        </is>
      </c>
      <c r="B3071" s="1" t="n">
        <v>45841.66240740741</v>
      </c>
      <c r="C3071" s="1" t="n">
        <v>46114</v>
      </c>
      <c r="D3071" t="inlineStr">
        <is>
          <t>DALARNAS LÄN</t>
        </is>
      </c>
      <c r="E3071" t="inlineStr">
        <is>
          <t>MALUNG-SÄLEN</t>
        </is>
      </c>
      <c r="F3071" t="inlineStr">
        <is>
          <t>Bergvik skog väst AB</t>
        </is>
      </c>
      <c r="G3071" t="n">
        <v>3.4</v>
      </c>
      <c r="H3071" t="n">
        <v>0</v>
      </c>
      <c r="I3071" t="n">
        <v>0</v>
      </c>
      <c r="J3071" t="n">
        <v>0</v>
      </c>
      <c r="K3071" t="n">
        <v>0</v>
      </c>
      <c r="L3071" t="n">
        <v>0</v>
      </c>
      <c r="M3071" t="n">
        <v>0</v>
      </c>
      <c r="N3071" t="n">
        <v>0</v>
      </c>
      <c r="O3071" t="n">
        <v>0</v>
      </c>
      <c r="P3071" t="n">
        <v>0</v>
      </c>
      <c r="Q3071" t="n">
        <v>0</v>
      </c>
      <c r="R3071" s="2" t="inlineStr"/>
    </row>
    <row r="3072" ht="15" customHeight="1">
      <c r="A3072" t="inlineStr">
        <is>
          <t>A 33880-2025</t>
        </is>
      </c>
      <c r="B3072" s="1" t="n">
        <v>45842.56287037037</v>
      </c>
      <c r="C3072" s="1" t="n">
        <v>46114</v>
      </c>
      <c r="D3072" t="inlineStr">
        <is>
          <t>DALARNAS LÄN</t>
        </is>
      </c>
      <c r="E3072" t="inlineStr">
        <is>
          <t>MALUNG-SÄLEN</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50392-2024</t>
        </is>
      </c>
      <c r="B3073" s="1" t="n">
        <v>45601.33789351852</v>
      </c>
      <c r="C3073" s="1" t="n">
        <v>46114</v>
      </c>
      <c r="D3073" t="inlineStr">
        <is>
          <t>DALARNAS LÄN</t>
        </is>
      </c>
      <c r="E3073" t="inlineStr">
        <is>
          <t>ORSA</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21301-2023</t>
        </is>
      </c>
      <c r="B3074" s="1" t="n">
        <v>45062.66613425926</v>
      </c>
      <c r="C3074" s="1" t="n">
        <v>46114</v>
      </c>
      <c r="D3074" t="inlineStr">
        <is>
          <t>DALARNAS LÄN</t>
        </is>
      </c>
      <c r="E3074" t="inlineStr">
        <is>
          <t>ORSA</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34257-2025</t>
        </is>
      </c>
      <c r="B3075" s="1" t="n">
        <v>45845</v>
      </c>
      <c r="C3075" s="1" t="n">
        <v>46114</v>
      </c>
      <c r="D3075" t="inlineStr">
        <is>
          <t>DALARNAS LÄN</t>
        </is>
      </c>
      <c r="E3075" t="inlineStr">
        <is>
          <t>MALUNG-SÄLEN</t>
        </is>
      </c>
      <c r="F3075" t="inlineStr">
        <is>
          <t>Kommuner</t>
        </is>
      </c>
      <c r="G3075" t="n">
        <v>3.4</v>
      </c>
      <c r="H3075" t="n">
        <v>0</v>
      </c>
      <c r="I3075" t="n">
        <v>0</v>
      </c>
      <c r="J3075" t="n">
        <v>0</v>
      </c>
      <c r="K3075" t="n">
        <v>0</v>
      </c>
      <c r="L3075" t="n">
        <v>0</v>
      </c>
      <c r="M3075" t="n">
        <v>0</v>
      </c>
      <c r="N3075" t="n">
        <v>0</v>
      </c>
      <c r="O3075" t="n">
        <v>0</v>
      </c>
      <c r="P3075" t="n">
        <v>0</v>
      </c>
      <c r="Q3075" t="n">
        <v>0</v>
      </c>
      <c r="R3075" s="2" t="inlineStr"/>
    </row>
    <row r="3076" ht="15" customHeight="1">
      <c r="A3076" t="inlineStr">
        <is>
          <t>A 10367-2023</t>
        </is>
      </c>
      <c r="B3076" s="1" t="n">
        <v>44987</v>
      </c>
      <c r="C3076" s="1" t="n">
        <v>46114</v>
      </c>
      <c r="D3076" t="inlineStr">
        <is>
          <t>DALARNAS LÄN</t>
        </is>
      </c>
      <c r="E3076" t="inlineStr">
        <is>
          <t>LEKSAND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10374-2023</t>
        </is>
      </c>
      <c r="B3077" s="1" t="n">
        <v>44987.41359953704</v>
      </c>
      <c r="C3077" s="1" t="n">
        <v>46114</v>
      </c>
      <c r="D3077" t="inlineStr">
        <is>
          <t>DALARNAS LÄN</t>
        </is>
      </c>
      <c r="E3077" t="inlineStr">
        <is>
          <t>ORSA</t>
        </is>
      </c>
      <c r="G3077" t="n">
        <v>1.8</v>
      </c>
      <c r="H3077" t="n">
        <v>0</v>
      </c>
      <c r="I3077" t="n">
        <v>0</v>
      </c>
      <c r="J3077" t="n">
        <v>0</v>
      </c>
      <c r="K3077" t="n">
        <v>0</v>
      </c>
      <c r="L3077" t="n">
        <v>0</v>
      </c>
      <c r="M3077" t="n">
        <v>0</v>
      </c>
      <c r="N3077" t="n">
        <v>0</v>
      </c>
      <c r="O3077" t="n">
        <v>0</v>
      </c>
      <c r="P3077" t="n">
        <v>0</v>
      </c>
      <c r="Q3077" t="n">
        <v>0</v>
      </c>
      <c r="R3077" s="2" t="inlineStr"/>
    </row>
    <row r="3078" ht="15" customHeight="1">
      <c r="A3078" t="inlineStr">
        <is>
          <t>A 40344-2023</t>
        </is>
      </c>
      <c r="B3078" s="1" t="n">
        <v>45168</v>
      </c>
      <c r="C3078" s="1" t="n">
        <v>46114</v>
      </c>
      <c r="D3078" t="inlineStr">
        <is>
          <t>DALARNAS LÄN</t>
        </is>
      </c>
      <c r="E3078" t="inlineStr">
        <is>
          <t>RÄTTVIK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48634-2023</t>
        </is>
      </c>
      <c r="B3079" s="1" t="n">
        <v>45202</v>
      </c>
      <c r="C3079" s="1" t="n">
        <v>46114</v>
      </c>
      <c r="D3079" t="inlineStr">
        <is>
          <t>DALARNAS LÄN</t>
        </is>
      </c>
      <c r="E3079" t="inlineStr">
        <is>
          <t>RÄTTVIK</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34084-2025</t>
        </is>
      </c>
      <c r="B3080" s="1" t="n">
        <v>45845</v>
      </c>
      <c r="C3080" s="1" t="n">
        <v>46114</v>
      </c>
      <c r="D3080" t="inlineStr">
        <is>
          <t>DALARNAS LÄN</t>
        </is>
      </c>
      <c r="E3080" t="inlineStr">
        <is>
          <t>GAGNEF</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1967-2025</t>
        </is>
      </c>
      <c r="B3081" s="1" t="n">
        <v>45672.38461805556</v>
      </c>
      <c r="C3081" s="1" t="n">
        <v>46114</v>
      </c>
      <c r="D3081" t="inlineStr">
        <is>
          <t>DALARNAS LÄN</t>
        </is>
      </c>
      <c r="E3081" t="inlineStr">
        <is>
          <t>MALUNG-SÄLEN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48527-2023</t>
        </is>
      </c>
      <c r="B3082" s="1" t="n">
        <v>45208</v>
      </c>
      <c r="C3082" s="1" t="n">
        <v>46114</v>
      </c>
      <c r="D3082" t="inlineStr">
        <is>
          <t>DALARNAS LÄN</t>
        </is>
      </c>
      <c r="E3082" t="inlineStr">
        <is>
          <t>SMEDJEBACKEN</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61809-2022</t>
        </is>
      </c>
      <c r="B3083" s="1" t="n">
        <v>44917.57221064815</v>
      </c>
      <c r="C3083" s="1" t="n">
        <v>46114</v>
      </c>
      <c r="D3083" t="inlineStr">
        <is>
          <t>DALARNAS LÄN</t>
        </is>
      </c>
      <c r="E3083" t="inlineStr">
        <is>
          <t>BORLÄNGE</t>
        </is>
      </c>
      <c r="F3083" t="inlineStr">
        <is>
          <t>Bergvik skog väst AB</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33912-2025</t>
        </is>
      </c>
      <c r="B3084" s="1" t="n">
        <v>45842.60398148148</v>
      </c>
      <c r="C3084" s="1" t="n">
        <v>46114</v>
      </c>
      <c r="D3084" t="inlineStr">
        <is>
          <t>DALARNAS LÄN</t>
        </is>
      </c>
      <c r="E3084" t="inlineStr">
        <is>
          <t>SMEDJEBACKEN</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38805-2025</t>
        </is>
      </c>
      <c r="B3085" s="1" t="n">
        <v>45887.46721064814</v>
      </c>
      <c r="C3085" s="1" t="n">
        <v>46114</v>
      </c>
      <c r="D3085" t="inlineStr">
        <is>
          <t>DALARNAS LÄN</t>
        </is>
      </c>
      <c r="E3085" t="inlineStr">
        <is>
          <t>RÄTTVIK</t>
        </is>
      </c>
      <c r="F3085" t="inlineStr">
        <is>
          <t>Bergvik skog väst AB</t>
        </is>
      </c>
      <c r="G3085" t="n">
        <v>15.9</v>
      </c>
      <c r="H3085" t="n">
        <v>0</v>
      </c>
      <c r="I3085" t="n">
        <v>0</v>
      </c>
      <c r="J3085" t="n">
        <v>0</v>
      </c>
      <c r="K3085" t="n">
        <v>0</v>
      </c>
      <c r="L3085" t="n">
        <v>0</v>
      </c>
      <c r="M3085" t="n">
        <v>0</v>
      </c>
      <c r="N3085" t="n">
        <v>0</v>
      </c>
      <c r="O3085" t="n">
        <v>0</v>
      </c>
      <c r="P3085" t="n">
        <v>0</v>
      </c>
      <c r="Q3085" t="n">
        <v>0</v>
      </c>
      <c r="R3085" s="2" t="inlineStr"/>
    </row>
    <row r="3086" ht="15" customHeight="1">
      <c r="A3086" t="inlineStr">
        <is>
          <t>A 34067-2025</t>
        </is>
      </c>
      <c r="B3086" s="1" t="n">
        <v>45845</v>
      </c>
      <c r="C3086" s="1" t="n">
        <v>46114</v>
      </c>
      <c r="D3086" t="inlineStr">
        <is>
          <t>DALARNAS LÄN</t>
        </is>
      </c>
      <c r="E3086" t="inlineStr">
        <is>
          <t>LUDVIKA</t>
        </is>
      </c>
      <c r="F3086" t="inlineStr">
        <is>
          <t>Bergvik skog väst AB</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33804-2025</t>
        </is>
      </c>
      <c r="B3087" s="1" t="n">
        <v>45842</v>
      </c>
      <c r="C3087" s="1" t="n">
        <v>46114</v>
      </c>
      <c r="D3087" t="inlineStr">
        <is>
          <t>DALARNAS LÄN</t>
        </is>
      </c>
      <c r="E3087" t="inlineStr">
        <is>
          <t>LEKSAND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53139-2023</t>
        </is>
      </c>
      <c r="B3088" s="1" t="n">
        <v>45229.34539351852</v>
      </c>
      <c r="C3088" s="1" t="n">
        <v>46114</v>
      </c>
      <c r="D3088" t="inlineStr">
        <is>
          <t>DALARNAS LÄN</t>
        </is>
      </c>
      <c r="E3088" t="inlineStr">
        <is>
          <t>SMEDJEBACKEN</t>
        </is>
      </c>
      <c r="F3088" t="inlineStr">
        <is>
          <t>Övriga Aktiebolag</t>
        </is>
      </c>
      <c r="G3088" t="n">
        <v>13.8</v>
      </c>
      <c r="H3088" t="n">
        <v>0</v>
      </c>
      <c r="I3088" t="n">
        <v>0</v>
      </c>
      <c r="J3088" t="n">
        <v>0</v>
      </c>
      <c r="K3088" t="n">
        <v>0</v>
      </c>
      <c r="L3088" t="n">
        <v>0</v>
      </c>
      <c r="M3088" t="n">
        <v>0</v>
      </c>
      <c r="N3088" t="n">
        <v>0</v>
      </c>
      <c r="O3088" t="n">
        <v>0</v>
      </c>
      <c r="P3088" t="n">
        <v>0</v>
      </c>
      <c r="Q3088" t="n">
        <v>0</v>
      </c>
      <c r="R3088" s="2" t="inlineStr"/>
    </row>
    <row r="3089" ht="15" customHeight="1">
      <c r="A3089" t="inlineStr">
        <is>
          <t>A 35752-2024</t>
        </is>
      </c>
      <c r="B3089" s="1" t="n">
        <v>45532</v>
      </c>
      <c r="C3089" s="1" t="n">
        <v>46114</v>
      </c>
      <c r="D3089" t="inlineStr">
        <is>
          <t>DALARNAS LÄN</t>
        </is>
      </c>
      <c r="E3089" t="inlineStr">
        <is>
          <t>VANSBRO</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19910-2024</t>
        </is>
      </c>
      <c r="B3090" s="1" t="n">
        <v>45433.5741087963</v>
      </c>
      <c r="C3090" s="1" t="n">
        <v>46114</v>
      </c>
      <c r="D3090" t="inlineStr">
        <is>
          <t>DALARNAS LÄN</t>
        </is>
      </c>
      <c r="E3090" t="inlineStr">
        <is>
          <t>MORA</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21813-2023</t>
        </is>
      </c>
      <c r="B3091" s="1" t="n">
        <v>45068</v>
      </c>
      <c r="C3091" s="1" t="n">
        <v>46114</v>
      </c>
      <c r="D3091" t="inlineStr">
        <is>
          <t>DALARNAS LÄN</t>
        </is>
      </c>
      <c r="E3091" t="inlineStr">
        <is>
          <t>FALUN</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23300-2024</t>
        </is>
      </c>
      <c r="B3092" s="1" t="n">
        <v>45453.43695601852</v>
      </c>
      <c r="C3092" s="1" t="n">
        <v>46114</v>
      </c>
      <c r="D3092" t="inlineStr">
        <is>
          <t>DALARNAS LÄN</t>
        </is>
      </c>
      <c r="E3092" t="inlineStr">
        <is>
          <t>MORA</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34443-2025</t>
        </is>
      </c>
      <c r="B3093" s="1" t="n">
        <v>45845</v>
      </c>
      <c r="C3093" s="1" t="n">
        <v>46114</v>
      </c>
      <c r="D3093" t="inlineStr">
        <is>
          <t>DALARNAS LÄN</t>
        </is>
      </c>
      <c r="E3093" t="inlineStr">
        <is>
          <t>FALUN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44597-2023</t>
        </is>
      </c>
      <c r="B3094" s="1" t="n">
        <v>45189</v>
      </c>
      <c r="C3094" s="1" t="n">
        <v>46114</v>
      </c>
      <c r="D3094" t="inlineStr">
        <is>
          <t>DALARNAS LÄN</t>
        </is>
      </c>
      <c r="E3094" t="inlineStr">
        <is>
          <t>FALUN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33884-2025</t>
        </is>
      </c>
      <c r="B3095" s="1" t="n">
        <v>45842.57081018519</v>
      </c>
      <c r="C3095" s="1" t="n">
        <v>46114</v>
      </c>
      <c r="D3095" t="inlineStr">
        <is>
          <t>DALARNAS LÄN</t>
        </is>
      </c>
      <c r="E3095" t="inlineStr">
        <is>
          <t>ORSA</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52060-2022</t>
        </is>
      </c>
      <c r="B3096" s="1" t="n">
        <v>44873.34417824074</v>
      </c>
      <c r="C3096" s="1" t="n">
        <v>46114</v>
      </c>
      <c r="D3096" t="inlineStr">
        <is>
          <t>DALARNAS LÄN</t>
        </is>
      </c>
      <c r="E3096" t="inlineStr">
        <is>
          <t>ÄLVDALEN</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41504-2023</t>
        </is>
      </c>
      <c r="B3097" s="1" t="n">
        <v>45172</v>
      </c>
      <c r="C3097" s="1" t="n">
        <v>46114</v>
      </c>
      <c r="D3097" t="inlineStr">
        <is>
          <t>DALARNAS LÄN</t>
        </is>
      </c>
      <c r="E3097" t="inlineStr">
        <is>
          <t>SMEDJEBACKEN</t>
        </is>
      </c>
      <c r="F3097" t="inlineStr">
        <is>
          <t>Bergvik skog väst AB</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41569-2023</t>
        </is>
      </c>
      <c r="B3098" s="1" t="n">
        <v>45175</v>
      </c>
      <c r="C3098" s="1" t="n">
        <v>46114</v>
      </c>
      <c r="D3098" t="inlineStr">
        <is>
          <t>DALARNAS LÄN</t>
        </is>
      </c>
      <c r="E3098" t="inlineStr">
        <is>
          <t>SMEDJEBACKEN</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28923-2024</t>
        </is>
      </c>
      <c r="B3099" s="1" t="n">
        <v>45481</v>
      </c>
      <c r="C3099" s="1" t="n">
        <v>46114</v>
      </c>
      <c r="D3099" t="inlineStr">
        <is>
          <t>DALARNAS LÄN</t>
        </is>
      </c>
      <c r="E3099" t="inlineStr">
        <is>
          <t>ORSA</t>
        </is>
      </c>
      <c r="F3099" t="inlineStr">
        <is>
          <t>Allmännings- och besparingsskogar</t>
        </is>
      </c>
      <c r="G3099" t="n">
        <v>13.9</v>
      </c>
      <c r="H3099" t="n">
        <v>0</v>
      </c>
      <c r="I3099" t="n">
        <v>0</v>
      </c>
      <c r="J3099" t="n">
        <v>0</v>
      </c>
      <c r="K3099" t="n">
        <v>0</v>
      </c>
      <c r="L3099" t="n">
        <v>0</v>
      </c>
      <c r="M3099" t="n">
        <v>0</v>
      </c>
      <c r="N3099" t="n">
        <v>0</v>
      </c>
      <c r="O3099" t="n">
        <v>0</v>
      </c>
      <c r="P3099" t="n">
        <v>0</v>
      </c>
      <c r="Q3099" t="n">
        <v>0</v>
      </c>
      <c r="R3099" s="2" t="inlineStr"/>
    </row>
    <row r="3100" ht="15" customHeight="1">
      <c r="A3100" t="inlineStr">
        <is>
          <t>A 28938-2024</t>
        </is>
      </c>
      <c r="B3100" s="1" t="n">
        <v>45481.37175925926</v>
      </c>
      <c r="C3100" s="1" t="n">
        <v>46114</v>
      </c>
      <c r="D3100" t="inlineStr">
        <is>
          <t>DALARNAS LÄN</t>
        </is>
      </c>
      <c r="E3100" t="inlineStr">
        <is>
          <t>RÄTTVIK</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15088-2025</t>
        </is>
      </c>
      <c r="B3101" s="1" t="n">
        <v>45744.32628472222</v>
      </c>
      <c r="C3101" s="1" t="n">
        <v>46114</v>
      </c>
      <c r="D3101" t="inlineStr">
        <is>
          <t>DALARNAS LÄN</t>
        </is>
      </c>
      <c r="E3101" t="inlineStr">
        <is>
          <t>VANSBRO</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15106-2025</t>
        </is>
      </c>
      <c r="B3102" s="1" t="n">
        <v>45744.34770833333</v>
      </c>
      <c r="C3102" s="1" t="n">
        <v>46114</v>
      </c>
      <c r="D3102" t="inlineStr">
        <is>
          <t>DALARNAS LÄN</t>
        </is>
      </c>
      <c r="E3102" t="inlineStr">
        <is>
          <t>FALUN</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15113-2025</t>
        </is>
      </c>
      <c r="B3103" s="1" t="n">
        <v>45744.36179398148</v>
      </c>
      <c r="C3103" s="1" t="n">
        <v>46114</v>
      </c>
      <c r="D3103" t="inlineStr">
        <is>
          <t>DALARNAS LÄN</t>
        </is>
      </c>
      <c r="E3103" t="inlineStr">
        <is>
          <t>ORSA</t>
        </is>
      </c>
      <c r="F3103" t="inlineStr">
        <is>
          <t>Allmännings- och besparingsskogar</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15128-2025</t>
        </is>
      </c>
      <c r="B3104" s="1" t="n">
        <v>45744.38216435185</v>
      </c>
      <c r="C3104" s="1" t="n">
        <v>46114</v>
      </c>
      <c r="D3104" t="inlineStr">
        <is>
          <t>DALARNAS LÄN</t>
        </is>
      </c>
      <c r="E3104" t="inlineStr">
        <is>
          <t>LUDVIKA</t>
        </is>
      </c>
      <c r="F3104" t="inlineStr">
        <is>
          <t>Bergvik skog väst AB</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32941-2024</t>
        </is>
      </c>
      <c r="B3105" s="1" t="n">
        <v>45517.33768518519</v>
      </c>
      <c r="C3105" s="1" t="n">
        <v>46114</v>
      </c>
      <c r="D3105" t="inlineStr">
        <is>
          <t>DALARNAS LÄN</t>
        </is>
      </c>
      <c r="E3105" t="inlineStr">
        <is>
          <t>BORLÄNGE</t>
        </is>
      </c>
      <c r="F3105" t="inlineStr">
        <is>
          <t>Bergvik skog väst AB</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12758-2025</t>
        </is>
      </c>
      <c r="B3106" s="1" t="n">
        <v>45733.56675925926</v>
      </c>
      <c r="C3106" s="1" t="n">
        <v>46114</v>
      </c>
      <c r="D3106" t="inlineStr">
        <is>
          <t>DALARNAS LÄN</t>
        </is>
      </c>
      <c r="E3106" t="inlineStr">
        <is>
          <t>RÄTTVIK</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38551-2025</t>
        </is>
      </c>
      <c r="B3107" s="1" t="n">
        <v>45884.43928240741</v>
      </c>
      <c r="C3107" s="1" t="n">
        <v>46114</v>
      </c>
      <c r="D3107" t="inlineStr">
        <is>
          <t>DALARNAS LÄN</t>
        </is>
      </c>
      <c r="E3107" t="inlineStr">
        <is>
          <t>RÄTTVIK</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8905-2024</t>
        </is>
      </c>
      <c r="B3108" s="1" t="n">
        <v>45357.34954861111</v>
      </c>
      <c r="C3108" s="1" t="n">
        <v>46114</v>
      </c>
      <c r="D3108" t="inlineStr">
        <is>
          <t>DALARNAS LÄN</t>
        </is>
      </c>
      <c r="E3108" t="inlineStr">
        <is>
          <t>MALUNG-SÄLEN</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31043-2024</t>
        </is>
      </c>
      <c r="B3109" s="1" t="n">
        <v>45502.30283564814</v>
      </c>
      <c r="C3109" s="1" t="n">
        <v>46114</v>
      </c>
      <c r="D3109" t="inlineStr">
        <is>
          <t>DALARNAS LÄN</t>
        </is>
      </c>
      <c r="E3109" t="inlineStr">
        <is>
          <t>LUDVIKA</t>
        </is>
      </c>
      <c r="F3109" t="inlineStr">
        <is>
          <t>Bergvik skog väst AB</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34256-2025</t>
        </is>
      </c>
      <c r="B3110" s="1" t="n">
        <v>45845.71</v>
      </c>
      <c r="C3110" s="1" t="n">
        <v>46114</v>
      </c>
      <c r="D3110" t="inlineStr">
        <is>
          <t>DALARNAS LÄN</t>
        </is>
      </c>
      <c r="E3110" t="inlineStr">
        <is>
          <t>MALUNG-SÄLEN</t>
        </is>
      </c>
      <c r="F3110" t="inlineStr">
        <is>
          <t>Kommuner</t>
        </is>
      </c>
      <c r="G3110" t="n">
        <v>3.9</v>
      </c>
      <c r="H3110" t="n">
        <v>0</v>
      </c>
      <c r="I3110" t="n">
        <v>0</v>
      </c>
      <c r="J3110" t="n">
        <v>0</v>
      </c>
      <c r="K3110" t="n">
        <v>0</v>
      </c>
      <c r="L3110" t="n">
        <v>0</v>
      </c>
      <c r="M3110" t="n">
        <v>0</v>
      </c>
      <c r="N3110" t="n">
        <v>0</v>
      </c>
      <c r="O3110" t="n">
        <v>0</v>
      </c>
      <c r="P3110" t="n">
        <v>0</v>
      </c>
      <c r="Q3110" t="n">
        <v>0</v>
      </c>
      <c r="R3110" s="2" t="inlineStr"/>
    </row>
    <row r="3111" ht="15" customHeight="1">
      <c r="A3111" t="inlineStr">
        <is>
          <t>A 39112-2025</t>
        </is>
      </c>
      <c r="B3111" s="1" t="n">
        <v>45887</v>
      </c>
      <c r="C3111" s="1" t="n">
        <v>46114</v>
      </c>
      <c r="D3111" t="inlineStr">
        <is>
          <t>DALARNAS LÄN</t>
        </is>
      </c>
      <c r="E3111" t="inlineStr">
        <is>
          <t>GAGNEF</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19896-2021</t>
        </is>
      </c>
      <c r="B3112" s="1" t="n">
        <v>44313.54942129629</v>
      </c>
      <c r="C3112" s="1" t="n">
        <v>46114</v>
      </c>
      <c r="D3112" t="inlineStr">
        <is>
          <t>DALARNAS LÄN</t>
        </is>
      </c>
      <c r="E3112" t="inlineStr">
        <is>
          <t>MORA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19932-2021</t>
        </is>
      </c>
      <c r="B3113" s="1" t="n">
        <v>44313.60207175926</v>
      </c>
      <c r="C3113" s="1" t="n">
        <v>46114</v>
      </c>
      <c r="D3113" t="inlineStr">
        <is>
          <t>DALARNAS LÄN</t>
        </is>
      </c>
      <c r="E3113" t="inlineStr">
        <is>
          <t>ORSA</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23220-2021</t>
        </is>
      </c>
      <c r="B3114" s="1" t="n">
        <v>44333.3778125</v>
      </c>
      <c r="C3114" s="1" t="n">
        <v>46114</v>
      </c>
      <c r="D3114" t="inlineStr">
        <is>
          <t>DALARNAS LÄN</t>
        </is>
      </c>
      <c r="E3114" t="inlineStr">
        <is>
          <t>SMEDJEBACKEN</t>
        </is>
      </c>
      <c r="F3114" t="inlineStr">
        <is>
          <t>Sveaskog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34185-2025</t>
        </is>
      </c>
      <c r="B3115" s="1" t="n">
        <v>45845</v>
      </c>
      <c r="C3115" s="1" t="n">
        <v>46114</v>
      </c>
      <c r="D3115" t="inlineStr">
        <is>
          <t>DALARNAS LÄN</t>
        </is>
      </c>
      <c r="E3115" t="inlineStr">
        <is>
          <t>HEDEMORA</t>
        </is>
      </c>
      <c r="F3115" t="inlineStr">
        <is>
          <t>Sveaskog</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33951-2025</t>
        </is>
      </c>
      <c r="B3116" s="1" t="n">
        <v>45842.66791666667</v>
      </c>
      <c r="C3116" s="1" t="n">
        <v>46114</v>
      </c>
      <c r="D3116" t="inlineStr">
        <is>
          <t>DALARNAS LÄN</t>
        </is>
      </c>
      <c r="E3116" t="inlineStr">
        <is>
          <t>ORSA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37678-2024</t>
        </is>
      </c>
      <c r="B3117" s="1" t="n">
        <v>45541.5880787037</v>
      </c>
      <c r="C3117" s="1" t="n">
        <v>46114</v>
      </c>
      <c r="D3117" t="inlineStr">
        <is>
          <t>DALARNAS LÄN</t>
        </is>
      </c>
      <c r="E3117" t="inlineStr">
        <is>
          <t>MALUNG-SÄLEN</t>
        </is>
      </c>
      <c r="F3117" t="inlineStr">
        <is>
          <t>Bergvik skog öst AB</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37698-2024</t>
        </is>
      </c>
      <c r="B3118" s="1" t="n">
        <v>45541</v>
      </c>
      <c r="C3118" s="1" t="n">
        <v>46114</v>
      </c>
      <c r="D3118" t="inlineStr">
        <is>
          <t>DALARNAS LÄN</t>
        </is>
      </c>
      <c r="E3118" t="inlineStr">
        <is>
          <t>AVESTA</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51704-2024</t>
        </is>
      </c>
      <c r="B3119" s="1" t="n">
        <v>45607.36243055556</v>
      </c>
      <c r="C3119" s="1" t="n">
        <v>46114</v>
      </c>
      <c r="D3119" t="inlineStr">
        <is>
          <t>DALARNAS LÄN</t>
        </is>
      </c>
      <c r="E3119" t="inlineStr">
        <is>
          <t>LUDVIKA</t>
        </is>
      </c>
      <c r="F3119" t="inlineStr">
        <is>
          <t>Bergvik skog väst AB</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24782-2025</t>
        </is>
      </c>
      <c r="B3120" s="1" t="n">
        <v>45799.41928240741</v>
      </c>
      <c r="C3120" s="1" t="n">
        <v>46114</v>
      </c>
      <c r="D3120" t="inlineStr">
        <is>
          <t>DALARNAS LÄN</t>
        </is>
      </c>
      <c r="E3120" t="inlineStr">
        <is>
          <t>FALUN</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47732-2022</t>
        </is>
      </c>
      <c r="B3121" s="1" t="n">
        <v>44854.63668981481</v>
      </c>
      <c r="C3121" s="1" t="n">
        <v>46114</v>
      </c>
      <c r="D3121" t="inlineStr">
        <is>
          <t>DALARNAS LÄN</t>
        </is>
      </c>
      <c r="E3121" t="inlineStr">
        <is>
          <t>ORSA</t>
        </is>
      </c>
      <c r="F3121" t="inlineStr">
        <is>
          <t>Bergvik skog öst AB</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35892-2024</t>
        </is>
      </c>
      <c r="B3122" s="1" t="n">
        <v>45533.37692129629</v>
      </c>
      <c r="C3122" s="1" t="n">
        <v>46114</v>
      </c>
      <c r="D3122" t="inlineStr">
        <is>
          <t>DALARNAS LÄN</t>
        </is>
      </c>
      <c r="E3122" t="inlineStr">
        <is>
          <t>GAGNEF</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33835-2025</t>
        </is>
      </c>
      <c r="B3123" s="1" t="n">
        <v>45842.47619212963</v>
      </c>
      <c r="C3123" s="1" t="n">
        <v>46114</v>
      </c>
      <c r="D3123" t="inlineStr">
        <is>
          <t>DALARNAS LÄN</t>
        </is>
      </c>
      <c r="E3123" t="inlineStr">
        <is>
          <t>ORSA</t>
        </is>
      </c>
      <c r="G3123" t="n">
        <v>15.2</v>
      </c>
      <c r="H3123" t="n">
        <v>0</v>
      </c>
      <c r="I3123" t="n">
        <v>0</v>
      </c>
      <c r="J3123" t="n">
        <v>0</v>
      </c>
      <c r="K3123" t="n">
        <v>0</v>
      </c>
      <c r="L3123" t="n">
        <v>0</v>
      </c>
      <c r="M3123" t="n">
        <v>0</v>
      </c>
      <c r="N3123" t="n">
        <v>0</v>
      </c>
      <c r="O3123" t="n">
        <v>0</v>
      </c>
      <c r="P3123" t="n">
        <v>0</v>
      </c>
      <c r="Q3123" t="n">
        <v>0</v>
      </c>
      <c r="R3123" s="2" t="inlineStr"/>
    </row>
    <row r="3124" ht="15" customHeight="1">
      <c r="A3124" t="inlineStr">
        <is>
          <t>A 60036-2023</t>
        </is>
      </c>
      <c r="B3124" s="1" t="n">
        <v>45258.3330787037</v>
      </c>
      <c r="C3124" s="1" t="n">
        <v>46114</v>
      </c>
      <c r="D3124" t="inlineStr">
        <is>
          <t>DALARNAS LÄN</t>
        </is>
      </c>
      <c r="E3124" t="inlineStr">
        <is>
          <t>VANSBRO</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33857-2025</t>
        </is>
      </c>
      <c r="B3125" s="1" t="n">
        <v>45842.51953703703</v>
      </c>
      <c r="C3125" s="1" t="n">
        <v>46114</v>
      </c>
      <c r="D3125" t="inlineStr">
        <is>
          <t>DALARNAS LÄN</t>
        </is>
      </c>
      <c r="E3125" t="inlineStr">
        <is>
          <t>ORSA</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9599-2022</t>
        </is>
      </c>
      <c r="B3126" s="1" t="n">
        <v>44617.48909722222</v>
      </c>
      <c r="C3126" s="1" t="n">
        <v>46114</v>
      </c>
      <c r="D3126" t="inlineStr">
        <is>
          <t>DALARNAS LÄN</t>
        </is>
      </c>
      <c r="E3126" t="inlineStr">
        <is>
          <t>MORA</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42327-2024</t>
        </is>
      </c>
      <c r="B3127" s="1" t="n">
        <v>45562.6520949074</v>
      </c>
      <c r="C3127" s="1" t="n">
        <v>46114</v>
      </c>
      <c r="D3127" t="inlineStr">
        <is>
          <t>DALARNAS LÄN</t>
        </is>
      </c>
      <c r="E3127" t="inlineStr">
        <is>
          <t>FALUN</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36089-2023</t>
        </is>
      </c>
      <c r="B3128" s="1" t="n">
        <v>45149.51068287037</v>
      </c>
      <c r="C3128" s="1" t="n">
        <v>46114</v>
      </c>
      <c r="D3128" t="inlineStr">
        <is>
          <t>DALARNAS LÄN</t>
        </is>
      </c>
      <c r="E3128" t="inlineStr">
        <is>
          <t>ORSA</t>
        </is>
      </c>
      <c r="F3128" t="inlineStr">
        <is>
          <t>Allmännings- och besparingsskogar</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34255-2025</t>
        </is>
      </c>
      <c r="B3129" s="1" t="n">
        <v>45845.70777777778</v>
      </c>
      <c r="C3129" s="1" t="n">
        <v>46114</v>
      </c>
      <c r="D3129" t="inlineStr">
        <is>
          <t>DALARNAS LÄN</t>
        </is>
      </c>
      <c r="E3129" t="inlineStr">
        <is>
          <t>MALUNG-SÄLEN</t>
        </is>
      </c>
      <c r="F3129" t="inlineStr">
        <is>
          <t>Kommuner</t>
        </is>
      </c>
      <c r="G3129" t="n">
        <v>7.5</v>
      </c>
      <c r="H3129" t="n">
        <v>0</v>
      </c>
      <c r="I3129" t="n">
        <v>0</v>
      </c>
      <c r="J3129" t="n">
        <v>0</v>
      </c>
      <c r="K3129" t="n">
        <v>0</v>
      </c>
      <c r="L3129" t="n">
        <v>0</v>
      </c>
      <c r="M3129" t="n">
        <v>0</v>
      </c>
      <c r="N3129" t="n">
        <v>0</v>
      </c>
      <c r="O3129" t="n">
        <v>0</v>
      </c>
      <c r="P3129" t="n">
        <v>0</v>
      </c>
      <c r="Q3129" t="n">
        <v>0</v>
      </c>
      <c r="R3129" s="2" t="inlineStr"/>
    </row>
    <row r="3130" ht="15" customHeight="1">
      <c r="A3130" t="inlineStr">
        <is>
          <t>A 35521-2023</t>
        </is>
      </c>
      <c r="B3130" s="1" t="n">
        <v>45147.33251157407</v>
      </c>
      <c r="C3130" s="1" t="n">
        <v>46114</v>
      </c>
      <c r="D3130" t="inlineStr">
        <is>
          <t>DALARNAS LÄN</t>
        </is>
      </c>
      <c r="E3130" t="inlineStr">
        <is>
          <t>MORA</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47963-2023</t>
        </is>
      </c>
      <c r="B3131" s="1" t="n">
        <v>45204.59987268518</v>
      </c>
      <c r="C3131" s="1" t="n">
        <v>46114</v>
      </c>
      <c r="D3131" t="inlineStr">
        <is>
          <t>DALARNAS LÄN</t>
        </is>
      </c>
      <c r="E3131" t="inlineStr">
        <is>
          <t>MALUNG-SÄLEN</t>
        </is>
      </c>
      <c r="F3131" t="inlineStr">
        <is>
          <t>Bergvik skog öst AB</t>
        </is>
      </c>
      <c r="G3131" t="n">
        <v>0.3</v>
      </c>
      <c r="H3131" t="n">
        <v>0</v>
      </c>
      <c r="I3131" t="n">
        <v>0</v>
      </c>
      <c r="J3131" t="n">
        <v>0</v>
      </c>
      <c r="K3131" t="n">
        <v>0</v>
      </c>
      <c r="L3131" t="n">
        <v>0</v>
      </c>
      <c r="M3131" t="n">
        <v>0</v>
      </c>
      <c r="N3131" t="n">
        <v>0</v>
      </c>
      <c r="O3131" t="n">
        <v>0</v>
      </c>
      <c r="P3131" t="n">
        <v>0</v>
      </c>
      <c r="Q3131" t="n">
        <v>0</v>
      </c>
      <c r="R3131" s="2" t="inlineStr"/>
    </row>
    <row r="3132" ht="15" customHeight="1">
      <c r="A3132" t="inlineStr">
        <is>
          <t>A 36297-2023</t>
        </is>
      </c>
      <c r="B3132" s="1" t="n">
        <v>45152.36019675926</v>
      </c>
      <c r="C3132" s="1" t="n">
        <v>46114</v>
      </c>
      <c r="D3132" t="inlineStr">
        <is>
          <t>DALARNAS LÄN</t>
        </is>
      </c>
      <c r="E3132" t="inlineStr">
        <is>
          <t>LUDVIKA</t>
        </is>
      </c>
      <c r="F3132" t="inlineStr">
        <is>
          <t>Bergvik skog väst AB</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47979-2023</t>
        </is>
      </c>
      <c r="B3133" s="1" t="n">
        <v>45204.61577546296</v>
      </c>
      <c r="C3133" s="1" t="n">
        <v>46114</v>
      </c>
      <c r="D3133" t="inlineStr">
        <is>
          <t>DALARNAS LÄN</t>
        </is>
      </c>
      <c r="E3133" t="inlineStr">
        <is>
          <t>MALUNG-SÄLEN</t>
        </is>
      </c>
      <c r="F3133" t="inlineStr">
        <is>
          <t>Bergvik skog öst AB</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32720-2024</t>
        </is>
      </c>
      <c r="B3134" s="1" t="n">
        <v>45514</v>
      </c>
      <c r="C3134" s="1" t="n">
        <v>46114</v>
      </c>
      <c r="D3134" t="inlineStr">
        <is>
          <t>DALARNAS LÄN</t>
        </is>
      </c>
      <c r="E3134" t="inlineStr">
        <is>
          <t>AVESTA</t>
        </is>
      </c>
      <c r="F3134" t="inlineStr">
        <is>
          <t>Bergvik skog väst AB</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32071-2021</t>
        </is>
      </c>
      <c r="B3135" s="1" t="n">
        <v>44370.90546296296</v>
      </c>
      <c r="C3135" s="1" t="n">
        <v>46114</v>
      </c>
      <c r="D3135" t="inlineStr">
        <is>
          <t>DALARNAS LÄN</t>
        </is>
      </c>
      <c r="E3135" t="inlineStr">
        <is>
          <t>HEDEMORA</t>
        </is>
      </c>
      <c r="F3135" t="inlineStr">
        <is>
          <t>Sveaskog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27388-2022</t>
        </is>
      </c>
      <c r="B3136" s="1" t="n">
        <v>44742.47446759259</v>
      </c>
      <c r="C3136" s="1" t="n">
        <v>46114</v>
      </c>
      <c r="D3136" t="inlineStr">
        <is>
          <t>DALARNAS LÄN</t>
        </is>
      </c>
      <c r="E3136" t="inlineStr">
        <is>
          <t>RÄTTVIK</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59953-2024</t>
        </is>
      </c>
      <c r="B3137" s="1" t="n">
        <v>45642.34791666667</v>
      </c>
      <c r="C3137" s="1" t="n">
        <v>46114</v>
      </c>
      <c r="D3137" t="inlineStr">
        <is>
          <t>DALARNAS LÄN</t>
        </is>
      </c>
      <c r="E3137" t="inlineStr">
        <is>
          <t>MALUNG-SÄLEN</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38658-2025</t>
        </is>
      </c>
      <c r="B3138" s="1" t="n">
        <v>45884.60569444444</v>
      </c>
      <c r="C3138" s="1" t="n">
        <v>46114</v>
      </c>
      <c r="D3138" t="inlineStr">
        <is>
          <t>DALARNAS LÄN</t>
        </is>
      </c>
      <c r="E3138" t="inlineStr">
        <is>
          <t>RÄTTVIK</t>
        </is>
      </c>
      <c r="F3138" t="inlineStr">
        <is>
          <t>Sveaskog</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38670-2025</t>
        </is>
      </c>
      <c r="B3139" s="1" t="n">
        <v>45884.62741898148</v>
      </c>
      <c r="C3139" s="1" t="n">
        <v>46114</v>
      </c>
      <c r="D3139" t="inlineStr">
        <is>
          <t>DALARNAS LÄN</t>
        </is>
      </c>
      <c r="E3139" t="inlineStr">
        <is>
          <t>VANSBRO</t>
        </is>
      </c>
      <c r="F3139" t="inlineStr">
        <is>
          <t>Bergvik skog väst AB</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60042-2024</t>
        </is>
      </c>
      <c r="B3140" s="1" t="n">
        <v>45642.4716087963</v>
      </c>
      <c r="C3140" s="1" t="n">
        <v>46114</v>
      </c>
      <c r="D3140" t="inlineStr">
        <is>
          <t>DALARNAS LÄN</t>
        </is>
      </c>
      <c r="E3140" t="inlineStr">
        <is>
          <t>MALUNG-SÄLEN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38748-2025</t>
        </is>
      </c>
      <c r="B3141" s="1" t="n">
        <v>45887.38813657407</v>
      </c>
      <c r="C3141" s="1" t="n">
        <v>46114</v>
      </c>
      <c r="D3141" t="inlineStr">
        <is>
          <t>DALARNAS LÄN</t>
        </is>
      </c>
      <c r="E3141" t="inlineStr">
        <is>
          <t>FALUN</t>
        </is>
      </c>
      <c r="F3141" t="inlineStr">
        <is>
          <t>Bergvik skog väst AB</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9148-2023</t>
        </is>
      </c>
      <c r="B3142" s="1" t="n">
        <v>44980</v>
      </c>
      <c r="C3142" s="1" t="n">
        <v>46114</v>
      </c>
      <c r="D3142" t="inlineStr">
        <is>
          <t>DALARNAS LÄN</t>
        </is>
      </c>
      <c r="E3142" t="inlineStr">
        <is>
          <t>AVESTA</t>
        </is>
      </c>
      <c r="G3142" t="n">
        <v>4.6</v>
      </c>
      <c r="H3142" t="n">
        <v>0</v>
      </c>
      <c r="I3142" t="n">
        <v>0</v>
      </c>
      <c r="J3142" t="n">
        <v>0</v>
      </c>
      <c r="K3142" t="n">
        <v>0</v>
      </c>
      <c r="L3142" t="n">
        <v>0</v>
      </c>
      <c r="M3142" t="n">
        <v>0</v>
      </c>
      <c r="N3142" t="n">
        <v>0</v>
      </c>
      <c r="O3142" t="n">
        <v>0</v>
      </c>
      <c r="P3142" t="n">
        <v>0</v>
      </c>
      <c r="Q3142" t="n">
        <v>0</v>
      </c>
      <c r="R3142" s="2" t="inlineStr"/>
    </row>
    <row r="3143" ht="15" customHeight="1">
      <c r="A3143" t="inlineStr">
        <is>
          <t>A 38477-2025</t>
        </is>
      </c>
      <c r="B3143" s="1" t="n">
        <v>45884.31744212963</v>
      </c>
      <c r="C3143" s="1" t="n">
        <v>46114</v>
      </c>
      <c r="D3143" t="inlineStr">
        <is>
          <t>DALARNAS LÄN</t>
        </is>
      </c>
      <c r="E3143" t="inlineStr">
        <is>
          <t>SMEDJEBACKEN</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30863-2024</t>
        </is>
      </c>
      <c r="B3144" s="1" t="n">
        <v>45497.71074074074</v>
      </c>
      <c r="C3144" s="1" t="n">
        <v>46114</v>
      </c>
      <c r="D3144" t="inlineStr">
        <is>
          <t>DALARNAS LÄN</t>
        </is>
      </c>
      <c r="E3144" t="inlineStr">
        <is>
          <t>LEKSAND</t>
        </is>
      </c>
      <c r="F3144" t="inlineStr">
        <is>
          <t>Bergvik skog väst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20695-2021</t>
        </is>
      </c>
      <c r="B3145" s="1" t="n">
        <v>44316.48511574074</v>
      </c>
      <c r="C3145" s="1" t="n">
        <v>46114</v>
      </c>
      <c r="D3145" t="inlineStr">
        <is>
          <t>DALARNAS LÄN</t>
        </is>
      </c>
      <c r="E3145" t="inlineStr">
        <is>
          <t>VANSBRO</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20705-2021</t>
        </is>
      </c>
      <c r="B3146" s="1" t="n">
        <v>44316.49489583333</v>
      </c>
      <c r="C3146" s="1" t="n">
        <v>46114</v>
      </c>
      <c r="D3146" t="inlineStr">
        <is>
          <t>DALARNAS LÄN</t>
        </is>
      </c>
      <c r="E3146" t="inlineStr">
        <is>
          <t>VANSBRO</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34182-2025</t>
        </is>
      </c>
      <c r="B3147" s="1" t="n">
        <v>45845.60520833333</v>
      </c>
      <c r="C3147" s="1" t="n">
        <v>46114</v>
      </c>
      <c r="D3147" t="inlineStr">
        <is>
          <t>DALARNAS LÄN</t>
        </is>
      </c>
      <c r="E3147" t="inlineStr">
        <is>
          <t>MORA</t>
        </is>
      </c>
      <c r="G3147" t="n">
        <v>3.4</v>
      </c>
      <c r="H3147" t="n">
        <v>0</v>
      </c>
      <c r="I3147" t="n">
        <v>0</v>
      </c>
      <c r="J3147" t="n">
        <v>0</v>
      </c>
      <c r="K3147" t="n">
        <v>0</v>
      </c>
      <c r="L3147" t="n">
        <v>0</v>
      </c>
      <c r="M3147" t="n">
        <v>0</v>
      </c>
      <c r="N3147" t="n">
        <v>0</v>
      </c>
      <c r="O3147" t="n">
        <v>0</v>
      </c>
      <c r="P3147" t="n">
        <v>0</v>
      </c>
      <c r="Q3147" t="n">
        <v>0</v>
      </c>
      <c r="R3147" s="2" t="inlineStr"/>
    </row>
    <row r="3148" ht="15" customHeight="1">
      <c r="A3148" t="inlineStr">
        <is>
          <t>A 20337-2024</t>
        </is>
      </c>
      <c r="B3148" s="1" t="n">
        <v>45435.43137731482</v>
      </c>
      <c r="C3148" s="1" t="n">
        <v>46114</v>
      </c>
      <c r="D3148" t="inlineStr">
        <is>
          <t>DALARNAS LÄN</t>
        </is>
      </c>
      <c r="E3148" t="inlineStr">
        <is>
          <t>SÄTER</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48982-2022</t>
        </is>
      </c>
      <c r="B3149" s="1" t="n">
        <v>44860</v>
      </c>
      <c r="C3149" s="1" t="n">
        <v>46114</v>
      </c>
      <c r="D3149" t="inlineStr">
        <is>
          <t>DALARNAS LÄN</t>
        </is>
      </c>
      <c r="E3149" t="inlineStr">
        <is>
          <t>MALUNG-SÄLEN</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58422-2024</t>
        </is>
      </c>
      <c r="B3150" s="1" t="n">
        <v>45634.87394675926</v>
      </c>
      <c r="C3150" s="1" t="n">
        <v>46114</v>
      </c>
      <c r="D3150" t="inlineStr">
        <is>
          <t>DALARNAS LÄN</t>
        </is>
      </c>
      <c r="E3150" t="inlineStr">
        <is>
          <t>MALUNG-SÄLEN</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30668-2024</t>
        </is>
      </c>
      <c r="B3151" s="1" t="n">
        <v>45495.71056712963</v>
      </c>
      <c r="C3151" s="1" t="n">
        <v>46114</v>
      </c>
      <c r="D3151" t="inlineStr">
        <is>
          <t>DALARNAS LÄN</t>
        </is>
      </c>
      <c r="E3151" t="inlineStr">
        <is>
          <t>GAGNEF</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30736-2024</t>
        </is>
      </c>
      <c r="B3152" s="1" t="n">
        <v>45496.64081018518</v>
      </c>
      <c r="C3152" s="1" t="n">
        <v>46114</v>
      </c>
      <c r="D3152" t="inlineStr">
        <is>
          <t>DALARNAS LÄN</t>
        </is>
      </c>
      <c r="E3152" t="inlineStr">
        <is>
          <t>AVESTA</t>
        </is>
      </c>
      <c r="F3152" t="inlineStr">
        <is>
          <t>Sveaskog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30739-2024</t>
        </is>
      </c>
      <c r="B3153" s="1" t="n">
        <v>45496.64434027778</v>
      </c>
      <c r="C3153" s="1" t="n">
        <v>46114</v>
      </c>
      <c r="D3153" t="inlineStr">
        <is>
          <t>DALARNAS LÄN</t>
        </is>
      </c>
      <c r="E3153" t="inlineStr">
        <is>
          <t>AVESTA</t>
        </is>
      </c>
      <c r="F3153" t="inlineStr">
        <is>
          <t>Sveaskog</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34001-2025</t>
        </is>
      </c>
      <c r="B3154" s="1" t="n">
        <v>45844</v>
      </c>
      <c r="C3154" s="1" t="n">
        <v>46114</v>
      </c>
      <c r="D3154" t="inlineStr">
        <is>
          <t>DALARNAS LÄN</t>
        </is>
      </c>
      <c r="E3154" t="inlineStr">
        <is>
          <t>ORSA</t>
        </is>
      </c>
      <c r="F3154" t="inlineStr">
        <is>
          <t>Bergvik skog öst AB</t>
        </is>
      </c>
      <c r="G3154" t="n">
        <v>13.4</v>
      </c>
      <c r="H3154" t="n">
        <v>0</v>
      </c>
      <c r="I3154" t="n">
        <v>0</v>
      </c>
      <c r="J3154" t="n">
        <v>0</v>
      </c>
      <c r="K3154" t="n">
        <v>0</v>
      </c>
      <c r="L3154" t="n">
        <v>0</v>
      </c>
      <c r="M3154" t="n">
        <v>0</v>
      </c>
      <c r="N3154" t="n">
        <v>0</v>
      </c>
      <c r="O3154" t="n">
        <v>0</v>
      </c>
      <c r="P3154" t="n">
        <v>0</v>
      </c>
      <c r="Q3154" t="n">
        <v>0</v>
      </c>
      <c r="R3154" s="2" t="inlineStr"/>
    </row>
    <row r="3155" ht="15" customHeight="1">
      <c r="A3155" t="inlineStr">
        <is>
          <t>A 34005-2025</t>
        </is>
      </c>
      <c r="B3155" s="1" t="n">
        <v>45844.58890046296</v>
      </c>
      <c r="C3155" s="1" t="n">
        <v>46114</v>
      </c>
      <c r="D3155" t="inlineStr">
        <is>
          <t>DALARNAS LÄN</t>
        </is>
      </c>
      <c r="E3155" t="inlineStr">
        <is>
          <t>MORA</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34070-2025</t>
        </is>
      </c>
      <c r="B3156" s="1" t="n">
        <v>45845</v>
      </c>
      <c r="C3156" s="1" t="n">
        <v>46114</v>
      </c>
      <c r="D3156" t="inlineStr">
        <is>
          <t>DALARNAS LÄN</t>
        </is>
      </c>
      <c r="E3156" t="inlineStr">
        <is>
          <t>LUDVIKA</t>
        </is>
      </c>
      <c r="F3156" t="inlineStr">
        <is>
          <t>Bergvik skog väst AB</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60715-2023</t>
        </is>
      </c>
      <c r="B3157" s="1" t="n">
        <v>45260.52684027778</v>
      </c>
      <c r="C3157" s="1" t="n">
        <v>46114</v>
      </c>
      <c r="D3157" t="inlineStr">
        <is>
          <t>DALARNAS LÄN</t>
        </is>
      </c>
      <c r="E3157" t="inlineStr">
        <is>
          <t>MORA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35903-2023</t>
        </is>
      </c>
      <c r="B3158" s="1" t="n">
        <v>45148</v>
      </c>
      <c r="C3158" s="1" t="n">
        <v>46114</v>
      </c>
      <c r="D3158" t="inlineStr">
        <is>
          <t>DALARNAS LÄN</t>
        </is>
      </c>
      <c r="E3158" t="inlineStr">
        <is>
          <t>FALUN</t>
        </is>
      </c>
      <c r="F3158" t="inlineStr">
        <is>
          <t>Bergvik skog väst AB</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53468-2023</t>
        </is>
      </c>
      <c r="B3159" s="1" t="n">
        <v>45230</v>
      </c>
      <c r="C3159" s="1" t="n">
        <v>46114</v>
      </c>
      <c r="D3159" t="inlineStr">
        <is>
          <t>DALARNAS LÄN</t>
        </is>
      </c>
      <c r="E3159" t="inlineStr">
        <is>
          <t>RÄTTVIK</t>
        </is>
      </c>
      <c r="G3159" t="n">
        <v>4.8</v>
      </c>
      <c r="H3159" t="n">
        <v>0</v>
      </c>
      <c r="I3159" t="n">
        <v>0</v>
      </c>
      <c r="J3159" t="n">
        <v>0</v>
      </c>
      <c r="K3159" t="n">
        <v>0</v>
      </c>
      <c r="L3159" t="n">
        <v>0</v>
      </c>
      <c r="M3159" t="n">
        <v>0</v>
      </c>
      <c r="N3159" t="n">
        <v>0</v>
      </c>
      <c r="O3159" t="n">
        <v>0</v>
      </c>
      <c r="P3159" t="n">
        <v>0</v>
      </c>
      <c r="Q3159" t="n">
        <v>0</v>
      </c>
      <c r="R3159" s="2" t="inlineStr"/>
    </row>
    <row r="3160" ht="15" customHeight="1">
      <c r="A3160" t="inlineStr">
        <is>
          <t>A 34403-2025</t>
        </is>
      </c>
      <c r="B3160" s="1" t="n">
        <v>45846</v>
      </c>
      <c r="C3160" s="1" t="n">
        <v>46114</v>
      </c>
      <c r="D3160" t="inlineStr">
        <is>
          <t>DALARNAS LÄN</t>
        </is>
      </c>
      <c r="E3160" t="inlineStr">
        <is>
          <t>LUDVIKA</t>
        </is>
      </c>
      <c r="F3160" t="inlineStr">
        <is>
          <t>Bergvik skog väst AB</t>
        </is>
      </c>
      <c r="G3160" t="n">
        <v>3.5</v>
      </c>
      <c r="H3160" t="n">
        <v>0</v>
      </c>
      <c r="I3160" t="n">
        <v>0</v>
      </c>
      <c r="J3160" t="n">
        <v>0</v>
      </c>
      <c r="K3160" t="n">
        <v>0</v>
      </c>
      <c r="L3160" t="n">
        <v>0</v>
      </c>
      <c r="M3160" t="n">
        <v>0</v>
      </c>
      <c r="N3160" t="n">
        <v>0</v>
      </c>
      <c r="O3160" t="n">
        <v>0</v>
      </c>
      <c r="P3160" t="n">
        <v>0</v>
      </c>
      <c r="Q3160" t="n">
        <v>0</v>
      </c>
      <c r="R3160" s="2" t="inlineStr"/>
    </row>
    <row r="3161" ht="15" customHeight="1">
      <c r="A3161" t="inlineStr">
        <is>
          <t>A 54257-2023</t>
        </is>
      </c>
      <c r="B3161" s="1" t="n">
        <v>45232.64195601852</v>
      </c>
      <c r="C3161" s="1" t="n">
        <v>46114</v>
      </c>
      <c r="D3161" t="inlineStr">
        <is>
          <t>DALARNAS LÄN</t>
        </is>
      </c>
      <c r="E3161" t="inlineStr">
        <is>
          <t>MORA</t>
        </is>
      </c>
      <c r="G3161" t="n">
        <v>4</v>
      </c>
      <c r="H3161" t="n">
        <v>0</v>
      </c>
      <c r="I3161" t="n">
        <v>0</v>
      </c>
      <c r="J3161" t="n">
        <v>0</v>
      </c>
      <c r="K3161" t="n">
        <v>0</v>
      </c>
      <c r="L3161" t="n">
        <v>0</v>
      </c>
      <c r="M3161" t="n">
        <v>0</v>
      </c>
      <c r="N3161" t="n">
        <v>0</v>
      </c>
      <c r="O3161" t="n">
        <v>0</v>
      </c>
      <c r="P3161" t="n">
        <v>0</v>
      </c>
      <c r="Q3161" t="n">
        <v>0</v>
      </c>
      <c r="R3161" s="2" t="inlineStr"/>
    </row>
    <row r="3162" ht="15" customHeight="1">
      <c r="A3162" t="inlineStr">
        <is>
          <t>A 34303-2025</t>
        </is>
      </c>
      <c r="B3162" s="1" t="n">
        <v>45846.35042824074</v>
      </c>
      <c r="C3162" s="1" t="n">
        <v>46114</v>
      </c>
      <c r="D3162" t="inlineStr">
        <is>
          <t>DALARNAS LÄN</t>
        </is>
      </c>
      <c r="E3162" t="inlineStr">
        <is>
          <t>VANSBRO</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34313-2025</t>
        </is>
      </c>
      <c r="B3163" s="1" t="n">
        <v>45846.39778935185</v>
      </c>
      <c r="C3163" s="1" t="n">
        <v>46114</v>
      </c>
      <c r="D3163" t="inlineStr">
        <is>
          <t>DALARNAS LÄN</t>
        </is>
      </c>
      <c r="E3163" t="inlineStr">
        <is>
          <t>GAGNEF</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34314-2025</t>
        </is>
      </c>
      <c r="B3164" s="1" t="n">
        <v>45846</v>
      </c>
      <c r="C3164" s="1" t="n">
        <v>46114</v>
      </c>
      <c r="D3164" t="inlineStr">
        <is>
          <t>DALARNAS LÄN</t>
        </is>
      </c>
      <c r="E3164" t="inlineStr">
        <is>
          <t>ÄLVDALEN</t>
        </is>
      </c>
      <c r="F3164" t="inlineStr">
        <is>
          <t>Bergvik skog väst AB</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34424-2025</t>
        </is>
      </c>
      <c r="B3165" s="1" t="n">
        <v>45846.66884259259</v>
      </c>
      <c r="C3165" s="1" t="n">
        <v>46114</v>
      </c>
      <c r="D3165" t="inlineStr">
        <is>
          <t>DALARNAS LÄN</t>
        </is>
      </c>
      <c r="E3165" t="inlineStr">
        <is>
          <t>GAGNEF</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34482-2025</t>
        </is>
      </c>
      <c r="B3166" s="1" t="n">
        <v>45847.38469907407</v>
      </c>
      <c r="C3166" s="1" t="n">
        <v>46114</v>
      </c>
      <c r="D3166" t="inlineStr">
        <is>
          <t>DALARNAS LÄN</t>
        </is>
      </c>
      <c r="E3166" t="inlineStr">
        <is>
          <t>MORA</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65195-2021</t>
        </is>
      </c>
      <c r="B3167" s="1" t="n">
        <v>44515.48929398148</v>
      </c>
      <c r="C3167" s="1" t="n">
        <v>46114</v>
      </c>
      <c r="D3167" t="inlineStr">
        <is>
          <t>DALARNAS LÄN</t>
        </is>
      </c>
      <c r="E3167" t="inlineStr">
        <is>
          <t>LUDVIKA</t>
        </is>
      </c>
      <c r="F3167" t="inlineStr">
        <is>
          <t>Bergvik skog väst AB</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24481-2024</t>
        </is>
      </c>
      <c r="B3168" s="1" t="n">
        <v>45459.36460648148</v>
      </c>
      <c r="C3168" s="1" t="n">
        <v>46114</v>
      </c>
      <c r="D3168" t="inlineStr">
        <is>
          <t>DALARNAS LÄN</t>
        </is>
      </c>
      <c r="E3168" t="inlineStr">
        <is>
          <t>LEKSAND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34522-2025</t>
        </is>
      </c>
      <c r="B3169" s="1" t="n">
        <v>45847</v>
      </c>
      <c r="C3169" s="1" t="n">
        <v>46114</v>
      </c>
      <c r="D3169" t="inlineStr">
        <is>
          <t>DALARNAS LÄN</t>
        </is>
      </c>
      <c r="E3169" t="inlineStr">
        <is>
          <t>LUDVIKA</t>
        </is>
      </c>
      <c r="F3169" t="inlineStr">
        <is>
          <t>Bergvik skog väst AB</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34523-2025</t>
        </is>
      </c>
      <c r="B3170" s="1" t="n">
        <v>45846</v>
      </c>
      <c r="C3170" s="1" t="n">
        <v>46114</v>
      </c>
      <c r="D3170" t="inlineStr">
        <is>
          <t>DALARNAS LÄN</t>
        </is>
      </c>
      <c r="E3170" t="inlineStr">
        <is>
          <t>SMEDJEBACKEN</t>
        </is>
      </c>
      <c r="F3170" t="inlineStr">
        <is>
          <t>Bergvik skog väst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34429-2025</t>
        </is>
      </c>
      <c r="B3171" s="1" t="n">
        <v>45846.67357638889</v>
      </c>
      <c r="C3171" s="1" t="n">
        <v>46114</v>
      </c>
      <c r="D3171" t="inlineStr">
        <is>
          <t>DALARNAS LÄN</t>
        </is>
      </c>
      <c r="E3171" t="inlineStr">
        <is>
          <t>GAGNEF</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34283-2025</t>
        </is>
      </c>
      <c r="B3172" s="1" t="n">
        <v>45846.32387731481</v>
      </c>
      <c r="C3172" s="1" t="n">
        <v>46114</v>
      </c>
      <c r="D3172" t="inlineStr">
        <is>
          <t>DALARNAS LÄN</t>
        </is>
      </c>
      <c r="E3172" t="inlineStr">
        <is>
          <t>VANSBRO</t>
        </is>
      </c>
      <c r="G3172" t="n">
        <v>5.8</v>
      </c>
      <c r="H3172" t="n">
        <v>0</v>
      </c>
      <c r="I3172" t="n">
        <v>0</v>
      </c>
      <c r="J3172" t="n">
        <v>0</v>
      </c>
      <c r="K3172" t="n">
        <v>0</v>
      </c>
      <c r="L3172" t="n">
        <v>0</v>
      </c>
      <c r="M3172" t="n">
        <v>0</v>
      </c>
      <c r="N3172" t="n">
        <v>0</v>
      </c>
      <c r="O3172" t="n">
        <v>0</v>
      </c>
      <c r="P3172" t="n">
        <v>0</v>
      </c>
      <c r="Q3172" t="n">
        <v>0</v>
      </c>
      <c r="R3172" s="2" t="inlineStr"/>
    </row>
    <row r="3173" ht="15" customHeight="1">
      <c r="A3173" t="inlineStr">
        <is>
          <t>A 34492-2025</t>
        </is>
      </c>
      <c r="B3173" s="1" t="n">
        <v>45847</v>
      </c>
      <c r="C3173" s="1" t="n">
        <v>46114</v>
      </c>
      <c r="D3173" t="inlineStr">
        <is>
          <t>DALARNAS LÄN</t>
        </is>
      </c>
      <c r="E3173" t="inlineStr">
        <is>
          <t>LUDVIKA</t>
        </is>
      </c>
      <c r="F3173" t="inlineStr">
        <is>
          <t>Bergvik skog väst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34378-2025</t>
        </is>
      </c>
      <c r="B3174" s="1" t="n">
        <v>45846.54021990741</v>
      </c>
      <c r="C3174" s="1" t="n">
        <v>46114</v>
      </c>
      <c r="D3174" t="inlineStr">
        <is>
          <t>DALARNAS LÄN</t>
        </is>
      </c>
      <c r="E3174" t="inlineStr">
        <is>
          <t>MALUNG-SÄLEN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55917-2022</t>
        </is>
      </c>
      <c r="B3175" s="1" t="n">
        <v>44889.3337962963</v>
      </c>
      <c r="C3175" s="1" t="n">
        <v>46114</v>
      </c>
      <c r="D3175" t="inlineStr">
        <is>
          <t>DALARNAS LÄN</t>
        </is>
      </c>
      <c r="E3175" t="inlineStr">
        <is>
          <t>FALUN</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34440-2025</t>
        </is>
      </c>
      <c r="B3176" s="1" t="n">
        <v>45846.69233796297</v>
      </c>
      <c r="C3176" s="1" t="n">
        <v>46114</v>
      </c>
      <c r="D3176" t="inlineStr">
        <is>
          <t>DALARNAS LÄN</t>
        </is>
      </c>
      <c r="E3176" t="inlineStr">
        <is>
          <t>VANSBRO</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34288-2025</t>
        </is>
      </c>
      <c r="B3177" s="1" t="n">
        <v>45846.33273148148</v>
      </c>
      <c r="C3177" s="1" t="n">
        <v>46114</v>
      </c>
      <c r="D3177" t="inlineStr">
        <is>
          <t>DALARNAS LÄN</t>
        </is>
      </c>
      <c r="E3177" t="inlineStr">
        <is>
          <t>GAGNEF</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34595-2025</t>
        </is>
      </c>
      <c r="B3178" s="1" t="n">
        <v>45847.63825231481</v>
      </c>
      <c r="C3178" s="1" t="n">
        <v>46114</v>
      </c>
      <c r="D3178" t="inlineStr">
        <is>
          <t>DALARNAS LÄN</t>
        </is>
      </c>
      <c r="E3178" t="inlineStr">
        <is>
          <t>RÄTTVIK</t>
        </is>
      </c>
      <c r="F3178" t="inlineStr">
        <is>
          <t>Sveaskog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34421-2025</t>
        </is>
      </c>
      <c r="B3179" s="1" t="n">
        <v>45846.66545138889</v>
      </c>
      <c r="C3179" s="1" t="n">
        <v>46114</v>
      </c>
      <c r="D3179" t="inlineStr">
        <is>
          <t>DALARNAS LÄN</t>
        </is>
      </c>
      <c r="E3179" t="inlineStr">
        <is>
          <t>GAGNEF</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34537-2025</t>
        </is>
      </c>
      <c r="B3180" s="1" t="n">
        <v>45847</v>
      </c>
      <c r="C3180" s="1" t="n">
        <v>46114</v>
      </c>
      <c r="D3180" t="inlineStr">
        <is>
          <t>DALARNAS LÄN</t>
        </is>
      </c>
      <c r="E3180" t="inlineStr">
        <is>
          <t>LEKSAND</t>
        </is>
      </c>
      <c r="G3180" t="n">
        <v>1</v>
      </c>
      <c r="H3180" t="n">
        <v>0</v>
      </c>
      <c r="I3180" t="n">
        <v>0</v>
      </c>
      <c r="J3180" t="n">
        <v>0</v>
      </c>
      <c r="K3180" t="n">
        <v>0</v>
      </c>
      <c r="L3180" t="n">
        <v>0</v>
      </c>
      <c r="M3180" t="n">
        <v>0</v>
      </c>
      <c r="N3180" t="n">
        <v>0</v>
      </c>
      <c r="O3180" t="n">
        <v>0</v>
      </c>
      <c r="P3180" t="n">
        <v>0</v>
      </c>
      <c r="Q3180" t="n">
        <v>0</v>
      </c>
      <c r="R3180" s="2" t="inlineStr"/>
    </row>
    <row r="3181" ht="15" customHeight="1">
      <c r="A3181" t="inlineStr">
        <is>
          <t>A 28274-2025</t>
        </is>
      </c>
      <c r="B3181" s="1" t="n">
        <v>45818.5778587963</v>
      </c>
      <c r="C3181" s="1" t="n">
        <v>46114</v>
      </c>
      <c r="D3181" t="inlineStr">
        <is>
          <t>DALARNAS LÄN</t>
        </is>
      </c>
      <c r="E3181" t="inlineStr">
        <is>
          <t>SMEDJEBACKEN</t>
        </is>
      </c>
      <c r="G3181" t="n">
        <v>4.9</v>
      </c>
      <c r="H3181" t="n">
        <v>0</v>
      </c>
      <c r="I3181" t="n">
        <v>0</v>
      </c>
      <c r="J3181" t="n">
        <v>0</v>
      </c>
      <c r="K3181" t="n">
        <v>0</v>
      </c>
      <c r="L3181" t="n">
        <v>0</v>
      </c>
      <c r="M3181" t="n">
        <v>0</v>
      </c>
      <c r="N3181" t="n">
        <v>0</v>
      </c>
      <c r="O3181" t="n">
        <v>0</v>
      </c>
      <c r="P3181" t="n">
        <v>0</v>
      </c>
      <c r="Q3181" t="n">
        <v>0</v>
      </c>
      <c r="R3181" s="2" t="inlineStr"/>
    </row>
    <row r="3182" ht="15" customHeight="1">
      <c r="A3182" t="inlineStr">
        <is>
          <t>A 34382-2025</t>
        </is>
      </c>
      <c r="B3182" s="1" t="n">
        <v>45846</v>
      </c>
      <c r="C3182" s="1" t="n">
        <v>46114</v>
      </c>
      <c r="D3182" t="inlineStr">
        <is>
          <t>DALARNAS LÄN</t>
        </is>
      </c>
      <c r="E3182" t="inlineStr">
        <is>
          <t>MORA</t>
        </is>
      </c>
      <c r="G3182" t="n">
        <v>0.7</v>
      </c>
      <c r="H3182" t="n">
        <v>0</v>
      </c>
      <c r="I3182" t="n">
        <v>0</v>
      </c>
      <c r="J3182" t="n">
        <v>0</v>
      </c>
      <c r="K3182" t="n">
        <v>0</v>
      </c>
      <c r="L3182" t="n">
        <v>0</v>
      </c>
      <c r="M3182" t="n">
        <v>0</v>
      </c>
      <c r="N3182" t="n">
        <v>0</v>
      </c>
      <c r="O3182" t="n">
        <v>0</v>
      </c>
      <c r="P3182" t="n">
        <v>0</v>
      </c>
      <c r="Q3182" t="n">
        <v>0</v>
      </c>
      <c r="R3182" s="2" t="inlineStr"/>
    </row>
    <row r="3183" ht="15" customHeight="1">
      <c r="A3183" t="inlineStr">
        <is>
          <t>A 34510-2025</t>
        </is>
      </c>
      <c r="B3183" s="1" t="n">
        <v>45846</v>
      </c>
      <c r="C3183" s="1" t="n">
        <v>46114</v>
      </c>
      <c r="D3183" t="inlineStr">
        <is>
          <t>DALARNAS LÄN</t>
        </is>
      </c>
      <c r="E3183" t="inlineStr">
        <is>
          <t>SMEDJEBACKEN</t>
        </is>
      </c>
      <c r="F3183" t="inlineStr">
        <is>
          <t>Bergvik skog väst AB</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34511-2025</t>
        </is>
      </c>
      <c r="B3184" s="1" t="n">
        <v>45846</v>
      </c>
      <c r="C3184" s="1" t="n">
        <v>46114</v>
      </c>
      <c r="D3184" t="inlineStr">
        <is>
          <t>DALARNAS LÄN</t>
        </is>
      </c>
      <c r="E3184" t="inlineStr">
        <is>
          <t>SMEDJEBACKEN</t>
        </is>
      </c>
      <c r="F3184" t="inlineStr">
        <is>
          <t>Bergvik skog väst AB</t>
        </is>
      </c>
      <c r="G3184" t="n">
        <v>1.9</v>
      </c>
      <c r="H3184" t="n">
        <v>0</v>
      </c>
      <c r="I3184" t="n">
        <v>0</v>
      </c>
      <c r="J3184" t="n">
        <v>0</v>
      </c>
      <c r="K3184" t="n">
        <v>0</v>
      </c>
      <c r="L3184" t="n">
        <v>0</v>
      </c>
      <c r="M3184" t="n">
        <v>0</v>
      </c>
      <c r="N3184" t="n">
        <v>0</v>
      </c>
      <c r="O3184" t="n">
        <v>0</v>
      </c>
      <c r="P3184" t="n">
        <v>0</v>
      </c>
      <c r="Q3184" t="n">
        <v>0</v>
      </c>
      <c r="R3184" s="2" t="inlineStr"/>
    </row>
    <row r="3185" ht="15" customHeight="1">
      <c r="A3185" t="inlineStr">
        <is>
          <t>A 34436-2025</t>
        </is>
      </c>
      <c r="B3185" s="1" t="n">
        <v>45846.68407407407</v>
      </c>
      <c r="C3185" s="1" t="n">
        <v>46114</v>
      </c>
      <c r="D3185" t="inlineStr">
        <is>
          <t>DALARNAS LÄN</t>
        </is>
      </c>
      <c r="E3185" t="inlineStr">
        <is>
          <t>GAGNEF</t>
        </is>
      </c>
      <c r="G3185" t="n">
        <v>9.699999999999999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41366-2023</t>
        </is>
      </c>
      <c r="B3186" s="1" t="n">
        <v>45174.84822916667</v>
      </c>
      <c r="C3186" s="1" t="n">
        <v>46114</v>
      </c>
      <c r="D3186" t="inlineStr">
        <is>
          <t>DALARNAS LÄN</t>
        </is>
      </c>
      <c r="E3186" t="inlineStr">
        <is>
          <t>GAGNEF</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34444-2025</t>
        </is>
      </c>
      <c r="B3187" s="1" t="n">
        <v>45846.71516203704</v>
      </c>
      <c r="C3187" s="1" t="n">
        <v>46114</v>
      </c>
      <c r="D3187" t="inlineStr">
        <is>
          <t>DALARNAS LÄN</t>
        </is>
      </c>
      <c r="E3187" t="inlineStr">
        <is>
          <t>SMEDJEBACKEN</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58485-2023</t>
        </is>
      </c>
      <c r="B3188" s="1" t="n">
        <v>45251</v>
      </c>
      <c r="C3188" s="1" t="n">
        <v>46114</v>
      </c>
      <c r="D3188" t="inlineStr">
        <is>
          <t>DALARNAS LÄN</t>
        </is>
      </c>
      <c r="E3188" t="inlineStr">
        <is>
          <t>RÄTTVIK</t>
        </is>
      </c>
      <c r="G3188" t="n">
        <v>4.8</v>
      </c>
      <c r="H3188" t="n">
        <v>0</v>
      </c>
      <c r="I3188" t="n">
        <v>0</v>
      </c>
      <c r="J3188" t="n">
        <v>0</v>
      </c>
      <c r="K3188" t="n">
        <v>0</v>
      </c>
      <c r="L3188" t="n">
        <v>0</v>
      </c>
      <c r="M3188" t="n">
        <v>0</v>
      </c>
      <c r="N3188" t="n">
        <v>0</v>
      </c>
      <c r="O3188" t="n">
        <v>0</v>
      </c>
      <c r="P3188" t="n">
        <v>0</v>
      </c>
      <c r="Q3188" t="n">
        <v>0</v>
      </c>
      <c r="R3188" s="2" t="inlineStr"/>
    </row>
    <row r="3189" ht="15" customHeight="1">
      <c r="A3189" t="inlineStr">
        <is>
          <t>A 58495-2023</t>
        </is>
      </c>
      <c r="B3189" s="1" t="n">
        <v>45251</v>
      </c>
      <c r="C3189" s="1" t="n">
        <v>46114</v>
      </c>
      <c r="D3189" t="inlineStr">
        <is>
          <t>DALARNAS LÄN</t>
        </is>
      </c>
      <c r="E3189" t="inlineStr">
        <is>
          <t>LEKSAND</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43258-2023</t>
        </is>
      </c>
      <c r="B3190" s="1" t="n">
        <v>45183.49864583334</v>
      </c>
      <c r="C3190" s="1" t="n">
        <v>46114</v>
      </c>
      <c r="D3190" t="inlineStr">
        <is>
          <t>DALARNAS LÄN</t>
        </is>
      </c>
      <c r="E3190" t="inlineStr">
        <is>
          <t>VANSBRO</t>
        </is>
      </c>
      <c r="F3190" t="inlineStr">
        <is>
          <t>Bergvik skog öst AB</t>
        </is>
      </c>
      <c r="G3190" t="n">
        <v>1.7</v>
      </c>
      <c r="H3190" t="n">
        <v>0</v>
      </c>
      <c r="I3190" t="n">
        <v>0</v>
      </c>
      <c r="J3190" t="n">
        <v>0</v>
      </c>
      <c r="K3190" t="n">
        <v>0</v>
      </c>
      <c r="L3190" t="n">
        <v>0</v>
      </c>
      <c r="M3190" t="n">
        <v>0</v>
      </c>
      <c r="N3190" t="n">
        <v>0</v>
      </c>
      <c r="O3190" t="n">
        <v>0</v>
      </c>
      <c r="P3190" t="n">
        <v>0</v>
      </c>
      <c r="Q3190" t="n">
        <v>0</v>
      </c>
      <c r="R3190" s="2" t="inlineStr"/>
    </row>
    <row r="3191" ht="15" customHeight="1">
      <c r="A3191" t="inlineStr">
        <is>
          <t>A 34526-2025</t>
        </is>
      </c>
      <c r="B3191" s="1" t="n">
        <v>45847.47820601852</v>
      </c>
      <c r="C3191" s="1" t="n">
        <v>46114</v>
      </c>
      <c r="D3191" t="inlineStr">
        <is>
          <t>DALARNAS LÄN</t>
        </is>
      </c>
      <c r="E3191" t="inlineStr">
        <is>
          <t>ÄLVDALEN</t>
        </is>
      </c>
      <c r="F3191" t="inlineStr">
        <is>
          <t>Allmännings- och besparingsskogar</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5802-2025</t>
        </is>
      </c>
      <c r="B3192" s="1" t="n">
        <v>45694.67778935185</v>
      </c>
      <c r="C3192" s="1" t="n">
        <v>46114</v>
      </c>
      <c r="D3192" t="inlineStr">
        <is>
          <t>DALARNAS LÄN</t>
        </is>
      </c>
      <c r="E3192" t="inlineStr">
        <is>
          <t>BORLÄNGE</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34293-2025</t>
        </is>
      </c>
      <c r="B3193" s="1" t="n">
        <v>45846.34346064815</v>
      </c>
      <c r="C3193" s="1" t="n">
        <v>46114</v>
      </c>
      <c r="D3193" t="inlineStr">
        <is>
          <t>DALARNAS LÄN</t>
        </is>
      </c>
      <c r="E3193" t="inlineStr">
        <is>
          <t>VANSBRO</t>
        </is>
      </c>
      <c r="G3193" t="n">
        <v>7.9</v>
      </c>
      <c r="H3193" t="n">
        <v>0</v>
      </c>
      <c r="I3193" t="n">
        <v>0</v>
      </c>
      <c r="J3193" t="n">
        <v>0</v>
      </c>
      <c r="K3193" t="n">
        <v>0</v>
      </c>
      <c r="L3193" t="n">
        <v>0</v>
      </c>
      <c r="M3193" t="n">
        <v>0</v>
      </c>
      <c r="N3193" t="n">
        <v>0</v>
      </c>
      <c r="O3193" t="n">
        <v>0</v>
      </c>
      <c r="P3193" t="n">
        <v>0</v>
      </c>
      <c r="Q3193" t="n">
        <v>0</v>
      </c>
      <c r="R3193" s="2" t="inlineStr"/>
    </row>
    <row r="3194" ht="15" customHeight="1">
      <c r="A3194" t="inlineStr">
        <is>
          <t>A 29585-2024</t>
        </is>
      </c>
      <c r="B3194" s="1" t="n">
        <v>45484.57728009259</v>
      </c>
      <c r="C3194" s="1" t="n">
        <v>46114</v>
      </c>
      <c r="D3194" t="inlineStr">
        <is>
          <t>DALARNAS LÄN</t>
        </is>
      </c>
      <c r="E3194" t="inlineStr">
        <is>
          <t>HEDEMORA</t>
        </is>
      </c>
      <c r="F3194" t="inlineStr">
        <is>
          <t>Bergvik skog väst AB</t>
        </is>
      </c>
      <c r="G3194" t="n">
        <v>8.1</v>
      </c>
      <c r="H3194" t="n">
        <v>0</v>
      </c>
      <c r="I3194" t="n">
        <v>0</v>
      </c>
      <c r="J3194" t="n">
        <v>0</v>
      </c>
      <c r="K3194" t="n">
        <v>0</v>
      </c>
      <c r="L3194" t="n">
        <v>0</v>
      </c>
      <c r="M3194" t="n">
        <v>0</v>
      </c>
      <c r="N3194" t="n">
        <v>0</v>
      </c>
      <c r="O3194" t="n">
        <v>0</v>
      </c>
      <c r="P3194" t="n">
        <v>0</v>
      </c>
      <c r="Q3194" t="n">
        <v>0</v>
      </c>
      <c r="R3194" s="2" t="inlineStr"/>
    </row>
    <row r="3195" ht="15" customHeight="1">
      <c r="A3195" t="inlineStr">
        <is>
          <t>A 34894-2025</t>
        </is>
      </c>
      <c r="B3195" s="1" t="n">
        <v>45849.4940162037</v>
      </c>
      <c r="C3195" s="1" t="n">
        <v>46114</v>
      </c>
      <c r="D3195" t="inlineStr">
        <is>
          <t>DALARNAS LÄN</t>
        </is>
      </c>
      <c r="E3195" t="inlineStr">
        <is>
          <t>MALUNG-SÄLEN</t>
        </is>
      </c>
      <c r="F3195" t="inlineStr">
        <is>
          <t>Bergvik skog väst AB</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34914-2025</t>
        </is>
      </c>
      <c r="B3196" s="1" t="n">
        <v>45849.54108796296</v>
      </c>
      <c r="C3196" s="1" t="n">
        <v>46114</v>
      </c>
      <c r="D3196" t="inlineStr">
        <is>
          <t>DALARNAS LÄN</t>
        </is>
      </c>
      <c r="E3196" t="inlineStr">
        <is>
          <t>ÄLVDALEN</t>
        </is>
      </c>
      <c r="F3196" t="inlineStr">
        <is>
          <t>Allmännings- och besparingsskogar</t>
        </is>
      </c>
      <c r="G3196" t="n">
        <v>19.2</v>
      </c>
      <c r="H3196" t="n">
        <v>0</v>
      </c>
      <c r="I3196" t="n">
        <v>0</v>
      </c>
      <c r="J3196" t="n">
        <v>0</v>
      </c>
      <c r="K3196" t="n">
        <v>0</v>
      </c>
      <c r="L3196" t="n">
        <v>0</v>
      </c>
      <c r="M3196" t="n">
        <v>0</v>
      </c>
      <c r="N3196" t="n">
        <v>0</v>
      </c>
      <c r="O3196" t="n">
        <v>0</v>
      </c>
      <c r="P3196" t="n">
        <v>0</v>
      </c>
      <c r="Q3196" t="n">
        <v>0</v>
      </c>
      <c r="R3196" s="2" t="inlineStr"/>
    </row>
    <row r="3197" ht="15" customHeight="1">
      <c r="A3197" t="inlineStr">
        <is>
          <t>A 34744-2025</t>
        </is>
      </c>
      <c r="B3197" s="1" t="n">
        <v>45848.6125</v>
      </c>
      <c r="C3197" s="1" t="n">
        <v>46114</v>
      </c>
      <c r="D3197" t="inlineStr">
        <is>
          <t>DALARNAS LÄN</t>
        </is>
      </c>
      <c r="E3197" t="inlineStr">
        <is>
          <t>ORSA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34854-2025</t>
        </is>
      </c>
      <c r="B3198" s="1" t="n">
        <v>45849.42806712963</v>
      </c>
      <c r="C3198" s="1" t="n">
        <v>46114</v>
      </c>
      <c r="D3198" t="inlineStr">
        <is>
          <t>DALARNAS LÄN</t>
        </is>
      </c>
      <c r="E3198" t="inlineStr">
        <is>
          <t>MALUNG-SÄLEN</t>
        </is>
      </c>
      <c r="F3198" t="inlineStr">
        <is>
          <t>Bergvik skog öst AB</t>
        </is>
      </c>
      <c r="G3198" t="n">
        <v>12.8</v>
      </c>
      <c r="H3198" t="n">
        <v>0</v>
      </c>
      <c r="I3198" t="n">
        <v>0</v>
      </c>
      <c r="J3198" t="n">
        <v>0</v>
      </c>
      <c r="K3198" t="n">
        <v>0</v>
      </c>
      <c r="L3198" t="n">
        <v>0</v>
      </c>
      <c r="M3198" t="n">
        <v>0</v>
      </c>
      <c r="N3198" t="n">
        <v>0</v>
      </c>
      <c r="O3198" t="n">
        <v>0</v>
      </c>
      <c r="P3198" t="n">
        <v>0</v>
      </c>
      <c r="Q3198" t="n">
        <v>0</v>
      </c>
      <c r="R3198" s="2" t="inlineStr"/>
    </row>
    <row r="3199" ht="15" customHeight="1">
      <c r="A3199" t="inlineStr">
        <is>
          <t>A 56685-2022</t>
        </is>
      </c>
      <c r="B3199" s="1" t="n">
        <v>44893.675</v>
      </c>
      <c r="C3199" s="1" t="n">
        <v>46114</v>
      </c>
      <c r="D3199" t="inlineStr">
        <is>
          <t>DALARNAS LÄN</t>
        </is>
      </c>
      <c r="E3199" t="inlineStr">
        <is>
          <t>LUDVIKA</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14968-2025</t>
        </is>
      </c>
      <c r="B3200" s="1" t="n">
        <v>45743.59052083334</v>
      </c>
      <c r="C3200" s="1" t="n">
        <v>46114</v>
      </c>
      <c r="D3200" t="inlineStr">
        <is>
          <t>DALARNAS LÄN</t>
        </is>
      </c>
      <c r="E3200" t="inlineStr">
        <is>
          <t>HEDEMORA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34769-2025</t>
        </is>
      </c>
      <c r="B3201" s="1" t="n">
        <v>45848.6534837963</v>
      </c>
      <c r="C3201" s="1" t="n">
        <v>46114</v>
      </c>
      <c r="D3201" t="inlineStr">
        <is>
          <t>DALARNAS LÄN</t>
        </is>
      </c>
      <c r="E3201" t="inlineStr">
        <is>
          <t>ORSA</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34777-2025</t>
        </is>
      </c>
      <c r="B3202" s="1" t="n">
        <v>45848.66167824074</v>
      </c>
      <c r="C3202" s="1" t="n">
        <v>46114</v>
      </c>
      <c r="D3202" t="inlineStr">
        <is>
          <t>DALARNAS LÄN</t>
        </is>
      </c>
      <c r="E3202" t="inlineStr">
        <is>
          <t>ORSA</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8117-2022</t>
        </is>
      </c>
      <c r="B3203" s="1" t="n">
        <v>44609.58159722222</v>
      </c>
      <c r="C3203" s="1" t="n">
        <v>46114</v>
      </c>
      <c r="D3203" t="inlineStr">
        <is>
          <t>DALARNAS LÄN</t>
        </is>
      </c>
      <c r="E3203" t="inlineStr">
        <is>
          <t>SÄTER</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34862-2025</t>
        </is>
      </c>
      <c r="B3204" s="1" t="n">
        <v>45849</v>
      </c>
      <c r="C3204" s="1" t="n">
        <v>46114</v>
      </c>
      <c r="D3204" t="inlineStr">
        <is>
          <t>DALARNAS LÄN</t>
        </is>
      </c>
      <c r="E3204" t="inlineStr">
        <is>
          <t>LUDVIKA</t>
        </is>
      </c>
      <c r="F3204" t="inlineStr">
        <is>
          <t>Bergvik skog väst AB</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34933-2025</t>
        </is>
      </c>
      <c r="B3205" s="1" t="n">
        <v>45849.57297453703</v>
      </c>
      <c r="C3205" s="1" t="n">
        <v>46114</v>
      </c>
      <c r="D3205" t="inlineStr">
        <is>
          <t>DALARNAS LÄN</t>
        </is>
      </c>
      <c r="E3205" t="inlineStr">
        <is>
          <t>MORA</t>
        </is>
      </c>
      <c r="F3205" t="inlineStr">
        <is>
          <t>Bergvik skog väst AB</t>
        </is>
      </c>
      <c r="G3205" t="n">
        <v>8.199999999999999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38840-2025</t>
        </is>
      </c>
      <c r="B3206" s="1" t="n">
        <v>45887.5375</v>
      </c>
      <c r="C3206" s="1" t="n">
        <v>46114</v>
      </c>
      <c r="D3206" t="inlineStr">
        <is>
          <t>DALARNAS LÄN</t>
        </is>
      </c>
      <c r="E3206" t="inlineStr">
        <is>
          <t>ORSA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2017-2025</t>
        </is>
      </c>
      <c r="B3207" s="1" t="n">
        <v>45672</v>
      </c>
      <c r="C3207" s="1" t="n">
        <v>46114</v>
      </c>
      <c r="D3207" t="inlineStr">
        <is>
          <t>DALARNAS LÄN</t>
        </is>
      </c>
      <c r="E3207" t="inlineStr">
        <is>
          <t>GAGNEF</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34794-2025</t>
        </is>
      </c>
      <c r="B3208" s="1" t="n">
        <v>45848.73256944444</v>
      </c>
      <c r="C3208" s="1" t="n">
        <v>46114</v>
      </c>
      <c r="D3208" t="inlineStr">
        <is>
          <t>DALARNAS LÄN</t>
        </is>
      </c>
      <c r="E3208" t="inlineStr">
        <is>
          <t>ORSA</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7436-2025</t>
        </is>
      </c>
      <c r="B3209" s="1" t="n">
        <v>45705.39746527778</v>
      </c>
      <c r="C3209" s="1" t="n">
        <v>46114</v>
      </c>
      <c r="D3209" t="inlineStr">
        <is>
          <t>DALARNAS LÄN</t>
        </is>
      </c>
      <c r="E3209" t="inlineStr">
        <is>
          <t>FALUN</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34941-2025</t>
        </is>
      </c>
      <c r="B3210" s="1" t="n">
        <v>45849.58335648148</v>
      </c>
      <c r="C3210" s="1" t="n">
        <v>46114</v>
      </c>
      <c r="D3210" t="inlineStr">
        <is>
          <t>DALARNAS LÄN</t>
        </is>
      </c>
      <c r="E3210" t="inlineStr">
        <is>
          <t>FALUN</t>
        </is>
      </c>
      <c r="F3210" t="inlineStr">
        <is>
          <t>Bergvik skog väst AB</t>
        </is>
      </c>
      <c r="G3210" t="n">
        <v>18.1</v>
      </c>
      <c r="H3210" t="n">
        <v>0</v>
      </c>
      <c r="I3210" t="n">
        <v>0</v>
      </c>
      <c r="J3210" t="n">
        <v>0</v>
      </c>
      <c r="K3210" t="n">
        <v>0</v>
      </c>
      <c r="L3210" t="n">
        <v>0</v>
      </c>
      <c r="M3210" t="n">
        <v>0</v>
      </c>
      <c r="N3210" t="n">
        <v>0</v>
      </c>
      <c r="O3210" t="n">
        <v>0</v>
      </c>
      <c r="P3210" t="n">
        <v>0</v>
      </c>
      <c r="Q3210" t="n">
        <v>0</v>
      </c>
      <c r="R3210" s="2" t="inlineStr"/>
    </row>
    <row r="3211" ht="15" customHeight="1">
      <c r="A3211" t="inlineStr">
        <is>
          <t>A 38538-2025</t>
        </is>
      </c>
      <c r="B3211" s="1" t="n">
        <v>45884.42332175926</v>
      </c>
      <c r="C3211" s="1" t="n">
        <v>46114</v>
      </c>
      <c r="D3211" t="inlineStr">
        <is>
          <t>DALARNAS LÄN</t>
        </is>
      </c>
      <c r="E3211" t="inlineStr">
        <is>
          <t>RÄTTVIK</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34965-2025</t>
        </is>
      </c>
      <c r="B3212" s="1" t="n">
        <v>45849</v>
      </c>
      <c r="C3212" s="1" t="n">
        <v>46114</v>
      </c>
      <c r="D3212" t="inlineStr">
        <is>
          <t>DALARNAS LÄN</t>
        </is>
      </c>
      <c r="E3212" t="inlineStr">
        <is>
          <t>LEKSAND</t>
        </is>
      </c>
      <c r="F3212" t="inlineStr">
        <is>
          <t>Bergvik skog väst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34779-2025</t>
        </is>
      </c>
      <c r="B3213" s="1" t="n">
        <v>45848.66987268518</v>
      </c>
      <c r="C3213" s="1" t="n">
        <v>46114</v>
      </c>
      <c r="D3213" t="inlineStr">
        <is>
          <t>DALARNAS LÄN</t>
        </is>
      </c>
      <c r="E3213" t="inlineStr">
        <is>
          <t>ORSA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41896-2024</t>
        </is>
      </c>
      <c r="B3214" s="1" t="n">
        <v>45561.51310185185</v>
      </c>
      <c r="C3214" s="1" t="n">
        <v>46114</v>
      </c>
      <c r="D3214" t="inlineStr">
        <is>
          <t>DALARNAS LÄN</t>
        </is>
      </c>
      <c r="E3214" t="inlineStr">
        <is>
          <t>LEKSAND</t>
        </is>
      </c>
      <c r="F3214" t="inlineStr">
        <is>
          <t>Bergvik skog väst AB</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25722-2023</t>
        </is>
      </c>
      <c r="B3215" s="1" t="n">
        <v>45090.3646875</v>
      </c>
      <c r="C3215" s="1" t="n">
        <v>46114</v>
      </c>
      <c r="D3215" t="inlineStr">
        <is>
          <t>DALARNAS LÄN</t>
        </is>
      </c>
      <c r="E3215" t="inlineStr">
        <is>
          <t>FALUN</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34753-2025</t>
        </is>
      </c>
      <c r="B3216" s="1" t="n">
        <v>45848.62001157407</v>
      </c>
      <c r="C3216" s="1" t="n">
        <v>46114</v>
      </c>
      <c r="D3216" t="inlineStr">
        <is>
          <t>DALARNAS LÄN</t>
        </is>
      </c>
      <c r="E3216" t="inlineStr">
        <is>
          <t>ORSA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34778-2025</t>
        </is>
      </c>
      <c r="B3217" s="1" t="n">
        <v>45848.66840277778</v>
      </c>
      <c r="C3217" s="1" t="n">
        <v>46114</v>
      </c>
      <c r="D3217" t="inlineStr">
        <is>
          <t>DALARNAS LÄN</t>
        </is>
      </c>
      <c r="E3217" t="inlineStr">
        <is>
          <t>ÄLVDALEN</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11797-2023</t>
        </is>
      </c>
      <c r="B3218" s="1" t="n">
        <v>44994</v>
      </c>
      <c r="C3218" s="1" t="n">
        <v>46114</v>
      </c>
      <c r="D3218" t="inlineStr">
        <is>
          <t>DALARNAS LÄN</t>
        </is>
      </c>
      <c r="E3218" t="inlineStr">
        <is>
          <t>LUDVIKA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18859-2025</t>
        </is>
      </c>
      <c r="B3219" s="1" t="n">
        <v>45764</v>
      </c>
      <c r="C3219" s="1" t="n">
        <v>46114</v>
      </c>
      <c r="D3219" t="inlineStr">
        <is>
          <t>DALARNAS LÄN</t>
        </is>
      </c>
      <c r="E3219" t="inlineStr">
        <is>
          <t>VANSBRO</t>
        </is>
      </c>
      <c r="F3219" t="inlineStr">
        <is>
          <t>Bergvik skog väst AB</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18865-2025</t>
        </is>
      </c>
      <c r="B3220" s="1" t="n">
        <v>45764</v>
      </c>
      <c r="C3220" s="1" t="n">
        <v>46114</v>
      </c>
      <c r="D3220" t="inlineStr">
        <is>
          <t>DALARNAS LÄN</t>
        </is>
      </c>
      <c r="E3220" t="inlineStr">
        <is>
          <t>RÄTTVIK</t>
        </is>
      </c>
      <c r="F3220" t="inlineStr">
        <is>
          <t>Bergvik skog väst AB</t>
        </is>
      </c>
      <c r="G3220" t="n">
        <v>8.6</v>
      </c>
      <c r="H3220" t="n">
        <v>0</v>
      </c>
      <c r="I3220" t="n">
        <v>0</v>
      </c>
      <c r="J3220" t="n">
        <v>0</v>
      </c>
      <c r="K3220" t="n">
        <v>0</v>
      </c>
      <c r="L3220" t="n">
        <v>0</v>
      </c>
      <c r="M3220" t="n">
        <v>0</v>
      </c>
      <c r="N3220" t="n">
        <v>0</v>
      </c>
      <c r="O3220" t="n">
        <v>0</v>
      </c>
      <c r="P3220" t="n">
        <v>0</v>
      </c>
      <c r="Q3220" t="n">
        <v>0</v>
      </c>
      <c r="R3220" s="2" t="inlineStr"/>
    </row>
    <row r="3221" ht="15" customHeight="1">
      <c r="A3221" t="inlineStr">
        <is>
          <t>A 34706-2025</t>
        </is>
      </c>
      <c r="B3221" s="1" t="n">
        <v>45848</v>
      </c>
      <c r="C3221" s="1" t="n">
        <v>46114</v>
      </c>
      <c r="D3221" t="inlineStr">
        <is>
          <t>DALARNAS LÄN</t>
        </is>
      </c>
      <c r="E3221" t="inlineStr">
        <is>
          <t>SMEDJEBACKEN</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34711-2025</t>
        </is>
      </c>
      <c r="B3222" s="1" t="n">
        <v>45848.49875</v>
      </c>
      <c r="C3222" s="1" t="n">
        <v>46114</v>
      </c>
      <c r="D3222" t="inlineStr">
        <is>
          <t>DALARNAS LÄN</t>
        </is>
      </c>
      <c r="E3222" t="inlineStr">
        <is>
          <t>SMEDJEBACKEN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18882-2025</t>
        </is>
      </c>
      <c r="B3223" s="1" t="n">
        <v>45764</v>
      </c>
      <c r="C3223" s="1" t="n">
        <v>46114</v>
      </c>
      <c r="D3223" t="inlineStr">
        <is>
          <t>DALARNAS LÄN</t>
        </is>
      </c>
      <c r="E3223" t="inlineStr">
        <is>
          <t>VANSBRO</t>
        </is>
      </c>
      <c r="F3223" t="inlineStr">
        <is>
          <t>Bergvik skog väst AB</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34645-2025</t>
        </is>
      </c>
      <c r="B3224" s="1" t="n">
        <v>45848.33440972222</v>
      </c>
      <c r="C3224" s="1" t="n">
        <v>46114</v>
      </c>
      <c r="D3224" t="inlineStr">
        <is>
          <t>DALARNAS LÄN</t>
        </is>
      </c>
      <c r="E3224" t="inlineStr">
        <is>
          <t>ÄLVDALEN</t>
        </is>
      </c>
      <c r="G3224" t="n">
        <v>7.1</v>
      </c>
      <c r="H3224" t="n">
        <v>0</v>
      </c>
      <c r="I3224" t="n">
        <v>0</v>
      </c>
      <c r="J3224" t="n">
        <v>0</v>
      </c>
      <c r="K3224" t="n">
        <v>0</v>
      </c>
      <c r="L3224" t="n">
        <v>0</v>
      </c>
      <c r="M3224" t="n">
        <v>0</v>
      </c>
      <c r="N3224" t="n">
        <v>0</v>
      </c>
      <c r="O3224" t="n">
        <v>0</v>
      </c>
      <c r="P3224" t="n">
        <v>0</v>
      </c>
      <c r="Q3224" t="n">
        <v>0</v>
      </c>
      <c r="R3224" s="2" t="inlineStr"/>
    </row>
    <row r="3225" ht="15" customHeight="1">
      <c r="A3225" t="inlineStr">
        <is>
          <t>A 25499-2024</t>
        </is>
      </c>
      <c r="B3225" s="1" t="n">
        <v>45463</v>
      </c>
      <c r="C3225" s="1" t="n">
        <v>46114</v>
      </c>
      <c r="D3225" t="inlineStr">
        <is>
          <t>DALARNAS LÄN</t>
        </is>
      </c>
      <c r="E3225" t="inlineStr">
        <is>
          <t>MORA</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34764-2025</t>
        </is>
      </c>
      <c r="B3226" s="1" t="n">
        <v>45848.64788194445</v>
      </c>
      <c r="C3226" s="1" t="n">
        <v>46114</v>
      </c>
      <c r="D3226" t="inlineStr">
        <is>
          <t>DALARNAS LÄN</t>
        </is>
      </c>
      <c r="E3226" t="inlineStr">
        <is>
          <t>ORSA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34781-2025</t>
        </is>
      </c>
      <c r="B3227" s="1" t="n">
        <v>45848.67424768519</v>
      </c>
      <c r="C3227" s="1" t="n">
        <v>46114</v>
      </c>
      <c r="D3227" t="inlineStr">
        <is>
          <t>DALARNAS LÄN</t>
        </is>
      </c>
      <c r="E3227" t="inlineStr">
        <is>
          <t>ORSA</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34789-2025</t>
        </is>
      </c>
      <c r="B3228" s="1" t="n">
        <v>45848</v>
      </c>
      <c r="C3228" s="1" t="n">
        <v>46114</v>
      </c>
      <c r="D3228" t="inlineStr">
        <is>
          <t>DALARNAS LÄN</t>
        </is>
      </c>
      <c r="E3228" t="inlineStr">
        <is>
          <t>LEKSAND</t>
        </is>
      </c>
      <c r="F3228" t="inlineStr">
        <is>
          <t>Bergvik skog väst AB</t>
        </is>
      </c>
      <c r="G3228" t="n">
        <v>8.699999999999999</v>
      </c>
      <c r="H3228" t="n">
        <v>0</v>
      </c>
      <c r="I3228" t="n">
        <v>0</v>
      </c>
      <c r="J3228" t="n">
        <v>0</v>
      </c>
      <c r="K3228" t="n">
        <v>0</v>
      </c>
      <c r="L3228" t="n">
        <v>0</v>
      </c>
      <c r="M3228" t="n">
        <v>0</v>
      </c>
      <c r="N3228" t="n">
        <v>0</v>
      </c>
      <c r="O3228" t="n">
        <v>0</v>
      </c>
      <c r="P3228" t="n">
        <v>0</v>
      </c>
      <c r="Q3228" t="n">
        <v>0</v>
      </c>
      <c r="R3228" s="2" t="inlineStr"/>
    </row>
    <row r="3229" ht="15" customHeight="1">
      <c r="A3229" t="inlineStr">
        <is>
          <t>A 45569-2024</t>
        </is>
      </c>
      <c r="B3229" s="1" t="n">
        <v>45578</v>
      </c>
      <c r="C3229" s="1" t="n">
        <v>46114</v>
      </c>
      <c r="D3229" t="inlineStr">
        <is>
          <t>DALARNAS LÄN</t>
        </is>
      </c>
      <c r="E3229" t="inlineStr">
        <is>
          <t>SMEDJEBACKEN</t>
        </is>
      </c>
      <c r="F3229" t="inlineStr">
        <is>
          <t>Bergvik skog väst AB</t>
        </is>
      </c>
      <c r="G3229" t="n">
        <v>23.6</v>
      </c>
      <c r="H3229" t="n">
        <v>0</v>
      </c>
      <c r="I3229" t="n">
        <v>0</v>
      </c>
      <c r="J3229" t="n">
        <v>0</v>
      </c>
      <c r="K3229" t="n">
        <v>0</v>
      </c>
      <c r="L3229" t="n">
        <v>0</v>
      </c>
      <c r="M3229" t="n">
        <v>0</v>
      </c>
      <c r="N3229" t="n">
        <v>0</v>
      </c>
      <c r="O3229" t="n">
        <v>0</v>
      </c>
      <c r="P3229" t="n">
        <v>0</v>
      </c>
      <c r="Q3229" t="n">
        <v>0</v>
      </c>
      <c r="R3229" s="2" t="inlineStr"/>
    </row>
    <row r="3230" ht="15" customHeight="1">
      <c r="A3230" t="inlineStr">
        <is>
          <t>A 34697-2025</t>
        </is>
      </c>
      <c r="B3230" s="1" t="n">
        <v>45848.46181712963</v>
      </c>
      <c r="C3230" s="1" t="n">
        <v>46114</v>
      </c>
      <c r="D3230" t="inlineStr">
        <is>
          <t>DALARNAS LÄN</t>
        </is>
      </c>
      <c r="E3230" t="inlineStr">
        <is>
          <t>ÄLVDALEN</t>
        </is>
      </c>
      <c r="F3230" t="inlineStr">
        <is>
          <t>Allmännings- och besparingsskogar</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34705-2025</t>
        </is>
      </c>
      <c r="B3231" s="1" t="n">
        <v>45848.49012731481</v>
      </c>
      <c r="C3231" s="1" t="n">
        <v>46114</v>
      </c>
      <c r="D3231" t="inlineStr">
        <is>
          <t>DALARNAS LÄN</t>
        </is>
      </c>
      <c r="E3231" t="inlineStr">
        <is>
          <t>ÄLVDALEN</t>
        </is>
      </c>
      <c r="F3231" t="inlineStr">
        <is>
          <t>Allmännings- och besparingsskogar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34734-2025</t>
        </is>
      </c>
      <c r="B3232" s="1" t="n">
        <v>45848</v>
      </c>
      <c r="C3232" s="1" t="n">
        <v>46114</v>
      </c>
      <c r="D3232" t="inlineStr">
        <is>
          <t>DALARNAS LÄN</t>
        </is>
      </c>
      <c r="E3232" t="inlineStr">
        <is>
          <t>HEDEMORA</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15661-2023</t>
        </is>
      </c>
      <c r="B3233" s="1" t="n">
        <v>45019</v>
      </c>
      <c r="C3233" s="1" t="n">
        <v>46114</v>
      </c>
      <c r="D3233" t="inlineStr">
        <is>
          <t>DALARNAS LÄN</t>
        </is>
      </c>
      <c r="E3233" t="inlineStr">
        <is>
          <t>RÄTTVIK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15668-2023</t>
        </is>
      </c>
      <c r="B3234" s="1" t="n">
        <v>45019</v>
      </c>
      <c r="C3234" s="1" t="n">
        <v>46114</v>
      </c>
      <c r="D3234" t="inlineStr">
        <is>
          <t>DALARNAS LÄN</t>
        </is>
      </c>
      <c r="E3234" t="inlineStr">
        <is>
          <t>RÄTTVIK</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34906-2025</t>
        </is>
      </c>
      <c r="B3235" s="1" t="n">
        <v>45849.52040509259</v>
      </c>
      <c r="C3235" s="1" t="n">
        <v>46114</v>
      </c>
      <c r="D3235" t="inlineStr">
        <is>
          <t>DALARNAS LÄN</t>
        </is>
      </c>
      <c r="E3235" t="inlineStr">
        <is>
          <t>MALUNG-SÄLEN</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34860-2025</t>
        </is>
      </c>
      <c r="B3236" s="1" t="n">
        <v>45849</v>
      </c>
      <c r="C3236" s="1" t="n">
        <v>46114</v>
      </c>
      <c r="D3236" t="inlineStr">
        <is>
          <t>DALARNAS LÄN</t>
        </is>
      </c>
      <c r="E3236" t="inlineStr">
        <is>
          <t>LUDVIKA</t>
        </is>
      </c>
      <c r="F3236" t="inlineStr">
        <is>
          <t>Bergvik skog väst AB</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34861-2025</t>
        </is>
      </c>
      <c r="B3237" s="1" t="n">
        <v>45849</v>
      </c>
      <c r="C3237" s="1" t="n">
        <v>46114</v>
      </c>
      <c r="D3237" t="inlineStr">
        <is>
          <t>DALARNAS LÄN</t>
        </is>
      </c>
      <c r="E3237" t="inlineStr">
        <is>
          <t>LUDVIKA</t>
        </is>
      </c>
      <c r="F3237" t="inlineStr">
        <is>
          <t>Bergvik skog väst AB</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34901-2025</t>
        </is>
      </c>
      <c r="B3238" s="1" t="n">
        <v>45849.50694444445</v>
      </c>
      <c r="C3238" s="1" t="n">
        <v>46114</v>
      </c>
      <c r="D3238" t="inlineStr">
        <is>
          <t>DALARNAS LÄN</t>
        </is>
      </c>
      <c r="E3238" t="inlineStr">
        <is>
          <t>MALUNG-SÄLEN</t>
        </is>
      </c>
      <c r="G3238" t="n">
        <v>2.8</v>
      </c>
      <c r="H3238" t="n">
        <v>0</v>
      </c>
      <c r="I3238" t="n">
        <v>0</v>
      </c>
      <c r="J3238" t="n">
        <v>0</v>
      </c>
      <c r="K3238" t="n">
        <v>0</v>
      </c>
      <c r="L3238" t="n">
        <v>0</v>
      </c>
      <c r="M3238" t="n">
        <v>0</v>
      </c>
      <c r="N3238" t="n">
        <v>0</v>
      </c>
      <c r="O3238" t="n">
        <v>0</v>
      </c>
      <c r="P3238" t="n">
        <v>0</v>
      </c>
      <c r="Q3238" t="n">
        <v>0</v>
      </c>
      <c r="R3238" s="2" t="inlineStr"/>
    </row>
    <row r="3239" ht="15" customHeight="1">
      <c r="A3239" t="inlineStr">
        <is>
          <t>A 34964-2025</t>
        </is>
      </c>
      <c r="B3239" s="1" t="n">
        <v>45849.6330787037</v>
      </c>
      <c r="C3239" s="1" t="n">
        <v>46114</v>
      </c>
      <c r="D3239" t="inlineStr">
        <is>
          <t>DALARNAS LÄN</t>
        </is>
      </c>
      <c r="E3239" t="inlineStr">
        <is>
          <t>ORSA</t>
        </is>
      </c>
      <c r="G3239" t="n">
        <v>2.1</v>
      </c>
      <c r="H3239" t="n">
        <v>0</v>
      </c>
      <c r="I3239" t="n">
        <v>0</v>
      </c>
      <c r="J3239" t="n">
        <v>0</v>
      </c>
      <c r="K3239" t="n">
        <v>0</v>
      </c>
      <c r="L3239" t="n">
        <v>0</v>
      </c>
      <c r="M3239" t="n">
        <v>0</v>
      </c>
      <c r="N3239" t="n">
        <v>0</v>
      </c>
      <c r="O3239" t="n">
        <v>0</v>
      </c>
      <c r="P3239" t="n">
        <v>0</v>
      </c>
      <c r="Q3239" t="n">
        <v>0</v>
      </c>
      <c r="R3239" s="2" t="inlineStr"/>
    </row>
    <row r="3240" ht="15" customHeight="1">
      <c r="A3240" t="inlineStr">
        <is>
          <t>A 36590-2024</t>
        </is>
      </c>
      <c r="B3240" s="1" t="n">
        <v>45537.54650462963</v>
      </c>
      <c r="C3240" s="1" t="n">
        <v>46114</v>
      </c>
      <c r="D3240" t="inlineStr">
        <is>
          <t>DALARNAS LÄN</t>
        </is>
      </c>
      <c r="E3240" t="inlineStr">
        <is>
          <t>SÄTER</t>
        </is>
      </c>
      <c r="F3240" t="inlineStr">
        <is>
          <t>Bergvik skog väst AB</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34966-2025</t>
        </is>
      </c>
      <c r="B3241" s="1" t="n">
        <v>45849</v>
      </c>
      <c r="C3241" s="1" t="n">
        <v>46114</v>
      </c>
      <c r="D3241" t="inlineStr">
        <is>
          <t>DALARNAS LÄN</t>
        </is>
      </c>
      <c r="E3241" t="inlineStr">
        <is>
          <t>LEKSAND</t>
        </is>
      </c>
      <c r="F3241" t="inlineStr">
        <is>
          <t>Bergvik skog väst AB</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34810-2025</t>
        </is>
      </c>
      <c r="B3242" s="1" t="n">
        <v>45849.34428240741</v>
      </c>
      <c r="C3242" s="1" t="n">
        <v>46114</v>
      </c>
      <c r="D3242" t="inlineStr">
        <is>
          <t>DALARNAS LÄN</t>
        </is>
      </c>
      <c r="E3242" t="inlineStr">
        <is>
          <t>RÄTTVIK</t>
        </is>
      </c>
      <c r="F3242" t="inlineStr">
        <is>
          <t>Bergvik skog väst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34850-2025</t>
        </is>
      </c>
      <c r="B3243" s="1" t="n">
        <v>45849.42398148148</v>
      </c>
      <c r="C3243" s="1" t="n">
        <v>46114</v>
      </c>
      <c r="D3243" t="inlineStr">
        <is>
          <t>DALARNAS LÄN</t>
        </is>
      </c>
      <c r="E3243" t="inlineStr">
        <is>
          <t>ÄLVDALEN</t>
        </is>
      </c>
      <c r="F3243" t="inlineStr">
        <is>
          <t>Allmännings- och besparingsskogar</t>
        </is>
      </c>
      <c r="G3243" t="n">
        <v>12.1</v>
      </c>
      <c r="H3243" t="n">
        <v>0</v>
      </c>
      <c r="I3243" t="n">
        <v>0</v>
      </c>
      <c r="J3243" t="n">
        <v>0</v>
      </c>
      <c r="K3243" t="n">
        <v>0</v>
      </c>
      <c r="L3243" t="n">
        <v>0</v>
      </c>
      <c r="M3243" t="n">
        <v>0</v>
      </c>
      <c r="N3243" t="n">
        <v>0</v>
      </c>
      <c r="O3243" t="n">
        <v>0</v>
      </c>
      <c r="P3243" t="n">
        <v>0</v>
      </c>
      <c r="Q3243" t="n">
        <v>0</v>
      </c>
      <c r="R3243" s="2" t="inlineStr"/>
    </row>
    <row r="3244" ht="15" customHeight="1">
      <c r="A3244" t="inlineStr">
        <is>
          <t>A 34908-2025</t>
        </is>
      </c>
      <c r="B3244" s="1" t="n">
        <v>45849.53065972222</v>
      </c>
      <c r="C3244" s="1" t="n">
        <v>46114</v>
      </c>
      <c r="D3244" t="inlineStr">
        <is>
          <t>DALARNAS LÄN</t>
        </is>
      </c>
      <c r="E3244" t="inlineStr">
        <is>
          <t>RÄTTVIK</t>
        </is>
      </c>
      <c r="F3244" t="inlineStr">
        <is>
          <t>Sveaskog</t>
        </is>
      </c>
      <c r="G3244" t="n">
        <v>0.4</v>
      </c>
      <c r="H3244" t="n">
        <v>0</v>
      </c>
      <c r="I3244" t="n">
        <v>0</v>
      </c>
      <c r="J3244" t="n">
        <v>0</v>
      </c>
      <c r="K3244" t="n">
        <v>0</v>
      </c>
      <c r="L3244" t="n">
        <v>0</v>
      </c>
      <c r="M3244" t="n">
        <v>0</v>
      </c>
      <c r="N3244" t="n">
        <v>0</v>
      </c>
      <c r="O3244" t="n">
        <v>0</v>
      </c>
      <c r="P3244" t="n">
        <v>0</v>
      </c>
      <c r="Q3244" t="n">
        <v>0</v>
      </c>
      <c r="R3244" s="2" t="inlineStr"/>
    </row>
    <row r="3245" ht="15" customHeight="1">
      <c r="A3245" t="inlineStr">
        <is>
          <t>A 34943-2025</t>
        </is>
      </c>
      <c r="B3245" s="1" t="n">
        <v>45849</v>
      </c>
      <c r="C3245" s="1" t="n">
        <v>46114</v>
      </c>
      <c r="D3245" t="inlineStr">
        <is>
          <t>DALARNAS LÄN</t>
        </is>
      </c>
      <c r="E3245" t="inlineStr">
        <is>
          <t>GAGNEF</t>
        </is>
      </c>
      <c r="F3245" t="inlineStr">
        <is>
          <t>Bergvik skog väst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39098-2025</t>
        </is>
      </c>
      <c r="B3246" s="1" t="n">
        <v>45888.50637731481</v>
      </c>
      <c r="C3246" s="1" t="n">
        <v>46114</v>
      </c>
      <c r="D3246" t="inlineStr">
        <is>
          <t>DALARNAS LÄN</t>
        </is>
      </c>
      <c r="E3246" t="inlineStr">
        <is>
          <t>RÄTTVIK</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28038-2025</t>
        </is>
      </c>
      <c r="B3247" s="1" t="n">
        <v>45817.64203703704</v>
      </c>
      <c r="C3247" s="1" t="n">
        <v>46114</v>
      </c>
      <c r="D3247" t="inlineStr">
        <is>
          <t>DALARNAS LÄN</t>
        </is>
      </c>
      <c r="E3247" t="inlineStr">
        <is>
          <t>MALUNG-SÄLEN</t>
        </is>
      </c>
      <c r="F3247" t="inlineStr">
        <is>
          <t>Kommuner</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31100-2024</t>
        </is>
      </c>
      <c r="B3248" s="1" t="n">
        <v>45502</v>
      </c>
      <c r="C3248" s="1" t="n">
        <v>46114</v>
      </c>
      <c r="D3248" t="inlineStr">
        <is>
          <t>DALARNAS LÄN</t>
        </is>
      </c>
      <c r="E3248" t="inlineStr">
        <is>
          <t>LUDVIKA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34938-2025</t>
        </is>
      </c>
      <c r="B3249" s="1" t="n">
        <v>45849.58021990741</v>
      </c>
      <c r="C3249" s="1" t="n">
        <v>46114</v>
      </c>
      <c r="D3249" t="inlineStr">
        <is>
          <t>DALARNAS LÄN</t>
        </is>
      </c>
      <c r="E3249" t="inlineStr">
        <is>
          <t>SÄTER</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34739-2025</t>
        </is>
      </c>
      <c r="B3250" s="1" t="n">
        <v>45848.60682870371</v>
      </c>
      <c r="C3250" s="1" t="n">
        <v>46114</v>
      </c>
      <c r="D3250" t="inlineStr">
        <is>
          <t>DALARNAS LÄN</t>
        </is>
      </c>
      <c r="E3250" t="inlineStr">
        <is>
          <t>ÄLVDALEN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34793-2025</t>
        </is>
      </c>
      <c r="B3251" s="1" t="n">
        <v>45848.73045138889</v>
      </c>
      <c r="C3251" s="1" t="n">
        <v>46114</v>
      </c>
      <c r="D3251" t="inlineStr">
        <is>
          <t>DALARNAS LÄN</t>
        </is>
      </c>
      <c r="E3251" t="inlineStr">
        <is>
          <t>GAGNEF</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34898-2025</t>
        </is>
      </c>
      <c r="B3252" s="1" t="n">
        <v>45849.49554398148</v>
      </c>
      <c r="C3252" s="1" t="n">
        <v>46114</v>
      </c>
      <c r="D3252" t="inlineStr">
        <is>
          <t>DALARNAS LÄN</t>
        </is>
      </c>
      <c r="E3252" t="inlineStr">
        <is>
          <t>MALUNG-SÄLEN</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39173-2025</t>
        </is>
      </c>
      <c r="B3253" s="1" t="n">
        <v>45888.65284722222</v>
      </c>
      <c r="C3253" s="1" t="n">
        <v>46114</v>
      </c>
      <c r="D3253" t="inlineStr">
        <is>
          <t>DALARNAS LÄN</t>
        </is>
      </c>
      <c r="E3253" t="inlineStr">
        <is>
          <t>VANSBRO</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48290-2023</t>
        </is>
      </c>
      <c r="B3254" s="1" t="n">
        <v>45205</v>
      </c>
      <c r="C3254" s="1" t="n">
        <v>46114</v>
      </c>
      <c r="D3254" t="inlineStr">
        <is>
          <t>DALARNAS LÄN</t>
        </is>
      </c>
      <c r="E3254" t="inlineStr">
        <is>
          <t>RÄTTVIK</t>
        </is>
      </c>
      <c r="F3254" t="inlineStr">
        <is>
          <t>Bergvik skog väst AB</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38223-2021</t>
        </is>
      </c>
      <c r="B3255" s="1" t="n">
        <v>44405.60167824074</v>
      </c>
      <c r="C3255" s="1" t="n">
        <v>46114</v>
      </c>
      <c r="D3255" t="inlineStr">
        <is>
          <t>DALARNAS LÄN</t>
        </is>
      </c>
      <c r="E3255" t="inlineStr">
        <is>
          <t>LUDVIKA</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9351-2025</t>
        </is>
      </c>
      <c r="B3256" s="1" t="n">
        <v>45714</v>
      </c>
      <c r="C3256" s="1" t="n">
        <v>46114</v>
      </c>
      <c r="D3256" t="inlineStr">
        <is>
          <t>DALARNAS LÄN</t>
        </is>
      </c>
      <c r="E3256" t="inlineStr">
        <is>
          <t>MALUNG-SÄLEN</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39177-2025</t>
        </is>
      </c>
      <c r="B3257" s="1" t="n">
        <v>45888.65797453704</v>
      </c>
      <c r="C3257" s="1" t="n">
        <v>46114</v>
      </c>
      <c r="D3257" t="inlineStr">
        <is>
          <t>DALARNAS LÄN</t>
        </is>
      </c>
      <c r="E3257" t="inlineStr">
        <is>
          <t>VANSBRO</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39186-2025</t>
        </is>
      </c>
      <c r="B3258" s="1" t="n">
        <v>45888.66804398148</v>
      </c>
      <c r="C3258" s="1" t="n">
        <v>46114</v>
      </c>
      <c r="D3258" t="inlineStr">
        <is>
          <t>DALARNAS LÄN</t>
        </is>
      </c>
      <c r="E3258" t="inlineStr">
        <is>
          <t>FALUN</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13636-2023</t>
        </is>
      </c>
      <c r="B3259" s="1" t="n">
        <v>45006.63826388889</v>
      </c>
      <c r="C3259" s="1" t="n">
        <v>46114</v>
      </c>
      <c r="D3259" t="inlineStr">
        <is>
          <t>DALARNAS LÄN</t>
        </is>
      </c>
      <c r="E3259" t="inlineStr">
        <is>
          <t>FALUN</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58958-2022</t>
        </is>
      </c>
      <c r="B3260" s="1" t="n">
        <v>44903.6605324074</v>
      </c>
      <c r="C3260" s="1" t="n">
        <v>46114</v>
      </c>
      <c r="D3260" t="inlineStr">
        <is>
          <t>DALARNAS LÄN</t>
        </is>
      </c>
      <c r="E3260" t="inlineStr">
        <is>
          <t>MORA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34455-2024</t>
        </is>
      </c>
      <c r="B3261" s="1" t="n">
        <v>45525.56513888889</v>
      </c>
      <c r="C3261" s="1" t="n">
        <v>46114</v>
      </c>
      <c r="D3261" t="inlineStr">
        <is>
          <t>DALARNAS LÄN</t>
        </is>
      </c>
      <c r="E3261" t="inlineStr">
        <is>
          <t>LUDVIKA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1519-2024</t>
        </is>
      </c>
      <c r="B3262" s="1" t="n">
        <v>45306</v>
      </c>
      <c r="C3262" s="1" t="n">
        <v>46114</v>
      </c>
      <c r="D3262" t="inlineStr">
        <is>
          <t>DALARNAS LÄN</t>
        </is>
      </c>
      <c r="E3262" t="inlineStr">
        <is>
          <t>LEKSAND</t>
        </is>
      </c>
      <c r="G3262" t="n">
        <v>3.3</v>
      </c>
      <c r="H3262" t="n">
        <v>0</v>
      </c>
      <c r="I3262" t="n">
        <v>0</v>
      </c>
      <c r="J3262" t="n">
        <v>0</v>
      </c>
      <c r="K3262" t="n">
        <v>0</v>
      </c>
      <c r="L3262" t="n">
        <v>0</v>
      </c>
      <c r="M3262" t="n">
        <v>0</v>
      </c>
      <c r="N3262" t="n">
        <v>0</v>
      </c>
      <c r="O3262" t="n">
        <v>0</v>
      </c>
      <c r="P3262" t="n">
        <v>0</v>
      </c>
      <c r="Q3262" t="n">
        <v>0</v>
      </c>
      <c r="R3262" s="2" t="inlineStr"/>
    </row>
    <row r="3263" ht="15" customHeight="1">
      <c r="A3263" t="inlineStr">
        <is>
          <t>A 39609-2025</t>
        </is>
      </c>
      <c r="B3263" s="1" t="n">
        <v>45890</v>
      </c>
      <c r="C3263" s="1" t="n">
        <v>46114</v>
      </c>
      <c r="D3263" t="inlineStr">
        <is>
          <t>DALARNAS LÄN</t>
        </is>
      </c>
      <c r="E3263" t="inlineStr">
        <is>
          <t>VANSBRO</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50769-2024</t>
        </is>
      </c>
      <c r="B3264" s="1" t="n">
        <v>45602.44324074074</v>
      </c>
      <c r="C3264" s="1" t="n">
        <v>46114</v>
      </c>
      <c r="D3264" t="inlineStr">
        <is>
          <t>DALARNAS LÄN</t>
        </is>
      </c>
      <c r="E3264" t="inlineStr">
        <is>
          <t>FALUN</t>
        </is>
      </c>
      <c r="G3264" t="n">
        <v>4.2</v>
      </c>
      <c r="H3264" t="n">
        <v>0</v>
      </c>
      <c r="I3264" t="n">
        <v>0</v>
      </c>
      <c r="J3264" t="n">
        <v>0</v>
      </c>
      <c r="K3264" t="n">
        <v>0</v>
      </c>
      <c r="L3264" t="n">
        <v>0</v>
      </c>
      <c r="M3264" t="n">
        <v>0</v>
      </c>
      <c r="N3264" t="n">
        <v>0</v>
      </c>
      <c r="O3264" t="n">
        <v>0</v>
      </c>
      <c r="P3264" t="n">
        <v>0</v>
      </c>
      <c r="Q3264" t="n">
        <v>0</v>
      </c>
      <c r="R3264" s="2" t="inlineStr"/>
    </row>
    <row r="3265" ht="15" customHeight="1">
      <c r="A3265" t="inlineStr">
        <is>
          <t>A 39204-2025</t>
        </is>
      </c>
      <c r="B3265" s="1" t="n">
        <v>45888</v>
      </c>
      <c r="C3265" s="1" t="n">
        <v>46114</v>
      </c>
      <c r="D3265" t="inlineStr">
        <is>
          <t>DALARNAS LÄN</t>
        </is>
      </c>
      <c r="E3265" t="inlineStr">
        <is>
          <t>RÄTTVIK</t>
        </is>
      </c>
      <c r="G3265" t="n">
        <v>11.9</v>
      </c>
      <c r="H3265" t="n">
        <v>0</v>
      </c>
      <c r="I3265" t="n">
        <v>0</v>
      </c>
      <c r="J3265" t="n">
        <v>0</v>
      </c>
      <c r="K3265" t="n">
        <v>0</v>
      </c>
      <c r="L3265" t="n">
        <v>0</v>
      </c>
      <c r="M3265" t="n">
        <v>0</v>
      </c>
      <c r="N3265" t="n">
        <v>0</v>
      </c>
      <c r="O3265" t="n">
        <v>0</v>
      </c>
      <c r="P3265" t="n">
        <v>0</v>
      </c>
      <c r="Q3265" t="n">
        <v>0</v>
      </c>
      <c r="R3265" s="2" t="inlineStr"/>
    </row>
    <row r="3266" ht="15" customHeight="1">
      <c r="A3266" t="inlineStr">
        <is>
          <t>A 17647-2025</t>
        </is>
      </c>
      <c r="B3266" s="1" t="n">
        <v>45758.32903935185</v>
      </c>
      <c r="C3266" s="1" t="n">
        <v>46114</v>
      </c>
      <c r="D3266" t="inlineStr">
        <is>
          <t>DALARNAS LÄN</t>
        </is>
      </c>
      <c r="E3266" t="inlineStr">
        <is>
          <t>SMEDJEBACKEN</t>
        </is>
      </c>
      <c r="F3266" t="inlineStr">
        <is>
          <t>Sveaskog</t>
        </is>
      </c>
      <c r="G3266" t="n">
        <v>7.1</v>
      </c>
      <c r="H3266" t="n">
        <v>0</v>
      </c>
      <c r="I3266" t="n">
        <v>0</v>
      </c>
      <c r="J3266" t="n">
        <v>0</v>
      </c>
      <c r="K3266" t="n">
        <v>0</v>
      </c>
      <c r="L3266" t="n">
        <v>0</v>
      </c>
      <c r="M3266" t="n">
        <v>0</v>
      </c>
      <c r="N3266" t="n">
        <v>0</v>
      </c>
      <c r="O3266" t="n">
        <v>0</v>
      </c>
      <c r="P3266" t="n">
        <v>0</v>
      </c>
      <c r="Q3266" t="n">
        <v>0</v>
      </c>
      <c r="R3266" s="2" t="inlineStr"/>
    </row>
    <row r="3267" ht="15" customHeight="1">
      <c r="A3267" t="inlineStr">
        <is>
          <t>A 8360-2025</t>
        </is>
      </c>
      <c r="B3267" s="1" t="n">
        <v>45708.85030092593</v>
      </c>
      <c r="C3267" s="1" t="n">
        <v>46114</v>
      </c>
      <c r="D3267" t="inlineStr">
        <is>
          <t>DALARNAS LÄN</t>
        </is>
      </c>
      <c r="E3267" t="inlineStr">
        <is>
          <t>AVESTA</t>
        </is>
      </c>
      <c r="G3267" t="n">
        <v>7.4</v>
      </c>
      <c r="H3267" t="n">
        <v>0</v>
      </c>
      <c r="I3267" t="n">
        <v>0</v>
      </c>
      <c r="J3267" t="n">
        <v>0</v>
      </c>
      <c r="K3267" t="n">
        <v>0</v>
      </c>
      <c r="L3267" t="n">
        <v>0</v>
      </c>
      <c r="M3267" t="n">
        <v>0</v>
      </c>
      <c r="N3267" t="n">
        <v>0</v>
      </c>
      <c r="O3267" t="n">
        <v>0</v>
      </c>
      <c r="P3267" t="n">
        <v>0</v>
      </c>
      <c r="Q3267" t="n">
        <v>0</v>
      </c>
      <c r="R3267" s="2" t="inlineStr"/>
    </row>
    <row r="3268" ht="15" customHeight="1">
      <c r="A3268" t="inlineStr">
        <is>
          <t>A 1378-2025</t>
        </is>
      </c>
      <c r="B3268" s="1" t="n">
        <v>45667.65321759259</v>
      </c>
      <c r="C3268" s="1" t="n">
        <v>46114</v>
      </c>
      <c r="D3268" t="inlineStr">
        <is>
          <t>DALARNAS LÄN</t>
        </is>
      </c>
      <c r="E3268" t="inlineStr">
        <is>
          <t>SÄTER</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35103-2025</t>
        </is>
      </c>
      <c r="B3269" s="1" t="n">
        <v>45852.56914351852</v>
      </c>
      <c r="C3269" s="1" t="n">
        <v>46114</v>
      </c>
      <c r="D3269" t="inlineStr">
        <is>
          <t>DALARNAS LÄN</t>
        </is>
      </c>
      <c r="E3269" t="inlineStr">
        <is>
          <t>HEDEMORA</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39187-2025</t>
        </is>
      </c>
      <c r="B3270" s="1" t="n">
        <v>45888.6709375</v>
      </c>
      <c r="C3270" s="1" t="n">
        <v>46114</v>
      </c>
      <c r="D3270" t="inlineStr">
        <is>
          <t>DALARNAS LÄN</t>
        </is>
      </c>
      <c r="E3270" t="inlineStr">
        <is>
          <t>FALUN</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35136-2025</t>
        </is>
      </c>
      <c r="B3271" s="1" t="n">
        <v>45852.64193287037</v>
      </c>
      <c r="C3271" s="1" t="n">
        <v>46114</v>
      </c>
      <c r="D3271" t="inlineStr">
        <is>
          <t>DALARNAS LÄN</t>
        </is>
      </c>
      <c r="E3271" t="inlineStr">
        <is>
          <t>MALUNG-SÄLEN</t>
        </is>
      </c>
      <c r="F3271" t="inlineStr">
        <is>
          <t>Bergvik skog väst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8069-2025</t>
        </is>
      </c>
      <c r="B3272" s="1" t="n">
        <v>45707.64342592593</v>
      </c>
      <c r="C3272" s="1" t="n">
        <v>46114</v>
      </c>
      <c r="D3272" t="inlineStr">
        <is>
          <t>DALARNAS LÄN</t>
        </is>
      </c>
      <c r="E3272" t="inlineStr">
        <is>
          <t>ÄLVDALEN</t>
        </is>
      </c>
      <c r="F3272" t="inlineStr">
        <is>
          <t>Allmännings- och besparingsskogar</t>
        </is>
      </c>
      <c r="G3272" t="n">
        <v>4.2</v>
      </c>
      <c r="H3272" t="n">
        <v>0</v>
      </c>
      <c r="I3272" t="n">
        <v>0</v>
      </c>
      <c r="J3272" t="n">
        <v>0</v>
      </c>
      <c r="K3272" t="n">
        <v>0</v>
      </c>
      <c r="L3272" t="n">
        <v>0</v>
      </c>
      <c r="M3272" t="n">
        <v>0</v>
      </c>
      <c r="N3272" t="n">
        <v>0</v>
      </c>
      <c r="O3272" t="n">
        <v>0</v>
      </c>
      <c r="P3272" t="n">
        <v>0</v>
      </c>
      <c r="Q3272" t="n">
        <v>0</v>
      </c>
      <c r="R3272" s="2" t="inlineStr"/>
    </row>
    <row r="3273" ht="15" customHeight="1">
      <c r="A3273" t="inlineStr">
        <is>
          <t>A 39297-2025</t>
        </is>
      </c>
      <c r="B3273" s="1" t="n">
        <v>45888</v>
      </c>
      <c r="C3273" s="1" t="n">
        <v>46114</v>
      </c>
      <c r="D3273" t="inlineStr">
        <is>
          <t>DALARNAS LÄN</t>
        </is>
      </c>
      <c r="E3273" t="inlineStr">
        <is>
          <t>FALUN</t>
        </is>
      </c>
      <c r="F3273" t="inlineStr">
        <is>
          <t>Allmännings- och besparingsskogar</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3107-2025</t>
        </is>
      </c>
      <c r="B3274" s="1" t="n">
        <v>45678.68400462963</v>
      </c>
      <c r="C3274" s="1" t="n">
        <v>46114</v>
      </c>
      <c r="D3274" t="inlineStr">
        <is>
          <t>DALARNAS LÄN</t>
        </is>
      </c>
      <c r="E3274" t="inlineStr">
        <is>
          <t>ORSA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15421-2025</t>
        </is>
      </c>
      <c r="B3275" s="1" t="n">
        <v>45747.46331018519</v>
      </c>
      <c r="C3275" s="1" t="n">
        <v>46114</v>
      </c>
      <c r="D3275" t="inlineStr">
        <is>
          <t>DALARNAS LÄN</t>
        </is>
      </c>
      <c r="E3275" t="inlineStr">
        <is>
          <t>LUDVIKA</t>
        </is>
      </c>
      <c r="F3275" t="inlineStr">
        <is>
          <t>Övriga Aktiebolag</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17560-2023</t>
        </is>
      </c>
      <c r="B3276" s="1" t="n">
        <v>45036</v>
      </c>
      <c r="C3276" s="1" t="n">
        <v>46114</v>
      </c>
      <c r="D3276" t="inlineStr">
        <is>
          <t>DALARNAS LÄN</t>
        </is>
      </c>
      <c r="E3276" t="inlineStr">
        <is>
          <t>AVESTA</t>
        </is>
      </c>
      <c r="G3276" t="n">
        <v>6.6</v>
      </c>
      <c r="H3276" t="n">
        <v>0</v>
      </c>
      <c r="I3276" t="n">
        <v>0</v>
      </c>
      <c r="J3276" t="n">
        <v>0</v>
      </c>
      <c r="K3276" t="n">
        <v>0</v>
      </c>
      <c r="L3276" t="n">
        <v>0</v>
      </c>
      <c r="M3276" t="n">
        <v>0</v>
      </c>
      <c r="N3276" t="n">
        <v>0</v>
      </c>
      <c r="O3276" t="n">
        <v>0</v>
      </c>
      <c r="P3276" t="n">
        <v>0</v>
      </c>
      <c r="Q3276" t="n">
        <v>0</v>
      </c>
      <c r="R3276" s="2" t="inlineStr"/>
    </row>
    <row r="3277" ht="15" customHeight="1">
      <c r="A3277" t="inlineStr">
        <is>
          <t>A 52908-2023</t>
        </is>
      </c>
      <c r="B3277" s="1" t="n">
        <v>45226.49950231481</v>
      </c>
      <c r="C3277" s="1" t="n">
        <v>46114</v>
      </c>
      <c r="D3277" t="inlineStr">
        <is>
          <t>DALARNAS LÄN</t>
        </is>
      </c>
      <c r="E3277" t="inlineStr">
        <is>
          <t>MORA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52912-2023</t>
        </is>
      </c>
      <c r="B3278" s="1" t="n">
        <v>45226.51766203704</v>
      </c>
      <c r="C3278" s="1" t="n">
        <v>46114</v>
      </c>
      <c r="D3278" t="inlineStr">
        <is>
          <t>DALARNAS LÄN</t>
        </is>
      </c>
      <c r="E3278" t="inlineStr">
        <is>
          <t>ORSA</t>
        </is>
      </c>
      <c r="G3278" t="n">
        <v>10.9</v>
      </c>
      <c r="H3278" t="n">
        <v>0</v>
      </c>
      <c r="I3278" t="n">
        <v>0</v>
      </c>
      <c r="J3278" t="n">
        <v>0</v>
      </c>
      <c r="K3278" t="n">
        <v>0</v>
      </c>
      <c r="L3278" t="n">
        <v>0</v>
      </c>
      <c r="M3278" t="n">
        <v>0</v>
      </c>
      <c r="N3278" t="n">
        <v>0</v>
      </c>
      <c r="O3278" t="n">
        <v>0</v>
      </c>
      <c r="P3278" t="n">
        <v>0</v>
      </c>
      <c r="Q3278" t="n">
        <v>0</v>
      </c>
      <c r="R3278" s="2" t="inlineStr"/>
    </row>
    <row r="3279" ht="15" customHeight="1">
      <c r="A3279" t="inlineStr">
        <is>
          <t>A 39131-2025</t>
        </is>
      </c>
      <c r="B3279" s="1" t="n">
        <v>45888.58789351852</v>
      </c>
      <c r="C3279" s="1" t="n">
        <v>46114</v>
      </c>
      <c r="D3279" t="inlineStr">
        <is>
          <t>DALARNAS LÄN</t>
        </is>
      </c>
      <c r="E3279" t="inlineStr">
        <is>
          <t>RÄTTVIK</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11100-2024</t>
        </is>
      </c>
      <c r="B3280" s="1" t="n">
        <v>45371.30335648148</v>
      </c>
      <c r="C3280" s="1" t="n">
        <v>46114</v>
      </c>
      <c r="D3280" t="inlineStr">
        <is>
          <t>DALARNAS LÄN</t>
        </is>
      </c>
      <c r="E3280" t="inlineStr">
        <is>
          <t>SMEDJEBACKEN</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43351-2024</t>
        </is>
      </c>
      <c r="B3281" s="1" t="n">
        <v>45568.56023148148</v>
      </c>
      <c r="C3281" s="1" t="n">
        <v>46114</v>
      </c>
      <c r="D3281" t="inlineStr">
        <is>
          <t>DALARNAS LÄN</t>
        </is>
      </c>
      <c r="E3281" t="inlineStr">
        <is>
          <t>ÄLVDALEN</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39390-2025</t>
        </is>
      </c>
      <c r="B3282" s="1" t="n">
        <v>45889.6240625</v>
      </c>
      <c r="C3282" s="1" t="n">
        <v>46114</v>
      </c>
      <c r="D3282" t="inlineStr">
        <is>
          <t>DALARNAS LÄN</t>
        </is>
      </c>
      <c r="E3282" t="inlineStr">
        <is>
          <t>HEDEMORA</t>
        </is>
      </c>
      <c r="F3282" t="inlineStr">
        <is>
          <t>Sveaskog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39179-2025</t>
        </is>
      </c>
      <c r="B3283" s="1" t="n">
        <v>45888.6600925926</v>
      </c>
      <c r="C3283" s="1" t="n">
        <v>46114</v>
      </c>
      <c r="D3283" t="inlineStr">
        <is>
          <t>DALARNAS LÄN</t>
        </is>
      </c>
      <c r="E3283" t="inlineStr">
        <is>
          <t>VANSBRO</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56241-2024</t>
        </is>
      </c>
      <c r="B3284" s="1" t="n">
        <v>45624.63219907408</v>
      </c>
      <c r="C3284" s="1" t="n">
        <v>46114</v>
      </c>
      <c r="D3284" t="inlineStr">
        <is>
          <t>DALARNAS LÄN</t>
        </is>
      </c>
      <c r="E3284" t="inlineStr">
        <is>
          <t>FALUN</t>
        </is>
      </c>
      <c r="G3284" t="n">
        <v>1.8</v>
      </c>
      <c r="H3284" t="n">
        <v>0</v>
      </c>
      <c r="I3284" t="n">
        <v>0</v>
      </c>
      <c r="J3284" t="n">
        <v>0</v>
      </c>
      <c r="K3284" t="n">
        <v>0</v>
      </c>
      <c r="L3284" t="n">
        <v>0</v>
      </c>
      <c r="M3284" t="n">
        <v>0</v>
      </c>
      <c r="N3284" t="n">
        <v>0</v>
      </c>
      <c r="O3284" t="n">
        <v>0</v>
      </c>
      <c r="P3284" t="n">
        <v>0</v>
      </c>
      <c r="Q3284" t="n">
        <v>0</v>
      </c>
      <c r="R3284" s="2" t="inlineStr"/>
    </row>
    <row r="3285" ht="15" customHeight="1">
      <c r="A3285" t="inlineStr">
        <is>
          <t>A 47513-2023</t>
        </is>
      </c>
      <c r="B3285" s="1" t="n">
        <v>45203.31983796296</v>
      </c>
      <c r="C3285" s="1" t="n">
        <v>46114</v>
      </c>
      <c r="D3285" t="inlineStr">
        <is>
          <t>DALARNAS LÄN</t>
        </is>
      </c>
      <c r="E3285" t="inlineStr">
        <is>
          <t>MALUNG-SÄLEN</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21969-2025</t>
        </is>
      </c>
      <c r="B3286" s="1" t="n">
        <v>45784.63262731482</v>
      </c>
      <c r="C3286" s="1" t="n">
        <v>46114</v>
      </c>
      <c r="D3286" t="inlineStr">
        <is>
          <t>DALARNAS LÄN</t>
        </is>
      </c>
      <c r="E3286" t="inlineStr">
        <is>
          <t>SMEDJEBACKEN</t>
        </is>
      </c>
      <c r="G3286" t="n">
        <v>4</v>
      </c>
      <c r="H3286" t="n">
        <v>0</v>
      </c>
      <c r="I3286" t="n">
        <v>0</v>
      </c>
      <c r="J3286" t="n">
        <v>0</v>
      </c>
      <c r="K3286" t="n">
        <v>0</v>
      </c>
      <c r="L3286" t="n">
        <v>0</v>
      </c>
      <c r="M3286" t="n">
        <v>0</v>
      </c>
      <c r="N3286" t="n">
        <v>0</v>
      </c>
      <c r="O3286" t="n">
        <v>0</v>
      </c>
      <c r="P3286" t="n">
        <v>0</v>
      </c>
      <c r="Q3286" t="n">
        <v>0</v>
      </c>
      <c r="R3286" s="2" t="inlineStr"/>
    </row>
    <row r="3287" ht="15" customHeight="1">
      <c r="A3287" t="inlineStr">
        <is>
          <t>A 44117-2021</t>
        </is>
      </c>
      <c r="B3287" s="1" t="n">
        <v>44434.61344907407</v>
      </c>
      <c r="C3287" s="1" t="n">
        <v>46114</v>
      </c>
      <c r="D3287" t="inlineStr">
        <is>
          <t>DALARNAS LÄN</t>
        </is>
      </c>
      <c r="E3287" t="inlineStr">
        <is>
          <t>SMEDJEBACKEN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19421-2024</t>
        </is>
      </c>
      <c r="B3288" s="1" t="n">
        <v>45429</v>
      </c>
      <c r="C3288" s="1" t="n">
        <v>46114</v>
      </c>
      <c r="D3288" t="inlineStr">
        <is>
          <t>DALARNAS LÄN</t>
        </is>
      </c>
      <c r="E3288" t="inlineStr">
        <is>
          <t>FALUN</t>
        </is>
      </c>
      <c r="F3288" t="inlineStr">
        <is>
          <t>Bergvik skog väst AB</t>
        </is>
      </c>
      <c r="G3288" t="n">
        <v>8</v>
      </c>
      <c r="H3288" t="n">
        <v>0</v>
      </c>
      <c r="I3288" t="n">
        <v>0</v>
      </c>
      <c r="J3288" t="n">
        <v>0</v>
      </c>
      <c r="K3288" t="n">
        <v>0</v>
      </c>
      <c r="L3288" t="n">
        <v>0</v>
      </c>
      <c r="M3288" t="n">
        <v>0</v>
      </c>
      <c r="N3288" t="n">
        <v>0</v>
      </c>
      <c r="O3288" t="n">
        <v>0</v>
      </c>
      <c r="P3288" t="n">
        <v>0</v>
      </c>
      <c r="Q3288" t="n">
        <v>0</v>
      </c>
      <c r="R3288" s="2" t="inlineStr"/>
    </row>
    <row r="3289" ht="15" customHeight="1">
      <c r="A3289" t="inlineStr">
        <is>
          <t>A 5369-2025</t>
        </is>
      </c>
      <c r="B3289" s="1" t="n">
        <v>45692.58461805555</v>
      </c>
      <c r="C3289" s="1" t="n">
        <v>46114</v>
      </c>
      <c r="D3289" t="inlineStr">
        <is>
          <t>DALARNAS LÄN</t>
        </is>
      </c>
      <c r="E3289" t="inlineStr">
        <is>
          <t>MALUNG-SÄLEN</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823-2025</t>
        </is>
      </c>
      <c r="B3290" s="1" t="n">
        <v>45665.56862268518</v>
      </c>
      <c r="C3290" s="1" t="n">
        <v>46114</v>
      </c>
      <c r="D3290" t="inlineStr">
        <is>
          <t>DALARNAS LÄN</t>
        </is>
      </c>
      <c r="E3290" t="inlineStr">
        <is>
          <t>VANSBRO</t>
        </is>
      </c>
      <c r="F3290" t="inlineStr">
        <is>
          <t>Bergvik skog väst AB</t>
        </is>
      </c>
      <c r="G3290" t="n">
        <v>2.9</v>
      </c>
      <c r="H3290" t="n">
        <v>0</v>
      </c>
      <c r="I3290" t="n">
        <v>0</v>
      </c>
      <c r="J3290" t="n">
        <v>0</v>
      </c>
      <c r="K3290" t="n">
        <v>0</v>
      </c>
      <c r="L3290" t="n">
        <v>0</v>
      </c>
      <c r="M3290" t="n">
        <v>0</v>
      </c>
      <c r="N3290" t="n">
        <v>0</v>
      </c>
      <c r="O3290" t="n">
        <v>0</v>
      </c>
      <c r="P3290" t="n">
        <v>0</v>
      </c>
      <c r="Q3290" t="n">
        <v>0</v>
      </c>
      <c r="R3290" s="2" t="inlineStr"/>
    </row>
    <row r="3291" ht="15" customHeight="1">
      <c r="A3291" t="inlineStr">
        <is>
          <t>A 35094-2025</t>
        </is>
      </c>
      <c r="B3291" s="1" t="n">
        <v>45852</v>
      </c>
      <c r="C3291" s="1" t="n">
        <v>46114</v>
      </c>
      <c r="D3291" t="inlineStr">
        <is>
          <t>DALARNAS LÄN</t>
        </is>
      </c>
      <c r="E3291" t="inlineStr">
        <is>
          <t>LEKSAND</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39393-2025</t>
        </is>
      </c>
      <c r="B3292" s="1" t="n">
        <v>45889.62287037037</v>
      </c>
      <c r="C3292" s="1" t="n">
        <v>46114</v>
      </c>
      <c r="D3292" t="inlineStr">
        <is>
          <t>DALARNAS LÄN</t>
        </is>
      </c>
      <c r="E3292" t="inlineStr">
        <is>
          <t>HEDEMORA</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35121-2025</t>
        </is>
      </c>
      <c r="B3293" s="1" t="n">
        <v>45852.60936342592</v>
      </c>
      <c r="C3293" s="1" t="n">
        <v>46114</v>
      </c>
      <c r="D3293" t="inlineStr">
        <is>
          <t>DALARNAS LÄN</t>
        </is>
      </c>
      <c r="E3293" t="inlineStr">
        <is>
          <t>MORA</t>
        </is>
      </c>
      <c r="F3293" t="inlineStr">
        <is>
          <t>Bergvik skog öst AB</t>
        </is>
      </c>
      <c r="G3293" t="n">
        <v>15.9</v>
      </c>
      <c r="H3293" t="n">
        <v>0</v>
      </c>
      <c r="I3293" t="n">
        <v>0</v>
      </c>
      <c r="J3293" t="n">
        <v>0</v>
      </c>
      <c r="K3293" t="n">
        <v>0</v>
      </c>
      <c r="L3293" t="n">
        <v>0</v>
      </c>
      <c r="M3293" t="n">
        <v>0</v>
      </c>
      <c r="N3293" t="n">
        <v>0</v>
      </c>
      <c r="O3293" t="n">
        <v>0</v>
      </c>
      <c r="P3293" t="n">
        <v>0</v>
      </c>
      <c r="Q3293" t="n">
        <v>0</v>
      </c>
      <c r="R3293" s="2" t="inlineStr"/>
    </row>
    <row r="3294" ht="15" customHeight="1">
      <c r="A3294" t="inlineStr">
        <is>
          <t>A 35127-2025</t>
        </is>
      </c>
      <c r="B3294" s="1" t="n">
        <v>45852.62385416667</v>
      </c>
      <c r="C3294" s="1" t="n">
        <v>46114</v>
      </c>
      <c r="D3294" t="inlineStr">
        <is>
          <t>DALARNAS LÄN</t>
        </is>
      </c>
      <c r="E3294" t="inlineStr">
        <is>
          <t>MALUNG-SÄLEN</t>
        </is>
      </c>
      <c r="F3294" t="inlineStr">
        <is>
          <t>Bergvik skog väst AB</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18214-2024</t>
        </is>
      </c>
      <c r="B3295" s="1" t="n">
        <v>45420</v>
      </c>
      <c r="C3295" s="1" t="n">
        <v>46114</v>
      </c>
      <c r="D3295" t="inlineStr">
        <is>
          <t>DALARNAS LÄN</t>
        </is>
      </c>
      <c r="E3295" t="inlineStr">
        <is>
          <t>MORA</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18259-2024</t>
        </is>
      </c>
      <c r="B3296" s="1" t="n">
        <v>45421.52717592593</v>
      </c>
      <c r="C3296" s="1" t="n">
        <v>46114</v>
      </c>
      <c r="D3296" t="inlineStr">
        <is>
          <t>DALARNAS LÄN</t>
        </is>
      </c>
      <c r="E3296" t="inlineStr">
        <is>
          <t>RÄTTVIK</t>
        </is>
      </c>
      <c r="F3296" t="inlineStr">
        <is>
          <t>Allmännings- och besparingsskogar</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13922-2022</t>
        </is>
      </c>
      <c r="B3297" s="1" t="n">
        <v>44650</v>
      </c>
      <c r="C3297" s="1" t="n">
        <v>46114</v>
      </c>
      <c r="D3297" t="inlineStr">
        <is>
          <t>DALARNAS LÄN</t>
        </is>
      </c>
      <c r="E3297" t="inlineStr">
        <is>
          <t>AVESTA</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35085-2025</t>
        </is>
      </c>
      <c r="B3298" s="1" t="n">
        <v>45852.50997685185</v>
      </c>
      <c r="C3298" s="1" t="n">
        <v>46114</v>
      </c>
      <c r="D3298" t="inlineStr">
        <is>
          <t>DALARNAS LÄN</t>
        </is>
      </c>
      <c r="E3298" t="inlineStr">
        <is>
          <t>FALUN</t>
        </is>
      </c>
      <c r="G3298" t="n">
        <v>19.8</v>
      </c>
      <c r="H3298" t="n">
        <v>0</v>
      </c>
      <c r="I3298" t="n">
        <v>0</v>
      </c>
      <c r="J3298" t="n">
        <v>0</v>
      </c>
      <c r="K3298" t="n">
        <v>0</v>
      </c>
      <c r="L3298" t="n">
        <v>0</v>
      </c>
      <c r="M3298" t="n">
        <v>0</v>
      </c>
      <c r="N3298" t="n">
        <v>0</v>
      </c>
      <c r="O3298" t="n">
        <v>0</v>
      </c>
      <c r="P3298" t="n">
        <v>0</v>
      </c>
      <c r="Q3298" t="n">
        <v>0</v>
      </c>
      <c r="R3298" s="2" t="inlineStr"/>
    </row>
    <row r="3299" ht="15" customHeight="1">
      <c r="A3299" t="inlineStr">
        <is>
          <t>A 39305-2025</t>
        </is>
      </c>
      <c r="B3299" s="1" t="n">
        <v>45889.45498842592</v>
      </c>
      <c r="C3299" s="1" t="n">
        <v>46114</v>
      </c>
      <c r="D3299" t="inlineStr">
        <is>
          <t>DALARNAS LÄN</t>
        </is>
      </c>
      <c r="E3299" t="inlineStr">
        <is>
          <t>FALUN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35087-2025</t>
        </is>
      </c>
      <c r="B3300" s="1" t="n">
        <v>45852.51752314815</v>
      </c>
      <c r="C3300" s="1" t="n">
        <v>46114</v>
      </c>
      <c r="D3300" t="inlineStr">
        <is>
          <t>DALARNAS LÄN</t>
        </is>
      </c>
      <c r="E3300" t="inlineStr">
        <is>
          <t>MALUNG-SÄLEN</t>
        </is>
      </c>
      <c r="F3300" t="inlineStr">
        <is>
          <t>Bergvik skog väst AB</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39489-2024</t>
        </is>
      </c>
      <c r="B3301" s="1" t="n">
        <v>45551.65304398148</v>
      </c>
      <c r="C3301" s="1" t="n">
        <v>46114</v>
      </c>
      <c r="D3301" t="inlineStr">
        <is>
          <t>DALARNAS LÄN</t>
        </is>
      </c>
      <c r="E3301" t="inlineStr">
        <is>
          <t>VANSBRO</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39201-2025</t>
        </is>
      </c>
      <c r="B3302" s="1" t="n">
        <v>45888.71024305555</v>
      </c>
      <c r="C3302" s="1" t="n">
        <v>46114</v>
      </c>
      <c r="D3302" t="inlineStr">
        <is>
          <t>DALARNAS LÄN</t>
        </is>
      </c>
      <c r="E3302" t="inlineStr">
        <is>
          <t>VANSBRO</t>
        </is>
      </c>
      <c r="G3302" t="n">
        <v>9.800000000000001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35240-2025</t>
        </is>
      </c>
      <c r="B3303" s="1" t="n">
        <v>45853.61689814815</v>
      </c>
      <c r="C3303" s="1" t="n">
        <v>46114</v>
      </c>
      <c r="D3303" t="inlineStr">
        <is>
          <t>DALARNAS LÄN</t>
        </is>
      </c>
      <c r="E3303" t="inlineStr">
        <is>
          <t>MALUNG-SÄLEN</t>
        </is>
      </c>
      <c r="F3303" t="inlineStr">
        <is>
          <t>Bergvik skog öst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35247-2025</t>
        </is>
      </c>
      <c r="B3304" s="1" t="n">
        <v>45853.65163194444</v>
      </c>
      <c r="C3304" s="1" t="n">
        <v>46114</v>
      </c>
      <c r="D3304" t="inlineStr">
        <is>
          <t>DALARNAS LÄN</t>
        </is>
      </c>
      <c r="E3304" t="inlineStr">
        <is>
          <t>RÄTTVIK</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39276-2025</t>
        </is>
      </c>
      <c r="B3305" s="1" t="n">
        <v>45889.39368055556</v>
      </c>
      <c r="C3305" s="1" t="n">
        <v>46114</v>
      </c>
      <c r="D3305" t="inlineStr">
        <is>
          <t>DALARNAS LÄN</t>
        </is>
      </c>
      <c r="E3305" t="inlineStr">
        <is>
          <t>FALUN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2694-2025</t>
        </is>
      </c>
      <c r="B3306" s="1" t="n">
        <v>45677.38246527778</v>
      </c>
      <c r="C3306" s="1" t="n">
        <v>46114</v>
      </c>
      <c r="D3306" t="inlineStr">
        <is>
          <t>DALARNAS LÄN</t>
        </is>
      </c>
      <c r="E3306" t="inlineStr">
        <is>
          <t>LEKSAND</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35138-2025</t>
        </is>
      </c>
      <c r="B3307" s="1" t="n">
        <v>45852.64936342592</v>
      </c>
      <c r="C3307" s="1" t="n">
        <v>46114</v>
      </c>
      <c r="D3307" t="inlineStr">
        <is>
          <t>DALARNAS LÄN</t>
        </is>
      </c>
      <c r="E3307" t="inlineStr">
        <is>
          <t>RÄTTVIK</t>
        </is>
      </c>
      <c r="F3307" t="inlineStr">
        <is>
          <t>Bergvik skog väst AB</t>
        </is>
      </c>
      <c r="G3307" t="n">
        <v>30.4</v>
      </c>
      <c r="H3307" t="n">
        <v>0</v>
      </c>
      <c r="I3307" t="n">
        <v>0</v>
      </c>
      <c r="J3307" t="n">
        <v>0</v>
      </c>
      <c r="K3307" t="n">
        <v>0</v>
      </c>
      <c r="L3307" t="n">
        <v>0</v>
      </c>
      <c r="M3307" t="n">
        <v>0</v>
      </c>
      <c r="N3307" t="n">
        <v>0</v>
      </c>
      <c r="O3307" t="n">
        <v>0</v>
      </c>
      <c r="P3307" t="n">
        <v>0</v>
      </c>
      <c r="Q3307" t="n">
        <v>0</v>
      </c>
      <c r="R3307" s="2" t="inlineStr"/>
    </row>
    <row r="3308" ht="15" customHeight="1">
      <c r="A3308" t="inlineStr">
        <is>
          <t>A 27644-2025</t>
        </is>
      </c>
      <c r="B3308" s="1" t="n">
        <v>45813</v>
      </c>
      <c r="C3308" s="1" t="n">
        <v>46114</v>
      </c>
      <c r="D3308" t="inlineStr">
        <is>
          <t>DALARNAS LÄN</t>
        </is>
      </c>
      <c r="E3308" t="inlineStr">
        <is>
          <t>LUDVIKA</t>
        </is>
      </c>
      <c r="F3308" t="inlineStr">
        <is>
          <t>Bergvik skog väst AB</t>
        </is>
      </c>
      <c r="G3308" t="n">
        <v>5.1</v>
      </c>
      <c r="H3308" t="n">
        <v>0</v>
      </c>
      <c r="I3308" t="n">
        <v>0</v>
      </c>
      <c r="J3308" t="n">
        <v>0</v>
      </c>
      <c r="K3308" t="n">
        <v>0</v>
      </c>
      <c r="L3308" t="n">
        <v>0</v>
      </c>
      <c r="M3308" t="n">
        <v>0</v>
      </c>
      <c r="N3308" t="n">
        <v>0</v>
      </c>
      <c r="O3308" t="n">
        <v>0</v>
      </c>
      <c r="P3308" t="n">
        <v>0</v>
      </c>
      <c r="Q3308" t="n">
        <v>0</v>
      </c>
      <c r="R3308" s="2" t="inlineStr"/>
    </row>
    <row r="3309" ht="15" customHeight="1">
      <c r="A3309" t="inlineStr">
        <is>
          <t>A 28892-2022</t>
        </is>
      </c>
      <c r="B3309" s="1" t="n">
        <v>44749</v>
      </c>
      <c r="C3309" s="1" t="n">
        <v>46114</v>
      </c>
      <c r="D3309" t="inlineStr">
        <is>
          <t>DALARNAS LÄN</t>
        </is>
      </c>
      <c r="E3309" t="inlineStr">
        <is>
          <t>LEKSAND</t>
        </is>
      </c>
      <c r="F3309" t="inlineStr">
        <is>
          <t>Bergvik skog väst AB</t>
        </is>
      </c>
      <c r="G3309" t="n">
        <v>9.1</v>
      </c>
      <c r="H3309" t="n">
        <v>0</v>
      </c>
      <c r="I3309" t="n">
        <v>0</v>
      </c>
      <c r="J3309" t="n">
        <v>0</v>
      </c>
      <c r="K3309" t="n">
        <v>0</v>
      </c>
      <c r="L3309" t="n">
        <v>0</v>
      </c>
      <c r="M3309" t="n">
        <v>0</v>
      </c>
      <c r="N3309" t="n">
        <v>0</v>
      </c>
      <c r="O3309" t="n">
        <v>0</v>
      </c>
      <c r="P3309" t="n">
        <v>0</v>
      </c>
      <c r="Q3309" t="n">
        <v>0</v>
      </c>
      <c r="R3309" s="2" t="inlineStr"/>
    </row>
    <row r="3310" ht="15" customHeight="1">
      <c r="A3310" t="inlineStr">
        <is>
          <t>A 39027-2025</t>
        </is>
      </c>
      <c r="B3310" s="1" t="n">
        <v>45888.40212962963</v>
      </c>
      <c r="C3310" s="1" t="n">
        <v>46114</v>
      </c>
      <c r="D3310" t="inlineStr">
        <is>
          <t>DALARNAS LÄN</t>
        </is>
      </c>
      <c r="E3310" t="inlineStr">
        <is>
          <t>RÄTTVIK</t>
        </is>
      </c>
      <c r="F3310" t="inlineStr">
        <is>
          <t>Bergvik skog väst AB</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39974-2022</t>
        </is>
      </c>
      <c r="B3311" s="1" t="n">
        <v>44820</v>
      </c>
      <c r="C3311" s="1" t="n">
        <v>46114</v>
      </c>
      <c r="D3311" t="inlineStr">
        <is>
          <t>DALARNAS LÄN</t>
        </is>
      </c>
      <c r="E3311" t="inlineStr">
        <is>
          <t>VANSBRO</t>
        </is>
      </c>
      <c r="G3311" t="n">
        <v>7.3</v>
      </c>
      <c r="H3311" t="n">
        <v>0</v>
      </c>
      <c r="I3311" t="n">
        <v>0</v>
      </c>
      <c r="J3311" t="n">
        <v>0</v>
      </c>
      <c r="K3311" t="n">
        <v>0</v>
      </c>
      <c r="L3311" t="n">
        <v>0</v>
      </c>
      <c r="M3311" t="n">
        <v>0</v>
      </c>
      <c r="N3311" t="n">
        <v>0</v>
      </c>
      <c r="O3311" t="n">
        <v>0</v>
      </c>
      <c r="P3311" t="n">
        <v>0</v>
      </c>
      <c r="Q3311" t="n">
        <v>0</v>
      </c>
      <c r="R3311" s="2" t="inlineStr"/>
    </row>
    <row r="3312" ht="15" customHeight="1">
      <c r="A3312" t="inlineStr">
        <is>
          <t>A 37675-2024</t>
        </is>
      </c>
      <c r="B3312" s="1" t="n">
        <v>45541.58518518518</v>
      </c>
      <c r="C3312" s="1" t="n">
        <v>46114</v>
      </c>
      <c r="D3312" t="inlineStr">
        <is>
          <t>DALARNAS LÄN</t>
        </is>
      </c>
      <c r="E3312" t="inlineStr">
        <is>
          <t>MALUNG-SÄLEN</t>
        </is>
      </c>
      <c r="F3312" t="inlineStr">
        <is>
          <t>Bergvik skog öst AB</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35410-2025</t>
        </is>
      </c>
      <c r="B3313" s="1" t="n">
        <v>45855.37773148148</v>
      </c>
      <c r="C3313" s="1" t="n">
        <v>46114</v>
      </c>
      <c r="D3313" t="inlineStr">
        <is>
          <t>DALARNAS LÄN</t>
        </is>
      </c>
      <c r="E3313" t="inlineStr">
        <is>
          <t>SÄTER</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35412-2025</t>
        </is>
      </c>
      <c r="B3314" s="1" t="n">
        <v>45855.38655092593</v>
      </c>
      <c r="C3314" s="1" t="n">
        <v>46114</v>
      </c>
      <c r="D3314" t="inlineStr">
        <is>
          <t>DALARNAS LÄN</t>
        </is>
      </c>
      <c r="E3314" t="inlineStr">
        <is>
          <t>SÄTER</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39041-2025</t>
        </is>
      </c>
      <c r="B3315" s="1" t="n">
        <v>45888</v>
      </c>
      <c r="C3315" s="1" t="n">
        <v>46114</v>
      </c>
      <c r="D3315" t="inlineStr">
        <is>
          <t>DALARNAS LÄN</t>
        </is>
      </c>
      <c r="E3315" t="inlineStr">
        <is>
          <t>ÄLVDALEN</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40003-2022</t>
        </is>
      </c>
      <c r="B3316" s="1" t="n">
        <v>44820.36509259259</v>
      </c>
      <c r="C3316" s="1" t="n">
        <v>46114</v>
      </c>
      <c r="D3316" t="inlineStr">
        <is>
          <t>DALARNAS LÄN</t>
        </is>
      </c>
      <c r="E3316" t="inlineStr">
        <is>
          <t>ÄLVDALEN</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35424-2025</t>
        </is>
      </c>
      <c r="B3317" s="1" t="n">
        <v>45855.41770833333</v>
      </c>
      <c r="C3317" s="1" t="n">
        <v>46114</v>
      </c>
      <c r="D3317" t="inlineStr">
        <is>
          <t>DALARNAS LÄN</t>
        </is>
      </c>
      <c r="E3317" t="inlineStr">
        <is>
          <t>RÄTTVIK</t>
        </is>
      </c>
      <c r="F3317" t="inlineStr">
        <is>
          <t>Bergvik skog väst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35317-2025</t>
        </is>
      </c>
      <c r="B3318" s="1" t="n">
        <v>45854.47782407407</v>
      </c>
      <c r="C3318" s="1" t="n">
        <v>46114</v>
      </c>
      <c r="D3318" t="inlineStr">
        <is>
          <t>DALARNAS LÄN</t>
        </is>
      </c>
      <c r="E3318" t="inlineStr">
        <is>
          <t>RÄTTVIK</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35323-2025</t>
        </is>
      </c>
      <c r="B3319" s="1" t="n">
        <v>45854.49920138889</v>
      </c>
      <c r="C3319" s="1" t="n">
        <v>46114</v>
      </c>
      <c r="D3319" t="inlineStr">
        <is>
          <t>DALARNAS LÄN</t>
        </is>
      </c>
      <c r="E3319" t="inlineStr">
        <is>
          <t>FALUN</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21369-2023</t>
        </is>
      </c>
      <c r="B3320" s="1" t="n">
        <v>45063</v>
      </c>
      <c r="C3320" s="1" t="n">
        <v>46114</v>
      </c>
      <c r="D3320" t="inlineStr">
        <is>
          <t>DALARNAS LÄN</t>
        </is>
      </c>
      <c r="E3320" t="inlineStr">
        <is>
          <t>LUDVIKA</t>
        </is>
      </c>
      <c r="F3320" t="inlineStr">
        <is>
          <t>Bergvik skog väst AB</t>
        </is>
      </c>
      <c r="G3320" t="n">
        <v>0.4</v>
      </c>
      <c r="H3320" t="n">
        <v>0</v>
      </c>
      <c r="I3320" t="n">
        <v>0</v>
      </c>
      <c r="J3320" t="n">
        <v>0</v>
      </c>
      <c r="K3320" t="n">
        <v>0</v>
      </c>
      <c r="L3320" t="n">
        <v>0</v>
      </c>
      <c r="M3320" t="n">
        <v>0</v>
      </c>
      <c r="N3320" t="n">
        <v>0</v>
      </c>
      <c r="O3320" t="n">
        <v>0</v>
      </c>
      <c r="P3320" t="n">
        <v>0</v>
      </c>
      <c r="Q3320" t="n">
        <v>0</v>
      </c>
      <c r="R3320" s="2" t="inlineStr"/>
    </row>
    <row r="3321" ht="15" customHeight="1">
      <c r="A3321" t="inlineStr">
        <is>
          <t>A 36181-2024</t>
        </is>
      </c>
      <c r="B3321" s="1" t="n">
        <v>45534.41496527778</v>
      </c>
      <c r="C3321" s="1" t="n">
        <v>46114</v>
      </c>
      <c r="D3321" t="inlineStr">
        <is>
          <t>DALARNAS LÄN</t>
        </is>
      </c>
      <c r="E3321" t="inlineStr">
        <is>
          <t>MALUNG-SÄLEN</t>
        </is>
      </c>
      <c r="G3321" t="n">
        <v>3.4</v>
      </c>
      <c r="H3321" t="n">
        <v>0</v>
      </c>
      <c r="I3321" t="n">
        <v>0</v>
      </c>
      <c r="J3321" t="n">
        <v>0</v>
      </c>
      <c r="K3321" t="n">
        <v>0</v>
      </c>
      <c r="L3321" t="n">
        <v>0</v>
      </c>
      <c r="M3321" t="n">
        <v>0</v>
      </c>
      <c r="N3321" t="n">
        <v>0</v>
      </c>
      <c r="O3321" t="n">
        <v>0</v>
      </c>
      <c r="P3321" t="n">
        <v>0</v>
      </c>
      <c r="Q3321" t="n">
        <v>0</v>
      </c>
      <c r="R3321" s="2" t="inlineStr"/>
    </row>
    <row r="3322" ht="15" customHeight="1">
      <c r="A3322" t="inlineStr">
        <is>
          <t>A 30205-2022</t>
        </is>
      </c>
      <c r="B3322" s="1" t="n">
        <v>44757.74415509259</v>
      </c>
      <c r="C3322" s="1" t="n">
        <v>46114</v>
      </c>
      <c r="D3322" t="inlineStr">
        <is>
          <t>DALARNAS LÄN</t>
        </is>
      </c>
      <c r="E3322" t="inlineStr">
        <is>
          <t>HEDEMORA</t>
        </is>
      </c>
      <c r="F3322" t="inlineStr">
        <is>
          <t>Sveaskog</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42679-2024</t>
        </is>
      </c>
      <c r="B3323" s="1" t="n">
        <v>45566.37706018519</v>
      </c>
      <c r="C3323" s="1" t="n">
        <v>46114</v>
      </c>
      <c r="D3323" t="inlineStr">
        <is>
          <t>DALARNAS LÄN</t>
        </is>
      </c>
      <c r="E3323" t="inlineStr">
        <is>
          <t>ÄLVDALEN</t>
        </is>
      </c>
      <c r="F3323" t="inlineStr">
        <is>
          <t>Bergvik skog väst AB</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35452-2025</t>
        </is>
      </c>
      <c r="B3324" s="1" t="n">
        <v>45855.57219907407</v>
      </c>
      <c r="C3324" s="1" t="n">
        <v>46114</v>
      </c>
      <c r="D3324" t="inlineStr">
        <is>
          <t>DALARNAS LÄN</t>
        </is>
      </c>
      <c r="E3324" t="inlineStr">
        <is>
          <t>MALUNG-SÄLEN</t>
        </is>
      </c>
      <c r="F3324" t="inlineStr">
        <is>
          <t>Bergvik skog öst AB</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53586-2023</t>
        </is>
      </c>
      <c r="B3325" s="1" t="n">
        <v>45230.52603009259</v>
      </c>
      <c r="C3325" s="1" t="n">
        <v>46114</v>
      </c>
      <c r="D3325" t="inlineStr">
        <is>
          <t>DALARNAS LÄN</t>
        </is>
      </c>
      <c r="E3325" t="inlineStr">
        <is>
          <t>HEDEMORA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19194-2023</t>
        </is>
      </c>
      <c r="B3326" s="1" t="n">
        <v>45048.65945601852</v>
      </c>
      <c r="C3326" s="1" t="n">
        <v>46114</v>
      </c>
      <c r="D3326" t="inlineStr">
        <is>
          <t>DALARNAS LÄN</t>
        </is>
      </c>
      <c r="E3326" t="inlineStr">
        <is>
          <t>FALUN</t>
        </is>
      </c>
      <c r="F3326" t="inlineStr">
        <is>
          <t>Bergvik skog väst AB</t>
        </is>
      </c>
      <c r="G3326" t="n">
        <v>1.8</v>
      </c>
      <c r="H3326" t="n">
        <v>0</v>
      </c>
      <c r="I3326" t="n">
        <v>0</v>
      </c>
      <c r="J3326" t="n">
        <v>0</v>
      </c>
      <c r="K3326" t="n">
        <v>0</v>
      </c>
      <c r="L3326" t="n">
        <v>0</v>
      </c>
      <c r="M3326" t="n">
        <v>0</v>
      </c>
      <c r="N3326" t="n">
        <v>0</v>
      </c>
      <c r="O3326" t="n">
        <v>0</v>
      </c>
      <c r="P3326" t="n">
        <v>0</v>
      </c>
      <c r="Q3326" t="n">
        <v>0</v>
      </c>
      <c r="R3326" s="2" t="inlineStr"/>
    </row>
    <row r="3327" ht="15" customHeight="1">
      <c r="A3327" t="inlineStr">
        <is>
          <t>A 63079-2021</t>
        </is>
      </c>
      <c r="B3327" s="1" t="n">
        <v>44505.56753472222</v>
      </c>
      <c r="C3327" s="1" t="n">
        <v>46114</v>
      </c>
      <c r="D3327" t="inlineStr">
        <is>
          <t>DALARNAS LÄN</t>
        </is>
      </c>
      <c r="E3327" t="inlineStr">
        <is>
          <t>ÄLVDALEN</t>
        </is>
      </c>
      <c r="F3327" t="inlineStr">
        <is>
          <t>Bergvik skog väst AB</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38998-2025</t>
        </is>
      </c>
      <c r="B3328" s="1" t="n">
        <v>45888.34069444444</v>
      </c>
      <c r="C3328" s="1" t="n">
        <v>46114</v>
      </c>
      <c r="D3328" t="inlineStr">
        <is>
          <t>DALARNAS LÄN</t>
        </is>
      </c>
      <c r="E3328" t="inlineStr">
        <is>
          <t>FALUN</t>
        </is>
      </c>
      <c r="F3328" t="inlineStr">
        <is>
          <t>Bergvik skog väst AB</t>
        </is>
      </c>
      <c r="G3328" t="n">
        <v>5.6</v>
      </c>
      <c r="H3328" t="n">
        <v>0</v>
      </c>
      <c r="I3328" t="n">
        <v>0</v>
      </c>
      <c r="J3328" t="n">
        <v>0</v>
      </c>
      <c r="K3328" t="n">
        <v>0</v>
      </c>
      <c r="L3328" t="n">
        <v>0</v>
      </c>
      <c r="M3328" t="n">
        <v>0</v>
      </c>
      <c r="N3328" t="n">
        <v>0</v>
      </c>
      <c r="O3328" t="n">
        <v>0</v>
      </c>
      <c r="P3328" t="n">
        <v>0</v>
      </c>
      <c r="Q3328" t="n">
        <v>0</v>
      </c>
      <c r="R3328" s="2" t="inlineStr"/>
    </row>
    <row r="3329" ht="15" customHeight="1">
      <c r="A3329" t="inlineStr">
        <is>
          <t>A 45443-2024</t>
        </is>
      </c>
      <c r="B3329" s="1" t="n">
        <v>45576</v>
      </c>
      <c r="C3329" s="1" t="n">
        <v>46114</v>
      </c>
      <c r="D3329" t="inlineStr">
        <is>
          <t>DALARNAS LÄN</t>
        </is>
      </c>
      <c r="E3329" t="inlineStr">
        <is>
          <t>LUDVIKA</t>
        </is>
      </c>
      <c r="F3329" t="inlineStr">
        <is>
          <t>Bergvik skog väst AB</t>
        </is>
      </c>
      <c r="G3329" t="n">
        <v>2.5</v>
      </c>
      <c r="H3329" t="n">
        <v>0</v>
      </c>
      <c r="I3329" t="n">
        <v>0</v>
      </c>
      <c r="J3329" t="n">
        <v>0</v>
      </c>
      <c r="K3329" t="n">
        <v>0</v>
      </c>
      <c r="L3329" t="n">
        <v>0</v>
      </c>
      <c r="M3329" t="n">
        <v>0</v>
      </c>
      <c r="N3329" t="n">
        <v>0</v>
      </c>
      <c r="O3329" t="n">
        <v>0</v>
      </c>
      <c r="P3329" t="n">
        <v>0</v>
      </c>
      <c r="Q3329" t="n">
        <v>0</v>
      </c>
      <c r="R3329" s="2" t="inlineStr"/>
    </row>
    <row r="3330" ht="15" customHeight="1">
      <c r="A3330" t="inlineStr">
        <is>
          <t>A 39406-2025</t>
        </is>
      </c>
      <c r="B3330" s="1" t="n">
        <v>45889.63824074074</v>
      </c>
      <c r="C3330" s="1" t="n">
        <v>46114</v>
      </c>
      <c r="D3330" t="inlineStr">
        <is>
          <t>DALARNAS LÄN</t>
        </is>
      </c>
      <c r="E3330" t="inlineStr">
        <is>
          <t>FALUN</t>
        </is>
      </c>
      <c r="G3330" t="n">
        <v>4.7</v>
      </c>
      <c r="H3330" t="n">
        <v>0</v>
      </c>
      <c r="I3330" t="n">
        <v>0</v>
      </c>
      <c r="J3330" t="n">
        <v>0</v>
      </c>
      <c r="K3330" t="n">
        <v>0</v>
      </c>
      <c r="L3330" t="n">
        <v>0</v>
      </c>
      <c r="M3330" t="n">
        <v>0</v>
      </c>
      <c r="N3330" t="n">
        <v>0</v>
      </c>
      <c r="O3330" t="n">
        <v>0</v>
      </c>
      <c r="P3330" t="n">
        <v>0</v>
      </c>
      <c r="Q3330" t="n">
        <v>0</v>
      </c>
      <c r="R3330" s="2" t="inlineStr"/>
    </row>
    <row r="3331" ht="15" customHeight="1">
      <c r="A3331" t="inlineStr">
        <is>
          <t>A 39054-2025</t>
        </is>
      </c>
      <c r="B3331" s="1" t="n">
        <v>45888.44871527778</v>
      </c>
      <c r="C3331" s="1" t="n">
        <v>46114</v>
      </c>
      <c r="D3331" t="inlineStr">
        <is>
          <t>DALARNAS LÄN</t>
        </is>
      </c>
      <c r="E3331" t="inlineStr">
        <is>
          <t>RÄTTVIK</t>
        </is>
      </c>
      <c r="F3331" t="inlineStr">
        <is>
          <t>Bergvik skog väst AB</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39077-2025</t>
        </is>
      </c>
      <c r="B3332" s="1" t="n">
        <v>45888.47853009259</v>
      </c>
      <c r="C3332" s="1" t="n">
        <v>46114</v>
      </c>
      <c r="D3332" t="inlineStr">
        <is>
          <t>DALARNAS LÄN</t>
        </is>
      </c>
      <c r="E3332" t="inlineStr">
        <is>
          <t>VANSBRO</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20617-2025</t>
        </is>
      </c>
      <c r="B3333" s="1" t="n">
        <v>45776.29358796297</v>
      </c>
      <c r="C3333" s="1" t="n">
        <v>46114</v>
      </c>
      <c r="D3333" t="inlineStr">
        <is>
          <t>DALARNAS LÄN</t>
        </is>
      </c>
      <c r="E3333" t="inlineStr">
        <is>
          <t>RÄTTVIK</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27187-2025</t>
        </is>
      </c>
      <c r="B3334" s="1" t="n">
        <v>45812</v>
      </c>
      <c r="C3334" s="1" t="n">
        <v>46114</v>
      </c>
      <c r="D3334" t="inlineStr">
        <is>
          <t>DALARNAS LÄN</t>
        </is>
      </c>
      <c r="E3334" t="inlineStr">
        <is>
          <t>ÄLVDALEN</t>
        </is>
      </c>
      <c r="F3334" t="inlineStr">
        <is>
          <t>Allmännings- och besparingsskogar</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39893-2025</t>
        </is>
      </c>
      <c r="B3335" s="1" t="n">
        <v>45891.63013888889</v>
      </c>
      <c r="C3335" s="1" t="n">
        <v>46114</v>
      </c>
      <c r="D3335" t="inlineStr">
        <is>
          <t>DALARNAS LÄN</t>
        </is>
      </c>
      <c r="E3335" t="inlineStr">
        <is>
          <t>ÄLVDALEN</t>
        </is>
      </c>
      <c r="F3335" t="inlineStr">
        <is>
          <t>Kommuner</t>
        </is>
      </c>
      <c r="G3335" t="n">
        <v>5.8</v>
      </c>
      <c r="H3335" t="n">
        <v>0</v>
      </c>
      <c r="I3335" t="n">
        <v>0</v>
      </c>
      <c r="J3335" t="n">
        <v>0</v>
      </c>
      <c r="K3335" t="n">
        <v>0</v>
      </c>
      <c r="L3335" t="n">
        <v>0</v>
      </c>
      <c r="M3335" t="n">
        <v>0</v>
      </c>
      <c r="N3335" t="n">
        <v>0</v>
      </c>
      <c r="O3335" t="n">
        <v>0</v>
      </c>
      <c r="P3335" t="n">
        <v>0</v>
      </c>
      <c r="Q3335" t="n">
        <v>0</v>
      </c>
      <c r="R3335" s="2" t="inlineStr"/>
    </row>
    <row r="3336" ht="15" customHeight="1">
      <c r="A3336" t="inlineStr">
        <is>
          <t>A 64987-2023</t>
        </is>
      </c>
      <c r="B3336" s="1" t="n">
        <v>45285</v>
      </c>
      <c r="C3336" s="1" t="n">
        <v>46114</v>
      </c>
      <c r="D3336" t="inlineStr">
        <is>
          <t>DALARNAS LÄN</t>
        </is>
      </c>
      <c r="E3336" t="inlineStr">
        <is>
          <t>GAGNEF</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26823-2025</t>
        </is>
      </c>
      <c r="B3337" s="1" t="n">
        <v>45810</v>
      </c>
      <c r="C3337" s="1" t="n">
        <v>46114</v>
      </c>
      <c r="D3337" t="inlineStr">
        <is>
          <t>DALARNAS LÄN</t>
        </is>
      </c>
      <c r="E3337" t="inlineStr">
        <is>
          <t>LUDVIKA</t>
        </is>
      </c>
      <c r="F3337" t="inlineStr">
        <is>
          <t>Bergvik skog väst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29654-2025</t>
        </is>
      </c>
      <c r="B3338" s="1" t="n">
        <v>45825</v>
      </c>
      <c r="C3338" s="1" t="n">
        <v>46114</v>
      </c>
      <c r="D3338" t="inlineStr">
        <is>
          <t>DALARNAS LÄN</t>
        </is>
      </c>
      <c r="E3338" t="inlineStr">
        <is>
          <t>LUDVIKA</t>
        </is>
      </c>
      <c r="F3338" t="inlineStr">
        <is>
          <t>Bergvik skog väst AB</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39800-2025</t>
        </is>
      </c>
      <c r="B3339" s="1" t="n">
        <v>45891.50084490741</v>
      </c>
      <c r="C3339" s="1" t="n">
        <v>46114</v>
      </c>
      <c r="D3339" t="inlineStr">
        <is>
          <t>DALARNAS LÄN</t>
        </is>
      </c>
      <c r="E3339" t="inlineStr">
        <is>
          <t>SMEDJEBACKEN</t>
        </is>
      </c>
      <c r="F3339" t="inlineStr">
        <is>
          <t>Sveaskog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39805-2025</t>
        </is>
      </c>
      <c r="B3340" s="1" t="n">
        <v>45891.50685185185</v>
      </c>
      <c r="C3340" s="1" t="n">
        <v>46114</v>
      </c>
      <c r="D3340" t="inlineStr">
        <is>
          <t>DALARNAS LÄN</t>
        </is>
      </c>
      <c r="E3340" t="inlineStr">
        <is>
          <t>SMEDJEBACKEN</t>
        </is>
      </c>
      <c r="F3340" t="inlineStr">
        <is>
          <t>Sveaskog</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61622-2024</t>
        </is>
      </c>
      <c r="B3341" s="1" t="n">
        <v>45646</v>
      </c>
      <c r="C3341" s="1" t="n">
        <v>46114</v>
      </c>
      <c r="D3341" t="inlineStr">
        <is>
          <t>DALARNAS LÄN</t>
        </is>
      </c>
      <c r="E3341" t="inlineStr">
        <is>
          <t>RÄTTVIK</t>
        </is>
      </c>
      <c r="G3341" t="n">
        <v>3.2</v>
      </c>
      <c r="H3341" t="n">
        <v>0</v>
      </c>
      <c r="I3341" t="n">
        <v>0</v>
      </c>
      <c r="J3341" t="n">
        <v>0</v>
      </c>
      <c r="K3341" t="n">
        <v>0</v>
      </c>
      <c r="L3341" t="n">
        <v>0</v>
      </c>
      <c r="M3341" t="n">
        <v>0</v>
      </c>
      <c r="N3341" t="n">
        <v>0</v>
      </c>
      <c r="O3341" t="n">
        <v>0</v>
      </c>
      <c r="P3341" t="n">
        <v>0</v>
      </c>
      <c r="Q3341" t="n">
        <v>0</v>
      </c>
      <c r="R3341" s="2" t="inlineStr"/>
    </row>
    <row r="3342" ht="15" customHeight="1">
      <c r="A3342" t="inlineStr">
        <is>
          <t>A 35407-2025</t>
        </is>
      </c>
      <c r="B3342" s="1" t="n">
        <v>45855.35989583333</v>
      </c>
      <c r="C3342" s="1" t="n">
        <v>46114</v>
      </c>
      <c r="D3342" t="inlineStr">
        <is>
          <t>DALARNAS LÄN</t>
        </is>
      </c>
      <c r="E3342" t="inlineStr">
        <is>
          <t>MORA</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35409-2025</t>
        </is>
      </c>
      <c r="B3343" s="1" t="n">
        <v>45855.37565972222</v>
      </c>
      <c r="C3343" s="1" t="n">
        <v>46114</v>
      </c>
      <c r="D3343" t="inlineStr">
        <is>
          <t>DALARNAS LÄN</t>
        </is>
      </c>
      <c r="E3343" t="inlineStr">
        <is>
          <t>SÄTER</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35284-2025</t>
        </is>
      </c>
      <c r="B3344" s="1" t="n">
        <v>45854.36267361111</v>
      </c>
      <c r="C3344" s="1" t="n">
        <v>46114</v>
      </c>
      <c r="D3344" t="inlineStr">
        <is>
          <t>DALARNAS LÄN</t>
        </is>
      </c>
      <c r="E3344" t="inlineStr">
        <is>
          <t>VANSBRO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60465-2023</t>
        </is>
      </c>
      <c r="B3345" s="1" t="n">
        <v>45259.57872685185</v>
      </c>
      <c r="C3345" s="1" t="n">
        <v>46114</v>
      </c>
      <c r="D3345" t="inlineStr">
        <is>
          <t>DALARNAS LÄN</t>
        </is>
      </c>
      <c r="E3345" t="inlineStr">
        <is>
          <t>MORA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45272-2022</t>
        </is>
      </c>
      <c r="B3346" s="1" t="n">
        <v>44844</v>
      </c>
      <c r="C3346" s="1" t="n">
        <v>46114</v>
      </c>
      <c r="D3346" t="inlineStr">
        <is>
          <t>DALARNAS LÄN</t>
        </is>
      </c>
      <c r="E3346" t="inlineStr">
        <is>
          <t>ORSA</t>
        </is>
      </c>
      <c r="G3346" t="n">
        <v>0.3</v>
      </c>
      <c r="H3346" t="n">
        <v>0</v>
      </c>
      <c r="I3346" t="n">
        <v>0</v>
      </c>
      <c r="J3346" t="n">
        <v>0</v>
      </c>
      <c r="K3346" t="n">
        <v>0</v>
      </c>
      <c r="L3346" t="n">
        <v>0</v>
      </c>
      <c r="M3346" t="n">
        <v>0</v>
      </c>
      <c r="N3346" t="n">
        <v>0</v>
      </c>
      <c r="O3346" t="n">
        <v>0</v>
      </c>
      <c r="P3346" t="n">
        <v>0</v>
      </c>
      <c r="Q3346" t="n">
        <v>0</v>
      </c>
      <c r="R3346" s="2" t="inlineStr"/>
    </row>
    <row r="3347" ht="15" customHeight="1">
      <c r="A3347" t="inlineStr">
        <is>
          <t>A 39520-2025</t>
        </is>
      </c>
      <c r="B3347" s="1" t="n">
        <v>45890.43620370371</v>
      </c>
      <c r="C3347" s="1" t="n">
        <v>46114</v>
      </c>
      <c r="D3347" t="inlineStr">
        <is>
          <t>DALARNAS LÄN</t>
        </is>
      </c>
      <c r="E3347" t="inlineStr">
        <is>
          <t>BORLÄNGE</t>
        </is>
      </c>
      <c r="F3347" t="inlineStr">
        <is>
          <t>Bergvik skog väst AB</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39569-2025</t>
        </is>
      </c>
      <c r="B3348" s="1" t="n">
        <v>45890</v>
      </c>
      <c r="C3348" s="1" t="n">
        <v>46114</v>
      </c>
      <c r="D3348" t="inlineStr">
        <is>
          <t>DALARNAS LÄN</t>
        </is>
      </c>
      <c r="E3348" t="inlineStr">
        <is>
          <t>LEKSAND</t>
        </is>
      </c>
      <c r="F3348" t="inlineStr">
        <is>
          <t>Bergvik skog väst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39548-2025</t>
        </is>
      </c>
      <c r="B3349" s="1" t="n">
        <v>45890.46034722222</v>
      </c>
      <c r="C3349" s="1" t="n">
        <v>46114</v>
      </c>
      <c r="D3349" t="inlineStr">
        <is>
          <t>DALARNAS LÄN</t>
        </is>
      </c>
      <c r="E3349" t="inlineStr">
        <is>
          <t>MALUNG-SÄLEN</t>
        </is>
      </c>
      <c r="F3349" t="inlineStr">
        <is>
          <t>Bergvik skog öst AB</t>
        </is>
      </c>
      <c r="G3349" t="n">
        <v>5.5</v>
      </c>
      <c r="H3349" t="n">
        <v>0</v>
      </c>
      <c r="I3349" t="n">
        <v>0</v>
      </c>
      <c r="J3349" t="n">
        <v>0</v>
      </c>
      <c r="K3349" t="n">
        <v>0</v>
      </c>
      <c r="L3349" t="n">
        <v>0</v>
      </c>
      <c r="M3349" t="n">
        <v>0</v>
      </c>
      <c r="N3349" t="n">
        <v>0</v>
      </c>
      <c r="O3349" t="n">
        <v>0</v>
      </c>
      <c r="P3349" t="n">
        <v>0</v>
      </c>
      <c r="Q3349" t="n">
        <v>0</v>
      </c>
      <c r="R3349" s="2" t="inlineStr"/>
    </row>
    <row r="3350" ht="15" customHeight="1">
      <c r="A3350" t="inlineStr">
        <is>
          <t>A 17366-2025</t>
        </is>
      </c>
      <c r="B3350" s="1" t="n">
        <v>45756.78645833334</v>
      </c>
      <c r="C3350" s="1" t="n">
        <v>46114</v>
      </c>
      <c r="D3350" t="inlineStr">
        <is>
          <t>DALARNAS LÄN</t>
        </is>
      </c>
      <c r="E3350" t="inlineStr">
        <is>
          <t>VANSBRO</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61607-2024</t>
        </is>
      </c>
      <c r="B3351" s="1" t="n">
        <v>45646.64365740741</v>
      </c>
      <c r="C3351" s="1" t="n">
        <v>46114</v>
      </c>
      <c r="D3351" t="inlineStr">
        <is>
          <t>DALARNAS LÄN</t>
        </is>
      </c>
      <c r="E3351" t="inlineStr">
        <is>
          <t>RÄTTVIK</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35537-2024</t>
        </is>
      </c>
      <c r="B3352" s="1" t="n">
        <v>45531</v>
      </c>
      <c r="C3352" s="1" t="n">
        <v>46114</v>
      </c>
      <c r="D3352" t="inlineStr">
        <is>
          <t>DALARNAS LÄN</t>
        </is>
      </c>
      <c r="E3352" t="inlineStr">
        <is>
          <t>VANSBRO</t>
        </is>
      </c>
      <c r="F3352" t="inlineStr">
        <is>
          <t>Övriga statliga verk och myndigheter</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61653-2024</t>
        </is>
      </c>
      <c r="B3353" s="1" t="n">
        <v>45646.73391203704</v>
      </c>
      <c r="C3353" s="1" t="n">
        <v>46114</v>
      </c>
      <c r="D3353" t="inlineStr">
        <is>
          <t>DALARNAS LÄN</t>
        </is>
      </c>
      <c r="E3353" t="inlineStr">
        <is>
          <t>VANSBRO</t>
        </is>
      </c>
      <c r="G3353" t="n">
        <v>3.7</v>
      </c>
      <c r="H3353" t="n">
        <v>0</v>
      </c>
      <c r="I3353" t="n">
        <v>0</v>
      </c>
      <c r="J3353" t="n">
        <v>0</v>
      </c>
      <c r="K3353" t="n">
        <v>0</v>
      </c>
      <c r="L3353" t="n">
        <v>0</v>
      </c>
      <c r="M3353" t="n">
        <v>0</v>
      </c>
      <c r="N3353" t="n">
        <v>0</v>
      </c>
      <c r="O3353" t="n">
        <v>0</v>
      </c>
      <c r="P3353" t="n">
        <v>0</v>
      </c>
      <c r="Q3353" t="n">
        <v>0</v>
      </c>
      <c r="R3353" s="2" t="inlineStr"/>
    </row>
    <row r="3354" ht="15" customHeight="1">
      <c r="A3354" t="inlineStr">
        <is>
          <t>A 61654-2024</t>
        </is>
      </c>
      <c r="B3354" s="1" t="n">
        <v>45646.74988425926</v>
      </c>
      <c r="C3354" s="1" t="n">
        <v>46114</v>
      </c>
      <c r="D3354" t="inlineStr">
        <is>
          <t>DALARNAS LÄN</t>
        </is>
      </c>
      <c r="E3354" t="inlineStr">
        <is>
          <t>MORA</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9277-2024</t>
        </is>
      </c>
      <c r="B3355" s="1" t="n">
        <v>45358.63265046296</v>
      </c>
      <c r="C3355" s="1" t="n">
        <v>46114</v>
      </c>
      <c r="D3355" t="inlineStr">
        <is>
          <t>DALARNAS LÄN</t>
        </is>
      </c>
      <c r="E3355" t="inlineStr">
        <is>
          <t>MORA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61533-2021</t>
        </is>
      </c>
      <c r="B3356" s="1" t="n">
        <v>44501</v>
      </c>
      <c r="C3356" s="1" t="n">
        <v>46114</v>
      </c>
      <c r="D3356" t="inlineStr">
        <is>
          <t>DALARNAS LÄN</t>
        </is>
      </c>
      <c r="E3356" t="inlineStr">
        <is>
          <t>HEDEMORA</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510-2024</t>
        </is>
      </c>
      <c r="B3357" s="1" t="n">
        <v>45299.39997685186</v>
      </c>
      <c r="C3357" s="1" t="n">
        <v>46114</v>
      </c>
      <c r="D3357" t="inlineStr">
        <is>
          <t>DALARNAS LÄN</t>
        </is>
      </c>
      <c r="E3357" t="inlineStr">
        <is>
          <t>ÄLVDALEN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35493-2025</t>
        </is>
      </c>
      <c r="B3358" s="1" t="n">
        <v>45855.90872685185</v>
      </c>
      <c r="C3358" s="1" t="n">
        <v>46114</v>
      </c>
      <c r="D3358" t="inlineStr">
        <is>
          <t>DALARNAS LÄN</t>
        </is>
      </c>
      <c r="E3358" t="inlineStr">
        <is>
          <t>MALUNG-SÄLEN</t>
        </is>
      </c>
      <c r="G3358" t="n">
        <v>4.6</v>
      </c>
      <c r="H3358" t="n">
        <v>0</v>
      </c>
      <c r="I3358" t="n">
        <v>0</v>
      </c>
      <c r="J3358" t="n">
        <v>0</v>
      </c>
      <c r="K3358" t="n">
        <v>0</v>
      </c>
      <c r="L3358" t="n">
        <v>0</v>
      </c>
      <c r="M3358" t="n">
        <v>0</v>
      </c>
      <c r="N3358" t="n">
        <v>0</v>
      </c>
      <c r="O3358" t="n">
        <v>0</v>
      </c>
      <c r="P3358" t="n">
        <v>0</v>
      </c>
      <c r="Q3358" t="n">
        <v>0</v>
      </c>
      <c r="R3358" s="2" t="inlineStr"/>
    </row>
    <row r="3359" ht="15" customHeight="1">
      <c r="A3359" t="inlineStr">
        <is>
          <t>A 7340-2024</t>
        </is>
      </c>
      <c r="B3359" s="1" t="n">
        <v>45345.44857638889</v>
      </c>
      <c r="C3359" s="1" t="n">
        <v>46114</v>
      </c>
      <c r="D3359" t="inlineStr">
        <is>
          <t>DALARNAS LÄN</t>
        </is>
      </c>
      <c r="E3359" t="inlineStr">
        <is>
          <t>GAGNEF</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39502-2025</t>
        </is>
      </c>
      <c r="B3360" s="1" t="n">
        <v>45890.4027662037</v>
      </c>
      <c r="C3360" s="1" t="n">
        <v>46114</v>
      </c>
      <c r="D3360" t="inlineStr">
        <is>
          <t>DALARNAS LÄN</t>
        </is>
      </c>
      <c r="E3360" t="inlineStr">
        <is>
          <t>VANSBRO</t>
        </is>
      </c>
      <c r="F3360" t="inlineStr">
        <is>
          <t>Bergvik skog väst AB</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46672-2024</t>
        </is>
      </c>
      <c r="B3361" s="1" t="n">
        <v>45583</v>
      </c>
      <c r="C3361" s="1" t="n">
        <v>46114</v>
      </c>
      <c r="D3361" t="inlineStr">
        <is>
          <t>DALARNAS LÄN</t>
        </is>
      </c>
      <c r="E3361" t="inlineStr">
        <is>
          <t>AVESTA</t>
        </is>
      </c>
      <c r="F3361" t="inlineStr">
        <is>
          <t>Sveaskog</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7778-2025</t>
        </is>
      </c>
      <c r="B3362" s="1" t="n">
        <v>45706</v>
      </c>
      <c r="C3362" s="1" t="n">
        <v>46114</v>
      </c>
      <c r="D3362" t="inlineStr">
        <is>
          <t>DALARNAS LÄN</t>
        </is>
      </c>
      <c r="E3362" t="inlineStr">
        <is>
          <t>LEKSAND</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39572-2025</t>
        </is>
      </c>
      <c r="B3363" s="1" t="n">
        <v>45890</v>
      </c>
      <c r="C3363" s="1" t="n">
        <v>46114</v>
      </c>
      <c r="D3363" t="inlineStr">
        <is>
          <t>DALARNAS LÄN</t>
        </is>
      </c>
      <c r="E3363" t="inlineStr">
        <is>
          <t>LEKSAND</t>
        </is>
      </c>
      <c r="F3363" t="inlineStr">
        <is>
          <t>Bergvik skog väst AB</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60428-2023</t>
        </is>
      </c>
      <c r="B3364" s="1" t="n">
        <v>45259.50996527778</v>
      </c>
      <c r="C3364" s="1" t="n">
        <v>46114</v>
      </c>
      <c r="D3364" t="inlineStr">
        <is>
          <t>DALARNAS LÄN</t>
        </is>
      </c>
      <c r="E3364" t="inlineStr">
        <is>
          <t>MORA</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15048-2025</t>
        </is>
      </c>
      <c r="B3365" s="1" t="n">
        <v>45743.69820601852</v>
      </c>
      <c r="C3365" s="1" t="n">
        <v>46114</v>
      </c>
      <c r="D3365" t="inlineStr">
        <is>
          <t>DALARNAS LÄN</t>
        </is>
      </c>
      <c r="E3365" t="inlineStr">
        <is>
          <t>HEDEMORA</t>
        </is>
      </c>
      <c r="F3365" t="inlineStr">
        <is>
          <t>Sveaskog</t>
        </is>
      </c>
      <c r="G3365" t="n">
        <v>9.1</v>
      </c>
      <c r="H3365" t="n">
        <v>0</v>
      </c>
      <c r="I3365" t="n">
        <v>0</v>
      </c>
      <c r="J3365" t="n">
        <v>0</v>
      </c>
      <c r="K3365" t="n">
        <v>0</v>
      </c>
      <c r="L3365" t="n">
        <v>0</v>
      </c>
      <c r="M3365" t="n">
        <v>0</v>
      </c>
      <c r="N3365" t="n">
        <v>0</v>
      </c>
      <c r="O3365" t="n">
        <v>0</v>
      </c>
      <c r="P3365" t="n">
        <v>0</v>
      </c>
      <c r="Q3365" t="n">
        <v>0</v>
      </c>
      <c r="R3365" s="2" t="inlineStr"/>
    </row>
    <row r="3366" ht="15" customHeight="1">
      <c r="A3366" t="inlineStr">
        <is>
          <t>A 54632-2021</t>
        </is>
      </c>
      <c r="B3366" s="1" t="n">
        <v>44473</v>
      </c>
      <c r="C3366" s="1" t="n">
        <v>46114</v>
      </c>
      <c r="D3366" t="inlineStr">
        <is>
          <t>DALARNAS LÄN</t>
        </is>
      </c>
      <c r="E3366" t="inlineStr">
        <is>
          <t>ÄLVDALEN</t>
        </is>
      </c>
      <c r="G3366" t="n">
        <v>0.5</v>
      </c>
      <c r="H3366" t="n">
        <v>0</v>
      </c>
      <c r="I3366" t="n">
        <v>0</v>
      </c>
      <c r="J3366" t="n">
        <v>0</v>
      </c>
      <c r="K3366" t="n">
        <v>0</v>
      </c>
      <c r="L3366" t="n">
        <v>0</v>
      </c>
      <c r="M3366" t="n">
        <v>0</v>
      </c>
      <c r="N3366" t="n">
        <v>0</v>
      </c>
      <c r="O3366" t="n">
        <v>0</v>
      </c>
      <c r="P3366" t="n">
        <v>0</v>
      </c>
      <c r="Q3366" t="n">
        <v>0</v>
      </c>
      <c r="R3366" s="2" t="inlineStr"/>
      <c r="T3366">
        <f>HYPERLINK("https://klasma.github.io/Logging_2039/kartor/A 54632-2021 karta.png", "A 54632-2021")</f>
        <v/>
      </c>
      <c r="V3366">
        <f>HYPERLINK("https://klasma.github.io/Logging_2039/klagomål/A 54632-2021 FSC-klagomål.docx", "A 54632-2021")</f>
        <v/>
      </c>
      <c r="W3366">
        <f>HYPERLINK("https://klasma.github.io/Logging_2039/klagomålsmail/A 54632-2021 FSC-klagomål mail.docx", "A 54632-2021")</f>
        <v/>
      </c>
      <c r="X3366">
        <f>HYPERLINK("https://klasma.github.io/Logging_2039/tillsyn/A 54632-2021 tillsynsbegäran.docx", "A 54632-2021")</f>
        <v/>
      </c>
      <c r="Y3366">
        <f>HYPERLINK("https://klasma.github.io/Logging_2039/tillsynsmail/A 54632-2021 tillsynsbegäran mail.docx", "A 54632-2021")</f>
        <v/>
      </c>
    </row>
    <row r="3367" ht="15" customHeight="1">
      <c r="A3367" t="inlineStr">
        <is>
          <t>A 2308-2023</t>
        </is>
      </c>
      <c r="B3367" s="1" t="n">
        <v>44942.57987268519</v>
      </c>
      <c r="C3367" s="1" t="n">
        <v>46114</v>
      </c>
      <c r="D3367" t="inlineStr">
        <is>
          <t>DALARNAS LÄN</t>
        </is>
      </c>
      <c r="E3367" t="inlineStr">
        <is>
          <t>MORA</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35713-2025</t>
        </is>
      </c>
      <c r="B3368" s="1" t="n">
        <v>45860</v>
      </c>
      <c r="C3368" s="1" t="n">
        <v>46114</v>
      </c>
      <c r="D3368" t="inlineStr">
        <is>
          <t>DALARNAS LÄN</t>
        </is>
      </c>
      <c r="E3368" t="inlineStr">
        <is>
          <t>LUDVIKA</t>
        </is>
      </c>
      <c r="F3368" t="inlineStr">
        <is>
          <t>Bergvik skog väst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35544-2025</t>
        </is>
      </c>
      <c r="B3369" s="1" t="n">
        <v>45856</v>
      </c>
      <c r="C3369" s="1" t="n">
        <v>46114</v>
      </c>
      <c r="D3369" t="inlineStr">
        <is>
          <t>DALARNAS LÄN</t>
        </is>
      </c>
      <c r="E3369" t="inlineStr">
        <is>
          <t>LUDVIKA</t>
        </is>
      </c>
      <c r="F3369" t="inlineStr">
        <is>
          <t>Bergvik skog väst AB</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5255-2022</t>
        </is>
      </c>
      <c r="B3370" s="1" t="n">
        <v>44594.55498842592</v>
      </c>
      <c r="C3370" s="1" t="n">
        <v>46114</v>
      </c>
      <c r="D3370" t="inlineStr">
        <is>
          <t>DALARNAS LÄN</t>
        </is>
      </c>
      <c r="E3370" t="inlineStr">
        <is>
          <t>VANSBRO</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17657-2022</t>
        </is>
      </c>
      <c r="B3371" s="1" t="n">
        <v>44680</v>
      </c>
      <c r="C3371" s="1" t="n">
        <v>46114</v>
      </c>
      <c r="D3371" t="inlineStr">
        <is>
          <t>DALARNAS LÄN</t>
        </is>
      </c>
      <c r="E3371" t="inlineStr">
        <is>
          <t>RÄTTVIK</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39456-2025</t>
        </is>
      </c>
      <c r="B3372" s="1" t="n">
        <v>45889.76200231481</v>
      </c>
      <c r="C3372" s="1" t="n">
        <v>46114</v>
      </c>
      <c r="D3372" t="inlineStr">
        <is>
          <t>DALARNAS LÄN</t>
        </is>
      </c>
      <c r="E3372" t="inlineStr">
        <is>
          <t>MORA</t>
        </is>
      </c>
      <c r="F3372" t="inlineStr">
        <is>
          <t>Bergvik skog öst AB</t>
        </is>
      </c>
      <c r="G3372" t="n">
        <v>16.7</v>
      </c>
      <c r="H3372" t="n">
        <v>0</v>
      </c>
      <c r="I3372" t="n">
        <v>0</v>
      </c>
      <c r="J3372" t="n">
        <v>0</v>
      </c>
      <c r="K3372" t="n">
        <v>0</v>
      </c>
      <c r="L3372" t="n">
        <v>0</v>
      </c>
      <c r="M3372" t="n">
        <v>0</v>
      </c>
      <c r="N3372" t="n">
        <v>0</v>
      </c>
      <c r="O3372" t="n">
        <v>0</v>
      </c>
      <c r="P3372" t="n">
        <v>0</v>
      </c>
      <c r="Q3372" t="n">
        <v>0</v>
      </c>
      <c r="R3372" s="2" t="inlineStr"/>
    </row>
    <row r="3373" ht="15" customHeight="1">
      <c r="A3373" t="inlineStr">
        <is>
          <t>A 9790-2022</t>
        </is>
      </c>
      <c r="B3373" s="1" t="n">
        <v>44617</v>
      </c>
      <c r="C3373" s="1" t="n">
        <v>46114</v>
      </c>
      <c r="D3373" t="inlineStr">
        <is>
          <t>DALARNAS LÄN</t>
        </is>
      </c>
      <c r="E3373" t="inlineStr">
        <is>
          <t>SMEDJEBACKEN</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41144-2023</t>
        </is>
      </c>
      <c r="B3374" s="1" t="n">
        <v>45173.94253472222</v>
      </c>
      <c r="C3374" s="1" t="n">
        <v>46114</v>
      </c>
      <c r="D3374" t="inlineStr">
        <is>
          <t>DALARNAS LÄN</t>
        </is>
      </c>
      <c r="E3374" t="inlineStr">
        <is>
          <t>FALUN</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39660-2025</t>
        </is>
      </c>
      <c r="B3375" s="1" t="n">
        <v>45890.63006944444</v>
      </c>
      <c r="C3375" s="1" t="n">
        <v>46114</v>
      </c>
      <c r="D3375" t="inlineStr">
        <is>
          <t>DALARNAS LÄN</t>
        </is>
      </c>
      <c r="E3375" t="inlineStr">
        <is>
          <t>LEKSAND</t>
        </is>
      </c>
      <c r="F3375" t="inlineStr">
        <is>
          <t>Bergvik skog väst AB</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39693-2025</t>
        </is>
      </c>
      <c r="B3376" s="1" t="n">
        <v>45890.68304398148</v>
      </c>
      <c r="C3376" s="1" t="n">
        <v>46114</v>
      </c>
      <c r="D3376" t="inlineStr">
        <is>
          <t>DALARNAS LÄN</t>
        </is>
      </c>
      <c r="E3376" t="inlineStr">
        <is>
          <t>LEKSAND</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39567-2025</t>
        </is>
      </c>
      <c r="B3377" s="1" t="n">
        <v>45890.48954861111</v>
      </c>
      <c r="C3377" s="1" t="n">
        <v>46114</v>
      </c>
      <c r="D3377" t="inlineStr">
        <is>
          <t>DALARNAS LÄN</t>
        </is>
      </c>
      <c r="E3377" t="inlineStr">
        <is>
          <t>MALUNG-SÄLEN</t>
        </is>
      </c>
      <c r="F3377" t="inlineStr">
        <is>
          <t>Bergvik skog väst AB</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39740-2025</t>
        </is>
      </c>
      <c r="B3378" s="1" t="n">
        <v>45891</v>
      </c>
      <c r="C3378" s="1" t="n">
        <v>46114</v>
      </c>
      <c r="D3378" t="inlineStr">
        <is>
          <t>DALARNAS LÄN</t>
        </is>
      </c>
      <c r="E3378" t="inlineStr">
        <is>
          <t>BORLÄNGE</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26656-2025</t>
        </is>
      </c>
      <c r="B3379" s="1" t="n">
        <v>45810</v>
      </c>
      <c r="C3379" s="1" t="n">
        <v>46114</v>
      </c>
      <c r="D3379" t="inlineStr">
        <is>
          <t>DALARNAS LÄN</t>
        </is>
      </c>
      <c r="E3379" t="inlineStr">
        <is>
          <t>ÄLVDALEN</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15054-2025</t>
        </is>
      </c>
      <c r="B3380" s="1" t="n">
        <v>45743.70199074074</v>
      </c>
      <c r="C3380" s="1" t="n">
        <v>46114</v>
      </c>
      <c r="D3380" t="inlineStr">
        <is>
          <t>DALARNAS LÄN</t>
        </is>
      </c>
      <c r="E3380" t="inlineStr">
        <is>
          <t>HEDEMORA</t>
        </is>
      </c>
      <c r="F3380" t="inlineStr">
        <is>
          <t>Sveaskog</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39802-2025</t>
        </is>
      </c>
      <c r="B3381" s="1" t="n">
        <v>45891.50247685185</v>
      </c>
      <c r="C3381" s="1" t="n">
        <v>46114</v>
      </c>
      <c r="D3381" t="inlineStr">
        <is>
          <t>DALARNAS LÄN</t>
        </is>
      </c>
      <c r="E3381" t="inlineStr">
        <is>
          <t>SMEDJEBACKEN</t>
        </is>
      </c>
      <c r="F3381" t="inlineStr">
        <is>
          <t>Sveaskog</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39806-2025</t>
        </is>
      </c>
      <c r="B3382" s="1" t="n">
        <v>45891.50767361111</v>
      </c>
      <c r="C3382" s="1" t="n">
        <v>46114</v>
      </c>
      <c r="D3382" t="inlineStr">
        <is>
          <t>DALARNAS LÄN</t>
        </is>
      </c>
      <c r="E3382" t="inlineStr">
        <is>
          <t>SMEDJEBACKEN</t>
        </is>
      </c>
      <c r="F3382" t="inlineStr">
        <is>
          <t>Sveaskog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39824-2025</t>
        </is>
      </c>
      <c r="B3383" s="1" t="n">
        <v>45891</v>
      </c>
      <c r="C3383" s="1" t="n">
        <v>46114</v>
      </c>
      <c r="D3383" t="inlineStr">
        <is>
          <t>DALARNAS LÄN</t>
        </is>
      </c>
      <c r="E3383" t="inlineStr">
        <is>
          <t>MORA</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1088-2023</t>
        </is>
      </c>
      <c r="B3384" s="1" t="n">
        <v>44935</v>
      </c>
      <c r="C3384" s="1" t="n">
        <v>46114</v>
      </c>
      <c r="D3384" t="inlineStr">
        <is>
          <t>DALARNAS LÄN</t>
        </is>
      </c>
      <c r="E3384" t="inlineStr">
        <is>
          <t>BORLÄNGE</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39939-2025</t>
        </is>
      </c>
      <c r="B3385" s="1" t="n">
        <v>45891.74215277778</v>
      </c>
      <c r="C3385" s="1" t="n">
        <v>46114</v>
      </c>
      <c r="D3385" t="inlineStr">
        <is>
          <t>DALARNAS LÄN</t>
        </is>
      </c>
      <c r="E3385" t="inlineStr">
        <is>
          <t>MALUNG-SÄLEN</t>
        </is>
      </c>
      <c r="F3385" t="inlineStr">
        <is>
          <t>Kommuner</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39940-2025</t>
        </is>
      </c>
      <c r="B3386" s="1" t="n">
        <v>45891.74527777778</v>
      </c>
      <c r="C3386" s="1" t="n">
        <v>46114</v>
      </c>
      <c r="D3386" t="inlineStr">
        <is>
          <t>DALARNAS LÄN</t>
        </is>
      </c>
      <c r="E3386" t="inlineStr">
        <is>
          <t>MALUNG-SÄLEN</t>
        </is>
      </c>
      <c r="F3386" t="inlineStr">
        <is>
          <t>Kommuner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16858-2025</t>
        </is>
      </c>
      <c r="B3387" s="1" t="n">
        <v>45751</v>
      </c>
      <c r="C3387" s="1" t="n">
        <v>46114</v>
      </c>
      <c r="D3387" t="inlineStr">
        <is>
          <t>DALARNAS LÄN</t>
        </is>
      </c>
      <c r="E3387" t="inlineStr">
        <is>
          <t>GAGNEF</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39770-2025</t>
        </is>
      </c>
      <c r="B3388" s="1" t="n">
        <v>45891.45103009259</v>
      </c>
      <c r="C3388" s="1" t="n">
        <v>46114</v>
      </c>
      <c r="D3388" t="inlineStr">
        <is>
          <t>DALARNAS LÄN</t>
        </is>
      </c>
      <c r="E3388" t="inlineStr">
        <is>
          <t>MALUNG-SÄLEN</t>
        </is>
      </c>
      <c r="F3388" t="inlineStr">
        <is>
          <t>Naturvårdsverket</t>
        </is>
      </c>
      <c r="G3388" t="n">
        <v>6.3</v>
      </c>
      <c r="H3388" t="n">
        <v>0</v>
      </c>
      <c r="I3388" t="n">
        <v>0</v>
      </c>
      <c r="J3388" t="n">
        <v>0</v>
      </c>
      <c r="K3388" t="n">
        <v>0</v>
      </c>
      <c r="L3388" t="n">
        <v>0</v>
      </c>
      <c r="M3388" t="n">
        <v>0</v>
      </c>
      <c r="N3388" t="n">
        <v>0</v>
      </c>
      <c r="O3388" t="n">
        <v>0</v>
      </c>
      <c r="P3388" t="n">
        <v>0</v>
      </c>
      <c r="Q3388" t="n">
        <v>0</v>
      </c>
      <c r="R3388" s="2" t="inlineStr"/>
    </row>
    <row r="3389" ht="15" customHeight="1">
      <c r="A3389" t="inlineStr">
        <is>
          <t>A 10570-2025</t>
        </is>
      </c>
      <c r="B3389" s="1" t="n">
        <v>45721.53988425926</v>
      </c>
      <c r="C3389" s="1" t="n">
        <v>46114</v>
      </c>
      <c r="D3389" t="inlineStr">
        <is>
          <t>DALARNAS LÄN</t>
        </is>
      </c>
      <c r="E3389" t="inlineStr">
        <is>
          <t>AVESTA</t>
        </is>
      </c>
      <c r="F3389" t="inlineStr">
        <is>
          <t>Sveaskog</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35611-2025</t>
        </is>
      </c>
      <c r="B3390" s="1" t="n">
        <v>45859.35384259259</v>
      </c>
      <c r="C3390" s="1" t="n">
        <v>46114</v>
      </c>
      <c r="D3390" t="inlineStr">
        <is>
          <t>DALARNAS LÄN</t>
        </is>
      </c>
      <c r="E3390" t="inlineStr">
        <is>
          <t>MORA</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39484-2025</t>
        </is>
      </c>
      <c r="B3391" s="1" t="n">
        <v>45890</v>
      </c>
      <c r="C3391" s="1" t="n">
        <v>46114</v>
      </c>
      <c r="D3391" t="inlineStr">
        <is>
          <t>DALARNAS LÄN</t>
        </is>
      </c>
      <c r="E3391" t="inlineStr">
        <is>
          <t>VANSBRO</t>
        </is>
      </c>
      <c r="F3391" t="inlineStr">
        <is>
          <t>Bergvik skog väst AB</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35629-2025</t>
        </is>
      </c>
      <c r="B3392" s="1" t="n">
        <v>45859.44710648148</v>
      </c>
      <c r="C3392" s="1" t="n">
        <v>46114</v>
      </c>
      <c r="D3392" t="inlineStr">
        <is>
          <t>DALARNAS LÄN</t>
        </is>
      </c>
      <c r="E3392" t="inlineStr">
        <is>
          <t>FALUN</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33265-2021</t>
        </is>
      </c>
      <c r="B3393" s="1" t="n">
        <v>44377</v>
      </c>
      <c r="C3393" s="1" t="n">
        <v>46114</v>
      </c>
      <c r="D3393" t="inlineStr">
        <is>
          <t>DALARNAS LÄN</t>
        </is>
      </c>
      <c r="E3393" t="inlineStr">
        <is>
          <t>ORSA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39490-2025</t>
        </is>
      </c>
      <c r="B3394" s="1" t="n">
        <v>45890.37231481481</v>
      </c>
      <c r="C3394" s="1" t="n">
        <v>46114</v>
      </c>
      <c r="D3394" t="inlineStr">
        <is>
          <t>DALARNAS LÄN</t>
        </is>
      </c>
      <c r="E3394" t="inlineStr">
        <is>
          <t>VANSBRO</t>
        </is>
      </c>
      <c r="F3394" t="inlineStr">
        <is>
          <t>Bergvik skog väst AB</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39942-2025</t>
        </is>
      </c>
      <c r="B3395" s="1" t="n">
        <v>45891.75015046296</v>
      </c>
      <c r="C3395" s="1" t="n">
        <v>46114</v>
      </c>
      <c r="D3395" t="inlineStr">
        <is>
          <t>DALARNAS LÄN</t>
        </is>
      </c>
      <c r="E3395" t="inlineStr">
        <is>
          <t>MALUNG-SÄLEN</t>
        </is>
      </c>
      <c r="F3395" t="inlineStr">
        <is>
          <t>Kommuner</t>
        </is>
      </c>
      <c r="G3395" t="n">
        <v>3.2</v>
      </c>
      <c r="H3395" t="n">
        <v>0</v>
      </c>
      <c r="I3395" t="n">
        <v>0</v>
      </c>
      <c r="J3395" t="n">
        <v>0</v>
      </c>
      <c r="K3395" t="n">
        <v>0</v>
      </c>
      <c r="L3395" t="n">
        <v>0</v>
      </c>
      <c r="M3395" t="n">
        <v>0</v>
      </c>
      <c r="N3395" t="n">
        <v>0</v>
      </c>
      <c r="O3395" t="n">
        <v>0</v>
      </c>
      <c r="P3395" t="n">
        <v>0</v>
      </c>
      <c r="Q3395" t="n">
        <v>0</v>
      </c>
      <c r="R3395" s="2" t="inlineStr"/>
    </row>
    <row r="3396" ht="15" customHeight="1">
      <c r="A3396" t="inlineStr">
        <is>
          <t>A 39787-2025</t>
        </is>
      </c>
      <c r="B3396" s="1" t="n">
        <v>45891</v>
      </c>
      <c r="C3396" s="1" t="n">
        <v>46114</v>
      </c>
      <c r="D3396" t="inlineStr">
        <is>
          <t>DALARNAS LÄN</t>
        </is>
      </c>
      <c r="E3396" t="inlineStr">
        <is>
          <t>MORA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39789-2025</t>
        </is>
      </c>
      <c r="B3397" s="1" t="n">
        <v>45891.48471064815</v>
      </c>
      <c r="C3397" s="1" t="n">
        <v>46114</v>
      </c>
      <c r="D3397" t="inlineStr">
        <is>
          <t>DALARNAS LÄN</t>
        </is>
      </c>
      <c r="E3397" t="inlineStr">
        <is>
          <t>ÄLVDALEN</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2262-2024</t>
        </is>
      </c>
      <c r="B3398" s="1" t="n">
        <v>45310</v>
      </c>
      <c r="C3398" s="1" t="n">
        <v>46114</v>
      </c>
      <c r="D3398" t="inlineStr">
        <is>
          <t>DALARNAS LÄN</t>
        </is>
      </c>
      <c r="E3398" t="inlineStr">
        <is>
          <t>RÄTTVIK</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39564-2025</t>
        </is>
      </c>
      <c r="B3399" s="1" t="n">
        <v>45890.48315972222</v>
      </c>
      <c r="C3399" s="1" t="n">
        <v>46114</v>
      </c>
      <c r="D3399" t="inlineStr">
        <is>
          <t>DALARNAS LÄN</t>
        </is>
      </c>
      <c r="E3399" t="inlineStr">
        <is>
          <t>MALUNG-SÄLEN</t>
        </is>
      </c>
      <c r="F3399" t="inlineStr">
        <is>
          <t>Naturvårdsverket</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2377-2024</t>
        </is>
      </c>
      <c r="B3400" s="1" t="n">
        <v>45310.63633101852</v>
      </c>
      <c r="C3400" s="1" t="n">
        <v>46114</v>
      </c>
      <c r="D3400" t="inlineStr">
        <is>
          <t>DALARNAS LÄN</t>
        </is>
      </c>
      <c r="E3400" t="inlineStr">
        <is>
          <t>ÄLVDALEN</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2384-2024</t>
        </is>
      </c>
      <c r="B3401" s="1" t="n">
        <v>45310.65099537037</v>
      </c>
      <c r="C3401" s="1" t="n">
        <v>46114</v>
      </c>
      <c r="D3401" t="inlineStr">
        <is>
          <t>DALARNAS LÄN</t>
        </is>
      </c>
      <c r="E3401" t="inlineStr">
        <is>
          <t>ÄLVDALEN</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39574-2025</t>
        </is>
      </c>
      <c r="B3402" s="1" t="n">
        <v>45890.49148148148</v>
      </c>
      <c r="C3402" s="1" t="n">
        <v>46114</v>
      </c>
      <c r="D3402" t="inlineStr">
        <is>
          <t>DALARNAS LÄN</t>
        </is>
      </c>
      <c r="E3402" t="inlineStr">
        <is>
          <t>MALUNG-SÄLEN</t>
        </is>
      </c>
      <c r="F3402" t="inlineStr">
        <is>
          <t>Bergvik skog väst AB</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39585-2025</t>
        </is>
      </c>
      <c r="B3403" s="1" t="n">
        <v>45890.5018287037</v>
      </c>
      <c r="C3403" s="1" t="n">
        <v>46114</v>
      </c>
      <c r="D3403" t="inlineStr">
        <is>
          <t>DALARNAS LÄN</t>
        </is>
      </c>
      <c r="E3403" t="inlineStr">
        <is>
          <t>MALUNG-SÄLEN</t>
        </is>
      </c>
      <c r="G3403" t="n">
        <v>1.2</v>
      </c>
      <c r="H3403" t="n">
        <v>0</v>
      </c>
      <c r="I3403" t="n">
        <v>0</v>
      </c>
      <c r="J3403" t="n">
        <v>0</v>
      </c>
      <c r="K3403" t="n">
        <v>0</v>
      </c>
      <c r="L3403" t="n">
        <v>0</v>
      </c>
      <c r="M3403" t="n">
        <v>0</v>
      </c>
      <c r="N3403" t="n">
        <v>0</v>
      </c>
      <c r="O3403" t="n">
        <v>0</v>
      </c>
      <c r="P3403" t="n">
        <v>0</v>
      </c>
      <c r="Q3403" t="n">
        <v>0</v>
      </c>
      <c r="R3403" s="2" t="inlineStr"/>
    </row>
    <row r="3404" ht="15" customHeight="1">
      <c r="A3404" t="inlineStr">
        <is>
          <t>A 6223-2023</t>
        </is>
      </c>
      <c r="B3404" s="1" t="n">
        <v>44964</v>
      </c>
      <c r="C3404" s="1" t="n">
        <v>46114</v>
      </c>
      <c r="D3404" t="inlineStr">
        <is>
          <t>DALARNAS LÄN</t>
        </is>
      </c>
      <c r="E3404" t="inlineStr">
        <is>
          <t>FALUN</t>
        </is>
      </c>
      <c r="G3404" t="n">
        <v>6</v>
      </c>
      <c r="H3404" t="n">
        <v>0</v>
      </c>
      <c r="I3404" t="n">
        <v>0</v>
      </c>
      <c r="J3404" t="n">
        <v>0</v>
      </c>
      <c r="K3404" t="n">
        <v>0</v>
      </c>
      <c r="L3404" t="n">
        <v>0</v>
      </c>
      <c r="M3404" t="n">
        <v>0</v>
      </c>
      <c r="N3404" t="n">
        <v>0</v>
      </c>
      <c r="O3404" t="n">
        <v>0</v>
      </c>
      <c r="P3404" t="n">
        <v>0</v>
      </c>
      <c r="Q3404" t="n">
        <v>0</v>
      </c>
      <c r="R3404" s="2" t="inlineStr"/>
    </row>
    <row r="3405" ht="15" customHeight="1">
      <c r="A3405" t="inlineStr">
        <is>
          <t>A 10744-2022</t>
        </is>
      </c>
      <c r="B3405" s="1" t="n">
        <v>44627</v>
      </c>
      <c r="C3405" s="1" t="n">
        <v>46114</v>
      </c>
      <c r="D3405" t="inlineStr">
        <is>
          <t>DALARNAS LÄN</t>
        </is>
      </c>
      <c r="E3405" t="inlineStr">
        <is>
          <t>GAGNEF</t>
        </is>
      </c>
      <c r="G3405" t="n">
        <v>5.8</v>
      </c>
      <c r="H3405" t="n">
        <v>0</v>
      </c>
      <c r="I3405" t="n">
        <v>0</v>
      </c>
      <c r="J3405" t="n">
        <v>0</v>
      </c>
      <c r="K3405" t="n">
        <v>0</v>
      </c>
      <c r="L3405" t="n">
        <v>0</v>
      </c>
      <c r="M3405" t="n">
        <v>0</v>
      </c>
      <c r="N3405" t="n">
        <v>0</v>
      </c>
      <c r="O3405" t="n">
        <v>0</v>
      </c>
      <c r="P3405" t="n">
        <v>0</v>
      </c>
      <c r="Q3405" t="n">
        <v>0</v>
      </c>
      <c r="R3405" s="2" t="inlineStr"/>
    </row>
    <row r="3406" ht="15" customHeight="1">
      <c r="A3406" t="inlineStr">
        <is>
          <t>A 50333-2023</t>
        </is>
      </c>
      <c r="B3406" s="1" t="n">
        <v>45216</v>
      </c>
      <c r="C3406" s="1" t="n">
        <v>46114</v>
      </c>
      <c r="D3406" t="inlineStr">
        <is>
          <t>DALARNAS LÄN</t>
        </is>
      </c>
      <c r="E3406" t="inlineStr">
        <is>
          <t>HEDEMORA</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39734-2025</t>
        </is>
      </c>
      <c r="B3407" s="1" t="n">
        <v>45891.36770833333</v>
      </c>
      <c r="C3407" s="1" t="n">
        <v>46114</v>
      </c>
      <c r="D3407" t="inlineStr">
        <is>
          <t>DALARNAS LÄN</t>
        </is>
      </c>
      <c r="E3407" t="inlineStr">
        <is>
          <t>BORLÄNGE</t>
        </is>
      </c>
      <c r="F3407" t="inlineStr">
        <is>
          <t>Bergvik skog väst AB</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35814-2025</t>
        </is>
      </c>
      <c r="B3408" s="1" t="n">
        <v>45861.43575231481</v>
      </c>
      <c r="C3408" s="1" t="n">
        <v>46114</v>
      </c>
      <c r="D3408" t="inlineStr">
        <is>
          <t>DALARNAS LÄN</t>
        </is>
      </c>
      <c r="E3408" t="inlineStr">
        <is>
          <t>SMEDJEBACKEN</t>
        </is>
      </c>
      <c r="F3408" t="inlineStr">
        <is>
          <t>Övriga Aktiebolag</t>
        </is>
      </c>
      <c r="G3408" t="n">
        <v>16.7</v>
      </c>
      <c r="H3408" t="n">
        <v>0</v>
      </c>
      <c r="I3408" t="n">
        <v>0</v>
      </c>
      <c r="J3408" t="n">
        <v>0</v>
      </c>
      <c r="K3408" t="n">
        <v>0</v>
      </c>
      <c r="L3408" t="n">
        <v>0</v>
      </c>
      <c r="M3408" t="n">
        <v>0</v>
      </c>
      <c r="N3408" t="n">
        <v>0</v>
      </c>
      <c r="O3408" t="n">
        <v>0</v>
      </c>
      <c r="P3408" t="n">
        <v>0</v>
      </c>
      <c r="Q3408" t="n">
        <v>0</v>
      </c>
      <c r="R3408" s="2" t="inlineStr"/>
    </row>
    <row r="3409" ht="15" customHeight="1">
      <c r="A3409" t="inlineStr">
        <is>
          <t>A 39764-2025</t>
        </is>
      </c>
      <c r="B3409" s="1" t="n">
        <v>45891.44253472222</v>
      </c>
      <c r="C3409" s="1" t="n">
        <v>46114</v>
      </c>
      <c r="D3409" t="inlineStr">
        <is>
          <t>DALARNAS LÄN</t>
        </is>
      </c>
      <c r="E3409" t="inlineStr">
        <is>
          <t>MALUNG-SÄLEN</t>
        </is>
      </c>
      <c r="F3409" t="inlineStr">
        <is>
          <t>Naturvårdsverket</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30524-2024</t>
        </is>
      </c>
      <c r="B3410" s="1" t="n">
        <v>45492.53064814815</v>
      </c>
      <c r="C3410" s="1" t="n">
        <v>46114</v>
      </c>
      <c r="D3410" t="inlineStr">
        <is>
          <t>DALARNAS LÄN</t>
        </is>
      </c>
      <c r="E3410" t="inlineStr">
        <is>
          <t>AVESTA</t>
        </is>
      </c>
      <c r="F3410" t="inlineStr">
        <is>
          <t>Sveaskog</t>
        </is>
      </c>
      <c r="G3410" t="n">
        <v>8</v>
      </c>
      <c r="H3410" t="n">
        <v>0</v>
      </c>
      <c r="I3410" t="n">
        <v>0</v>
      </c>
      <c r="J3410" t="n">
        <v>0</v>
      </c>
      <c r="K3410" t="n">
        <v>0</v>
      </c>
      <c r="L3410" t="n">
        <v>0</v>
      </c>
      <c r="M3410" t="n">
        <v>0</v>
      </c>
      <c r="N3410" t="n">
        <v>0</v>
      </c>
      <c r="O3410" t="n">
        <v>0</v>
      </c>
      <c r="P3410" t="n">
        <v>0</v>
      </c>
      <c r="Q3410" t="n">
        <v>0</v>
      </c>
      <c r="R3410" s="2" t="inlineStr"/>
    </row>
    <row r="3411" ht="15" customHeight="1">
      <c r="A3411" t="inlineStr">
        <is>
          <t>A 19170-2025</t>
        </is>
      </c>
      <c r="B3411" s="1" t="n">
        <v>45769.389375</v>
      </c>
      <c r="C3411" s="1" t="n">
        <v>46114</v>
      </c>
      <c r="D3411" t="inlineStr">
        <is>
          <t>DALARNAS LÄN</t>
        </is>
      </c>
      <c r="E3411" t="inlineStr">
        <is>
          <t>RÄTTVIK</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42426-2023</t>
        </is>
      </c>
      <c r="B3412" s="1" t="n">
        <v>45175</v>
      </c>
      <c r="C3412" s="1" t="n">
        <v>46114</v>
      </c>
      <c r="D3412" t="inlineStr">
        <is>
          <t>DALARNAS LÄN</t>
        </is>
      </c>
      <c r="E3412" t="inlineStr">
        <is>
          <t>ÄLVDALEN</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61970-2023</t>
        </is>
      </c>
      <c r="B3413" s="1" t="n">
        <v>45266.58407407408</v>
      </c>
      <c r="C3413" s="1" t="n">
        <v>46114</v>
      </c>
      <c r="D3413" t="inlineStr">
        <is>
          <t>DALARNAS LÄN</t>
        </is>
      </c>
      <c r="E3413" t="inlineStr">
        <is>
          <t>RÄTTVIK</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39639-2025</t>
        </is>
      </c>
      <c r="B3414" s="1" t="n">
        <v>45890.60149305555</v>
      </c>
      <c r="C3414" s="1" t="n">
        <v>46114</v>
      </c>
      <c r="D3414" t="inlineStr">
        <is>
          <t>DALARNAS LÄN</t>
        </is>
      </c>
      <c r="E3414" t="inlineStr">
        <is>
          <t>FALUN</t>
        </is>
      </c>
      <c r="F3414" t="inlineStr">
        <is>
          <t>Bergvik skog väst AB</t>
        </is>
      </c>
      <c r="G3414" t="n">
        <v>5.6</v>
      </c>
      <c r="H3414" t="n">
        <v>0</v>
      </c>
      <c r="I3414" t="n">
        <v>0</v>
      </c>
      <c r="J3414" t="n">
        <v>0</v>
      </c>
      <c r="K3414" t="n">
        <v>0</v>
      </c>
      <c r="L3414" t="n">
        <v>0</v>
      </c>
      <c r="M3414" t="n">
        <v>0</v>
      </c>
      <c r="N3414" t="n">
        <v>0</v>
      </c>
      <c r="O3414" t="n">
        <v>0</v>
      </c>
      <c r="P3414" t="n">
        <v>0</v>
      </c>
      <c r="Q3414" t="n">
        <v>0</v>
      </c>
      <c r="R3414" s="2" t="inlineStr"/>
    </row>
    <row r="3415" ht="15" customHeight="1">
      <c r="A3415" t="inlineStr">
        <is>
          <t>A 62022-2023</t>
        </is>
      </c>
      <c r="B3415" s="1" t="n">
        <v>45266.65486111111</v>
      </c>
      <c r="C3415" s="1" t="n">
        <v>46114</v>
      </c>
      <c r="D3415" t="inlineStr">
        <is>
          <t>DALARNAS LÄN</t>
        </is>
      </c>
      <c r="E3415" t="inlineStr">
        <is>
          <t>AVESTA</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62035-2023</t>
        </is>
      </c>
      <c r="B3416" s="1" t="n">
        <v>45265</v>
      </c>
      <c r="C3416" s="1" t="n">
        <v>46114</v>
      </c>
      <c r="D3416" t="inlineStr">
        <is>
          <t>DALARNAS LÄN</t>
        </is>
      </c>
      <c r="E3416" t="inlineStr">
        <is>
          <t>RÄTTVIK</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39546-2025</t>
        </is>
      </c>
      <c r="B3417" s="1" t="n">
        <v>45890.45706018519</v>
      </c>
      <c r="C3417" s="1" t="n">
        <v>46114</v>
      </c>
      <c r="D3417" t="inlineStr">
        <is>
          <t>DALARNAS LÄN</t>
        </is>
      </c>
      <c r="E3417" t="inlineStr">
        <is>
          <t>LEKSAND</t>
        </is>
      </c>
      <c r="G3417" t="n">
        <v>4.6</v>
      </c>
      <c r="H3417" t="n">
        <v>0</v>
      </c>
      <c r="I3417" t="n">
        <v>0</v>
      </c>
      <c r="J3417" t="n">
        <v>0</v>
      </c>
      <c r="K3417" t="n">
        <v>0</v>
      </c>
      <c r="L3417" t="n">
        <v>0</v>
      </c>
      <c r="M3417" t="n">
        <v>0</v>
      </c>
      <c r="N3417" t="n">
        <v>0</v>
      </c>
      <c r="O3417" t="n">
        <v>0</v>
      </c>
      <c r="P3417" t="n">
        <v>0</v>
      </c>
      <c r="Q3417" t="n">
        <v>0</v>
      </c>
      <c r="R3417" s="2" t="inlineStr"/>
    </row>
    <row r="3418" ht="15" customHeight="1">
      <c r="A3418" t="inlineStr">
        <is>
          <t>A 3411-2025</t>
        </is>
      </c>
      <c r="B3418" s="1" t="n">
        <v>45680.39591435185</v>
      </c>
      <c r="C3418" s="1" t="n">
        <v>46114</v>
      </c>
      <c r="D3418" t="inlineStr">
        <is>
          <t>DALARNAS LÄN</t>
        </is>
      </c>
      <c r="E3418" t="inlineStr">
        <is>
          <t>GAGNEF</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39941-2025</t>
        </is>
      </c>
      <c r="B3419" s="1" t="n">
        <v>45891.74743055556</v>
      </c>
      <c r="C3419" s="1" t="n">
        <v>46114</v>
      </c>
      <c r="D3419" t="inlineStr">
        <is>
          <t>DALARNAS LÄN</t>
        </is>
      </c>
      <c r="E3419" t="inlineStr">
        <is>
          <t>MALUNG-SÄLEN</t>
        </is>
      </c>
      <c r="F3419" t="inlineStr">
        <is>
          <t>Kommuner</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18660-2025</t>
        </is>
      </c>
      <c r="B3420" s="1" t="n">
        <v>45763.58377314815</v>
      </c>
      <c r="C3420" s="1" t="n">
        <v>46114</v>
      </c>
      <c r="D3420" t="inlineStr">
        <is>
          <t>DALARNAS LÄN</t>
        </is>
      </c>
      <c r="E3420" t="inlineStr">
        <is>
          <t>MALUNG-SÄLEN</t>
        </is>
      </c>
      <c r="F3420" t="inlineStr">
        <is>
          <t>Bergvik skog öst AB</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39804-2025</t>
        </is>
      </c>
      <c r="B3421" s="1" t="n">
        <v>45891.50608796296</v>
      </c>
      <c r="C3421" s="1" t="n">
        <v>46114</v>
      </c>
      <c r="D3421" t="inlineStr">
        <is>
          <t>DALARNAS LÄN</t>
        </is>
      </c>
      <c r="E3421" t="inlineStr">
        <is>
          <t>SMEDJEBACKEN</t>
        </is>
      </c>
      <c r="F3421" t="inlineStr">
        <is>
          <t>Sveaskog</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39516-2025</t>
        </is>
      </c>
      <c r="B3422" s="1" t="n">
        <v>45890.42633101852</v>
      </c>
      <c r="C3422" s="1" t="n">
        <v>46114</v>
      </c>
      <c r="D3422" t="inlineStr">
        <is>
          <t>DALARNAS LÄN</t>
        </is>
      </c>
      <c r="E3422" t="inlineStr">
        <is>
          <t>LEKSAND</t>
        </is>
      </c>
      <c r="G3422" t="n">
        <v>3.6</v>
      </c>
      <c r="H3422" t="n">
        <v>0</v>
      </c>
      <c r="I3422" t="n">
        <v>0</v>
      </c>
      <c r="J3422" t="n">
        <v>0</v>
      </c>
      <c r="K3422" t="n">
        <v>0</v>
      </c>
      <c r="L3422" t="n">
        <v>0</v>
      </c>
      <c r="M3422" t="n">
        <v>0</v>
      </c>
      <c r="N3422" t="n">
        <v>0</v>
      </c>
      <c r="O3422" t="n">
        <v>0</v>
      </c>
      <c r="P3422" t="n">
        <v>0</v>
      </c>
      <c r="Q3422" t="n">
        <v>0</v>
      </c>
      <c r="R3422" s="2" t="inlineStr"/>
    </row>
    <row r="3423" ht="15" customHeight="1">
      <c r="A3423" t="inlineStr">
        <is>
          <t>A 39754-2025</t>
        </is>
      </c>
      <c r="B3423" s="1" t="n">
        <v>45891.41975694444</v>
      </c>
      <c r="C3423" s="1" t="n">
        <v>46114</v>
      </c>
      <c r="D3423" t="inlineStr">
        <is>
          <t>DALARNAS LÄN</t>
        </is>
      </c>
      <c r="E3423" t="inlineStr">
        <is>
          <t>LUDVIKA</t>
        </is>
      </c>
      <c r="F3423" t="inlineStr">
        <is>
          <t>Bergvik skog väst AB</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50900-2022</t>
        </is>
      </c>
      <c r="B3424" s="1" t="n">
        <v>44865</v>
      </c>
      <c r="C3424" s="1" t="n">
        <v>46114</v>
      </c>
      <c r="D3424" t="inlineStr">
        <is>
          <t>DALARNAS LÄN</t>
        </is>
      </c>
      <c r="E3424" t="inlineStr">
        <is>
          <t>AVESTA</t>
        </is>
      </c>
      <c r="G3424" t="n">
        <v>14.8</v>
      </c>
      <c r="H3424" t="n">
        <v>0</v>
      </c>
      <c r="I3424" t="n">
        <v>0</v>
      </c>
      <c r="J3424" t="n">
        <v>0</v>
      </c>
      <c r="K3424" t="n">
        <v>0</v>
      </c>
      <c r="L3424" t="n">
        <v>0</v>
      </c>
      <c r="M3424" t="n">
        <v>0</v>
      </c>
      <c r="N3424" t="n">
        <v>0</v>
      </c>
      <c r="O3424" t="n">
        <v>0</v>
      </c>
      <c r="P3424" t="n">
        <v>0</v>
      </c>
      <c r="Q3424" t="n">
        <v>0</v>
      </c>
      <c r="R3424" s="2" t="inlineStr"/>
    </row>
    <row r="3425" ht="15" customHeight="1">
      <c r="A3425" t="inlineStr">
        <is>
          <t>A 39755-2025</t>
        </is>
      </c>
      <c r="B3425" s="1" t="n">
        <v>45891</v>
      </c>
      <c r="C3425" s="1" t="n">
        <v>46114</v>
      </c>
      <c r="D3425" t="inlineStr">
        <is>
          <t>DALARNAS LÄN</t>
        </is>
      </c>
      <c r="E3425" t="inlineStr">
        <is>
          <t>ÄLVDALEN</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35734-2025</t>
        </is>
      </c>
      <c r="B3426" s="1" t="n">
        <v>45860.471875</v>
      </c>
      <c r="C3426" s="1" t="n">
        <v>46114</v>
      </c>
      <c r="D3426" t="inlineStr">
        <is>
          <t>DALARNAS LÄN</t>
        </is>
      </c>
      <c r="E3426" t="inlineStr">
        <is>
          <t>MORA</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58842-2024</t>
        </is>
      </c>
      <c r="B3427" s="1" t="n">
        <v>45636.3859837963</v>
      </c>
      <c r="C3427" s="1" t="n">
        <v>46114</v>
      </c>
      <c r="D3427" t="inlineStr">
        <is>
          <t>DALARNAS LÄN</t>
        </is>
      </c>
      <c r="E3427" t="inlineStr">
        <is>
          <t>ORSA</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12857-2023</t>
        </is>
      </c>
      <c r="B3428" s="1" t="n">
        <v>45001.5000462963</v>
      </c>
      <c r="C3428" s="1" t="n">
        <v>46114</v>
      </c>
      <c r="D3428" t="inlineStr">
        <is>
          <t>DALARNAS LÄN</t>
        </is>
      </c>
      <c r="E3428" t="inlineStr">
        <is>
          <t>LEKSAND</t>
        </is>
      </c>
      <c r="G3428" t="n">
        <v>0.2</v>
      </c>
      <c r="H3428" t="n">
        <v>0</v>
      </c>
      <c r="I3428" t="n">
        <v>0</v>
      </c>
      <c r="J3428" t="n">
        <v>0</v>
      </c>
      <c r="K3428" t="n">
        <v>0</v>
      </c>
      <c r="L3428" t="n">
        <v>0</v>
      </c>
      <c r="M3428" t="n">
        <v>0</v>
      </c>
      <c r="N3428" t="n">
        <v>0</v>
      </c>
      <c r="O3428" t="n">
        <v>0</v>
      </c>
      <c r="P3428" t="n">
        <v>0</v>
      </c>
      <c r="Q3428" t="n">
        <v>0</v>
      </c>
      <c r="R3428" s="2" t="inlineStr"/>
    </row>
    <row r="3429" ht="15" customHeight="1">
      <c r="A3429" t="inlineStr">
        <is>
          <t>A 3687-2024</t>
        </is>
      </c>
      <c r="B3429" s="1" t="n">
        <v>45321</v>
      </c>
      <c r="C3429" s="1" t="n">
        <v>46114</v>
      </c>
      <c r="D3429" t="inlineStr">
        <is>
          <t>DALARNAS LÄN</t>
        </is>
      </c>
      <c r="E3429" t="inlineStr">
        <is>
          <t>LUDVIKA</t>
        </is>
      </c>
      <c r="G3429" t="n">
        <v>5</v>
      </c>
      <c r="H3429" t="n">
        <v>0</v>
      </c>
      <c r="I3429" t="n">
        <v>0</v>
      </c>
      <c r="J3429" t="n">
        <v>0</v>
      </c>
      <c r="K3429" t="n">
        <v>0</v>
      </c>
      <c r="L3429" t="n">
        <v>0</v>
      </c>
      <c r="M3429" t="n">
        <v>0</v>
      </c>
      <c r="N3429" t="n">
        <v>0</v>
      </c>
      <c r="O3429" t="n">
        <v>0</v>
      </c>
      <c r="P3429" t="n">
        <v>0</v>
      </c>
      <c r="Q3429" t="n">
        <v>0</v>
      </c>
      <c r="R3429" s="2" t="inlineStr"/>
    </row>
    <row r="3430" ht="15" customHeight="1">
      <c r="A3430" t="inlineStr">
        <is>
          <t>A 46396-2024</t>
        </is>
      </c>
      <c r="B3430" s="1" t="n">
        <v>45582.40759259259</v>
      </c>
      <c r="C3430" s="1" t="n">
        <v>46114</v>
      </c>
      <c r="D3430" t="inlineStr">
        <is>
          <t>DALARNAS LÄN</t>
        </is>
      </c>
      <c r="E3430" t="inlineStr">
        <is>
          <t>SMEDJEBACKEN</t>
        </is>
      </c>
      <c r="F3430" t="inlineStr">
        <is>
          <t>Bergvik skog väst AB</t>
        </is>
      </c>
      <c r="G3430" t="n">
        <v>10.2</v>
      </c>
      <c r="H3430" t="n">
        <v>0</v>
      </c>
      <c r="I3430" t="n">
        <v>0</v>
      </c>
      <c r="J3430" t="n">
        <v>0</v>
      </c>
      <c r="K3430" t="n">
        <v>0</v>
      </c>
      <c r="L3430" t="n">
        <v>0</v>
      </c>
      <c r="M3430" t="n">
        <v>0</v>
      </c>
      <c r="N3430" t="n">
        <v>0</v>
      </c>
      <c r="O3430" t="n">
        <v>0</v>
      </c>
      <c r="P3430" t="n">
        <v>0</v>
      </c>
      <c r="Q3430" t="n">
        <v>0</v>
      </c>
      <c r="R3430" s="2" t="inlineStr"/>
    </row>
    <row r="3431" ht="15" customHeight="1">
      <c r="A3431" t="inlineStr">
        <is>
          <t>A 6699-2025</t>
        </is>
      </c>
      <c r="B3431" s="1" t="n">
        <v>45700.53663194444</v>
      </c>
      <c r="C3431" s="1" t="n">
        <v>46114</v>
      </c>
      <c r="D3431" t="inlineStr">
        <is>
          <t>DALARNAS LÄN</t>
        </is>
      </c>
      <c r="E3431" t="inlineStr">
        <is>
          <t>RÄTTVIK</t>
        </is>
      </c>
      <c r="G3431" t="n">
        <v>1.9</v>
      </c>
      <c r="H3431" t="n">
        <v>0</v>
      </c>
      <c r="I3431" t="n">
        <v>0</v>
      </c>
      <c r="J3431" t="n">
        <v>0</v>
      </c>
      <c r="K3431" t="n">
        <v>0</v>
      </c>
      <c r="L3431" t="n">
        <v>0</v>
      </c>
      <c r="M3431" t="n">
        <v>0</v>
      </c>
      <c r="N3431" t="n">
        <v>0</v>
      </c>
      <c r="O3431" t="n">
        <v>0</v>
      </c>
      <c r="P3431" t="n">
        <v>0</v>
      </c>
      <c r="Q3431" t="n">
        <v>0</v>
      </c>
      <c r="R3431" s="2" t="inlineStr"/>
    </row>
    <row r="3432" ht="15" customHeight="1">
      <c r="A3432" t="inlineStr">
        <is>
          <t>A 41169-2024</t>
        </is>
      </c>
      <c r="B3432" s="1" t="n">
        <v>45559.48637731482</v>
      </c>
      <c r="C3432" s="1" t="n">
        <v>46114</v>
      </c>
      <c r="D3432" t="inlineStr">
        <is>
          <t>DALARNAS LÄN</t>
        </is>
      </c>
      <c r="E3432" t="inlineStr">
        <is>
          <t>LEKSAND</t>
        </is>
      </c>
      <c r="G3432" t="n">
        <v>8.9</v>
      </c>
      <c r="H3432" t="n">
        <v>0</v>
      </c>
      <c r="I3432" t="n">
        <v>0</v>
      </c>
      <c r="J3432" t="n">
        <v>0</v>
      </c>
      <c r="K3432" t="n">
        <v>0</v>
      </c>
      <c r="L3432" t="n">
        <v>0</v>
      </c>
      <c r="M3432" t="n">
        <v>0</v>
      </c>
      <c r="N3432" t="n">
        <v>0</v>
      </c>
      <c r="O3432" t="n">
        <v>0</v>
      </c>
      <c r="P3432" t="n">
        <v>0</v>
      </c>
      <c r="Q3432" t="n">
        <v>0</v>
      </c>
      <c r="R3432" s="2" t="inlineStr"/>
    </row>
    <row r="3433" ht="15" customHeight="1">
      <c r="A3433" t="inlineStr">
        <is>
          <t>A 40419-2025</t>
        </is>
      </c>
      <c r="B3433" s="1" t="n">
        <v>45895.57958333333</v>
      </c>
      <c r="C3433" s="1" t="n">
        <v>46114</v>
      </c>
      <c r="D3433" t="inlineStr">
        <is>
          <t>DALARNAS LÄN</t>
        </is>
      </c>
      <c r="E3433" t="inlineStr">
        <is>
          <t>HEDEMORA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35619-2025</t>
        </is>
      </c>
      <c r="B3434" s="1" t="n">
        <v>45859</v>
      </c>
      <c r="C3434" s="1" t="n">
        <v>46114</v>
      </c>
      <c r="D3434" t="inlineStr">
        <is>
          <t>DALARNAS LÄN</t>
        </is>
      </c>
      <c r="E3434" t="inlineStr">
        <is>
          <t>ORSA</t>
        </is>
      </c>
      <c r="F3434" t="inlineStr">
        <is>
          <t>Bergvik skog öst AB</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35623-2025</t>
        </is>
      </c>
      <c r="B3435" s="1" t="n">
        <v>45859</v>
      </c>
      <c r="C3435" s="1" t="n">
        <v>46114</v>
      </c>
      <c r="D3435" t="inlineStr">
        <is>
          <t>DALARNAS LÄN</t>
        </is>
      </c>
      <c r="E3435" t="inlineStr">
        <is>
          <t>MORA</t>
        </is>
      </c>
      <c r="F3435" t="inlineStr">
        <is>
          <t>Bergvik skog öst AB</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40471-2025</t>
        </is>
      </c>
      <c r="B3436" s="1" t="n">
        <v>45895.67356481482</v>
      </c>
      <c r="C3436" s="1" t="n">
        <v>46114</v>
      </c>
      <c r="D3436" t="inlineStr">
        <is>
          <t>DALARNAS LÄN</t>
        </is>
      </c>
      <c r="E3436" t="inlineStr">
        <is>
          <t>MORA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35866-2025</t>
        </is>
      </c>
      <c r="B3437" s="1" t="n">
        <v>45861</v>
      </c>
      <c r="C3437" s="1" t="n">
        <v>46114</v>
      </c>
      <c r="D3437" t="inlineStr">
        <is>
          <t>DALARNAS LÄN</t>
        </is>
      </c>
      <c r="E3437" t="inlineStr">
        <is>
          <t>LEKSAND</t>
        </is>
      </c>
      <c r="F3437" t="inlineStr">
        <is>
          <t>Bergvik skog väst AB</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36593-2023</t>
        </is>
      </c>
      <c r="B3438" s="1" t="n">
        <v>45153.47732638889</v>
      </c>
      <c r="C3438" s="1" t="n">
        <v>46114</v>
      </c>
      <c r="D3438" t="inlineStr">
        <is>
          <t>DALARNAS LÄN</t>
        </is>
      </c>
      <c r="E3438" t="inlineStr">
        <is>
          <t>ÄLVDALEN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52439-2024</t>
        </is>
      </c>
      <c r="B3439" s="1" t="n">
        <v>45608</v>
      </c>
      <c r="C3439" s="1" t="n">
        <v>46114</v>
      </c>
      <c r="D3439" t="inlineStr">
        <is>
          <t>DALARNAS LÄN</t>
        </is>
      </c>
      <c r="E3439" t="inlineStr">
        <is>
          <t>GAGNEF</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40070-2025</t>
        </is>
      </c>
      <c r="B3440" s="1" t="n">
        <v>45894.44197916667</v>
      </c>
      <c r="C3440" s="1" t="n">
        <v>46114</v>
      </c>
      <c r="D3440" t="inlineStr">
        <is>
          <t>DALARNAS LÄN</t>
        </is>
      </c>
      <c r="E3440" t="inlineStr">
        <is>
          <t>ORSA</t>
        </is>
      </c>
      <c r="F3440" t="inlineStr">
        <is>
          <t>Allmännings- och besparingsskogar</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40081-2025</t>
        </is>
      </c>
      <c r="B3441" s="1" t="n">
        <v>45894.46609953704</v>
      </c>
      <c r="C3441" s="1" t="n">
        <v>46114</v>
      </c>
      <c r="D3441" t="inlineStr">
        <is>
          <t>DALARNAS LÄN</t>
        </is>
      </c>
      <c r="E3441" t="inlineStr">
        <is>
          <t>ÄLVDALEN</t>
        </is>
      </c>
      <c r="F3441" t="inlineStr">
        <is>
          <t>Övriga statliga verk och myndigheter</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58650-2024</t>
        </is>
      </c>
      <c r="B3442" s="1" t="n">
        <v>45632</v>
      </c>
      <c r="C3442" s="1" t="n">
        <v>46114</v>
      </c>
      <c r="D3442" t="inlineStr">
        <is>
          <t>DALARNAS LÄN</t>
        </is>
      </c>
      <c r="E3442" t="inlineStr">
        <is>
          <t>BORLÄNGE</t>
        </is>
      </c>
      <c r="F3442" t="inlineStr">
        <is>
          <t>Bergvik skog väst AB</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32072-2024</t>
        </is>
      </c>
      <c r="B3443" s="1" t="n">
        <v>45510.98405092592</v>
      </c>
      <c r="C3443" s="1" t="n">
        <v>46114</v>
      </c>
      <c r="D3443" t="inlineStr">
        <is>
          <t>DALARNAS LÄN</t>
        </is>
      </c>
      <c r="E3443" t="inlineStr">
        <is>
          <t>LEKSAND</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58692-2024</t>
        </is>
      </c>
      <c r="B3444" s="1" t="n">
        <v>45635.63310185185</v>
      </c>
      <c r="C3444" s="1" t="n">
        <v>46114</v>
      </c>
      <c r="D3444" t="inlineStr">
        <is>
          <t>DALARNAS LÄN</t>
        </is>
      </c>
      <c r="E3444" t="inlineStr">
        <is>
          <t>RÄTTVIK</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35782-2025</t>
        </is>
      </c>
      <c r="B3445" s="1" t="n">
        <v>45860.73835648148</v>
      </c>
      <c r="C3445" s="1" t="n">
        <v>46114</v>
      </c>
      <c r="D3445" t="inlineStr">
        <is>
          <t>DALARNAS LÄN</t>
        </is>
      </c>
      <c r="E3445" t="inlineStr">
        <is>
          <t>VANSBRO</t>
        </is>
      </c>
      <c r="F3445" t="inlineStr">
        <is>
          <t>Bergvik skog öst AB</t>
        </is>
      </c>
      <c r="G3445" t="n">
        <v>2.4</v>
      </c>
      <c r="H3445" t="n">
        <v>0</v>
      </c>
      <c r="I3445" t="n">
        <v>0</v>
      </c>
      <c r="J3445" t="n">
        <v>0</v>
      </c>
      <c r="K3445" t="n">
        <v>0</v>
      </c>
      <c r="L3445" t="n">
        <v>0</v>
      </c>
      <c r="M3445" t="n">
        <v>0</v>
      </c>
      <c r="N3445" t="n">
        <v>0</v>
      </c>
      <c r="O3445" t="n">
        <v>0</v>
      </c>
      <c r="P3445" t="n">
        <v>0</v>
      </c>
      <c r="Q3445" t="n">
        <v>0</v>
      </c>
      <c r="R3445" s="2" t="inlineStr"/>
    </row>
    <row r="3446" ht="15" customHeight="1">
      <c r="A3446" t="inlineStr">
        <is>
          <t>A 40381-2025</t>
        </is>
      </c>
      <c r="B3446" s="1" t="n">
        <v>45895</v>
      </c>
      <c r="C3446" s="1" t="n">
        <v>46114</v>
      </c>
      <c r="D3446" t="inlineStr">
        <is>
          <t>DALARNAS LÄN</t>
        </is>
      </c>
      <c r="E3446" t="inlineStr">
        <is>
          <t>RÄTTVIK</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40421-2025</t>
        </is>
      </c>
      <c r="B3447" s="1" t="n">
        <v>45895.58449074074</v>
      </c>
      <c r="C3447" s="1" t="n">
        <v>46114</v>
      </c>
      <c r="D3447" t="inlineStr">
        <is>
          <t>DALARNAS LÄN</t>
        </is>
      </c>
      <c r="E3447" t="inlineStr">
        <is>
          <t>HEDEMORA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40456-2025</t>
        </is>
      </c>
      <c r="B3448" s="1" t="n">
        <v>45895.64342592593</v>
      </c>
      <c r="C3448" s="1" t="n">
        <v>46114</v>
      </c>
      <c r="D3448" t="inlineStr">
        <is>
          <t>DALARNAS LÄN</t>
        </is>
      </c>
      <c r="E3448" t="inlineStr">
        <is>
          <t>HEDEMORA</t>
        </is>
      </c>
      <c r="F3448" t="inlineStr">
        <is>
          <t>Bergvik skog väst AB</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53159-2024</t>
        </is>
      </c>
      <c r="B3449" s="1" t="n">
        <v>45611.63849537037</v>
      </c>
      <c r="C3449" s="1" t="n">
        <v>46114</v>
      </c>
      <c r="D3449" t="inlineStr">
        <is>
          <t>DALARNAS LÄN</t>
        </is>
      </c>
      <c r="E3449" t="inlineStr">
        <is>
          <t>MORA</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46560-2023</t>
        </is>
      </c>
      <c r="B3450" s="1" t="n">
        <v>45198</v>
      </c>
      <c r="C3450" s="1" t="n">
        <v>46114</v>
      </c>
      <c r="D3450" t="inlineStr">
        <is>
          <t>DALARNAS LÄN</t>
        </is>
      </c>
      <c r="E3450" t="inlineStr">
        <is>
          <t>FALUN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35789-2025</t>
        </is>
      </c>
      <c r="B3451" s="1" t="n">
        <v>45861.33846064815</v>
      </c>
      <c r="C3451" s="1" t="n">
        <v>46114</v>
      </c>
      <c r="D3451" t="inlineStr">
        <is>
          <t>DALARNAS LÄN</t>
        </is>
      </c>
      <c r="E3451" t="inlineStr">
        <is>
          <t>BORLÄNGE</t>
        </is>
      </c>
      <c r="F3451" t="inlineStr">
        <is>
          <t>Bergvik skog väst AB</t>
        </is>
      </c>
      <c r="G3451" t="n">
        <v>5</v>
      </c>
      <c r="H3451" t="n">
        <v>0</v>
      </c>
      <c r="I3451" t="n">
        <v>0</v>
      </c>
      <c r="J3451" t="n">
        <v>0</v>
      </c>
      <c r="K3451" t="n">
        <v>0</v>
      </c>
      <c r="L3451" t="n">
        <v>0</v>
      </c>
      <c r="M3451" t="n">
        <v>0</v>
      </c>
      <c r="N3451" t="n">
        <v>0</v>
      </c>
      <c r="O3451" t="n">
        <v>0</v>
      </c>
      <c r="P3451" t="n">
        <v>0</v>
      </c>
      <c r="Q3451" t="n">
        <v>0</v>
      </c>
      <c r="R3451" s="2" t="inlineStr"/>
    </row>
    <row r="3452" ht="15" customHeight="1">
      <c r="A3452" t="inlineStr">
        <is>
          <t>A 13111-2025</t>
        </is>
      </c>
      <c r="B3452" s="1" t="n">
        <v>45734.70346064815</v>
      </c>
      <c r="C3452" s="1" t="n">
        <v>46114</v>
      </c>
      <c r="D3452" t="inlineStr">
        <is>
          <t>DALARNAS LÄN</t>
        </is>
      </c>
      <c r="E3452" t="inlineStr">
        <is>
          <t>SMEDJEBACKEN</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46631-2023</t>
        </is>
      </c>
      <c r="B3453" s="1" t="n">
        <v>45198</v>
      </c>
      <c r="C3453" s="1" t="n">
        <v>46114</v>
      </c>
      <c r="D3453" t="inlineStr">
        <is>
          <t>DALARNAS LÄN</t>
        </is>
      </c>
      <c r="E3453" t="inlineStr">
        <is>
          <t>MALUNG-SÄLEN</t>
        </is>
      </c>
      <c r="F3453" t="inlineStr">
        <is>
          <t>Allmännings- och besparingsskogar</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52141-2024</t>
        </is>
      </c>
      <c r="B3454" s="1" t="n">
        <v>45608</v>
      </c>
      <c r="C3454" s="1" t="n">
        <v>46114</v>
      </c>
      <c r="D3454" t="inlineStr">
        <is>
          <t>DALARNAS LÄN</t>
        </is>
      </c>
      <c r="E3454" t="inlineStr">
        <is>
          <t>MALUNG-SÄLEN</t>
        </is>
      </c>
      <c r="G3454" t="n">
        <v>5.2</v>
      </c>
      <c r="H3454" t="n">
        <v>0</v>
      </c>
      <c r="I3454" t="n">
        <v>0</v>
      </c>
      <c r="J3454" t="n">
        <v>0</v>
      </c>
      <c r="K3454" t="n">
        <v>0</v>
      </c>
      <c r="L3454" t="n">
        <v>0</v>
      </c>
      <c r="M3454" t="n">
        <v>0</v>
      </c>
      <c r="N3454" t="n">
        <v>0</v>
      </c>
      <c r="O3454" t="n">
        <v>0</v>
      </c>
      <c r="P3454" t="n">
        <v>0</v>
      </c>
      <c r="Q3454" t="n">
        <v>0</v>
      </c>
      <c r="R3454" s="2" t="inlineStr"/>
    </row>
    <row r="3455" ht="15" customHeight="1">
      <c r="A3455" t="inlineStr">
        <is>
          <t>A 33560-2023</t>
        </is>
      </c>
      <c r="B3455" s="1" t="n">
        <v>45131</v>
      </c>
      <c r="C3455" s="1" t="n">
        <v>46114</v>
      </c>
      <c r="D3455" t="inlineStr">
        <is>
          <t>DALARNAS LÄN</t>
        </is>
      </c>
      <c r="E3455" t="inlineStr">
        <is>
          <t>LUDVIKA</t>
        </is>
      </c>
      <c r="G3455" t="n">
        <v>7</v>
      </c>
      <c r="H3455" t="n">
        <v>0</v>
      </c>
      <c r="I3455" t="n">
        <v>0</v>
      </c>
      <c r="J3455" t="n">
        <v>0</v>
      </c>
      <c r="K3455" t="n">
        <v>0</v>
      </c>
      <c r="L3455" t="n">
        <v>0</v>
      </c>
      <c r="M3455" t="n">
        <v>0</v>
      </c>
      <c r="N3455" t="n">
        <v>0</v>
      </c>
      <c r="O3455" t="n">
        <v>0</v>
      </c>
      <c r="P3455" t="n">
        <v>0</v>
      </c>
      <c r="Q3455" t="n">
        <v>0</v>
      </c>
      <c r="R3455" s="2" t="inlineStr"/>
    </row>
    <row r="3456" ht="15" customHeight="1">
      <c r="A3456" t="inlineStr">
        <is>
          <t>A 40399-2025</t>
        </is>
      </c>
      <c r="B3456" s="1" t="n">
        <v>45895</v>
      </c>
      <c r="C3456" s="1" t="n">
        <v>46114</v>
      </c>
      <c r="D3456" t="inlineStr">
        <is>
          <t>DALARNAS LÄN</t>
        </is>
      </c>
      <c r="E3456" t="inlineStr">
        <is>
          <t>RÄTTVIK</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40402-2025</t>
        </is>
      </c>
      <c r="B3457" s="1" t="n">
        <v>45895.56866898148</v>
      </c>
      <c r="C3457" s="1" t="n">
        <v>46114</v>
      </c>
      <c r="D3457" t="inlineStr">
        <is>
          <t>DALARNAS LÄN</t>
        </is>
      </c>
      <c r="E3457" t="inlineStr">
        <is>
          <t>FALUN</t>
        </is>
      </c>
      <c r="G3457" t="n">
        <v>4</v>
      </c>
      <c r="H3457" t="n">
        <v>0</v>
      </c>
      <c r="I3457" t="n">
        <v>0</v>
      </c>
      <c r="J3457" t="n">
        <v>0</v>
      </c>
      <c r="K3457" t="n">
        <v>0</v>
      </c>
      <c r="L3457" t="n">
        <v>0</v>
      </c>
      <c r="M3457" t="n">
        <v>0</v>
      </c>
      <c r="N3457" t="n">
        <v>0</v>
      </c>
      <c r="O3457" t="n">
        <v>0</v>
      </c>
      <c r="P3457" t="n">
        <v>0</v>
      </c>
      <c r="Q3457" t="n">
        <v>0</v>
      </c>
      <c r="R3457" s="2" t="inlineStr"/>
    </row>
    <row r="3458" ht="15" customHeight="1">
      <c r="A3458" t="inlineStr">
        <is>
          <t>A 40189-2025</t>
        </is>
      </c>
      <c r="B3458" s="1" t="n">
        <v>45894.65532407408</v>
      </c>
      <c r="C3458" s="1" t="n">
        <v>46114</v>
      </c>
      <c r="D3458" t="inlineStr">
        <is>
          <t>DALARNAS LÄN</t>
        </is>
      </c>
      <c r="E3458" t="inlineStr">
        <is>
          <t>RÄTTVIK</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40212-2025</t>
        </is>
      </c>
      <c r="B3459" s="1" t="n">
        <v>45894.6841087963</v>
      </c>
      <c r="C3459" s="1" t="n">
        <v>46114</v>
      </c>
      <c r="D3459" t="inlineStr">
        <is>
          <t>DALARNAS LÄN</t>
        </is>
      </c>
      <c r="E3459" t="inlineStr">
        <is>
          <t>RÄTTVIK</t>
        </is>
      </c>
      <c r="F3459" t="inlineStr">
        <is>
          <t>Sveaskog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35622-2025</t>
        </is>
      </c>
      <c r="B3460" s="1" t="n">
        <v>45859</v>
      </c>
      <c r="C3460" s="1" t="n">
        <v>46114</v>
      </c>
      <c r="D3460" t="inlineStr">
        <is>
          <t>DALARNAS LÄN</t>
        </is>
      </c>
      <c r="E3460" t="inlineStr">
        <is>
          <t>MORA</t>
        </is>
      </c>
      <c r="F3460" t="inlineStr">
        <is>
          <t>Bergvik skog öst AB</t>
        </is>
      </c>
      <c r="G3460" t="n">
        <v>5.8</v>
      </c>
      <c r="H3460" t="n">
        <v>0</v>
      </c>
      <c r="I3460" t="n">
        <v>0</v>
      </c>
      <c r="J3460" t="n">
        <v>0</v>
      </c>
      <c r="K3460" t="n">
        <v>0</v>
      </c>
      <c r="L3460" t="n">
        <v>0</v>
      </c>
      <c r="M3460" t="n">
        <v>0</v>
      </c>
      <c r="N3460" t="n">
        <v>0</v>
      </c>
      <c r="O3460" t="n">
        <v>0</v>
      </c>
      <c r="P3460" t="n">
        <v>0</v>
      </c>
      <c r="Q3460" t="n">
        <v>0</v>
      </c>
      <c r="R3460" s="2" t="inlineStr"/>
    </row>
    <row r="3461" ht="15" customHeight="1">
      <c r="A3461" t="inlineStr">
        <is>
          <t>A 29754-2022</t>
        </is>
      </c>
      <c r="B3461" s="1" t="n">
        <v>44755.59188657408</v>
      </c>
      <c r="C3461" s="1" t="n">
        <v>46114</v>
      </c>
      <c r="D3461" t="inlineStr">
        <is>
          <t>DALARNAS LÄN</t>
        </is>
      </c>
      <c r="E3461" t="inlineStr">
        <is>
          <t>MORA</t>
        </is>
      </c>
      <c r="G3461" t="n">
        <v>1.6</v>
      </c>
      <c r="H3461" t="n">
        <v>0</v>
      </c>
      <c r="I3461" t="n">
        <v>0</v>
      </c>
      <c r="J3461" t="n">
        <v>0</v>
      </c>
      <c r="K3461" t="n">
        <v>0</v>
      </c>
      <c r="L3461" t="n">
        <v>0</v>
      </c>
      <c r="M3461" t="n">
        <v>0</v>
      </c>
      <c r="N3461" t="n">
        <v>0</v>
      </c>
      <c r="O3461" t="n">
        <v>0</v>
      </c>
      <c r="P3461" t="n">
        <v>0</v>
      </c>
      <c r="Q3461" t="n">
        <v>0</v>
      </c>
      <c r="R3461" s="2" t="inlineStr"/>
    </row>
    <row r="3462" ht="15" customHeight="1">
      <c r="A3462" t="inlineStr">
        <is>
          <t>A 40459-2025</t>
        </is>
      </c>
      <c r="B3462" s="1" t="n">
        <v>45895.64844907408</v>
      </c>
      <c r="C3462" s="1" t="n">
        <v>46114</v>
      </c>
      <c r="D3462" t="inlineStr">
        <is>
          <t>DALARNAS LÄN</t>
        </is>
      </c>
      <c r="E3462" t="inlineStr">
        <is>
          <t>FALUN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56299-2024</t>
        </is>
      </c>
      <c r="B3463" s="1" t="n">
        <v>45624.68607638889</v>
      </c>
      <c r="C3463" s="1" t="n">
        <v>46114</v>
      </c>
      <c r="D3463" t="inlineStr">
        <is>
          <t>DALARNAS LÄN</t>
        </is>
      </c>
      <c r="E3463" t="inlineStr">
        <is>
          <t>LEKSAND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40216-2025</t>
        </is>
      </c>
      <c r="B3464" s="1" t="n">
        <v>45894.6880787037</v>
      </c>
      <c r="C3464" s="1" t="n">
        <v>46114</v>
      </c>
      <c r="D3464" t="inlineStr">
        <is>
          <t>DALARNAS LÄN</t>
        </is>
      </c>
      <c r="E3464" t="inlineStr">
        <is>
          <t>RÄTTVIK</t>
        </is>
      </c>
      <c r="F3464" t="inlineStr">
        <is>
          <t>Sveaskog</t>
        </is>
      </c>
      <c r="G3464" t="n">
        <v>4.9</v>
      </c>
      <c r="H3464" t="n">
        <v>0</v>
      </c>
      <c r="I3464" t="n">
        <v>0</v>
      </c>
      <c r="J3464" t="n">
        <v>0</v>
      </c>
      <c r="K3464" t="n">
        <v>0</v>
      </c>
      <c r="L3464" t="n">
        <v>0</v>
      </c>
      <c r="M3464" t="n">
        <v>0</v>
      </c>
      <c r="N3464" t="n">
        <v>0</v>
      </c>
      <c r="O3464" t="n">
        <v>0</v>
      </c>
      <c r="P3464" t="n">
        <v>0</v>
      </c>
      <c r="Q3464" t="n">
        <v>0</v>
      </c>
      <c r="R3464" s="2" t="inlineStr"/>
    </row>
    <row r="3465" ht="15" customHeight="1">
      <c r="A3465" t="inlineStr">
        <is>
          <t>A 17418-2025</t>
        </is>
      </c>
      <c r="B3465" s="1" t="n">
        <v>45757.37891203703</v>
      </c>
      <c r="C3465" s="1" t="n">
        <v>46114</v>
      </c>
      <c r="D3465" t="inlineStr">
        <is>
          <t>DALARNAS LÄN</t>
        </is>
      </c>
      <c r="E3465" t="inlineStr">
        <is>
          <t>SMEDJEBACKEN</t>
        </is>
      </c>
      <c r="F3465" t="inlineStr">
        <is>
          <t>Sveaskog</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40246-2025</t>
        </is>
      </c>
      <c r="B3466" s="1" t="n">
        <v>45895.00098379629</v>
      </c>
      <c r="C3466" s="1" t="n">
        <v>46114</v>
      </c>
      <c r="D3466" t="inlineStr">
        <is>
          <t>DALARNAS LÄN</t>
        </is>
      </c>
      <c r="E3466" t="inlineStr">
        <is>
          <t>LUDVIKA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17483-2025</t>
        </is>
      </c>
      <c r="B3467" s="1" t="n">
        <v>45757.49408564815</v>
      </c>
      <c r="C3467" s="1" t="n">
        <v>46114</v>
      </c>
      <c r="D3467" t="inlineStr">
        <is>
          <t>DALARNAS LÄN</t>
        </is>
      </c>
      <c r="E3467" t="inlineStr">
        <is>
          <t>LEKSAND</t>
        </is>
      </c>
      <c r="G3467" t="n">
        <v>4.1</v>
      </c>
      <c r="H3467" t="n">
        <v>0</v>
      </c>
      <c r="I3467" t="n">
        <v>0</v>
      </c>
      <c r="J3467" t="n">
        <v>0</v>
      </c>
      <c r="K3467" t="n">
        <v>0</v>
      </c>
      <c r="L3467" t="n">
        <v>0</v>
      </c>
      <c r="M3467" t="n">
        <v>0</v>
      </c>
      <c r="N3467" t="n">
        <v>0</v>
      </c>
      <c r="O3467" t="n">
        <v>0</v>
      </c>
      <c r="P3467" t="n">
        <v>0</v>
      </c>
      <c r="Q3467" t="n">
        <v>0</v>
      </c>
      <c r="R3467" s="2" t="inlineStr"/>
    </row>
    <row r="3468" ht="15" customHeight="1">
      <c r="A3468" t="inlineStr">
        <is>
          <t>A 17498-2025</t>
        </is>
      </c>
      <c r="B3468" s="1" t="n">
        <v>45757</v>
      </c>
      <c r="C3468" s="1" t="n">
        <v>46114</v>
      </c>
      <c r="D3468" t="inlineStr">
        <is>
          <t>DALARNAS LÄN</t>
        </is>
      </c>
      <c r="E3468" t="inlineStr">
        <is>
          <t>MALUNG-SÄLEN</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17508-2025</t>
        </is>
      </c>
      <c r="B3469" s="1" t="n">
        <v>45757.55929398148</v>
      </c>
      <c r="C3469" s="1" t="n">
        <v>46114</v>
      </c>
      <c r="D3469" t="inlineStr">
        <is>
          <t>DALARNAS LÄN</t>
        </is>
      </c>
      <c r="E3469" t="inlineStr">
        <is>
          <t>ORSA</t>
        </is>
      </c>
      <c r="F3469" t="inlineStr">
        <is>
          <t>Bergvik skog öst AB</t>
        </is>
      </c>
      <c r="G3469" t="n">
        <v>9.4</v>
      </c>
      <c r="H3469" t="n">
        <v>0</v>
      </c>
      <c r="I3469" t="n">
        <v>0</v>
      </c>
      <c r="J3469" t="n">
        <v>0</v>
      </c>
      <c r="K3469" t="n">
        <v>0</v>
      </c>
      <c r="L3469" t="n">
        <v>0</v>
      </c>
      <c r="M3469" t="n">
        <v>0</v>
      </c>
      <c r="N3469" t="n">
        <v>0</v>
      </c>
      <c r="O3469" t="n">
        <v>0</v>
      </c>
      <c r="P3469" t="n">
        <v>0</v>
      </c>
      <c r="Q3469" t="n">
        <v>0</v>
      </c>
      <c r="R3469" s="2" t="inlineStr"/>
    </row>
    <row r="3470" ht="15" customHeight="1">
      <c r="A3470" t="inlineStr">
        <is>
          <t>A 40272-2025</t>
        </is>
      </c>
      <c r="B3470" s="1" t="n">
        <v>45895</v>
      </c>
      <c r="C3470" s="1" t="n">
        <v>46114</v>
      </c>
      <c r="D3470" t="inlineStr">
        <is>
          <t>DALARNAS LÄN</t>
        </is>
      </c>
      <c r="E3470" t="inlineStr">
        <is>
          <t>VANSBRO</t>
        </is>
      </c>
      <c r="F3470" t="inlineStr">
        <is>
          <t>Bergvik skog väst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27188-2023</t>
        </is>
      </c>
      <c r="B3471" s="1" t="n">
        <v>45096</v>
      </c>
      <c r="C3471" s="1" t="n">
        <v>46114</v>
      </c>
      <c r="D3471" t="inlineStr">
        <is>
          <t>DALARNAS LÄN</t>
        </is>
      </c>
      <c r="E3471" t="inlineStr">
        <is>
          <t>MORA</t>
        </is>
      </c>
      <c r="G3471" t="n">
        <v>4.8</v>
      </c>
      <c r="H3471" t="n">
        <v>0</v>
      </c>
      <c r="I3471" t="n">
        <v>0</v>
      </c>
      <c r="J3471" t="n">
        <v>0</v>
      </c>
      <c r="K3471" t="n">
        <v>0</v>
      </c>
      <c r="L3471" t="n">
        <v>0</v>
      </c>
      <c r="M3471" t="n">
        <v>0</v>
      </c>
      <c r="N3471" t="n">
        <v>0</v>
      </c>
      <c r="O3471" t="n">
        <v>0</v>
      </c>
      <c r="P3471" t="n">
        <v>0</v>
      </c>
      <c r="Q3471" t="n">
        <v>0</v>
      </c>
      <c r="R3471" s="2" t="inlineStr"/>
    </row>
    <row r="3472" ht="15" customHeight="1">
      <c r="A3472" t="inlineStr">
        <is>
          <t>A 32329-2024</t>
        </is>
      </c>
      <c r="B3472" s="1" t="n">
        <v>45512</v>
      </c>
      <c r="C3472" s="1" t="n">
        <v>46114</v>
      </c>
      <c r="D3472" t="inlineStr">
        <is>
          <t>DALARNAS LÄN</t>
        </is>
      </c>
      <c r="E3472" t="inlineStr">
        <is>
          <t>LUDVIKA</t>
        </is>
      </c>
      <c r="F3472" t="inlineStr">
        <is>
          <t>Bergvik skog väst AB</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35816-2025</t>
        </is>
      </c>
      <c r="B3473" s="1" t="n">
        <v>45861.44006944444</v>
      </c>
      <c r="C3473" s="1" t="n">
        <v>46114</v>
      </c>
      <c r="D3473" t="inlineStr">
        <is>
          <t>DALARNAS LÄN</t>
        </is>
      </c>
      <c r="E3473" t="inlineStr">
        <is>
          <t>BORLÄNGE</t>
        </is>
      </c>
      <c r="G3473" t="n">
        <v>2.8</v>
      </c>
      <c r="H3473" t="n">
        <v>0</v>
      </c>
      <c r="I3473" t="n">
        <v>0</v>
      </c>
      <c r="J3473" t="n">
        <v>0</v>
      </c>
      <c r="K3473" t="n">
        <v>0</v>
      </c>
      <c r="L3473" t="n">
        <v>0</v>
      </c>
      <c r="M3473" t="n">
        <v>0</v>
      </c>
      <c r="N3473" t="n">
        <v>0</v>
      </c>
      <c r="O3473" t="n">
        <v>0</v>
      </c>
      <c r="P3473" t="n">
        <v>0</v>
      </c>
      <c r="Q3473" t="n">
        <v>0</v>
      </c>
      <c r="R3473" s="2" t="inlineStr"/>
    </row>
    <row r="3474" ht="15" customHeight="1">
      <c r="A3474" t="inlineStr">
        <is>
          <t>A 52989-2024</t>
        </is>
      </c>
      <c r="B3474" s="1" t="n">
        <v>45611.36885416666</v>
      </c>
      <c r="C3474" s="1" t="n">
        <v>46114</v>
      </c>
      <c r="D3474" t="inlineStr">
        <is>
          <t>DALARNAS LÄN</t>
        </is>
      </c>
      <c r="E3474" t="inlineStr">
        <is>
          <t>FALUN</t>
        </is>
      </c>
      <c r="F3474" t="inlineStr">
        <is>
          <t>Bergvik skog väst AB</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56268-2024</t>
        </is>
      </c>
      <c r="B3475" s="1" t="n">
        <v>45624.65785879629</v>
      </c>
      <c r="C3475" s="1" t="n">
        <v>46114</v>
      </c>
      <c r="D3475" t="inlineStr">
        <is>
          <t>DALARNAS LÄN</t>
        </is>
      </c>
      <c r="E3475" t="inlineStr">
        <is>
          <t>MORA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25737-2025</t>
        </is>
      </c>
      <c r="B3476" s="1" t="n">
        <v>45800</v>
      </c>
      <c r="C3476" s="1" t="n">
        <v>46114</v>
      </c>
      <c r="D3476" t="inlineStr">
        <is>
          <t>DALARNAS LÄN</t>
        </is>
      </c>
      <c r="E3476" t="inlineStr">
        <is>
          <t>MORA</t>
        </is>
      </c>
      <c r="G3476" t="n">
        <v>9.6</v>
      </c>
      <c r="H3476" t="n">
        <v>0</v>
      </c>
      <c r="I3476" t="n">
        <v>0</v>
      </c>
      <c r="J3476" t="n">
        <v>0</v>
      </c>
      <c r="K3476" t="n">
        <v>0</v>
      </c>
      <c r="L3476" t="n">
        <v>0</v>
      </c>
      <c r="M3476" t="n">
        <v>0</v>
      </c>
      <c r="N3476" t="n">
        <v>0</v>
      </c>
      <c r="O3476" t="n">
        <v>0</v>
      </c>
      <c r="P3476" t="n">
        <v>0</v>
      </c>
      <c r="Q3476" t="n">
        <v>0</v>
      </c>
      <c r="R3476" s="2" t="inlineStr"/>
    </row>
    <row r="3477" ht="15" customHeight="1">
      <c r="A3477" t="inlineStr">
        <is>
          <t>A 25496-2024</t>
        </is>
      </c>
      <c r="B3477" s="1" t="n">
        <v>45463.47873842593</v>
      </c>
      <c r="C3477" s="1" t="n">
        <v>46114</v>
      </c>
      <c r="D3477" t="inlineStr">
        <is>
          <t>DALARNAS LÄN</t>
        </is>
      </c>
      <c r="E3477" t="inlineStr">
        <is>
          <t>VANSBRO</t>
        </is>
      </c>
      <c r="G3477" t="n">
        <v>4.7</v>
      </c>
      <c r="H3477" t="n">
        <v>0</v>
      </c>
      <c r="I3477" t="n">
        <v>0</v>
      </c>
      <c r="J3477" t="n">
        <v>0</v>
      </c>
      <c r="K3477" t="n">
        <v>0</v>
      </c>
      <c r="L3477" t="n">
        <v>0</v>
      </c>
      <c r="M3477" t="n">
        <v>0</v>
      </c>
      <c r="N3477" t="n">
        <v>0</v>
      </c>
      <c r="O3477" t="n">
        <v>0</v>
      </c>
      <c r="P3477" t="n">
        <v>0</v>
      </c>
      <c r="Q3477" t="n">
        <v>0</v>
      </c>
      <c r="R3477" s="2" t="inlineStr"/>
    </row>
    <row r="3478" ht="15" customHeight="1">
      <c r="A3478" t="inlineStr">
        <is>
          <t>A 29321-2025</t>
        </is>
      </c>
      <c r="B3478" s="1" t="n">
        <v>45824.47616898148</v>
      </c>
      <c r="C3478" s="1" t="n">
        <v>46114</v>
      </c>
      <c r="D3478" t="inlineStr">
        <is>
          <t>DALARNAS LÄN</t>
        </is>
      </c>
      <c r="E3478" t="inlineStr">
        <is>
          <t>SÄTER</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35786-2025</t>
        </is>
      </c>
      <c r="B3479" s="1" t="n">
        <v>45861.31113425926</v>
      </c>
      <c r="C3479" s="1" t="n">
        <v>46114</v>
      </c>
      <c r="D3479" t="inlineStr">
        <is>
          <t>DALARNAS LÄN</t>
        </is>
      </c>
      <c r="E3479" t="inlineStr">
        <is>
          <t>FALUN</t>
        </is>
      </c>
      <c r="F3479" t="inlineStr">
        <is>
          <t>Bergvik skog väst AB</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760-2025</t>
        </is>
      </c>
      <c r="B3480" s="1" t="n">
        <v>45665.44936342593</v>
      </c>
      <c r="C3480" s="1" t="n">
        <v>46114</v>
      </c>
      <c r="D3480" t="inlineStr">
        <is>
          <t>DALARNAS LÄN</t>
        </is>
      </c>
      <c r="E3480" t="inlineStr">
        <is>
          <t>ÄLVDALEN</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9971-2022</t>
        </is>
      </c>
      <c r="B3481" s="1" t="n">
        <v>44621</v>
      </c>
      <c r="C3481" s="1" t="n">
        <v>46114</v>
      </c>
      <c r="D3481" t="inlineStr">
        <is>
          <t>DALARNAS LÄN</t>
        </is>
      </c>
      <c r="E3481" t="inlineStr">
        <is>
          <t>RÄTTVIK</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17951-2022</t>
        </is>
      </c>
      <c r="B3482" s="1" t="n">
        <v>44683.63802083334</v>
      </c>
      <c r="C3482" s="1" t="n">
        <v>46114</v>
      </c>
      <c r="D3482" t="inlineStr">
        <is>
          <t>DALARNAS LÄN</t>
        </is>
      </c>
      <c r="E3482" t="inlineStr">
        <is>
          <t>SMEDJEBACKEN</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17956-2022</t>
        </is>
      </c>
      <c r="B3483" s="1" t="n">
        <v>44683.64659722222</v>
      </c>
      <c r="C3483" s="1" t="n">
        <v>46114</v>
      </c>
      <c r="D3483" t="inlineStr">
        <is>
          <t>DALARNAS LÄN</t>
        </is>
      </c>
      <c r="E3483" t="inlineStr">
        <is>
          <t>SMEDJEBACKEN</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39972-2025</t>
        </is>
      </c>
      <c r="B3484" s="1" t="n">
        <v>45892.99412037037</v>
      </c>
      <c r="C3484" s="1" t="n">
        <v>46114</v>
      </c>
      <c r="D3484" t="inlineStr">
        <is>
          <t>DALARNAS LÄN</t>
        </is>
      </c>
      <c r="E3484" t="inlineStr">
        <is>
          <t>MALUNG-SÄLEN</t>
        </is>
      </c>
      <c r="G3484" t="n">
        <v>9.199999999999999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40255-2025</t>
        </is>
      </c>
      <c r="B3485" s="1" t="n">
        <v>45895.32311342593</v>
      </c>
      <c r="C3485" s="1" t="n">
        <v>46114</v>
      </c>
      <c r="D3485" t="inlineStr">
        <is>
          <t>DALARNAS LÄN</t>
        </is>
      </c>
      <c r="E3485" t="inlineStr">
        <is>
          <t>MALUNG-SÄLEN</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9477-2024</t>
        </is>
      </c>
      <c r="B3486" s="1" t="n">
        <v>45359</v>
      </c>
      <c r="C3486" s="1" t="n">
        <v>46114</v>
      </c>
      <c r="D3486" t="inlineStr">
        <is>
          <t>DALARNAS LÄN</t>
        </is>
      </c>
      <c r="E3486" t="inlineStr">
        <is>
          <t>RÄTTVIK</t>
        </is>
      </c>
      <c r="G3486" t="n">
        <v>5.8</v>
      </c>
      <c r="H3486" t="n">
        <v>0</v>
      </c>
      <c r="I3486" t="n">
        <v>0</v>
      </c>
      <c r="J3486" t="n">
        <v>0</v>
      </c>
      <c r="K3486" t="n">
        <v>0</v>
      </c>
      <c r="L3486" t="n">
        <v>0</v>
      </c>
      <c r="M3486" t="n">
        <v>0</v>
      </c>
      <c r="N3486" t="n">
        <v>0</v>
      </c>
      <c r="O3486" t="n">
        <v>0</v>
      </c>
      <c r="P3486" t="n">
        <v>0</v>
      </c>
      <c r="Q3486" t="n">
        <v>0</v>
      </c>
      <c r="R3486" s="2" t="inlineStr"/>
    </row>
    <row r="3487" ht="15" customHeight="1">
      <c r="A3487" t="inlineStr">
        <is>
          <t>A 53859-2023</t>
        </is>
      </c>
      <c r="B3487" s="1" t="n">
        <v>45224</v>
      </c>
      <c r="C3487" s="1" t="n">
        <v>46114</v>
      </c>
      <c r="D3487" t="inlineStr">
        <is>
          <t>DALARNAS LÄN</t>
        </is>
      </c>
      <c r="E3487" t="inlineStr">
        <is>
          <t>SMEDJEBACKEN</t>
        </is>
      </c>
      <c r="F3487" t="inlineStr">
        <is>
          <t>Bergvik skog väst AB</t>
        </is>
      </c>
      <c r="G3487" t="n">
        <v>10.5</v>
      </c>
      <c r="H3487" t="n">
        <v>0</v>
      </c>
      <c r="I3487" t="n">
        <v>0</v>
      </c>
      <c r="J3487" t="n">
        <v>0</v>
      </c>
      <c r="K3487" t="n">
        <v>0</v>
      </c>
      <c r="L3487" t="n">
        <v>0</v>
      </c>
      <c r="M3487" t="n">
        <v>0</v>
      </c>
      <c r="N3487" t="n">
        <v>0</v>
      </c>
      <c r="O3487" t="n">
        <v>0</v>
      </c>
      <c r="P3487" t="n">
        <v>0</v>
      </c>
      <c r="Q3487" t="n">
        <v>0</v>
      </c>
      <c r="R3487" s="2" t="inlineStr"/>
    </row>
    <row r="3488" ht="15" customHeight="1">
      <c r="A3488" t="inlineStr">
        <is>
          <t>A 40096-2025</t>
        </is>
      </c>
      <c r="B3488" s="1" t="n">
        <v>45894.48280092593</v>
      </c>
      <c r="C3488" s="1" t="n">
        <v>46114</v>
      </c>
      <c r="D3488" t="inlineStr">
        <is>
          <t>DALARNAS LÄN</t>
        </is>
      </c>
      <c r="E3488" t="inlineStr">
        <is>
          <t>FALUN</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40111-2025</t>
        </is>
      </c>
      <c r="B3489" s="1" t="n">
        <v>45894.49417824074</v>
      </c>
      <c r="C3489" s="1" t="n">
        <v>46114</v>
      </c>
      <c r="D3489" t="inlineStr">
        <is>
          <t>DALARNAS LÄN</t>
        </is>
      </c>
      <c r="E3489" t="inlineStr">
        <is>
          <t>ORSA</t>
        </is>
      </c>
      <c r="F3489" t="inlineStr">
        <is>
          <t>Allmännings- och besparingsskogar</t>
        </is>
      </c>
      <c r="G3489" t="n">
        <v>18.6</v>
      </c>
      <c r="H3489" t="n">
        <v>0</v>
      </c>
      <c r="I3489" t="n">
        <v>0</v>
      </c>
      <c r="J3489" t="n">
        <v>0</v>
      </c>
      <c r="K3489" t="n">
        <v>0</v>
      </c>
      <c r="L3489" t="n">
        <v>0</v>
      </c>
      <c r="M3489" t="n">
        <v>0</v>
      </c>
      <c r="N3489" t="n">
        <v>0</v>
      </c>
      <c r="O3489" t="n">
        <v>0</v>
      </c>
      <c r="P3489" t="n">
        <v>0</v>
      </c>
      <c r="Q3489" t="n">
        <v>0</v>
      </c>
      <c r="R3489" s="2" t="inlineStr"/>
    </row>
    <row r="3490" ht="15" customHeight="1">
      <c r="A3490" t="inlineStr">
        <is>
          <t>A 35624-2025</t>
        </is>
      </c>
      <c r="B3490" s="1" t="n">
        <v>45859</v>
      </c>
      <c r="C3490" s="1" t="n">
        <v>46114</v>
      </c>
      <c r="D3490" t="inlineStr">
        <is>
          <t>DALARNAS LÄN</t>
        </is>
      </c>
      <c r="E3490" t="inlineStr">
        <is>
          <t>MORA</t>
        </is>
      </c>
      <c r="F3490" t="inlineStr">
        <is>
          <t>Bergvik skog öst AB</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55589-2022</t>
        </is>
      </c>
      <c r="B3491" s="1" t="n">
        <v>44888.40673611111</v>
      </c>
      <c r="C3491" s="1" t="n">
        <v>46114</v>
      </c>
      <c r="D3491" t="inlineStr">
        <is>
          <t>DALARNAS LÄN</t>
        </is>
      </c>
      <c r="E3491" t="inlineStr">
        <is>
          <t>ÄLVDALEN</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41004-2023</t>
        </is>
      </c>
      <c r="B3492" s="1" t="n">
        <v>45173</v>
      </c>
      <c r="C3492" s="1" t="n">
        <v>46114</v>
      </c>
      <c r="D3492" t="inlineStr">
        <is>
          <t>DALARNAS LÄN</t>
        </is>
      </c>
      <c r="E3492" t="inlineStr">
        <is>
          <t>ÄLVDALEN</t>
        </is>
      </c>
      <c r="F3492" t="inlineStr">
        <is>
          <t>Bergvik skog väst AB</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29386-2024</t>
        </is>
      </c>
      <c r="B3493" s="1" t="n">
        <v>45483</v>
      </c>
      <c r="C3493" s="1" t="n">
        <v>46114</v>
      </c>
      <c r="D3493" t="inlineStr">
        <is>
          <t>DALARNAS LÄN</t>
        </is>
      </c>
      <c r="E3493" t="inlineStr">
        <is>
          <t>MALUNG-SÄLEN</t>
        </is>
      </c>
      <c r="G3493" t="n">
        <v>6.7</v>
      </c>
      <c r="H3493" t="n">
        <v>0</v>
      </c>
      <c r="I3493" t="n">
        <v>0</v>
      </c>
      <c r="J3493" t="n">
        <v>0</v>
      </c>
      <c r="K3493" t="n">
        <v>0</v>
      </c>
      <c r="L3493" t="n">
        <v>0</v>
      </c>
      <c r="M3493" t="n">
        <v>0</v>
      </c>
      <c r="N3493" t="n">
        <v>0</v>
      </c>
      <c r="O3493" t="n">
        <v>0</v>
      </c>
      <c r="P3493" t="n">
        <v>0</v>
      </c>
      <c r="Q3493" t="n">
        <v>0</v>
      </c>
      <c r="R3493" s="2" t="inlineStr"/>
    </row>
    <row r="3494" ht="15" customHeight="1">
      <c r="A3494" t="inlineStr">
        <is>
          <t>A 40127-2025</t>
        </is>
      </c>
      <c r="B3494" s="1" t="n">
        <v>45894.53300925926</v>
      </c>
      <c r="C3494" s="1" t="n">
        <v>46114</v>
      </c>
      <c r="D3494" t="inlineStr">
        <is>
          <t>DALARNAS LÄN</t>
        </is>
      </c>
      <c r="E3494" t="inlineStr">
        <is>
          <t>ORSA</t>
        </is>
      </c>
      <c r="F3494" t="inlineStr">
        <is>
          <t>Allmännings- och besparingsskogar</t>
        </is>
      </c>
      <c r="G3494" t="n">
        <v>17.4</v>
      </c>
      <c r="H3494" t="n">
        <v>0</v>
      </c>
      <c r="I3494" t="n">
        <v>0</v>
      </c>
      <c r="J3494" t="n">
        <v>0</v>
      </c>
      <c r="K3494" t="n">
        <v>0</v>
      </c>
      <c r="L3494" t="n">
        <v>0</v>
      </c>
      <c r="M3494" t="n">
        <v>0</v>
      </c>
      <c r="N3494" t="n">
        <v>0</v>
      </c>
      <c r="O3494" t="n">
        <v>0</v>
      </c>
      <c r="P3494" t="n">
        <v>0</v>
      </c>
      <c r="Q3494" t="n">
        <v>0</v>
      </c>
      <c r="R3494" s="2" t="inlineStr"/>
    </row>
    <row r="3495" ht="15" customHeight="1">
      <c r="A3495" t="inlineStr">
        <is>
          <t>A 12783-2024</t>
        </is>
      </c>
      <c r="B3495" s="1" t="n">
        <v>45384.60384259259</v>
      </c>
      <c r="C3495" s="1" t="n">
        <v>46114</v>
      </c>
      <c r="D3495" t="inlineStr">
        <is>
          <t>DALARNAS LÄN</t>
        </is>
      </c>
      <c r="E3495" t="inlineStr">
        <is>
          <t>BORLÄNGE</t>
        </is>
      </c>
      <c r="F3495" t="inlineStr">
        <is>
          <t>Övriga statliga verk och myndigheter</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3720-2023</t>
        </is>
      </c>
      <c r="B3496" s="1" t="n">
        <v>44951.36688657408</v>
      </c>
      <c r="C3496" s="1" t="n">
        <v>46114</v>
      </c>
      <c r="D3496" t="inlineStr">
        <is>
          <t>DALARNAS LÄN</t>
        </is>
      </c>
      <c r="E3496" t="inlineStr">
        <is>
          <t>ORSA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40140-2025</t>
        </is>
      </c>
      <c r="B3497" s="1" t="n">
        <v>45894.57016203704</v>
      </c>
      <c r="C3497" s="1" t="n">
        <v>46114</v>
      </c>
      <c r="D3497" t="inlineStr">
        <is>
          <t>DALARNAS LÄN</t>
        </is>
      </c>
      <c r="E3497" t="inlineStr">
        <is>
          <t>MORA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40155-2025</t>
        </is>
      </c>
      <c r="B3498" s="1" t="n">
        <v>45894.6009375</v>
      </c>
      <c r="C3498" s="1" t="n">
        <v>46114</v>
      </c>
      <c r="D3498" t="inlineStr">
        <is>
          <t>DALARNAS LÄN</t>
        </is>
      </c>
      <c r="E3498" t="inlineStr">
        <is>
          <t>MALUNG-SÄLEN</t>
        </is>
      </c>
      <c r="F3498" t="inlineStr">
        <is>
          <t>Bergvik skog väst AB</t>
        </is>
      </c>
      <c r="G3498" t="n">
        <v>1</v>
      </c>
      <c r="H3498" t="n">
        <v>0</v>
      </c>
      <c r="I3498" t="n">
        <v>0</v>
      </c>
      <c r="J3498" t="n">
        <v>0</v>
      </c>
      <c r="K3498" t="n">
        <v>0</v>
      </c>
      <c r="L3498" t="n">
        <v>0</v>
      </c>
      <c r="M3498" t="n">
        <v>0</v>
      </c>
      <c r="N3498" t="n">
        <v>0</v>
      </c>
      <c r="O3498" t="n">
        <v>0</v>
      </c>
      <c r="P3498" t="n">
        <v>0</v>
      </c>
      <c r="Q3498" t="n">
        <v>0</v>
      </c>
      <c r="R3498" s="2" t="inlineStr"/>
    </row>
    <row r="3499" ht="15" customHeight="1">
      <c r="A3499" t="inlineStr">
        <is>
          <t>A 36020-2025</t>
        </is>
      </c>
      <c r="B3499" s="1" t="n">
        <v>45863</v>
      </c>
      <c r="C3499" s="1" t="n">
        <v>46114</v>
      </c>
      <c r="D3499" t="inlineStr">
        <is>
          <t>DALARNAS LÄN</t>
        </is>
      </c>
      <c r="E3499" t="inlineStr">
        <is>
          <t>LEKSAND</t>
        </is>
      </c>
      <c r="F3499" t="inlineStr">
        <is>
          <t>Bergvik skog väst AB</t>
        </is>
      </c>
      <c r="G3499" t="n">
        <v>2.8</v>
      </c>
      <c r="H3499" t="n">
        <v>0</v>
      </c>
      <c r="I3499" t="n">
        <v>0</v>
      </c>
      <c r="J3499" t="n">
        <v>0</v>
      </c>
      <c r="K3499" t="n">
        <v>0</v>
      </c>
      <c r="L3499" t="n">
        <v>0</v>
      </c>
      <c r="M3499" t="n">
        <v>0</v>
      </c>
      <c r="N3499" t="n">
        <v>0</v>
      </c>
      <c r="O3499" t="n">
        <v>0</v>
      </c>
      <c r="P3499" t="n">
        <v>0</v>
      </c>
      <c r="Q3499" t="n">
        <v>0</v>
      </c>
      <c r="R3499" s="2" t="inlineStr"/>
    </row>
    <row r="3500" ht="15" customHeight="1">
      <c r="A3500" t="inlineStr">
        <is>
          <t>A 59307-2023</t>
        </is>
      </c>
      <c r="B3500" s="1" t="n">
        <v>45253.60089120371</v>
      </c>
      <c r="C3500" s="1" t="n">
        <v>46114</v>
      </c>
      <c r="D3500" t="inlineStr">
        <is>
          <t>DALARNAS LÄN</t>
        </is>
      </c>
      <c r="E3500" t="inlineStr">
        <is>
          <t>RÄTTVIK</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59351-2023</t>
        </is>
      </c>
      <c r="B3501" s="1" t="n">
        <v>45253.65673611111</v>
      </c>
      <c r="C3501" s="1" t="n">
        <v>46114</v>
      </c>
      <c r="D3501" t="inlineStr">
        <is>
          <t>DALARNAS LÄN</t>
        </is>
      </c>
      <c r="E3501" t="inlineStr">
        <is>
          <t>LUDVIKA</t>
        </is>
      </c>
      <c r="F3501" t="inlineStr">
        <is>
          <t>Bergvik skog väst AB</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60086-2021</t>
        </is>
      </c>
      <c r="B3502" s="1" t="n">
        <v>44494</v>
      </c>
      <c r="C3502" s="1" t="n">
        <v>46114</v>
      </c>
      <c r="D3502" t="inlineStr">
        <is>
          <t>DALARNAS LÄN</t>
        </is>
      </c>
      <c r="E3502" t="inlineStr">
        <is>
          <t>SMEDJEBACKEN</t>
        </is>
      </c>
      <c r="F3502" t="inlineStr">
        <is>
          <t>Bergvik skog väst AB</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33374-2024</t>
        </is>
      </c>
      <c r="B3503" s="1" t="n">
        <v>45519.43871527778</v>
      </c>
      <c r="C3503" s="1" t="n">
        <v>46114</v>
      </c>
      <c r="D3503" t="inlineStr">
        <is>
          <t>DALARNAS LÄN</t>
        </is>
      </c>
      <c r="E3503" t="inlineStr">
        <is>
          <t>SÄTER</t>
        </is>
      </c>
      <c r="F3503" t="inlineStr">
        <is>
          <t>Bergvik skog väst AB</t>
        </is>
      </c>
      <c r="G3503" t="n">
        <v>2</v>
      </c>
      <c r="H3503" t="n">
        <v>0</v>
      </c>
      <c r="I3503" t="n">
        <v>0</v>
      </c>
      <c r="J3503" t="n">
        <v>0</v>
      </c>
      <c r="K3503" t="n">
        <v>0</v>
      </c>
      <c r="L3503" t="n">
        <v>0</v>
      </c>
      <c r="M3503" t="n">
        <v>0</v>
      </c>
      <c r="N3503" t="n">
        <v>0</v>
      </c>
      <c r="O3503" t="n">
        <v>0</v>
      </c>
      <c r="P3503" t="n">
        <v>0</v>
      </c>
      <c r="Q3503" t="n">
        <v>0</v>
      </c>
      <c r="R3503" s="2" t="inlineStr"/>
    </row>
    <row r="3504" ht="15" customHeight="1">
      <c r="A3504" t="inlineStr">
        <is>
          <t>A 36004-2025</t>
        </is>
      </c>
      <c r="B3504" s="1" t="n">
        <v>45863.54708333333</v>
      </c>
      <c r="C3504" s="1" t="n">
        <v>46114</v>
      </c>
      <c r="D3504" t="inlineStr">
        <is>
          <t>DALARNAS LÄN</t>
        </is>
      </c>
      <c r="E3504" t="inlineStr">
        <is>
          <t>AVESTA</t>
        </is>
      </c>
      <c r="F3504" t="inlineStr">
        <is>
          <t>Sveaskog</t>
        </is>
      </c>
      <c r="G3504" t="n">
        <v>14.1</v>
      </c>
      <c r="H3504" t="n">
        <v>0</v>
      </c>
      <c r="I3504" t="n">
        <v>0</v>
      </c>
      <c r="J3504" t="n">
        <v>0</v>
      </c>
      <c r="K3504" t="n">
        <v>0</v>
      </c>
      <c r="L3504" t="n">
        <v>0</v>
      </c>
      <c r="M3504" t="n">
        <v>0</v>
      </c>
      <c r="N3504" t="n">
        <v>0</v>
      </c>
      <c r="O3504" t="n">
        <v>0</v>
      </c>
      <c r="P3504" t="n">
        <v>0</v>
      </c>
      <c r="Q3504" t="n">
        <v>0</v>
      </c>
      <c r="R3504" s="2" t="inlineStr"/>
    </row>
    <row r="3505" ht="15" customHeight="1">
      <c r="A3505" t="inlineStr">
        <is>
          <t>A 35933-2025</t>
        </is>
      </c>
      <c r="B3505" s="1" t="n">
        <v>45862.62653935186</v>
      </c>
      <c r="C3505" s="1" t="n">
        <v>46114</v>
      </c>
      <c r="D3505" t="inlineStr">
        <is>
          <t>DALARNAS LÄN</t>
        </is>
      </c>
      <c r="E3505" t="inlineStr">
        <is>
          <t>ORSA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35935-2025</t>
        </is>
      </c>
      <c r="B3506" s="1" t="n">
        <v>45862.6353125</v>
      </c>
      <c r="C3506" s="1" t="n">
        <v>46114</v>
      </c>
      <c r="D3506" t="inlineStr">
        <is>
          <t>DALARNAS LÄN</t>
        </is>
      </c>
      <c r="E3506" t="inlineStr">
        <is>
          <t>ORSA</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35993-2025</t>
        </is>
      </c>
      <c r="B3507" s="1" t="n">
        <v>45863.48056712963</v>
      </c>
      <c r="C3507" s="1" t="n">
        <v>46114</v>
      </c>
      <c r="D3507" t="inlineStr">
        <is>
          <t>DALARNAS LÄN</t>
        </is>
      </c>
      <c r="E3507" t="inlineStr">
        <is>
          <t>ÄLVDALEN</t>
        </is>
      </c>
      <c r="F3507" t="inlineStr">
        <is>
          <t>Bergvik skog öst AB</t>
        </is>
      </c>
      <c r="G3507" t="n">
        <v>6.1</v>
      </c>
      <c r="H3507" t="n">
        <v>0</v>
      </c>
      <c r="I3507" t="n">
        <v>0</v>
      </c>
      <c r="J3507" t="n">
        <v>0</v>
      </c>
      <c r="K3507" t="n">
        <v>0</v>
      </c>
      <c r="L3507" t="n">
        <v>0</v>
      </c>
      <c r="M3507" t="n">
        <v>0</v>
      </c>
      <c r="N3507" t="n">
        <v>0</v>
      </c>
      <c r="O3507" t="n">
        <v>0</v>
      </c>
      <c r="P3507" t="n">
        <v>0</v>
      </c>
      <c r="Q3507" t="n">
        <v>0</v>
      </c>
      <c r="R3507" s="2" t="inlineStr"/>
    </row>
    <row r="3508" ht="15" customHeight="1">
      <c r="A3508" t="inlineStr">
        <is>
          <t>A 40142-2025</t>
        </is>
      </c>
      <c r="B3508" s="1" t="n">
        <v>45894.57202546296</v>
      </c>
      <c r="C3508" s="1" t="n">
        <v>46114</v>
      </c>
      <c r="D3508" t="inlineStr">
        <is>
          <t>DALARNAS LÄN</t>
        </is>
      </c>
      <c r="E3508" t="inlineStr">
        <is>
          <t>MORA</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20835-2025</t>
        </is>
      </c>
      <c r="B3509" s="1" t="n">
        <v>45776</v>
      </c>
      <c r="C3509" s="1" t="n">
        <v>46114</v>
      </c>
      <c r="D3509" t="inlineStr">
        <is>
          <t>DALARNAS LÄN</t>
        </is>
      </c>
      <c r="E3509" t="inlineStr">
        <is>
          <t>AVESTA</t>
        </is>
      </c>
      <c r="G3509" t="n">
        <v>4.4</v>
      </c>
      <c r="H3509" t="n">
        <v>0</v>
      </c>
      <c r="I3509" t="n">
        <v>0</v>
      </c>
      <c r="J3509" t="n">
        <v>0</v>
      </c>
      <c r="K3509" t="n">
        <v>0</v>
      </c>
      <c r="L3509" t="n">
        <v>0</v>
      </c>
      <c r="M3509" t="n">
        <v>0</v>
      </c>
      <c r="N3509" t="n">
        <v>0</v>
      </c>
      <c r="O3509" t="n">
        <v>0</v>
      </c>
      <c r="P3509" t="n">
        <v>0</v>
      </c>
      <c r="Q3509" t="n">
        <v>0</v>
      </c>
      <c r="R3509" s="2" t="inlineStr"/>
    </row>
    <row r="3510" ht="15" customHeight="1">
      <c r="A3510" t="inlineStr">
        <is>
          <t>A 19688-2025</t>
        </is>
      </c>
      <c r="B3510" s="1" t="n">
        <v>45770.88217592592</v>
      </c>
      <c r="C3510" s="1" t="n">
        <v>46114</v>
      </c>
      <c r="D3510" t="inlineStr">
        <is>
          <t>DALARNAS LÄN</t>
        </is>
      </c>
      <c r="E3510" t="inlineStr">
        <is>
          <t>HEDEMORA</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62342-2023</t>
        </is>
      </c>
      <c r="B3511" s="1" t="n">
        <v>45267.9268287037</v>
      </c>
      <c r="C3511" s="1" t="n">
        <v>46114</v>
      </c>
      <c r="D3511" t="inlineStr">
        <is>
          <t>DALARNAS LÄN</t>
        </is>
      </c>
      <c r="E3511" t="inlineStr">
        <is>
          <t>ORSA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36017-2025</t>
        </is>
      </c>
      <c r="B3512" s="1" t="n">
        <v>45863</v>
      </c>
      <c r="C3512" s="1" t="n">
        <v>46114</v>
      </c>
      <c r="D3512" t="inlineStr">
        <is>
          <t>DALARNAS LÄN</t>
        </is>
      </c>
      <c r="E3512" t="inlineStr">
        <is>
          <t>LEKSAND</t>
        </is>
      </c>
      <c r="F3512" t="inlineStr">
        <is>
          <t>Bergvik skog väst AB</t>
        </is>
      </c>
      <c r="G3512" t="n">
        <v>17.9</v>
      </c>
      <c r="H3512" t="n">
        <v>0</v>
      </c>
      <c r="I3512" t="n">
        <v>0</v>
      </c>
      <c r="J3512" t="n">
        <v>0</v>
      </c>
      <c r="K3512" t="n">
        <v>0</v>
      </c>
      <c r="L3512" t="n">
        <v>0</v>
      </c>
      <c r="M3512" t="n">
        <v>0</v>
      </c>
      <c r="N3512" t="n">
        <v>0</v>
      </c>
      <c r="O3512" t="n">
        <v>0</v>
      </c>
      <c r="P3512" t="n">
        <v>0</v>
      </c>
      <c r="Q3512" t="n">
        <v>0</v>
      </c>
      <c r="R3512" s="2" t="inlineStr"/>
    </row>
    <row r="3513" ht="15" customHeight="1">
      <c r="A3513" t="inlineStr">
        <is>
          <t>A 36005-2025</t>
        </is>
      </c>
      <c r="B3513" s="1" t="n">
        <v>45863.54924768519</v>
      </c>
      <c r="C3513" s="1" t="n">
        <v>46114</v>
      </c>
      <c r="D3513" t="inlineStr">
        <is>
          <t>DALARNAS LÄN</t>
        </is>
      </c>
      <c r="E3513" t="inlineStr">
        <is>
          <t>AVESTA</t>
        </is>
      </c>
      <c r="F3513" t="inlineStr">
        <is>
          <t>Sveaskog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22812-2025</t>
        </is>
      </c>
      <c r="B3514" s="1" t="n">
        <v>45789.68395833333</v>
      </c>
      <c r="C3514" s="1" t="n">
        <v>46114</v>
      </c>
      <c r="D3514" t="inlineStr">
        <is>
          <t>DALARNAS LÄN</t>
        </is>
      </c>
      <c r="E3514" t="inlineStr">
        <is>
          <t>SMEDJEBACKEN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35900-2025</t>
        </is>
      </c>
      <c r="B3515" s="1" t="n">
        <v>45862.48969907407</v>
      </c>
      <c r="C3515" s="1" t="n">
        <v>46114</v>
      </c>
      <c r="D3515" t="inlineStr">
        <is>
          <t>DALARNAS LÄN</t>
        </is>
      </c>
      <c r="E3515" t="inlineStr">
        <is>
          <t>RÄTTVIK</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40250-2025</t>
        </is>
      </c>
      <c r="B3516" s="1" t="n">
        <v>45895.31238425926</v>
      </c>
      <c r="C3516" s="1" t="n">
        <v>46114</v>
      </c>
      <c r="D3516" t="inlineStr">
        <is>
          <t>DALARNAS LÄN</t>
        </is>
      </c>
      <c r="E3516" t="inlineStr">
        <is>
          <t>RÄTTVIK</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12218-2024</t>
        </is>
      </c>
      <c r="B3517" s="1" t="n">
        <v>45378.32930555556</v>
      </c>
      <c r="C3517" s="1" t="n">
        <v>46114</v>
      </c>
      <c r="D3517" t="inlineStr">
        <is>
          <t>DALARNAS LÄN</t>
        </is>
      </c>
      <c r="E3517" t="inlineStr">
        <is>
          <t>SMEDJEBACKEN</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19689-2025</t>
        </is>
      </c>
      <c r="B3518" s="1" t="n">
        <v>45770.88462962963</v>
      </c>
      <c r="C3518" s="1" t="n">
        <v>46114</v>
      </c>
      <c r="D3518" t="inlineStr">
        <is>
          <t>DALARNAS LÄN</t>
        </is>
      </c>
      <c r="E3518" t="inlineStr">
        <is>
          <t>HEDEMORA</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14876-2025</t>
        </is>
      </c>
      <c r="B3519" s="1" t="n">
        <v>45743.46100694445</v>
      </c>
      <c r="C3519" s="1" t="n">
        <v>46114</v>
      </c>
      <c r="D3519" t="inlineStr">
        <is>
          <t>DALARNAS LÄN</t>
        </is>
      </c>
      <c r="E3519" t="inlineStr">
        <is>
          <t>RÄTTVIK</t>
        </is>
      </c>
      <c r="F3519" t="inlineStr">
        <is>
          <t>Bergvik skog väst AB</t>
        </is>
      </c>
      <c r="G3519" t="n">
        <v>4.1</v>
      </c>
      <c r="H3519" t="n">
        <v>0</v>
      </c>
      <c r="I3519" t="n">
        <v>0</v>
      </c>
      <c r="J3519" t="n">
        <v>0</v>
      </c>
      <c r="K3519" t="n">
        <v>0</v>
      </c>
      <c r="L3519" t="n">
        <v>0</v>
      </c>
      <c r="M3519" t="n">
        <v>0</v>
      </c>
      <c r="N3519" t="n">
        <v>0</v>
      </c>
      <c r="O3519" t="n">
        <v>0</v>
      </c>
      <c r="P3519" t="n">
        <v>0</v>
      </c>
      <c r="Q3519" t="n">
        <v>0</v>
      </c>
      <c r="R3519" s="2" t="inlineStr"/>
    </row>
    <row r="3520" ht="15" customHeight="1">
      <c r="A3520" t="inlineStr">
        <is>
          <t>A 35890-2025</t>
        </is>
      </c>
      <c r="B3520" s="1" t="n">
        <v>45862.44722222222</v>
      </c>
      <c r="C3520" s="1" t="n">
        <v>46114</v>
      </c>
      <c r="D3520" t="inlineStr">
        <is>
          <t>DALARNAS LÄN</t>
        </is>
      </c>
      <c r="E3520" t="inlineStr">
        <is>
          <t>SMEDJEBACKEN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35940-2025</t>
        </is>
      </c>
      <c r="B3521" s="1" t="n">
        <v>45862.65081018519</v>
      </c>
      <c r="C3521" s="1" t="n">
        <v>46114</v>
      </c>
      <c r="D3521" t="inlineStr">
        <is>
          <t>DALARNAS LÄN</t>
        </is>
      </c>
      <c r="E3521" t="inlineStr">
        <is>
          <t>ORSA</t>
        </is>
      </c>
      <c r="G3521" t="n">
        <v>5.1</v>
      </c>
      <c r="H3521" t="n">
        <v>0</v>
      </c>
      <c r="I3521" t="n">
        <v>0</v>
      </c>
      <c r="J3521" t="n">
        <v>0</v>
      </c>
      <c r="K3521" t="n">
        <v>0</v>
      </c>
      <c r="L3521" t="n">
        <v>0</v>
      </c>
      <c r="M3521" t="n">
        <v>0</v>
      </c>
      <c r="N3521" t="n">
        <v>0</v>
      </c>
      <c r="O3521" t="n">
        <v>0</v>
      </c>
      <c r="P3521" t="n">
        <v>0</v>
      </c>
      <c r="Q3521" t="n">
        <v>0</v>
      </c>
      <c r="R3521" s="2" t="inlineStr"/>
    </row>
    <row r="3522" ht="15" customHeight="1">
      <c r="A3522" t="inlineStr">
        <is>
          <t>A 16830-2025</t>
        </is>
      </c>
      <c r="B3522" s="1" t="n">
        <v>45754.65806712963</v>
      </c>
      <c r="C3522" s="1" t="n">
        <v>46114</v>
      </c>
      <c r="D3522" t="inlineStr">
        <is>
          <t>DALARNAS LÄN</t>
        </is>
      </c>
      <c r="E3522" t="inlineStr">
        <is>
          <t>VANSBRO</t>
        </is>
      </c>
      <c r="G3522" t="n">
        <v>2.7</v>
      </c>
      <c r="H3522" t="n">
        <v>0</v>
      </c>
      <c r="I3522" t="n">
        <v>0</v>
      </c>
      <c r="J3522" t="n">
        <v>0</v>
      </c>
      <c r="K3522" t="n">
        <v>0</v>
      </c>
      <c r="L3522" t="n">
        <v>0</v>
      </c>
      <c r="M3522" t="n">
        <v>0</v>
      </c>
      <c r="N3522" t="n">
        <v>0</v>
      </c>
      <c r="O3522" t="n">
        <v>0</v>
      </c>
      <c r="P3522" t="n">
        <v>0</v>
      </c>
      <c r="Q3522" t="n">
        <v>0</v>
      </c>
      <c r="R3522" s="2" t="inlineStr"/>
    </row>
    <row r="3523" ht="15" customHeight="1">
      <c r="A3523" t="inlineStr">
        <is>
          <t>A 52040-2023</t>
        </is>
      </c>
      <c r="B3523" s="1" t="n">
        <v>45223.63353009259</v>
      </c>
      <c r="C3523" s="1" t="n">
        <v>46114</v>
      </c>
      <c r="D3523" t="inlineStr">
        <is>
          <t>DALARNAS LÄN</t>
        </is>
      </c>
      <c r="E3523" t="inlineStr">
        <is>
          <t>FALUN</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52044-2023</t>
        </is>
      </c>
      <c r="B3524" s="1" t="n">
        <v>45223.6365625</v>
      </c>
      <c r="C3524" s="1" t="n">
        <v>46114</v>
      </c>
      <c r="D3524" t="inlineStr">
        <is>
          <t>DALARNAS LÄN</t>
        </is>
      </c>
      <c r="E3524" t="inlineStr">
        <is>
          <t>ORSA</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52081-2023</t>
        </is>
      </c>
      <c r="B3525" s="1" t="n">
        <v>45223</v>
      </c>
      <c r="C3525" s="1" t="n">
        <v>46114</v>
      </c>
      <c r="D3525" t="inlineStr">
        <is>
          <t>DALARNAS LÄN</t>
        </is>
      </c>
      <c r="E3525" t="inlineStr">
        <is>
          <t>FALUN</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40404-2025</t>
        </is>
      </c>
      <c r="B3526" s="1" t="n">
        <v>45895</v>
      </c>
      <c r="C3526" s="1" t="n">
        <v>46114</v>
      </c>
      <c r="D3526" t="inlineStr">
        <is>
          <t>DALARNAS LÄN</t>
        </is>
      </c>
      <c r="E3526" t="inlineStr">
        <is>
          <t>MALUNG-SÄLEN</t>
        </is>
      </c>
      <c r="F3526" t="inlineStr">
        <is>
          <t>Bergvik skog öst AB</t>
        </is>
      </c>
      <c r="G3526" t="n">
        <v>8.300000000000001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24467-2025</t>
        </is>
      </c>
      <c r="B3527" s="1" t="n">
        <v>45798</v>
      </c>
      <c r="C3527" s="1" t="n">
        <v>46114</v>
      </c>
      <c r="D3527" t="inlineStr">
        <is>
          <t>DALARNAS LÄN</t>
        </is>
      </c>
      <c r="E3527" t="inlineStr">
        <is>
          <t>FALUN</t>
        </is>
      </c>
      <c r="G3527" t="n">
        <v>1.7</v>
      </c>
      <c r="H3527" t="n">
        <v>0</v>
      </c>
      <c r="I3527" t="n">
        <v>0</v>
      </c>
      <c r="J3527" t="n">
        <v>0</v>
      </c>
      <c r="K3527" t="n">
        <v>0</v>
      </c>
      <c r="L3527" t="n">
        <v>0</v>
      </c>
      <c r="M3527" t="n">
        <v>0</v>
      </c>
      <c r="N3527" t="n">
        <v>0</v>
      </c>
      <c r="O3527" t="n">
        <v>0</v>
      </c>
      <c r="P3527" t="n">
        <v>0</v>
      </c>
      <c r="Q3527" t="n">
        <v>0</v>
      </c>
      <c r="R3527" s="2" t="inlineStr"/>
    </row>
    <row r="3528" ht="15" customHeight="1">
      <c r="A3528" t="inlineStr">
        <is>
          <t>A 35939-2025</t>
        </is>
      </c>
      <c r="B3528" s="1" t="n">
        <v>45862.64581018518</v>
      </c>
      <c r="C3528" s="1" t="n">
        <v>46114</v>
      </c>
      <c r="D3528" t="inlineStr">
        <is>
          <t>DALARNAS LÄN</t>
        </is>
      </c>
      <c r="E3528" t="inlineStr">
        <is>
          <t>ORSA</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40091-2025</t>
        </is>
      </c>
      <c r="B3529" s="1" t="n">
        <v>45894.47822916666</v>
      </c>
      <c r="C3529" s="1" t="n">
        <v>46114</v>
      </c>
      <c r="D3529" t="inlineStr">
        <is>
          <t>DALARNAS LÄN</t>
        </is>
      </c>
      <c r="E3529" t="inlineStr">
        <is>
          <t>ORSA</t>
        </is>
      </c>
      <c r="F3529" t="inlineStr">
        <is>
          <t>Allmännings- och besparingsskogar</t>
        </is>
      </c>
      <c r="G3529" t="n">
        <v>20.4</v>
      </c>
      <c r="H3529" t="n">
        <v>0</v>
      </c>
      <c r="I3529" t="n">
        <v>0</v>
      </c>
      <c r="J3529" t="n">
        <v>0</v>
      </c>
      <c r="K3529" t="n">
        <v>0</v>
      </c>
      <c r="L3529" t="n">
        <v>0</v>
      </c>
      <c r="M3529" t="n">
        <v>0</v>
      </c>
      <c r="N3529" t="n">
        <v>0</v>
      </c>
      <c r="O3529" t="n">
        <v>0</v>
      </c>
      <c r="P3529" t="n">
        <v>0</v>
      </c>
      <c r="Q3529" t="n">
        <v>0</v>
      </c>
      <c r="R3529" s="2" t="inlineStr"/>
    </row>
    <row r="3530" ht="15" customHeight="1">
      <c r="A3530" t="inlineStr">
        <is>
          <t>A 2775-2023</t>
        </is>
      </c>
      <c r="B3530" s="1" t="n">
        <v>44944.65050925926</v>
      </c>
      <c r="C3530" s="1" t="n">
        <v>46114</v>
      </c>
      <c r="D3530" t="inlineStr">
        <is>
          <t>DALARNAS LÄN</t>
        </is>
      </c>
      <c r="E3530" t="inlineStr">
        <is>
          <t>RÄTTVIK</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40147-2025</t>
        </is>
      </c>
      <c r="B3531" s="1" t="n">
        <v>45894.57918981482</v>
      </c>
      <c r="C3531" s="1" t="n">
        <v>46114</v>
      </c>
      <c r="D3531" t="inlineStr">
        <is>
          <t>DALARNAS LÄN</t>
        </is>
      </c>
      <c r="E3531" t="inlineStr">
        <is>
          <t>MORA</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35958-2025</t>
        </is>
      </c>
      <c r="B3532" s="1" t="n">
        <v>45863</v>
      </c>
      <c r="C3532" s="1" t="n">
        <v>46114</v>
      </c>
      <c r="D3532" t="inlineStr">
        <is>
          <t>DALARNAS LÄN</t>
        </is>
      </c>
      <c r="E3532" t="inlineStr">
        <is>
          <t>LUDVIKA</t>
        </is>
      </c>
      <c r="F3532" t="inlineStr">
        <is>
          <t>Bergvik skog väst AB</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35962-2025</t>
        </is>
      </c>
      <c r="B3533" s="1" t="n">
        <v>45863</v>
      </c>
      <c r="C3533" s="1" t="n">
        <v>46114</v>
      </c>
      <c r="D3533" t="inlineStr">
        <is>
          <t>DALARNAS LÄN</t>
        </is>
      </c>
      <c r="E3533" t="inlineStr">
        <is>
          <t>LUDVIKA</t>
        </is>
      </c>
      <c r="F3533" t="inlineStr">
        <is>
          <t>Bergvik skog väst AB</t>
        </is>
      </c>
      <c r="G3533" t="n">
        <v>10.9</v>
      </c>
      <c r="H3533" t="n">
        <v>0</v>
      </c>
      <c r="I3533" t="n">
        <v>0</v>
      </c>
      <c r="J3533" t="n">
        <v>0</v>
      </c>
      <c r="K3533" t="n">
        <v>0</v>
      </c>
      <c r="L3533" t="n">
        <v>0</v>
      </c>
      <c r="M3533" t="n">
        <v>0</v>
      </c>
      <c r="N3533" t="n">
        <v>0</v>
      </c>
      <c r="O3533" t="n">
        <v>0</v>
      </c>
      <c r="P3533" t="n">
        <v>0</v>
      </c>
      <c r="Q3533" t="n">
        <v>0</v>
      </c>
      <c r="R3533" s="2" t="inlineStr"/>
    </row>
    <row r="3534" ht="15" customHeight="1">
      <c r="A3534" t="inlineStr">
        <is>
          <t>A 14641-2023</t>
        </is>
      </c>
      <c r="B3534" s="1" t="n">
        <v>45013</v>
      </c>
      <c r="C3534" s="1" t="n">
        <v>46114</v>
      </c>
      <c r="D3534" t="inlineStr">
        <is>
          <t>DALARNAS LÄN</t>
        </is>
      </c>
      <c r="E3534" t="inlineStr">
        <is>
          <t>MORA</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36003-2025</t>
        </is>
      </c>
      <c r="B3535" s="1" t="n">
        <v>45863.54394675926</v>
      </c>
      <c r="C3535" s="1" t="n">
        <v>46114</v>
      </c>
      <c r="D3535" t="inlineStr">
        <is>
          <t>DALARNAS LÄN</t>
        </is>
      </c>
      <c r="E3535" t="inlineStr">
        <is>
          <t>AVESTA</t>
        </is>
      </c>
      <c r="F3535" t="inlineStr">
        <is>
          <t>Sveaskog</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50714-2023</t>
        </is>
      </c>
      <c r="B3536" s="1" t="n">
        <v>45217.56513888889</v>
      </c>
      <c r="C3536" s="1" t="n">
        <v>46114</v>
      </c>
      <c r="D3536" t="inlineStr">
        <is>
          <t>DALARNAS LÄN</t>
        </is>
      </c>
      <c r="E3536" t="inlineStr">
        <is>
          <t>ORSA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40937-2025</t>
        </is>
      </c>
      <c r="B3537" s="1" t="n">
        <v>45897.65035879629</v>
      </c>
      <c r="C3537" s="1" t="n">
        <v>46114</v>
      </c>
      <c r="D3537" t="inlineStr">
        <is>
          <t>DALARNAS LÄN</t>
        </is>
      </c>
      <c r="E3537" t="inlineStr">
        <is>
          <t>FALUN</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40738-2025</t>
        </is>
      </c>
      <c r="B3538" s="1" t="n">
        <v>45897.36666666667</v>
      </c>
      <c r="C3538" s="1" t="n">
        <v>46114</v>
      </c>
      <c r="D3538" t="inlineStr">
        <is>
          <t>DALARNAS LÄN</t>
        </is>
      </c>
      <c r="E3538" t="inlineStr">
        <is>
          <t>GAGNEF</t>
        </is>
      </c>
      <c r="G3538" t="n">
        <v>2.8</v>
      </c>
      <c r="H3538" t="n">
        <v>0</v>
      </c>
      <c r="I3538" t="n">
        <v>0</v>
      </c>
      <c r="J3538" t="n">
        <v>0</v>
      </c>
      <c r="K3538" t="n">
        <v>0</v>
      </c>
      <c r="L3538" t="n">
        <v>0</v>
      </c>
      <c r="M3538" t="n">
        <v>0</v>
      </c>
      <c r="N3538" t="n">
        <v>0</v>
      </c>
      <c r="O3538" t="n">
        <v>0</v>
      </c>
      <c r="P3538" t="n">
        <v>0</v>
      </c>
      <c r="Q3538" t="n">
        <v>0</v>
      </c>
      <c r="R3538" s="2" t="inlineStr"/>
    </row>
    <row r="3539" ht="15" customHeight="1">
      <c r="A3539" t="inlineStr">
        <is>
          <t>A 56315-2022</t>
        </is>
      </c>
      <c r="B3539" s="1" t="n">
        <v>44890</v>
      </c>
      <c r="C3539" s="1" t="n">
        <v>46114</v>
      </c>
      <c r="D3539" t="inlineStr">
        <is>
          <t>DALARNAS LÄN</t>
        </is>
      </c>
      <c r="E3539" t="inlineStr">
        <is>
          <t>SMEDJEBACKEN</t>
        </is>
      </c>
      <c r="F3539" t="inlineStr">
        <is>
          <t>Kyrkan</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43671-2022</t>
        </is>
      </c>
      <c r="B3540" s="1" t="n">
        <v>44834</v>
      </c>
      <c r="C3540" s="1" t="n">
        <v>46114</v>
      </c>
      <c r="D3540" t="inlineStr">
        <is>
          <t>DALARNAS LÄN</t>
        </is>
      </c>
      <c r="E3540" t="inlineStr">
        <is>
          <t>RÄTTVIK</t>
        </is>
      </c>
      <c r="G3540" t="n">
        <v>1.5</v>
      </c>
      <c r="H3540" t="n">
        <v>0</v>
      </c>
      <c r="I3540" t="n">
        <v>0</v>
      </c>
      <c r="J3540" t="n">
        <v>0</v>
      </c>
      <c r="K3540" t="n">
        <v>0</v>
      </c>
      <c r="L3540" t="n">
        <v>0</v>
      </c>
      <c r="M3540" t="n">
        <v>0</v>
      </c>
      <c r="N3540" t="n">
        <v>0</v>
      </c>
      <c r="O3540" t="n">
        <v>0</v>
      </c>
      <c r="P3540" t="n">
        <v>0</v>
      </c>
      <c r="Q3540" t="n">
        <v>0</v>
      </c>
      <c r="R3540" s="2" t="inlineStr"/>
    </row>
    <row r="3541" ht="15" customHeight="1">
      <c r="A3541" t="inlineStr">
        <is>
          <t>A 30799-2021</t>
        </is>
      </c>
      <c r="B3541" s="1" t="n">
        <v>44365.51483796296</v>
      </c>
      <c r="C3541" s="1" t="n">
        <v>46114</v>
      </c>
      <c r="D3541" t="inlineStr">
        <is>
          <t>DALARNAS LÄN</t>
        </is>
      </c>
      <c r="E3541" t="inlineStr">
        <is>
          <t>ÄLVDALEN</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48683-2023</t>
        </is>
      </c>
      <c r="B3542" s="1" t="n">
        <v>45208.65275462963</v>
      </c>
      <c r="C3542" s="1" t="n">
        <v>46114</v>
      </c>
      <c r="D3542" t="inlineStr">
        <is>
          <t>DALARNAS LÄN</t>
        </is>
      </c>
      <c r="E3542" t="inlineStr">
        <is>
          <t>LUDVIKA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40577-2025</t>
        </is>
      </c>
      <c r="B3543" s="1" t="n">
        <v>45896.51028935185</v>
      </c>
      <c r="C3543" s="1" t="n">
        <v>46114</v>
      </c>
      <c r="D3543" t="inlineStr">
        <is>
          <t>DALARNAS LÄN</t>
        </is>
      </c>
      <c r="E3543" t="inlineStr">
        <is>
          <t>ORSA</t>
        </is>
      </c>
      <c r="F3543" t="inlineStr">
        <is>
          <t>Allmännings- och besparingsskogar</t>
        </is>
      </c>
      <c r="G3543" t="n">
        <v>13.8</v>
      </c>
      <c r="H3543" t="n">
        <v>0</v>
      </c>
      <c r="I3543" t="n">
        <v>0</v>
      </c>
      <c r="J3543" t="n">
        <v>0</v>
      </c>
      <c r="K3543" t="n">
        <v>0</v>
      </c>
      <c r="L3543" t="n">
        <v>0</v>
      </c>
      <c r="M3543" t="n">
        <v>0</v>
      </c>
      <c r="N3543" t="n">
        <v>0</v>
      </c>
      <c r="O3543" t="n">
        <v>0</v>
      </c>
      <c r="P3543" t="n">
        <v>0</v>
      </c>
      <c r="Q3543" t="n">
        <v>0</v>
      </c>
      <c r="R3543" s="2" t="inlineStr"/>
    </row>
    <row r="3544" ht="15" customHeight="1">
      <c r="A3544" t="inlineStr">
        <is>
          <t>A 24181-2023</t>
        </is>
      </c>
      <c r="B3544" s="1" t="n">
        <v>45079</v>
      </c>
      <c r="C3544" s="1" t="n">
        <v>46114</v>
      </c>
      <c r="D3544" t="inlineStr">
        <is>
          <t>DALARNAS LÄN</t>
        </is>
      </c>
      <c r="E3544" t="inlineStr">
        <is>
          <t>BORLÄNGE</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24123-2025</t>
        </is>
      </c>
      <c r="B3545" s="1" t="n">
        <v>45796</v>
      </c>
      <c r="C3545" s="1" t="n">
        <v>46114</v>
      </c>
      <c r="D3545" t="inlineStr">
        <is>
          <t>DALARNAS LÄN</t>
        </is>
      </c>
      <c r="E3545" t="inlineStr">
        <is>
          <t>AVESTA</t>
        </is>
      </c>
      <c r="G3545" t="n">
        <v>5.6</v>
      </c>
      <c r="H3545" t="n">
        <v>0</v>
      </c>
      <c r="I3545" t="n">
        <v>0</v>
      </c>
      <c r="J3545" t="n">
        <v>0</v>
      </c>
      <c r="K3545" t="n">
        <v>0</v>
      </c>
      <c r="L3545" t="n">
        <v>0</v>
      </c>
      <c r="M3545" t="n">
        <v>0</v>
      </c>
      <c r="N3545" t="n">
        <v>0</v>
      </c>
      <c r="O3545" t="n">
        <v>0</v>
      </c>
      <c r="P3545" t="n">
        <v>0</v>
      </c>
      <c r="Q3545" t="n">
        <v>0</v>
      </c>
      <c r="R3545" s="2" t="inlineStr"/>
    </row>
    <row r="3546" ht="15" customHeight="1">
      <c r="A3546" t="inlineStr">
        <is>
          <t>A 18481-2024</t>
        </is>
      </c>
      <c r="B3546" s="1" t="n">
        <v>45425.52193287037</v>
      </c>
      <c r="C3546" s="1" t="n">
        <v>46114</v>
      </c>
      <c r="D3546" t="inlineStr">
        <is>
          <t>DALARNAS LÄN</t>
        </is>
      </c>
      <c r="E3546" t="inlineStr">
        <is>
          <t>LEKSAND</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35876-2025</t>
        </is>
      </c>
      <c r="B3547" s="1" t="n">
        <v>45862</v>
      </c>
      <c r="C3547" s="1" t="n">
        <v>46114</v>
      </c>
      <c r="D3547" t="inlineStr">
        <is>
          <t>DALARNAS LÄN</t>
        </is>
      </c>
      <c r="E3547" t="inlineStr">
        <is>
          <t>LUDVIKA</t>
        </is>
      </c>
      <c r="F3547" t="inlineStr">
        <is>
          <t>Bergvik skog väst AB</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35918-2025</t>
        </is>
      </c>
      <c r="B3548" s="1" t="n">
        <v>45862.56081018518</v>
      </c>
      <c r="C3548" s="1" t="n">
        <v>46114</v>
      </c>
      <c r="D3548" t="inlineStr">
        <is>
          <t>DALARNAS LÄN</t>
        </is>
      </c>
      <c r="E3548" t="inlineStr">
        <is>
          <t>RÄTTVIK</t>
        </is>
      </c>
      <c r="G3548" t="n">
        <v>2.6</v>
      </c>
      <c r="H3548" t="n">
        <v>0</v>
      </c>
      <c r="I3548" t="n">
        <v>0</v>
      </c>
      <c r="J3548" t="n">
        <v>0</v>
      </c>
      <c r="K3548" t="n">
        <v>0</v>
      </c>
      <c r="L3548" t="n">
        <v>0</v>
      </c>
      <c r="M3548" t="n">
        <v>0</v>
      </c>
      <c r="N3548" t="n">
        <v>0</v>
      </c>
      <c r="O3548" t="n">
        <v>0</v>
      </c>
      <c r="P3548" t="n">
        <v>0</v>
      </c>
      <c r="Q3548" t="n">
        <v>0</v>
      </c>
      <c r="R3548" s="2" t="inlineStr"/>
    </row>
    <row r="3549" ht="15" customHeight="1">
      <c r="A3549" t="inlineStr">
        <is>
          <t>A 40827-2025</t>
        </is>
      </c>
      <c r="B3549" s="1" t="n">
        <v>45897.50523148148</v>
      </c>
      <c r="C3549" s="1" t="n">
        <v>46114</v>
      </c>
      <c r="D3549" t="inlineStr">
        <is>
          <t>DALARNAS LÄN</t>
        </is>
      </c>
      <c r="E3549" t="inlineStr">
        <is>
          <t>SMEDJEBACKEN</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33384-2022</t>
        </is>
      </c>
      <c r="B3550" s="1" t="n">
        <v>44788</v>
      </c>
      <c r="C3550" s="1" t="n">
        <v>46114</v>
      </c>
      <c r="D3550" t="inlineStr">
        <is>
          <t>DALARNAS LÄN</t>
        </is>
      </c>
      <c r="E3550" t="inlineStr">
        <is>
          <t>ORSA</t>
        </is>
      </c>
      <c r="F3550" t="inlineStr">
        <is>
          <t>Bergvik skog öst AB</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35957-2025</t>
        </is>
      </c>
      <c r="B3551" s="1" t="n">
        <v>45863</v>
      </c>
      <c r="C3551" s="1" t="n">
        <v>46114</v>
      </c>
      <c r="D3551" t="inlineStr">
        <is>
          <t>DALARNAS LÄN</t>
        </is>
      </c>
      <c r="E3551" t="inlineStr">
        <is>
          <t>LUDVIKA</t>
        </is>
      </c>
      <c r="F3551" t="inlineStr">
        <is>
          <t>Bergvik skog väst AB</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40904-2025</t>
        </is>
      </c>
      <c r="B3552" s="1" t="n">
        <v>45897.61613425926</v>
      </c>
      <c r="C3552" s="1" t="n">
        <v>46114</v>
      </c>
      <c r="D3552" t="inlineStr">
        <is>
          <t>DALARNAS LÄN</t>
        </is>
      </c>
      <c r="E3552" t="inlineStr">
        <is>
          <t>SMEDJEBACKEN</t>
        </is>
      </c>
      <c r="F3552" t="inlineStr">
        <is>
          <t>Sveaskog</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35998-2025</t>
        </is>
      </c>
      <c r="B3553" s="1" t="n">
        <v>45863.51550925926</v>
      </c>
      <c r="C3553" s="1" t="n">
        <v>46114</v>
      </c>
      <c r="D3553" t="inlineStr">
        <is>
          <t>DALARNAS LÄN</t>
        </is>
      </c>
      <c r="E3553" t="inlineStr">
        <is>
          <t>LEKSAND</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36021-2025</t>
        </is>
      </c>
      <c r="B3554" s="1" t="n">
        <v>45863.72346064815</v>
      </c>
      <c r="C3554" s="1" t="n">
        <v>46114</v>
      </c>
      <c r="D3554" t="inlineStr">
        <is>
          <t>DALARNAS LÄN</t>
        </is>
      </c>
      <c r="E3554" t="inlineStr">
        <is>
          <t>LEKSAND</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1046-2025</t>
        </is>
      </c>
      <c r="B3555" s="1" t="n">
        <v>45666.55527777778</v>
      </c>
      <c r="C3555" s="1" t="n">
        <v>46114</v>
      </c>
      <c r="D3555" t="inlineStr">
        <is>
          <t>DALARNAS LÄN</t>
        </is>
      </c>
      <c r="E3555" t="inlineStr">
        <is>
          <t>RÄTTVIK</t>
        </is>
      </c>
      <c r="G3555" t="n">
        <v>4.2</v>
      </c>
      <c r="H3555" t="n">
        <v>0</v>
      </c>
      <c r="I3555" t="n">
        <v>0</v>
      </c>
      <c r="J3555" t="n">
        <v>0</v>
      </c>
      <c r="K3555" t="n">
        <v>0</v>
      </c>
      <c r="L3555" t="n">
        <v>0</v>
      </c>
      <c r="M3555" t="n">
        <v>0</v>
      </c>
      <c r="N3555" t="n">
        <v>0</v>
      </c>
      <c r="O3555" t="n">
        <v>0</v>
      </c>
      <c r="P3555" t="n">
        <v>0</v>
      </c>
      <c r="Q3555" t="n">
        <v>0</v>
      </c>
      <c r="R3555" s="2" t="inlineStr"/>
    </row>
    <row r="3556" ht="15" customHeight="1">
      <c r="A3556" t="inlineStr">
        <is>
          <t>A 7916-2024</t>
        </is>
      </c>
      <c r="B3556" s="1" t="n">
        <v>45350.46259259259</v>
      </c>
      <c r="C3556" s="1" t="n">
        <v>46114</v>
      </c>
      <c r="D3556" t="inlineStr">
        <is>
          <t>DALARNAS LÄN</t>
        </is>
      </c>
      <c r="E3556" t="inlineStr">
        <is>
          <t>HEDEMORA</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31010-2025</t>
        </is>
      </c>
      <c r="B3557" s="1" t="n">
        <v>45832</v>
      </c>
      <c r="C3557" s="1" t="n">
        <v>46114</v>
      </c>
      <c r="D3557" t="inlineStr">
        <is>
          <t>DALARNAS LÄN</t>
        </is>
      </c>
      <c r="E3557" t="inlineStr">
        <is>
          <t>LUDVIKA</t>
        </is>
      </c>
      <c r="F3557" t="inlineStr">
        <is>
          <t>Bergvik skog väst AB</t>
        </is>
      </c>
      <c r="G3557" t="n">
        <v>5.6</v>
      </c>
      <c r="H3557" t="n">
        <v>0</v>
      </c>
      <c r="I3557" t="n">
        <v>0</v>
      </c>
      <c r="J3557" t="n">
        <v>0</v>
      </c>
      <c r="K3557" t="n">
        <v>0</v>
      </c>
      <c r="L3557" t="n">
        <v>0</v>
      </c>
      <c r="M3557" t="n">
        <v>0</v>
      </c>
      <c r="N3557" t="n">
        <v>0</v>
      </c>
      <c r="O3557" t="n">
        <v>0</v>
      </c>
      <c r="P3557" t="n">
        <v>0</v>
      </c>
      <c r="Q3557" t="n">
        <v>0</v>
      </c>
      <c r="R3557" s="2" t="inlineStr"/>
    </row>
    <row r="3558" ht="15" customHeight="1">
      <c r="A3558" t="inlineStr">
        <is>
          <t>A 8046-2024</t>
        </is>
      </c>
      <c r="B3558" s="1" t="n">
        <v>45351.31555555556</v>
      </c>
      <c r="C3558" s="1" t="n">
        <v>46114</v>
      </c>
      <c r="D3558" t="inlineStr">
        <is>
          <t>DALARNAS LÄN</t>
        </is>
      </c>
      <c r="E3558" t="inlineStr">
        <is>
          <t>LEKSAND</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3423-2024</t>
        </is>
      </c>
      <c r="B3559" s="1" t="n">
        <v>45319.83835648148</v>
      </c>
      <c r="C3559" s="1" t="n">
        <v>46114</v>
      </c>
      <c r="D3559" t="inlineStr">
        <is>
          <t>DALARNAS LÄN</t>
        </is>
      </c>
      <c r="E3559" t="inlineStr">
        <is>
          <t>SMEDJEBACKEN</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31057-2025</t>
        </is>
      </c>
      <c r="B3560" s="1" t="n">
        <v>45832</v>
      </c>
      <c r="C3560" s="1" t="n">
        <v>46114</v>
      </c>
      <c r="D3560" t="inlineStr">
        <is>
          <t>DALARNAS LÄN</t>
        </is>
      </c>
      <c r="E3560" t="inlineStr">
        <is>
          <t>LUDVIKA</t>
        </is>
      </c>
      <c r="F3560" t="inlineStr">
        <is>
          <t>Bergvik skog väst AB</t>
        </is>
      </c>
      <c r="G3560" t="n">
        <v>6.2</v>
      </c>
      <c r="H3560" t="n">
        <v>0</v>
      </c>
      <c r="I3560" t="n">
        <v>0</v>
      </c>
      <c r="J3560" t="n">
        <v>0</v>
      </c>
      <c r="K3560" t="n">
        <v>0</v>
      </c>
      <c r="L3560" t="n">
        <v>0</v>
      </c>
      <c r="M3560" t="n">
        <v>0</v>
      </c>
      <c r="N3560" t="n">
        <v>0</v>
      </c>
      <c r="O3560" t="n">
        <v>0</v>
      </c>
      <c r="P3560" t="n">
        <v>0</v>
      </c>
      <c r="Q3560" t="n">
        <v>0</v>
      </c>
      <c r="R3560" s="2" t="inlineStr"/>
    </row>
    <row r="3561" ht="15" customHeight="1">
      <c r="A3561" t="inlineStr">
        <is>
          <t>A 1050-2025</t>
        </is>
      </c>
      <c r="B3561" s="1" t="n">
        <v>45666.56121527778</v>
      </c>
      <c r="C3561" s="1" t="n">
        <v>46114</v>
      </c>
      <c r="D3561" t="inlineStr">
        <is>
          <t>DALARNAS LÄN</t>
        </is>
      </c>
      <c r="E3561" t="inlineStr">
        <is>
          <t>VANSBRO</t>
        </is>
      </c>
      <c r="F3561" t="inlineStr">
        <is>
          <t>Övriga statliga verk och myndigheter</t>
        </is>
      </c>
      <c r="G3561" t="n">
        <v>4.4</v>
      </c>
      <c r="H3561" t="n">
        <v>0</v>
      </c>
      <c r="I3561" t="n">
        <v>0</v>
      </c>
      <c r="J3561" t="n">
        <v>0</v>
      </c>
      <c r="K3561" t="n">
        <v>0</v>
      </c>
      <c r="L3561" t="n">
        <v>0</v>
      </c>
      <c r="M3561" t="n">
        <v>0</v>
      </c>
      <c r="N3561" t="n">
        <v>0</v>
      </c>
      <c r="O3561" t="n">
        <v>0</v>
      </c>
      <c r="P3561" t="n">
        <v>0</v>
      </c>
      <c r="Q3561" t="n">
        <v>0</v>
      </c>
      <c r="R3561" s="2" t="inlineStr"/>
    </row>
    <row r="3562" ht="15" customHeight="1">
      <c r="A3562" t="inlineStr">
        <is>
          <t>A 36261-2025</t>
        </is>
      </c>
      <c r="B3562" s="1" t="n">
        <v>45867.61236111111</v>
      </c>
      <c r="C3562" s="1" t="n">
        <v>46114</v>
      </c>
      <c r="D3562" t="inlineStr">
        <is>
          <t>DALARNAS LÄN</t>
        </is>
      </c>
      <c r="E3562" t="inlineStr">
        <is>
          <t>MALUNG-SÄLEN</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40954-2025</t>
        </is>
      </c>
      <c r="B3563" s="1" t="n">
        <v>45897.67196759259</v>
      </c>
      <c r="C3563" s="1" t="n">
        <v>46114</v>
      </c>
      <c r="D3563" t="inlineStr">
        <is>
          <t>DALARNAS LÄN</t>
        </is>
      </c>
      <c r="E3563" t="inlineStr">
        <is>
          <t>ÄLVDALEN</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40750-2025</t>
        </is>
      </c>
      <c r="B3564" s="1" t="n">
        <v>45897.3830787037</v>
      </c>
      <c r="C3564" s="1" t="n">
        <v>46114</v>
      </c>
      <c r="D3564" t="inlineStr">
        <is>
          <t>DALARNAS LÄN</t>
        </is>
      </c>
      <c r="E3564" t="inlineStr">
        <is>
          <t>AVESTA</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19015-2024</t>
        </is>
      </c>
      <c r="B3565" s="1" t="n">
        <v>45427.65140046296</v>
      </c>
      <c r="C3565" s="1" t="n">
        <v>46114</v>
      </c>
      <c r="D3565" t="inlineStr">
        <is>
          <t>DALARNAS LÄN</t>
        </is>
      </c>
      <c r="E3565" t="inlineStr">
        <is>
          <t>FALUN</t>
        </is>
      </c>
      <c r="F3565" t="inlineStr">
        <is>
          <t>Bergvik skog väst AB</t>
        </is>
      </c>
      <c r="G3565" t="n">
        <v>13.8</v>
      </c>
      <c r="H3565" t="n">
        <v>0</v>
      </c>
      <c r="I3565" t="n">
        <v>0</v>
      </c>
      <c r="J3565" t="n">
        <v>0</v>
      </c>
      <c r="K3565" t="n">
        <v>0</v>
      </c>
      <c r="L3565" t="n">
        <v>0</v>
      </c>
      <c r="M3565" t="n">
        <v>0</v>
      </c>
      <c r="N3565" t="n">
        <v>0</v>
      </c>
      <c r="O3565" t="n">
        <v>0</v>
      </c>
      <c r="P3565" t="n">
        <v>0</v>
      </c>
      <c r="Q3565" t="n">
        <v>0</v>
      </c>
      <c r="R3565" s="2" t="inlineStr"/>
    </row>
    <row r="3566" ht="15" customHeight="1">
      <c r="A3566" t="inlineStr">
        <is>
          <t>A 40579-2025</t>
        </is>
      </c>
      <c r="B3566" s="1" t="n">
        <v>45896.51166666667</v>
      </c>
      <c r="C3566" s="1" t="n">
        <v>46114</v>
      </c>
      <c r="D3566" t="inlineStr">
        <is>
          <t>DALARNAS LÄN</t>
        </is>
      </c>
      <c r="E3566" t="inlineStr">
        <is>
          <t>FALUN</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36218-2025</t>
        </is>
      </c>
      <c r="B3567" s="1" t="n">
        <v>45867.49938657408</v>
      </c>
      <c r="C3567" s="1" t="n">
        <v>46114</v>
      </c>
      <c r="D3567" t="inlineStr">
        <is>
          <t>DALARNAS LÄN</t>
        </is>
      </c>
      <c r="E3567" t="inlineStr">
        <is>
          <t>MALUNG-SÄLEN</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36257-2025</t>
        </is>
      </c>
      <c r="B3568" s="1" t="n">
        <v>45867.591875</v>
      </c>
      <c r="C3568" s="1" t="n">
        <v>46114</v>
      </c>
      <c r="D3568" t="inlineStr">
        <is>
          <t>DALARNAS LÄN</t>
        </is>
      </c>
      <c r="E3568" t="inlineStr">
        <is>
          <t>ÄLVDALEN</t>
        </is>
      </c>
      <c r="F3568" t="inlineStr">
        <is>
          <t>Allmännings- och besparingsskogar</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7827-2024</t>
        </is>
      </c>
      <c r="B3569" s="1" t="n">
        <v>45349.7467824074</v>
      </c>
      <c r="C3569" s="1" t="n">
        <v>46114</v>
      </c>
      <c r="D3569" t="inlineStr">
        <is>
          <t>DALARNAS LÄN</t>
        </is>
      </c>
      <c r="E3569" t="inlineStr">
        <is>
          <t>LEKSAND</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40585-2025</t>
        </is>
      </c>
      <c r="B3570" s="1" t="n">
        <v>45896.52034722222</v>
      </c>
      <c r="C3570" s="1" t="n">
        <v>46114</v>
      </c>
      <c r="D3570" t="inlineStr">
        <is>
          <t>DALARNAS LÄN</t>
        </is>
      </c>
      <c r="E3570" t="inlineStr">
        <is>
          <t>FALUN</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27556-2025</t>
        </is>
      </c>
      <c r="B3571" s="1" t="n">
        <v>45813</v>
      </c>
      <c r="C3571" s="1" t="n">
        <v>46114</v>
      </c>
      <c r="D3571" t="inlineStr">
        <is>
          <t>DALARNAS LÄN</t>
        </is>
      </c>
      <c r="E3571" t="inlineStr">
        <is>
          <t>VANSBRO</t>
        </is>
      </c>
      <c r="G3571" t="n">
        <v>4.2</v>
      </c>
      <c r="H3571" t="n">
        <v>0</v>
      </c>
      <c r="I3571" t="n">
        <v>0</v>
      </c>
      <c r="J3571" t="n">
        <v>0</v>
      </c>
      <c r="K3571" t="n">
        <v>0</v>
      </c>
      <c r="L3571" t="n">
        <v>0</v>
      </c>
      <c r="M3571" t="n">
        <v>0</v>
      </c>
      <c r="N3571" t="n">
        <v>0</v>
      </c>
      <c r="O3571" t="n">
        <v>0</v>
      </c>
      <c r="P3571" t="n">
        <v>0</v>
      </c>
      <c r="Q3571" t="n">
        <v>0</v>
      </c>
      <c r="R3571" s="2" t="inlineStr"/>
    </row>
    <row r="3572" ht="15" customHeight="1">
      <c r="A3572" t="inlineStr">
        <is>
          <t>A 40660-2025</t>
        </is>
      </c>
      <c r="B3572" s="1" t="n">
        <v>45896.64631944444</v>
      </c>
      <c r="C3572" s="1" t="n">
        <v>46114</v>
      </c>
      <c r="D3572" t="inlineStr">
        <is>
          <t>DALARNAS LÄN</t>
        </is>
      </c>
      <c r="E3572" t="inlineStr">
        <is>
          <t>MORA</t>
        </is>
      </c>
      <c r="F3572" t="inlineStr">
        <is>
          <t>Bergvik skog väst AB</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36132-2025</t>
        </is>
      </c>
      <c r="B3573" s="1" t="n">
        <v>45866</v>
      </c>
      <c r="C3573" s="1" t="n">
        <v>46114</v>
      </c>
      <c r="D3573" t="inlineStr">
        <is>
          <t>DALARNAS LÄN</t>
        </is>
      </c>
      <c r="E3573" t="inlineStr">
        <is>
          <t>AVESTA</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40710-2025</t>
        </is>
      </c>
      <c r="B3574" s="1" t="n">
        <v>45897.3397800926</v>
      </c>
      <c r="C3574" s="1" t="n">
        <v>46114</v>
      </c>
      <c r="D3574" t="inlineStr">
        <is>
          <t>DALARNAS LÄN</t>
        </is>
      </c>
      <c r="E3574" t="inlineStr">
        <is>
          <t>AVESTA</t>
        </is>
      </c>
      <c r="G3574" t="n">
        <v>4.5</v>
      </c>
      <c r="H3574" t="n">
        <v>0</v>
      </c>
      <c r="I3574" t="n">
        <v>0</v>
      </c>
      <c r="J3574" t="n">
        <v>0</v>
      </c>
      <c r="K3574" t="n">
        <v>0</v>
      </c>
      <c r="L3574" t="n">
        <v>0</v>
      </c>
      <c r="M3574" t="n">
        <v>0</v>
      </c>
      <c r="N3574" t="n">
        <v>0</v>
      </c>
      <c r="O3574" t="n">
        <v>0</v>
      </c>
      <c r="P3574" t="n">
        <v>0</v>
      </c>
      <c r="Q3574" t="n">
        <v>0</v>
      </c>
      <c r="R3574" s="2" t="inlineStr"/>
    </row>
    <row r="3575" ht="15" customHeight="1">
      <c r="A3575" t="inlineStr">
        <is>
          <t>A 32332-2024</t>
        </is>
      </c>
      <c r="B3575" s="1" t="n">
        <v>45512.48011574074</v>
      </c>
      <c r="C3575" s="1" t="n">
        <v>46114</v>
      </c>
      <c r="D3575" t="inlineStr">
        <is>
          <t>DALARNAS LÄN</t>
        </is>
      </c>
      <c r="E3575" t="inlineStr">
        <is>
          <t>LUDVIKA</t>
        </is>
      </c>
      <c r="F3575" t="inlineStr">
        <is>
          <t>Bergvik skog väst AB</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31050-2025</t>
        </is>
      </c>
      <c r="B3576" s="1" t="n">
        <v>45832</v>
      </c>
      <c r="C3576" s="1" t="n">
        <v>46114</v>
      </c>
      <c r="D3576" t="inlineStr">
        <is>
          <t>DALARNAS LÄN</t>
        </is>
      </c>
      <c r="E3576" t="inlineStr">
        <is>
          <t>LUDVIKA</t>
        </is>
      </c>
      <c r="F3576" t="inlineStr">
        <is>
          <t>Bergvik skog väst AB</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22739-2022</t>
        </is>
      </c>
      <c r="B3577" s="1" t="n">
        <v>44714</v>
      </c>
      <c r="C3577" s="1" t="n">
        <v>46114</v>
      </c>
      <c r="D3577" t="inlineStr">
        <is>
          <t>DALARNAS LÄN</t>
        </is>
      </c>
      <c r="E3577" t="inlineStr">
        <is>
          <t>FALUN</t>
        </is>
      </c>
      <c r="F3577" t="inlineStr">
        <is>
          <t>Kyrkan</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33001-2025</t>
        </is>
      </c>
      <c r="B3578" s="1" t="n">
        <v>45840</v>
      </c>
      <c r="C3578" s="1" t="n">
        <v>46114</v>
      </c>
      <c r="D3578" t="inlineStr">
        <is>
          <t>DALARNAS LÄN</t>
        </is>
      </c>
      <c r="E3578" t="inlineStr">
        <is>
          <t>LUDVIKA</t>
        </is>
      </c>
      <c r="F3578" t="inlineStr">
        <is>
          <t>Bergvik skog väst AB</t>
        </is>
      </c>
      <c r="G3578" t="n">
        <v>4.1</v>
      </c>
      <c r="H3578" t="n">
        <v>0</v>
      </c>
      <c r="I3578" t="n">
        <v>0</v>
      </c>
      <c r="J3578" t="n">
        <v>0</v>
      </c>
      <c r="K3578" t="n">
        <v>0</v>
      </c>
      <c r="L3578" t="n">
        <v>0</v>
      </c>
      <c r="M3578" t="n">
        <v>0</v>
      </c>
      <c r="N3578" t="n">
        <v>0</v>
      </c>
      <c r="O3578" t="n">
        <v>0</v>
      </c>
      <c r="P3578" t="n">
        <v>0</v>
      </c>
      <c r="Q3578" t="n">
        <v>0</v>
      </c>
      <c r="R3578" s="2" t="inlineStr"/>
    </row>
    <row r="3579" ht="15" customHeight="1">
      <c r="A3579" t="inlineStr">
        <is>
          <t>A 33122-2025</t>
        </is>
      </c>
      <c r="B3579" s="1" t="n">
        <v>45840</v>
      </c>
      <c r="C3579" s="1" t="n">
        <v>46114</v>
      </c>
      <c r="D3579" t="inlineStr">
        <is>
          <t>DALARNAS LÄN</t>
        </is>
      </c>
      <c r="E3579" t="inlineStr">
        <is>
          <t>LUDVIKA</t>
        </is>
      </c>
      <c r="F3579" t="inlineStr">
        <is>
          <t>Bergvik skog väst AB</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40755-2025</t>
        </is>
      </c>
      <c r="B3580" s="1" t="n">
        <v>45897.38670138889</v>
      </c>
      <c r="C3580" s="1" t="n">
        <v>46114</v>
      </c>
      <c r="D3580" t="inlineStr">
        <is>
          <t>DALARNAS LÄN</t>
        </is>
      </c>
      <c r="E3580" t="inlineStr">
        <is>
          <t>AVESTA</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57408-2024</t>
        </is>
      </c>
      <c r="B3581" s="1" t="n">
        <v>45629</v>
      </c>
      <c r="C3581" s="1" t="n">
        <v>46114</v>
      </c>
      <c r="D3581" t="inlineStr">
        <is>
          <t>DALARNAS LÄN</t>
        </is>
      </c>
      <c r="E3581" t="inlineStr">
        <is>
          <t>MORA</t>
        </is>
      </c>
      <c r="F3581" t="inlineStr">
        <is>
          <t>Allmännings- och besparingsskogar</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36075-2025</t>
        </is>
      </c>
      <c r="B3582" s="1" t="n">
        <v>45866.43974537037</v>
      </c>
      <c r="C3582" s="1" t="n">
        <v>46114</v>
      </c>
      <c r="D3582" t="inlineStr">
        <is>
          <t>DALARNAS LÄN</t>
        </is>
      </c>
      <c r="E3582" t="inlineStr">
        <is>
          <t>HEDEMORA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36271-2025</t>
        </is>
      </c>
      <c r="B3583" s="1" t="n">
        <v>45867.62105324074</v>
      </c>
      <c r="C3583" s="1" t="n">
        <v>46114</v>
      </c>
      <c r="D3583" t="inlineStr">
        <is>
          <t>DALARNAS LÄN</t>
        </is>
      </c>
      <c r="E3583" t="inlineStr">
        <is>
          <t>FALUN</t>
        </is>
      </c>
      <c r="F3583" t="inlineStr">
        <is>
          <t>Bergvik skog väst AB</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45425-2023</t>
        </is>
      </c>
      <c r="B3584" s="1" t="n">
        <v>45194.36666666667</v>
      </c>
      <c r="C3584" s="1" t="n">
        <v>46114</v>
      </c>
      <c r="D3584" t="inlineStr">
        <is>
          <t>DALARNAS LÄN</t>
        </is>
      </c>
      <c r="E3584" t="inlineStr">
        <is>
          <t>RÄTTVIK</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36244-2025</t>
        </is>
      </c>
      <c r="B3585" s="1" t="n">
        <v>45867.55569444445</v>
      </c>
      <c r="C3585" s="1" t="n">
        <v>46114</v>
      </c>
      <c r="D3585" t="inlineStr">
        <is>
          <t>DALARNAS LÄN</t>
        </is>
      </c>
      <c r="E3585" t="inlineStr">
        <is>
          <t>GAGNEF</t>
        </is>
      </c>
      <c r="G3585" t="n">
        <v>9.300000000000001</v>
      </c>
      <c r="H3585" t="n">
        <v>0</v>
      </c>
      <c r="I3585" t="n">
        <v>0</v>
      </c>
      <c r="J3585" t="n">
        <v>0</v>
      </c>
      <c r="K3585" t="n">
        <v>0</v>
      </c>
      <c r="L3585" t="n">
        <v>0</v>
      </c>
      <c r="M3585" t="n">
        <v>0</v>
      </c>
      <c r="N3585" t="n">
        <v>0</v>
      </c>
      <c r="O3585" t="n">
        <v>0</v>
      </c>
      <c r="P3585" t="n">
        <v>0</v>
      </c>
      <c r="Q3585" t="n">
        <v>0</v>
      </c>
      <c r="R3585" s="2" t="inlineStr"/>
    </row>
    <row r="3586" ht="15" customHeight="1">
      <c r="A3586" t="inlineStr">
        <is>
          <t>A 36232-2025</t>
        </is>
      </c>
      <c r="B3586" s="1" t="n">
        <v>45867.54686342592</v>
      </c>
      <c r="C3586" s="1" t="n">
        <v>46114</v>
      </c>
      <c r="D3586" t="inlineStr">
        <is>
          <t>DALARNAS LÄN</t>
        </is>
      </c>
      <c r="E3586" t="inlineStr">
        <is>
          <t>GAGNEF</t>
        </is>
      </c>
      <c r="G3586" t="n">
        <v>3.9</v>
      </c>
      <c r="H3586" t="n">
        <v>0</v>
      </c>
      <c r="I3586" t="n">
        <v>0</v>
      </c>
      <c r="J3586" t="n">
        <v>0</v>
      </c>
      <c r="K3586" t="n">
        <v>0</v>
      </c>
      <c r="L3586" t="n">
        <v>0</v>
      </c>
      <c r="M3586" t="n">
        <v>0</v>
      </c>
      <c r="N3586" t="n">
        <v>0</v>
      </c>
      <c r="O3586" t="n">
        <v>0</v>
      </c>
      <c r="P3586" t="n">
        <v>0</v>
      </c>
      <c r="Q3586" t="n">
        <v>0</v>
      </c>
      <c r="R3586" s="2" t="inlineStr"/>
    </row>
    <row r="3587" ht="15" customHeight="1">
      <c r="A3587" t="inlineStr">
        <is>
          <t>A 34895-2025</t>
        </is>
      </c>
      <c r="B3587" s="1" t="n">
        <v>45849</v>
      </c>
      <c r="C3587" s="1" t="n">
        <v>46114</v>
      </c>
      <c r="D3587" t="inlineStr">
        <is>
          <t>DALARNAS LÄN</t>
        </is>
      </c>
      <c r="E3587" t="inlineStr">
        <is>
          <t>FALUN</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36041-2025</t>
        </is>
      </c>
      <c r="B3588" s="1" t="n">
        <v>45866.34385416667</v>
      </c>
      <c r="C3588" s="1" t="n">
        <v>46114</v>
      </c>
      <c r="D3588" t="inlineStr">
        <is>
          <t>DALARNAS LÄN</t>
        </is>
      </c>
      <c r="E3588" t="inlineStr">
        <is>
          <t>MORA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17558-2024</t>
        </is>
      </c>
      <c r="B3589" s="1" t="n">
        <v>45415.66295138889</v>
      </c>
      <c r="C3589" s="1" t="n">
        <v>46114</v>
      </c>
      <c r="D3589" t="inlineStr">
        <is>
          <t>DALARNAS LÄN</t>
        </is>
      </c>
      <c r="E3589" t="inlineStr">
        <is>
          <t>ÄLVDALEN</t>
        </is>
      </c>
      <c r="G3589" t="n">
        <v>2.2</v>
      </c>
      <c r="H3589" t="n">
        <v>0</v>
      </c>
      <c r="I3589" t="n">
        <v>0</v>
      </c>
      <c r="J3589" t="n">
        <v>0</v>
      </c>
      <c r="K3589" t="n">
        <v>0</v>
      </c>
      <c r="L3589" t="n">
        <v>0</v>
      </c>
      <c r="M3589" t="n">
        <v>0</v>
      </c>
      <c r="N3589" t="n">
        <v>0</v>
      </c>
      <c r="O3589" t="n">
        <v>0</v>
      </c>
      <c r="P3589" t="n">
        <v>0</v>
      </c>
      <c r="Q3589" t="n">
        <v>0</v>
      </c>
      <c r="R3589" s="2" t="inlineStr"/>
    </row>
    <row r="3590" ht="15" customHeight="1">
      <c r="A3590" t="inlineStr">
        <is>
          <t>A 40805-2025</t>
        </is>
      </c>
      <c r="B3590" s="1" t="n">
        <v>45897.46659722222</v>
      </c>
      <c r="C3590" s="1" t="n">
        <v>46114</v>
      </c>
      <c r="D3590" t="inlineStr">
        <is>
          <t>DALARNAS LÄN</t>
        </is>
      </c>
      <c r="E3590" t="inlineStr">
        <is>
          <t>MORA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15321-2025</t>
        </is>
      </c>
      <c r="B3591" s="1" t="n">
        <v>45747.32092592592</v>
      </c>
      <c r="C3591" s="1" t="n">
        <v>46114</v>
      </c>
      <c r="D3591" t="inlineStr">
        <is>
          <t>DALARNAS LÄN</t>
        </is>
      </c>
      <c r="E3591" t="inlineStr">
        <is>
          <t>SMEDJEBACKEN</t>
        </is>
      </c>
      <c r="G3591" t="n">
        <v>4.2</v>
      </c>
      <c r="H3591" t="n">
        <v>0</v>
      </c>
      <c r="I3591" t="n">
        <v>0</v>
      </c>
      <c r="J3591" t="n">
        <v>0</v>
      </c>
      <c r="K3591" t="n">
        <v>0</v>
      </c>
      <c r="L3591" t="n">
        <v>0</v>
      </c>
      <c r="M3591" t="n">
        <v>0</v>
      </c>
      <c r="N3591" t="n">
        <v>0</v>
      </c>
      <c r="O3591" t="n">
        <v>0</v>
      </c>
      <c r="P3591" t="n">
        <v>0</v>
      </c>
      <c r="Q3591" t="n">
        <v>0</v>
      </c>
      <c r="R3591" s="2" t="inlineStr"/>
    </row>
    <row r="3592" ht="15" customHeight="1">
      <c r="A3592" t="inlineStr">
        <is>
          <t>A 40897-2025</t>
        </is>
      </c>
      <c r="B3592" s="1" t="n">
        <v>45897.61420138889</v>
      </c>
      <c r="C3592" s="1" t="n">
        <v>46114</v>
      </c>
      <c r="D3592" t="inlineStr">
        <is>
          <t>DALARNAS LÄN</t>
        </is>
      </c>
      <c r="E3592" t="inlineStr">
        <is>
          <t>SMEDJEBACKEN</t>
        </is>
      </c>
      <c r="F3592" t="inlineStr">
        <is>
          <t>Sveaskog</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36103-2025</t>
        </is>
      </c>
      <c r="B3593" s="1" t="n">
        <v>45866.55335648148</v>
      </c>
      <c r="C3593" s="1" t="n">
        <v>46114</v>
      </c>
      <c r="D3593" t="inlineStr">
        <is>
          <t>DALARNAS LÄN</t>
        </is>
      </c>
      <c r="E3593" t="inlineStr">
        <is>
          <t>HEDEMORA</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43735-2022</t>
        </is>
      </c>
      <c r="B3594" s="1" t="n">
        <v>44837.70210648148</v>
      </c>
      <c r="C3594" s="1" t="n">
        <v>46114</v>
      </c>
      <c r="D3594" t="inlineStr">
        <is>
          <t>DALARNAS LÄN</t>
        </is>
      </c>
      <c r="E3594" t="inlineStr">
        <is>
          <t>LEKSAND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40513-2025</t>
        </is>
      </c>
      <c r="B3595" s="1" t="n">
        <v>45896.35100694445</v>
      </c>
      <c r="C3595" s="1" t="n">
        <v>46114</v>
      </c>
      <c r="D3595" t="inlineStr">
        <is>
          <t>DALARNAS LÄN</t>
        </is>
      </c>
      <c r="E3595" t="inlineStr">
        <is>
          <t>LEKSAND</t>
        </is>
      </c>
      <c r="G3595" t="n">
        <v>7.1</v>
      </c>
      <c r="H3595" t="n">
        <v>0</v>
      </c>
      <c r="I3595" t="n">
        <v>0</v>
      </c>
      <c r="J3595" t="n">
        <v>0</v>
      </c>
      <c r="K3595" t="n">
        <v>0</v>
      </c>
      <c r="L3595" t="n">
        <v>0</v>
      </c>
      <c r="M3595" t="n">
        <v>0</v>
      </c>
      <c r="N3595" t="n">
        <v>0</v>
      </c>
      <c r="O3595" t="n">
        <v>0</v>
      </c>
      <c r="P3595" t="n">
        <v>0</v>
      </c>
      <c r="Q3595" t="n">
        <v>0</v>
      </c>
      <c r="R3595" s="2" t="inlineStr"/>
    </row>
    <row r="3596" ht="15" customHeight="1">
      <c r="A3596" t="inlineStr">
        <is>
          <t>A 40661-2025</t>
        </is>
      </c>
      <c r="B3596" s="1" t="n">
        <v>45896.64715277778</v>
      </c>
      <c r="C3596" s="1" t="n">
        <v>46114</v>
      </c>
      <c r="D3596" t="inlineStr">
        <is>
          <t>DALARNAS LÄN</t>
        </is>
      </c>
      <c r="E3596" t="inlineStr">
        <is>
          <t>MORA</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36190-2025</t>
        </is>
      </c>
      <c r="B3597" s="1" t="n">
        <v>45867</v>
      </c>
      <c r="C3597" s="1" t="n">
        <v>46114</v>
      </c>
      <c r="D3597" t="inlineStr">
        <is>
          <t>DALARNAS LÄN</t>
        </is>
      </c>
      <c r="E3597" t="inlineStr">
        <is>
          <t>LEKSAND</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54382-2021</t>
        </is>
      </c>
      <c r="B3598" s="1" t="n">
        <v>44473</v>
      </c>
      <c r="C3598" s="1" t="n">
        <v>46114</v>
      </c>
      <c r="D3598" t="inlineStr">
        <is>
          <t>DALARNAS LÄN</t>
        </is>
      </c>
      <c r="E3598" t="inlineStr">
        <is>
          <t>SMEDJEBACKEN</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22809-2025</t>
        </is>
      </c>
      <c r="B3599" s="1" t="n">
        <v>45789.67851851852</v>
      </c>
      <c r="C3599" s="1" t="n">
        <v>46114</v>
      </c>
      <c r="D3599" t="inlineStr">
        <is>
          <t>DALARNAS LÄN</t>
        </is>
      </c>
      <c r="E3599" t="inlineStr">
        <is>
          <t>SMEDJEBACKEN</t>
        </is>
      </c>
      <c r="G3599" t="n">
        <v>5</v>
      </c>
      <c r="H3599" t="n">
        <v>0</v>
      </c>
      <c r="I3599" t="n">
        <v>0</v>
      </c>
      <c r="J3599" t="n">
        <v>0</v>
      </c>
      <c r="K3599" t="n">
        <v>0</v>
      </c>
      <c r="L3599" t="n">
        <v>0</v>
      </c>
      <c r="M3599" t="n">
        <v>0</v>
      </c>
      <c r="N3599" t="n">
        <v>0</v>
      </c>
      <c r="O3599" t="n">
        <v>0</v>
      </c>
      <c r="P3599" t="n">
        <v>0</v>
      </c>
      <c r="Q3599" t="n">
        <v>0</v>
      </c>
      <c r="R3599" s="2" t="inlineStr"/>
    </row>
    <row r="3600" ht="15" customHeight="1">
      <c r="A3600" t="inlineStr">
        <is>
          <t>A 1252-2025</t>
        </is>
      </c>
      <c r="B3600" s="1" t="n">
        <v>45667.46648148148</v>
      </c>
      <c r="C3600" s="1" t="n">
        <v>46114</v>
      </c>
      <c r="D3600" t="inlineStr">
        <is>
          <t>DALARNAS LÄN</t>
        </is>
      </c>
      <c r="E3600" t="inlineStr">
        <is>
          <t>MORA</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40877-2025</t>
        </is>
      </c>
      <c r="B3601" s="1" t="n">
        <v>45897.5841087963</v>
      </c>
      <c r="C3601" s="1" t="n">
        <v>46114</v>
      </c>
      <c r="D3601" t="inlineStr">
        <is>
          <t>DALARNAS LÄN</t>
        </is>
      </c>
      <c r="E3601" t="inlineStr">
        <is>
          <t>FALUN</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40633-2025</t>
        </is>
      </c>
      <c r="B3602" s="1" t="n">
        <v>45896.60225694445</v>
      </c>
      <c r="C3602" s="1" t="n">
        <v>46114</v>
      </c>
      <c r="D3602" t="inlineStr">
        <is>
          <t>DALARNAS LÄN</t>
        </is>
      </c>
      <c r="E3602" t="inlineStr">
        <is>
          <t>AVESTA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40884-2025</t>
        </is>
      </c>
      <c r="B3603" s="1" t="n">
        <v>45897.60113425926</v>
      </c>
      <c r="C3603" s="1" t="n">
        <v>46114</v>
      </c>
      <c r="D3603" t="inlineStr">
        <is>
          <t>DALARNAS LÄN</t>
        </is>
      </c>
      <c r="E3603" t="inlineStr">
        <is>
          <t>VANSBRO</t>
        </is>
      </c>
      <c r="F3603" t="inlineStr">
        <is>
          <t>Bergvik skog öst AB</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34397-2024</t>
        </is>
      </c>
      <c r="B3604" s="1" t="n">
        <v>45525.44471064815</v>
      </c>
      <c r="C3604" s="1" t="n">
        <v>46114</v>
      </c>
      <c r="D3604" t="inlineStr">
        <is>
          <t>DALARNAS LÄN</t>
        </is>
      </c>
      <c r="E3604" t="inlineStr">
        <is>
          <t>MALUNG-SÄLEN</t>
        </is>
      </c>
      <c r="F3604" t="inlineStr">
        <is>
          <t>Bergvik skog väst AB</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36117-2025</t>
        </is>
      </c>
      <c r="B3605" s="1" t="n">
        <v>45866.58664351852</v>
      </c>
      <c r="C3605" s="1" t="n">
        <v>46114</v>
      </c>
      <c r="D3605" t="inlineStr">
        <is>
          <t>DALARNAS LÄN</t>
        </is>
      </c>
      <c r="E3605" t="inlineStr">
        <is>
          <t>HEDEMORA</t>
        </is>
      </c>
      <c r="F3605" t="inlineStr">
        <is>
          <t>Sveaskog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40598-2025</t>
        </is>
      </c>
      <c r="B3606" s="1" t="n">
        <v>45896.55414351852</v>
      </c>
      <c r="C3606" s="1" t="n">
        <v>46114</v>
      </c>
      <c r="D3606" t="inlineStr">
        <is>
          <t>DALARNAS LÄN</t>
        </is>
      </c>
      <c r="E3606" t="inlineStr">
        <is>
          <t>FALUN</t>
        </is>
      </c>
      <c r="G3606" t="n">
        <v>10.3</v>
      </c>
      <c r="H3606" t="n">
        <v>0</v>
      </c>
      <c r="I3606" t="n">
        <v>0</v>
      </c>
      <c r="J3606" t="n">
        <v>0</v>
      </c>
      <c r="K3606" t="n">
        <v>0</v>
      </c>
      <c r="L3606" t="n">
        <v>0</v>
      </c>
      <c r="M3606" t="n">
        <v>0</v>
      </c>
      <c r="N3606" t="n">
        <v>0</v>
      </c>
      <c r="O3606" t="n">
        <v>0</v>
      </c>
      <c r="P3606" t="n">
        <v>0</v>
      </c>
      <c r="Q3606" t="n">
        <v>0</v>
      </c>
      <c r="R3606" s="2" t="inlineStr"/>
    </row>
    <row r="3607" ht="15" customHeight="1">
      <c r="A3607" t="inlineStr">
        <is>
          <t>A 34823-2025</t>
        </is>
      </c>
      <c r="B3607" s="1" t="n">
        <v>45849</v>
      </c>
      <c r="C3607" s="1" t="n">
        <v>46114</v>
      </c>
      <c r="D3607" t="inlineStr">
        <is>
          <t>DALARNAS LÄN</t>
        </is>
      </c>
      <c r="E3607" t="inlineStr">
        <is>
          <t>LUDVIKA</t>
        </is>
      </c>
      <c r="F3607" t="inlineStr">
        <is>
          <t>Bergvik skog väst AB</t>
        </is>
      </c>
      <c r="G3607" t="n">
        <v>2.7</v>
      </c>
      <c r="H3607" t="n">
        <v>0</v>
      </c>
      <c r="I3607" t="n">
        <v>0</v>
      </c>
      <c r="J3607" t="n">
        <v>0</v>
      </c>
      <c r="K3607" t="n">
        <v>0</v>
      </c>
      <c r="L3607" t="n">
        <v>0</v>
      </c>
      <c r="M3607" t="n">
        <v>0</v>
      </c>
      <c r="N3607" t="n">
        <v>0</v>
      </c>
      <c r="O3607" t="n">
        <v>0</v>
      </c>
      <c r="P3607" t="n">
        <v>0</v>
      </c>
      <c r="Q3607" t="n">
        <v>0</v>
      </c>
      <c r="R3607" s="2" t="inlineStr"/>
    </row>
    <row r="3608" ht="15" customHeight="1">
      <c r="A3608" t="inlineStr">
        <is>
          <t>A 20936-2023</t>
        </is>
      </c>
      <c r="B3608" s="1" t="n">
        <v>45061</v>
      </c>
      <c r="C3608" s="1" t="n">
        <v>46114</v>
      </c>
      <c r="D3608" t="inlineStr">
        <is>
          <t>DALARNAS LÄN</t>
        </is>
      </c>
      <c r="E3608" t="inlineStr">
        <is>
          <t>LEKSAND</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36033-2025</t>
        </is>
      </c>
      <c r="B3609" s="1" t="n">
        <v>45865.62479166667</v>
      </c>
      <c r="C3609" s="1" t="n">
        <v>46114</v>
      </c>
      <c r="D3609" t="inlineStr">
        <is>
          <t>DALARNAS LÄN</t>
        </is>
      </c>
      <c r="E3609" t="inlineStr">
        <is>
          <t>RÄTTVIK</t>
        </is>
      </c>
      <c r="F3609" t="inlineStr">
        <is>
          <t>Bergvik skog väst AB</t>
        </is>
      </c>
      <c r="G3609" t="n">
        <v>10.5</v>
      </c>
      <c r="H3609" t="n">
        <v>0</v>
      </c>
      <c r="I3609" t="n">
        <v>0</v>
      </c>
      <c r="J3609" t="n">
        <v>0</v>
      </c>
      <c r="K3609" t="n">
        <v>0</v>
      </c>
      <c r="L3609" t="n">
        <v>0</v>
      </c>
      <c r="M3609" t="n">
        <v>0</v>
      </c>
      <c r="N3609" t="n">
        <v>0</v>
      </c>
      <c r="O3609" t="n">
        <v>0</v>
      </c>
      <c r="P3609" t="n">
        <v>0</v>
      </c>
      <c r="Q3609" t="n">
        <v>0</v>
      </c>
      <c r="R3609" s="2" t="inlineStr"/>
    </row>
    <row r="3610" ht="15" customHeight="1">
      <c r="A3610" t="inlineStr">
        <is>
          <t>A 10048-2023</t>
        </is>
      </c>
      <c r="B3610" s="1" t="n">
        <v>44985.67237268519</v>
      </c>
      <c r="C3610" s="1" t="n">
        <v>46114</v>
      </c>
      <c r="D3610" t="inlineStr">
        <is>
          <t>DALARNAS LÄN</t>
        </is>
      </c>
      <c r="E3610" t="inlineStr">
        <is>
          <t>ORSA</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29846-2023</t>
        </is>
      </c>
      <c r="B3611" s="1" t="n">
        <v>45107.58966435185</v>
      </c>
      <c r="C3611" s="1" t="n">
        <v>46114</v>
      </c>
      <c r="D3611" t="inlineStr">
        <is>
          <t>DALARNAS LÄN</t>
        </is>
      </c>
      <c r="E3611" t="inlineStr">
        <is>
          <t>SÄTER</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31223-2024</t>
        </is>
      </c>
      <c r="B3612" s="1" t="n">
        <v>45503.61224537037</v>
      </c>
      <c r="C3612" s="1" t="n">
        <v>46114</v>
      </c>
      <c r="D3612" t="inlineStr">
        <is>
          <t>DALARNAS LÄN</t>
        </is>
      </c>
      <c r="E3612" t="inlineStr">
        <is>
          <t>MALUNG-SÄLEN</t>
        </is>
      </c>
      <c r="F3612" t="inlineStr">
        <is>
          <t>Övriga statliga verk och myndigheter</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18679-2022</t>
        </is>
      </c>
      <c r="B3613" s="1" t="n">
        <v>44687.56876157408</v>
      </c>
      <c r="C3613" s="1" t="n">
        <v>46114</v>
      </c>
      <c r="D3613" t="inlineStr">
        <is>
          <t>DALARNAS LÄN</t>
        </is>
      </c>
      <c r="E3613" t="inlineStr">
        <is>
          <t>AVESTA</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44469-2024</t>
        </is>
      </c>
      <c r="B3614" s="1" t="n">
        <v>45574</v>
      </c>
      <c r="C3614" s="1" t="n">
        <v>46114</v>
      </c>
      <c r="D3614" t="inlineStr">
        <is>
          <t>DALARNAS LÄN</t>
        </is>
      </c>
      <c r="E3614" t="inlineStr">
        <is>
          <t>LEKSAND</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47071-2023</t>
        </is>
      </c>
      <c r="B3615" s="1" t="n">
        <v>45201.60141203704</v>
      </c>
      <c r="C3615" s="1" t="n">
        <v>46114</v>
      </c>
      <c r="D3615" t="inlineStr">
        <is>
          <t>DALARNAS LÄN</t>
        </is>
      </c>
      <c r="E3615" t="inlineStr">
        <is>
          <t>ÄLVDALEN</t>
        </is>
      </c>
      <c r="F3615" t="inlineStr">
        <is>
          <t>Bergvik skog väst AB</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40493-2025</t>
        </is>
      </c>
      <c r="B3616" s="1" t="n">
        <v>45896.2971412037</v>
      </c>
      <c r="C3616" s="1" t="n">
        <v>46114</v>
      </c>
      <c r="D3616" t="inlineStr">
        <is>
          <t>DALARNAS LÄN</t>
        </is>
      </c>
      <c r="E3616" t="inlineStr">
        <is>
          <t>RÄTTVIK</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14459-2025</t>
        </is>
      </c>
      <c r="B3617" s="1" t="n">
        <v>45741</v>
      </c>
      <c r="C3617" s="1" t="n">
        <v>46114</v>
      </c>
      <c r="D3617" t="inlineStr">
        <is>
          <t>DALARNAS LÄN</t>
        </is>
      </c>
      <c r="E3617" t="inlineStr">
        <is>
          <t>FALUN</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40517-2025</t>
        </is>
      </c>
      <c r="B3618" s="1" t="n">
        <v>45896.36368055556</v>
      </c>
      <c r="C3618" s="1" t="n">
        <v>46114</v>
      </c>
      <c r="D3618" t="inlineStr">
        <is>
          <t>DALARNAS LÄN</t>
        </is>
      </c>
      <c r="E3618" t="inlineStr">
        <is>
          <t>LEKSAND</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33127-2025</t>
        </is>
      </c>
      <c r="B3619" s="1" t="n">
        <v>45840</v>
      </c>
      <c r="C3619" s="1" t="n">
        <v>46114</v>
      </c>
      <c r="D3619" t="inlineStr">
        <is>
          <t>DALARNAS LÄN</t>
        </is>
      </c>
      <c r="E3619" t="inlineStr">
        <is>
          <t>LUDVIKA</t>
        </is>
      </c>
      <c r="F3619" t="inlineStr">
        <is>
          <t>Bergvik skog väst AB</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40593-2025</t>
        </is>
      </c>
      <c r="B3620" s="1" t="n">
        <v>45896</v>
      </c>
      <c r="C3620" s="1" t="n">
        <v>46114</v>
      </c>
      <c r="D3620" t="inlineStr">
        <is>
          <t>DALARNAS LÄN</t>
        </is>
      </c>
      <c r="E3620" t="inlineStr">
        <is>
          <t>FALUN</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17677-2022</t>
        </is>
      </c>
      <c r="B3621" s="1" t="n">
        <v>44680</v>
      </c>
      <c r="C3621" s="1" t="n">
        <v>46114</v>
      </c>
      <c r="D3621" t="inlineStr">
        <is>
          <t>DALARNAS LÄN</t>
        </is>
      </c>
      <c r="E3621" t="inlineStr">
        <is>
          <t>LUDVIKA</t>
        </is>
      </c>
      <c r="F3621" t="inlineStr">
        <is>
          <t>Bergvik skog väst AB</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36171-2025</t>
        </is>
      </c>
      <c r="B3622" s="1" t="n">
        <v>45867.38967592592</v>
      </c>
      <c r="C3622" s="1" t="n">
        <v>46114</v>
      </c>
      <c r="D3622" t="inlineStr">
        <is>
          <t>DALARNAS LÄN</t>
        </is>
      </c>
      <c r="E3622" t="inlineStr">
        <is>
          <t>SMEDJEBACKEN</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40761-2025</t>
        </is>
      </c>
      <c r="B3623" s="1" t="n">
        <v>45897.39358796296</v>
      </c>
      <c r="C3623" s="1" t="n">
        <v>46114</v>
      </c>
      <c r="D3623" t="inlineStr">
        <is>
          <t>DALARNAS LÄN</t>
        </is>
      </c>
      <c r="E3623" t="inlineStr">
        <is>
          <t>AVESTA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40775-2025</t>
        </is>
      </c>
      <c r="B3624" s="1" t="n">
        <v>45897.42265046296</v>
      </c>
      <c r="C3624" s="1" t="n">
        <v>46114</v>
      </c>
      <c r="D3624" t="inlineStr">
        <is>
          <t>DALARNAS LÄN</t>
        </is>
      </c>
      <c r="E3624" t="inlineStr">
        <is>
          <t>FALUN</t>
        </is>
      </c>
      <c r="F3624" t="inlineStr">
        <is>
          <t>Bergvik skog väst AB</t>
        </is>
      </c>
      <c r="G3624" t="n">
        <v>28.2</v>
      </c>
      <c r="H3624" t="n">
        <v>0</v>
      </c>
      <c r="I3624" t="n">
        <v>0</v>
      </c>
      <c r="J3624" t="n">
        <v>0</v>
      </c>
      <c r="K3624" t="n">
        <v>0</v>
      </c>
      <c r="L3624" t="n">
        <v>0</v>
      </c>
      <c r="M3624" t="n">
        <v>0</v>
      </c>
      <c r="N3624" t="n">
        <v>0</v>
      </c>
      <c r="O3624" t="n">
        <v>0</v>
      </c>
      <c r="P3624" t="n">
        <v>0</v>
      </c>
      <c r="Q3624" t="n">
        <v>0</v>
      </c>
      <c r="R3624" s="2" t="inlineStr"/>
    </row>
    <row r="3625" ht="15" customHeight="1">
      <c r="A3625" t="inlineStr">
        <is>
          <t>A 36178-2025</t>
        </is>
      </c>
      <c r="B3625" s="1" t="n">
        <v>45867.40835648148</v>
      </c>
      <c r="C3625" s="1" t="n">
        <v>46114</v>
      </c>
      <c r="D3625" t="inlineStr">
        <is>
          <t>DALARNAS LÄN</t>
        </is>
      </c>
      <c r="E3625" t="inlineStr">
        <is>
          <t>AVESTA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40634-2025</t>
        </is>
      </c>
      <c r="B3626" s="1" t="n">
        <v>45896.60366898148</v>
      </c>
      <c r="C3626" s="1" t="n">
        <v>46114</v>
      </c>
      <c r="D3626" t="inlineStr">
        <is>
          <t>DALARNAS LÄN</t>
        </is>
      </c>
      <c r="E3626" t="inlineStr">
        <is>
          <t>AVESTA</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26734-2021</t>
        </is>
      </c>
      <c r="B3627" s="1" t="n">
        <v>44349.39537037037</v>
      </c>
      <c r="C3627" s="1" t="n">
        <v>46114</v>
      </c>
      <c r="D3627" t="inlineStr">
        <is>
          <t>DALARNAS LÄN</t>
        </is>
      </c>
      <c r="E3627" t="inlineStr">
        <is>
          <t>ÄLVDALEN</t>
        </is>
      </c>
      <c r="F3627" t="inlineStr">
        <is>
          <t>Bergvik skog väst AB</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31809-2022</t>
        </is>
      </c>
      <c r="B3628" s="1" t="n">
        <v>44776</v>
      </c>
      <c r="C3628" s="1" t="n">
        <v>46114</v>
      </c>
      <c r="D3628" t="inlineStr">
        <is>
          <t>DALARNAS LÄN</t>
        </is>
      </c>
      <c r="E3628" t="inlineStr">
        <is>
          <t>SMEDJEBACKEN</t>
        </is>
      </c>
      <c r="F3628" t="inlineStr">
        <is>
          <t>Bergvik skog väst AB</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50863-2021</t>
        </is>
      </c>
      <c r="B3629" s="1" t="n">
        <v>44460.55533564815</v>
      </c>
      <c r="C3629" s="1" t="n">
        <v>46114</v>
      </c>
      <c r="D3629" t="inlineStr">
        <is>
          <t>DALARNAS LÄN</t>
        </is>
      </c>
      <c r="E3629" t="inlineStr">
        <is>
          <t>AVESTA</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51001-2021</t>
        </is>
      </c>
      <c r="B3630" s="1" t="n">
        <v>44460.86221064815</v>
      </c>
      <c r="C3630" s="1" t="n">
        <v>46114</v>
      </c>
      <c r="D3630" t="inlineStr">
        <is>
          <t>DALARNAS LÄN</t>
        </is>
      </c>
      <c r="E3630" t="inlineStr">
        <is>
          <t>ORSA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40663-2025</t>
        </is>
      </c>
      <c r="B3631" s="1" t="n">
        <v>45896.64891203704</v>
      </c>
      <c r="C3631" s="1" t="n">
        <v>46114</v>
      </c>
      <c r="D3631" t="inlineStr">
        <is>
          <t>DALARNAS LÄN</t>
        </is>
      </c>
      <c r="E3631" t="inlineStr">
        <is>
          <t>RÄTTVIK</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892-2024</t>
        </is>
      </c>
      <c r="B3632" s="1" t="n">
        <v>45301</v>
      </c>
      <c r="C3632" s="1" t="n">
        <v>46114</v>
      </c>
      <c r="D3632" t="inlineStr">
        <is>
          <t>DALARNAS LÄN</t>
        </is>
      </c>
      <c r="E3632" t="inlineStr">
        <is>
          <t>ORSA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61575-2024</t>
        </is>
      </c>
      <c r="B3633" s="1" t="n">
        <v>45646.61907407407</v>
      </c>
      <c r="C3633" s="1" t="n">
        <v>46114</v>
      </c>
      <c r="D3633" t="inlineStr">
        <is>
          <t>DALARNAS LÄN</t>
        </is>
      </c>
      <c r="E3633" t="inlineStr">
        <is>
          <t>ÄLVDALEN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55298-2023</t>
        </is>
      </c>
      <c r="B3634" s="1" t="n">
        <v>45237</v>
      </c>
      <c r="C3634" s="1" t="n">
        <v>46114</v>
      </c>
      <c r="D3634" t="inlineStr">
        <is>
          <t>DALARNAS LÄN</t>
        </is>
      </c>
      <c r="E3634" t="inlineStr">
        <is>
          <t>BORLÄNGE</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16174-2025</t>
        </is>
      </c>
      <c r="B3635" s="1" t="n">
        <v>45750</v>
      </c>
      <c r="C3635" s="1" t="n">
        <v>46114</v>
      </c>
      <c r="D3635" t="inlineStr">
        <is>
          <t>DALARNAS LÄN</t>
        </is>
      </c>
      <c r="E3635" t="inlineStr">
        <is>
          <t>MORA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40711-2025</t>
        </is>
      </c>
      <c r="B3636" s="1" t="n">
        <v>45897.34166666667</v>
      </c>
      <c r="C3636" s="1" t="n">
        <v>46114</v>
      </c>
      <c r="D3636" t="inlineStr">
        <is>
          <t>DALARNAS LÄN</t>
        </is>
      </c>
      <c r="E3636" t="inlineStr">
        <is>
          <t>AVESTA</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25345-2025</t>
        </is>
      </c>
      <c r="B3637" s="1" t="n">
        <v>45799</v>
      </c>
      <c r="C3637" s="1" t="n">
        <v>46114</v>
      </c>
      <c r="D3637" t="inlineStr">
        <is>
          <t>DALARNAS LÄN</t>
        </is>
      </c>
      <c r="E3637" t="inlineStr">
        <is>
          <t>MORA</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36199-2025</t>
        </is>
      </c>
      <c r="B3638" s="1" t="n">
        <v>45867.43987268519</v>
      </c>
      <c r="C3638" s="1" t="n">
        <v>46114</v>
      </c>
      <c r="D3638" t="inlineStr">
        <is>
          <t>DALARNAS LÄN</t>
        </is>
      </c>
      <c r="E3638" t="inlineStr">
        <is>
          <t>FALUN</t>
        </is>
      </c>
      <c r="F3638" t="inlineStr">
        <is>
          <t>Bergvik skog väst AB</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57557-2023</t>
        </is>
      </c>
      <c r="B3639" s="1" t="n">
        <v>45246</v>
      </c>
      <c r="C3639" s="1" t="n">
        <v>46114</v>
      </c>
      <c r="D3639" t="inlineStr">
        <is>
          <t>DALARNAS LÄN</t>
        </is>
      </c>
      <c r="E3639" t="inlineStr">
        <is>
          <t>LUDVIKA</t>
        </is>
      </c>
      <c r="G3639" t="n">
        <v>12.7</v>
      </c>
      <c r="H3639" t="n">
        <v>0</v>
      </c>
      <c r="I3639" t="n">
        <v>0</v>
      </c>
      <c r="J3639" t="n">
        <v>0</v>
      </c>
      <c r="K3639" t="n">
        <v>0</v>
      </c>
      <c r="L3639" t="n">
        <v>0</v>
      </c>
      <c r="M3639" t="n">
        <v>0</v>
      </c>
      <c r="N3639" t="n">
        <v>0</v>
      </c>
      <c r="O3639" t="n">
        <v>0</v>
      </c>
      <c r="P3639" t="n">
        <v>0</v>
      </c>
      <c r="Q3639" t="n">
        <v>0</v>
      </c>
      <c r="R3639" s="2" t="inlineStr"/>
    </row>
    <row r="3640" ht="15" customHeight="1">
      <c r="A3640" t="inlineStr">
        <is>
          <t>A 36165-2025</t>
        </is>
      </c>
      <c r="B3640" s="1" t="n">
        <v>45867.37467592592</v>
      </c>
      <c r="C3640" s="1" t="n">
        <v>46114</v>
      </c>
      <c r="D3640" t="inlineStr">
        <is>
          <t>DALARNAS LÄN</t>
        </is>
      </c>
      <c r="E3640" t="inlineStr">
        <is>
          <t>SMEDJEBACKEN</t>
        </is>
      </c>
      <c r="F3640" t="inlineStr">
        <is>
          <t>Sveaskog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59915-2023</t>
        </is>
      </c>
      <c r="B3641" s="1" t="n">
        <v>45257.64123842592</v>
      </c>
      <c r="C3641" s="1" t="n">
        <v>46114</v>
      </c>
      <c r="D3641" t="inlineStr">
        <is>
          <t>DALARNAS LÄN</t>
        </is>
      </c>
      <c r="E3641" t="inlineStr">
        <is>
          <t>MALUNG-SÄLEN</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16585-2023</t>
        </is>
      </c>
      <c r="B3642" s="1" t="n">
        <v>45030</v>
      </c>
      <c r="C3642" s="1" t="n">
        <v>46114</v>
      </c>
      <c r="D3642" t="inlineStr">
        <is>
          <t>DALARNAS LÄN</t>
        </is>
      </c>
      <c r="E3642" t="inlineStr">
        <is>
          <t>ORSA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36206-2025</t>
        </is>
      </c>
      <c r="B3643" s="1" t="n">
        <v>45867.45057870371</v>
      </c>
      <c r="C3643" s="1" t="n">
        <v>46114</v>
      </c>
      <c r="D3643" t="inlineStr">
        <is>
          <t>DALARNAS LÄN</t>
        </is>
      </c>
      <c r="E3643" t="inlineStr">
        <is>
          <t>HEDEMORA</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59966-2023</t>
        </is>
      </c>
      <c r="B3644" s="1" t="n">
        <v>45257</v>
      </c>
      <c r="C3644" s="1" t="n">
        <v>46114</v>
      </c>
      <c r="D3644" t="inlineStr">
        <is>
          <t>DALARNAS LÄN</t>
        </is>
      </c>
      <c r="E3644" t="inlineStr">
        <is>
          <t>MALUNG-SÄLEN</t>
        </is>
      </c>
      <c r="F3644" t="inlineStr">
        <is>
          <t>Övriga statliga verk och myndigheter</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57665-2024</t>
        </is>
      </c>
      <c r="B3645" s="1" t="n">
        <v>45630.62005787037</v>
      </c>
      <c r="C3645" s="1" t="n">
        <v>46114</v>
      </c>
      <c r="D3645" t="inlineStr">
        <is>
          <t>DALARNAS LÄN</t>
        </is>
      </c>
      <c r="E3645" t="inlineStr">
        <is>
          <t>ÄLVDALEN</t>
        </is>
      </c>
      <c r="F3645" t="inlineStr">
        <is>
          <t>Allmännings- och besparingsskogar</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12741-2025</t>
        </is>
      </c>
      <c r="B3646" s="1" t="n">
        <v>45733.54667824074</v>
      </c>
      <c r="C3646" s="1" t="n">
        <v>46114</v>
      </c>
      <c r="D3646" t="inlineStr">
        <is>
          <t>DALARNAS LÄN</t>
        </is>
      </c>
      <c r="E3646" t="inlineStr">
        <is>
          <t>GAGNEF</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46769-2023</t>
        </is>
      </c>
      <c r="B3647" s="1" t="n">
        <v>45198.62966435185</v>
      </c>
      <c r="C3647" s="1" t="n">
        <v>46114</v>
      </c>
      <c r="D3647" t="inlineStr">
        <is>
          <t>DALARNAS LÄN</t>
        </is>
      </c>
      <c r="E3647" t="inlineStr">
        <is>
          <t>SMEDJEBACKEN</t>
        </is>
      </c>
      <c r="F3647" t="inlineStr">
        <is>
          <t>Bergvik skog väst AB</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14501-2025</t>
        </is>
      </c>
      <c r="B3648" s="1" t="n">
        <v>45741</v>
      </c>
      <c r="C3648" s="1" t="n">
        <v>46114</v>
      </c>
      <c r="D3648" t="inlineStr">
        <is>
          <t>DALARNAS LÄN</t>
        </is>
      </c>
      <c r="E3648" t="inlineStr">
        <is>
          <t>FALUN</t>
        </is>
      </c>
      <c r="F3648" t="inlineStr">
        <is>
          <t>Bergvik skog väst AB</t>
        </is>
      </c>
      <c r="G3648" t="n">
        <v>7.6</v>
      </c>
      <c r="H3648" t="n">
        <v>0</v>
      </c>
      <c r="I3648" t="n">
        <v>0</v>
      </c>
      <c r="J3648" t="n">
        <v>0</v>
      </c>
      <c r="K3648" t="n">
        <v>0</v>
      </c>
      <c r="L3648" t="n">
        <v>0</v>
      </c>
      <c r="M3648" t="n">
        <v>0</v>
      </c>
      <c r="N3648" t="n">
        <v>0</v>
      </c>
      <c r="O3648" t="n">
        <v>0</v>
      </c>
      <c r="P3648" t="n">
        <v>0</v>
      </c>
      <c r="Q3648" t="n">
        <v>0</v>
      </c>
      <c r="R3648" s="2" t="inlineStr"/>
    </row>
    <row r="3649" ht="15" customHeight="1">
      <c r="A3649" t="inlineStr">
        <is>
          <t>A 40659-2025</t>
        </is>
      </c>
      <c r="B3649" s="1" t="n">
        <v>45896.64556712963</v>
      </c>
      <c r="C3649" s="1" t="n">
        <v>46114</v>
      </c>
      <c r="D3649" t="inlineStr">
        <is>
          <t>DALARNAS LÄN</t>
        </is>
      </c>
      <c r="E3649" t="inlineStr">
        <is>
          <t>RÄTTVIK</t>
        </is>
      </c>
      <c r="G3649" t="n">
        <v>16.3</v>
      </c>
      <c r="H3649" t="n">
        <v>0</v>
      </c>
      <c r="I3649" t="n">
        <v>0</v>
      </c>
      <c r="J3649" t="n">
        <v>0</v>
      </c>
      <c r="K3649" t="n">
        <v>0</v>
      </c>
      <c r="L3649" t="n">
        <v>0</v>
      </c>
      <c r="M3649" t="n">
        <v>0</v>
      </c>
      <c r="N3649" t="n">
        <v>0</v>
      </c>
      <c r="O3649" t="n">
        <v>0</v>
      </c>
      <c r="P3649" t="n">
        <v>0</v>
      </c>
      <c r="Q3649" t="n">
        <v>0</v>
      </c>
      <c r="R3649" s="2" t="inlineStr"/>
    </row>
    <row r="3650" ht="15" customHeight="1">
      <c r="A3650" t="inlineStr">
        <is>
          <t>A 36523-2025</t>
        </is>
      </c>
      <c r="B3650" s="1" t="n">
        <v>45869</v>
      </c>
      <c r="C3650" s="1" t="n">
        <v>46114</v>
      </c>
      <c r="D3650" t="inlineStr">
        <is>
          <t>DALARNAS LÄN</t>
        </is>
      </c>
      <c r="E3650" t="inlineStr">
        <is>
          <t>LUDVIKA</t>
        </is>
      </c>
      <c r="F3650" t="inlineStr">
        <is>
          <t>Bergvik skog väst AB</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40803-2025</t>
        </is>
      </c>
      <c r="B3651" s="1" t="n">
        <v>45897.46329861111</v>
      </c>
      <c r="C3651" s="1" t="n">
        <v>46114</v>
      </c>
      <c r="D3651" t="inlineStr">
        <is>
          <t>DALARNAS LÄN</t>
        </is>
      </c>
      <c r="E3651" t="inlineStr">
        <is>
          <t>SMEDJEBACKEN</t>
        </is>
      </c>
      <c r="F3651" t="inlineStr">
        <is>
          <t>Sveaskog</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36435-2025</t>
        </is>
      </c>
      <c r="B3652" s="1" t="n">
        <v>45869</v>
      </c>
      <c r="C3652" s="1" t="n">
        <v>46114</v>
      </c>
      <c r="D3652" t="inlineStr">
        <is>
          <t>DALARNAS LÄN</t>
        </is>
      </c>
      <c r="E3652" t="inlineStr">
        <is>
          <t>LUDVIKA</t>
        </is>
      </c>
      <c r="F3652" t="inlineStr">
        <is>
          <t>Bergvik skog väst AB</t>
        </is>
      </c>
      <c r="G3652" t="n">
        <v>7.1</v>
      </c>
      <c r="H3652" t="n">
        <v>0</v>
      </c>
      <c r="I3652" t="n">
        <v>0</v>
      </c>
      <c r="J3652" t="n">
        <v>0</v>
      </c>
      <c r="K3652" t="n">
        <v>0</v>
      </c>
      <c r="L3652" t="n">
        <v>0</v>
      </c>
      <c r="M3652" t="n">
        <v>0</v>
      </c>
      <c r="N3652" t="n">
        <v>0</v>
      </c>
      <c r="O3652" t="n">
        <v>0</v>
      </c>
      <c r="P3652" t="n">
        <v>0</v>
      </c>
      <c r="Q3652" t="n">
        <v>0</v>
      </c>
      <c r="R3652" s="2" t="inlineStr"/>
    </row>
    <row r="3653" ht="15" customHeight="1">
      <c r="A3653" t="inlineStr">
        <is>
          <t>A 36437-2025</t>
        </is>
      </c>
      <c r="B3653" s="1" t="n">
        <v>45869</v>
      </c>
      <c r="C3653" s="1" t="n">
        <v>46114</v>
      </c>
      <c r="D3653" t="inlineStr">
        <is>
          <t>DALARNAS LÄN</t>
        </is>
      </c>
      <c r="E3653" t="inlineStr">
        <is>
          <t>LUDVIKA</t>
        </is>
      </c>
      <c r="F3653" t="inlineStr">
        <is>
          <t>Bergvik skog väst AB</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36443-2025</t>
        </is>
      </c>
      <c r="B3654" s="1" t="n">
        <v>45869.40634259259</v>
      </c>
      <c r="C3654" s="1" t="n">
        <v>46114</v>
      </c>
      <c r="D3654" t="inlineStr">
        <is>
          <t>DALARNAS LÄN</t>
        </is>
      </c>
      <c r="E3654" t="inlineStr">
        <is>
          <t>FALUN</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9554-2025</t>
        </is>
      </c>
      <c r="B3655" s="1" t="n">
        <v>45715.59936342593</v>
      </c>
      <c r="C3655" s="1" t="n">
        <v>46114</v>
      </c>
      <c r="D3655" t="inlineStr">
        <is>
          <t>DALARNAS LÄN</t>
        </is>
      </c>
      <c r="E3655" t="inlineStr">
        <is>
          <t>MORA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40582-2025</t>
        </is>
      </c>
      <c r="B3656" s="1" t="n">
        <v>45896</v>
      </c>
      <c r="C3656" s="1" t="n">
        <v>46114</v>
      </c>
      <c r="D3656" t="inlineStr">
        <is>
          <t>DALARNAS LÄN</t>
        </is>
      </c>
      <c r="E3656" t="inlineStr">
        <is>
          <t>FALUN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36411-2025</t>
        </is>
      </c>
      <c r="B3657" s="1" t="n">
        <v>45868.68791666667</v>
      </c>
      <c r="C3657" s="1" t="n">
        <v>46114</v>
      </c>
      <c r="D3657" t="inlineStr">
        <is>
          <t>DALARNAS LÄN</t>
        </is>
      </c>
      <c r="E3657" t="inlineStr">
        <is>
          <t>FALUN</t>
        </is>
      </c>
      <c r="G3657" t="n">
        <v>10.7</v>
      </c>
      <c r="H3657" t="n">
        <v>0</v>
      </c>
      <c r="I3657" t="n">
        <v>0</v>
      </c>
      <c r="J3657" t="n">
        <v>0</v>
      </c>
      <c r="K3657" t="n">
        <v>0</v>
      </c>
      <c r="L3657" t="n">
        <v>0</v>
      </c>
      <c r="M3657" t="n">
        <v>0</v>
      </c>
      <c r="N3657" t="n">
        <v>0</v>
      </c>
      <c r="O3657" t="n">
        <v>0</v>
      </c>
      <c r="P3657" t="n">
        <v>0</v>
      </c>
      <c r="Q3657" t="n">
        <v>0</v>
      </c>
      <c r="R3657" s="2" t="inlineStr"/>
    </row>
    <row r="3658" ht="15" customHeight="1">
      <c r="A3658" t="inlineStr">
        <is>
          <t>A 41487-2025</t>
        </is>
      </c>
      <c r="B3658" s="1" t="n">
        <v>45901.4815625</v>
      </c>
      <c r="C3658" s="1" t="n">
        <v>46114</v>
      </c>
      <c r="D3658" t="inlineStr">
        <is>
          <t>DALARNAS LÄN</t>
        </is>
      </c>
      <c r="E3658" t="inlineStr">
        <is>
          <t>LEKSAND</t>
        </is>
      </c>
      <c r="F3658" t="inlineStr">
        <is>
          <t>Bergvik skog väst AB</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3154-2025</t>
        </is>
      </c>
      <c r="B3659" s="1" t="n">
        <v>45679</v>
      </c>
      <c r="C3659" s="1" t="n">
        <v>46114</v>
      </c>
      <c r="D3659" t="inlineStr">
        <is>
          <t>DALARNAS LÄN</t>
        </is>
      </c>
      <c r="E3659" t="inlineStr">
        <is>
          <t>RÄTTVIK</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8703-2023</t>
        </is>
      </c>
      <c r="B3660" s="1" t="n">
        <v>44978</v>
      </c>
      <c r="C3660" s="1" t="n">
        <v>46114</v>
      </c>
      <c r="D3660" t="inlineStr">
        <is>
          <t>DALARNAS LÄN</t>
        </is>
      </c>
      <c r="E3660" t="inlineStr">
        <is>
          <t>LUDVIKA</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45163-2024</t>
        </is>
      </c>
      <c r="B3661" s="1" t="n">
        <v>45575.65107638889</v>
      </c>
      <c r="C3661" s="1" t="n">
        <v>46114</v>
      </c>
      <c r="D3661" t="inlineStr">
        <is>
          <t>DALARNAS LÄN</t>
        </is>
      </c>
      <c r="E3661" t="inlineStr">
        <is>
          <t>MALUNG-SÄLEN</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32561-2024</t>
        </is>
      </c>
      <c r="B3662" s="1" t="n">
        <v>45513.53226851852</v>
      </c>
      <c r="C3662" s="1" t="n">
        <v>46114</v>
      </c>
      <c r="D3662" t="inlineStr">
        <is>
          <t>DALARNAS LÄN</t>
        </is>
      </c>
      <c r="E3662" t="inlineStr">
        <is>
          <t>RÄTTVIK</t>
        </is>
      </c>
      <c r="F3662" t="inlineStr">
        <is>
          <t>Sveaskog</t>
        </is>
      </c>
      <c r="G3662" t="n">
        <v>5.9</v>
      </c>
      <c r="H3662" t="n">
        <v>0</v>
      </c>
      <c r="I3662" t="n">
        <v>0</v>
      </c>
      <c r="J3662" t="n">
        <v>0</v>
      </c>
      <c r="K3662" t="n">
        <v>0</v>
      </c>
      <c r="L3662" t="n">
        <v>0</v>
      </c>
      <c r="M3662" t="n">
        <v>0</v>
      </c>
      <c r="N3662" t="n">
        <v>0</v>
      </c>
      <c r="O3662" t="n">
        <v>0</v>
      </c>
      <c r="P3662" t="n">
        <v>0</v>
      </c>
      <c r="Q3662" t="n">
        <v>0</v>
      </c>
      <c r="R3662" s="2" t="inlineStr"/>
    </row>
    <row r="3663" ht="15" customHeight="1">
      <c r="A3663" t="inlineStr">
        <is>
          <t>A 5309-2023</t>
        </is>
      </c>
      <c r="B3663" s="1" t="n">
        <v>44956</v>
      </c>
      <c r="C3663" s="1" t="n">
        <v>46114</v>
      </c>
      <c r="D3663" t="inlineStr">
        <is>
          <t>DALARNAS LÄN</t>
        </is>
      </c>
      <c r="E3663" t="inlineStr">
        <is>
          <t>MORA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41200-2025</t>
        </is>
      </c>
      <c r="B3664" s="1" t="n">
        <v>45898.5738425926</v>
      </c>
      <c r="C3664" s="1" t="n">
        <v>46114</v>
      </c>
      <c r="D3664" t="inlineStr">
        <is>
          <t>DALARNAS LÄN</t>
        </is>
      </c>
      <c r="E3664" t="inlineStr">
        <is>
          <t>MORA</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41235-2025</t>
        </is>
      </c>
      <c r="B3665" s="1" t="n">
        <v>45898.5934375</v>
      </c>
      <c r="C3665" s="1" t="n">
        <v>46114</v>
      </c>
      <c r="D3665" t="inlineStr">
        <is>
          <t>DALARNAS LÄN</t>
        </is>
      </c>
      <c r="E3665" t="inlineStr">
        <is>
          <t>MALUNG-SÄLEN</t>
        </is>
      </c>
      <c r="F3665" t="inlineStr">
        <is>
          <t>Bergvik skog öst AB</t>
        </is>
      </c>
      <c r="G3665" t="n">
        <v>13.3</v>
      </c>
      <c r="H3665" t="n">
        <v>0</v>
      </c>
      <c r="I3665" t="n">
        <v>0</v>
      </c>
      <c r="J3665" t="n">
        <v>0</v>
      </c>
      <c r="K3665" t="n">
        <v>0</v>
      </c>
      <c r="L3665" t="n">
        <v>0</v>
      </c>
      <c r="M3665" t="n">
        <v>0</v>
      </c>
      <c r="N3665" t="n">
        <v>0</v>
      </c>
      <c r="O3665" t="n">
        <v>0</v>
      </c>
      <c r="P3665" t="n">
        <v>0</v>
      </c>
      <c r="Q3665" t="n">
        <v>0</v>
      </c>
      <c r="R3665" s="2" t="inlineStr"/>
    </row>
    <row r="3666" ht="15" customHeight="1">
      <c r="A3666" t="inlineStr">
        <is>
          <t>A 53464-2024</t>
        </is>
      </c>
      <c r="B3666" s="1" t="n">
        <v>45611</v>
      </c>
      <c r="C3666" s="1" t="n">
        <v>46114</v>
      </c>
      <c r="D3666" t="inlineStr">
        <is>
          <t>DALARNAS LÄN</t>
        </is>
      </c>
      <c r="E3666" t="inlineStr">
        <is>
          <t>LEKSAND</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4295-2025</t>
        </is>
      </c>
      <c r="B3667" s="1" t="n">
        <v>45685.66700231482</v>
      </c>
      <c r="C3667" s="1" t="n">
        <v>46114</v>
      </c>
      <c r="D3667" t="inlineStr">
        <is>
          <t>DALARNAS LÄN</t>
        </is>
      </c>
      <c r="E3667" t="inlineStr">
        <is>
          <t>SMEDJEBACKEN</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60448-2022</t>
        </is>
      </c>
      <c r="B3668" s="1" t="n">
        <v>44911.36712962963</v>
      </c>
      <c r="C3668" s="1" t="n">
        <v>46114</v>
      </c>
      <c r="D3668" t="inlineStr">
        <is>
          <t>DALARNAS LÄN</t>
        </is>
      </c>
      <c r="E3668" t="inlineStr">
        <is>
          <t>MALUNG-SÄLEN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23439-2025</t>
        </is>
      </c>
      <c r="B3669" s="1" t="n">
        <v>45792</v>
      </c>
      <c r="C3669" s="1" t="n">
        <v>46114</v>
      </c>
      <c r="D3669" t="inlineStr">
        <is>
          <t>DALARNAS LÄN</t>
        </is>
      </c>
      <c r="E3669" t="inlineStr">
        <is>
          <t>AVESTA</t>
        </is>
      </c>
      <c r="F3669" t="inlineStr">
        <is>
          <t>Sveaskog</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38723-2025</t>
        </is>
      </c>
      <c r="B3670" s="1" t="n">
        <v>45886</v>
      </c>
      <c r="C3670" s="1" t="n">
        <v>46114</v>
      </c>
      <c r="D3670" t="inlineStr">
        <is>
          <t>DALARNAS LÄN</t>
        </is>
      </c>
      <c r="E3670" t="inlineStr">
        <is>
          <t>GAGNEF</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35708-2025</t>
        </is>
      </c>
      <c r="B3671" s="1" t="n">
        <v>45860</v>
      </c>
      <c r="C3671" s="1" t="n">
        <v>46114</v>
      </c>
      <c r="D3671" t="inlineStr">
        <is>
          <t>DALARNAS LÄN</t>
        </is>
      </c>
      <c r="E3671" t="inlineStr">
        <is>
          <t>LUDVIKA</t>
        </is>
      </c>
      <c r="F3671" t="inlineStr">
        <is>
          <t>Bergvik skog väst AB</t>
        </is>
      </c>
      <c r="G3671" t="n">
        <v>2.7</v>
      </c>
      <c r="H3671" t="n">
        <v>0</v>
      </c>
      <c r="I3671" t="n">
        <v>0</v>
      </c>
      <c r="J3671" t="n">
        <v>0</v>
      </c>
      <c r="K3671" t="n">
        <v>0</v>
      </c>
      <c r="L3671" t="n">
        <v>0</v>
      </c>
      <c r="M3671" t="n">
        <v>0</v>
      </c>
      <c r="N3671" t="n">
        <v>0</v>
      </c>
      <c r="O3671" t="n">
        <v>0</v>
      </c>
      <c r="P3671" t="n">
        <v>0</v>
      </c>
      <c r="Q3671" t="n">
        <v>0</v>
      </c>
      <c r="R3671" s="2" t="inlineStr"/>
    </row>
    <row r="3672" ht="15" customHeight="1">
      <c r="A3672" t="inlineStr">
        <is>
          <t>A 41342-2025</t>
        </is>
      </c>
      <c r="B3672" s="1" t="n">
        <v>45899.40962962963</v>
      </c>
      <c r="C3672" s="1" t="n">
        <v>46114</v>
      </c>
      <c r="D3672" t="inlineStr">
        <is>
          <t>DALARNAS LÄN</t>
        </is>
      </c>
      <c r="E3672" t="inlineStr">
        <is>
          <t>FALUN</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36459-2025</t>
        </is>
      </c>
      <c r="B3673" s="1" t="n">
        <v>45869.45042824074</v>
      </c>
      <c r="C3673" s="1" t="n">
        <v>46114</v>
      </c>
      <c r="D3673" t="inlineStr">
        <is>
          <t>DALARNAS LÄN</t>
        </is>
      </c>
      <c r="E3673" t="inlineStr">
        <is>
          <t>FALUN</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41566-2025</t>
        </is>
      </c>
      <c r="B3674" s="1" t="n">
        <v>45901.6049537037</v>
      </c>
      <c r="C3674" s="1" t="n">
        <v>46114</v>
      </c>
      <c r="D3674" t="inlineStr">
        <is>
          <t>DALARNAS LÄN</t>
        </is>
      </c>
      <c r="E3674" t="inlineStr">
        <is>
          <t>ÄLVDALEN</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4355-2025</t>
        </is>
      </c>
      <c r="B3675" s="1" t="n">
        <v>45686.32821759259</v>
      </c>
      <c r="C3675" s="1" t="n">
        <v>46114</v>
      </c>
      <c r="D3675" t="inlineStr">
        <is>
          <t>DALARNAS LÄN</t>
        </is>
      </c>
      <c r="E3675" t="inlineStr">
        <is>
          <t>RÄTTVIK</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40981-2025</t>
        </is>
      </c>
      <c r="B3676" s="1" t="n">
        <v>45898.29179398148</v>
      </c>
      <c r="C3676" s="1" t="n">
        <v>46114</v>
      </c>
      <c r="D3676" t="inlineStr">
        <is>
          <t>DALARNAS LÄN</t>
        </is>
      </c>
      <c r="E3676" t="inlineStr">
        <is>
          <t>RÄTTVIK</t>
        </is>
      </c>
      <c r="G3676" t="n">
        <v>0.4</v>
      </c>
      <c r="H3676" t="n">
        <v>0</v>
      </c>
      <c r="I3676" t="n">
        <v>0</v>
      </c>
      <c r="J3676" t="n">
        <v>0</v>
      </c>
      <c r="K3676" t="n">
        <v>0</v>
      </c>
      <c r="L3676" t="n">
        <v>0</v>
      </c>
      <c r="M3676" t="n">
        <v>0</v>
      </c>
      <c r="N3676" t="n">
        <v>0</v>
      </c>
      <c r="O3676" t="n">
        <v>0</v>
      </c>
      <c r="P3676" t="n">
        <v>0</v>
      </c>
      <c r="Q3676" t="n">
        <v>0</v>
      </c>
      <c r="R3676" s="2" t="inlineStr"/>
    </row>
    <row r="3677" ht="15" customHeight="1">
      <c r="A3677" t="inlineStr">
        <is>
          <t>A 41175-2025</t>
        </is>
      </c>
      <c r="B3677" s="1" t="n">
        <v>45898.55165509259</v>
      </c>
      <c r="C3677" s="1" t="n">
        <v>46114</v>
      </c>
      <c r="D3677" t="inlineStr">
        <is>
          <t>DALARNAS LÄN</t>
        </is>
      </c>
      <c r="E3677" t="inlineStr">
        <is>
          <t>MORA</t>
        </is>
      </c>
      <c r="G3677" t="n">
        <v>4.5</v>
      </c>
      <c r="H3677" t="n">
        <v>0</v>
      </c>
      <c r="I3677" t="n">
        <v>0</v>
      </c>
      <c r="J3677" t="n">
        <v>0</v>
      </c>
      <c r="K3677" t="n">
        <v>0</v>
      </c>
      <c r="L3677" t="n">
        <v>0</v>
      </c>
      <c r="M3677" t="n">
        <v>0</v>
      </c>
      <c r="N3677" t="n">
        <v>0</v>
      </c>
      <c r="O3677" t="n">
        <v>0</v>
      </c>
      <c r="P3677" t="n">
        <v>0</v>
      </c>
      <c r="Q3677" t="n">
        <v>0</v>
      </c>
      <c r="R3677" s="2" t="inlineStr"/>
    </row>
    <row r="3678" ht="15" customHeight="1">
      <c r="A3678" t="inlineStr">
        <is>
          <t>A 36540-2025</t>
        </is>
      </c>
      <c r="B3678" s="1" t="n">
        <v>45869.63885416667</v>
      </c>
      <c r="C3678" s="1" t="n">
        <v>46114</v>
      </c>
      <c r="D3678" t="inlineStr">
        <is>
          <t>DALARNAS LÄN</t>
        </is>
      </c>
      <c r="E3678" t="inlineStr">
        <is>
          <t>LEKSAND</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42652-2024</t>
        </is>
      </c>
      <c r="B3679" s="1" t="n">
        <v>45566.32714120371</v>
      </c>
      <c r="C3679" s="1" t="n">
        <v>46114</v>
      </c>
      <c r="D3679" t="inlineStr">
        <is>
          <t>DALARNAS LÄN</t>
        </is>
      </c>
      <c r="E3679" t="inlineStr">
        <is>
          <t>MALUNG-SÄLEN</t>
        </is>
      </c>
      <c r="G3679" t="n">
        <v>8.5</v>
      </c>
      <c r="H3679" t="n">
        <v>0</v>
      </c>
      <c r="I3679" t="n">
        <v>0</v>
      </c>
      <c r="J3679" t="n">
        <v>0</v>
      </c>
      <c r="K3679" t="n">
        <v>0</v>
      </c>
      <c r="L3679" t="n">
        <v>0</v>
      </c>
      <c r="M3679" t="n">
        <v>0</v>
      </c>
      <c r="N3679" t="n">
        <v>0</v>
      </c>
      <c r="O3679" t="n">
        <v>0</v>
      </c>
      <c r="P3679" t="n">
        <v>0</v>
      </c>
      <c r="Q3679" t="n">
        <v>0</v>
      </c>
      <c r="R3679" s="2" t="inlineStr"/>
    </row>
    <row r="3680" ht="15" customHeight="1">
      <c r="A3680" t="inlineStr">
        <is>
          <t>A 43055-2024</t>
        </is>
      </c>
      <c r="B3680" s="1" t="n">
        <v>45567.45354166667</v>
      </c>
      <c r="C3680" s="1" t="n">
        <v>46114</v>
      </c>
      <c r="D3680" t="inlineStr">
        <is>
          <t>DALARNAS LÄN</t>
        </is>
      </c>
      <c r="E3680" t="inlineStr">
        <is>
          <t>LUDVIKA</t>
        </is>
      </c>
      <c r="F3680" t="inlineStr">
        <is>
          <t>Bergvik skog väst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6001-2024</t>
        </is>
      </c>
      <c r="B3681" s="1" t="n">
        <v>45336</v>
      </c>
      <c r="C3681" s="1" t="n">
        <v>46114</v>
      </c>
      <c r="D3681" t="inlineStr">
        <is>
          <t>DALARNAS LÄN</t>
        </is>
      </c>
      <c r="E3681" t="inlineStr">
        <is>
          <t>ÄLVDALEN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41237-2025</t>
        </is>
      </c>
      <c r="B3682" s="1" t="n">
        <v>45898.59570601852</v>
      </c>
      <c r="C3682" s="1" t="n">
        <v>46114</v>
      </c>
      <c r="D3682" t="inlineStr">
        <is>
          <t>DALARNAS LÄN</t>
        </is>
      </c>
      <c r="E3682" t="inlineStr">
        <is>
          <t>LEKSAND</t>
        </is>
      </c>
      <c r="F3682" t="inlineStr">
        <is>
          <t>Bergvik skog väst AB</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41248-2025</t>
        </is>
      </c>
      <c r="B3683" s="1" t="n">
        <v>45898.60199074074</v>
      </c>
      <c r="C3683" s="1" t="n">
        <v>46114</v>
      </c>
      <c r="D3683" t="inlineStr">
        <is>
          <t>DALARNAS LÄN</t>
        </is>
      </c>
      <c r="E3683" t="inlineStr">
        <is>
          <t>LEKSAND</t>
        </is>
      </c>
      <c r="F3683" t="inlineStr">
        <is>
          <t>Bergvik skog väst AB</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36436-2025</t>
        </is>
      </c>
      <c r="B3684" s="1" t="n">
        <v>45869</v>
      </c>
      <c r="C3684" s="1" t="n">
        <v>46114</v>
      </c>
      <c r="D3684" t="inlineStr">
        <is>
          <t>DALARNAS LÄN</t>
        </is>
      </c>
      <c r="E3684" t="inlineStr">
        <is>
          <t>LUDVIKA</t>
        </is>
      </c>
      <c r="F3684" t="inlineStr">
        <is>
          <t>Bergvik skog väst AB</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19578-2025</t>
        </is>
      </c>
      <c r="B3685" s="1" t="n">
        <v>45770</v>
      </c>
      <c r="C3685" s="1" t="n">
        <v>46114</v>
      </c>
      <c r="D3685" t="inlineStr">
        <is>
          <t>DALARNAS LÄN</t>
        </is>
      </c>
      <c r="E3685" t="inlineStr">
        <is>
          <t>ÄLVDALEN</t>
        </is>
      </c>
      <c r="F3685" t="inlineStr">
        <is>
          <t>Sveaskog</t>
        </is>
      </c>
      <c r="G3685" t="n">
        <v>15.2</v>
      </c>
      <c r="H3685" t="n">
        <v>0</v>
      </c>
      <c r="I3685" t="n">
        <v>0</v>
      </c>
      <c r="J3685" t="n">
        <v>0</v>
      </c>
      <c r="K3685" t="n">
        <v>0</v>
      </c>
      <c r="L3685" t="n">
        <v>0</v>
      </c>
      <c r="M3685" t="n">
        <v>0</v>
      </c>
      <c r="N3685" t="n">
        <v>0</v>
      </c>
      <c r="O3685" t="n">
        <v>0</v>
      </c>
      <c r="P3685" t="n">
        <v>0</v>
      </c>
      <c r="Q3685" t="n">
        <v>0</v>
      </c>
      <c r="R3685" s="2" t="inlineStr"/>
    </row>
    <row r="3686" ht="15" customHeight="1">
      <c r="A3686" t="inlineStr">
        <is>
          <t>A 36382-2025</t>
        </is>
      </c>
      <c r="B3686" s="1" t="n">
        <v>45868.57556712963</v>
      </c>
      <c r="C3686" s="1" t="n">
        <v>46114</v>
      </c>
      <c r="D3686" t="inlineStr">
        <is>
          <t>DALARNAS LÄN</t>
        </is>
      </c>
      <c r="E3686" t="inlineStr">
        <is>
          <t>VANSBRO</t>
        </is>
      </c>
      <c r="F3686" t="inlineStr">
        <is>
          <t>Bergvik skog öst AB</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8753-2024</t>
        </is>
      </c>
      <c r="B3687" s="1" t="n">
        <v>45356</v>
      </c>
      <c r="C3687" s="1" t="n">
        <v>46114</v>
      </c>
      <c r="D3687" t="inlineStr">
        <is>
          <t>DALARNAS LÄN</t>
        </is>
      </c>
      <c r="E3687" t="inlineStr">
        <is>
          <t>FALUN</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8757-2024</t>
        </is>
      </c>
      <c r="B3688" s="1" t="n">
        <v>45356.516875</v>
      </c>
      <c r="C3688" s="1" t="n">
        <v>46114</v>
      </c>
      <c r="D3688" t="inlineStr">
        <is>
          <t>DALARNAS LÄN</t>
        </is>
      </c>
      <c r="E3688" t="inlineStr">
        <is>
          <t>FALUN</t>
        </is>
      </c>
      <c r="G3688" t="n">
        <v>23.3</v>
      </c>
      <c r="H3688" t="n">
        <v>0</v>
      </c>
      <c r="I3688" t="n">
        <v>0</v>
      </c>
      <c r="J3688" t="n">
        <v>0</v>
      </c>
      <c r="K3688" t="n">
        <v>0</v>
      </c>
      <c r="L3688" t="n">
        <v>0</v>
      </c>
      <c r="M3688" t="n">
        <v>0</v>
      </c>
      <c r="N3688" t="n">
        <v>0</v>
      </c>
      <c r="O3688" t="n">
        <v>0</v>
      </c>
      <c r="P3688" t="n">
        <v>0</v>
      </c>
      <c r="Q3688" t="n">
        <v>0</v>
      </c>
      <c r="R3688" s="2" t="inlineStr"/>
    </row>
    <row r="3689" ht="15" customHeight="1">
      <c r="A3689" t="inlineStr">
        <is>
          <t>A 505-2024</t>
        </is>
      </c>
      <c r="B3689" s="1" t="n">
        <v>45299</v>
      </c>
      <c r="C3689" s="1" t="n">
        <v>46114</v>
      </c>
      <c r="D3689" t="inlineStr">
        <is>
          <t>DALARNAS LÄN</t>
        </is>
      </c>
      <c r="E3689" t="inlineStr">
        <is>
          <t>ÄLVDALEN</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41571-2025</t>
        </is>
      </c>
      <c r="B3690" s="1" t="n">
        <v>45901.61150462963</v>
      </c>
      <c r="C3690" s="1" t="n">
        <v>46114</v>
      </c>
      <c r="D3690" t="inlineStr">
        <is>
          <t>DALARNAS LÄN</t>
        </is>
      </c>
      <c r="E3690" t="inlineStr">
        <is>
          <t>ÄLVDALEN</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34374-2022</t>
        </is>
      </c>
      <c r="B3691" s="1" t="n">
        <v>44792.48170138889</v>
      </c>
      <c r="C3691" s="1" t="n">
        <v>46114</v>
      </c>
      <c r="D3691" t="inlineStr">
        <is>
          <t>DALARNAS LÄN</t>
        </is>
      </c>
      <c r="E3691" t="inlineStr">
        <is>
          <t>SMEDJEBACKEN</t>
        </is>
      </c>
      <c r="F3691" t="inlineStr">
        <is>
          <t>Sveaskog</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36586-2025</t>
        </is>
      </c>
      <c r="B3692" s="1" t="n">
        <v>45869</v>
      </c>
      <c r="C3692" s="1" t="n">
        <v>46114</v>
      </c>
      <c r="D3692" t="inlineStr">
        <is>
          <t>DALARNAS LÄN</t>
        </is>
      </c>
      <c r="E3692" t="inlineStr">
        <is>
          <t>MORA</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571-2024</t>
        </is>
      </c>
      <c r="B3693" s="1" t="n">
        <v>45299</v>
      </c>
      <c r="C3693" s="1" t="n">
        <v>46114</v>
      </c>
      <c r="D3693" t="inlineStr">
        <is>
          <t>DALARNAS LÄN</t>
        </is>
      </c>
      <c r="E3693" t="inlineStr">
        <is>
          <t>MORA</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5837-2025</t>
        </is>
      </c>
      <c r="B3694" s="1" t="n">
        <v>45694.87980324074</v>
      </c>
      <c r="C3694" s="1" t="n">
        <v>46114</v>
      </c>
      <c r="D3694" t="inlineStr">
        <is>
          <t>DALARNAS LÄN</t>
        </is>
      </c>
      <c r="E3694" t="inlineStr">
        <is>
          <t>MALUNG-SÄLEN</t>
        </is>
      </c>
      <c r="G3694" t="n">
        <v>4.9</v>
      </c>
      <c r="H3694" t="n">
        <v>0</v>
      </c>
      <c r="I3694" t="n">
        <v>0</v>
      </c>
      <c r="J3694" t="n">
        <v>0</v>
      </c>
      <c r="K3694" t="n">
        <v>0</v>
      </c>
      <c r="L3694" t="n">
        <v>0</v>
      </c>
      <c r="M3694" t="n">
        <v>0</v>
      </c>
      <c r="N3694" t="n">
        <v>0</v>
      </c>
      <c r="O3694" t="n">
        <v>0</v>
      </c>
      <c r="P3694" t="n">
        <v>0</v>
      </c>
      <c r="Q3694" t="n">
        <v>0</v>
      </c>
      <c r="R3694" s="2" t="inlineStr"/>
    </row>
    <row r="3695" ht="15" customHeight="1">
      <c r="A3695" t="inlineStr">
        <is>
          <t>A 33936-2024</t>
        </is>
      </c>
      <c r="B3695" s="1" t="n">
        <v>45522</v>
      </c>
      <c r="C3695" s="1" t="n">
        <v>46114</v>
      </c>
      <c r="D3695" t="inlineStr">
        <is>
          <t>DALARNAS LÄN</t>
        </is>
      </c>
      <c r="E3695" t="inlineStr">
        <is>
          <t>SMEDJEBACKEN</t>
        </is>
      </c>
      <c r="F3695" t="inlineStr">
        <is>
          <t>Bergvik skog väst AB</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42308-2021</t>
        </is>
      </c>
      <c r="B3696" s="1" t="n">
        <v>44427</v>
      </c>
      <c r="C3696" s="1" t="n">
        <v>46114</v>
      </c>
      <c r="D3696" t="inlineStr">
        <is>
          <t>DALARNAS LÄN</t>
        </is>
      </c>
      <c r="E3696" t="inlineStr">
        <is>
          <t>GAGNEF</t>
        </is>
      </c>
      <c r="F3696" t="inlineStr">
        <is>
          <t>Bergvik skog väst AB</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14172-2025</t>
        </is>
      </c>
      <c r="B3697" s="1" t="n">
        <v>45740</v>
      </c>
      <c r="C3697" s="1" t="n">
        <v>46114</v>
      </c>
      <c r="D3697" t="inlineStr">
        <is>
          <t>DALARNAS LÄN</t>
        </is>
      </c>
      <c r="E3697" t="inlineStr">
        <is>
          <t>SÄTER</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14175-2025</t>
        </is>
      </c>
      <c r="B3698" s="1" t="n">
        <v>45740</v>
      </c>
      <c r="C3698" s="1" t="n">
        <v>46114</v>
      </c>
      <c r="D3698" t="inlineStr">
        <is>
          <t>DALARNAS LÄN</t>
        </is>
      </c>
      <c r="E3698" t="inlineStr">
        <is>
          <t>SÄTER</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41065-2025</t>
        </is>
      </c>
      <c r="B3699" s="1" t="n">
        <v>45898.41145833334</v>
      </c>
      <c r="C3699" s="1" t="n">
        <v>46114</v>
      </c>
      <c r="D3699" t="inlineStr">
        <is>
          <t>DALARNAS LÄN</t>
        </is>
      </c>
      <c r="E3699" t="inlineStr">
        <is>
          <t>GAGNEF</t>
        </is>
      </c>
      <c r="G3699" t="n">
        <v>7.1</v>
      </c>
      <c r="H3699" t="n">
        <v>0</v>
      </c>
      <c r="I3699" t="n">
        <v>0</v>
      </c>
      <c r="J3699" t="n">
        <v>0</v>
      </c>
      <c r="K3699" t="n">
        <v>0</v>
      </c>
      <c r="L3699" t="n">
        <v>0</v>
      </c>
      <c r="M3699" t="n">
        <v>0</v>
      </c>
      <c r="N3699" t="n">
        <v>0</v>
      </c>
      <c r="O3699" t="n">
        <v>0</v>
      </c>
      <c r="P3699" t="n">
        <v>0</v>
      </c>
      <c r="Q3699" t="n">
        <v>0</v>
      </c>
      <c r="R3699" s="2" t="inlineStr"/>
    </row>
    <row r="3700" ht="15" customHeight="1">
      <c r="A3700" t="inlineStr">
        <is>
          <t>A 44471-2024</t>
        </is>
      </c>
      <c r="B3700" s="1" t="n">
        <v>45574.37385416667</v>
      </c>
      <c r="C3700" s="1" t="n">
        <v>46114</v>
      </c>
      <c r="D3700" t="inlineStr">
        <is>
          <t>DALARNAS LÄN</t>
        </is>
      </c>
      <c r="E3700" t="inlineStr">
        <is>
          <t>AVESTA</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36760-2025</t>
        </is>
      </c>
      <c r="B3701" s="1" t="n">
        <v>45873.57319444444</v>
      </c>
      <c r="C3701" s="1" t="n">
        <v>46114</v>
      </c>
      <c r="D3701" t="inlineStr">
        <is>
          <t>DALARNAS LÄN</t>
        </is>
      </c>
      <c r="E3701" t="inlineStr">
        <is>
          <t>MORA</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36802-2025</t>
        </is>
      </c>
      <c r="B3702" s="1" t="n">
        <v>45873.67197916667</v>
      </c>
      <c r="C3702" s="1" t="n">
        <v>46114</v>
      </c>
      <c r="D3702" t="inlineStr">
        <is>
          <t>DALARNAS LÄN</t>
        </is>
      </c>
      <c r="E3702" t="inlineStr">
        <is>
          <t>GAGNEF</t>
        </is>
      </c>
      <c r="G3702" t="n">
        <v>8.800000000000001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54493-2023</t>
        </is>
      </c>
      <c r="B3703" s="1" t="n">
        <v>45233.50606481481</v>
      </c>
      <c r="C3703" s="1" t="n">
        <v>46114</v>
      </c>
      <c r="D3703" t="inlineStr">
        <is>
          <t>DALARNAS LÄN</t>
        </is>
      </c>
      <c r="E3703" t="inlineStr">
        <is>
          <t>ÄLVDALEN</t>
        </is>
      </c>
      <c r="F3703" t="inlineStr">
        <is>
          <t>Allmännings- och besparingsskogar</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36679-2025</t>
        </is>
      </c>
      <c r="B3704" s="1" t="n">
        <v>45873.39715277778</v>
      </c>
      <c r="C3704" s="1" t="n">
        <v>46114</v>
      </c>
      <c r="D3704" t="inlineStr">
        <is>
          <t>DALARNAS LÄN</t>
        </is>
      </c>
      <c r="E3704" t="inlineStr">
        <is>
          <t>BORLÄNGE</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54519-2023</t>
        </is>
      </c>
      <c r="B3705" s="1" t="n">
        <v>45233.58359953704</v>
      </c>
      <c r="C3705" s="1" t="n">
        <v>46114</v>
      </c>
      <c r="D3705" t="inlineStr">
        <is>
          <t>DALARNAS LÄN</t>
        </is>
      </c>
      <c r="E3705" t="inlineStr">
        <is>
          <t>ORSA</t>
        </is>
      </c>
      <c r="F3705" t="inlineStr">
        <is>
          <t>Allmännings- och besparingsskogar</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6654-2024</t>
        </is>
      </c>
      <c r="B3706" s="1" t="n">
        <v>45341.68972222223</v>
      </c>
      <c r="C3706" s="1" t="n">
        <v>46114</v>
      </c>
      <c r="D3706" t="inlineStr">
        <is>
          <t>DALARNAS LÄN</t>
        </is>
      </c>
      <c r="E3706" t="inlineStr">
        <is>
          <t>BORLÄNGE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41308-2025</t>
        </is>
      </c>
      <c r="B3707" s="1" t="n">
        <v>45898</v>
      </c>
      <c r="C3707" s="1" t="n">
        <v>46114</v>
      </c>
      <c r="D3707" t="inlineStr">
        <is>
          <t>DALARNAS LÄN</t>
        </is>
      </c>
      <c r="E3707" t="inlineStr">
        <is>
          <t>LEKSAND</t>
        </is>
      </c>
      <c r="F3707" t="inlineStr">
        <is>
          <t>Bergvik skog väst AB</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36549-2025</t>
        </is>
      </c>
      <c r="B3708" s="1" t="n">
        <v>45870.32357638889</v>
      </c>
      <c r="C3708" s="1" t="n">
        <v>46114</v>
      </c>
      <c r="D3708" t="inlineStr">
        <is>
          <t>DALARNAS LÄN</t>
        </is>
      </c>
      <c r="E3708" t="inlineStr">
        <is>
          <t>SÄTER</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54537-2023</t>
        </is>
      </c>
      <c r="B3709" s="1" t="n">
        <v>45233.6091087963</v>
      </c>
      <c r="C3709" s="1" t="n">
        <v>46114</v>
      </c>
      <c r="D3709" t="inlineStr">
        <is>
          <t>DALARNAS LÄN</t>
        </is>
      </c>
      <c r="E3709" t="inlineStr">
        <is>
          <t>FALUN</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20549-2025</t>
        </is>
      </c>
      <c r="B3710" s="1" t="n">
        <v>45775.63459490741</v>
      </c>
      <c r="C3710" s="1" t="n">
        <v>46114</v>
      </c>
      <c r="D3710" t="inlineStr">
        <is>
          <t>DALARNAS LÄN</t>
        </is>
      </c>
      <c r="E3710" t="inlineStr">
        <is>
          <t>MORA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36570-2025</t>
        </is>
      </c>
      <c r="B3711" s="1" t="n">
        <v>45870.38728009259</v>
      </c>
      <c r="C3711" s="1" t="n">
        <v>46114</v>
      </c>
      <c r="D3711" t="inlineStr">
        <is>
          <t>DALARNAS LÄN</t>
        </is>
      </c>
      <c r="E3711" t="inlineStr">
        <is>
          <t>ORSA</t>
        </is>
      </c>
      <c r="F3711" t="inlineStr">
        <is>
          <t>Bergvik skog öst AB</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41250-2025</t>
        </is>
      </c>
      <c r="B3712" s="1" t="n">
        <v>45898.60506944444</v>
      </c>
      <c r="C3712" s="1" t="n">
        <v>46114</v>
      </c>
      <c r="D3712" t="inlineStr">
        <is>
          <t>DALARNAS LÄN</t>
        </is>
      </c>
      <c r="E3712" t="inlineStr">
        <is>
          <t>MALUNG-SÄLEN</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41269-2025</t>
        </is>
      </c>
      <c r="B3713" s="1" t="n">
        <v>45898</v>
      </c>
      <c r="C3713" s="1" t="n">
        <v>46114</v>
      </c>
      <c r="D3713" t="inlineStr">
        <is>
          <t>DALARNAS LÄN</t>
        </is>
      </c>
      <c r="E3713" t="inlineStr">
        <is>
          <t>LUDVIKA</t>
        </is>
      </c>
      <c r="F3713" t="inlineStr">
        <is>
          <t>Bergvik skog väst AB</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2043-2025</t>
        </is>
      </c>
      <c r="B3714" s="1" t="n">
        <v>45671</v>
      </c>
      <c r="C3714" s="1" t="n">
        <v>46114</v>
      </c>
      <c r="D3714" t="inlineStr">
        <is>
          <t>DALARNAS LÄN</t>
        </is>
      </c>
      <c r="E3714" t="inlineStr">
        <is>
          <t>RÄTTVIK</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55811-2022</t>
        </is>
      </c>
      <c r="B3715" s="1" t="n">
        <v>44888</v>
      </c>
      <c r="C3715" s="1" t="n">
        <v>46114</v>
      </c>
      <c r="D3715" t="inlineStr">
        <is>
          <t>DALARNAS LÄN</t>
        </is>
      </c>
      <c r="E3715" t="inlineStr">
        <is>
          <t>SMEDJEBACKEN</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41099-2025</t>
        </is>
      </c>
      <c r="B3716" s="1" t="n">
        <v>45898</v>
      </c>
      <c r="C3716" s="1" t="n">
        <v>46114</v>
      </c>
      <c r="D3716" t="inlineStr">
        <is>
          <t>DALARNAS LÄN</t>
        </is>
      </c>
      <c r="E3716" t="inlineStr">
        <is>
          <t>LUDVIKA</t>
        </is>
      </c>
      <c r="F3716" t="inlineStr">
        <is>
          <t>Bergvik skog väst AB</t>
        </is>
      </c>
      <c r="G3716" t="n">
        <v>4.8</v>
      </c>
      <c r="H3716" t="n">
        <v>0</v>
      </c>
      <c r="I3716" t="n">
        <v>0</v>
      </c>
      <c r="J3716" t="n">
        <v>0</v>
      </c>
      <c r="K3716" t="n">
        <v>0</v>
      </c>
      <c r="L3716" t="n">
        <v>0</v>
      </c>
      <c r="M3716" t="n">
        <v>0</v>
      </c>
      <c r="N3716" t="n">
        <v>0</v>
      </c>
      <c r="O3716" t="n">
        <v>0</v>
      </c>
      <c r="P3716" t="n">
        <v>0</v>
      </c>
      <c r="Q3716" t="n">
        <v>0</v>
      </c>
      <c r="R3716" s="2" t="inlineStr"/>
    </row>
    <row r="3717" ht="15" customHeight="1">
      <c r="A3717" t="inlineStr">
        <is>
          <t>A 41114-2025</t>
        </is>
      </c>
      <c r="B3717" s="1" t="n">
        <v>45898.4618287037</v>
      </c>
      <c r="C3717" s="1" t="n">
        <v>46114</v>
      </c>
      <c r="D3717" t="inlineStr">
        <is>
          <t>DALARNAS LÄN</t>
        </is>
      </c>
      <c r="E3717" t="inlineStr">
        <is>
          <t>FALUN</t>
        </is>
      </c>
      <c r="G3717" t="n">
        <v>3.2</v>
      </c>
      <c r="H3717" t="n">
        <v>0</v>
      </c>
      <c r="I3717" t="n">
        <v>0</v>
      </c>
      <c r="J3717" t="n">
        <v>0</v>
      </c>
      <c r="K3717" t="n">
        <v>0</v>
      </c>
      <c r="L3717" t="n">
        <v>0</v>
      </c>
      <c r="M3717" t="n">
        <v>0</v>
      </c>
      <c r="N3717" t="n">
        <v>0</v>
      </c>
      <c r="O3717" t="n">
        <v>0</v>
      </c>
      <c r="P3717" t="n">
        <v>0</v>
      </c>
      <c r="Q3717" t="n">
        <v>0</v>
      </c>
      <c r="R3717" s="2" t="inlineStr"/>
    </row>
    <row r="3718" ht="15" customHeight="1">
      <c r="A3718" t="inlineStr">
        <is>
          <t>A 12478-2025</t>
        </is>
      </c>
      <c r="B3718" s="1" t="n">
        <v>45730.57429398148</v>
      </c>
      <c r="C3718" s="1" t="n">
        <v>46114</v>
      </c>
      <c r="D3718" t="inlineStr">
        <is>
          <t>DALARNAS LÄN</t>
        </is>
      </c>
      <c r="E3718" t="inlineStr">
        <is>
          <t>MORA</t>
        </is>
      </c>
      <c r="F3718" t="inlineStr">
        <is>
          <t>Bergvik skog öst AB</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64521-2023</t>
        </is>
      </c>
      <c r="B3719" s="1" t="n">
        <v>45281</v>
      </c>
      <c r="C3719" s="1" t="n">
        <v>46114</v>
      </c>
      <c r="D3719" t="inlineStr">
        <is>
          <t>DALARNAS LÄN</t>
        </is>
      </c>
      <c r="E3719" t="inlineStr">
        <is>
          <t>FALUN</t>
        </is>
      </c>
      <c r="G3719" t="n">
        <v>1.7</v>
      </c>
      <c r="H3719" t="n">
        <v>0</v>
      </c>
      <c r="I3719" t="n">
        <v>0</v>
      </c>
      <c r="J3719" t="n">
        <v>0</v>
      </c>
      <c r="K3719" t="n">
        <v>0</v>
      </c>
      <c r="L3719" t="n">
        <v>0</v>
      </c>
      <c r="M3719" t="n">
        <v>0</v>
      </c>
      <c r="N3719" t="n">
        <v>0</v>
      </c>
      <c r="O3719" t="n">
        <v>0</v>
      </c>
      <c r="P3719" t="n">
        <v>0</v>
      </c>
      <c r="Q3719" t="n">
        <v>0</v>
      </c>
      <c r="R3719" s="2" t="inlineStr"/>
    </row>
    <row r="3720" ht="15" customHeight="1">
      <c r="A3720" t="inlineStr">
        <is>
          <t>A 4417-2025</t>
        </is>
      </c>
      <c r="B3720" s="1" t="n">
        <v>45686.46539351852</v>
      </c>
      <c r="C3720" s="1" t="n">
        <v>46114</v>
      </c>
      <c r="D3720" t="inlineStr">
        <is>
          <t>DALARNAS LÄN</t>
        </is>
      </c>
      <c r="E3720" t="inlineStr">
        <is>
          <t>RÄTTVIK</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41614-2025</t>
        </is>
      </c>
      <c r="B3721" s="1" t="n">
        <v>45901.68267361111</v>
      </c>
      <c r="C3721" s="1" t="n">
        <v>46114</v>
      </c>
      <c r="D3721" t="inlineStr">
        <is>
          <t>DALARNAS LÄN</t>
        </is>
      </c>
      <c r="E3721" t="inlineStr">
        <is>
          <t>MORA</t>
        </is>
      </c>
      <c r="F3721" t="inlineStr">
        <is>
          <t>Bergvik skog väst AB</t>
        </is>
      </c>
      <c r="G3721" t="n">
        <v>13.8</v>
      </c>
      <c r="H3721" t="n">
        <v>0</v>
      </c>
      <c r="I3721" t="n">
        <v>0</v>
      </c>
      <c r="J3721" t="n">
        <v>0</v>
      </c>
      <c r="K3721" t="n">
        <v>0</v>
      </c>
      <c r="L3721" t="n">
        <v>0</v>
      </c>
      <c r="M3721" t="n">
        <v>0</v>
      </c>
      <c r="N3721" t="n">
        <v>0</v>
      </c>
      <c r="O3721" t="n">
        <v>0</v>
      </c>
      <c r="P3721" t="n">
        <v>0</v>
      </c>
      <c r="Q3721" t="n">
        <v>0</v>
      </c>
      <c r="R3721" s="2" t="inlineStr"/>
    </row>
    <row r="3722" ht="15" customHeight="1">
      <c r="A3722" t="inlineStr">
        <is>
          <t>A 14383-2025</t>
        </is>
      </c>
      <c r="B3722" s="1" t="n">
        <v>45741.41736111111</v>
      </c>
      <c r="C3722" s="1" t="n">
        <v>46114</v>
      </c>
      <c r="D3722" t="inlineStr">
        <is>
          <t>DALARNAS LÄN</t>
        </is>
      </c>
      <c r="E3722" t="inlineStr">
        <is>
          <t>FALUN</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1305-2022</t>
        </is>
      </c>
      <c r="B3723" s="1" t="n">
        <v>44572</v>
      </c>
      <c r="C3723" s="1" t="n">
        <v>46114</v>
      </c>
      <c r="D3723" t="inlineStr">
        <is>
          <t>DALARNAS LÄN</t>
        </is>
      </c>
      <c r="E3723" t="inlineStr">
        <is>
          <t>SÄTER</t>
        </is>
      </c>
      <c r="G3723" t="n">
        <v>6.6</v>
      </c>
      <c r="H3723" t="n">
        <v>0</v>
      </c>
      <c r="I3723" t="n">
        <v>0</v>
      </c>
      <c r="J3723" t="n">
        <v>0</v>
      </c>
      <c r="K3723" t="n">
        <v>0</v>
      </c>
      <c r="L3723" t="n">
        <v>0</v>
      </c>
      <c r="M3723" t="n">
        <v>0</v>
      </c>
      <c r="N3723" t="n">
        <v>0</v>
      </c>
      <c r="O3723" t="n">
        <v>0</v>
      </c>
      <c r="P3723" t="n">
        <v>0</v>
      </c>
      <c r="Q3723" t="n">
        <v>0</v>
      </c>
      <c r="R3723" s="2" t="inlineStr"/>
    </row>
    <row r="3724" ht="15" customHeight="1">
      <c r="A3724" t="inlineStr">
        <is>
          <t>A 41485-2025</t>
        </is>
      </c>
      <c r="B3724" s="1" t="n">
        <v>45901.48072916667</v>
      </c>
      <c r="C3724" s="1" t="n">
        <v>46114</v>
      </c>
      <c r="D3724" t="inlineStr">
        <is>
          <t>DALARNAS LÄN</t>
        </is>
      </c>
      <c r="E3724" t="inlineStr">
        <is>
          <t>FALUN</t>
        </is>
      </c>
      <c r="G3724" t="n">
        <v>1.9</v>
      </c>
      <c r="H3724" t="n">
        <v>0</v>
      </c>
      <c r="I3724" t="n">
        <v>0</v>
      </c>
      <c r="J3724" t="n">
        <v>0</v>
      </c>
      <c r="K3724" t="n">
        <v>0</v>
      </c>
      <c r="L3724" t="n">
        <v>0</v>
      </c>
      <c r="M3724" t="n">
        <v>0</v>
      </c>
      <c r="N3724" t="n">
        <v>0</v>
      </c>
      <c r="O3724" t="n">
        <v>0</v>
      </c>
      <c r="P3724" t="n">
        <v>0</v>
      </c>
      <c r="Q3724" t="n">
        <v>0</v>
      </c>
      <c r="R3724" s="2" t="inlineStr"/>
    </row>
    <row r="3725" ht="15" customHeight="1">
      <c r="A3725" t="inlineStr">
        <is>
          <t>A 36696-2025</t>
        </is>
      </c>
      <c r="B3725" s="1" t="n">
        <v>45873.43974537037</v>
      </c>
      <c r="C3725" s="1" t="n">
        <v>46114</v>
      </c>
      <c r="D3725" t="inlineStr">
        <is>
          <t>DALARNAS LÄN</t>
        </is>
      </c>
      <c r="E3725" t="inlineStr">
        <is>
          <t>BORLÄNGE</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36748-2025</t>
        </is>
      </c>
      <c r="B3726" s="1" t="n">
        <v>45873.54944444444</v>
      </c>
      <c r="C3726" s="1" t="n">
        <v>46114</v>
      </c>
      <c r="D3726" t="inlineStr">
        <is>
          <t>DALARNAS LÄN</t>
        </is>
      </c>
      <c r="E3726" t="inlineStr">
        <is>
          <t>RÄTTVIK</t>
        </is>
      </c>
      <c r="G3726" t="n">
        <v>10.9</v>
      </c>
      <c r="H3726" t="n">
        <v>0</v>
      </c>
      <c r="I3726" t="n">
        <v>0</v>
      </c>
      <c r="J3726" t="n">
        <v>0</v>
      </c>
      <c r="K3726" t="n">
        <v>0</v>
      </c>
      <c r="L3726" t="n">
        <v>0</v>
      </c>
      <c r="M3726" t="n">
        <v>0</v>
      </c>
      <c r="N3726" t="n">
        <v>0</v>
      </c>
      <c r="O3726" t="n">
        <v>0</v>
      </c>
      <c r="P3726" t="n">
        <v>0</v>
      </c>
      <c r="Q3726" t="n">
        <v>0</v>
      </c>
      <c r="R3726" s="2" t="inlineStr"/>
    </row>
    <row r="3727" ht="15" customHeight="1">
      <c r="A3727" t="inlineStr">
        <is>
          <t>A 52765-2024</t>
        </is>
      </c>
      <c r="B3727" s="1" t="n">
        <v>45610.5128587963</v>
      </c>
      <c r="C3727" s="1" t="n">
        <v>46114</v>
      </c>
      <c r="D3727" t="inlineStr">
        <is>
          <t>DALARNAS LÄN</t>
        </is>
      </c>
      <c r="E3727" t="inlineStr">
        <is>
          <t>SMEDJEBACKEN</t>
        </is>
      </c>
      <c r="F3727" t="inlineStr">
        <is>
          <t>Sveaskog</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26009-2022</t>
        </is>
      </c>
      <c r="B3728" s="1" t="n">
        <v>44734.54503472222</v>
      </c>
      <c r="C3728" s="1" t="n">
        <v>46114</v>
      </c>
      <c r="D3728" t="inlineStr">
        <is>
          <t>DALARNAS LÄN</t>
        </is>
      </c>
      <c r="E3728" t="inlineStr">
        <is>
          <t>SMEDJEBACKEN</t>
        </is>
      </c>
      <c r="F3728" t="inlineStr">
        <is>
          <t>Sveaskog</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2375-2024</t>
        </is>
      </c>
      <c r="B3729" s="1" t="n">
        <v>45310</v>
      </c>
      <c r="C3729" s="1" t="n">
        <v>46114</v>
      </c>
      <c r="D3729" t="inlineStr">
        <is>
          <t>DALARNAS LÄN</t>
        </is>
      </c>
      <c r="E3729" t="inlineStr">
        <is>
          <t>ÄLVDALEN</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41464-2025</t>
        </is>
      </c>
      <c r="B3730" s="1" t="n">
        <v>45901.45232638889</v>
      </c>
      <c r="C3730" s="1" t="n">
        <v>46114</v>
      </c>
      <c r="D3730" t="inlineStr">
        <is>
          <t>DALARNAS LÄN</t>
        </is>
      </c>
      <c r="E3730" t="inlineStr">
        <is>
          <t>RÄTTVIK</t>
        </is>
      </c>
      <c r="F3730" t="inlineStr">
        <is>
          <t>Sveaskog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41479-2025</t>
        </is>
      </c>
      <c r="B3731" s="1" t="n">
        <v>45901.47142361111</v>
      </c>
      <c r="C3731" s="1" t="n">
        <v>46114</v>
      </c>
      <c r="D3731" t="inlineStr">
        <is>
          <t>DALARNAS LÄN</t>
        </is>
      </c>
      <c r="E3731" t="inlineStr">
        <is>
          <t>SMEDJEBACKEN</t>
        </is>
      </c>
      <c r="G3731" t="n">
        <v>2.9</v>
      </c>
      <c r="H3731" t="n">
        <v>0</v>
      </c>
      <c r="I3731" t="n">
        <v>0</v>
      </c>
      <c r="J3731" t="n">
        <v>0</v>
      </c>
      <c r="K3731" t="n">
        <v>0</v>
      </c>
      <c r="L3731" t="n">
        <v>0</v>
      </c>
      <c r="M3731" t="n">
        <v>0</v>
      </c>
      <c r="N3731" t="n">
        <v>0</v>
      </c>
      <c r="O3731" t="n">
        <v>0</v>
      </c>
      <c r="P3731" t="n">
        <v>0</v>
      </c>
      <c r="Q3731" t="n">
        <v>0</v>
      </c>
      <c r="R3731" s="2" t="inlineStr"/>
    </row>
    <row r="3732" ht="15" customHeight="1">
      <c r="A3732" t="inlineStr">
        <is>
          <t>A 13185-2022</t>
        </is>
      </c>
      <c r="B3732" s="1" t="n">
        <v>44644.48491898148</v>
      </c>
      <c r="C3732" s="1" t="n">
        <v>46114</v>
      </c>
      <c r="D3732" t="inlineStr">
        <is>
          <t>DALARNAS LÄN</t>
        </is>
      </c>
      <c r="E3732" t="inlineStr">
        <is>
          <t>ORSA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38803-2021</t>
        </is>
      </c>
      <c r="B3733" s="1" t="n">
        <v>44410</v>
      </c>
      <c r="C3733" s="1" t="n">
        <v>46114</v>
      </c>
      <c r="D3733" t="inlineStr">
        <is>
          <t>DALARNAS LÄN</t>
        </is>
      </c>
      <c r="E3733" t="inlineStr">
        <is>
          <t>SMEDJEBACKEN</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2879-2022</t>
        </is>
      </c>
      <c r="B3734" s="1" t="n">
        <v>44581</v>
      </c>
      <c r="C3734" s="1" t="n">
        <v>46114</v>
      </c>
      <c r="D3734" t="inlineStr">
        <is>
          <t>DALARNAS LÄN</t>
        </is>
      </c>
      <c r="E3734" t="inlineStr">
        <is>
          <t>MORA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20545-2025</t>
        </is>
      </c>
      <c r="B3735" s="1" t="n">
        <v>45775.63165509259</v>
      </c>
      <c r="C3735" s="1" t="n">
        <v>46114</v>
      </c>
      <c r="D3735" t="inlineStr">
        <is>
          <t>DALARNAS LÄN</t>
        </is>
      </c>
      <c r="E3735" t="inlineStr">
        <is>
          <t>MALUNG-SÄLEN</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42688-2024</t>
        </is>
      </c>
      <c r="B3736" s="1" t="n">
        <v>45565</v>
      </c>
      <c r="C3736" s="1" t="n">
        <v>46114</v>
      </c>
      <c r="D3736" t="inlineStr">
        <is>
          <t>DALARNAS LÄN</t>
        </is>
      </c>
      <c r="E3736" t="inlineStr">
        <is>
          <t>SMEDJEBACKEN</t>
        </is>
      </c>
      <c r="F3736" t="inlineStr">
        <is>
          <t>Bergvik skog väst AB</t>
        </is>
      </c>
      <c r="G3736" t="n">
        <v>26.9</v>
      </c>
      <c r="H3736" t="n">
        <v>0</v>
      </c>
      <c r="I3736" t="n">
        <v>0</v>
      </c>
      <c r="J3736" t="n">
        <v>0</v>
      </c>
      <c r="K3736" t="n">
        <v>0</v>
      </c>
      <c r="L3736" t="n">
        <v>0</v>
      </c>
      <c r="M3736" t="n">
        <v>0</v>
      </c>
      <c r="N3736" t="n">
        <v>0</v>
      </c>
      <c r="O3736" t="n">
        <v>0</v>
      </c>
      <c r="P3736" t="n">
        <v>0</v>
      </c>
      <c r="Q3736" t="n">
        <v>0</v>
      </c>
      <c r="R3736" s="2" t="inlineStr"/>
    </row>
    <row r="3737" ht="15" customHeight="1">
      <c r="A3737" t="inlineStr">
        <is>
          <t>A 30667-2024</t>
        </is>
      </c>
      <c r="B3737" s="1" t="n">
        <v>45495.70825231481</v>
      </c>
      <c r="C3737" s="1" t="n">
        <v>46114</v>
      </c>
      <c r="D3737" t="inlineStr">
        <is>
          <t>DALARNAS LÄN</t>
        </is>
      </c>
      <c r="E3737" t="inlineStr">
        <is>
          <t>GAGNEF</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42715-2024</t>
        </is>
      </c>
      <c r="B3738" s="1" t="n">
        <v>45566.45429398148</v>
      </c>
      <c r="C3738" s="1" t="n">
        <v>46114</v>
      </c>
      <c r="D3738" t="inlineStr">
        <is>
          <t>DALARNAS LÄN</t>
        </is>
      </c>
      <c r="E3738" t="inlineStr">
        <is>
          <t>GAGNEF</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41335-2025</t>
        </is>
      </c>
      <c r="B3739" s="1" t="n">
        <v>45899.36747685185</v>
      </c>
      <c r="C3739" s="1" t="n">
        <v>46114</v>
      </c>
      <c r="D3739" t="inlineStr">
        <is>
          <t>DALARNAS LÄN</t>
        </is>
      </c>
      <c r="E3739" t="inlineStr">
        <is>
          <t>LEKSAND</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45152-2024</t>
        </is>
      </c>
      <c r="B3740" s="1" t="n">
        <v>45575</v>
      </c>
      <c r="C3740" s="1" t="n">
        <v>46114</v>
      </c>
      <c r="D3740" t="inlineStr">
        <is>
          <t>DALARNAS LÄN</t>
        </is>
      </c>
      <c r="E3740" t="inlineStr">
        <is>
          <t>SMEDJEBACKEN</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37328-2023</t>
        </is>
      </c>
      <c r="B3741" s="1" t="n">
        <v>45155</v>
      </c>
      <c r="C3741" s="1" t="n">
        <v>46114</v>
      </c>
      <c r="D3741" t="inlineStr">
        <is>
          <t>DALARNAS LÄN</t>
        </is>
      </c>
      <c r="E3741" t="inlineStr">
        <is>
          <t>RÄTTVIK</t>
        </is>
      </c>
      <c r="G3741" t="n">
        <v>10.4</v>
      </c>
      <c r="H3741" t="n">
        <v>0</v>
      </c>
      <c r="I3741" t="n">
        <v>0</v>
      </c>
      <c r="J3741" t="n">
        <v>0</v>
      </c>
      <c r="K3741" t="n">
        <v>0</v>
      </c>
      <c r="L3741" t="n">
        <v>0</v>
      </c>
      <c r="M3741" t="n">
        <v>0</v>
      </c>
      <c r="N3741" t="n">
        <v>0</v>
      </c>
      <c r="O3741" t="n">
        <v>0</v>
      </c>
      <c r="P3741" t="n">
        <v>0</v>
      </c>
      <c r="Q3741" t="n">
        <v>0</v>
      </c>
      <c r="R3741" s="2" t="inlineStr"/>
    </row>
    <row r="3742" ht="15" customHeight="1">
      <c r="A3742" t="inlineStr">
        <is>
          <t>A 55638-2024</t>
        </is>
      </c>
      <c r="B3742" s="1" t="n">
        <v>45622.61188657407</v>
      </c>
      <c r="C3742" s="1" t="n">
        <v>46114</v>
      </c>
      <c r="D3742" t="inlineStr">
        <is>
          <t>DALARNAS LÄN</t>
        </is>
      </c>
      <c r="E3742" t="inlineStr">
        <is>
          <t>MALUNG-SÄLEN</t>
        </is>
      </c>
      <c r="F3742" t="inlineStr">
        <is>
          <t>Bergvik skog öst AB</t>
        </is>
      </c>
      <c r="G3742" t="n">
        <v>6.5</v>
      </c>
      <c r="H3742" t="n">
        <v>0</v>
      </c>
      <c r="I3742" t="n">
        <v>0</v>
      </c>
      <c r="J3742" t="n">
        <v>0</v>
      </c>
      <c r="K3742" t="n">
        <v>0</v>
      </c>
      <c r="L3742" t="n">
        <v>0</v>
      </c>
      <c r="M3742" t="n">
        <v>0</v>
      </c>
      <c r="N3742" t="n">
        <v>0</v>
      </c>
      <c r="O3742" t="n">
        <v>0</v>
      </c>
      <c r="P3742" t="n">
        <v>0</v>
      </c>
      <c r="Q3742" t="n">
        <v>0</v>
      </c>
      <c r="R3742" s="2" t="inlineStr"/>
    </row>
    <row r="3743" ht="15" customHeight="1">
      <c r="A3743" t="inlineStr">
        <is>
          <t>A 55650-2024</t>
        </is>
      </c>
      <c r="B3743" s="1" t="n">
        <v>45622.63122685185</v>
      </c>
      <c r="C3743" s="1" t="n">
        <v>46114</v>
      </c>
      <c r="D3743" t="inlineStr">
        <is>
          <t>DALARNAS LÄN</t>
        </is>
      </c>
      <c r="E3743" t="inlineStr">
        <is>
          <t>SÄTER</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36800-2025</t>
        </is>
      </c>
      <c r="B3744" s="1" t="n">
        <v>45873</v>
      </c>
      <c r="C3744" s="1" t="n">
        <v>46114</v>
      </c>
      <c r="D3744" t="inlineStr">
        <is>
          <t>DALARNAS LÄN</t>
        </is>
      </c>
      <c r="E3744" t="inlineStr">
        <is>
          <t>GAGNEF</t>
        </is>
      </c>
      <c r="F3744" t="inlineStr">
        <is>
          <t>Bergvik skog väst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21085-2025</t>
        </is>
      </c>
      <c r="B3745" s="1" t="n">
        <v>45777.60947916667</v>
      </c>
      <c r="C3745" s="1" t="n">
        <v>46114</v>
      </c>
      <c r="D3745" t="inlineStr">
        <is>
          <t>DALARNAS LÄN</t>
        </is>
      </c>
      <c r="E3745" t="inlineStr">
        <is>
          <t>SMEDJEBACKEN</t>
        </is>
      </c>
      <c r="G3745" t="n">
        <v>6.2</v>
      </c>
      <c r="H3745" t="n">
        <v>0</v>
      </c>
      <c r="I3745" t="n">
        <v>0</v>
      </c>
      <c r="J3745" t="n">
        <v>0</v>
      </c>
      <c r="K3745" t="n">
        <v>0</v>
      </c>
      <c r="L3745" t="n">
        <v>0</v>
      </c>
      <c r="M3745" t="n">
        <v>0</v>
      </c>
      <c r="N3745" t="n">
        <v>0</v>
      </c>
      <c r="O3745" t="n">
        <v>0</v>
      </c>
      <c r="P3745" t="n">
        <v>0</v>
      </c>
      <c r="Q3745" t="n">
        <v>0</v>
      </c>
      <c r="R3745" s="2" t="inlineStr"/>
    </row>
    <row r="3746" ht="15" customHeight="1">
      <c r="A3746" t="inlineStr">
        <is>
          <t>A 36675-2025</t>
        </is>
      </c>
      <c r="B3746" s="1" t="n">
        <v>45873.39479166667</v>
      </c>
      <c r="C3746" s="1" t="n">
        <v>46114</v>
      </c>
      <c r="D3746" t="inlineStr">
        <is>
          <t>DALARNAS LÄN</t>
        </is>
      </c>
      <c r="E3746" t="inlineStr">
        <is>
          <t>BORLÄNGE</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41394-2025</t>
        </is>
      </c>
      <c r="B3747" s="1" t="n">
        <v>45901.31774305556</v>
      </c>
      <c r="C3747" s="1" t="n">
        <v>46114</v>
      </c>
      <c r="D3747" t="inlineStr">
        <is>
          <t>DALARNAS LÄN</t>
        </is>
      </c>
      <c r="E3747" t="inlineStr">
        <is>
          <t>LUDVIKA</t>
        </is>
      </c>
      <c r="F3747" t="inlineStr">
        <is>
          <t>Bergvik skog väst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61072-2024</t>
        </is>
      </c>
      <c r="B3748" s="1" t="n">
        <v>45645.50583333334</v>
      </c>
      <c r="C3748" s="1" t="n">
        <v>46114</v>
      </c>
      <c r="D3748" t="inlineStr">
        <is>
          <t>DALARNAS LÄN</t>
        </is>
      </c>
      <c r="E3748" t="inlineStr">
        <is>
          <t>ÄLVDALEN</t>
        </is>
      </c>
      <c r="G3748" t="n">
        <v>3.9</v>
      </c>
      <c r="H3748" t="n">
        <v>0</v>
      </c>
      <c r="I3748" t="n">
        <v>0</v>
      </c>
      <c r="J3748" t="n">
        <v>0</v>
      </c>
      <c r="K3748" t="n">
        <v>0</v>
      </c>
      <c r="L3748" t="n">
        <v>0</v>
      </c>
      <c r="M3748" t="n">
        <v>0</v>
      </c>
      <c r="N3748" t="n">
        <v>0</v>
      </c>
      <c r="O3748" t="n">
        <v>0</v>
      </c>
      <c r="P3748" t="n">
        <v>0</v>
      </c>
      <c r="Q3748" t="n">
        <v>0</v>
      </c>
      <c r="R3748" s="2" t="inlineStr"/>
    </row>
    <row r="3749" ht="15" customHeight="1">
      <c r="A3749" t="inlineStr">
        <is>
          <t>A 61135-2024</t>
        </is>
      </c>
      <c r="B3749" s="1" t="n">
        <v>45645.58376157407</v>
      </c>
      <c r="C3749" s="1" t="n">
        <v>46114</v>
      </c>
      <c r="D3749" t="inlineStr">
        <is>
          <t>DALARNAS LÄN</t>
        </is>
      </c>
      <c r="E3749" t="inlineStr">
        <is>
          <t>RÄTTVIK</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53106-2024</t>
        </is>
      </c>
      <c r="B3750" s="1" t="n">
        <v>45611.55626157407</v>
      </c>
      <c r="C3750" s="1" t="n">
        <v>46114</v>
      </c>
      <c r="D3750" t="inlineStr">
        <is>
          <t>DALARNAS LÄN</t>
        </is>
      </c>
      <c r="E3750" t="inlineStr">
        <is>
          <t>LUDVIKA</t>
        </is>
      </c>
      <c r="F3750" t="inlineStr">
        <is>
          <t>Bergvik skog väst AB</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53267-2024</t>
        </is>
      </c>
      <c r="B3751" s="1" t="n">
        <v>45614.35696759259</v>
      </c>
      <c r="C3751" s="1" t="n">
        <v>46114</v>
      </c>
      <c r="D3751" t="inlineStr">
        <is>
          <t>DALARNAS LÄN</t>
        </is>
      </c>
      <c r="E3751" t="inlineStr">
        <is>
          <t>MALUNG-SÄLEN</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51677-2024</t>
        </is>
      </c>
      <c r="B3752" s="1" t="n">
        <v>45607.30265046296</v>
      </c>
      <c r="C3752" s="1" t="n">
        <v>46114</v>
      </c>
      <c r="D3752" t="inlineStr">
        <is>
          <t>DALARNAS LÄN</t>
        </is>
      </c>
      <c r="E3752" t="inlineStr">
        <is>
          <t>LEKSAND</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53743-2024</t>
        </is>
      </c>
      <c r="B3753" s="1" t="n">
        <v>45615.47137731482</v>
      </c>
      <c r="C3753" s="1" t="n">
        <v>46114</v>
      </c>
      <c r="D3753" t="inlineStr">
        <is>
          <t>DALARNAS LÄN</t>
        </is>
      </c>
      <c r="E3753" t="inlineStr">
        <is>
          <t>MORA</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49148-2024</t>
        </is>
      </c>
      <c r="B3754" s="1" t="n">
        <v>45594</v>
      </c>
      <c r="C3754" s="1" t="n">
        <v>46114</v>
      </c>
      <c r="D3754" t="inlineStr">
        <is>
          <t>DALARNAS LÄN</t>
        </is>
      </c>
      <c r="E3754" t="inlineStr">
        <is>
          <t>SMEDJEBACKEN</t>
        </is>
      </c>
      <c r="F3754" t="inlineStr">
        <is>
          <t>Bergvik skog väst AB</t>
        </is>
      </c>
      <c r="G3754" t="n">
        <v>16.9</v>
      </c>
      <c r="H3754" t="n">
        <v>0</v>
      </c>
      <c r="I3754" t="n">
        <v>0</v>
      </c>
      <c r="J3754" t="n">
        <v>0</v>
      </c>
      <c r="K3754" t="n">
        <v>0</v>
      </c>
      <c r="L3754" t="n">
        <v>0</v>
      </c>
      <c r="M3754" t="n">
        <v>0</v>
      </c>
      <c r="N3754" t="n">
        <v>0</v>
      </c>
      <c r="O3754" t="n">
        <v>0</v>
      </c>
      <c r="P3754" t="n">
        <v>0</v>
      </c>
      <c r="Q3754" t="n">
        <v>0</v>
      </c>
      <c r="R3754" s="2" t="inlineStr"/>
    </row>
    <row r="3755" ht="15" customHeight="1">
      <c r="A3755" t="inlineStr">
        <is>
          <t>A 46628-2024</t>
        </is>
      </c>
      <c r="B3755" s="1" t="n">
        <v>45583.33195601852</v>
      </c>
      <c r="C3755" s="1" t="n">
        <v>46114</v>
      </c>
      <c r="D3755" t="inlineStr">
        <is>
          <t>DALARNAS LÄN</t>
        </is>
      </c>
      <c r="E3755" t="inlineStr">
        <is>
          <t>LEKSAND</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3806-2022</t>
        </is>
      </c>
      <c r="B3756" s="1" t="n">
        <v>44587.26690972222</v>
      </c>
      <c r="C3756" s="1" t="n">
        <v>46114</v>
      </c>
      <c r="D3756" t="inlineStr">
        <is>
          <t>DALARNAS LÄN</t>
        </is>
      </c>
      <c r="E3756" t="inlineStr">
        <is>
          <t>AVESTA</t>
        </is>
      </c>
      <c r="G3756" t="n">
        <v>3</v>
      </c>
      <c r="H3756" t="n">
        <v>0</v>
      </c>
      <c r="I3756" t="n">
        <v>0</v>
      </c>
      <c r="J3756" t="n">
        <v>0</v>
      </c>
      <c r="K3756" t="n">
        <v>0</v>
      </c>
      <c r="L3756" t="n">
        <v>0</v>
      </c>
      <c r="M3756" t="n">
        <v>0</v>
      </c>
      <c r="N3756" t="n">
        <v>0</v>
      </c>
      <c r="O3756" t="n">
        <v>0</v>
      </c>
      <c r="P3756" t="n">
        <v>0</v>
      </c>
      <c r="Q3756" t="n">
        <v>0</v>
      </c>
      <c r="R3756" s="2" t="inlineStr"/>
    </row>
    <row r="3757" ht="15" customHeight="1">
      <c r="A3757" t="inlineStr">
        <is>
          <t>A 7601-2024</t>
        </is>
      </c>
      <c r="B3757" s="1" t="n">
        <v>45348.55956018518</v>
      </c>
      <c r="C3757" s="1" t="n">
        <v>46114</v>
      </c>
      <c r="D3757" t="inlineStr">
        <is>
          <t>DALARNAS LÄN</t>
        </is>
      </c>
      <c r="E3757" t="inlineStr">
        <is>
          <t>GAGNEF</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6151-2024</t>
        </is>
      </c>
      <c r="B3758" s="1" t="n">
        <v>45337</v>
      </c>
      <c r="C3758" s="1" t="n">
        <v>46114</v>
      </c>
      <c r="D3758" t="inlineStr">
        <is>
          <t>DALARNAS LÄN</t>
        </is>
      </c>
      <c r="E3758" t="inlineStr">
        <is>
          <t>LUDVIKA</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41370-2025</t>
        </is>
      </c>
      <c r="B3759" s="1" t="n">
        <v>45900.63513888889</v>
      </c>
      <c r="C3759" s="1" t="n">
        <v>46114</v>
      </c>
      <c r="D3759" t="inlineStr">
        <is>
          <t>DALARNAS LÄN</t>
        </is>
      </c>
      <c r="E3759" t="inlineStr">
        <is>
          <t>FALUN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13827-2023</t>
        </is>
      </c>
      <c r="B3760" s="1" t="n">
        <v>45007.58724537037</v>
      </c>
      <c r="C3760" s="1" t="n">
        <v>46114</v>
      </c>
      <c r="D3760" t="inlineStr">
        <is>
          <t>DALARNAS LÄN</t>
        </is>
      </c>
      <c r="E3760" t="inlineStr">
        <is>
          <t>MALUNG-SÄLEN</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41387-2025</t>
        </is>
      </c>
      <c r="B3761" s="1" t="n">
        <v>45901.303125</v>
      </c>
      <c r="C3761" s="1" t="n">
        <v>46114</v>
      </c>
      <c r="D3761" t="inlineStr">
        <is>
          <t>DALARNAS LÄN</t>
        </is>
      </c>
      <c r="E3761" t="inlineStr">
        <is>
          <t>RÄTTVIK</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37301-2024</t>
        </is>
      </c>
      <c r="B3762" s="1" t="n">
        <v>45540.46436342593</v>
      </c>
      <c r="C3762" s="1" t="n">
        <v>46114</v>
      </c>
      <c r="D3762" t="inlineStr">
        <is>
          <t>DALARNAS LÄN</t>
        </is>
      </c>
      <c r="E3762" t="inlineStr">
        <is>
          <t>MALUNG-SÄLEN</t>
        </is>
      </c>
      <c r="F3762" t="inlineStr">
        <is>
          <t>Bergvik skog öst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689-2025</t>
        </is>
      </c>
      <c r="B3763" s="1" t="n">
        <v>45665.31773148148</v>
      </c>
      <c r="C3763" s="1" t="n">
        <v>46114</v>
      </c>
      <c r="D3763" t="inlineStr">
        <is>
          <t>DALARNAS LÄN</t>
        </is>
      </c>
      <c r="E3763" t="inlineStr">
        <is>
          <t>MALUNG-SÄLEN</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690-2025</t>
        </is>
      </c>
      <c r="B3764" s="1" t="n">
        <v>45665.31870370371</v>
      </c>
      <c r="C3764" s="1" t="n">
        <v>46114</v>
      </c>
      <c r="D3764" t="inlineStr">
        <is>
          <t>DALARNAS LÄN</t>
        </is>
      </c>
      <c r="E3764" t="inlineStr">
        <is>
          <t>MALUNG-SÄLEN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22491-2025</t>
        </is>
      </c>
      <c r="B3765" s="1" t="n">
        <v>45786.65040509259</v>
      </c>
      <c r="C3765" s="1" t="n">
        <v>46114</v>
      </c>
      <c r="D3765" t="inlineStr">
        <is>
          <t>DALARNAS LÄN</t>
        </is>
      </c>
      <c r="E3765" t="inlineStr">
        <is>
          <t>ORSA</t>
        </is>
      </c>
      <c r="F3765" t="inlineStr">
        <is>
          <t>Bergvik skog öst AB</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14473-2025</t>
        </is>
      </c>
      <c r="B3766" s="1" t="n">
        <v>45741</v>
      </c>
      <c r="C3766" s="1" t="n">
        <v>46114</v>
      </c>
      <c r="D3766" t="inlineStr">
        <is>
          <t>DALARNAS LÄN</t>
        </is>
      </c>
      <c r="E3766" t="inlineStr">
        <is>
          <t>FALUN</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41249-2025</t>
        </is>
      </c>
      <c r="B3767" s="1" t="n">
        <v>45898</v>
      </c>
      <c r="C3767" s="1" t="n">
        <v>46114</v>
      </c>
      <c r="D3767" t="inlineStr">
        <is>
          <t>DALARNAS LÄN</t>
        </is>
      </c>
      <c r="E3767" t="inlineStr">
        <is>
          <t>LUDVIKA</t>
        </is>
      </c>
      <c r="F3767" t="inlineStr">
        <is>
          <t>Bergvik skog väst AB</t>
        </is>
      </c>
      <c r="G3767" t="n">
        <v>2.5</v>
      </c>
      <c r="H3767" t="n">
        <v>0</v>
      </c>
      <c r="I3767" t="n">
        <v>0</v>
      </c>
      <c r="J3767" t="n">
        <v>0</v>
      </c>
      <c r="K3767" t="n">
        <v>0</v>
      </c>
      <c r="L3767" t="n">
        <v>0</v>
      </c>
      <c r="M3767" t="n">
        <v>0</v>
      </c>
      <c r="N3767" t="n">
        <v>0</v>
      </c>
      <c r="O3767" t="n">
        <v>0</v>
      </c>
      <c r="P3767" t="n">
        <v>0</v>
      </c>
      <c r="Q3767" t="n">
        <v>0</v>
      </c>
      <c r="R3767" s="2" t="inlineStr"/>
    </row>
    <row r="3768" ht="15" customHeight="1">
      <c r="A3768" t="inlineStr">
        <is>
          <t>A 36633-2025</t>
        </is>
      </c>
      <c r="B3768" s="1" t="n">
        <v>45870</v>
      </c>
      <c r="C3768" s="1" t="n">
        <v>46114</v>
      </c>
      <c r="D3768" t="inlineStr">
        <is>
          <t>DALARNAS LÄN</t>
        </is>
      </c>
      <c r="E3768" t="inlineStr">
        <is>
          <t>ORSA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41254-2025</t>
        </is>
      </c>
      <c r="B3769" s="1" t="n">
        <v>45898.60778935185</v>
      </c>
      <c r="C3769" s="1" t="n">
        <v>46114</v>
      </c>
      <c r="D3769" t="inlineStr">
        <is>
          <t>DALARNAS LÄN</t>
        </is>
      </c>
      <c r="E3769" t="inlineStr">
        <is>
          <t>LUDVIKA</t>
        </is>
      </c>
      <c r="F3769" t="inlineStr">
        <is>
          <t>Bergvik skog väst AB</t>
        </is>
      </c>
      <c r="G3769" t="n">
        <v>3.8</v>
      </c>
      <c r="H3769" t="n">
        <v>0</v>
      </c>
      <c r="I3769" t="n">
        <v>0</v>
      </c>
      <c r="J3769" t="n">
        <v>0</v>
      </c>
      <c r="K3769" t="n">
        <v>0</v>
      </c>
      <c r="L3769" t="n">
        <v>0</v>
      </c>
      <c r="M3769" t="n">
        <v>0</v>
      </c>
      <c r="N3769" t="n">
        <v>0</v>
      </c>
      <c r="O3769" t="n">
        <v>0</v>
      </c>
      <c r="P3769" t="n">
        <v>0</v>
      </c>
      <c r="Q3769" t="n">
        <v>0</v>
      </c>
      <c r="R3769" s="2" t="inlineStr"/>
    </row>
    <row r="3770" ht="15" customHeight="1">
      <c r="A3770" t="inlineStr">
        <is>
          <t>A 3168-2024</t>
        </is>
      </c>
      <c r="B3770" s="1" t="n">
        <v>45316.62863425926</v>
      </c>
      <c r="C3770" s="1" t="n">
        <v>46114</v>
      </c>
      <c r="D3770" t="inlineStr">
        <is>
          <t>DALARNAS LÄN</t>
        </is>
      </c>
      <c r="E3770" t="inlineStr">
        <is>
          <t>ORSA</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24198-2025</t>
        </is>
      </c>
      <c r="B3771" s="1" t="n">
        <v>45796.9152662037</v>
      </c>
      <c r="C3771" s="1" t="n">
        <v>46114</v>
      </c>
      <c r="D3771" t="inlineStr">
        <is>
          <t>DALARNAS LÄN</t>
        </is>
      </c>
      <c r="E3771" t="inlineStr">
        <is>
          <t>AVESTA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43183-2024</t>
        </is>
      </c>
      <c r="B3772" s="1" t="n">
        <v>45567.66385416667</v>
      </c>
      <c r="C3772" s="1" t="n">
        <v>46114</v>
      </c>
      <c r="D3772" t="inlineStr">
        <is>
          <t>DALARNAS LÄN</t>
        </is>
      </c>
      <c r="E3772" t="inlineStr">
        <is>
          <t>FALUN</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12101-2025</t>
        </is>
      </c>
      <c r="B3773" s="1" t="n">
        <v>45729.33743055556</v>
      </c>
      <c r="C3773" s="1" t="n">
        <v>46114</v>
      </c>
      <c r="D3773" t="inlineStr">
        <is>
          <t>DALARNAS LÄN</t>
        </is>
      </c>
      <c r="E3773" t="inlineStr">
        <is>
          <t>ORSA</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43231-2024</t>
        </is>
      </c>
      <c r="B3774" s="1" t="n">
        <v>45567.89709490741</v>
      </c>
      <c r="C3774" s="1" t="n">
        <v>46114</v>
      </c>
      <c r="D3774" t="inlineStr">
        <is>
          <t>DALARNAS LÄN</t>
        </is>
      </c>
      <c r="E3774" t="inlineStr">
        <is>
          <t>LEKSAND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24620-2025</t>
        </is>
      </c>
      <c r="B3775" s="1" t="n">
        <v>45798.59290509259</v>
      </c>
      <c r="C3775" s="1" t="n">
        <v>46114</v>
      </c>
      <c r="D3775" t="inlineStr">
        <is>
          <t>DALARNAS LÄN</t>
        </is>
      </c>
      <c r="E3775" t="inlineStr">
        <is>
          <t>MORA</t>
        </is>
      </c>
      <c r="F3775" t="inlineStr">
        <is>
          <t>Bergvik skog väst AB</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17533-2023</t>
        </is>
      </c>
      <c r="B3776" s="1" t="n">
        <v>45036</v>
      </c>
      <c r="C3776" s="1" t="n">
        <v>46114</v>
      </c>
      <c r="D3776" t="inlineStr">
        <is>
          <t>DALARNAS LÄN</t>
        </is>
      </c>
      <c r="E3776" t="inlineStr">
        <is>
          <t>LEKSAND</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25907-2025</t>
        </is>
      </c>
      <c r="B3777" s="1" t="n">
        <v>45803</v>
      </c>
      <c r="C3777" s="1" t="n">
        <v>46114</v>
      </c>
      <c r="D3777" t="inlineStr">
        <is>
          <t>DALARNAS LÄN</t>
        </is>
      </c>
      <c r="E3777" t="inlineStr">
        <is>
          <t>RÄTTVIK</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22807-2025</t>
        </is>
      </c>
      <c r="B3778" s="1" t="n">
        <v>45789.67512731482</v>
      </c>
      <c r="C3778" s="1" t="n">
        <v>46114</v>
      </c>
      <c r="D3778" t="inlineStr">
        <is>
          <t>DALARNAS LÄN</t>
        </is>
      </c>
      <c r="E3778" t="inlineStr">
        <is>
          <t>LUDVIKA</t>
        </is>
      </c>
      <c r="G3778" t="n">
        <v>4.2</v>
      </c>
      <c r="H3778" t="n">
        <v>0</v>
      </c>
      <c r="I3778" t="n">
        <v>0</v>
      </c>
      <c r="J3778" t="n">
        <v>0</v>
      </c>
      <c r="K3778" t="n">
        <v>0</v>
      </c>
      <c r="L3778" t="n">
        <v>0</v>
      </c>
      <c r="M3778" t="n">
        <v>0</v>
      </c>
      <c r="N3778" t="n">
        <v>0</v>
      </c>
      <c r="O3778" t="n">
        <v>0</v>
      </c>
      <c r="P3778" t="n">
        <v>0</v>
      </c>
      <c r="Q3778" t="n">
        <v>0</v>
      </c>
      <c r="R3778" s="2" t="inlineStr"/>
    </row>
    <row r="3779" ht="15" customHeight="1">
      <c r="A3779" t="inlineStr">
        <is>
          <t>A 16491-2025</t>
        </is>
      </c>
      <c r="B3779" s="1" t="n">
        <v>45751</v>
      </c>
      <c r="C3779" s="1" t="n">
        <v>46114</v>
      </c>
      <c r="D3779" t="inlineStr">
        <is>
          <t>DALARNAS LÄN</t>
        </is>
      </c>
      <c r="E3779" t="inlineStr">
        <is>
          <t>FALUN</t>
        </is>
      </c>
      <c r="F3779" t="inlineStr">
        <is>
          <t>Övriga statliga verk och myndigheter</t>
        </is>
      </c>
      <c r="G3779" t="n">
        <v>6.5</v>
      </c>
      <c r="H3779" t="n">
        <v>0</v>
      </c>
      <c r="I3779" t="n">
        <v>0</v>
      </c>
      <c r="J3779" t="n">
        <v>0</v>
      </c>
      <c r="K3779" t="n">
        <v>0</v>
      </c>
      <c r="L3779" t="n">
        <v>0</v>
      </c>
      <c r="M3779" t="n">
        <v>0</v>
      </c>
      <c r="N3779" t="n">
        <v>0</v>
      </c>
      <c r="O3779" t="n">
        <v>0</v>
      </c>
      <c r="P3779" t="n">
        <v>0</v>
      </c>
      <c r="Q3779" t="n">
        <v>0</v>
      </c>
      <c r="R3779" s="2" t="inlineStr"/>
    </row>
    <row r="3780" ht="15" customHeight="1">
      <c r="A3780" t="inlineStr">
        <is>
          <t>A 25396-2024</t>
        </is>
      </c>
      <c r="B3780" s="1" t="n">
        <v>45463.32849537037</v>
      </c>
      <c r="C3780" s="1" t="n">
        <v>46114</v>
      </c>
      <c r="D3780" t="inlineStr">
        <is>
          <t>DALARNAS LÄN</t>
        </is>
      </c>
      <c r="E3780" t="inlineStr">
        <is>
          <t>SMEDJEBACKEN</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41068-2025</t>
        </is>
      </c>
      <c r="B3781" s="1" t="n">
        <v>45898.4143287037</v>
      </c>
      <c r="C3781" s="1" t="n">
        <v>46114</v>
      </c>
      <c r="D3781" t="inlineStr">
        <is>
          <t>DALARNAS LÄN</t>
        </is>
      </c>
      <c r="E3781" t="inlineStr">
        <is>
          <t>GAGNEF</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41073-2025</t>
        </is>
      </c>
      <c r="B3782" s="1" t="n">
        <v>45898.42114583333</v>
      </c>
      <c r="C3782" s="1" t="n">
        <v>46114</v>
      </c>
      <c r="D3782" t="inlineStr">
        <is>
          <t>DALARNAS LÄN</t>
        </is>
      </c>
      <c r="E3782" t="inlineStr">
        <is>
          <t>GAGNEF</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41115-2025</t>
        </is>
      </c>
      <c r="B3783" s="1" t="n">
        <v>45898.46256944445</v>
      </c>
      <c r="C3783" s="1" t="n">
        <v>46114</v>
      </c>
      <c r="D3783" t="inlineStr">
        <is>
          <t>DALARNAS LÄN</t>
        </is>
      </c>
      <c r="E3783" t="inlineStr">
        <is>
          <t>ÄLVDALEN</t>
        </is>
      </c>
      <c r="G3783" t="n">
        <v>1.7</v>
      </c>
      <c r="H3783" t="n">
        <v>0</v>
      </c>
      <c r="I3783" t="n">
        <v>0</v>
      </c>
      <c r="J3783" t="n">
        <v>0</v>
      </c>
      <c r="K3783" t="n">
        <v>0</v>
      </c>
      <c r="L3783" t="n">
        <v>0</v>
      </c>
      <c r="M3783" t="n">
        <v>0</v>
      </c>
      <c r="N3783" t="n">
        <v>0</v>
      </c>
      <c r="O3783" t="n">
        <v>0</v>
      </c>
      <c r="P3783" t="n">
        <v>0</v>
      </c>
      <c r="Q3783" t="n">
        <v>0</v>
      </c>
      <c r="R3783" s="2" t="inlineStr"/>
    </row>
    <row r="3784" ht="15" customHeight="1">
      <c r="A3784" t="inlineStr">
        <is>
          <t>A 41380-2025</t>
        </is>
      </c>
      <c r="B3784" s="1" t="n">
        <v>45900.92826388889</v>
      </c>
      <c r="C3784" s="1" t="n">
        <v>46114</v>
      </c>
      <c r="D3784" t="inlineStr">
        <is>
          <t>DALARNAS LÄN</t>
        </is>
      </c>
      <c r="E3784" t="inlineStr">
        <is>
          <t>LEKSAND</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943-2023</t>
        </is>
      </c>
      <c r="B3785" s="1" t="n">
        <v>44933.91175925926</v>
      </c>
      <c r="C3785" s="1" t="n">
        <v>46114</v>
      </c>
      <c r="D3785" t="inlineStr">
        <is>
          <t>DALARNAS LÄN</t>
        </is>
      </c>
      <c r="E3785" t="inlineStr">
        <is>
          <t>FALUN</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41109-2025</t>
        </is>
      </c>
      <c r="B3786" s="1" t="n">
        <v>45898</v>
      </c>
      <c r="C3786" s="1" t="n">
        <v>46114</v>
      </c>
      <c r="D3786" t="inlineStr">
        <is>
          <t>DALARNAS LÄN</t>
        </is>
      </c>
      <c r="E3786" t="inlineStr">
        <is>
          <t>LUDVIKA</t>
        </is>
      </c>
      <c r="F3786" t="inlineStr">
        <is>
          <t>Bergvik skog väst AB</t>
        </is>
      </c>
      <c r="G3786" t="n">
        <v>3.4</v>
      </c>
      <c r="H3786" t="n">
        <v>0</v>
      </c>
      <c r="I3786" t="n">
        <v>0</v>
      </c>
      <c r="J3786" t="n">
        <v>0</v>
      </c>
      <c r="K3786" t="n">
        <v>0</v>
      </c>
      <c r="L3786" t="n">
        <v>0</v>
      </c>
      <c r="M3786" t="n">
        <v>0</v>
      </c>
      <c r="N3786" t="n">
        <v>0</v>
      </c>
      <c r="O3786" t="n">
        <v>0</v>
      </c>
      <c r="P3786" t="n">
        <v>0</v>
      </c>
      <c r="Q3786" t="n">
        <v>0</v>
      </c>
      <c r="R3786" s="2" t="inlineStr"/>
    </row>
    <row r="3787" ht="15" customHeight="1">
      <c r="A3787" t="inlineStr">
        <is>
          <t>A 31047-2024</t>
        </is>
      </c>
      <c r="B3787" s="1" t="n">
        <v>45502.33021990741</v>
      </c>
      <c r="C3787" s="1" t="n">
        <v>46114</v>
      </c>
      <c r="D3787" t="inlineStr">
        <is>
          <t>DALARNAS LÄN</t>
        </is>
      </c>
      <c r="E3787" t="inlineStr">
        <is>
          <t>ÄLVDALEN</t>
        </is>
      </c>
      <c r="F3787" t="inlineStr">
        <is>
          <t>Sveaskog</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47080-2024</t>
        </is>
      </c>
      <c r="B3788" s="1" t="n">
        <v>45586.50578703704</v>
      </c>
      <c r="C3788" s="1" t="n">
        <v>46114</v>
      </c>
      <c r="D3788" t="inlineStr">
        <is>
          <t>DALARNAS LÄN</t>
        </is>
      </c>
      <c r="E3788" t="inlineStr">
        <is>
          <t>ÄLVDALEN</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41563-2025</t>
        </is>
      </c>
      <c r="B3789" s="1" t="n">
        <v>45901</v>
      </c>
      <c r="C3789" s="1" t="n">
        <v>46114</v>
      </c>
      <c r="D3789" t="inlineStr">
        <is>
          <t>DALARNAS LÄN</t>
        </is>
      </c>
      <c r="E3789" t="inlineStr">
        <is>
          <t>VANSBRO</t>
        </is>
      </c>
      <c r="F3789" t="inlineStr">
        <is>
          <t>Bergvik skog väst AB</t>
        </is>
      </c>
      <c r="G3789" t="n">
        <v>3.2</v>
      </c>
      <c r="H3789" t="n">
        <v>0</v>
      </c>
      <c r="I3789" t="n">
        <v>0</v>
      </c>
      <c r="J3789" t="n">
        <v>0</v>
      </c>
      <c r="K3789" t="n">
        <v>0</v>
      </c>
      <c r="L3789" t="n">
        <v>0</v>
      </c>
      <c r="M3789" t="n">
        <v>0</v>
      </c>
      <c r="N3789" t="n">
        <v>0</v>
      </c>
      <c r="O3789" t="n">
        <v>0</v>
      </c>
      <c r="P3789" t="n">
        <v>0</v>
      </c>
      <c r="Q3789" t="n">
        <v>0</v>
      </c>
      <c r="R3789" s="2" t="inlineStr"/>
    </row>
    <row r="3790" ht="15" customHeight="1">
      <c r="A3790" t="inlineStr">
        <is>
          <t>A 7344-2024</t>
        </is>
      </c>
      <c r="B3790" s="1" t="n">
        <v>45345.45414351852</v>
      </c>
      <c r="C3790" s="1" t="n">
        <v>46114</v>
      </c>
      <c r="D3790" t="inlineStr">
        <is>
          <t>DALARNAS LÄN</t>
        </is>
      </c>
      <c r="E3790" t="inlineStr">
        <is>
          <t>GAGNEF</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41006-2025</t>
        </is>
      </c>
      <c r="B3791" s="1" t="n">
        <v>45898.34895833334</v>
      </c>
      <c r="C3791" s="1" t="n">
        <v>46114</v>
      </c>
      <c r="D3791" t="inlineStr">
        <is>
          <t>DALARNAS LÄN</t>
        </is>
      </c>
      <c r="E3791" t="inlineStr">
        <is>
          <t>FALUN</t>
        </is>
      </c>
      <c r="F3791" t="inlineStr">
        <is>
          <t>Bergvik skog väst AB</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24653-2025</t>
        </is>
      </c>
      <c r="B3792" s="1" t="n">
        <v>45798.63875</v>
      </c>
      <c r="C3792" s="1" t="n">
        <v>46114</v>
      </c>
      <c r="D3792" t="inlineStr">
        <is>
          <t>DALARNAS LÄN</t>
        </is>
      </c>
      <c r="E3792" t="inlineStr">
        <is>
          <t>MORA</t>
        </is>
      </c>
      <c r="F3792" t="inlineStr">
        <is>
          <t>Bergvik skog väst AB</t>
        </is>
      </c>
      <c r="G3792" t="n">
        <v>4.9</v>
      </c>
      <c r="H3792" t="n">
        <v>0</v>
      </c>
      <c r="I3792" t="n">
        <v>0</v>
      </c>
      <c r="J3792" t="n">
        <v>0</v>
      </c>
      <c r="K3792" t="n">
        <v>0</v>
      </c>
      <c r="L3792" t="n">
        <v>0</v>
      </c>
      <c r="M3792" t="n">
        <v>0</v>
      </c>
      <c r="N3792" t="n">
        <v>0</v>
      </c>
      <c r="O3792" t="n">
        <v>0</v>
      </c>
      <c r="P3792" t="n">
        <v>0</v>
      </c>
      <c r="Q3792" t="n">
        <v>0</v>
      </c>
      <c r="R3792" s="2" t="inlineStr"/>
    </row>
    <row r="3793" ht="15" customHeight="1">
      <c r="A3793" t="inlineStr">
        <is>
          <t>A 56388-2023</t>
        </is>
      </c>
      <c r="B3793" s="1" t="n">
        <v>45243.41099537037</v>
      </c>
      <c r="C3793" s="1" t="n">
        <v>46114</v>
      </c>
      <c r="D3793" t="inlineStr">
        <is>
          <t>DALARNAS LÄN</t>
        </is>
      </c>
      <c r="E3793" t="inlineStr">
        <is>
          <t>MALUNG-SÄLEN</t>
        </is>
      </c>
      <c r="G3793" t="n">
        <v>2.9</v>
      </c>
      <c r="H3793" t="n">
        <v>0</v>
      </c>
      <c r="I3793" t="n">
        <v>0</v>
      </c>
      <c r="J3793" t="n">
        <v>0</v>
      </c>
      <c r="K3793" t="n">
        <v>0</v>
      </c>
      <c r="L3793" t="n">
        <v>0</v>
      </c>
      <c r="M3793" t="n">
        <v>0</v>
      </c>
      <c r="N3793" t="n">
        <v>0</v>
      </c>
      <c r="O3793" t="n">
        <v>0</v>
      </c>
      <c r="P3793" t="n">
        <v>0</v>
      </c>
      <c r="Q3793" t="n">
        <v>0</v>
      </c>
      <c r="R3793" s="2" t="inlineStr"/>
    </row>
    <row r="3794" ht="15" customHeight="1">
      <c r="A3794" t="inlineStr">
        <is>
          <t>A 41341-2025</t>
        </is>
      </c>
      <c r="B3794" s="1" t="n">
        <v>45899.39414351852</v>
      </c>
      <c r="C3794" s="1" t="n">
        <v>46114</v>
      </c>
      <c r="D3794" t="inlineStr">
        <is>
          <t>DALARNAS LÄN</t>
        </is>
      </c>
      <c r="E3794" t="inlineStr">
        <is>
          <t>FALUN</t>
        </is>
      </c>
      <c r="G3794" t="n">
        <v>1.7</v>
      </c>
      <c r="H3794" t="n">
        <v>0</v>
      </c>
      <c r="I3794" t="n">
        <v>0</v>
      </c>
      <c r="J3794" t="n">
        <v>0</v>
      </c>
      <c r="K3794" t="n">
        <v>0</v>
      </c>
      <c r="L3794" t="n">
        <v>0</v>
      </c>
      <c r="M3794" t="n">
        <v>0</v>
      </c>
      <c r="N3794" t="n">
        <v>0</v>
      </c>
      <c r="O3794" t="n">
        <v>0</v>
      </c>
      <c r="P3794" t="n">
        <v>0</v>
      </c>
      <c r="Q3794" t="n">
        <v>0</v>
      </c>
      <c r="R3794" s="2" t="inlineStr"/>
    </row>
    <row r="3795" ht="15" customHeight="1">
      <c r="A3795" t="inlineStr">
        <is>
          <t>A 41371-2025</t>
        </is>
      </c>
      <c r="B3795" s="1" t="n">
        <v>45900.66130787037</v>
      </c>
      <c r="C3795" s="1" t="n">
        <v>46114</v>
      </c>
      <c r="D3795" t="inlineStr">
        <is>
          <t>DALARNAS LÄN</t>
        </is>
      </c>
      <c r="E3795" t="inlineStr">
        <is>
          <t>FALUN</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36656-2025</t>
        </is>
      </c>
      <c r="B3796" s="1" t="n">
        <v>45873.34642361111</v>
      </c>
      <c r="C3796" s="1" t="n">
        <v>46114</v>
      </c>
      <c r="D3796" t="inlineStr">
        <is>
          <t>DALARNAS LÄN</t>
        </is>
      </c>
      <c r="E3796" t="inlineStr">
        <is>
          <t>HEDEMORA</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41406-2025</t>
        </is>
      </c>
      <c r="B3797" s="1" t="n">
        <v>45901.34545138889</v>
      </c>
      <c r="C3797" s="1" t="n">
        <v>46114</v>
      </c>
      <c r="D3797" t="inlineStr">
        <is>
          <t>DALARNAS LÄN</t>
        </is>
      </c>
      <c r="E3797" t="inlineStr">
        <is>
          <t>MALUNG-SÄLEN</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54914-2024</t>
        </is>
      </c>
      <c r="B3798" s="1" t="n">
        <v>45618.69380787037</v>
      </c>
      <c r="C3798" s="1" t="n">
        <v>46114</v>
      </c>
      <c r="D3798" t="inlineStr">
        <is>
          <t>DALARNAS LÄN</t>
        </is>
      </c>
      <c r="E3798" t="inlineStr">
        <is>
          <t>LEKSAND</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18906-2025</t>
        </is>
      </c>
      <c r="B3799" s="1" t="n">
        <v>45764.46260416666</v>
      </c>
      <c r="C3799" s="1" t="n">
        <v>46114</v>
      </c>
      <c r="D3799" t="inlineStr">
        <is>
          <t>DALARNAS LÄN</t>
        </is>
      </c>
      <c r="E3799" t="inlineStr">
        <is>
          <t>SMEDJEBACKEN</t>
        </is>
      </c>
      <c r="G3799" t="n">
        <v>6.4</v>
      </c>
      <c r="H3799" t="n">
        <v>0</v>
      </c>
      <c r="I3799" t="n">
        <v>0</v>
      </c>
      <c r="J3799" t="n">
        <v>0</v>
      </c>
      <c r="K3799" t="n">
        <v>0</v>
      </c>
      <c r="L3799" t="n">
        <v>0</v>
      </c>
      <c r="M3799" t="n">
        <v>0</v>
      </c>
      <c r="N3799" t="n">
        <v>0</v>
      </c>
      <c r="O3799" t="n">
        <v>0</v>
      </c>
      <c r="P3799" t="n">
        <v>0</v>
      </c>
      <c r="Q3799" t="n">
        <v>0</v>
      </c>
      <c r="R3799" s="2" t="inlineStr"/>
    </row>
    <row r="3800" ht="15" customHeight="1">
      <c r="A3800" t="inlineStr">
        <is>
          <t>A 42202-2024</t>
        </is>
      </c>
      <c r="B3800" s="1" t="n">
        <v>45562.5187037037</v>
      </c>
      <c r="C3800" s="1" t="n">
        <v>46114</v>
      </c>
      <c r="D3800" t="inlineStr">
        <is>
          <t>DALARNAS LÄN</t>
        </is>
      </c>
      <c r="E3800" t="inlineStr">
        <is>
          <t>SMEDJEBACKEN</t>
        </is>
      </c>
      <c r="F3800" t="inlineStr">
        <is>
          <t>Sveaskog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42213-2024</t>
        </is>
      </c>
      <c r="B3801" s="1" t="n">
        <v>45562.53810185185</v>
      </c>
      <c r="C3801" s="1" t="n">
        <v>46114</v>
      </c>
      <c r="D3801" t="inlineStr">
        <is>
          <t>DALARNAS LÄN</t>
        </is>
      </c>
      <c r="E3801" t="inlineStr">
        <is>
          <t>LUDVIKA</t>
        </is>
      </c>
      <c r="F3801" t="inlineStr">
        <is>
          <t>Bergvik skog väst AB</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42254-2024</t>
        </is>
      </c>
      <c r="B3802" s="1" t="n">
        <v>45562.58427083334</v>
      </c>
      <c r="C3802" s="1" t="n">
        <v>46114</v>
      </c>
      <c r="D3802" t="inlineStr">
        <is>
          <t>DALARNAS LÄN</t>
        </is>
      </c>
      <c r="E3802" t="inlineStr">
        <is>
          <t>LUDVIKA</t>
        </is>
      </c>
      <c r="F3802" t="inlineStr">
        <is>
          <t>Bergvik skog väst AB</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36562-2025</t>
        </is>
      </c>
      <c r="B3803" s="1" t="n">
        <v>45870</v>
      </c>
      <c r="C3803" s="1" t="n">
        <v>46114</v>
      </c>
      <c r="D3803" t="inlineStr">
        <is>
          <t>DALARNAS LÄN</t>
        </is>
      </c>
      <c r="E3803" t="inlineStr">
        <is>
          <t>GAGNEF</t>
        </is>
      </c>
      <c r="F3803" t="inlineStr">
        <is>
          <t>Bergvik skog väst AB</t>
        </is>
      </c>
      <c r="G3803" t="n">
        <v>3.8</v>
      </c>
      <c r="H3803" t="n">
        <v>0</v>
      </c>
      <c r="I3803" t="n">
        <v>0</v>
      </c>
      <c r="J3803" t="n">
        <v>0</v>
      </c>
      <c r="K3803" t="n">
        <v>0</v>
      </c>
      <c r="L3803" t="n">
        <v>0</v>
      </c>
      <c r="M3803" t="n">
        <v>0</v>
      </c>
      <c r="N3803" t="n">
        <v>0</v>
      </c>
      <c r="O3803" t="n">
        <v>0</v>
      </c>
      <c r="P3803" t="n">
        <v>0</v>
      </c>
      <c r="Q3803" t="n">
        <v>0</v>
      </c>
      <c r="R3803" s="2" t="inlineStr"/>
    </row>
    <row r="3804" ht="15" customHeight="1">
      <c r="A3804" t="inlineStr">
        <is>
          <t>A 52506-2021</t>
        </is>
      </c>
      <c r="B3804" s="1" t="n">
        <v>44466.44211805556</v>
      </c>
      <c r="C3804" s="1" t="n">
        <v>46114</v>
      </c>
      <c r="D3804" t="inlineStr">
        <is>
          <t>DALARNAS LÄN</t>
        </is>
      </c>
      <c r="E3804" t="inlineStr">
        <is>
          <t>FALUN</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49035-2024</t>
        </is>
      </c>
      <c r="B3805" s="1" t="n">
        <v>45594.55173611111</v>
      </c>
      <c r="C3805" s="1" t="n">
        <v>46114</v>
      </c>
      <c r="D3805" t="inlineStr">
        <is>
          <t>DALARNAS LÄN</t>
        </is>
      </c>
      <c r="E3805" t="inlineStr">
        <is>
          <t>LUDVIKA</t>
        </is>
      </c>
      <c r="F3805" t="inlineStr">
        <is>
          <t>Naturvårdsverket</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18187-2025</t>
        </is>
      </c>
      <c r="B3806" s="1" t="n">
        <v>45761.66826388889</v>
      </c>
      <c r="C3806" s="1" t="n">
        <v>46114</v>
      </c>
      <c r="D3806" t="inlineStr">
        <is>
          <t>DALARNAS LÄN</t>
        </is>
      </c>
      <c r="E3806" t="inlineStr">
        <is>
          <t>LUDVIKA</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18943-2025</t>
        </is>
      </c>
      <c r="B3807" s="1" t="n">
        <v>45764.50252314815</v>
      </c>
      <c r="C3807" s="1" t="n">
        <v>46114</v>
      </c>
      <c r="D3807" t="inlineStr">
        <is>
          <t>DALARNAS LÄN</t>
        </is>
      </c>
      <c r="E3807" t="inlineStr">
        <is>
          <t>SMEDJEBACKEN</t>
        </is>
      </c>
      <c r="G3807" t="n">
        <v>13.8</v>
      </c>
      <c r="H3807" t="n">
        <v>0</v>
      </c>
      <c r="I3807" t="n">
        <v>0</v>
      </c>
      <c r="J3807" t="n">
        <v>0</v>
      </c>
      <c r="K3807" t="n">
        <v>0</v>
      </c>
      <c r="L3807" t="n">
        <v>0</v>
      </c>
      <c r="M3807" t="n">
        <v>0</v>
      </c>
      <c r="N3807" t="n">
        <v>0</v>
      </c>
      <c r="O3807" t="n">
        <v>0</v>
      </c>
      <c r="P3807" t="n">
        <v>0</v>
      </c>
      <c r="Q3807" t="n">
        <v>0</v>
      </c>
      <c r="R3807" s="2" t="inlineStr"/>
    </row>
    <row r="3808" ht="15" customHeight="1">
      <c r="A3808" t="inlineStr">
        <is>
          <t>A 39921-2024</t>
        </is>
      </c>
      <c r="B3808" s="1" t="n">
        <v>45553</v>
      </c>
      <c r="C3808" s="1" t="n">
        <v>46114</v>
      </c>
      <c r="D3808" t="inlineStr">
        <is>
          <t>DALARNAS LÄN</t>
        </is>
      </c>
      <c r="E3808" t="inlineStr">
        <is>
          <t>LEKSAND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36846-2025</t>
        </is>
      </c>
      <c r="B3809" s="1" t="n">
        <v>45874.38655092593</v>
      </c>
      <c r="C3809" s="1" t="n">
        <v>46114</v>
      </c>
      <c r="D3809" t="inlineStr">
        <is>
          <t>DALARNAS LÄN</t>
        </is>
      </c>
      <c r="E3809" t="inlineStr">
        <is>
          <t>MORA</t>
        </is>
      </c>
      <c r="G3809" t="n">
        <v>10.7</v>
      </c>
      <c r="H3809" t="n">
        <v>0</v>
      </c>
      <c r="I3809" t="n">
        <v>0</v>
      </c>
      <c r="J3809" t="n">
        <v>0</v>
      </c>
      <c r="K3809" t="n">
        <v>0</v>
      </c>
      <c r="L3809" t="n">
        <v>0</v>
      </c>
      <c r="M3809" t="n">
        <v>0</v>
      </c>
      <c r="N3809" t="n">
        <v>0</v>
      </c>
      <c r="O3809" t="n">
        <v>0</v>
      </c>
      <c r="P3809" t="n">
        <v>0</v>
      </c>
      <c r="Q3809" t="n">
        <v>0</v>
      </c>
      <c r="R3809" s="2" t="inlineStr"/>
    </row>
    <row r="3810" ht="15" customHeight="1">
      <c r="A3810" t="inlineStr">
        <is>
          <t>A 43990-2024</t>
        </is>
      </c>
      <c r="B3810" s="1" t="n">
        <v>45572</v>
      </c>
      <c r="C3810" s="1" t="n">
        <v>46114</v>
      </c>
      <c r="D3810" t="inlineStr">
        <is>
          <t>DALARNAS LÄN</t>
        </is>
      </c>
      <c r="E3810" t="inlineStr">
        <is>
          <t>ÄLVDALEN</t>
        </is>
      </c>
      <c r="F3810" t="inlineStr">
        <is>
          <t>Kommuner</t>
        </is>
      </c>
      <c r="G3810" t="n">
        <v>0</v>
      </c>
      <c r="H3810" t="n">
        <v>0</v>
      </c>
      <c r="I3810" t="n">
        <v>0</v>
      </c>
      <c r="J3810" t="n">
        <v>0</v>
      </c>
      <c r="K3810" t="n">
        <v>0</v>
      </c>
      <c r="L3810" t="n">
        <v>0</v>
      </c>
      <c r="M3810" t="n">
        <v>0</v>
      </c>
      <c r="N3810" t="n">
        <v>0</v>
      </c>
      <c r="O3810" t="n">
        <v>0</v>
      </c>
      <c r="P3810" t="n">
        <v>0</v>
      </c>
      <c r="Q3810" t="n">
        <v>0</v>
      </c>
      <c r="R3810" s="2" t="inlineStr"/>
    </row>
    <row r="3811" ht="15" customHeight="1">
      <c r="A3811" t="inlineStr">
        <is>
          <t>A 32009-2021</t>
        </is>
      </c>
      <c r="B3811" s="1" t="n">
        <v>44370.63354166667</v>
      </c>
      <c r="C3811" s="1" t="n">
        <v>46114</v>
      </c>
      <c r="D3811" t="inlineStr">
        <is>
          <t>DALARNAS LÄN</t>
        </is>
      </c>
      <c r="E3811" t="inlineStr">
        <is>
          <t>ÄLVDALEN</t>
        </is>
      </c>
      <c r="F3811" t="inlineStr">
        <is>
          <t>Bergvik skog väst AB</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16445-2024</t>
        </is>
      </c>
      <c r="B3812" s="1" t="n">
        <v>45407.85847222222</v>
      </c>
      <c r="C3812" s="1" t="n">
        <v>46114</v>
      </c>
      <c r="D3812" t="inlineStr">
        <is>
          <t>DALARNAS LÄN</t>
        </is>
      </c>
      <c r="E3812" t="inlineStr">
        <is>
          <t>SMEDJEBACKEN</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41900-2025</t>
        </is>
      </c>
      <c r="B3813" s="1" t="n">
        <v>45903.39708333334</v>
      </c>
      <c r="C3813" s="1" t="n">
        <v>46114</v>
      </c>
      <c r="D3813" t="inlineStr">
        <is>
          <t>DALARNAS LÄN</t>
        </is>
      </c>
      <c r="E3813" t="inlineStr">
        <is>
          <t>LUDVIKA</t>
        </is>
      </c>
      <c r="F3813" t="inlineStr">
        <is>
          <t>Bergvik skog väst AB</t>
        </is>
      </c>
      <c r="G3813" t="n">
        <v>4</v>
      </c>
      <c r="H3813" t="n">
        <v>0</v>
      </c>
      <c r="I3813" t="n">
        <v>0</v>
      </c>
      <c r="J3813" t="n">
        <v>0</v>
      </c>
      <c r="K3813" t="n">
        <v>0</v>
      </c>
      <c r="L3813" t="n">
        <v>0</v>
      </c>
      <c r="M3813" t="n">
        <v>0</v>
      </c>
      <c r="N3813" t="n">
        <v>0</v>
      </c>
      <c r="O3813" t="n">
        <v>0</v>
      </c>
      <c r="P3813" t="n">
        <v>0</v>
      </c>
      <c r="Q3813" t="n">
        <v>0</v>
      </c>
      <c r="R3813" s="2" t="inlineStr"/>
    </row>
    <row r="3814" ht="15" customHeight="1">
      <c r="A3814" t="inlineStr">
        <is>
          <t>A 22854-2023</t>
        </is>
      </c>
      <c r="B3814" s="1" t="n">
        <v>45072</v>
      </c>
      <c r="C3814" s="1" t="n">
        <v>46114</v>
      </c>
      <c r="D3814" t="inlineStr">
        <is>
          <t>DALARNAS LÄN</t>
        </is>
      </c>
      <c r="E3814" t="inlineStr">
        <is>
          <t>MORA</t>
        </is>
      </c>
      <c r="G3814" t="n">
        <v>3.3</v>
      </c>
      <c r="H3814" t="n">
        <v>0</v>
      </c>
      <c r="I3814" t="n">
        <v>0</v>
      </c>
      <c r="J3814" t="n">
        <v>0</v>
      </c>
      <c r="K3814" t="n">
        <v>0</v>
      </c>
      <c r="L3814" t="n">
        <v>0</v>
      </c>
      <c r="M3814" t="n">
        <v>0</v>
      </c>
      <c r="N3814" t="n">
        <v>0</v>
      </c>
      <c r="O3814" t="n">
        <v>0</v>
      </c>
      <c r="P3814" t="n">
        <v>0</v>
      </c>
      <c r="Q3814" t="n">
        <v>0</v>
      </c>
      <c r="R3814" s="2" t="inlineStr"/>
    </row>
    <row r="3815" ht="15" customHeight="1">
      <c r="A3815" t="inlineStr">
        <is>
          <t>A 36830-2025</t>
        </is>
      </c>
      <c r="B3815" s="1" t="n">
        <v>45874.34365740741</v>
      </c>
      <c r="C3815" s="1" t="n">
        <v>46114</v>
      </c>
      <c r="D3815" t="inlineStr">
        <is>
          <t>DALARNAS LÄN</t>
        </is>
      </c>
      <c r="E3815" t="inlineStr">
        <is>
          <t>ÄLVDALEN</t>
        </is>
      </c>
      <c r="F3815" t="inlineStr">
        <is>
          <t>Bergvik skog väst AB</t>
        </is>
      </c>
      <c r="G3815" t="n">
        <v>5</v>
      </c>
      <c r="H3815" t="n">
        <v>0</v>
      </c>
      <c r="I3815" t="n">
        <v>0</v>
      </c>
      <c r="J3815" t="n">
        <v>0</v>
      </c>
      <c r="K3815" t="n">
        <v>0</v>
      </c>
      <c r="L3815" t="n">
        <v>0</v>
      </c>
      <c r="M3815" t="n">
        <v>0</v>
      </c>
      <c r="N3815" t="n">
        <v>0</v>
      </c>
      <c r="O3815" t="n">
        <v>0</v>
      </c>
      <c r="P3815" t="n">
        <v>0</v>
      </c>
      <c r="Q3815" t="n">
        <v>0</v>
      </c>
      <c r="R3815" s="2" t="inlineStr"/>
    </row>
    <row r="3816" ht="15" customHeight="1">
      <c r="A3816" t="inlineStr">
        <is>
          <t>A 36988-2025</t>
        </is>
      </c>
      <c r="B3816" s="1" t="n">
        <v>45874</v>
      </c>
      <c r="C3816" s="1" t="n">
        <v>46114</v>
      </c>
      <c r="D3816" t="inlineStr">
        <is>
          <t>DALARNAS LÄN</t>
        </is>
      </c>
      <c r="E3816" t="inlineStr">
        <is>
          <t>MALUNG-SÄLEN</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20271-2025</t>
        </is>
      </c>
      <c r="B3817" s="1" t="n">
        <v>45773.71568287037</v>
      </c>
      <c r="C3817" s="1" t="n">
        <v>46114</v>
      </c>
      <c r="D3817" t="inlineStr">
        <is>
          <t>DALARNAS LÄN</t>
        </is>
      </c>
      <c r="E3817" t="inlineStr">
        <is>
          <t>HEDEMORA</t>
        </is>
      </c>
      <c r="F3817" t="inlineStr">
        <is>
          <t>Sveaskog</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58244-2024</t>
        </is>
      </c>
      <c r="B3818" s="1" t="n">
        <v>45631</v>
      </c>
      <c r="C3818" s="1" t="n">
        <v>46114</v>
      </c>
      <c r="D3818" t="inlineStr">
        <is>
          <t>DALARNAS LÄN</t>
        </is>
      </c>
      <c r="E3818" t="inlineStr">
        <is>
          <t>LEKSAND</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61646-2024</t>
        </is>
      </c>
      <c r="B3819" s="1" t="n">
        <v>45646</v>
      </c>
      <c r="C3819" s="1" t="n">
        <v>46114</v>
      </c>
      <c r="D3819" t="inlineStr">
        <is>
          <t>DALARNAS LÄN</t>
        </is>
      </c>
      <c r="E3819" t="inlineStr">
        <is>
          <t>VANSBRO</t>
        </is>
      </c>
      <c r="G3819" t="n">
        <v>6.9</v>
      </c>
      <c r="H3819" t="n">
        <v>0</v>
      </c>
      <c r="I3819" t="n">
        <v>0</v>
      </c>
      <c r="J3819" t="n">
        <v>0</v>
      </c>
      <c r="K3819" t="n">
        <v>0</v>
      </c>
      <c r="L3819" t="n">
        <v>0</v>
      </c>
      <c r="M3819" t="n">
        <v>0</v>
      </c>
      <c r="N3819" t="n">
        <v>0</v>
      </c>
      <c r="O3819" t="n">
        <v>0</v>
      </c>
      <c r="P3819" t="n">
        <v>0</v>
      </c>
      <c r="Q3819" t="n">
        <v>0</v>
      </c>
      <c r="R3819" s="2" t="inlineStr"/>
    </row>
    <row r="3820" ht="15" customHeight="1">
      <c r="A3820" t="inlineStr">
        <is>
          <t>A 37061-2025</t>
        </is>
      </c>
      <c r="B3820" s="1" t="n">
        <v>45874</v>
      </c>
      <c r="C3820" s="1" t="n">
        <v>46114</v>
      </c>
      <c r="D3820" t="inlineStr">
        <is>
          <t>DALARNAS LÄN</t>
        </is>
      </c>
      <c r="E3820" t="inlineStr">
        <is>
          <t>FALUN</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50187-2024</t>
        </is>
      </c>
      <c r="B3821" s="1" t="n">
        <v>45599</v>
      </c>
      <c r="C3821" s="1" t="n">
        <v>46114</v>
      </c>
      <c r="D3821" t="inlineStr">
        <is>
          <t>DALARNAS LÄN</t>
        </is>
      </c>
      <c r="E3821" t="inlineStr">
        <is>
          <t>SÄTER</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41783-2025</t>
        </is>
      </c>
      <c r="B3822" s="1" t="n">
        <v>45902.58721064815</v>
      </c>
      <c r="C3822" s="1" t="n">
        <v>46114</v>
      </c>
      <c r="D3822" t="inlineStr">
        <is>
          <t>DALARNAS LÄN</t>
        </is>
      </c>
      <c r="E3822" t="inlineStr">
        <is>
          <t>MORA</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61621-2022</t>
        </is>
      </c>
      <c r="B3823" s="1" t="n">
        <v>44916.67578703703</v>
      </c>
      <c r="C3823" s="1" t="n">
        <v>46114</v>
      </c>
      <c r="D3823" t="inlineStr">
        <is>
          <t>DALARNAS LÄN</t>
        </is>
      </c>
      <c r="E3823" t="inlineStr">
        <is>
          <t>LUDVIKA</t>
        </is>
      </c>
      <c r="F3823" t="inlineStr">
        <is>
          <t>Bergvik skog väst AB</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37186-2025</t>
        </is>
      </c>
      <c r="B3824" s="1" t="n">
        <v>45875.63905092593</v>
      </c>
      <c r="C3824" s="1" t="n">
        <v>46114</v>
      </c>
      <c r="D3824" t="inlineStr">
        <is>
          <t>DALARNAS LÄN</t>
        </is>
      </c>
      <c r="E3824" t="inlineStr">
        <is>
          <t>ÄLVDALEN</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37075-2025</t>
        </is>
      </c>
      <c r="B3825" s="1" t="n">
        <v>45875.40737268519</v>
      </c>
      <c r="C3825" s="1" t="n">
        <v>46114</v>
      </c>
      <c r="D3825" t="inlineStr">
        <is>
          <t>DALARNAS LÄN</t>
        </is>
      </c>
      <c r="E3825" t="inlineStr">
        <is>
          <t>SÄTER</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49936-2023</t>
        </is>
      </c>
      <c r="B3826" s="1" t="n">
        <v>45215</v>
      </c>
      <c r="C3826" s="1" t="n">
        <v>46114</v>
      </c>
      <c r="D3826" t="inlineStr">
        <is>
          <t>DALARNAS LÄN</t>
        </is>
      </c>
      <c r="E3826" t="inlineStr">
        <is>
          <t>BORLÄNGE</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36833-2025</t>
        </is>
      </c>
      <c r="B3827" s="1" t="n">
        <v>45874</v>
      </c>
      <c r="C3827" s="1" t="n">
        <v>46114</v>
      </c>
      <c r="D3827" t="inlineStr">
        <is>
          <t>DALARNAS LÄN</t>
        </is>
      </c>
      <c r="E3827" t="inlineStr">
        <is>
          <t>VANSBRO</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30005-2024</t>
        </is>
      </c>
      <c r="B3828" s="1" t="n">
        <v>45488.5965625</v>
      </c>
      <c r="C3828" s="1" t="n">
        <v>46114</v>
      </c>
      <c r="D3828" t="inlineStr">
        <is>
          <t>DALARNAS LÄN</t>
        </is>
      </c>
      <c r="E3828" t="inlineStr">
        <is>
          <t>MALUNG-SÄLEN</t>
        </is>
      </c>
      <c r="F3828" t="inlineStr">
        <is>
          <t>Bergvik skog öst AB</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20273-2025</t>
        </is>
      </c>
      <c r="B3829" s="1" t="n">
        <v>45773.71921296296</v>
      </c>
      <c r="C3829" s="1" t="n">
        <v>46114</v>
      </c>
      <c r="D3829" t="inlineStr">
        <is>
          <t>DALARNAS LÄN</t>
        </is>
      </c>
      <c r="E3829" t="inlineStr">
        <is>
          <t>HEDEMORA</t>
        </is>
      </c>
      <c r="F3829" t="inlineStr">
        <is>
          <t>Sveaskog</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24194-2025</t>
        </is>
      </c>
      <c r="B3830" s="1" t="n">
        <v>45796.90516203704</v>
      </c>
      <c r="C3830" s="1" t="n">
        <v>46114</v>
      </c>
      <c r="D3830" t="inlineStr">
        <is>
          <t>DALARNAS LÄN</t>
        </is>
      </c>
      <c r="E3830" t="inlineStr">
        <is>
          <t>AVESTA</t>
        </is>
      </c>
      <c r="G3830" t="n">
        <v>2</v>
      </c>
      <c r="H3830" t="n">
        <v>0</v>
      </c>
      <c r="I3830" t="n">
        <v>0</v>
      </c>
      <c r="J3830" t="n">
        <v>0</v>
      </c>
      <c r="K3830" t="n">
        <v>0</v>
      </c>
      <c r="L3830" t="n">
        <v>0</v>
      </c>
      <c r="M3830" t="n">
        <v>0</v>
      </c>
      <c r="N3830" t="n">
        <v>0</v>
      </c>
      <c r="O3830" t="n">
        <v>0</v>
      </c>
      <c r="P3830" t="n">
        <v>0</v>
      </c>
      <c r="Q3830" t="n">
        <v>0</v>
      </c>
      <c r="R3830" s="2" t="inlineStr"/>
    </row>
    <row r="3831" ht="15" customHeight="1">
      <c r="A3831" t="inlineStr">
        <is>
          <t>A 41916-2025</t>
        </is>
      </c>
      <c r="B3831" s="1" t="n">
        <v>45903.41763888889</v>
      </c>
      <c r="C3831" s="1" t="n">
        <v>46114</v>
      </c>
      <c r="D3831" t="inlineStr">
        <is>
          <t>DALARNAS LÄN</t>
        </is>
      </c>
      <c r="E3831" t="inlineStr">
        <is>
          <t>LUDVIKA</t>
        </is>
      </c>
      <c r="F3831" t="inlineStr">
        <is>
          <t>Bergvik skog väst AB</t>
        </is>
      </c>
      <c r="G3831" t="n">
        <v>5.6</v>
      </c>
      <c r="H3831" t="n">
        <v>0</v>
      </c>
      <c r="I3831" t="n">
        <v>0</v>
      </c>
      <c r="J3831" t="n">
        <v>0</v>
      </c>
      <c r="K3831" t="n">
        <v>0</v>
      </c>
      <c r="L3831" t="n">
        <v>0</v>
      </c>
      <c r="M3831" t="n">
        <v>0</v>
      </c>
      <c r="N3831" t="n">
        <v>0</v>
      </c>
      <c r="O3831" t="n">
        <v>0</v>
      </c>
      <c r="P3831" t="n">
        <v>0</v>
      </c>
      <c r="Q3831" t="n">
        <v>0</v>
      </c>
      <c r="R3831" s="2" t="inlineStr"/>
    </row>
    <row r="3832" ht="15" customHeight="1">
      <c r="A3832" t="inlineStr">
        <is>
          <t>A 37040-2025</t>
        </is>
      </c>
      <c r="B3832" s="1" t="n">
        <v>45875</v>
      </c>
      <c r="C3832" s="1" t="n">
        <v>46114</v>
      </c>
      <c r="D3832" t="inlineStr">
        <is>
          <t>DALARNAS LÄN</t>
        </is>
      </c>
      <c r="E3832" t="inlineStr">
        <is>
          <t>MALUNG-SÄLEN</t>
        </is>
      </c>
      <c r="G3832" t="n">
        <v>5.1</v>
      </c>
      <c r="H3832" t="n">
        <v>0</v>
      </c>
      <c r="I3832" t="n">
        <v>0</v>
      </c>
      <c r="J3832" t="n">
        <v>0</v>
      </c>
      <c r="K3832" t="n">
        <v>0</v>
      </c>
      <c r="L3832" t="n">
        <v>0</v>
      </c>
      <c r="M3832" t="n">
        <v>0</v>
      </c>
      <c r="N3832" t="n">
        <v>0</v>
      </c>
      <c r="O3832" t="n">
        <v>0</v>
      </c>
      <c r="P3832" t="n">
        <v>0</v>
      </c>
      <c r="Q3832" t="n">
        <v>0</v>
      </c>
      <c r="R3832" s="2" t="inlineStr"/>
    </row>
    <row r="3833" ht="15" customHeight="1">
      <c r="A3833" t="inlineStr">
        <is>
          <t>A 41991-2025</t>
        </is>
      </c>
      <c r="B3833" s="1" t="n">
        <v>45903.54532407408</v>
      </c>
      <c r="C3833" s="1" t="n">
        <v>46114</v>
      </c>
      <c r="D3833" t="inlineStr">
        <is>
          <t>DALARNAS LÄN</t>
        </is>
      </c>
      <c r="E3833" t="inlineStr">
        <is>
          <t>ORSA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37121-2025</t>
        </is>
      </c>
      <c r="B3834" s="1" t="n">
        <v>45875.51950231481</v>
      </c>
      <c r="C3834" s="1" t="n">
        <v>46114</v>
      </c>
      <c r="D3834" t="inlineStr">
        <is>
          <t>DALARNAS LÄN</t>
        </is>
      </c>
      <c r="E3834" t="inlineStr">
        <is>
          <t>LUDVIKA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42072-2025</t>
        </is>
      </c>
      <c r="B3835" s="1" t="n">
        <v>45903.66252314814</v>
      </c>
      <c r="C3835" s="1" t="n">
        <v>46114</v>
      </c>
      <c r="D3835" t="inlineStr">
        <is>
          <t>DALARNAS LÄN</t>
        </is>
      </c>
      <c r="E3835" t="inlineStr">
        <is>
          <t>AVESTA</t>
        </is>
      </c>
      <c r="G3835" t="n">
        <v>1.8</v>
      </c>
      <c r="H3835" t="n">
        <v>0</v>
      </c>
      <c r="I3835" t="n">
        <v>0</v>
      </c>
      <c r="J3835" t="n">
        <v>0</v>
      </c>
      <c r="K3835" t="n">
        <v>0</v>
      </c>
      <c r="L3835" t="n">
        <v>0</v>
      </c>
      <c r="M3835" t="n">
        <v>0</v>
      </c>
      <c r="N3835" t="n">
        <v>0</v>
      </c>
      <c r="O3835" t="n">
        <v>0</v>
      </c>
      <c r="P3835" t="n">
        <v>0</v>
      </c>
      <c r="Q3835" t="n">
        <v>0</v>
      </c>
      <c r="R3835" s="2" t="inlineStr"/>
    </row>
    <row r="3836" ht="15" customHeight="1">
      <c r="A3836" t="inlineStr">
        <is>
          <t>A 24663-2025</t>
        </is>
      </c>
      <c r="B3836" s="1" t="n">
        <v>45792</v>
      </c>
      <c r="C3836" s="1" t="n">
        <v>46114</v>
      </c>
      <c r="D3836" t="inlineStr">
        <is>
          <t>DALARNAS LÄN</t>
        </is>
      </c>
      <c r="E3836" t="inlineStr">
        <is>
          <t>MALUNG-SÄLEN</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164-2023</t>
        </is>
      </c>
      <c r="B3837" s="1" t="n">
        <v>44918</v>
      </c>
      <c r="C3837" s="1" t="n">
        <v>46114</v>
      </c>
      <c r="D3837" t="inlineStr">
        <is>
          <t>DALARNAS LÄN</t>
        </is>
      </c>
      <c r="E3837" t="inlineStr">
        <is>
          <t>LEKSAND</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42078-2025</t>
        </is>
      </c>
      <c r="B3838" s="1" t="n">
        <v>45902</v>
      </c>
      <c r="C3838" s="1" t="n">
        <v>46114</v>
      </c>
      <c r="D3838" t="inlineStr">
        <is>
          <t>DALARNAS LÄN</t>
        </is>
      </c>
      <c r="E3838" t="inlineStr">
        <is>
          <t>RÄTTVIK</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36863-2025</t>
        </is>
      </c>
      <c r="B3839" s="1" t="n">
        <v>45874</v>
      </c>
      <c r="C3839" s="1" t="n">
        <v>46114</v>
      </c>
      <c r="D3839" t="inlineStr">
        <is>
          <t>DALARNAS LÄN</t>
        </is>
      </c>
      <c r="E3839" t="inlineStr">
        <is>
          <t>MALUNG-SÄLEN</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38900-2024</t>
        </is>
      </c>
      <c r="B3840" s="1" t="n">
        <v>45547.6940625</v>
      </c>
      <c r="C3840" s="1" t="n">
        <v>46114</v>
      </c>
      <c r="D3840" t="inlineStr">
        <is>
          <t>DALARNAS LÄN</t>
        </is>
      </c>
      <c r="E3840" t="inlineStr">
        <is>
          <t>MALUNG-SÄLEN</t>
        </is>
      </c>
      <c r="G3840" t="n">
        <v>0.1</v>
      </c>
      <c r="H3840" t="n">
        <v>0</v>
      </c>
      <c r="I3840" t="n">
        <v>0</v>
      </c>
      <c r="J3840" t="n">
        <v>0</v>
      </c>
      <c r="K3840" t="n">
        <v>0</v>
      </c>
      <c r="L3840" t="n">
        <v>0</v>
      </c>
      <c r="M3840" t="n">
        <v>0</v>
      </c>
      <c r="N3840" t="n">
        <v>0</v>
      </c>
      <c r="O3840" t="n">
        <v>0</v>
      </c>
      <c r="P3840" t="n">
        <v>0</v>
      </c>
      <c r="Q3840" t="n">
        <v>0</v>
      </c>
      <c r="R3840" s="2" t="inlineStr"/>
    </row>
    <row r="3841" ht="15" customHeight="1">
      <c r="A3841" t="inlineStr">
        <is>
          <t>A 41800-2025</t>
        </is>
      </c>
      <c r="B3841" s="1" t="n">
        <v>45902.61282407407</v>
      </c>
      <c r="C3841" s="1" t="n">
        <v>46114</v>
      </c>
      <c r="D3841" t="inlineStr">
        <is>
          <t>DALARNAS LÄN</t>
        </is>
      </c>
      <c r="E3841" t="inlineStr">
        <is>
          <t>MALUNG-SÄLEN</t>
        </is>
      </c>
      <c r="F3841" t="inlineStr">
        <is>
          <t>Bergvik skog öst AB</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36897-2025</t>
        </is>
      </c>
      <c r="B3842" s="1" t="n">
        <v>45874.47474537037</v>
      </c>
      <c r="C3842" s="1" t="n">
        <v>46114</v>
      </c>
      <c r="D3842" t="inlineStr">
        <is>
          <t>DALARNAS LÄN</t>
        </is>
      </c>
      <c r="E3842" t="inlineStr">
        <is>
          <t>RÄTTVIK</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22454-2021</t>
        </is>
      </c>
      <c r="B3843" s="1" t="n">
        <v>44326</v>
      </c>
      <c r="C3843" s="1" t="n">
        <v>46114</v>
      </c>
      <c r="D3843" t="inlineStr">
        <is>
          <t>DALARNAS LÄN</t>
        </is>
      </c>
      <c r="E3843" t="inlineStr">
        <is>
          <t>ÄLVDALEN</t>
        </is>
      </c>
      <c r="F3843" t="inlineStr">
        <is>
          <t>Allmännings- och besparingsskogar</t>
        </is>
      </c>
      <c r="G3843" t="n">
        <v>4.3</v>
      </c>
      <c r="H3843" t="n">
        <v>0</v>
      </c>
      <c r="I3843" t="n">
        <v>0</v>
      </c>
      <c r="J3843" t="n">
        <v>0</v>
      </c>
      <c r="K3843" t="n">
        <v>0</v>
      </c>
      <c r="L3843" t="n">
        <v>0</v>
      </c>
      <c r="M3843" t="n">
        <v>0</v>
      </c>
      <c r="N3843" t="n">
        <v>0</v>
      </c>
      <c r="O3843" t="n">
        <v>0</v>
      </c>
      <c r="P3843" t="n">
        <v>0</v>
      </c>
      <c r="Q3843" t="n">
        <v>0</v>
      </c>
      <c r="R3843" s="2" t="inlineStr"/>
    </row>
    <row r="3844" ht="15" customHeight="1">
      <c r="A3844" t="inlineStr">
        <is>
          <t>A 41927-2025</t>
        </is>
      </c>
      <c r="B3844" s="1" t="n">
        <v>45903.4290625</v>
      </c>
      <c r="C3844" s="1" t="n">
        <v>46114</v>
      </c>
      <c r="D3844" t="inlineStr">
        <is>
          <t>DALARNAS LÄN</t>
        </is>
      </c>
      <c r="E3844" t="inlineStr">
        <is>
          <t>ORSA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46786-2023</t>
        </is>
      </c>
      <c r="B3845" s="1" t="n">
        <v>45198</v>
      </c>
      <c r="C3845" s="1" t="n">
        <v>46114</v>
      </c>
      <c r="D3845" t="inlineStr">
        <is>
          <t>DALARNAS LÄN</t>
        </is>
      </c>
      <c r="E3845" t="inlineStr">
        <is>
          <t>SMEDJEBACKEN</t>
        </is>
      </c>
      <c r="F3845" t="inlineStr">
        <is>
          <t>Bergvik skog väst AB</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14178-2024</t>
        </is>
      </c>
      <c r="B3846" s="1" t="n">
        <v>45393</v>
      </c>
      <c r="C3846" s="1" t="n">
        <v>46114</v>
      </c>
      <c r="D3846" t="inlineStr">
        <is>
          <t>DALARNAS LÄN</t>
        </is>
      </c>
      <c r="E3846" t="inlineStr">
        <is>
          <t>RÄTTVIK</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9403-2022</t>
        </is>
      </c>
      <c r="B3847" s="1" t="n">
        <v>44616</v>
      </c>
      <c r="C3847" s="1" t="n">
        <v>46114</v>
      </c>
      <c r="D3847" t="inlineStr">
        <is>
          <t>DALARNAS LÄN</t>
        </is>
      </c>
      <c r="E3847" t="inlineStr">
        <is>
          <t>AVESTA</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23892-2025</t>
        </is>
      </c>
      <c r="B3848" s="1" t="n">
        <v>45793</v>
      </c>
      <c r="C3848" s="1" t="n">
        <v>46114</v>
      </c>
      <c r="D3848" t="inlineStr">
        <is>
          <t>DALARNAS LÄN</t>
        </is>
      </c>
      <c r="E3848" t="inlineStr">
        <is>
          <t>LEKSAND</t>
        </is>
      </c>
      <c r="F3848" t="inlineStr">
        <is>
          <t>Kommuner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55942-2023</t>
        </is>
      </c>
      <c r="B3849" s="1" t="n">
        <v>45240.30758101852</v>
      </c>
      <c r="C3849" s="1" t="n">
        <v>46114</v>
      </c>
      <c r="D3849" t="inlineStr">
        <is>
          <t>DALARNAS LÄN</t>
        </is>
      </c>
      <c r="E3849" t="inlineStr">
        <is>
          <t>VANSBRO</t>
        </is>
      </c>
      <c r="G3849" t="n">
        <v>4.4</v>
      </c>
      <c r="H3849" t="n">
        <v>0</v>
      </c>
      <c r="I3849" t="n">
        <v>0</v>
      </c>
      <c r="J3849" t="n">
        <v>0</v>
      </c>
      <c r="K3849" t="n">
        <v>0</v>
      </c>
      <c r="L3849" t="n">
        <v>0</v>
      </c>
      <c r="M3849" t="n">
        <v>0</v>
      </c>
      <c r="N3849" t="n">
        <v>0</v>
      </c>
      <c r="O3849" t="n">
        <v>0</v>
      </c>
      <c r="P3849" t="n">
        <v>0</v>
      </c>
      <c r="Q3849" t="n">
        <v>0</v>
      </c>
      <c r="R3849" s="2" t="inlineStr"/>
    </row>
    <row r="3850" ht="15" customHeight="1">
      <c r="A3850" t="inlineStr">
        <is>
          <t>A 21626-2023</t>
        </is>
      </c>
      <c r="B3850" s="1" t="n">
        <v>45063.66127314815</v>
      </c>
      <c r="C3850" s="1" t="n">
        <v>46114</v>
      </c>
      <c r="D3850" t="inlineStr">
        <is>
          <t>DALARNAS LÄN</t>
        </is>
      </c>
      <c r="E3850" t="inlineStr">
        <is>
          <t>SMEDJEBACKEN</t>
        </is>
      </c>
      <c r="F3850" t="inlineStr">
        <is>
          <t>Övriga Aktiebolag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37181-2025</t>
        </is>
      </c>
      <c r="B3851" s="1" t="n">
        <v>45875.62668981482</v>
      </c>
      <c r="C3851" s="1" t="n">
        <v>46114</v>
      </c>
      <c r="D3851" t="inlineStr">
        <is>
          <t>DALARNAS LÄN</t>
        </is>
      </c>
      <c r="E3851" t="inlineStr">
        <is>
          <t>ORSA</t>
        </is>
      </c>
      <c r="F3851" t="inlineStr">
        <is>
          <t>Bergvik skog öst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41846-2025</t>
        </is>
      </c>
      <c r="B3852" s="1" t="n">
        <v>45902.74388888889</v>
      </c>
      <c r="C3852" s="1" t="n">
        <v>46114</v>
      </c>
      <c r="D3852" t="inlineStr">
        <is>
          <t>DALARNAS LÄN</t>
        </is>
      </c>
      <c r="E3852" t="inlineStr">
        <is>
          <t>SMEDJEBACKEN</t>
        </is>
      </c>
      <c r="F3852" t="inlineStr">
        <is>
          <t>Sveaskog</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41879-2025</t>
        </is>
      </c>
      <c r="B3853" s="1" t="n">
        <v>45903.35346064815</v>
      </c>
      <c r="C3853" s="1" t="n">
        <v>46114</v>
      </c>
      <c r="D3853" t="inlineStr">
        <is>
          <t>DALARNAS LÄN</t>
        </is>
      </c>
      <c r="E3853" t="inlineStr">
        <is>
          <t>RÄTTVIK</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41890-2025</t>
        </is>
      </c>
      <c r="B3854" s="1" t="n">
        <v>45903</v>
      </c>
      <c r="C3854" s="1" t="n">
        <v>46114</v>
      </c>
      <c r="D3854" t="inlineStr">
        <is>
          <t>DALARNAS LÄN</t>
        </is>
      </c>
      <c r="E3854" t="inlineStr">
        <is>
          <t>LUDVIKA</t>
        </is>
      </c>
      <c r="F3854" t="inlineStr">
        <is>
          <t>Bergvik skog väst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37129-2025</t>
        </is>
      </c>
      <c r="B3855" s="1" t="n">
        <v>45875.54314814815</v>
      </c>
      <c r="C3855" s="1" t="n">
        <v>46114</v>
      </c>
      <c r="D3855" t="inlineStr">
        <is>
          <t>DALARNAS LÄN</t>
        </is>
      </c>
      <c r="E3855" t="inlineStr">
        <is>
          <t>LUDVIKA</t>
        </is>
      </c>
      <c r="G3855" t="n">
        <v>3.9</v>
      </c>
      <c r="H3855" t="n">
        <v>0</v>
      </c>
      <c r="I3855" t="n">
        <v>0</v>
      </c>
      <c r="J3855" t="n">
        <v>0</v>
      </c>
      <c r="K3855" t="n">
        <v>0</v>
      </c>
      <c r="L3855" t="n">
        <v>0</v>
      </c>
      <c r="M3855" t="n">
        <v>0</v>
      </c>
      <c r="N3855" t="n">
        <v>0</v>
      </c>
      <c r="O3855" t="n">
        <v>0</v>
      </c>
      <c r="P3855" t="n">
        <v>0</v>
      </c>
      <c r="Q3855" t="n">
        <v>0</v>
      </c>
      <c r="R3855" s="2" t="inlineStr"/>
    </row>
    <row r="3856" ht="15" customHeight="1">
      <c r="A3856" t="inlineStr">
        <is>
          <t>A 53643-2024</t>
        </is>
      </c>
      <c r="B3856" s="1" t="n">
        <v>45614.89589120371</v>
      </c>
      <c r="C3856" s="1" t="n">
        <v>46114</v>
      </c>
      <c r="D3856" t="inlineStr">
        <is>
          <t>DALARNAS LÄN</t>
        </is>
      </c>
      <c r="E3856" t="inlineStr">
        <is>
          <t>FALUN</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53666-2024</t>
        </is>
      </c>
      <c r="B3857" s="1" t="n">
        <v>45615.33318287037</v>
      </c>
      <c r="C3857" s="1" t="n">
        <v>46114</v>
      </c>
      <c r="D3857" t="inlineStr">
        <is>
          <t>DALARNAS LÄN</t>
        </is>
      </c>
      <c r="E3857" t="inlineStr">
        <is>
          <t>RÄTTVIK</t>
        </is>
      </c>
      <c r="G3857" t="n">
        <v>9.5</v>
      </c>
      <c r="H3857" t="n">
        <v>0</v>
      </c>
      <c r="I3857" t="n">
        <v>0</v>
      </c>
      <c r="J3857" t="n">
        <v>0</v>
      </c>
      <c r="K3857" t="n">
        <v>0</v>
      </c>
      <c r="L3857" t="n">
        <v>0</v>
      </c>
      <c r="M3857" t="n">
        <v>0</v>
      </c>
      <c r="N3857" t="n">
        <v>0</v>
      </c>
      <c r="O3857" t="n">
        <v>0</v>
      </c>
      <c r="P3857" t="n">
        <v>0</v>
      </c>
      <c r="Q3857" t="n">
        <v>0</v>
      </c>
      <c r="R3857" s="2" t="inlineStr"/>
    </row>
    <row r="3858" ht="15" customHeight="1">
      <c r="A3858" t="inlineStr">
        <is>
          <t>A 37211-2025</t>
        </is>
      </c>
      <c r="B3858" s="1" t="n">
        <v>45875</v>
      </c>
      <c r="C3858" s="1" t="n">
        <v>46114</v>
      </c>
      <c r="D3858" t="inlineStr">
        <is>
          <t>DALARNAS LÄN</t>
        </is>
      </c>
      <c r="E3858" t="inlineStr">
        <is>
          <t>AVESTA</t>
        </is>
      </c>
      <c r="G3858" t="n">
        <v>11.7</v>
      </c>
      <c r="H3858" t="n">
        <v>0</v>
      </c>
      <c r="I3858" t="n">
        <v>0</v>
      </c>
      <c r="J3858" t="n">
        <v>0</v>
      </c>
      <c r="K3858" t="n">
        <v>0</v>
      </c>
      <c r="L3858" t="n">
        <v>0</v>
      </c>
      <c r="M3858" t="n">
        <v>0</v>
      </c>
      <c r="N3858" t="n">
        <v>0</v>
      </c>
      <c r="O3858" t="n">
        <v>0</v>
      </c>
      <c r="P3858" t="n">
        <v>0</v>
      </c>
      <c r="Q3858" t="n">
        <v>0</v>
      </c>
      <c r="R3858" s="2" t="inlineStr"/>
    </row>
    <row r="3859" ht="15" customHeight="1">
      <c r="A3859" t="inlineStr">
        <is>
          <t>A 41919-2025</t>
        </is>
      </c>
      <c r="B3859" s="1" t="n">
        <v>45903.42372685186</v>
      </c>
      <c r="C3859" s="1" t="n">
        <v>46114</v>
      </c>
      <c r="D3859" t="inlineStr">
        <is>
          <t>DALARNAS LÄN</t>
        </is>
      </c>
      <c r="E3859" t="inlineStr">
        <is>
          <t>ORSA</t>
        </is>
      </c>
      <c r="G3859" t="n">
        <v>0.5</v>
      </c>
      <c r="H3859" t="n">
        <v>0</v>
      </c>
      <c r="I3859" t="n">
        <v>0</v>
      </c>
      <c r="J3859" t="n">
        <v>0</v>
      </c>
      <c r="K3859" t="n">
        <v>0</v>
      </c>
      <c r="L3859" t="n">
        <v>0</v>
      </c>
      <c r="M3859" t="n">
        <v>0</v>
      </c>
      <c r="N3859" t="n">
        <v>0</v>
      </c>
      <c r="O3859" t="n">
        <v>0</v>
      </c>
      <c r="P3859" t="n">
        <v>0</v>
      </c>
      <c r="Q3859" t="n">
        <v>0</v>
      </c>
      <c r="R3859" s="2" t="inlineStr"/>
    </row>
    <row r="3860" ht="15" customHeight="1">
      <c r="A3860" t="inlineStr">
        <is>
          <t>A 55204-2023</t>
        </is>
      </c>
      <c r="B3860" s="1" t="n">
        <v>45237</v>
      </c>
      <c r="C3860" s="1" t="n">
        <v>46114</v>
      </c>
      <c r="D3860" t="inlineStr">
        <is>
          <t>DALARNAS LÄN</t>
        </is>
      </c>
      <c r="E3860" t="inlineStr">
        <is>
          <t>MALUNG-SÄLEN</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55209-2023</t>
        </is>
      </c>
      <c r="B3861" s="1" t="n">
        <v>45237</v>
      </c>
      <c r="C3861" s="1" t="n">
        <v>46114</v>
      </c>
      <c r="D3861" t="inlineStr">
        <is>
          <t>DALARNAS LÄN</t>
        </is>
      </c>
      <c r="E3861" t="inlineStr">
        <is>
          <t>MALUNG-SÄLEN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10068-2025</t>
        </is>
      </c>
      <c r="B3862" s="1" t="n">
        <v>45719.54474537037</v>
      </c>
      <c r="C3862" s="1" t="n">
        <v>46114</v>
      </c>
      <c r="D3862" t="inlineStr">
        <is>
          <t>DALARNAS LÄN</t>
        </is>
      </c>
      <c r="E3862" t="inlineStr">
        <is>
          <t>AVESTA</t>
        </is>
      </c>
      <c r="G3862" t="n">
        <v>8.6</v>
      </c>
      <c r="H3862" t="n">
        <v>0</v>
      </c>
      <c r="I3862" t="n">
        <v>0</v>
      </c>
      <c r="J3862" t="n">
        <v>0</v>
      </c>
      <c r="K3862" t="n">
        <v>0</v>
      </c>
      <c r="L3862" t="n">
        <v>0</v>
      </c>
      <c r="M3862" t="n">
        <v>0</v>
      </c>
      <c r="N3862" t="n">
        <v>0</v>
      </c>
      <c r="O3862" t="n">
        <v>0</v>
      </c>
      <c r="P3862" t="n">
        <v>0</v>
      </c>
      <c r="Q3862" t="n">
        <v>0</v>
      </c>
      <c r="R3862" s="2" t="inlineStr"/>
    </row>
    <row r="3863" ht="15" customHeight="1">
      <c r="A3863" t="inlineStr">
        <is>
          <t>A 37034-2025</t>
        </is>
      </c>
      <c r="B3863" s="1" t="n">
        <v>45874</v>
      </c>
      <c r="C3863" s="1" t="n">
        <v>46114</v>
      </c>
      <c r="D3863" t="inlineStr">
        <is>
          <t>DALARNAS LÄN</t>
        </is>
      </c>
      <c r="E3863" t="inlineStr">
        <is>
          <t>BORLÄNGE</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18806-2025</t>
        </is>
      </c>
      <c r="B3864" s="1" t="n">
        <v>45764.35269675926</v>
      </c>
      <c r="C3864" s="1" t="n">
        <v>46114</v>
      </c>
      <c r="D3864" t="inlineStr">
        <is>
          <t>DALARNAS LÄN</t>
        </is>
      </c>
      <c r="E3864" t="inlineStr">
        <is>
          <t>MORA</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8735-2025</t>
        </is>
      </c>
      <c r="B3865" s="1" t="n">
        <v>45712.54076388889</v>
      </c>
      <c r="C3865" s="1" t="n">
        <v>46114</v>
      </c>
      <c r="D3865" t="inlineStr">
        <is>
          <t>DALARNAS LÄN</t>
        </is>
      </c>
      <c r="E3865" t="inlineStr">
        <is>
          <t>MALUNG-SÄLEN</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42079-2025</t>
        </is>
      </c>
      <c r="B3866" s="1" t="n">
        <v>45902</v>
      </c>
      <c r="C3866" s="1" t="n">
        <v>46114</v>
      </c>
      <c r="D3866" t="inlineStr">
        <is>
          <t>DALARNAS LÄN</t>
        </is>
      </c>
      <c r="E3866" t="inlineStr">
        <is>
          <t>RÄTTVIK</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41666-2025</t>
        </is>
      </c>
      <c r="B3867" s="1" t="n">
        <v>45902.35822916667</v>
      </c>
      <c r="C3867" s="1" t="n">
        <v>46114</v>
      </c>
      <c r="D3867" t="inlineStr">
        <is>
          <t>DALARNAS LÄN</t>
        </is>
      </c>
      <c r="E3867" t="inlineStr">
        <is>
          <t>ORSA</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41723-2025</t>
        </is>
      </c>
      <c r="B3868" s="1" t="n">
        <v>45902.45212962963</v>
      </c>
      <c r="C3868" s="1" t="n">
        <v>46114</v>
      </c>
      <c r="D3868" t="inlineStr">
        <is>
          <t>DALARNAS LÄN</t>
        </is>
      </c>
      <c r="E3868" t="inlineStr">
        <is>
          <t>MALUNG-SÄLEN</t>
        </is>
      </c>
      <c r="F3868" t="inlineStr">
        <is>
          <t>Övriga statliga verk och myndigheter</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41969-2025</t>
        </is>
      </c>
      <c r="B3869" s="1" t="n">
        <v>45903.48692129629</v>
      </c>
      <c r="C3869" s="1" t="n">
        <v>46114</v>
      </c>
      <c r="D3869" t="inlineStr">
        <is>
          <t>DALARNAS LÄN</t>
        </is>
      </c>
      <c r="E3869" t="inlineStr">
        <is>
          <t>FALUN</t>
        </is>
      </c>
      <c r="G3869" t="n">
        <v>4.5</v>
      </c>
      <c r="H3869" t="n">
        <v>0</v>
      </c>
      <c r="I3869" t="n">
        <v>0</v>
      </c>
      <c r="J3869" t="n">
        <v>0</v>
      </c>
      <c r="K3869" t="n">
        <v>0</v>
      </c>
      <c r="L3869" t="n">
        <v>0</v>
      </c>
      <c r="M3869" t="n">
        <v>0</v>
      </c>
      <c r="N3869" t="n">
        <v>0</v>
      </c>
      <c r="O3869" t="n">
        <v>0</v>
      </c>
      <c r="P3869" t="n">
        <v>0</v>
      </c>
      <c r="Q3869" t="n">
        <v>0</v>
      </c>
      <c r="R3869" s="2" t="inlineStr"/>
    </row>
    <row r="3870" ht="15" customHeight="1">
      <c r="A3870" t="inlineStr">
        <is>
          <t>A 42013-2025</t>
        </is>
      </c>
      <c r="B3870" s="1" t="n">
        <v>45903.5753125</v>
      </c>
      <c r="C3870" s="1" t="n">
        <v>46114</v>
      </c>
      <c r="D3870" t="inlineStr">
        <is>
          <t>DALARNAS LÄN</t>
        </is>
      </c>
      <c r="E3870" t="inlineStr">
        <is>
          <t>BORLÄNGE</t>
        </is>
      </c>
      <c r="F3870" t="inlineStr">
        <is>
          <t>Bergvik skog väst AB</t>
        </is>
      </c>
      <c r="G3870" t="n">
        <v>2.5</v>
      </c>
      <c r="H3870" t="n">
        <v>0</v>
      </c>
      <c r="I3870" t="n">
        <v>0</v>
      </c>
      <c r="J3870" t="n">
        <v>0</v>
      </c>
      <c r="K3870" t="n">
        <v>0</v>
      </c>
      <c r="L3870" t="n">
        <v>0</v>
      </c>
      <c r="M3870" t="n">
        <v>0</v>
      </c>
      <c r="N3870" t="n">
        <v>0</v>
      </c>
      <c r="O3870" t="n">
        <v>0</v>
      </c>
      <c r="P3870" t="n">
        <v>0</v>
      </c>
      <c r="Q3870" t="n">
        <v>0</v>
      </c>
      <c r="R3870" s="2" t="inlineStr"/>
    </row>
    <row r="3871" ht="15" customHeight="1">
      <c r="A3871" t="inlineStr">
        <is>
          <t>A 5386-2024</t>
        </is>
      </c>
      <c r="B3871" s="1" t="n">
        <v>45331</v>
      </c>
      <c r="C3871" s="1" t="n">
        <v>46114</v>
      </c>
      <c r="D3871" t="inlineStr">
        <is>
          <t>DALARNAS LÄN</t>
        </is>
      </c>
      <c r="E3871" t="inlineStr">
        <is>
          <t>VANSBRO</t>
        </is>
      </c>
      <c r="G3871" t="n">
        <v>11.4</v>
      </c>
      <c r="H3871" t="n">
        <v>0</v>
      </c>
      <c r="I3871" t="n">
        <v>0</v>
      </c>
      <c r="J3871" t="n">
        <v>0</v>
      </c>
      <c r="K3871" t="n">
        <v>0</v>
      </c>
      <c r="L3871" t="n">
        <v>0</v>
      </c>
      <c r="M3871" t="n">
        <v>0</v>
      </c>
      <c r="N3871" t="n">
        <v>0</v>
      </c>
      <c r="O3871" t="n">
        <v>0</v>
      </c>
      <c r="P3871" t="n">
        <v>0</v>
      </c>
      <c r="Q3871" t="n">
        <v>0</v>
      </c>
      <c r="R3871" s="2" t="inlineStr"/>
    </row>
    <row r="3872" ht="15" customHeight="1">
      <c r="A3872" t="inlineStr">
        <is>
          <t>A 41731-2025</t>
        </is>
      </c>
      <c r="B3872" s="1" t="n">
        <v>45902</v>
      </c>
      <c r="C3872" s="1" t="n">
        <v>46114</v>
      </c>
      <c r="D3872" t="inlineStr">
        <is>
          <t>DALARNAS LÄN</t>
        </is>
      </c>
      <c r="E3872" t="inlineStr">
        <is>
          <t>LUDVIKA</t>
        </is>
      </c>
      <c r="F3872" t="inlineStr">
        <is>
          <t>Bergvik skog väst AB</t>
        </is>
      </c>
      <c r="G3872" t="n">
        <v>4.6</v>
      </c>
      <c r="H3872" t="n">
        <v>0</v>
      </c>
      <c r="I3872" t="n">
        <v>0</v>
      </c>
      <c r="J3872" t="n">
        <v>0</v>
      </c>
      <c r="K3872" t="n">
        <v>0</v>
      </c>
      <c r="L3872" t="n">
        <v>0</v>
      </c>
      <c r="M3872" t="n">
        <v>0</v>
      </c>
      <c r="N3872" t="n">
        <v>0</v>
      </c>
      <c r="O3872" t="n">
        <v>0</v>
      </c>
      <c r="P3872" t="n">
        <v>0</v>
      </c>
      <c r="Q3872" t="n">
        <v>0</v>
      </c>
      <c r="R3872" s="2" t="inlineStr"/>
    </row>
    <row r="3873" ht="15" customHeight="1">
      <c r="A3873" t="inlineStr">
        <is>
          <t>A 61546-2021</t>
        </is>
      </c>
      <c r="B3873" s="1" t="n">
        <v>44501</v>
      </c>
      <c r="C3873" s="1" t="n">
        <v>46114</v>
      </c>
      <c r="D3873" t="inlineStr">
        <is>
          <t>DALARNAS LÄN</t>
        </is>
      </c>
      <c r="E3873" t="inlineStr">
        <is>
          <t>LEKSAND</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42256-2025</t>
        </is>
      </c>
      <c r="B3874" s="1" t="n">
        <v>45903</v>
      </c>
      <c r="C3874" s="1" t="n">
        <v>46114</v>
      </c>
      <c r="D3874" t="inlineStr">
        <is>
          <t>DALARNAS LÄN</t>
        </is>
      </c>
      <c r="E3874" t="inlineStr">
        <is>
          <t>FALUN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37070-2025</t>
        </is>
      </c>
      <c r="B3875" s="1" t="n">
        <v>45875.39822916667</v>
      </c>
      <c r="C3875" s="1" t="n">
        <v>46114</v>
      </c>
      <c r="D3875" t="inlineStr">
        <is>
          <t>DALARNAS LÄN</t>
        </is>
      </c>
      <c r="E3875" t="inlineStr">
        <is>
          <t>MORA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41046-2024</t>
        </is>
      </c>
      <c r="B3876" s="1" t="n">
        <v>45559.36677083333</v>
      </c>
      <c r="C3876" s="1" t="n">
        <v>46114</v>
      </c>
      <c r="D3876" t="inlineStr">
        <is>
          <t>DALARNAS LÄN</t>
        </is>
      </c>
      <c r="E3876" t="inlineStr">
        <is>
          <t>LEKSAND</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34125-2023</t>
        </is>
      </c>
      <c r="B3877" s="1" t="n">
        <v>45135</v>
      </c>
      <c r="C3877" s="1" t="n">
        <v>46114</v>
      </c>
      <c r="D3877" t="inlineStr">
        <is>
          <t>DALARNAS LÄN</t>
        </is>
      </c>
      <c r="E3877" t="inlineStr">
        <is>
          <t>ORSA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36539-2023</t>
        </is>
      </c>
      <c r="B3878" s="1" t="n">
        <v>45153.35951388889</v>
      </c>
      <c r="C3878" s="1" t="n">
        <v>46114</v>
      </c>
      <c r="D3878" t="inlineStr">
        <is>
          <t>DALARNAS LÄN</t>
        </is>
      </c>
      <c r="E3878" t="inlineStr">
        <is>
          <t>MALUNG-SÄLEN</t>
        </is>
      </c>
      <c r="G3878" t="n">
        <v>4.6</v>
      </c>
      <c r="H3878" t="n">
        <v>0</v>
      </c>
      <c r="I3878" t="n">
        <v>0</v>
      </c>
      <c r="J3878" t="n">
        <v>0</v>
      </c>
      <c r="K3878" t="n">
        <v>0</v>
      </c>
      <c r="L3878" t="n">
        <v>0</v>
      </c>
      <c r="M3878" t="n">
        <v>0</v>
      </c>
      <c r="N3878" t="n">
        <v>0</v>
      </c>
      <c r="O3878" t="n">
        <v>0</v>
      </c>
      <c r="P3878" t="n">
        <v>0</v>
      </c>
      <c r="Q3878" t="n">
        <v>0</v>
      </c>
      <c r="R3878" s="2" t="inlineStr"/>
    </row>
    <row r="3879" ht="15" customHeight="1">
      <c r="A3879" t="inlineStr">
        <is>
          <t>A 41662-2025</t>
        </is>
      </c>
      <c r="B3879" s="1" t="n">
        <v>45902.35120370371</v>
      </c>
      <c r="C3879" s="1" t="n">
        <v>46114</v>
      </c>
      <c r="D3879" t="inlineStr">
        <is>
          <t>DALARNAS LÄN</t>
        </is>
      </c>
      <c r="E3879" t="inlineStr">
        <is>
          <t>FALUN</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28974-2024</t>
        </is>
      </c>
      <c r="B3880" s="1" t="n">
        <v>45481.45445601852</v>
      </c>
      <c r="C3880" s="1" t="n">
        <v>46114</v>
      </c>
      <c r="D3880" t="inlineStr">
        <is>
          <t>DALARNAS LÄN</t>
        </is>
      </c>
      <c r="E3880" t="inlineStr">
        <is>
          <t>ORSA</t>
        </is>
      </c>
      <c r="F3880" t="inlineStr">
        <is>
          <t>Bergvik skog öst AB</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37970-2022</t>
        </is>
      </c>
      <c r="B3881" s="1" t="n">
        <v>44811.51353009259</v>
      </c>
      <c r="C3881" s="1" t="n">
        <v>46114</v>
      </c>
      <c r="D3881" t="inlineStr">
        <is>
          <t>DALARNAS LÄN</t>
        </is>
      </c>
      <c r="E3881" t="inlineStr">
        <is>
          <t>VANSBRO</t>
        </is>
      </c>
      <c r="F3881" t="inlineStr">
        <is>
          <t>Bergvik skog väst AB</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36879-2025</t>
        </is>
      </c>
      <c r="B3882" s="1" t="n">
        <v>45874.43518518518</v>
      </c>
      <c r="C3882" s="1" t="n">
        <v>46114</v>
      </c>
      <c r="D3882" t="inlineStr">
        <is>
          <t>DALARNAS LÄN</t>
        </is>
      </c>
      <c r="E3882" t="inlineStr">
        <is>
          <t>RÄTTVIK</t>
        </is>
      </c>
      <c r="F3882" t="inlineStr">
        <is>
          <t>Bergvik skog väst AB</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36889-2025</t>
        </is>
      </c>
      <c r="B3883" s="1" t="n">
        <v>45874.45763888889</v>
      </c>
      <c r="C3883" s="1" t="n">
        <v>46114</v>
      </c>
      <c r="D3883" t="inlineStr">
        <is>
          <t>DALARNAS LÄN</t>
        </is>
      </c>
      <c r="E3883" t="inlineStr">
        <is>
          <t>RÄTTVIK</t>
        </is>
      </c>
      <c r="F3883" t="inlineStr">
        <is>
          <t>Bergvik skog väst AB</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41866-2025</t>
        </is>
      </c>
      <c r="B3884" s="1" t="n">
        <v>45903</v>
      </c>
      <c r="C3884" s="1" t="n">
        <v>46114</v>
      </c>
      <c r="D3884" t="inlineStr">
        <is>
          <t>DALARNAS LÄN</t>
        </is>
      </c>
      <c r="E3884" t="inlineStr">
        <is>
          <t>LUDVIKA</t>
        </is>
      </c>
      <c r="F3884" t="inlineStr">
        <is>
          <t>Bergvik skog väst AB</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24418-2021</t>
        </is>
      </c>
      <c r="B3885" s="1" t="n">
        <v>44337.53789351852</v>
      </c>
      <c r="C3885" s="1" t="n">
        <v>46114</v>
      </c>
      <c r="D3885" t="inlineStr">
        <is>
          <t>DALARNAS LÄN</t>
        </is>
      </c>
      <c r="E3885" t="inlineStr">
        <is>
          <t>FALUN</t>
        </is>
      </c>
      <c r="G3885" t="n">
        <v>2.8</v>
      </c>
      <c r="H3885" t="n">
        <v>0</v>
      </c>
      <c r="I3885" t="n">
        <v>0</v>
      </c>
      <c r="J3885" t="n">
        <v>0</v>
      </c>
      <c r="K3885" t="n">
        <v>0</v>
      </c>
      <c r="L3885" t="n">
        <v>0</v>
      </c>
      <c r="M3885" t="n">
        <v>0</v>
      </c>
      <c r="N3885" t="n">
        <v>0</v>
      </c>
      <c r="O3885" t="n">
        <v>0</v>
      </c>
      <c r="P3885" t="n">
        <v>0</v>
      </c>
      <c r="Q3885" t="n">
        <v>0</v>
      </c>
      <c r="R3885" s="2" t="inlineStr"/>
    </row>
    <row r="3886" ht="15" customHeight="1">
      <c r="A3886" t="inlineStr">
        <is>
          <t>A 46253-2023</t>
        </is>
      </c>
      <c r="B3886" s="1" t="n">
        <v>45196.93763888889</v>
      </c>
      <c r="C3886" s="1" t="n">
        <v>46114</v>
      </c>
      <c r="D3886" t="inlineStr">
        <is>
          <t>DALARNAS LÄN</t>
        </is>
      </c>
      <c r="E3886" t="inlineStr">
        <is>
          <t>AVESTA</t>
        </is>
      </c>
      <c r="F3886" t="inlineStr">
        <is>
          <t>Sveaskog</t>
        </is>
      </c>
      <c r="G3886" t="n">
        <v>6.8</v>
      </c>
      <c r="H3886" t="n">
        <v>0</v>
      </c>
      <c r="I3886" t="n">
        <v>0</v>
      </c>
      <c r="J3886" t="n">
        <v>0</v>
      </c>
      <c r="K3886" t="n">
        <v>0</v>
      </c>
      <c r="L3886" t="n">
        <v>0</v>
      </c>
      <c r="M3886" t="n">
        <v>0</v>
      </c>
      <c r="N3886" t="n">
        <v>0</v>
      </c>
      <c r="O3886" t="n">
        <v>0</v>
      </c>
      <c r="P3886" t="n">
        <v>0</v>
      </c>
      <c r="Q3886" t="n">
        <v>0</v>
      </c>
      <c r="R3886" s="2" t="inlineStr"/>
    </row>
    <row r="3887" ht="15" customHeight="1">
      <c r="A3887" t="inlineStr">
        <is>
          <t>A 46279-2023</t>
        </is>
      </c>
      <c r="B3887" s="1" t="n">
        <v>45196.94094907407</v>
      </c>
      <c r="C3887" s="1" t="n">
        <v>46114</v>
      </c>
      <c r="D3887" t="inlineStr">
        <is>
          <t>DALARNAS LÄN</t>
        </is>
      </c>
      <c r="E3887" t="inlineStr">
        <is>
          <t>AVESTA</t>
        </is>
      </c>
      <c r="F3887" t="inlineStr">
        <is>
          <t>Sveaskog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41971-2025</t>
        </is>
      </c>
      <c r="B3888" s="1" t="n">
        <v>45903.48930555556</v>
      </c>
      <c r="C3888" s="1" t="n">
        <v>46114</v>
      </c>
      <c r="D3888" t="inlineStr">
        <is>
          <t>DALARNAS LÄN</t>
        </is>
      </c>
      <c r="E3888" t="inlineStr">
        <is>
          <t>ORSA</t>
        </is>
      </c>
      <c r="G3888" t="n">
        <v>15.8</v>
      </c>
      <c r="H3888" t="n">
        <v>0</v>
      </c>
      <c r="I3888" t="n">
        <v>0</v>
      </c>
      <c r="J3888" t="n">
        <v>0</v>
      </c>
      <c r="K3888" t="n">
        <v>0</v>
      </c>
      <c r="L3888" t="n">
        <v>0</v>
      </c>
      <c r="M3888" t="n">
        <v>0</v>
      </c>
      <c r="N3888" t="n">
        <v>0</v>
      </c>
      <c r="O3888" t="n">
        <v>0</v>
      </c>
      <c r="P3888" t="n">
        <v>0</v>
      </c>
      <c r="Q3888" t="n">
        <v>0</v>
      </c>
      <c r="R3888" s="2" t="inlineStr"/>
    </row>
    <row r="3889" ht="15" customHeight="1">
      <c r="A3889" t="inlineStr">
        <is>
          <t>A 42005-2025</t>
        </is>
      </c>
      <c r="B3889" s="1" t="n">
        <v>45903.55486111111</v>
      </c>
      <c r="C3889" s="1" t="n">
        <v>46114</v>
      </c>
      <c r="D3889" t="inlineStr">
        <is>
          <t>DALARNAS LÄN</t>
        </is>
      </c>
      <c r="E3889" t="inlineStr">
        <is>
          <t>LUDVIKA</t>
        </is>
      </c>
      <c r="F3889" t="inlineStr">
        <is>
          <t>Bergvik skog väst AB</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41785-2025</t>
        </is>
      </c>
      <c r="B3890" s="1" t="n">
        <v>45902.58972222222</v>
      </c>
      <c r="C3890" s="1" t="n">
        <v>46114</v>
      </c>
      <c r="D3890" t="inlineStr">
        <is>
          <t>DALARNAS LÄN</t>
        </is>
      </c>
      <c r="E3890" t="inlineStr">
        <is>
          <t>VANSBRO</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42284-2025</t>
        </is>
      </c>
      <c r="B3891" s="1" t="n">
        <v>45903</v>
      </c>
      <c r="C3891" s="1" t="n">
        <v>46114</v>
      </c>
      <c r="D3891" t="inlineStr">
        <is>
          <t>DALARNAS LÄN</t>
        </is>
      </c>
      <c r="E3891" t="inlineStr">
        <is>
          <t>LEKSAND</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41815-2025</t>
        </is>
      </c>
      <c r="B3892" s="1" t="n">
        <v>45902.65636574074</v>
      </c>
      <c r="C3892" s="1" t="n">
        <v>46114</v>
      </c>
      <c r="D3892" t="inlineStr">
        <is>
          <t>DALARNAS LÄN</t>
        </is>
      </c>
      <c r="E3892" t="inlineStr">
        <is>
          <t>MALUNG-SÄLEN</t>
        </is>
      </c>
      <c r="F3892" t="inlineStr">
        <is>
          <t>Bergvik skog öst AB</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37172-2025</t>
        </is>
      </c>
      <c r="B3893" s="1" t="n">
        <v>45875</v>
      </c>
      <c r="C3893" s="1" t="n">
        <v>46114</v>
      </c>
      <c r="D3893" t="inlineStr">
        <is>
          <t>DALARNAS LÄN</t>
        </is>
      </c>
      <c r="E3893" t="inlineStr">
        <is>
          <t>MALUNG-SÄLEN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21766-2025</t>
        </is>
      </c>
      <c r="B3894" s="1" t="n">
        <v>45783.64758101852</v>
      </c>
      <c r="C3894" s="1" t="n">
        <v>46114</v>
      </c>
      <c r="D3894" t="inlineStr">
        <is>
          <t>DALARNAS LÄN</t>
        </is>
      </c>
      <c r="E3894" t="inlineStr">
        <is>
          <t>AVESTA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41961-2022</t>
        </is>
      </c>
      <c r="B3895" s="1" t="n">
        <v>44830</v>
      </c>
      <c r="C3895" s="1" t="n">
        <v>46114</v>
      </c>
      <c r="D3895" t="inlineStr">
        <is>
          <t>DALARNAS LÄN</t>
        </is>
      </c>
      <c r="E3895" t="inlineStr">
        <is>
          <t>FALUN</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41717-2025</t>
        </is>
      </c>
      <c r="B3896" s="1" t="n">
        <v>45902.44011574074</v>
      </c>
      <c r="C3896" s="1" t="n">
        <v>46114</v>
      </c>
      <c r="D3896" t="inlineStr">
        <is>
          <t>DALARNAS LÄN</t>
        </is>
      </c>
      <c r="E3896" t="inlineStr">
        <is>
          <t>MALUNG-SÄLEN</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54628-2024</t>
        </is>
      </c>
      <c r="B3897" s="1" t="n">
        <v>45617.83969907407</v>
      </c>
      <c r="C3897" s="1" t="n">
        <v>46114</v>
      </c>
      <c r="D3897" t="inlineStr">
        <is>
          <t>DALARNAS LÄN</t>
        </is>
      </c>
      <c r="E3897" t="inlineStr">
        <is>
          <t>MORA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51251-2023</t>
        </is>
      </c>
      <c r="B3898" s="1" t="n">
        <v>45219.48548611111</v>
      </c>
      <c r="C3898" s="1" t="n">
        <v>46114</v>
      </c>
      <c r="D3898" t="inlineStr">
        <is>
          <t>DALARNAS LÄN</t>
        </is>
      </c>
      <c r="E3898" t="inlineStr">
        <is>
          <t>GAGNEF</t>
        </is>
      </c>
      <c r="G3898" t="n">
        <v>2.2</v>
      </c>
      <c r="H3898" t="n">
        <v>0</v>
      </c>
      <c r="I3898" t="n">
        <v>0</v>
      </c>
      <c r="J3898" t="n">
        <v>0</v>
      </c>
      <c r="K3898" t="n">
        <v>0</v>
      </c>
      <c r="L3898" t="n">
        <v>0</v>
      </c>
      <c r="M3898" t="n">
        <v>0</v>
      </c>
      <c r="N3898" t="n">
        <v>0</v>
      </c>
      <c r="O3898" t="n">
        <v>0</v>
      </c>
      <c r="P3898" t="n">
        <v>0</v>
      </c>
      <c r="Q3898" t="n">
        <v>0</v>
      </c>
      <c r="R3898" s="2" t="inlineStr"/>
    </row>
    <row r="3899" ht="15" customHeight="1">
      <c r="A3899" t="inlineStr">
        <is>
          <t>A 42047-2025</t>
        </is>
      </c>
      <c r="B3899" s="1" t="n">
        <v>45903.62934027778</v>
      </c>
      <c r="C3899" s="1" t="n">
        <v>46114</v>
      </c>
      <c r="D3899" t="inlineStr">
        <is>
          <t>DALARNAS LÄN</t>
        </is>
      </c>
      <c r="E3899" t="inlineStr">
        <is>
          <t>SMEDJEBACKEN</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51287-2023</t>
        </is>
      </c>
      <c r="B3900" s="1" t="n">
        <v>45219</v>
      </c>
      <c r="C3900" s="1" t="n">
        <v>46114</v>
      </c>
      <c r="D3900" t="inlineStr">
        <is>
          <t>DALARNAS LÄN</t>
        </is>
      </c>
      <c r="E3900" t="inlineStr">
        <is>
          <t>GAGNEF</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51303-2023</t>
        </is>
      </c>
      <c r="B3901" s="1" t="n">
        <v>45219.55793981482</v>
      </c>
      <c r="C3901" s="1" t="n">
        <v>46114</v>
      </c>
      <c r="D3901" t="inlineStr">
        <is>
          <t>DALARNAS LÄN</t>
        </is>
      </c>
      <c r="E3901" t="inlineStr">
        <is>
          <t>ORSA</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41710-2025</t>
        </is>
      </c>
      <c r="B3902" s="1" t="n">
        <v>45902.43103009259</v>
      </c>
      <c r="C3902" s="1" t="n">
        <v>46114</v>
      </c>
      <c r="D3902" t="inlineStr">
        <is>
          <t>DALARNAS LÄN</t>
        </is>
      </c>
      <c r="E3902" t="inlineStr">
        <is>
          <t>VANSBRO</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37221-2025</t>
        </is>
      </c>
      <c r="B3903" s="1" t="n">
        <v>45875.92728009259</v>
      </c>
      <c r="C3903" s="1" t="n">
        <v>46114</v>
      </c>
      <c r="D3903" t="inlineStr">
        <is>
          <t>DALARNAS LÄN</t>
        </is>
      </c>
      <c r="E3903" t="inlineStr">
        <is>
          <t>BORLÄNGE</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37223-2025</t>
        </is>
      </c>
      <c r="B3904" s="1" t="n">
        <v>45875.93337962963</v>
      </c>
      <c r="C3904" s="1" t="n">
        <v>46114</v>
      </c>
      <c r="D3904" t="inlineStr">
        <is>
          <t>DALARNAS LÄN</t>
        </is>
      </c>
      <c r="E3904" t="inlineStr">
        <is>
          <t>BORLÄNGE</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49060-2023</t>
        </is>
      </c>
      <c r="B3905" s="1" t="n">
        <v>45210</v>
      </c>
      <c r="C3905" s="1" t="n">
        <v>46114</v>
      </c>
      <c r="D3905" t="inlineStr">
        <is>
          <t>DALARNAS LÄN</t>
        </is>
      </c>
      <c r="E3905" t="inlineStr">
        <is>
          <t>LUDVIKA</t>
        </is>
      </c>
      <c r="F3905" t="inlineStr">
        <is>
          <t>Naturvårdsverket</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4747-2024</t>
        </is>
      </c>
      <c r="B3906" s="1" t="n">
        <v>45328</v>
      </c>
      <c r="C3906" s="1" t="n">
        <v>46114</v>
      </c>
      <c r="D3906" t="inlineStr">
        <is>
          <t>DALARNAS LÄN</t>
        </is>
      </c>
      <c r="E3906" t="inlineStr">
        <is>
          <t>AVESTA</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37268-2025</t>
        </is>
      </c>
      <c r="B3907" s="1" t="n">
        <v>45876.46681712963</v>
      </c>
      <c r="C3907" s="1" t="n">
        <v>46114</v>
      </c>
      <c r="D3907" t="inlineStr">
        <is>
          <t>DALARNAS LÄN</t>
        </is>
      </c>
      <c r="E3907" t="inlineStr">
        <is>
          <t>MORA</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49114-2023</t>
        </is>
      </c>
      <c r="B3908" s="1" t="n">
        <v>45210</v>
      </c>
      <c r="C3908" s="1" t="n">
        <v>46114</v>
      </c>
      <c r="D3908" t="inlineStr">
        <is>
          <t>DALARNAS LÄN</t>
        </is>
      </c>
      <c r="E3908" t="inlineStr">
        <is>
          <t>LUDVIKA</t>
        </is>
      </c>
      <c r="F3908" t="inlineStr">
        <is>
          <t>Naturvårdsverket</t>
        </is>
      </c>
      <c r="G3908" t="n">
        <v>4</v>
      </c>
      <c r="H3908" t="n">
        <v>0</v>
      </c>
      <c r="I3908" t="n">
        <v>0</v>
      </c>
      <c r="J3908" t="n">
        <v>0</v>
      </c>
      <c r="K3908" t="n">
        <v>0</v>
      </c>
      <c r="L3908" t="n">
        <v>0</v>
      </c>
      <c r="M3908" t="n">
        <v>0</v>
      </c>
      <c r="N3908" t="n">
        <v>0</v>
      </c>
      <c r="O3908" t="n">
        <v>0</v>
      </c>
      <c r="P3908" t="n">
        <v>0</v>
      </c>
      <c r="Q3908" t="n">
        <v>0</v>
      </c>
      <c r="R3908" s="2" t="inlineStr"/>
    </row>
    <row r="3909" ht="15" customHeight="1">
      <c r="A3909" t="inlineStr">
        <is>
          <t>A 49493-2024</t>
        </is>
      </c>
      <c r="B3909" s="1" t="n">
        <v>45596.36552083334</v>
      </c>
      <c r="C3909" s="1" t="n">
        <v>46114</v>
      </c>
      <c r="D3909" t="inlineStr">
        <is>
          <t>DALARNAS LÄN</t>
        </is>
      </c>
      <c r="E3909" t="inlineStr">
        <is>
          <t>RÄTTVIK</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37222-2025</t>
        </is>
      </c>
      <c r="B3910" s="1" t="n">
        <v>45875.93008101852</v>
      </c>
      <c r="C3910" s="1" t="n">
        <v>46114</v>
      </c>
      <c r="D3910" t="inlineStr">
        <is>
          <t>DALARNAS LÄN</t>
        </is>
      </c>
      <c r="E3910" t="inlineStr">
        <is>
          <t>BORLÄNGE</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41736-2025</t>
        </is>
      </c>
      <c r="B3911" s="1" t="n">
        <v>45902.47207175926</v>
      </c>
      <c r="C3911" s="1" t="n">
        <v>46114</v>
      </c>
      <c r="D3911" t="inlineStr">
        <is>
          <t>DALARNAS LÄN</t>
        </is>
      </c>
      <c r="E3911" t="inlineStr">
        <is>
          <t>MALUNG-SÄLEN</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2380-2025</t>
        </is>
      </c>
      <c r="B3912" s="1" t="n">
        <v>45673.97141203703</v>
      </c>
      <c r="C3912" s="1" t="n">
        <v>46114</v>
      </c>
      <c r="D3912" t="inlineStr">
        <is>
          <t>DALARNAS LÄN</t>
        </is>
      </c>
      <c r="E3912" t="inlineStr">
        <is>
          <t>FALUN</t>
        </is>
      </c>
      <c r="G3912" t="n">
        <v>8.4</v>
      </c>
      <c r="H3912" t="n">
        <v>0</v>
      </c>
      <c r="I3912" t="n">
        <v>0</v>
      </c>
      <c r="J3912" t="n">
        <v>0</v>
      </c>
      <c r="K3912" t="n">
        <v>0</v>
      </c>
      <c r="L3912" t="n">
        <v>0</v>
      </c>
      <c r="M3912" t="n">
        <v>0</v>
      </c>
      <c r="N3912" t="n">
        <v>0</v>
      </c>
      <c r="O3912" t="n">
        <v>0</v>
      </c>
      <c r="P3912" t="n">
        <v>0</v>
      </c>
      <c r="Q3912" t="n">
        <v>0</v>
      </c>
      <c r="R3912" s="2" t="inlineStr"/>
    </row>
    <row r="3913" ht="15" customHeight="1">
      <c r="A3913" t="inlineStr">
        <is>
          <t>A 37506-2025</t>
        </is>
      </c>
      <c r="B3913" s="1" t="n">
        <v>45877.65421296296</v>
      </c>
      <c r="C3913" s="1" t="n">
        <v>46114</v>
      </c>
      <c r="D3913" t="inlineStr">
        <is>
          <t>DALARNAS LÄN</t>
        </is>
      </c>
      <c r="E3913" t="inlineStr">
        <is>
          <t>SÄTER</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41828-2025</t>
        </is>
      </c>
      <c r="B3914" s="1" t="n">
        <v>45902.67721064815</v>
      </c>
      <c r="C3914" s="1" t="n">
        <v>46114</v>
      </c>
      <c r="D3914" t="inlineStr">
        <is>
          <t>DALARNAS LÄN</t>
        </is>
      </c>
      <c r="E3914" t="inlineStr">
        <is>
          <t>LUDVIKA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37439-2025</t>
        </is>
      </c>
      <c r="B3915" s="1" t="n">
        <v>45877.53644675926</v>
      </c>
      <c r="C3915" s="1" t="n">
        <v>46114</v>
      </c>
      <c r="D3915" t="inlineStr">
        <is>
          <t>DALARNAS LÄN</t>
        </is>
      </c>
      <c r="E3915" t="inlineStr">
        <is>
          <t>ORSA</t>
        </is>
      </c>
      <c r="F3915" t="inlineStr">
        <is>
          <t>Allmännings- och besparingsskogar</t>
        </is>
      </c>
      <c r="G3915" t="n">
        <v>7.9</v>
      </c>
      <c r="H3915" t="n">
        <v>0</v>
      </c>
      <c r="I3915" t="n">
        <v>0</v>
      </c>
      <c r="J3915" t="n">
        <v>0</v>
      </c>
      <c r="K3915" t="n">
        <v>0</v>
      </c>
      <c r="L3915" t="n">
        <v>0</v>
      </c>
      <c r="M3915" t="n">
        <v>0</v>
      </c>
      <c r="N3915" t="n">
        <v>0</v>
      </c>
      <c r="O3915" t="n">
        <v>0</v>
      </c>
      <c r="P3915" t="n">
        <v>0</v>
      </c>
      <c r="Q3915" t="n">
        <v>0</v>
      </c>
      <c r="R3915" s="2" t="inlineStr"/>
    </row>
    <row r="3916" ht="15" customHeight="1">
      <c r="A3916" t="inlineStr">
        <is>
          <t>A 37508-2025</t>
        </is>
      </c>
      <c r="B3916" s="1" t="n">
        <v>45877.66282407408</v>
      </c>
      <c r="C3916" s="1" t="n">
        <v>46114</v>
      </c>
      <c r="D3916" t="inlineStr">
        <is>
          <t>DALARNAS LÄN</t>
        </is>
      </c>
      <c r="E3916" t="inlineStr">
        <is>
          <t>LEKSAND</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47366-2023</t>
        </is>
      </c>
      <c r="B3917" s="1" t="n">
        <v>45202.59850694444</v>
      </c>
      <c r="C3917" s="1" t="n">
        <v>46114</v>
      </c>
      <c r="D3917" t="inlineStr">
        <is>
          <t>DALARNAS LÄN</t>
        </is>
      </c>
      <c r="E3917" t="inlineStr">
        <is>
          <t>LUDVIKA</t>
        </is>
      </c>
      <c r="F3917" t="inlineStr">
        <is>
          <t>Bergvik skog väst AB</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41848-2025</t>
        </is>
      </c>
      <c r="B3918" s="1" t="n">
        <v>45902.78278935186</v>
      </c>
      <c r="C3918" s="1" t="n">
        <v>46114</v>
      </c>
      <c r="D3918" t="inlineStr">
        <is>
          <t>DALARNAS LÄN</t>
        </is>
      </c>
      <c r="E3918" t="inlineStr">
        <is>
          <t>LUDVIKA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41855-2025</t>
        </is>
      </c>
      <c r="B3919" s="1" t="n">
        <v>45902.93693287037</v>
      </c>
      <c r="C3919" s="1" t="n">
        <v>46114</v>
      </c>
      <c r="D3919" t="inlineStr">
        <is>
          <t>DALARNAS LÄN</t>
        </is>
      </c>
      <c r="E3919" t="inlineStr">
        <is>
          <t>MORA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41862-2025</t>
        </is>
      </c>
      <c r="B3920" s="1" t="n">
        <v>45903.32292824074</v>
      </c>
      <c r="C3920" s="1" t="n">
        <v>46114</v>
      </c>
      <c r="D3920" t="inlineStr">
        <is>
          <t>DALARNAS LÄN</t>
        </is>
      </c>
      <c r="E3920" t="inlineStr">
        <is>
          <t>RÄTTVIK</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42319-2025</t>
        </is>
      </c>
      <c r="B3921" s="1" t="n">
        <v>45903</v>
      </c>
      <c r="C3921" s="1" t="n">
        <v>46114</v>
      </c>
      <c r="D3921" t="inlineStr">
        <is>
          <t>DALARNAS LÄN</t>
        </is>
      </c>
      <c r="E3921" t="inlineStr">
        <is>
          <t>MORA</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41974-2025</t>
        </is>
      </c>
      <c r="B3922" s="1" t="n">
        <v>45903.49555555556</v>
      </c>
      <c r="C3922" s="1" t="n">
        <v>46114</v>
      </c>
      <c r="D3922" t="inlineStr">
        <is>
          <t>DALARNAS LÄN</t>
        </is>
      </c>
      <c r="E3922" t="inlineStr">
        <is>
          <t>FALUN</t>
        </is>
      </c>
      <c r="F3922" t="inlineStr">
        <is>
          <t>Bergvik skog väst AB</t>
        </is>
      </c>
      <c r="G3922" t="n">
        <v>6.2</v>
      </c>
      <c r="H3922" t="n">
        <v>0</v>
      </c>
      <c r="I3922" t="n">
        <v>0</v>
      </c>
      <c r="J3922" t="n">
        <v>0</v>
      </c>
      <c r="K3922" t="n">
        <v>0</v>
      </c>
      <c r="L3922" t="n">
        <v>0</v>
      </c>
      <c r="M3922" t="n">
        <v>0</v>
      </c>
      <c r="N3922" t="n">
        <v>0</v>
      </c>
      <c r="O3922" t="n">
        <v>0</v>
      </c>
      <c r="P3922" t="n">
        <v>0</v>
      </c>
      <c r="Q3922" t="n">
        <v>0</v>
      </c>
      <c r="R3922" s="2" t="inlineStr"/>
    </row>
    <row r="3923" ht="15" customHeight="1">
      <c r="A3923" t="inlineStr">
        <is>
          <t>A 27317-2021</t>
        </is>
      </c>
      <c r="B3923" s="1" t="n">
        <v>44351</v>
      </c>
      <c r="C3923" s="1" t="n">
        <v>46114</v>
      </c>
      <c r="D3923" t="inlineStr">
        <is>
          <t>DALARNAS LÄN</t>
        </is>
      </c>
      <c r="E3923" t="inlineStr">
        <is>
          <t>LEKSAND</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37457-2025</t>
        </is>
      </c>
      <c r="B3924" s="1" t="n">
        <v>45877.56829861111</v>
      </c>
      <c r="C3924" s="1" t="n">
        <v>46114</v>
      </c>
      <c r="D3924" t="inlineStr">
        <is>
          <t>DALARNAS LÄN</t>
        </is>
      </c>
      <c r="E3924" t="inlineStr">
        <is>
          <t>ORSA</t>
        </is>
      </c>
      <c r="F3924" t="inlineStr">
        <is>
          <t>Allmännings- och besparingsskogar</t>
        </is>
      </c>
      <c r="G3924" t="n">
        <v>6.5</v>
      </c>
      <c r="H3924" t="n">
        <v>0</v>
      </c>
      <c r="I3924" t="n">
        <v>0</v>
      </c>
      <c r="J3924" t="n">
        <v>0</v>
      </c>
      <c r="K3924" t="n">
        <v>0</v>
      </c>
      <c r="L3924" t="n">
        <v>0</v>
      </c>
      <c r="M3924" t="n">
        <v>0</v>
      </c>
      <c r="N3924" t="n">
        <v>0</v>
      </c>
      <c r="O3924" t="n">
        <v>0</v>
      </c>
      <c r="P3924" t="n">
        <v>0</v>
      </c>
      <c r="Q3924" t="n">
        <v>0</v>
      </c>
      <c r="R3924" s="2" t="inlineStr"/>
    </row>
    <row r="3925" ht="15" customHeight="1">
      <c r="A3925" t="inlineStr">
        <is>
          <t>A 5690-2025</t>
        </is>
      </c>
      <c r="B3925" s="1" t="n">
        <v>45694.3725</v>
      </c>
      <c r="C3925" s="1" t="n">
        <v>46114</v>
      </c>
      <c r="D3925" t="inlineStr">
        <is>
          <t>DALARNAS LÄN</t>
        </is>
      </c>
      <c r="E3925" t="inlineStr">
        <is>
          <t>RÄTTVIK</t>
        </is>
      </c>
      <c r="F3925" t="inlineStr">
        <is>
          <t>Bergvik skog väst AB</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37770-2023</t>
        </is>
      </c>
      <c r="B3926" s="1" t="n">
        <v>45159</v>
      </c>
      <c r="C3926" s="1" t="n">
        <v>46114</v>
      </c>
      <c r="D3926" t="inlineStr">
        <is>
          <t>DALARNAS LÄN</t>
        </is>
      </c>
      <c r="E3926" t="inlineStr">
        <is>
          <t>ORSA</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42364-2025</t>
        </is>
      </c>
      <c r="B3927" s="1" t="n">
        <v>45905.32061342592</v>
      </c>
      <c r="C3927" s="1" t="n">
        <v>46114</v>
      </c>
      <c r="D3927" t="inlineStr">
        <is>
          <t>DALARNAS LÄN</t>
        </is>
      </c>
      <c r="E3927" t="inlineStr">
        <is>
          <t>FALUN</t>
        </is>
      </c>
      <c r="F3927" t="inlineStr">
        <is>
          <t>Bergvik skog väst AB</t>
        </is>
      </c>
      <c r="G3927" t="n">
        <v>24.1</v>
      </c>
      <c r="H3927" t="n">
        <v>0</v>
      </c>
      <c r="I3927" t="n">
        <v>0</v>
      </c>
      <c r="J3927" t="n">
        <v>0</v>
      </c>
      <c r="K3927" t="n">
        <v>0</v>
      </c>
      <c r="L3927" t="n">
        <v>0</v>
      </c>
      <c r="M3927" t="n">
        <v>0</v>
      </c>
      <c r="N3927" t="n">
        <v>0</v>
      </c>
      <c r="O3927" t="n">
        <v>0</v>
      </c>
      <c r="P3927" t="n">
        <v>0</v>
      </c>
      <c r="Q3927" t="n">
        <v>0</v>
      </c>
      <c r="R3927" s="2" t="inlineStr"/>
    </row>
    <row r="3928" ht="15" customHeight="1">
      <c r="A3928" t="inlineStr">
        <is>
          <t>A 59435-2023</t>
        </is>
      </c>
      <c r="B3928" s="1" t="n">
        <v>45254.30815972222</v>
      </c>
      <c r="C3928" s="1" t="n">
        <v>46114</v>
      </c>
      <c r="D3928" t="inlineStr">
        <is>
          <t>DALARNAS LÄN</t>
        </is>
      </c>
      <c r="E3928" t="inlineStr">
        <is>
          <t>VANSBRO</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19515-2021</t>
        </is>
      </c>
      <c r="B3929" s="1" t="n">
        <v>44312.37150462963</v>
      </c>
      <c r="C3929" s="1" t="n">
        <v>46114</v>
      </c>
      <c r="D3929" t="inlineStr">
        <is>
          <t>DALARNAS LÄN</t>
        </is>
      </c>
      <c r="E3929" t="inlineStr">
        <is>
          <t>SMEDJEBACKEN</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37372-2025</t>
        </is>
      </c>
      <c r="B3930" s="1" t="n">
        <v>45877</v>
      </c>
      <c r="C3930" s="1" t="n">
        <v>46114</v>
      </c>
      <c r="D3930" t="inlineStr">
        <is>
          <t>DALARNAS LÄN</t>
        </is>
      </c>
      <c r="E3930" t="inlineStr">
        <is>
          <t>FALUN</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56474-2024</t>
        </is>
      </c>
      <c r="B3931" s="1" t="n">
        <v>45625.46163194445</v>
      </c>
      <c r="C3931" s="1" t="n">
        <v>46114</v>
      </c>
      <c r="D3931" t="inlineStr">
        <is>
          <t>DALARNAS LÄN</t>
        </is>
      </c>
      <c r="E3931" t="inlineStr">
        <is>
          <t>FALUN</t>
        </is>
      </c>
      <c r="F3931" t="inlineStr">
        <is>
          <t>Bergvik skog väst AB</t>
        </is>
      </c>
      <c r="G3931" t="n">
        <v>4.7</v>
      </c>
      <c r="H3931" t="n">
        <v>0</v>
      </c>
      <c r="I3931" t="n">
        <v>0</v>
      </c>
      <c r="J3931" t="n">
        <v>0</v>
      </c>
      <c r="K3931" t="n">
        <v>0</v>
      </c>
      <c r="L3931" t="n">
        <v>0</v>
      </c>
      <c r="M3931" t="n">
        <v>0</v>
      </c>
      <c r="N3931" t="n">
        <v>0</v>
      </c>
      <c r="O3931" t="n">
        <v>0</v>
      </c>
      <c r="P3931" t="n">
        <v>0</v>
      </c>
      <c r="Q3931" t="n">
        <v>0</v>
      </c>
      <c r="R3931" s="2" t="inlineStr"/>
    </row>
    <row r="3932" ht="15" customHeight="1">
      <c r="A3932" t="inlineStr">
        <is>
          <t>A 6604-2025</t>
        </is>
      </c>
      <c r="B3932" s="1" t="n">
        <v>45700.33427083334</v>
      </c>
      <c r="C3932" s="1" t="n">
        <v>46114</v>
      </c>
      <c r="D3932" t="inlineStr">
        <is>
          <t>DALARNAS LÄN</t>
        </is>
      </c>
      <c r="E3932" t="inlineStr">
        <is>
          <t>SMEDJEBACKEN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18312-2024</t>
        </is>
      </c>
      <c r="B3933" s="1" t="n">
        <v>45422.48225694444</v>
      </c>
      <c r="C3933" s="1" t="n">
        <v>46114</v>
      </c>
      <c r="D3933" t="inlineStr">
        <is>
          <t>DALARNAS LÄN</t>
        </is>
      </c>
      <c r="E3933" t="inlineStr">
        <is>
          <t>ORSA</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6675-2025</t>
        </is>
      </c>
      <c r="B3934" s="1" t="n">
        <v>45700.47643518518</v>
      </c>
      <c r="C3934" s="1" t="n">
        <v>46114</v>
      </c>
      <c r="D3934" t="inlineStr">
        <is>
          <t>DALARNAS LÄN</t>
        </is>
      </c>
      <c r="E3934" t="inlineStr">
        <is>
          <t>ÄLVDALEN</t>
        </is>
      </c>
      <c r="F3934" t="inlineStr">
        <is>
          <t>Allmännings- och besparingsskogar</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37387-2025</t>
        </is>
      </c>
      <c r="B3935" s="1" t="n">
        <v>45877.39608796296</v>
      </c>
      <c r="C3935" s="1" t="n">
        <v>46114</v>
      </c>
      <c r="D3935" t="inlineStr">
        <is>
          <t>DALARNAS LÄN</t>
        </is>
      </c>
      <c r="E3935" t="inlineStr">
        <is>
          <t>AVESTA</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36338-2025</t>
        </is>
      </c>
      <c r="B3936" s="1" t="n">
        <v>45868.4570949074</v>
      </c>
      <c r="C3936" s="1" t="n">
        <v>46114</v>
      </c>
      <c r="D3936" t="inlineStr">
        <is>
          <t>DALARNAS LÄN</t>
        </is>
      </c>
      <c r="E3936" t="inlineStr">
        <is>
          <t>LUDVIKA</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42508-2025</t>
        </is>
      </c>
      <c r="B3937" s="1" t="n">
        <v>45905.53444444444</v>
      </c>
      <c r="C3937" s="1" t="n">
        <v>46114</v>
      </c>
      <c r="D3937" t="inlineStr">
        <is>
          <t>DALARNAS LÄN</t>
        </is>
      </c>
      <c r="E3937" t="inlineStr">
        <is>
          <t>RÄTTVIK</t>
        </is>
      </c>
      <c r="F3937" t="inlineStr">
        <is>
          <t>Bergvik skog väst AB</t>
        </is>
      </c>
      <c r="G3937" t="n">
        <v>7</v>
      </c>
      <c r="H3937" t="n">
        <v>0</v>
      </c>
      <c r="I3937" t="n">
        <v>0</v>
      </c>
      <c r="J3937" t="n">
        <v>0</v>
      </c>
      <c r="K3937" t="n">
        <v>0</v>
      </c>
      <c r="L3937" t="n">
        <v>0</v>
      </c>
      <c r="M3937" t="n">
        <v>0</v>
      </c>
      <c r="N3937" t="n">
        <v>0</v>
      </c>
      <c r="O3937" t="n">
        <v>0</v>
      </c>
      <c r="P3937" t="n">
        <v>0</v>
      </c>
      <c r="Q3937" t="n">
        <v>0</v>
      </c>
      <c r="R3937" s="2" t="inlineStr"/>
    </row>
    <row r="3938" ht="15" customHeight="1">
      <c r="A3938" t="inlineStr">
        <is>
          <t>A 37341-2025</t>
        </is>
      </c>
      <c r="B3938" s="1" t="n">
        <v>45876.69614583333</v>
      </c>
      <c r="C3938" s="1" t="n">
        <v>46114</v>
      </c>
      <c r="D3938" t="inlineStr">
        <is>
          <t>DALARNAS LÄN</t>
        </is>
      </c>
      <c r="E3938" t="inlineStr">
        <is>
          <t>RÄTTVIK</t>
        </is>
      </c>
      <c r="F3938" t="inlineStr">
        <is>
          <t>Bergvik skog väst AB</t>
        </is>
      </c>
      <c r="G3938" t="n">
        <v>20.1</v>
      </c>
      <c r="H3938" t="n">
        <v>0</v>
      </c>
      <c r="I3938" t="n">
        <v>0</v>
      </c>
      <c r="J3938" t="n">
        <v>0</v>
      </c>
      <c r="K3938" t="n">
        <v>0</v>
      </c>
      <c r="L3938" t="n">
        <v>0</v>
      </c>
      <c r="M3938" t="n">
        <v>0</v>
      </c>
      <c r="N3938" t="n">
        <v>0</v>
      </c>
      <c r="O3938" t="n">
        <v>0</v>
      </c>
      <c r="P3938" t="n">
        <v>0</v>
      </c>
      <c r="Q3938" t="n">
        <v>0</v>
      </c>
      <c r="R3938" s="2" t="inlineStr"/>
    </row>
    <row r="3939" ht="15" customHeight="1">
      <c r="A3939" t="inlineStr">
        <is>
          <t>A 42196-2025</t>
        </is>
      </c>
      <c r="B3939" s="1" t="n">
        <v>45904.4828125</v>
      </c>
      <c r="C3939" s="1" t="n">
        <v>46114</v>
      </c>
      <c r="D3939" t="inlineStr">
        <is>
          <t>DALARNAS LÄN</t>
        </is>
      </c>
      <c r="E3939" t="inlineStr">
        <is>
          <t>MALUNG-SÄLEN</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37386-2025</t>
        </is>
      </c>
      <c r="B3940" s="1" t="n">
        <v>45877.39427083333</v>
      </c>
      <c r="C3940" s="1" t="n">
        <v>46114</v>
      </c>
      <c r="D3940" t="inlineStr">
        <is>
          <t>DALARNAS LÄN</t>
        </is>
      </c>
      <c r="E3940" t="inlineStr">
        <is>
          <t>AVESTA</t>
        </is>
      </c>
      <c r="G3940" t="n">
        <v>6.5</v>
      </c>
      <c r="H3940" t="n">
        <v>0</v>
      </c>
      <c r="I3940" t="n">
        <v>0</v>
      </c>
      <c r="J3940" t="n">
        <v>0</v>
      </c>
      <c r="K3940" t="n">
        <v>0</v>
      </c>
      <c r="L3940" t="n">
        <v>0</v>
      </c>
      <c r="M3940" t="n">
        <v>0</v>
      </c>
      <c r="N3940" t="n">
        <v>0</v>
      </c>
      <c r="O3940" t="n">
        <v>0</v>
      </c>
      <c r="P3940" t="n">
        <v>0</v>
      </c>
      <c r="Q3940" t="n">
        <v>0</v>
      </c>
      <c r="R3940" s="2" t="inlineStr"/>
    </row>
    <row r="3941" ht="15" customHeight="1">
      <c r="A3941" t="inlineStr">
        <is>
          <t>A 42461-2025</t>
        </is>
      </c>
      <c r="B3941" s="1" t="n">
        <v>45905.45695601852</v>
      </c>
      <c r="C3941" s="1" t="n">
        <v>46114</v>
      </c>
      <c r="D3941" t="inlineStr">
        <is>
          <t>DALARNAS LÄN</t>
        </is>
      </c>
      <c r="E3941" t="inlineStr">
        <is>
          <t>RÄTTVIK</t>
        </is>
      </c>
      <c r="F3941" t="inlineStr">
        <is>
          <t>Sveaskog</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16000-2025</t>
        </is>
      </c>
      <c r="B3942" s="1" t="n">
        <v>45749.58858796296</v>
      </c>
      <c r="C3942" s="1" t="n">
        <v>46114</v>
      </c>
      <c r="D3942" t="inlineStr">
        <is>
          <t>DALARNAS LÄN</t>
        </is>
      </c>
      <c r="E3942" t="inlineStr">
        <is>
          <t>MALUNG-SÄLEN</t>
        </is>
      </c>
      <c r="G3942" t="n">
        <v>2.1</v>
      </c>
      <c r="H3942" t="n">
        <v>0</v>
      </c>
      <c r="I3942" t="n">
        <v>0</v>
      </c>
      <c r="J3942" t="n">
        <v>0</v>
      </c>
      <c r="K3942" t="n">
        <v>0</v>
      </c>
      <c r="L3942" t="n">
        <v>0</v>
      </c>
      <c r="M3942" t="n">
        <v>0</v>
      </c>
      <c r="N3942" t="n">
        <v>0</v>
      </c>
      <c r="O3942" t="n">
        <v>0</v>
      </c>
      <c r="P3942" t="n">
        <v>0</v>
      </c>
      <c r="Q3942" t="n">
        <v>0</v>
      </c>
      <c r="R3942" s="2" t="inlineStr"/>
    </row>
    <row r="3943" ht="15" customHeight="1">
      <c r="A3943" t="inlineStr">
        <is>
          <t>A 16005-2025</t>
        </is>
      </c>
      <c r="B3943" s="1" t="n">
        <v>45749.59765046297</v>
      </c>
      <c r="C3943" s="1" t="n">
        <v>46114</v>
      </c>
      <c r="D3943" t="inlineStr">
        <is>
          <t>DALARNAS LÄN</t>
        </is>
      </c>
      <c r="E3943" t="inlineStr">
        <is>
          <t>LEKSAND</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1898-2023</t>
        </is>
      </c>
      <c r="B3944" s="1" t="n">
        <v>44937</v>
      </c>
      <c r="C3944" s="1" t="n">
        <v>46114</v>
      </c>
      <c r="D3944" t="inlineStr">
        <is>
          <t>DALARNAS LÄN</t>
        </is>
      </c>
      <c r="E3944" t="inlineStr">
        <is>
          <t>SMEDJEBACKEN</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37285-2025</t>
        </is>
      </c>
      <c r="B3945" s="1" t="n">
        <v>45876.50083333333</v>
      </c>
      <c r="C3945" s="1" t="n">
        <v>46114</v>
      </c>
      <c r="D3945" t="inlineStr">
        <is>
          <t>DALARNAS LÄN</t>
        </is>
      </c>
      <c r="E3945" t="inlineStr">
        <is>
          <t>VANSBRO</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42522-2025</t>
        </is>
      </c>
      <c r="B3946" s="1" t="n">
        <v>45905.55238425926</v>
      </c>
      <c r="C3946" s="1" t="n">
        <v>46114</v>
      </c>
      <c r="D3946" t="inlineStr">
        <is>
          <t>DALARNAS LÄN</t>
        </is>
      </c>
      <c r="E3946" t="inlineStr">
        <is>
          <t>MALUNG-SÄLEN</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42691-2025</t>
        </is>
      </c>
      <c r="B3947" s="1" t="n">
        <v>45905</v>
      </c>
      <c r="C3947" s="1" t="n">
        <v>46114</v>
      </c>
      <c r="D3947" t="inlineStr">
        <is>
          <t>DALARNAS LÄN</t>
        </is>
      </c>
      <c r="E3947" t="inlineStr">
        <is>
          <t>SÄTER</t>
        </is>
      </c>
      <c r="F3947" t="inlineStr">
        <is>
          <t>Bergvik skog väst AB</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34409-2022</t>
        </is>
      </c>
      <c r="B3948" s="1" t="n">
        <v>44792</v>
      </c>
      <c r="C3948" s="1" t="n">
        <v>46114</v>
      </c>
      <c r="D3948" t="inlineStr">
        <is>
          <t>DALARNAS LÄN</t>
        </is>
      </c>
      <c r="E3948" t="inlineStr">
        <is>
          <t>HEDEMORA</t>
        </is>
      </c>
      <c r="G3948" t="n">
        <v>13.7</v>
      </c>
      <c r="H3948" t="n">
        <v>0</v>
      </c>
      <c r="I3948" t="n">
        <v>0</v>
      </c>
      <c r="J3948" t="n">
        <v>0</v>
      </c>
      <c r="K3948" t="n">
        <v>0</v>
      </c>
      <c r="L3948" t="n">
        <v>0</v>
      </c>
      <c r="M3948" t="n">
        <v>0</v>
      </c>
      <c r="N3948" t="n">
        <v>0</v>
      </c>
      <c r="O3948" t="n">
        <v>0</v>
      </c>
      <c r="P3948" t="n">
        <v>0</v>
      </c>
      <c r="Q3948" t="n">
        <v>0</v>
      </c>
      <c r="R3948" s="2" t="inlineStr"/>
    </row>
    <row r="3949" ht="15" customHeight="1">
      <c r="A3949" t="inlineStr">
        <is>
          <t>A 37496-2025</t>
        </is>
      </c>
      <c r="B3949" s="1" t="n">
        <v>45877.64424768519</v>
      </c>
      <c r="C3949" s="1" t="n">
        <v>46114</v>
      </c>
      <c r="D3949" t="inlineStr">
        <is>
          <t>DALARNAS LÄN</t>
        </is>
      </c>
      <c r="E3949" t="inlineStr">
        <is>
          <t>ORSA</t>
        </is>
      </c>
      <c r="F3949" t="inlineStr">
        <is>
          <t>Bergvik skog öst AB</t>
        </is>
      </c>
      <c r="G3949" t="n">
        <v>8.699999999999999</v>
      </c>
      <c r="H3949" t="n">
        <v>0</v>
      </c>
      <c r="I3949" t="n">
        <v>0</v>
      </c>
      <c r="J3949" t="n">
        <v>0</v>
      </c>
      <c r="K3949" t="n">
        <v>0</v>
      </c>
      <c r="L3949" t="n">
        <v>0</v>
      </c>
      <c r="M3949" t="n">
        <v>0</v>
      </c>
      <c r="N3949" t="n">
        <v>0</v>
      </c>
      <c r="O3949" t="n">
        <v>0</v>
      </c>
      <c r="P3949" t="n">
        <v>0</v>
      </c>
      <c r="Q3949" t="n">
        <v>0</v>
      </c>
      <c r="R3949" s="2" t="inlineStr"/>
    </row>
    <row r="3950" ht="15" customHeight="1">
      <c r="A3950" t="inlineStr">
        <is>
          <t>A 42298-2025</t>
        </is>
      </c>
      <c r="B3950" s="1" t="n">
        <v>45904.6405787037</v>
      </c>
      <c r="C3950" s="1" t="n">
        <v>46114</v>
      </c>
      <c r="D3950" t="inlineStr">
        <is>
          <t>DALARNAS LÄN</t>
        </is>
      </c>
      <c r="E3950" t="inlineStr">
        <is>
          <t>GAGNEF</t>
        </is>
      </c>
      <c r="F3950" t="inlineStr">
        <is>
          <t>Bergvik skog väst AB</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35483-2024</t>
        </is>
      </c>
      <c r="B3951" s="1" t="n">
        <v>45531.48523148148</v>
      </c>
      <c r="C3951" s="1" t="n">
        <v>46114</v>
      </c>
      <c r="D3951" t="inlineStr">
        <is>
          <t>DALARNAS LÄN</t>
        </is>
      </c>
      <c r="E3951" t="inlineStr">
        <is>
          <t>RÄTTVIK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42262-2025</t>
        </is>
      </c>
      <c r="B3952" s="1" t="n">
        <v>45904.59798611111</v>
      </c>
      <c r="C3952" s="1" t="n">
        <v>46114</v>
      </c>
      <c r="D3952" t="inlineStr">
        <is>
          <t>DALARNAS LÄN</t>
        </is>
      </c>
      <c r="E3952" t="inlineStr">
        <is>
          <t>FALUN</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37380-2025</t>
        </is>
      </c>
      <c r="B3953" s="1" t="n">
        <v>45877.37292824074</v>
      </c>
      <c r="C3953" s="1" t="n">
        <v>46114</v>
      </c>
      <c r="D3953" t="inlineStr">
        <is>
          <t>DALARNAS LÄN</t>
        </is>
      </c>
      <c r="E3953" t="inlineStr">
        <is>
          <t>VANSBRO</t>
        </is>
      </c>
      <c r="F3953" t="inlineStr">
        <is>
          <t>Bergvik skog väst AB</t>
        </is>
      </c>
      <c r="G3953" t="n">
        <v>11.2</v>
      </c>
      <c r="H3953" t="n">
        <v>0</v>
      </c>
      <c r="I3953" t="n">
        <v>0</v>
      </c>
      <c r="J3953" t="n">
        <v>0</v>
      </c>
      <c r="K3953" t="n">
        <v>0</v>
      </c>
      <c r="L3953" t="n">
        <v>0</v>
      </c>
      <c r="M3953" t="n">
        <v>0</v>
      </c>
      <c r="N3953" t="n">
        <v>0</v>
      </c>
      <c r="O3953" t="n">
        <v>0</v>
      </c>
      <c r="P3953" t="n">
        <v>0</v>
      </c>
      <c r="Q3953" t="n">
        <v>0</v>
      </c>
      <c r="R3953" s="2" t="inlineStr"/>
    </row>
    <row r="3954" ht="15" customHeight="1">
      <c r="A3954" t="inlineStr">
        <is>
          <t>A 12923-2025</t>
        </is>
      </c>
      <c r="B3954" s="1" t="n">
        <v>45734.29193287037</v>
      </c>
      <c r="C3954" s="1" t="n">
        <v>46114</v>
      </c>
      <c r="D3954" t="inlineStr">
        <is>
          <t>DALARNAS LÄN</t>
        </is>
      </c>
      <c r="E3954" t="inlineStr">
        <is>
          <t>LEKSAND</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12929-2025</t>
        </is>
      </c>
      <c r="B3955" s="1" t="n">
        <v>45734.33065972223</v>
      </c>
      <c r="C3955" s="1" t="n">
        <v>46114</v>
      </c>
      <c r="D3955" t="inlineStr">
        <is>
          <t>DALARNAS LÄN</t>
        </is>
      </c>
      <c r="E3955" t="inlineStr">
        <is>
          <t>VANSBRO</t>
        </is>
      </c>
      <c r="G3955" t="n">
        <v>6.5</v>
      </c>
      <c r="H3955" t="n">
        <v>0</v>
      </c>
      <c r="I3955" t="n">
        <v>0</v>
      </c>
      <c r="J3955" t="n">
        <v>0</v>
      </c>
      <c r="K3955" t="n">
        <v>0</v>
      </c>
      <c r="L3955" t="n">
        <v>0</v>
      </c>
      <c r="M3955" t="n">
        <v>0</v>
      </c>
      <c r="N3955" t="n">
        <v>0</v>
      </c>
      <c r="O3955" t="n">
        <v>0</v>
      </c>
      <c r="P3955" t="n">
        <v>0</v>
      </c>
      <c r="Q3955" t="n">
        <v>0</v>
      </c>
      <c r="R3955" s="2" t="inlineStr"/>
    </row>
    <row r="3956" ht="15" customHeight="1">
      <c r="A3956" t="inlineStr">
        <is>
          <t>A 42113-2025</t>
        </is>
      </c>
      <c r="B3956" s="1" t="n">
        <v>45904.32818287037</v>
      </c>
      <c r="C3956" s="1" t="n">
        <v>46114</v>
      </c>
      <c r="D3956" t="inlineStr">
        <is>
          <t>DALARNAS LÄN</t>
        </is>
      </c>
      <c r="E3956" t="inlineStr">
        <is>
          <t>VANSBRO</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42337-2025</t>
        </is>
      </c>
      <c r="B3957" s="1" t="n">
        <v>45904.70763888889</v>
      </c>
      <c r="C3957" s="1" t="n">
        <v>46114</v>
      </c>
      <c r="D3957" t="inlineStr">
        <is>
          <t>DALARNAS LÄN</t>
        </is>
      </c>
      <c r="E3957" t="inlineStr">
        <is>
          <t>LUDVIKA</t>
        </is>
      </c>
      <c r="G3957" t="n">
        <v>9.4</v>
      </c>
      <c r="H3957" t="n">
        <v>0</v>
      </c>
      <c r="I3957" t="n">
        <v>0</v>
      </c>
      <c r="J3957" t="n">
        <v>0</v>
      </c>
      <c r="K3957" t="n">
        <v>0</v>
      </c>
      <c r="L3957" t="n">
        <v>0</v>
      </c>
      <c r="M3957" t="n">
        <v>0</v>
      </c>
      <c r="N3957" t="n">
        <v>0</v>
      </c>
      <c r="O3957" t="n">
        <v>0</v>
      </c>
      <c r="P3957" t="n">
        <v>0</v>
      </c>
      <c r="Q3957" t="n">
        <v>0</v>
      </c>
      <c r="R3957" s="2" t="inlineStr"/>
    </row>
    <row r="3958" ht="15" customHeight="1">
      <c r="A3958" t="inlineStr">
        <is>
          <t>A 10381-2023</t>
        </is>
      </c>
      <c r="B3958" s="1" t="n">
        <v>44987.42900462963</v>
      </c>
      <c r="C3958" s="1" t="n">
        <v>46114</v>
      </c>
      <c r="D3958" t="inlineStr">
        <is>
          <t>DALARNAS LÄN</t>
        </is>
      </c>
      <c r="E3958" t="inlineStr">
        <is>
          <t>BORLÄNGE</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37440-2025</t>
        </is>
      </c>
      <c r="B3959" s="1" t="n">
        <v>45877.53936342592</v>
      </c>
      <c r="C3959" s="1" t="n">
        <v>46114</v>
      </c>
      <c r="D3959" t="inlineStr">
        <is>
          <t>DALARNAS LÄN</t>
        </is>
      </c>
      <c r="E3959" t="inlineStr">
        <is>
          <t>BORLÄNGE</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37445-2025</t>
        </is>
      </c>
      <c r="B3960" s="1" t="n">
        <v>45877.54615740741</v>
      </c>
      <c r="C3960" s="1" t="n">
        <v>46114</v>
      </c>
      <c r="D3960" t="inlineStr">
        <is>
          <t>DALARNAS LÄN</t>
        </is>
      </c>
      <c r="E3960" t="inlineStr">
        <is>
          <t>ORSA</t>
        </is>
      </c>
      <c r="F3960" t="inlineStr">
        <is>
          <t>Bergvik skog öst AB</t>
        </is>
      </c>
      <c r="G3960" t="n">
        <v>13.4</v>
      </c>
      <c r="H3960" t="n">
        <v>0</v>
      </c>
      <c r="I3960" t="n">
        <v>0</v>
      </c>
      <c r="J3960" t="n">
        <v>0</v>
      </c>
      <c r="K3960" t="n">
        <v>0</v>
      </c>
      <c r="L3960" t="n">
        <v>0</v>
      </c>
      <c r="M3960" t="n">
        <v>0</v>
      </c>
      <c r="N3960" t="n">
        <v>0</v>
      </c>
      <c r="O3960" t="n">
        <v>0</v>
      </c>
      <c r="P3960" t="n">
        <v>0</v>
      </c>
      <c r="Q3960" t="n">
        <v>0</v>
      </c>
      <c r="R3960" s="2" t="inlineStr"/>
    </row>
    <row r="3961" ht="15" customHeight="1">
      <c r="A3961" t="inlineStr">
        <is>
          <t>A 5738-2023</t>
        </is>
      </c>
      <c r="B3961" s="1" t="n">
        <v>44962</v>
      </c>
      <c r="C3961" s="1" t="n">
        <v>46114</v>
      </c>
      <c r="D3961" t="inlineStr">
        <is>
          <t>DALARNAS LÄN</t>
        </is>
      </c>
      <c r="E3961" t="inlineStr">
        <is>
          <t>LEKSAND</t>
        </is>
      </c>
      <c r="G3961" t="n">
        <v>0.2</v>
      </c>
      <c r="H3961" t="n">
        <v>0</v>
      </c>
      <c r="I3961" t="n">
        <v>0</v>
      </c>
      <c r="J3961" t="n">
        <v>0</v>
      </c>
      <c r="K3961" t="n">
        <v>0</v>
      </c>
      <c r="L3961" t="n">
        <v>0</v>
      </c>
      <c r="M3961" t="n">
        <v>0</v>
      </c>
      <c r="N3961" t="n">
        <v>0</v>
      </c>
      <c r="O3961" t="n">
        <v>0</v>
      </c>
      <c r="P3961" t="n">
        <v>0</v>
      </c>
      <c r="Q3961" t="n">
        <v>0</v>
      </c>
      <c r="R3961" s="2" t="inlineStr"/>
    </row>
    <row r="3962" ht="15" customHeight="1">
      <c r="A3962" t="inlineStr">
        <is>
          <t>A 49570-2024</t>
        </is>
      </c>
      <c r="B3962" s="1" t="n">
        <v>45596.49901620371</v>
      </c>
      <c r="C3962" s="1" t="n">
        <v>46114</v>
      </c>
      <c r="D3962" t="inlineStr">
        <is>
          <t>DALARNAS LÄN</t>
        </is>
      </c>
      <c r="E3962" t="inlineStr">
        <is>
          <t>SMEDJEBACKEN</t>
        </is>
      </c>
      <c r="F3962" t="inlineStr">
        <is>
          <t>Sveaskog</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42264-2025</t>
        </is>
      </c>
      <c r="B3963" s="1" t="n">
        <v>45904.59947916667</v>
      </c>
      <c r="C3963" s="1" t="n">
        <v>46114</v>
      </c>
      <c r="D3963" t="inlineStr">
        <is>
          <t>DALARNAS LÄN</t>
        </is>
      </c>
      <c r="E3963" t="inlineStr">
        <is>
          <t>LUDVIKA</t>
        </is>
      </c>
      <c r="F3963" t="inlineStr">
        <is>
          <t>Bergvik skog väst AB</t>
        </is>
      </c>
      <c r="G3963" t="n">
        <v>9.699999999999999</v>
      </c>
      <c r="H3963" t="n">
        <v>0</v>
      </c>
      <c r="I3963" t="n">
        <v>0</v>
      </c>
      <c r="J3963" t="n">
        <v>0</v>
      </c>
      <c r="K3963" t="n">
        <v>0</v>
      </c>
      <c r="L3963" t="n">
        <v>0</v>
      </c>
      <c r="M3963" t="n">
        <v>0</v>
      </c>
      <c r="N3963" t="n">
        <v>0</v>
      </c>
      <c r="O3963" t="n">
        <v>0</v>
      </c>
      <c r="P3963" t="n">
        <v>0</v>
      </c>
      <c r="Q3963" t="n">
        <v>0</v>
      </c>
      <c r="R3963" s="2" t="inlineStr"/>
    </row>
    <row r="3964" ht="15" customHeight="1">
      <c r="A3964" t="inlineStr">
        <is>
          <t>A 49645-2024</t>
        </is>
      </c>
      <c r="B3964" s="1" t="n">
        <v>45596.61451388889</v>
      </c>
      <c r="C3964" s="1" t="n">
        <v>46114</v>
      </c>
      <c r="D3964" t="inlineStr">
        <is>
          <t>DALARNAS LÄN</t>
        </is>
      </c>
      <c r="E3964" t="inlineStr">
        <is>
          <t>FALUN</t>
        </is>
      </c>
      <c r="F3964" t="inlineStr">
        <is>
          <t>Bergvik skog väst AB</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37447-2025</t>
        </is>
      </c>
      <c r="B3965" s="1" t="n">
        <v>45877.55079861111</v>
      </c>
      <c r="C3965" s="1" t="n">
        <v>46114</v>
      </c>
      <c r="D3965" t="inlineStr">
        <is>
          <t>DALARNAS LÄN</t>
        </is>
      </c>
      <c r="E3965" t="inlineStr">
        <is>
          <t>RÄTTVIK</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42303-2025</t>
        </is>
      </c>
      <c r="B3966" s="1" t="n">
        <v>45904.64417824074</v>
      </c>
      <c r="C3966" s="1" t="n">
        <v>46114</v>
      </c>
      <c r="D3966" t="inlineStr">
        <is>
          <t>DALARNAS LÄN</t>
        </is>
      </c>
      <c r="E3966" t="inlineStr">
        <is>
          <t>GAGNEF</t>
        </is>
      </c>
      <c r="F3966" t="inlineStr">
        <is>
          <t>Bergvik skog väst AB</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37456-2025</t>
        </is>
      </c>
      <c r="B3967" s="1" t="n">
        <v>45877.56728009259</v>
      </c>
      <c r="C3967" s="1" t="n">
        <v>46114</v>
      </c>
      <c r="D3967" t="inlineStr">
        <is>
          <t>DALARNAS LÄN</t>
        </is>
      </c>
      <c r="E3967" t="inlineStr">
        <is>
          <t>FALUN</t>
        </is>
      </c>
      <c r="G3967" t="n">
        <v>4.8</v>
      </c>
      <c r="H3967" t="n">
        <v>0</v>
      </c>
      <c r="I3967" t="n">
        <v>0</v>
      </c>
      <c r="J3967" t="n">
        <v>0</v>
      </c>
      <c r="K3967" t="n">
        <v>0</v>
      </c>
      <c r="L3967" t="n">
        <v>0</v>
      </c>
      <c r="M3967" t="n">
        <v>0</v>
      </c>
      <c r="N3967" t="n">
        <v>0</v>
      </c>
      <c r="O3967" t="n">
        <v>0</v>
      </c>
      <c r="P3967" t="n">
        <v>0</v>
      </c>
      <c r="Q3967" t="n">
        <v>0</v>
      </c>
      <c r="R3967" s="2" t="inlineStr"/>
    </row>
    <row r="3968" ht="15" customHeight="1">
      <c r="A3968" t="inlineStr">
        <is>
          <t>A 51849-2022</t>
        </is>
      </c>
      <c r="B3968" s="1" t="n">
        <v>44867</v>
      </c>
      <c r="C3968" s="1" t="n">
        <v>46114</v>
      </c>
      <c r="D3968" t="inlineStr">
        <is>
          <t>DALARNAS LÄN</t>
        </is>
      </c>
      <c r="E3968" t="inlineStr">
        <is>
          <t>BORLÄNGE</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37287-2025</t>
        </is>
      </c>
      <c r="B3969" s="1" t="n">
        <v>45876.50278935185</v>
      </c>
      <c r="C3969" s="1" t="n">
        <v>46114</v>
      </c>
      <c r="D3969" t="inlineStr">
        <is>
          <t>DALARNAS LÄN</t>
        </is>
      </c>
      <c r="E3969" t="inlineStr">
        <is>
          <t>VANSBRO</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42447-2025</t>
        </is>
      </c>
      <c r="B3970" s="1" t="n">
        <v>45905.44015046296</v>
      </c>
      <c r="C3970" s="1" t="n">
        <v>46114</v>
      </c>
      <c r="D3970" t="inlineStr">
        <is>
          <t>DALARNAS LÄN</t>
        </is>
      </c>
      <c r="E3970" t="inlineStr">
        <is>
          <t>RÄTTVIK</t>
        </is>
      </c>
      <c r="F3970" t="inlineStr">
        <is>
          <t>Sveaskog</t>
        </is>
      </c>
      <c r="G3970" t="n">
        <v>4.6</v>
      </c>
      <c r="H3970" t="n">
        <v>0</v>
      </c>
      <c r="I3970" t="n">
        <v>0</v>
      </c>
      <c r="J3970" t="n">
        <v>0</v>
      </c>
      <c r="K3970" t="n">
        <v>0</v>
      </c>
      <c r="L3970" t="n">
        <v>0</v>
      </c>
      <c r="M3970" t="n">
        <v>0</v>
      </c>
      <c r="N3970" t="n">
        <v>0</v>
      </c>
      <c r="O3970" t="n">
        <v>0</v>
      </c>
      <c r="P3970" t="n">
        <v>0</v>
      </c>
      <c r="Q3970" t="n">
        <v>0</v>
      </c>
      <c r="R3970" s="2" t="inlineStr"/>
    </row>
    <row r="3971" ht="15" customHeight="1">
      <c r="A3971" t="inlineStr">
        <is>
          <t>A 10817-2025</t>
        </is>
      </c>
      <c r="B3971" s="1" t="n">
        <v>45722.54625</v>
      </c>
      <c r="C3971" s="1" t="n">
        <v>46114</v>
      </c>
      <c r="D3971" t="inlineStr">
        <is>
          <t>DALARNAS LÄN</t>
        </is>
      </c>
      <c r="E3971" t="inlineStr">
        <is>
          <t>ÄLVDALEN</t>
        </is>
      </c>
      <c r="F3971" t="inlineStr">
        <is>
          <t>Kommuner</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10831-2025</t>
        </is>
      </c>
      <c r="B3972" s="1" t="n">
        <v>45722.56425925926</v>
      </c>
      <c r="C3972" s="1" t="n">
        <v>46114</v>
      </c>
      <c r="D3972" t="inlineStr">
        <is>
          <t>DALARNAS LÄN</t>
        </is>
      </c>
      <c r="E3972" t="inlineStr">
        <is>
          <t>ÄLVDALEN</t>
        </is>
      </c>
      <c r="F3972" t="inlineStr">
        <is>
          <t>Kommuner</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37446-2025</t>
        </is>
      </c>
      <c r="B3973" s="1" t="n">
        <v>45877.54670138889</v>
      </c>
      <c r="C3973" s="1" t="n">
        <v>46114</v>
      </c>
      <c r="D3973" t="inlineStr">
        <is>
          <t>DALARNAS LÄN</t>
        </is>
      </c>
      <c r="E3973" t="inlineStr">
        <is>
          <t>RÄTTVIK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55281-2024</t>
        </is>
      </c>
      <c r="B3974" s="1" t="n">
        <v>45621.62696759259</v>
      </c>
      <c r="C3974" s="1" t="n">
        <v>46114</v>
      </c>
      <c r="D3974" t="inlineStr">
        <is>
          <t>DALARNAS LÄN</t>
        </is>
      </c>
      <c r="E3974" t="inlineStr">
        <is>
          <t>LUDVIKA</t>
        </is>
      </c>
      <c r="F3974" t="inlineStr">
        <is>
          <t>Naturvårdsverket</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44960-2021</t>
        </is>
      </c>
      <c r="B3975" s="1" t="n">
        <v>44438.72253472222</v>
      </c>
      <c r="C3975" s="1" t="n">
        <v>46114</v>
      </c>
      <c r="D3975" t="inlineStr">
        <is>
          <t>DALARNAS LÄN</t>
        </is>
      </c>
      <c r="E3975" t="inlineStr">
        <is>
          <t>HEDEMORA</t>
        </is>
      </c>
      <c r="F3975" t="inlineStr">
        <is>
          <t>Sveaskog</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42674-2025</t>
        </is>
      </c>
      <c r="B3976" s="1" t="n">
        <v>45905</v>
      </c>
      <c r="C3976" s="1" t="n">
        <v>46114</v>
      </c>
      <c r="D3976" t="inlineStr">
        <is>
          <t>DALARNAS LÄN</t>
        </is>
      </c>
      <c r="E3976" t="inlineStr">
        <is>
          <t>SÄTER</t>
        </is>
      </c>
      <c r="F3976" t="inlineStr">
        <is>
          <t>Bergvik skog väst AB</t>
        </is>
      </c>
      <c r="G3976" t="n">
        <v>5.2</v>
      </c>
      <c r="H3976" t="n">
        <v>0</v>
      </c>
      <c r="I3976" t="n">
        <v>0</v>
      </c>
      <c r="J3976" t="n">
        <v>0</v>
      </c>
      <c r="K3976" t="n">
        <v>0</v>
      </c>
      <c r="L3976" t="n">
        <v>0</v>
      </c>
      <c r="M3976" t="n">
        <v>0</v>
      </c>
      <c r="N3976" t="n">
        <v>0</v>
      </c>
      <c r="O3976" t="n">
        <v>0</v>
      </c>
      <c r="P3976" t="n">
        <v>0</v>
      </c>
      <c r="Q3976" t="n">
        <v>0</v>
      </c>
      <c r="R3976" s="2" t="inlineStr"/>
    </row>
    <row r="3977" ht="15" customHeight="1">
      <c r="A3977" t="inlineStr">
        <is>
          <t>A 22234-2024</t>
        </is>
      </c>
      <c r="B3977" s="1" t="n">
        <v>45446.43140046296</v>
      </c>
      <c r="C3977" s="1" t="n">
        <v>46114</v>
      </c>
      <c r="D3977" t="inlineStr">
        <is>
          <t>DALARNAS LÄN</t>
        </is>
      </c>
      <c r="E3977" t="inlineStr">
        <is>
          <t>AVESTA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59448-2022</t>
        </is>
      </c>
      <c r="B3978" s="1" t="n">
        <v>44907</v>
      </c>
      <c r="C3978" s="1" t="n">
        <v>46114</v>
      </c>
      <c r="D3978" t="inlineStr">
        <is>
          <t>DALARNAS LÄN</t>
        </is>
      </c>
      <c r="E3978" t="inlineStr">
        <is>
          <t>MORA</t>
        </is>
      </c>
      <c r="G3978" t="n">
        <v>35.7</v>
      </c>
      <c r="H3978" t="n">
        <v>0</v>
      </c>
      <c r="I3978" t="n">
        <v>0</v>
      </c>
      <c r="J3978" t="n">
        <v>0</v>
      </c>
      <c r="K3978" t="n">
        <v>0</v>
      </c>
      <c r="L3978" t="n">
        <v>0</v>
      </c>
      <c r="M3978" t="n">
        <v>0</v>
      </c>
      <c r="N3978" t="n">
        <v>0</v>
      </c>
      <c r="O3978" t="n">
        <v>0</v>
      </c>
      <c r="P3978" t="n">
        <v>0</v>
      </c>
      <c r="Q3978" t="n">
        <v>0</v>
      </c>
      <c r="R3978" s="2" t="inlineStr"/>
    </row>
    <row r="3979" ht="15" customHeight="1">
      <c r="A3979" t="inlineStr">
        <is>
          <t>A 54816-2024</t>
        </is>
      </c>
      <c r="B3979" s="1" t="n">
        <v>45618</v>
      </c>
      <c r="C3979" s="1" t="n">
        <v>46114</v>
      </c>
      <c r="D3979" t="inlineStr">
        <is>
          <t>DALARNAS LÄN</t>
        </is>
      </c>
      <c r="E3979" t="inlineStr">
        <is>
          <t>RÄTTVIK</t>
        </is>
      </c>
      <c r="G3979" t="n">
        <v>0.9</v>
      </c>
      <c r="H3979" t="n">
        <v>0</v>
      </c>
      <c r="I3979" t="n">
        <v>0</v>
      </c>
      <c r="J3979" t="n">
        <v>0</v>
      </c>
      <c r="K3979" t="n">
        <v>0</v>
      </c>
      <c r="L3979" t="n">
        <v>0</v>
      </c>
      <c r="M3979" t="n">
        <v>0</v>
      </c>
      <c r="N3979" t="n">
        <v>0</v>
      </c>
      <c r="O3979" t="n">
        <v>0</v>
      </c>
      <c r="P3979" t="n">
        <v>0</v>
      </c>
      <c r="Q3979" t="n">
        <v>0</v>
      </c>
      <c r="R3979" s="2" t="inlineStr"/>
    </row>
    <row r="3980" ht="15" customHeight="1">
      <c r="A3980" t="inlineStr">
        <is>
          <t>A 42402-2025</t>
        </is>
      </c>
      <c r="B3980" s="1" t="n">
        <v>45905.3753125</v>
      </c>
      <c r="C3980" s="1" t="n">
        <v>46114</v>
      </c>
      <c r="D3980" t="inlineStr">
        <is>
          <t>DALARNAS LÄN</t>
        </is>
      </c>
      <c r="E3980" t="inlineStr">
        <is>
          <t>LEKSAND</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57319-2023</t>
        </is>
      </c>
      <c r="B3981" s="1" t="n">
        <v>45245.64877314815</v>
      </c>
      <c r="C3981" s="1" t="n">
        <v>46114</v>
      </c>
      <c r="D3981" t="inlineStr">
        <is>
          <t>DALARNAS LÄN</t>
        </is>
      </c>
      <c r="E3981" t="inlineStr">
        <is>
          <t>MORA</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51574-2023</t>
        </is>
      </c>
      <c r="B3982" s="1" t="n">
        <v>45222.45090277777</v>
      </c>
      <c r="C3982" s="1" t="n">
        <v>46114</v>
      </c>
      <c r="D3982" t="inlineStr">
        <is>
          <t>DALARNAS LÄN</t>
        </is>
      </c>
      <c r="E3982" t="inlineStr">
        <is>
          <t>ORSA</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37743-2025</t>
        </is>
      </c>
      <c r="B3983" s="1" t="n">
        <v>45880.65918981482</v>
      </c>
      <c r="C3983" s="1" t="n">
        <v>46114</v>
      </c>
      <c r="D3983" t="inlineStr">
        <is>
          <t>DALARNAS LÄN</t>
        </is>
      </c>
      <c r="E3983" t="inlineStr">
        <is>
          <t>BORLÄNGE</t>
        </is>
      </c>
      <c r="F3983" t="inlineStr">
        <is>
          <t>Kommuner</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37741-2025</t>
        </is>
      </c>
      <c r="B3984" s="1" t="n">
        <v>45880.65695601852</v>
      </c>
      <c r="C3984" s="1" t="n">
        <v>46114</v>
      </c>
      <c r="D3984" t="inlineStr">
        <is>
          <t>DALARNAS LÄN</t>
        </is>
      </c>
      <c r="E3984" t="inlineStr">
        <is>
          <t>BORLÄNGE</t>
        </is>
      </c>
      <c r="F3984" t="inlineStr">
        <is>
          <t>Kommuner</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19258-2024</t>
        </is>
      </c>
      <c r="B3985" s="1" t="n">
        <v>45428.60715277777</v>
      </c>
      <c r="C3985" s="1" t="n">
        <v>46114</v>
      </c>
      <c r="D3985" t="inlineStr">
        <is>
          <t>DALARNAS LÄN</t>
        </is>
      </c>
      <c r="E3985" t="inlineStr">
        <is>
          <t>SMEDJEBACKEN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8940-2023</t>
        </is>
      </c>
      <c r="B3986" s="1" t="n">
        <v>44974</v>
      </c>
      <c r="C3986" s="1" t="n">
        <v>46114</v>
      </c>
      <c r="D3986" t="inlineStr">
        <is>
          <t>DALARNAS LÄN</t>
        </is>
      </c>
      <c r="E3986" t="inlineStr">
        <is>
          <t>LEKSAND</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37642-2025</t>
        </is>
      </c>
      <c r="B3987" s="1" t="n">
        <v>45880.47787037037</v>
      </c>
      <c r="C3987" s="1" t="n">
        <v>46114</v>
      </c>
      <c r="D3987" t="inlineStr">
        <is>
          <t>DALARNAS LÄN</t>
        </is>
      </c>
      <c r="E3987" t="inlineStr">
        <is>
          <t>MALUNG-SÄLEN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11128-2023</t>
        </is>
      </c>
      <c r="B3988" s="1" t="n">
        <v>44992</v>
      </c>
      <c r="C3988" s="1" t="n">
        <v>46114</v>
      </c>
      <c r="D3988" t="inlineStr">
        <is>
          <t>DALARNAS LÄN</t>
        </is>
      </c>
      <c r="E3988" t="inlineStr">
        <is>
          <t>LEKSAND</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51914-2024</t>
        </is>
      </c>
      <c r="B3989" s="1" t="n">
        <v>45607.60332175926</v>
      </c>
      <c r="C3989" s="1" t="n">
        <v>46114</v>
      </c>
      <c r="D3989" t="inlineStr">
        <is>
          <t>DALARNAS LÄN</t>
        </is>
      </c>
      <c r="E3989" t="inlineStr">
        <is>
          <t>FALUN</t>
        </is>
      </c>
      <c r="F3989" t="inlineStr">
        <is>
          <t>Bergvik skog väst AB</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27240-2025</t>
        </is>
      </c>
      <c r="B3990" s="1" t="n">
        <v>45812.45170138889</v>
      </c>
      <c r="C3990" s="1" t="n">
        <v>46114</v>
      </c>
      <c r="D3990" t="inlineStr">
        <is>
          <t>DALARNAS LÄN</t>
        </is>
      </c>
      <c r="E3990" t="inlineStr">
        <is>
          <t>ORSA</t>
        </is>
      </c>
      <c r="F3990" t="inlineStr">
        <is>
          <t>Bergvik skog öst AB</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6010-2025</t>
        </is>
      </c>
      <c r="B3991" s="1" t="n">
        <v>45695.59496527778</v>
      </c>
      <c r="C3991" s="1" t="n">
        <v>46114</v>
      </c>
      <c r="D3991" t="inlineStr">
        <is>
          <t>DALARNAS LÄN</t>
        </is>
      </c>
      <c r="E3991" t="inlineStr">
        <is>
          <t>FALUN</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42112-2025</t>
        </is>
      </c>
      <c r="B3992" s="1" t="n">
        <v>45904.32134259259</v>
      </c>
      <c r="C3992" s="1" t="n">
        <v>46114</v>
      </c>
      <c r="D3992" t="inlineStr">
        <is>
          <t>DALARNAS LÄN</t>
        </is>
      </c>
      <c r="E3992" t="inlineStr">
        <is>
          <t>MORA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42138-2025</t>
        </is>
      </c>
      <c r="B3993" s="1" t="n">
        <v>45904.35834490741</v>
      </c>
      <c r="C3993" s="1" t="n">
        <v>46114</v>
      </c>
      <c r="D3993" t="inlineStr">
        <is>
          <t>DALARNAS LÄN</t>
        </is>
      </c>
      <c r="E3993" t="inlineStr">
        <is>
          <t>MALUNG-SÄLEN</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42166-2025</t>
        </is>
      </c>
      <c r="B3994" s="1" t="n">
        <v>45904.42144675926</v>
      </c>
      <c r="C3994" s="1" t="n">
        <v>46114</v>
      </c>
      <c r="D3994" t="inlineStr">
        <is>
          <t>DALARNAS LÄN</t>
        </is>
      </c>
      <c r="E3994" t="inlineStr">
        <is>
          <t>GAGNEF</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37897-2025</t>
        </is>
      </c>
      <c r="B3995" s="1" t="n">
        <v>45881.55274305555</v>
      </c>
      <c r="C3995" s="1" t="n">
        <v>46114</v>
      </c>
      <c r="D3995" t="inlineStr">
        <is>
          <t>DALARNAS LÄN</t>
        </is>
      </c>
      <c r="E3995" t="inlineStr">
        <is>
          <t>ORSA</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37899-2025</t>
        </is>
      </c>
      <c r="B3996" s="1" t="n">
        <v>45881.56083333334</v>
      </c>
      <c r="C3996" s="1" t="n">
        <v>46114</v>
      </c>
      <c r="D3996" t="inlineStr">
        <is>
          <t>DALARNAS LÄN</t>
        </is>
      </c>
      <c r="E3996" t="inlineStr">
        <is>
          <t>ORSA</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11875-2025</t>
        </is>
      </c>
      <c r="B3997" s="1" t="n">
        <v>45728.43846064815</v>
      </c>
      <c r="C3997" s="1" t="n">
        <v>46114</v>
      </c>
      <c r="D3997" t="inlineStr">
        <is>
          <t>DALARNAS LÄN</t>
        </is>
      </c>
      <c r="E3997" t="inlineStr">
        <is>
          <t>MALUNG-SÄLEN</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5397-2024</t>
        </is>
      </c>
      <c r="B3998" s="1" t="n">
        <v>45331</v>
      </c>
      <c r="C3998" s="1" t="n">
        <v>46114</v>
      </c>
      <c r="D3998" t="inlineStr">
        <is>
          <t>DALARNAS LÄN</t>
        </is>
      </c>
      <c r="E3998" t="inlineStr">
        <is>
          <t>FALUN</t>
        </is>
      </c>
      <c r="G3998" t="n">
        <v>7.8</v>
      </c>
      <c r="H3998" t="n">
        <v>0</v>
      </c>
      <c r="I3998" t="n">
        <v>0</v>
      </c>
      <c r="J3998" t="n">
        <v>0</v>
      </c>
      <c r="K3998" t="n">
        <v>0</v>
      </c>
      <c r="L3998" t="n">
        <v>0</v>
      </c>
      <c r="M3998" t="n">
        <v>0</v>
      </c>
      <c r="N3998" t="n">
        <v>0</v>
      </c>
      <c r="O3998" t="n">
        <v>0</v>
      </c>
      <c r="P3998" t="n">
        <v>0</v>
      </c>
      <c r="Q3998" t="n">
        <v>0</v>
      </c>
      <c r="R3998" s="2" t="inlineStr"/>
    </row>
    <row r="3999" ht="15" customHeight="1">
      <c r="A3999" t="inlineStr">
        <is>
          <t>A 21864-2025</t>
        </is>
      </c>
      <c r="B3999" s="1" t="n">
        <v>45784</v>
      </c>
      <c r="C3999" s="1" t="n">
        <v>46114</v>
      </c>
      <c r="D3999" t="inlineStr">
        <is>
          <t>DALARNAS LÄN</t>
        </is>
      </c>
      <c r="E3999" t="inlineStr">
        <is>
          <t>HEDEMORA</t>
        </is>
      </c>
      <c r="F3999" t="inlineStr">
        <is>
          <t>Sveaskog</t>
        </is>
      </c>
      <c r="G3999" t="n">
        <v>5.1</v>
      </c>
      <c r="H3999" t="n">
        <v>0</v>
      </c>
      <c r="I3999" t="n">
        <v>0</v>
      </c>
      <c r="J3999" t="n">
        <v>0</v>
      </c>
      <c r="K3999" t="n">
        <v>0</v>
      </c>
      <c r="L3999" t="n">
        <v>0</v>
      </c>
      <c r="M3999" t="n">
        <v>0</v>
      </c>
      <c r="N3999" t="n">
        <v>0</v>
      </c>
      <c r="O3999" t="n">
        <v>0</v>
      </c>
      <c r="P3999" t="n">
        <v>0</v>
      </c>
      <c r="Q3999" t="n">
        <v>0</v>
      </c>
      <c r="R3999" s="2" t="inlineStr"/>
    </row>
    <row r="4000" ht="15" customHeight="1">
      <c r="A4000" t="inlineStr">
        <is>
          <t>A 35403-2022</t>
        </is>
      </c>
      <c r="B4000" s="1" t="n">
        <v>44798</v>
      </c>
      <c r="C4000" s="1" t="n">
        <v>46114</v>
      </c>
      <c r="D4000" t="inlineStr">
        <is>
          <t>DALARNAS LÄN</t>
        </is>
      </c>
      <c r="E4000" t="inlineStr">
        <is>
          <t>RÄTTVIK</t>
        </is>
      </c>
      <c r="G4000" t="n">
        <v>4.2</v>
      </c>
      <c r="H4000" t="n">
        <v>0</v>
      </c>
      <c r="I4000" t="n">
        <v>0</v>
      </c>
      <c r="J4000" t="n">
        <v>0</v>
      </c>
      <c r="K4000" t="n">
        <v>0</v>
      </c>
      <c r="L4000" t="n">
        <v>0</v>
      </c>
      <c r="M4000" t="n">
        <v>0</v>
      </c>
      <c r="N4000" t="n">
        <v>0</v>
      </c>
      <c r="O4000" t="n">
        <v>0</v>
      </c>
      <c r="P4000" t="n">
        <v>0</v>
      </c>
      <c r="Q4000" t="n">
        <v>0</v>
      </c>
      <c r="R4000" s="2" t="inlineStr"/>
    </row>
    <row r="4001" ht="15" customHeight="1">
      <c r="A4001" t="inlineStr">
        <is>
          <t>A 37703-2025</t>
        </is>
      </c>
      <c r="B4001" s="1" t="n">
        <v>45880</v>
      </c>
      <c r="C4001" s="1" t="n">
        <v>46114</v>
      </c>
      <c r="D4001" t="inlineStr">
        <is>
          <t>DALARNAS LÄN</t>
        </is>
      </c>
      <c r="E4001" t="inlineStr">
        <is>
          <t>RÄTTVIK</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34507-2022</t>
        </is>
      </c>
      <c r="B4002" s="1" t="n">
        <v>44792</v>
      </c>
      <c r="C4002" s="1" t="n">
        <v>46114</v>
      </c>
      <c r="D4002" t="inlineStr">
        <is>
          <t>DALARNAS LÄN</t>
        </is>
      </c>
      <c r="E4002" t="inlineStr">
        <is>
          <t>FALUN</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19690-2025</t>
        </is>
      </c>
      <c r="B4003" s="1" t="n">
        <v>45770</v>
      </c>
      <c r="C4003" s="1" t="n">
        <v>46114</v>
      </c>
      <c r="D4003" t="inlineStr">
        <is>
          <t>DALARNAS LÄN</t>
        </is>
      </c>
      <c r="E4003" t="inlineStr">
        <is>
          <t>HEDEMORA</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42209-2025</t>
        </is>
      </c>
      <c r="B4004" s="1" t="n">
        <v>45904.49546296296</v>
      </c>
      <c r="C4004" s="1" t="n">
        <v>46114</v>
      </c>
      <c r="D4004" t="inlineStr">
        <is>
          <t>DALARNAS LÄN</t>
        </is>
      </c>
      <c r="E4004" t="inlineStr">
        <is>
          <t>VANSBRO</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42117-2025</t>
        </is>
      </c>
      <c r="B4005" s="1" t="n">
        <v>45904.33445601852</v>
      </c>
      <c r="C4005" s="1" t="n">
        <v>46114</v>
      </c>
      <c r="D4005" t="inlineStr">
        <is>
          <t>DALARNAS LÄN</t>
        </is>
      </c>
      <c r="E4005" t="inlineStr">
        <is>
          <t>VANSBRO</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42139-2025</t>
        </is>
      </c>
      <c r="B4006" s="1" t="n">
        <v>45904.36177083333</v>
      </c>
      <c r="C4006" s="1" t="n">
        <v>46114</v>
      </c>
      <c r="D4006" t="inlineStr">
        <is>
          <t>DALARNAS LÄN</t>
        </is>
      </c>
      <c r="E4006" t="inlineStr">
        <is>
          <t>MALUNG-SÄLEN</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44095-2024</t>
        </is>
      </c>
      <c r="B4007" s="1" t="n">
        <v>45572</v>
      </c>
      <c r="C4007" s="1" t="n">
        <v>46114</v>
      </c>
      <c r="D4007" t="inlineStr">
        <is>
          <t>DALARNAS LÄN</t>
        </is>
      </c>
      <c r="E4007" t="inlineStr">
        <is>
          <t>FALUN</t>
        </is>
      </c>
      <c r="G4007" t="n">
        <v>4.3</v>
      </c>
      <c r="H4007" t="n">
        <v>0</v>
      </c>
      <c r="I4007" t="n">
        <v>0</v>
      </c>
      <c r="J4007" t="n">
        <v>0</v>
      </c>
      <c r="K4007" t="n">
        <v>0</v>
      </c>
      <c r="L4007" t="n">
        <v>0</v>
      </c>
      <c r="M4007" t="n">
        <v>0</v>
      </c>
      <c r="N4007" t="n">
        <v>0</v>
      </c>
      <c r="O4007" t="n">
        <v>0</v>
      </c>
      <c r="P4007" t="n">
        <v>0</v>
      </c>
      <c r="Q4007" t="n">
        <v>0</v>
      </c>
      <c r="R4007" s="2" t="inlineStr"/>
    </row>
    <row r="4008" ht="15" customHeight="1">
      <c r="A4008" t="inlineStr">
        <is>
          <t>A 21418-2023</t>
        </is>
      </c>
      <c r="B4008" s="1" t="n">
        <v>45063</v>
      </c>
      <c r="C4008" s="1" t="n">
        <v>46114</v>
      </c>
      <c r="D4008" t="inlineStr">
        <is>
          <t>DALARNAS LÄN</t>
        </is>
      </c>
      <c r="E4008" t="inlineStr">
        <is>
          <t>VANSBRO</t>
        </is>
      </c>
      <c r="F4008" t="inlineStr">
        <is>
          <t>Bergvik skog öst AB</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21443-2023</t>
        </is>
      </c>
      <c r="B4009" s="1" t="n">
        <v>45063</v>
      </c>
      <c r="C4009" s="1" t="n">
        <v>46114</v>
      </c>
      <c r="D4009" t="inlineStr">
        <is>
          <t>DALARNAS LÄN</t>
        </is>
      </c>
      <c r="E4009" t="inlineStr">
        <is>
          <t>SMEDJEBACKEN</t>
        </is>
      </c>
      <c r="F4009" t="inlineStr">
        <is>
          <t>Bergvik skog väst AB</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43498-2023</t>
        </is>
      </c>
      <c r="B4010" s="1" t="n">
        <v>45184</v>
      </c>
      <c r="C4010" s="1" t="n">
        <v>46114</v>
      </c>
      <c r="D4010" t="inlineStr">
        <is>
          <t>DALARNAS LÄN</t>
        </is>
      </c>
      <c r="E4010" t="inlineStr">
        <is>
          <t>MORA</t>
        </is>
      </c>
      <c r="F4010" t="inlineStr">
        <is>
          <t>Bergvik skog väst AB</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32261-2022</t>
        </is>
      </c>
      <c r="B4011" s="1" t="n">
        <v>44781.5350925926</v>
      </c>
      <c r="C4011" s="1" t="n">
        <v>46114</v>
      </c>
      <c r="D4011" t="inlineStr">
        <is>
          <t>DALARNAS LÄN</t>
        </is>
      </c>
      <c r="E4011" t="inlineStr">
        <is>
          <t>MORA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34932-2024</t>
        </is>
      </c>
      <c r="B4012" s="1" t="n">
        <v>45527.45431712963</v>
      </c>
      <c r="C4012" s="1" t="n">
        <v>46114</v>
      </c>
      <c r="D4012" t="inlineStr">
        <is>
          <t>DALARNAS LÄN</t>
        </is>
      </c>
      <c r="E4012" t="inlineStr">
        <is>
          <t>HEDEMORA</t>
        </is>
      </c>
      <c r="F4012" t="inlineStr">
        <is>
          <t>Sveaskog</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51474-2024</t>
        </is>
      </c>
      <c r="B4013" s="1" t="n">
        <v>45604.50557870371</v>
      </c>
      <c r="C4013" s="1" t="n">
        <v>46114</v>
      </c>
      <c r="D4013" t="inlineStr">
        <is>
          <t>DALARNAS LÄN</t>
        </is>
      </c>
      <c r="E4013" t="inlineStr">
        <is>
          <t>SÄTER</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42226-2025</t>
        </is>
      </c>
      <c r="B4014" s="1" t="n">
        <v>45904.53831018518</v>
      </c>
      <c r="C4014" s="1" t="n">
        <v>46114</v>
      </c>
      <c r="D4014" t="inlineStr">
        <is>
          <t>DALARNAS LÄN</t>
        </is>
      </c>
      <c r="E4014" t="inlineStr">
        <is>
          <t>ORSA</t>
        </is>
      </c>
      <c r="F4014" t="inlineStr">
        <is>
          <t>Allmännings- och besparingsskogar</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5019-2025</t>
        </is>
      </c>
      <c r="B4015" s="1" t="n">
        <v>45691.39211805556</v>
      </c>
      <c r="C4015" s="1" t="n">
        <v>46114</v>
      </c>
      <c r="D4015" t="inlineStr">
        <is>
          <t>DALARNAS LÄN</t>
        </is>
      </c>
      <c r="E4015" t="inlineStr">
        <is>
          <t>VANSBRO</t>
        </is>
      </c>
      <c r="G4015" t="n">
        <v>0.5</v>
      </c>
      <c r="H4015" t="n">
        <v>0</v>
      </c>
      <c r="I4015" t="n">
        <v>0</v>
      </c>
      <c r="J4015" t="n">
        <v>0</v>
      </c>
      <c r="K4015" t="n">
        <v>0</v>
      </c>
      <c r="L4015" t="n">
        <v>0</v>
      </c>
      <c r="M4015" t="n">
        <v>0</v>
      </c>
      <c r="N4015" t="n">
        <v>0</v>
      </c>
      <c r="O4015" t="n">
        <v>0</v>
      </c>
      <c r="P4015" t="n">
        <v>0</v>
      </c>
      <c r="Q4015" t="n">
        <v>0</v>
      </c>
      <c r="R4015" s="2" t="inlineStr"/>
    </row>
    <row r="4016" ht="15" customHeight="1">
      <c r="A4016" t="inlineStr">
        <is>
          <t>A 42530-2025</t>
        </is>
      </c>
      <c r="B4016" s="1" t="n">
        <v>45905.56336805555</v>
      </c>
      <c r="C4016" s="1" t="n">
        <v>46114</v>
      </c>
      <c r="D4016" t="inlineStr">
        <is>
          <t>DALARNAS LÄN</t>
        </is>
      </c>
      <c r="E4016" t="inlineStr">
        <is>
          <t>MALUNG-SÄLEN</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1458-2024</t>
        </is>
      </c>
      <c r="B4017" s="1" t="n">
        <v>45303</v>
      </c>
      <c r="C4017" s="1" t="n">
        <v>46114</v>
      </c>
      <c r="D4017" t="inlineStr">
        <is>
          <t>DALARNAS LÄN</t>
        </is>
      </c>
      <c r="E4017" t="inlineStr">
        <is>
          <t>LEKSAND</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1461-2024</t>
        </is>
      </c>
      <c r="B4018" s="1" t="n">
        <v>45303</v>
      </c>
      <c r="C4018" s="1" t="n">
        <v>46114</v>
      </c>
      <c r="D4018" t="inlineStr">
        <is>
          <t>DALARNAS LÄN</t>
        </is>
      </c>
      <c r="E4018" t="inlineStr">
        <is>
          <t>LEKSAND</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9196-2025</t>
        </is>
      </c>
      <c r="B4019" s="1" t="n">
        <v>45714.47013888889</v>
      </c>
      <c r="C4019" s="1" t="n">
        <v>46114</v>
      </c>
      <c r="D4019" t="inlineStr">
        <is>
          <t>DALARNAS LÄN</t>
        </is>
      </c>
      <c r="E4019" t="inlineStr">
        <is>
          <t>MALUNG-SÄLEN</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60660-2024</t>
        </is>
      </c>
      <c r="B4020" s="1" t="n">
        <v>45644.44615740741</v>
      </c>
      <c r="C4020" s="1" t="n">
        <v>46114</v>
      </c>
      <c r="D4020" t="inlineStr">
        <is>
          <t>DALARNAS LÄN</t>
        </is>
      </c>
      <c r="E4020" t="inlineStr">
        <is>
          <t>LUDVIKA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42735-2025</t>
        </is>
      </c>
      <c r="B4021" s="1" t="n">
        <v>45908.41019675926</v>
      </c>
      <c r="C4021" s="1" t="n">
        <v>46114</v>
      </c>
      <c r="D4021" t="inlineStr">
        <is>
          <t>DALARNAS LÄN</t>
        </is>
      </c>
      <c r="E4021" t="inlineStr">
        <is>
          <t>RÄTTVIK</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9725-2025</t>
        </is>
      </c>
      <c r="B4022" s="1" t="n">
        <v>45716.41461805555</v>
      </c>
      <c r="C4022" s="1" t="n">
        <v>46114</v>
      </c>
      <c r="D4022" t="inlineStr">
        <is>
          <t>DALARNAS LÄN</t>
        </is>
      </c>
      <c r="E4022" t="inlineStr">
        <is>
          <t>LUDVIKA</t>
        </is>
      </c>
      <c r="F4022" t="inlineStr">
        <is>
          <t>Bergvik skog väst AB</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359-2025</t>
        </is>
      </c>
      <c r="B4023" s="1" t="n">
        <v>45659</v>
      </c>
      <c r="C4023" s="1" t="n">
        <v>46114</v>
      </c>
      <c r="D4023" t="inlineStr">
        <is>
          <t>DALARNAS LÄN</t>
        </is>
      </c>
      <c r="E4023" t="inlineStr">
        <is>
          <t>RÄTTVIK</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45155-2023</t>
        </is>
      </c>
      <c r="B4024" s="1" t="n">
        <v>45187</v>
      </c>
      <c r="C4024" s="1" t="n">
        <v>46114</v>
      </c>
      <c r="D4024" t="inlineStr">
        <is>
          <t>DALARNAS LÄN</t>
        </is>
      </c>
      <c r="E4024" t="inlineStr">
        <is>
          <t>ÄLVDALEN</t>
        </is>
      </c>
      <c r="G4024" t="n">
        <v>40.1</v>
      </c>
      <c r="H4024" t="n">
        <v>0</v>
      </c>
      <c r="I4024" t="n">
        <v>0</v>
      </c>
      <c r="J4024" t="n">
        <v>0</v>
      </c>
      <c r="K4024" t="n">
        <v>0</v>
      </c>
      <c r="L4024" t="n">
        <v>0</v>
      </c>
      <c r="M4024" t="n">
        <v>0</v>
      </c>
      <c r="N4024" t="n">
        <v>0</v>
      </c>
      <c r="O4024" t="n">
        <v>0</v>
      </c>
      <c r="P4024" t="n">
        <v>0</v>
      </c>
      <c r="Q4024" t="n">
        <v>0</v>
      </c>
      <c r="R4024" s="2" t="inlineStr"/>
    </row>
    <row r="4025" ht="15" customHeight="1">
      <c r="A4025" t="inlineStr">
        <is>
          <t>A 29360-2023</t>
        </is>
      </c>
      <c r="B4025" s="1" t="n">
        <v>45106.3487962963</v>
      </c>
      <c r="C4025" s="1" t="n">
        <v>46114</v>
      </c>
      <c r="D4025" t="inlineStr">
        <is>
          <t>DALARNAS LÄN</t>
        </is>
      </c>
      <c r="E4025" t="inlineStr">
        <is>
          <t>RÄTTVIK</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35381-2024</t>
        </is>
      </c>
      <c r="B4026" s="1" t="n">
        <v>45531.38372685185</v>
      </c>
      <c r="C4026" s="1" t="n">
        <v>46114</v>
      </c>
      <c r="D4026" t="inlineStr">
        <is>
          <t>DALARNAS LÄN</t>
        </is>
      </c>
      <c r="E4026" t="inlineStr">
        <is>
          <t>MORA</t>
        </is>
      </c>
      <c r="G4026" t="n">
        <v>3.7</v>
      </c>
      <c r="H4026" t="n">
        <v>0</v>
      </c>
      <c r="I4026" t="n">
        <v>0</v>
      </c>
      <c r="J4026" t="n">
        <v>0</v>
      </c>
      <c r="K4026" t="n">
        <v>0</v>
      </c>
      <c r="L4026" t="n">
        <v>0</v>
      </c>
      <c r="M4026" t="n">
        <v>0</v>
      </c>
      <c r="N4026" t="n">
        <v>0</v>
      </c>
      <c r="O4026" t="n">
        <v>0</v>
      </c>
      <c r="P4026" t="n">
        <v>0</v>
      </c>
      <c r="Q4026" t="n">
        <v>0</v>
      </c>
      <c r="R4026" s="2" t="inlineStr"/>
    </row>
    <row r="4027" ht="15" customHeight="1">
      <c r="A4027" t="inlineStr">
        <is>
          <t>A 32130-2021</t>
        </is>
      </c>
      <c r="B4027" s="1" t="n">
        <v>44371.32910879629</v>
      </c>
      <c r="C4027" s="1" t="n">
        <v>46114</v>
      </c>
      <c r="D4027" t="inlineStr">
        <is>
          <t>DALARNAS LÄN</t>
        </is>
      </c>
      <c r="E4027" t="inlineStr">
        <is>
          <t>SMEDJEBACKEN</t>
        </is>
      </c>
      <c r="F4027" t="inlineStr">
        <is>
          <t>Sveaskog</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13479-2024</t>
        </is>
      </c>
      <c r="B4028" s="1" t="n">
        <v>45387.5900925926</v>
      </c>
      <c r="C4028" s="1" t="n">
        <v>46114</v>
      </c>
      <c r="D4028" t="inlineStr">
        <is>
          <t>DALARNAS LÄN</t>
        </is>
      </c>
      <c r="E4028" t="inlineStr">
        <is>
          <t>MORA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42801-2025</t>
        </is>
      </c>
      <c r="B4029" s="1" t="n">
        <v>45908.53179398148</v>
      </c>
      <c r="C4029" s="1" t="n">
        <v>46114</v>
      </c>
      <c r="D4029" t="inlineStr">
        <is>
          <t>DALARNAS LÄN</t>
        </is>
      </c>
      <c r="E4029" t="inlineStr">
        <is>
          <t>RÄTTVIK</t>
        </is>
      </c>
      <c r="F4029" t="inlineStr">
        <is>
          <t>Bergvik skog väst AB</t>
        </is>
      </c>
      <c r="G4029" t="n">
        <v>8.9</v>
      </c>
      <c r="H4029" t="n">
        <v>0</v>
      </c>
      <c r="I4029" t="n">
        <v>0</v>
      </c>
      <c r="J4029" t="n">
        <v>0</v>
      </c>
      <c r="K4029" t="n">
        <v>0</v>
      </c>
      <c r="L4029" t="n">
        <v>0</v>
      </c>
      <c r="M4029" t="n">
        <v>0</v>
      </c>
      <c r="N4029" t="n">
        <v>0</v>
      </c>
      <c r="O4029" t="n">
        <v>0</v>
      </c>
      <c r="P4029" t="n">
        <v>0</v>
      </c>
      <c r="Q4029" t="n">
        <v>0</v>
      </c>
      <c r="R4029" s="2" t="inlineStr"/>
    </row>
    <row r="4030" ht="15" customHeight="1">
      <c r="A4030" t="inlineStr">
        <is>
          <t>A 37166-2025</t>
        </is>
      </c>
      <c r="B4030" s="1" t="n">
        <v>45875</v>
      </c>
      <c r="C4030" s="1" t="n">
        <v>46114</v>
      </c>
      <c r="D4030" t="inlineStr">
        <is>
          <t>DALARNAS LÄN</t>
        </is>
      </c>
      <c r="E4030" t="inlineStr">
        <is>
          <t>MALUNG-SÄLEN</t>
        </is>
      </c>
      <c r="G4030" t="n">
        <v>3.4</v>
      </c>
      <c r="H4030" t="n">
        <v>0</v>
      </c>
      <c r="I4030" t="n">
        <v>0</v>
      </c>
      <c r="J4030" t="n">
        <v>0</v>
      </c>
      <c r="K4030" t="n">
        <v>0</v>
      </c>
      <c r="L4030" t="n">
        <v>0</v>
      </c>
      <c r="M4030" t="n">
        <v>0</v>
      </c>
      <c r="N4030" t="n">
        <v>0</v>
      </c>
      <c r="O4030" t="n">
        <v>0</v>
      </c>
      <c r="P4030" t="n">
        <v>0</v>
      </c>
      <c r="Q4030" t="n">
        <v>0</v>
      </c>
      <c r="R4030" s="2" t="inlineStr"/>
    </row>
    <row r="4031" ht="15" customHeight="1">
      <c r="A4031" t="inlineStr">
        <is>
          <t>A 41446-2024</t>
        </is>
      </c>
      <c r="B4031" s="1" t="n">
        <v>45560.39483796297</v>
      </c>
      <c r="C4031" s="1" t="n">
        <v>46114</v>
      </c>
      <c r="D4031" t="inlineStr">
        <is>
          <t>DALARNAS LÄN</t>
        </is>
      </c>
      <c r="E4031" t="inlineStr">
        <is>
          <t>ÄLVDALEN</t>
        </is>
      </c>
      <c r="F4031" t="inlineStr">
        <is>
          <t>Sveaskog</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41451-2024</t>
        </is>
      </c>
      <c r="B4032" s="1" t="n">
        <v>45560</v>
      </c>
      <c r="C4032" s="1" t="n">
        <v>46114</v>
      </c>
      <c r="D4032" t="inlineStr">
        <is>
          <t>DALARNAS LÄN</t>
        </is>
      </c>
      <c r="E4032" t="inlineStr">
        <is>
          <t>RÄTTVIK</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21026-2022</t>
        </is>
      </c>
      <c r="B4033" s="1" t="n">
        <v>44704.390625</v>
      </c>
      <c r="C4033" s="1" t="n">
        <v>46114</v>
      </c>
      <c r="D4033" t="inlineStr">
        <is>
          <t>DALARNAS LÄN</t>
        </is>
      </c>
      <c r="E4033" t="inlineStr">
        <is>
          <t>BORLÄNGE</t>
        </is>
      </c>
      <c r="G4033" t="n">
        <v>5.3</v>
      </c>
      <c r="H4033" t="n">
        <v>0</v>
      </c>
      <c r="I4033" t="n">
        <v>0</v>
      </c>
      <c r="J4033" t="n">
        <v>0</v>
      </c>
      <c r="K4033" t="n">
        <v>0</v>
      </c>
      <c r="L4033" t="n">
        <v>0</v>
      </c>
      <c r="M4033" t="n">
        <v>0</v>
      </c>
      <c r="N4033" t="n">
        <v>0</v>
      </c>
      <c r="O4033" t="n">
        <v>0</v>
      </c>
      <c r="P4033" t="n">
        <v>0</v>
      </c>
      <c r="Q4033" t="n">
        <v>0</v>
      </c>
      <c r="R4033" s="2" t="inlineStr"/>
    </row>
    <row r="4034" ht="15" customHeight="1">
      <c r="A4034" t="inlineStr">
        <is>
          <t>A 69058-2021</t>
        </is>
      </c>
      <c r="B4034" s="1" t="n">
        <v>44529</v>
      </c>
      <c r="C4034" s="1" t="n">
        <v>46114</v>
      </c>
      <c r="D4034" t="inlineStr">
        <is>
          <t>DALARNAS LÄN</t>
        </is>
      </c>
      <c r="E4034" t="inlineStr">
        <is>
          <t>RÄTTVIK</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61332-2023</t>
        </is>
      </c>
      <c r="B4035" s="1" t="n">
        <v>45264.58917824074</v>
      </c>
      <c r="C4035" s="1" t="n">
        <v>46114</v>
      </c>
      <c r="D4035" t="inlineStr">
        <is>
          <t>DALARNAS LÄN</t>
        </is>
      </c>
      <c r="E4035" t="inlineStr">
        <is>
          <t>SÄTER</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61347-2023</t>
        </is>
      </c>
      <c r="B4036" s="1" t="n">
        <v>45264.60055555555</v>
      </c>
      <c r="C4036" s="1" t="n">
        <v>46114</v>
      </c>
      <c r="D4036" t="inlineStr">
        <is>
          <t>DALARNAS LÄN</t>
        </is>
      </c>
      <c r="E4036" t="inlineStr">
        <is>
          <t>RÄTTVIK</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42813-2025</t>
        </is>
      </c>
      <c r="B4037" s="1" t="n">
        <v>45908.56168981481</v>
      </c>
      <c r="C4037" s="1" t="n">
        <v>46114</v>
      </c>
      <c r="D4037" t="inlineStr">
        <is>
          <t>DALARNAS LÄN</t>
        </is>
      </c>
      <c r="E4037" t="inlineStr">
        <is>
          <t>MORA</t>
        </is>
      </c>
      <c r="G4037" t="n">
        <v>4.3</v>
      </c>
      <c r="H4037" t="n">
        <v>0</v>
      </c>
      <c r="I4037" t="n">
        <v>0</v>
      </c>
      <c r="J4037" t="n">
        <v>0</v>
      </c>
      <c r="K4037" t="n">
        <v>0</v>
      </c>
      <c r="L4037" t="n">
        <v>0</v>
      </c>
      <c r="M4037" t="n">
        <v>0</v>
      </c>
      <c r="N4037" t="n">
        <v>0</v>
      </c>
      <c r="O4037" t="n">
        <v>0</v>
      </c>
      <c r="P4037" t="n">
        <v>0</v>
      </c>
      <c r="Q4037" t="n">
        <v>0</v>
      </c>
      <c r="R4037" s="2" t="inlineStr"/>
    </row>
    <row r="4038" ht="15" customHeight="1">
      <c r="A4038" t="inlineStr">
        <is>
          <t>A 53839-2022</t>
        </is>
      </c>
      <c r="B4038" s="1" t="n">
        <v>44880.59405092592</v>
      </c>
      <c r="C4038" s="1" t="n">
        <v>46114</v>
      </c>
      <c r="D4038" t="inlineStr">
        <is>
          <t>DALARNAS LÄN</t>
        </is>
      </c>
      <c r="E4038" t="inlineStr">
        <is>
          <t>VANSBRO</t>
        </is>
      </c>
      <c r="F4038" t="inlineStr">
        <is>
          <t>Bergvik skog öst AB</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37874-2025</t>
        </is>
      </c>
      <c r="B4039" s="1" t="n">
        <v>45881</v>
      </c>
      <c r="C4039" s="1" t="n">
        <v>46114</v>
      </c>
      <c r="D4039" t="inlineStr">
        <is>
          <t>DALARNAS LÄN</t>
        </is>
      </c>
      <c r="E4039" t="inlineStr">
        <is>
          <t>ÄLVDALEN</t>
        </is>
      </c>
      <c r="F4039" t="inlineStr">
        <is>
          <t>Övriga Aktiebolag</t>
        </is>
      </c>
      <c r="G4039" t="n">
        <v>33.5</v>
      </c>
      <c r="H4039" t="n">
        <v>0</v>
      </c>
      <c r="I4039" t="n">
        <v>0</v>
      </c>
      <c r="J4039" t="n">
        <v>0</v>
      </c>
      <c r="K4039" t="n">
        <v>0</v>
      </c>
      <c r="L4039" t="n">
        <v>0</v>
      </c>
      <c r="M4039" t="n">
        <v>0</v>
      </c>
      <c r="N4039" t="n">
        <v>0</v>
      </c>
      <c r="O4039" t="n">
        <v>0</v>
      </c>
      <c r="P4039" t="n">
        <v>0</v>
      </c>
      <c r="Q4039" t="n">
        <v>0</v>
      </c>
      <c r="R4039" s="2" t="inlineStr"/>
    </row>
    <row r="4040" ht="15" customHeight="1">
      <c r="A4040" t="inlineStr">
        <is>
          <t>A 42853-2025</t>
        </is>
      </c>
      <c r="B4040" s="1" t="n">
        <v>45908.60138888889</v>
      </c>
      <c r="C4040" s="1" t="n">
        <v>46114</v>
      </c>
      <c r="D4040" t="inlineStr">
        <is>
          <t>DALARNAS LÄN</t>
        </is>
      </c>
      <c r="E4040" t="inlineStr">
        <is>
          <t>FALUN</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37634-2025</t>
        </is>
      </c>
      <c r="B4041" s="1" t="n">
        <v>45880.46700231481</v>
      </c>
      <c r="C4041" s="1" t="n">
        <v>46114</v>
      </c>
      <c r="D4041" t="inlineStr">
        <is>
          <t>DALARNAS LÄN</t>
        </is>
      </c>
      <c r="E4041" t="inlineStr">
        <is>
          <t>MALUNG-SÄLEN</t>
        </is>
      </c>
      <c r="G4041" t="n">
        <v>10.3</v>
      </c>
      <c r="H4041" t="n">
        <v>0</v>
      </c>
      <c r="I4041" t="n">
        <v>0</v>
      </c>
      <c r="J4041" t="n">
        <v>0</v>
      </c>
      <c r="K4041" t="n">
        <v>0</v>
      </c>
      <c r="L4041" t="n">
        <v>0</v>
      </c>
      <c r="M4041" t="n">
        <v>0</v>
      </c>
      <c r="N4041" t="n">
        <v>0</v>
      </c>
      <c r="O4041" t="n">
        <v>0</v>
      </c>
      <c r="P4041" t="n">
        <v>0</v>
      </c>
      <c r="Q4041" t="n">
        <v>0</v>
      </c>
      <c r="R4041" s="2" t="inlineStr"/>
    </row>
    <row r="4042" ht="15" customHeight="1">
      <c r="A4042" t="inlineStr">
        <is>
          <t>A 37636-2025</t>
        </is>
      </c>
      <c r="B4042" s="1" t="n">
        <v>45880.4719212963</v>
      </c>
      <c r="C4042" s="1" t="n">
        <v>46114</v>
      </c>
      <c r="D4042" t="inlineStr">
        <is>
          <t>DALARNAS LÄN</t>
        </is>
      </c>
      <c r="E4042" t="inlineStr">
        <is>
          <t>MALUNG-SÄLEN</t>
        </is>
      </c>
      <c r="G4042" t="n">
        <v>1.7</v>
      </c>
      <c r="H4042" t="n">
        <v>0</v>
      </c>
      <c r="I4042" t="n">
        <v>0</v>
      </c>
      <c r="J4042" t="n">
        <v>0</v>
      </c>
      <c r="K4042" t="n">
        <v>0</v>
      </c>
      <c r="L4042" t="n">
        <v>0</v>
      </c>
      <c r="M4042" t="n">
        <v>0</v>
      </c>
      <c r="N4042" t="n">
        <v>0</v>
      </c>
      <c r="O4042" t="n">
        <v>0</v>
      </c>
      <c r="P4042" t="n">
        <v>0</v>
      </c>
      <c r="Q4042" t="n">
        <v>0</v>
      </c>
      <c r="R4042" s="2" t="inlineStr"/>
    </row>
    <row r="4043" ht="15" customHeight="1">
      <c r="A4043" t="inlineStr">
        <is>
          <t>A 42871-2025</t>
        </is>
      </c>
      <c r="B4043" s="1" t="n">
        <v>45908.62725694444</v>
      </c>
      <c r="C4043" s="1" t="n">
        <v>46114</v>
      </c>
      <c r="D4043" t="inlineStr">
        <is>
          <t>DALARNAS LÄN</t>
        </is>
      </c>
      <c r="E4043" t="inlineStr">
        <is>
          <t>FALUN</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25809-2024</t>
        </is>
      </c>
      <c r="B4044" s="1" t="n">
        <v>45467.37267361111</v>
      </c>
      <c r="C4044" s="1" t="n">
        <v>46114</v>
      </c>
      <c r="D4044" t="inlineStr">
        <is>
          <t>DALARNAS LÄN</t>
        </is>
      </c>
      <c r="E4044" t="inlineStr">
        <is>
          <t>SMEDJEBACKEN</t>
        </is>
      </c>
      <c r="F4044" t="inlineStr">
        <is>
          <t>Sveaskog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38001-2023</t>
        </is>
      </c>
      <c r="B4045" s="1" t="n">
        <v>45160</v>
      </c>
      <c r="C4045" s="1" t="n">
        <v>46114</v>
      </c>
      <c r="D4045" t="inlineStr">
        <is>
          <t>DALARNAS LÄN</t>
        </is>
      </c>
      <c r="E4045" t="inlineStr">
        <is>
          <t>LEKSAND</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18909-2024</t>
        </is>
      </c>
      <c r="B4046" s="1" t="n">
        <v>45427.36826388889</v>
      </c>
      <c r="C4046" s="1" t="n">
        <v>46114</v>
      </c>
      <c r="D4046" t="inlineStr">
        <is>
          <t>DALARNAS LÄN</t>
        </is>
      </c>
      <c r="E4046" t="inlineStr">
        <is>
          <t>SMEDJEBACKEN</t>
        </is>
      </c>
      <c r="F4046" t="inlineStr">
        <is>
          <t>Sveaskog</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26886-2024</t>
        </is>
      </c>
      <c r="B4047" s="1" t="n">
        <v>45470</v>
      </c>
      <c r="C4047" s="1" t="n">
        <v>46114</v>
      </c>
      <c r="D4047" t="inlineStr">
        <is>
          <t>DALARNAS LÄN</t>
        </is>
      </c>
      <c r="E4047" t="inlineStr">
        <is>
          <t>BORLÄNGE</t>
        </is>
      </c>
      <c r="G4047" t="n">
        <v>4</v>
      </c>
      <c r="H4047" t="n">
        <v>0</v>
      </c>
      <c r="I4047" t="n">
        <v>0</v>
      </c>
      <c r="J4047" t="n">
        <v>0</v>
      </c>
      <c r="K4047" t="n">
        <v>0</v>
      </c>
      <c r="L4047" t="n">
        <v>0</v>
      </c>
      <c r="M4047" t="n">
        <v>0</v>
      </c>
      <c r="N4047" t="n">
        <v>0</v>
      </c>
      <c r="O4047" t="n">
        <v>0</v>
      </c>
      <c r="P4047" t="n">
        <v>0</v>
      </c>
      <c r="Q4047" t="n">
        <v>0</v>
      </c>
      <c r="R4047" s="2" t="inlineStr"/>
      <c r="U4047">
        <f>HYPERLINK("https://klasma.github.io/Logging_2081/knärot/A 26886-2024 karta knärot.png", "A 26886-2024")</f>
        <v/>
      </c>
      <c r="V4047">
        <f>HYPERLINK("https://klasma.github.io/Logging_2081/klagomål/A 26886-2024 FSC-klagomål.docx", "A 26886-2024")</f>
        <v/>
      </c>
      <c r="W4047">
        <f>HYPERLINK("https://klasma.github.io/Logging_2081/klagomålsmail/A 26886-2024 FSC-klagomål mail.docx", "A 26886-2024")</f>
        <v/>
      </c>
      <c r="X4047">
        <f>HYPERLINK("https://klasma.github.io/Logging_2081/tillsyn/A 26886-2024 tillsynsbegäran.docx", "A 26886-2024")</f>
        <v/>
      </c>
      <c r="Y4047">
        <f>HYPERLINK("https://klasma.github.io/Logging_2081/tillsynsmail/A 26886-2024 tillsynsbegäran mail.docx", "A 26886-2024")</f>
        <v/>
      </c>
    </row>
    <row r="4048" ht="15" customHeight="1">
      <c r="A4048" t="inlineStr">
        <is>
          <t>A 72310-2021</t>
        </is>
      </c>
      <c r="B4048" s="1" t="n">
        <v>44545</v>
      </c>
      <c r="C4048" s="1" t="n">
        <v>46114</v>
      </c>
      <c r="D4048" t="inlineStr">
        <is>
          <t>DALARNAS LÄN</t>
        </is>
      </c>
      <c r="E4048" t="inlineStr">
        <is>
          <t>ORSA</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53062-2024</t>
        </is>
      </c>
      <c r="B4049" s="1" t="n">
        <v>45611.47130787037</v>
      </c>
      <c r="C4049" s="1" t="n">
        <v>46114</v>
      </c>
      <c r="D4049" t="inlineStr">
        <is>
          <t>DALARNAS LÄN</t>
        </is>
      </c>
      <c r="E4049" t="inlineStr">
        <is>
          <t>FALUN</t>
        </is>
      </c>
      <c r="F4049" t="inlineStr">
        <is>
          <t>Bergvik skog väst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42825-2025</t>
        </is>
      </c>
      <c r="B4050" s="1" t="n">
        <v>45908</v>
      </c>
      <c r="C4050" s="1" t="n">
        <v>46114</v>
      </c>
      <c r="D4050" t="inlineStr">
        <is>
          <t>DALARNAS LÄN</t>
        </is>
      </c>
      <c r="E4050" t="inlineStr">
        <is>
          <t>GAGNEF</t>
        </is>
      </c>
      <c r="F4050" t="inlineStr">
        <is>
          <t>Bergvik skog väst AB</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42850-2025</t>
        </is>
      </c>
      <c r="B4051" s="1" t="n">
        <v>45908</v>
      </c>
      <c r="C4051" s="1" t="n">
        <v>46114</v>
      </c>
      <c r="D4051" t="inlineStr">
        <is>
          <t>DALARNAS LÄN</t>
        </is>
      </c>
      <c r="E4051" t="inlineStr">
        <is>
          <t>GAGNEF</t>
        </is>
      </c>
      <c r="F4051" t="inlineStr">
        <is>
          <t>Bergvik skog väst AB</t>
        </is>
      </c>
      <c r="G4051" t="n">
        <v>8</v>
      </c>
      <c r="H4051" t="n">
        <v>0</v>
      </c>
      <c r="I4051" t="n">
        <v>0</v>
      </c>
      <c r="J4051" t="n">
        <v>0</v>
      </c>
      <c r="K4051" t="n">
        <v>0</v>
      </c>
      <c r="L4051" t="n">
        <v>0</v>
      </c>
      <c r="M4051" t="n">
        <v>0</v>
      </c>
      <c r="N4051" t="n">
        <v>0</v>
      </c>
      <c r="O4051" t="n">
        <v>0</v>
      </c>
      <c r="P4051" t="n">
        <v>0</v>
      </c>
      <c r="Q4051" t="n">
        <v>0</v>
      </c>
      <c r="R4051" s="2" t="inlineStr"/>
    </row>
    <row r="4052" ht="15" customHeight="1">
      <c r="A4052" t="inlineStr">
        <is>
          <t>A 42840-2025</t>
        </is>
      </c>
      <c r="B4052" s="1" t="n">
        <v>45908.58384259259</v>
      </c>
      <c r="C4052" s="1" t="n">
        <v>46114</v>
      </c>
      <c r="D4052" t="inlineStr">
        <is>
          <t>DALARNAS LÄN</t>
        </is>
      </c>
      <c r="E4052" t="inlineStr">
        <is>
          <t>MALUNG-SÄLEN</t>
        </is>
      </c>
      <c r="F4052" t="inlineStr">
        <is>
          <t>Bergvik skog öst AB</t>
        </is>
      </c>
      <c r="G4052" t="n">
        <v>14.2</v>
      </c>
      <c r="H4052" t="n">
        <v>0</v>
      </c>
      <c r="I4052" t="n">
        <v>0</v>
      </c>
      <c r="J4052" t="n">
        <v>0</v>
      </c>
      <c r="K4052" t="n">
        <v>0</v>
      </c>
      <c r="L4052" t="n">
        <v>0</v>
      </c>
      <c r="M4052" t="n">
        <v>0</v>
      </c>
      <c r="N4052" t="n">
        <v>0</v>
      </c>
      <c r="O4052" t="n">
        <v>0</v>
      </c>
      <c r="P4052" t="n">
        <v>0</v>
      </c>
      <c r="Q4052" t="n">
        <v>0</v>
      </c>
      <c r="R4052" s="2" t="inlineStr"/>
    </row>
    <row r="4053" ht="15" customHeight="1">
      <c r="A4053" t="inlineStr">
        <is>
          <t>A 53100-2024</t>
        </is>
      </c>
      <c r="B4053" s="1" t="n">
        <v>45611.54230324074</v>
      </c>
      <c r="C4053" s="1" t="n">
        <v>46114</v>
      </c>
      <c r="D4053" t="inlineStr">
        <is>
          <t>DALARNAS LÄN</t>
        </is>
      </c>
      <c r="E4053" t="inlineStr">
        <is>
          <t>AVESTA</t>
        </is>
      </c>
      <c r="F4053" t="inlineStr">
        <is>
          <t>Sveaskog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53104-2024</t>
        </is>
      </c>
      <c r="B4054" s="1" t="n">
        <v>45611.551875</v>
      </c>
      <c r="C4054" s="1" t="n">
        <v>46114</v>
      </c>
      <c r="D4054" t="inlineStr">
        <is>
          <t>DALARNAS LÄN</t>
        </is>
      </c>
      <c r="E4054" t="inlineStr">
        <is>
          <t>LUDVIKA</t>
        </is>
      </c>
      <c r="F4054" t="inlineStr">
        <is>
          <t>Bergvik skog väst AB</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37809-2025</t>
        </is>
      </c>
      <c r="B4055" s="1" t="n">
        <v>45881.36699074074</v>
      </c>
      <c r="C4055" s="1" t="n">
        <v>46114</v>
      </c>
      <c r="D4055" t="inlineStr">
        <is>
          <t>DALARNAS LÄN</t>
        </is>
      </c>
      <c r="E4055" t="inlineStr">
        <is>
          <t>AVESTA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47673-2023</t>
        </is>
      </c>
      <c r="B4056" s="1" t="n">
        <v>45203</v>
      </c>
      <c r="C4056" s="1" t="n">
        <v>46114</v>
      </c>
      <c r="D4056" t="inlineStr">
        <is>
          <t>DALARNAS LÄN</t>
        </is>
      </c>
      <c r="E4056" t="inlineStr">
        <is>
          <t>LEKSAND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42645-2025</t>
        </is>
      </c>
      <c r="B4057" s="1" t="n">
        <v>45906.40199074074</v>
      </c>
      <c r="C4057" s="1" t="n">
        <v>46114</v>
      </c>
      <c r="D4057" t="inlineStr">
        <is>
          <t>DALARNAS LÄN</t>
        </is>
      </c>
      <c r="E4057" t="inlineStr">
        <is>
          <t>HEDEMORA</t>
        </is>
      </c>
      <c r="F4057" t="inlineStr">
        <is>
          <t>Sveaskog</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31679-2023</t>
        </is>
      </c>
      <c r="B4058" s="1" t="n">
        <v>45117</v>
      </c>
      <c r="C4058" s="1" t="n">
        <v>46114</v>
      </c>
      <c r="D4058" t="inlineStr">
        <is>
          <t>DALARNAS LÄN</t>
        </is>
      </c>
      <c r="E4058" t="inlineStr">
        <is>
          <t>BORLÄNGE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60793-2022</t>
        </is>
      </c>
      <c r="B4059" s="1" t="n">
        <v>44911</v>
      </c>
      <c r="C4059" s="1" t="n">
        <v>46114</v>
      </c>
      <c r="D4059" t="inlineStr">
        <is>
          <t>DALARNAS LÄN</t>
        </is>
      </c>
      <c r="E4059" t="inlineStr">
        <is>
          <t>ÄLVDALEN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60803-2022</t>
        </is>
      </c>
      <c r="B4060" s="1" t="n">
        <v>44914</v>
      </c>
      <c r="C4060" s="1" t="n">
        <v>46114</v>
      </c>
      <c r="D4060" t="inlineStr">
        <is>
          <t>DALARNAS LÄN</t>
        </is>
      </c>
      <c r="E4060" t="inlineStr">
        <is>
          <t>ORSA</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42683-2025</t>
        </is>
      </c>
      <c r="B4061" s="1" t="n">
        <v>45908.35057870371</v>
      </c>
      <c r="C4061" s="1" t="n">
        <v>46114</v>
      </c>
      <c r="D4061" t="inlineStr">
        <is>
          <t>DALARNAS LÄN</t>
        </is>
      </c>
      <c r="E4061" t="inlineStr">
        <is>
          <t>GAGNEF</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59346-2024</t>
        </is>
      </c>
      <c r="B4062" s="1" t="n">
        <v>45637.99482638889</v>
      </c>
      <c r="C4062" s="1" t="n">
        <v>46114</v>
      </c>
      <c r="D4062" t="inlineStr">
        <is>
          <t>DALARNAS LÄN</t>
        </is>
      </c>
      <c r="E4062" t="inlineStr">
        <is>
          <t>LUDVIKA</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59390-2024</t>
        </is>
      </c>
      <c r="B4063" s="1" t="n">
        <v>45638.36590277778</v>
      </c>
      <c r="C4063" s="1" t="n">
        <v>46114</v>
      </c>
      <c r="D4063" t="inlineStr">
        <is>
          <t>DALARNAS LÄN</t>
        </is>
      </c>
      <c r="E4063" t="inlineStr">
        <is>
          <t>SÄTER</t>
        </is>
      </c>
      <c r="G4063" t="n">
        <v>0.4</v>
      </c>
      <c r="H4063" t="n">
        <v>0</v>
      </c>
      <c r="I4063" t="n">
        <v>0</v>
      </c>
      <c r="J4063" t="n">
        <v>0</v>
      </c>
      <c r="K4063" t="n">
        <v>0</v>
      </c>
      <c r="L4063" t="n">
        <v>0</v>
      </c>
      <c r="M4063" t="n">
        <v>0</v>
      </c>
      <c r="N4063" t="n">
        <v>0</v>
      </c>
      <c r="O4063" t="n">
        <v>0</v>
      </c>
      <c r="P4063" t="n">
        <v>0</v>
      </c>
      <c r="Q4063" t="n">
        <v>0</v>
      </c>
      <c r="R4063" s="2" t="inlineStr"/>
    </row>
    <row r="4064" ht="15" customHeight="1">
      <c r="A4064" t="inlineStr">
        <is>
          <t>A 37739-2025</t>
        </is>
      </c>
      <c r="B4064" s="1" t="n">
        <v>45880.64846064815</v>
      </c>
      <c r="C4064" s="1" t="n">
        <v>46114</v>
      </c>
      <c r="D4064" t="inlineStr">
        <is>
          <t>DALARNAS LÄN</t>
        </is>
      </c>
      <c r="E4064" t="inlineStr">
        <is>
          <t>BORLÄNGE</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42947-2025</t>
        </is>
      </c>
      <c r="B4065" s="1" t="n">
        <v>45909.34799768519</v>
      </c>
      <c r="C4065" s="1" t="n">
        <v>46114</v>
      </c>
      <c r="D4065" t="inlineStr">
        <is>
          <t>DALARNAS LÄN</t>
        </is>
      </c>
      <c r="E4065" t="inlineStr">
        <is>
          <t>MORA</t>
        </is>
      </c>
      <c r="F4065" t="inlineStr">
        <is>
          <t>Allmännings- och besparingsskogar</t>
        </is>
      </c>
      <c r="G4065" t="n">
        <v>6.2</v>
      </c>
      <c r="H4065" t="n">
        <v>0</v>
      </c>
      <c r="I4065" t="n">
        <v>0</v>
      </c>
      <c r="J4065" t="n">
        <v>0</v>
      </c>
      <c r="K4065" t="n">
        <v>0</v>
      </c>
      <c r="L4065" t="n">
        <v>0</v>
      </c>
      <c r="M4065" t="n">
        <v>0</v>
      </c>
      <c r="N4065" t="n">
        <v>0</v>
      </c>
      <c r="O4065" t="n">
        <v>0</v>
      </c>
      <c r="P4065" t="n">
        <v>0</v>
      </c>
      <c r="Q4065" t="n">
        <v>0</v>
      </c>
      <c r="R4065" s="2" t="inlineStr"/>
    </row>
    <row r="4066" ht="15" customHeight="1">
      <c r="A4066" t="inlineStr">
        <is>
          <t>A 56012-2021</t>
        </is>
      </c>
      <c r="B4066" s="1" t="n">
        <v>44477</v>
      </c>
      <c r="C4066" s="1" t="n">
        <v>46114</v>
      </c>
      <c r="D4066" t="inlineStr">
        <is>
          <t>DALARNAS LÄN</t>
        </is>
      </c>
      <c r="E4066" t="inlineStr">
        <is>
          <t>SMEDJEBACKEN</t>
        </is>
      </c>
      <c r="F4066" t="inlineStr">
        <is>
          <t>Bergvik skog väst AB</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43092-2025</t>
        </is>
      </c>
      <c r="B4067" s="1" t="n">
        <v>45909.62510416667</v>
      </c>
      <c r="C4067" s="1" t="n">
        <v>46114</v>
      </c>
      <c r="D4067" t="inlineStr">
        <is>
          <t>DALARNAS LÄN</t>
        </is>
      </c>
      <c r="E4067" t="inlineStr">
        <is>
          <t>FALUN</t>
        </is>
      </c>
      <c r="F4067" t="inlineStr">
        <is>
          <t>Bergvik skog väst AB</t>
        </is>
      </c>
      <c r="G4067" t="n">
        <v>24.3</v>
      </c>
      <c r="H4067" t="n">
        <v>0</v>
      </c>
      <c r="I4067" t="n">
        <v>0</v>
      </c>
      <c r="J4067" t="n">
        <v>0</v>
      </c>
      <c r="K4067" t="n">
        <v>0</v>
      </c>
      <c r="L4067" t="n">
        <v>0</v>
      </c>
      <c r="M4067" t="n">
        <v>0</v>
      </c>
      <c r="N4067" t="n">
        <v>0</v>
      </c>
      <c r="O4067" t="n">
        <v>0</v>
      </c>
      <c r="P4067" t="n">
        <v>0</v>
      </c>
      <c r="Q4067" t="n">
        <v>0</v>
      </c>
      <c r="R4067" s="2" t="inlineStr"/>
    </row>
    <row r="4068" ht="15" customHeight="1">
      <c r="A4068" t="inlineStr">
        <is>
          <t>A 42956-2025</t>
        </is>
      </c>
      <c r="B4068" s="1" t="n">
        <v>45909.35978009259</v>
      </c>
      <c r="C4068" s="1" t="n">
        <v>46114</v>
      </c>
      <c r="D4068" t="inlineStr">
        <is>
          <t>DALARNAS LÄN</t>
        </is>
      </c>
      <c r="E4068" t="inlineStr">
        <is>
          <t>AVESTA</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42960-2025</t>
        </is>
      </c>
      <c r="B4069" s="1" t="n">
        <v>45909.36631944445</v>
      </c>
      <c r="C4069" s="1" t="n">
        <v>46114</v>
      </c>
      <c r="D4069" t="inlineStr">
        <is>
          <t>DALARNAS LÄN</t>
        </is>
      </c>
      <c r="E4069" t="inlineStr">
        <is>
          <t>MORA</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27528-2025</t>
        </is>
      </c>
      <c r="B4070" s="1" t="n">
        <v>45813</v>
      </c>
      <c r="C4070" s="1" t="n">
        <v>46114</v>
      </c>
      <c r="D4070" t="inlineStr">
        <is>
          <t>DALARNAS LÄN</t>
        </is>
      </c>
      <c r="E4070" t="inlineStr">
        <is>
          <t>LUDVIKA</t>
        </is>
      </c>
      <c r="F4070" t="inlineStr">
        <is>
          <t>Bergvik skog väst AB</t>
        </is>
      </c>
      <c r="G4070" t="n">
        <v>3.7</v>
      </c>
      <c r="H4070" t="n">
        <v>0</v>
      </c>
      <c r="I4070" t="n">
        <v>0</v>
      </c>
      <c r="J4070" t="n">
        <v>0</v>
      </c>
      <c r="K4070" t="n">
        <v>0</v>
      </c>
      <c r="L4070" t="n">
        <v>0</v>
      </c>
      <c r="M4070" t="n">
        <v>0</v>
      </c>
      <c r="N4070" t="n">
        <v>0</v>
      </c>
      <c r="O4070" t="n">
        <v>0</v>
      </c>
      <c r="P4070" t="n">
        <v>0</v>
      </c>
      <c r="Q4070" t="n">
        <v>0</v>
      </c>
      <c r="R4070" s="2" t="inlineStr"/>
    </row>
    <row r="4071" ht="15" customHeight="1">
      <c r="A4071" t="inlineStr">
        <is>
          <t>A 34868-2025</t>
        </is>
      </c>
      <c r="B4071" s="1" t="n">
        <v>45849</v>
      </c>
      <c r="C4071" s="1" t="n">
        <v>46114</v>
      </c>
      <c r="D4071" t="inlineStr">
        <is>
          <t>DALARNAS LÄN</t>
        </is>
      </c>
      <c r="E4071" t="inlineStr">
        <is>
          <t>LUDVIKA</t>
        </is>
      </c>
      <c r="F4071" t="inlineStr">
        <is>
          <t>Bergvik skog väst AB</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43159-2025</t>
        </is>
      </c>
      <c r="B4072" s="1" t="n">
        <v>45909</v>
      </c>
      <c r="C4072" s="1" t="n">
        <v>46114</v>
      </c>
      <c r="D4072" t="inlineStr">
        <is>
          <t>DALARNAS LÄN</t>
        </is>
      </c>
      <c r="E4072" t="inlineStr">
        <is>
          <t>RÄTTVIK</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42992-2025</t>
        </is>
      </c>
      <c r="B4073" s="1" t="n">
        <v>45909.45203703704</v>
      </c>
      <c r="C4073" s="1" t="n">
        <v>46114</v>
      </c>
      <c r="D4073" t="inlineStr">
        <is>
          <t>DALARNAS LÄN</t>
        </is>
      </c>
      <c r="E4073" t="inlineStr">
        <is>
          <t>MALUNG-SÄLEN</t>
        </is>
      </c>
      <c r="F4073" t="inlineStr">
        <is>
          <t>Allmännings- och besparingsskogar</t>
        </is>
      </c>
      <c r="G4073" t="n">
        <v>27.5</v>
      </c>
      <c r="H4073" t="n">
        <v>0</v>
      </c>
      <c r="I4073" t="n">
        <v>0</v>
      </c>
      <c r="J4073" t="n">
        <v>0</v>
      </c>
      <c r="K4073" t="n">
        <v>0</v>
      </c>
      <c r="L4073" t="n">
        <v>0</v>
      </c>
      <c r="M4073" t="n">
        <v>0</v>
      </c>
      <c r="N4073" t="n">
        <v>0</v>
      </c>
      <c r="O4073" t="n">
        <v>0</v>
      </c>
      <c r="P4073" t="n">
        <v>0</v>
      </c>
      <c r="Q4073" t="n">
        <v>0</v>
      </c>
      <c r="R4073" s="2" t="inlineStr"/>
    </row>
    <row r="4074" ht="15" customHeight="1">
      <c r="A4074" t="inlineStr">
        <is>
          <t>A 37852-2025</t>
        </is>
      </c>
      <c r="B4074" s="1" t="n">
        <v>45881.44997685185</v>
      </c>
      <c r="C4074" s="1" t="n">
        <v>46114</v>
      </c>
      <c r="D4074" t="inlineStr">
        <is>
          <t>DALARNAS LÄN</t>
        </is>
      </c>
      <c r="E4074" t="inlineStr">
        <is>
          <t>RÄTTVIK</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19820-2024</t>
        </is>
      </c>
      <c r="B4075" s="1" t="n">
        <v>45433.33907407407</v>
      </c>
      <c r="C4075" s="1" t="n">
        <v>46114</v>
      </c>
      <c r="D4075" t="inlineStr">
        <is>
          <t>DALARNAS LÄN</t>
        </is>
      </c>
      <c r="E4075" t="inlineStr">
        <is>
          <t>LEKSAND</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19823-2024</t>
        </is>
      </c>
      <c r="B4076" s="1" t="n">
        <v>45433.34469907408</v>
      </c>
      <c r="C4076" s="1" t="n">
        <v>46114</v>
      </c>
      <c r="D4076" t="inlineStr">
        <is>
          <t>DALARNAS LÄN</t>
        </is>
      </c>
      <c r="E4076" t="inlineStr">
        <is>
          <t>LEKSAND</t>
        </is>
      </c>
      <c r="G4076" t="n">
        <v>0.3</v>
      </c>
      <c r="H4076" t="n">
        <v>0</v>
      </c>
      <c r="I4076" t="n">
        <v>0</v>
      </c>
      <c r="J4076" t="n">
        <v>0</v>
      </c>
      <c r="K4076" t="n">
        <v>0</v>
      </c>
      <c r="L4076" t="n">
        <v>0</v>
      </c>
      <c r="M4076" t="n">
        <v>0</v>
      </c>
      <c r="N4076" t="n">
        <v>0</v>
      </c>
      <c r="O4076" t="n">
        <v>0</v>
      </c>
      <c r="P4076" t="n">
        <v>0</v>
      </c>
      <c r="Q4076" t="n">
        <v>0</v>
      </c>
      <c r="R4076" s="2" t="inlineStr"/>
    </row>
    <row r="4077" ht="15" customHeight="1">
      <c r="A4077" t="inlineStr">
        <is>
          <t>A 37893-2025</t>
        </is>
      </c>
      <c r="B4077" s="1" t="n">
        <v>45881.54469907407</v>
      </c>
      <c r="C4077" s="1" t="n">
        <v>46114</v>
      </c>
      <c r="D4077" t="inlineStr">
        <is>
          <t>DALARNAS LÄN</t>
        </is>
      </c>
      <c r="E4077" t="inlineStr">
        <is>
          <t>ORSA</t>
        </is>
      </c>
      <c r="G4077" t="n">
        <v>4.4</v>
      </c>
      <c r="H4077" t="n">
        <v>0</v>
      </c>
      <c r="I4077" t="n">
        <v>0</v>
      </c>
      <c r="J4077" t="n">
        <v>0</v>
      </c>
      <c r="K4077" t="n">
        <v>0</v>
      </c>
      <c r="L4077" t="n">
        <v>0</v>
      </c>
      <c r="M4077" t="n">
        <v>0</v>
      </c>
      <c r="N4077" t="n">
        <v>0</v>
      </c>
      <c r="O4077" t="n">
        <v>0</v>
      </c>
      <c r="P4077" t="n">
        <v>0</v>
      </c>
      <c r="Q4077" t="n">
        <v>0</v>
      </c>
      <c r="R4077" s="2" t="inlineStr"/>
    </row>
    <row r="4078" ht="15" customHeight="1">
      <c r="A4078" t="inlineStr">
        <is>
          <t>A 37906-2025</t>
        </is>
      </c>
      <c r="B4078" s="1" t="n">
        <v>45881.56803240741</v>
      </c>
      <c r="C4078" s="1" t="n">
        <v>46114</v>
      </c>
      <c r="D4078" t="inlineStr">
        <is>
          <t>DALARNAS LÄN</t>
        </is>
      </c>
      <c r="E4078" t="inlineStr">
        <is>
          <t>ORSA</t>
        </is>
      </c>
      <c r="G4078" t="n">
        <v>1</v>
      </c>
      <c r="H4078" t="n">
        <v>0</v>
      </c>
      <c r="I4078" t="n">
        <v>0</v>
      </c>
      <c r="J4078" t="n">
        <v>0</v>
      </c>
      <c r="K4078" t="n">
        <v>0</v>
      </c>
      <c r="L4078" t="n">
        <v>0</v>
      </c>
      <c r="M4078" t="n">
        <v>0</v>
      </c>
      <c r="N4078" t="n">
        <v>0</v>
      </c>
      <c r="O4078" t="n">
        <v>0</v>
      </c>
      <c r="P4078" t="n">
        <v>0</v>
      </c>
      <c r="Q4078" t="n">
        <v>0</v>
      </c>
      <c r="R4078" s="2" t="inlineStr"/>
    </row>
    <row r="4079" ht="15" customHeight="1">
      <c r="A4079" t="inlineStr">
        <is>
          <t>A 21868-2025</t>
        </is>
      </c>
      <c r="B4079" s="1" t="n">
        <v>45784</v>
      </c>
      <c r="C4079" s="1" t="n">
        <v>46114</v>
      </c>
      <c r="D4079" t="inlineStr">
        <is>
          <t>DALARNAS LÄN</t>
        </is>
      </c>
      <c r="E4079" t="inlineStr">
        <is>
          <t>HEDEMORA</t>
        </is>
      </c>
      <c r="F4079" t="inlineStr">
        <is>
          <t>Sveaskog</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7916-2023</t>
        </is>
      </c>
      <c r="B4080" s="1" t="n">
        <v>44973</v>
      </c>
      <c r="C4080" s="1" t="n">
        <v>46114</v>
      </c>
      <c r="D4080" t="inlineStr">
        <is>
          <t>DALARNAS LÄN</t>
        </is>
      </c>
      <c r="E4080" t="inlineStr">
        <is>
          <t>FALUN</t>
        </is>
      </c>
      <c r="G4080" t="n">
        <v>22.8</v>
      </c>
      <c r="H4080" t="n">
        <v>0</v>
      </c>
      <c r="I4080" t="n">
        <v>0</v>
      </c>
      <c r="J4080" t="n">
        <v>0</v>
      </c>
      <c r="K4080" t="n">
        <v>0</v>
      </c>
      <c r="L4080" t="n">
        <v>0</v>
      </c>
      <c r="M4080" t="n">
        <v>0</v>
      </c>
      <c r="N4080" t="n">
        <v>0</v>
      </c>
      <c r="O4080" t="n">
        <v>0</v>
      </c>
      <c r="P4080" t="n">
        <v>0</v>
      </c>
      <c r="Q4080" t="n">
        <v>0</v>
      </c>
      <c r="R4080" s="2" t="inlineStr"/>
    </row>
    <row r="4081" ht="15" customHeight="1">
      <c r="A4081" t="inlineStr">
        <is>
          <t>A 35163-2023</t>
        </is>
      </c>
      <c r="B4081" s="1" t="n">
        <v>45145</v>
      </c>
      <c r="C4081" s="1" t="n">
        <v>46114</v>
      </c>
      <c r="D4081" t="inlineStr">
        <is>
          <t>DALARNAS LÄN</t>
        </is>
      </c>
      <c r="E4081" t="inlineStr">
        <is>
          <t>SÄTER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10689-2024</t>
        </is>
      </c>
      <c r="B4082" s="1" t="n">
        <v>45369.40248842593</v>
      </c>
      <c r="C4082" s="1" t="n">
        <v>46114</v>
      </c>
      <c r="D4082" t="inlineStr">
        <is>
          <t>DALARNAS LÄN</t>
        </is>
      </c>
      <c r="E4082" t="inlineStr">
        <is>
          <t>BORLÄNGE</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33099-2023</t>
        </is>
      </c>
      <c r="B4083" s="1" t="n">
        <v>45114</v>
      </c>
      <c r="C4083" s="1" t="n">
        <v>46114</v>
      </c>
      <c r="D4083" t="inlineStr">
        <is>
          <t>DALARNAS LÄN</t>
        </is>
      </c>
      <c r="E4083" t="inlineStr">
        <is>
          <t>ÄLVDALEN</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55092-2024</t>
        </is>
      </c>
      <c r="B4084" s="1" t="n">
        <v>45621</v>
      </c>
      <c r="C4084" s="1" t="n">
        <v>46114</v>
      </c>
      <c r="D4084" t="inlineStr">
        <is>
          <t>DALARNAS LÄN</t>
        </is>
      </c>
      <c r="E4084" t="inlineStr">
        <is>
          <t>RÄTTVIK</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1479-2025</t>
        </is>
      </c>
      <c r="B4085" s="1" t="n">
        <v>45670</v>
      </c>
      <c r="C4085" s="1" t="n">
        <v>46114</v>
      </c>
      <c r="D4085" t="inlineStr">
        <is>
          <t>DALARNAS LÄN</t>
        </is>
      </c>
      <c r="E4085" t="inlineStr">
        <is>
          <t>GAGNEF</t>
        </is>
      </c>
      <c r="G4085" t="n">
        <v>5.5</v>
      </c>
      <c r="H4085" t="n">
        <v>0</v>
      </c>
      <c r="I4085" t="n">
        <v>0</v>
      </c>
      <c r="J4085" t="n">
        <v>0</v>
      </c>
      <c r="K4085" t="n">
        <v>0</v>
      </c>
      <c r="L4085" t="n">
        <v>0</v>
      </c>
      <c r="M4085" t="n">
        <v>0</v>
      </c>
      <c r="N4085" t="n">
        <v>0</v>
      </c>
      <c r="O4085" t="n">
        <v>0</v>
      </c>
      <c r="P4085" t="n">
        <v>0</v>
      </c>
      <c r="Q4085" t="n">
        <v>0</v>
      </c>
      <c r="R4085" s="2" t="inlineStr"/>
    </row>
    <row r="4086" ht="15" customHeight="1">
      <c r="A4086" t="inlineStr">
        <is>
          <t>A 1481-2025</t>
        </is>
      </c>
      <c r="B4086" s="1" t="n">
        <v>45670</v>
      </c>
      <c r="C4086" s="1" t="n">
        <v>46114</v>
      </c>
      <c r="D4086" t="inlineStr">
        <is>
          <t>DALARNAS LÄN</t>
        </is>
      </c>
      <c r="E4086" t="inlineStr">
        <is>
          <t>GAGNEF</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6795-2024</t>
        </is>
      </c>
      <c r="B4087" s="1" t="n">
        <v>45342.56087962963</v>
      </c>
      <c r="C4087" s="1" t="n">
        <v>46114</v>
      </c>
      <c r="D4087" t="inlineStr">
        <is>
          <t>DALARNAS LÄN</t>
        </is>
      </c>
      <c r="E4087" t="inlineStr">
        <is>
          <t>GAGNEF</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37996-2025</t>
        </is>
      </c>
      <c r="B4088" s="1" t="n">
        <v>45881.8299537037</v>
      </c>
      <c r="C4088" s="1" t="n">
        <v>46114</v>
      </c>
      <c r="D4088" t="inlineStr">
        <is>
          <t>DALARNAS LÄN</t>
        </is>
      </c>
      <c r="E4088" t="inlineStr">
        <is>
          <t>LEKSAND</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29057-2024</t>
        </is>
      </c>
      <c r="B4089" s="1" t="n">
        <v>45481.64619212963</v>
      </c>
      <c r="C4089" s="1" t="n">
        <v>46114</v>
      </c>
      <c r="D4089" t="inlineStr">
        <is>
          <t>DALARNAS LÄN</t>
        </is>
      </c>
      <c r="E4089" t="inlineStr">
        <is>
          <t>MALUNG-SÄLEN</t>
        </is>
      </c>
      <c r="F4089" t="inlineStr">
        <is>
          <t>Bergvik skog öst AB</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23875-2025</t>
        </is>
      </c>
      <c r="B4090" s="1" t="n">
        <v>45793.68313657407</v>
      </c>
      <c r="C4090" s="1" t="n">
        <v>46114</v>
      </c>
      <c r="D4090" t="inlineStr">
        <is>
          <t>DALARNAS LÄN</t>
        </is>
      </c>
      <c r="E4090" t="inlineStr">
        <is>
          <t>ORSA</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38129-2025</t>
        </is>
      </c>
      <c r="B4091" s="1" t="n">
        <v>45882.56026620371</v>
      </c>
      <c r="C4091" s="1" t="n">
        <v>46114</v>
      </c>
      <c r="D4091" t="inlineStr">
        <is>
          <t>DALARNAS LÄN</t>
        </is>
      </c>
      <c r="E4091" t="inlineStr">
        <is>
          <t>RÄTTVIK</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11298-2025</t>
        </is>
      </c>
      <c r="B4092" s="1" t="n">
        <v>45726.43910879629</v>
      </c>
      <c r="C4092" s="1" t="n">
        <v>46114</v>
      </c>
      <c r="D4092" t="inlineStr">
        <is>
          <t>DALARNAS LÄN</t>
        </is>
      </c>
      <c r="E4092" t="inlineStr">
        <is>
          <t>RÄTTVIK</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59772-2021</t>
        </is>
      </c>
      <c r="B4093" s="1" t="n">
        <v>44494</v>
      </c>
      <c r="C4093" s="1" t="n">
        <v>46114</v>
      </c>
      <c r="D4093" t="inlineStr">
        <is>
          <t>DALARNAS LÄN</t>
        </is>
      </c>
      <c r="E4093" t="inlineStr">
        <is>
          <t>BORLÄNGE</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42996-2025</t>
        </is>
      </c>
      <c r="B4094" s="1" t="n">
        <v>45909.45607638889</v>
      </c>
      <c r="C4094" s="1" t="n">
        <v>46114</v>
      </c>
      <c r="D4094" t="inlineStr">
        <is>
          <t>DALARNAS LÄN</t>
        </is>
      </c>
      <c r="E4094" t="inlineStr">
        <is>
          <t>LUDVIKA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7628-2025</t>
        </is>
      </c>
      <c r="B4095" s="1" t="n">
        <v>45705.73394675926</v>
      </c>
      <c r="C4095" s="1" t="n">
        <v>46114</v>
      </c>
      <c r="D4095" t="inlineStr">
        <is>
          <t>DALARNAS LÄN</t>
        </is>
      </c>
      <c r="E4095" t="inlineStr">
        <is>
          <t>ORSA</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7653-2025</t>
        </is>
      </c>
      <c r="B4096" s="1" t="n">
        <v>45705.95238425926</v>
      </c>
      <c r="C4096" s="1" t="n">
        <v>46114</v>
      </c>
      <c r="D4096" t="inlineStr">
        <is>
          <t>DALARNAS LÄN</t>
        </is>
      </c>
      <c r="E4096" t="inlineStr">
        <is>
          <t>LEKSAND</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6039-2023</t>
        </is>
      </c>
      <c r="B4097" s="1" t="n">
        <v>44959</v>
      </c>
      <c r="C4097" s="1" t="n">
        <v>46114</v>
      </c>
      <c r="D4097" t="inlineStr">
        <is>
          <t>DALARNAS LÄN</t>
        </is>
      </c>
      <c r="E4097" t="inlineStr">
        <is>
          <t>LEKSAND</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37879-2025</t>
        </is>
      </c>
      <c r="B4098" s="1" t="n">
        <v>45881.48791666667</v>
      </c>
      <c r="C4098" s="1" t="n">
        <v>46114</v>
      </c>
      <c r="D4098" t="inlineStr">
        <is>
          <t>DALARNAS LÄN</t>
        </is>
      </c>
      <c r="E4098" t="inlineStr">
        <is>
          <t>MORA</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38086-2025</t>
        </is>
      </c>
      <c r="B4099" s="1" t="n">
        <v>45882.47625</v>
      </c>
      <c r="C4099" s="1" t="n">
        <v>46114</v>
      </c>
      <c r="D4099" t="inlineStr">
        <is>
          <t>DALARNAS LÄN</t>
        </is>
      </c>
      <c r="E4099" t="inlineStr">
        <is>
          <t>MORA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19505-2022</t>
        </is>
      </c>
      <c r="B4100" s="1" t="n">
        <v>44693</v>
      </c>
      <c r="C4100" s="1" t="n">
        <v>46114</v>
      </c>
      <c r="D4100" t="inlineStr">
        <is>
          <t>DALARNAS LÄN</t>
        </is>
      </c>
      <c r="E4100" t="inlineStr">
        <is>
          <t>ORSA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24714-2025</t>
        </is>
      </c>
      <c r="B4101" s="1" t="n">
        <v>45798.96927083333</v>
      </c>
      <c r="C4101" s="1" t="n">
        <v>46114</v>
      </c>
      <c r="D4101" t="inlineStr">
        <is>
          <t>DALARNAS LÄN</t>
        </is>
      </c>
      <c r="E4101" t="inlineStr">
        <is>
          <t>LEKSAND</t>
        </is>
      </c>
      <c r="F4101" t="inlineStr">
        <is>
          <t>Bergvik skog väst AB</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6758-2024</t>
        </is>
      </c>
      <c r="B4102" s="1" t="n">
        <v>45342.46857638889</v>
      </c>
      <c r="C4102" s="1" t="n">
        <v>46114</v>
      </c>
      <c r="D4102" t="inlineStr">
        <is>
          <t>DALARNAS LÄN</t>
        </is>
      </c>
      <c r="E4102" t="inlineStr">
        <is>
          <t>LEKSAND</t>
        </is>
      </c>
      <c r="F4102" t="inlineStr">
        <is>
          <t>Bergvik skog väst AB</t>
        </is>
      </c>
      <c r="G4102" t="n">
        <v>6.2</v>
      </c>
      <c r="H4102" t="n">
        <v>0</v>
      </c>
      <c r="I4102" t="n">
        <v>0</v>
      </c>
      <c r="J4102" t="n">
        <v>0</v>
      </c>
      <c r="K4102" t="n">
        <v>0</v>
      </c>
      <c r="L4102" t="n">
        <v>0</v>
      </c>
      <c r="M4102" t="n">
        <v>0</v>
      </c>
      <c r="N4102" t="n">
        <v>0</v>
      </c>
      <c r="O4102" t="n">
        <v>0</v>
      </c>
      <c r="P4102" t="n">
        <v>0</v>
      </c>
      <c r="Q4102" t="n">
        <v>0</v>
      </c>
      <c r="R4102" s="2" t="inlineStr"/>
    </row>
    <row r="4103" ht="15" customHeight="1">
      <c r="A4103" t="inlineStr">
        <is>
          <t>A 38293-2025</t>
        </is>
      </c>
      <c r="B4103" s="1" t="n">
        <v>45883.44527777778</v>
      </c>
      <c r="C4103" s="1" t="n">
        <v>46114</v>
      </c>
      <c r="D4103" t="inlineStr">
        <is>
          <t>DALARNAS LÄN</t>
        </is>
      </c>
      <c r="E4103" t="inlineStr">
        <is>
          <t>MALUNG-SÄLEN</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48642-2022</t>
        </is>
      </c>
      <c r="B4104" s="1" t="n">
        <v>44859.42164351852</v>
      </c>
      <c r="C4104" s="1" t="n">
        <v>46114</v>
      </c>
      <c r="D4104" t="inlineStr">
        <is>
          <t>DALARNAS LÄN</t>
        </is>
      </c>
      <c r="E4104" t="inlineStr">
        <is>
          <t>LUDVIKA</t>
        </is>
      </c>
      <c r="F4104" t="inlineStr">
        <is>
          <t>Naturvårdsverket</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42663-2025</t>
        </is>
      </c>
      <c r="B4105" s="1" t="n">
        <v>45907.84583333333</v>
      </c>
      <c r="C4105" s="1" t="n">
        <v>46114</v>
      </c>
      <c r="D4105" t="inlineStr">
        <is>
          <t>DALARNAS LÄN</t>
        </is>
      </c>
      <c r="E4105" t="inlineStr">
        <is>
          <t>SMEDJEBACKEN</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37850-2025</t>
        </is>
      </c>
      <c r="B4106" s="1" t="n">
        <v>45881.4490625</v>
      </c>
      <c r="C4106" s="1" t="n">
        <v>46114</v>
      </c>
      <c r="D4106" t="inlineStr">
        <is>
          <t>DALARNAS LÄN</t>
        </is>
      </c>
      <c r="E4106" t="inlineStr">
        <is>
          <t>RÄTTVIK</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28090-2022</t>
        </is>
      </c>
      <c r="B4107" s="1" t="n">
        <v>44746.45998842592</v>
      </c>
      <c r="C4107" s="1" t="n">
        <v>46114</v>
      </c>
      <c r="D4107" t="inlineStr">
        <is>
          <t>DALARNAS LÄN</t>
        </is>
      </c>
      <c r="E4107" t="inlineStr">
        <is>
          <t>AVESTA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43592-2023</t>
        </is>
      </c>
      <c r="B4108" s="1" t="n">
        <v>45181</v>
      </c>
      <c r="C4108" s="1" t="n">
        <v>46114</v>
      </c>
      <c r="D4108" t="inlineStr">
        <is>
          <t>DALARNAS LÄN</t>
        </is>
      </c>
      <c r="E4108" t="inlineStr">
        <is>
          <t>RÄTTVIK</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41158-2024</t>
        </is>
      </c>
      <c r="B4109" s="1" t="n">
        <v>45559.47958333333</v>
      </c>
      <c r="C4109" s="1" t="n">
        <v>46114</v>
      </c>
      <c r="D4109" t="inlineStr">
        <is>
          <t>DALARNAS LÄN</t>
        </is>
      </c>
      <c r="E4109" t="inlineStr">
        <is>
          <t>ÄLVDALEN</t>
        </is>
      </c>
      <c r="G4109" t="n">
        <v>5.6</v>
      </c>
      <c r="H4109" t="n">
        <v>0</v>
      </c>
      <c r="I4109" t="n">
        <v>0</v>
      </c>
      <c r="J4109" t="n">
        <v>0</v>
      </c>
      <c r="K4109" t="n">
        <v>0</v>
      </c>
      <c r="L4109" t="n">
        <v>0</v>
      </c>
      <c r="M4109" t="n">
        <v>0</v>
      </c>
      <c r="N4109" t="n">
        <v>0</v>
      </c>
      <c r="O4109" t="n">
        <v>0</v>
      </c>
      <c r="P4109" t="n">
        <v>0</v>
      </c>
      <c r="Q4109" t="n">
        <v>0</v>
      </c>
      <c r="R4109" s="2" t="inlineStr"/>
    </row>
    <row r="4110" ht="15" customHeight="1">
      <c r="A4110" t="inlineStr">
        <is>
          <t>A 42954-2025</t>
        </is>
      </c>
      <c r="B4110" s="1" t="n">
        <v>45909.3578125</v>
      </c>
      <c r="C4110" s="1" t="n">
        <v>46114</v>
      </c>
      <c r="D4110" t="inlineStr">
        <is>
          <t>DALARNAS LÄN</t>
        </is>
      </c>
      <c r="E4110" t="inlineStr">
        <is>
          <t>MORA</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61685-2024</t>
        </is>
      </c>
      <c r="B4111" s="1" t="n">
        <v>45647.56972222222</v>
      </c>
      <c r="C4111" s="1" t="n">
        <v>46114</v>
      </c>
      <c r="D4111" t="inlineStr">
        <is>
          <t>DALARNAS LÄN</t>
        </is>
      </c>
      <c r="E4111" t="inlineStr">
        <is>
          <t>ORSA</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12242-2025</t>
        </is>
      </c>
      <c r="B4112" s="1" t="n">
        <v>45729.58903935185</v>
      </c>
      <c r="C4112" s="1" t="n">
        <v>46114</v>
      </c>
      <c r="D4112" t="inlineStr">
        <is>
          <t>DALARNAS LÄN</t>
        </is>
      </c>
      <c r="E4112" t="inlineStr">
        <is>
          <t>AVESTA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38186-2025</t>
        </is>
      </c>
      <c r="B4113" s="1" t="n">
        <v>45882.65212962963</v>
      </c>
      <c r="C4113" s="1" t="n">
        <v>46114</v>
      </c>
      <c r="D4113" t="inlineStr">
        <is>
          <t>DALARNAS LÄN</t>
        </is>
      </c>
      <c r="E4113" t="inlineStr">
        <is>
          <t>VANSBRO</t>
        </is>
      </c>
      <c r="F4113" t="inlineStr">
        <is>
          <t>Bergvik skog väst AB</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4257-2022</t>
        </is>
      </c>
      <c r="B4114" s="1" t="n">
        <v>44588</v>
      </c>
      <c r="C4114" s="1" t="n">
        <v>46114</v>
      </c>
      <c r="D4114" t="inlineStr">
        <is>
          <t>DALARNAS LÄN</t>
        </is>
      </c>
      <c r="E4114" t="inlineStr">
        <is>
          <t>LEKSAND</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12345-2022</t>
        </is>
      </c>
      <c r="B4115" s="1" t="n">
        <v>44637</v>
      </c>
      <c r="C4115" s="1" t="n">
        <v>46114</v>
      </c>
      <c r="D4115" t="inlineStr">
        <is>
          <t>DALARNAS LÄN</t>
        </is>
      </c>
      <c r="E4115" t="inlineStr">
        <is>
          <t>MALUNG-SÄLEN</t>
        </is>
      </c>
      <c r="F4115" t="inlineStr">
        <is>
          <t>Allmännings- och besparingsskogar</t>
        </is>
      </c>
      <c r="G4115" t="n">
        <v>17.5</v>
      </c>
      <c r="H4115" t="n">
        <v>0</v>
      </c>
      <c r="I4115" t="n">
        <v>0</v>
      </c>
      <c r="J4115" t="n">
        <v>0</v>
      </c>
      <c r="K4115" t="n">
        <v>0</v>
      </c>
      <c r="L4115" t="n">
        <v>0</v>
      </c>
      <c r="M4115" t="n">
        <v>0</v>
      </c>
      <c r="N4115" t="n">
        <v>0</v>
      </c>
      <c r="O4115" t="n">
        <v>0</v>
      </c>
      <c r="P4115" t="n">
        <v>0</v>
      </c>
      <c r="Q4115" t="n">
        <v>0</v>
      </c>
      <c r="R4115" s="2" t="inlineStr"/>
    </row>
    <row r="4116" ht="15" customHeight="1">
      <c r="A4116" t="inlineStr">
        <is>
          <t>A 18273-2025</t>
        </is>
      </c>
      <c r="B4116" s="1" t="n">
        <v>45762.3755787037</v>
      </c>
      <c r="C4116" s="1" t="n">
        <v>46114</v>
      </c>
      <c r="D4116" t="inlineStr">
        <is>
          <t>DALARNAS LÄN</t>
        </is>
      </c>
      <c r="E4116" t="inlineStr">
        <is>
          <t>MALUNG-SÄLEN</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53527-2024</t>
        </is>
      </c>
      <c r="B4117" s="1" t="n">
        <v>45614.61569444444</v>
      </c>
      <c r="C4117" s="1" t="n">
        <v>46114</v>
      </c>
      <c r="D4117" t="inlineStr">
        <is>
          <t>DALARNAS LÄN</t>
        </is>
      </c>
      <c r="E4117" t="inlineStr">
        <is>
          <t>MORA</t>
        </is>
      </c>
      <c r="G4117" t="n">
        <v>3.3</v>
      </c>
      <c r="H4117" t="n">
        <v>0</v>
      </c>
      <c r="I4117" t="n">
        <v>0</v>
      </c>
      <c r="J4117" t="n">
        <v>0</v>
      </c>
      <c r="K4117" t="n">
        <v>0</v>
      </c>
      <c r="L4117" t="n">
        <v>0</v>
      </c>
      <c r="M4117" t="n">
        <v>0</v>
      </c>
      <c r="N4117" t="n">
        <v>0</v>
      </c>
      <c r="O4117" t="n">
        <v>0</v>
      </c>
      <c r="P4117" t="n">
        <v>0</v>
      </c>
      <c r="Q4117" t="n">
        <v>0</v>
      </c>
      <c r="R4117" s="2" t="inlineStr"/>
    </row>
    <row r="4118" ht="15" customHeight="1">
      <c r="A4118" t="inlineStr">
        <is>
          <t>A 14489-2025</t>
        </is>
      </c>
      <c r="B4118" s="1" t="n">
        <v>45741.60680555556</v>
      </c>
      <c r="C4118" s="1" t="n">
        <v>46114</v>
      </c>
      <c r="D4118" t="inlineStr">
        <is>
          <t>DALARNAS LÄN</t>
        </is>
      </c>
      <c r="E4118" t="inlineStr">
        <is>
          <t>ÄLVDALEN</t>
        </is>
      </c>
      <c r="G4118" t="n">
        <v>7.9</v>
      </c>
      <c r="H4118" t="n">
        <v>0</v>
      </c>
      <c r="I4118" t="n">
        <v>0</v>
      </c>
      <c r="J4118" t="n">
        <v>0</v>
      </c>
      <c r="K4118" t="n">
        <v>0</v>
      </c>
      <c r="L4118" t="n">
        <v>0</v>
      </c>
      <c r="M4118" t="n">
        <v>0</v>
      </c>
      <c r="N4118" t="n">
        <v>0</v>
      </c>
      <c r="O4118" t="n">
        <v>0</v>
      </c>
      <c r="P4118" t="n">
        <v>0</v>
      </c>
      <c r="Q4118" t="n">
        <v>0</v>
      </c>
      <c r="R4118" s="2" t="inlineStr"/>
    </row>
    <row r="4119" ht="15" customHeight="1">
      <c r="A4119" t="inlineStr">
        <is>
          <t>A 19296-2024</t>
        </is>
      </c>
      <c r="B4119" s="1" t="n">
        <v>45428.69438657408</v>
      </c>
      <c r="C4119" s="1" t="n">
        <v>46114</v>
      </c>
      <c r="D4119" t="inlineStr">
        <is>
          <t>DALARNAS LÄN</t>
        </is>
      </c>
      <c r="E4119" t="inlineStr">
        <is>
          <t>LEKSAND</t>
        </is>
      </c>
      <c r="G4119" t="n">
        <v>2.4</v>
      </c>
      <c r="H4119" t="n">
        <v>0</v>
      </c>
      <c r="I4119" t="n">
        <v>0</v>
      </c>
      <c r="J4119" t="n">
        <v>0</v>
      </c>
      <c r="K4119" t="n">
        <v>0</v>
      </c>
      <c r="L4119" t="n">
        <v>0</v>
      </c>
      <c r="M4119" t="n">
        <v>0</v>
      </c>
      <c r="N4119" t="n">
        <v>0</v>
      </c>
      <c r="O4119" t="n">
        <v>0</v>
      </c>
      <c r="P4119" t="n">
        <v>0</v>
      </c>
      <c r="Q4119" t="n">
        <v>0</v>
      </c>
      <c r="R4119" s="2" t="inlineStr"/>
    </row>
    <row r="4120" ht="15" customHeight="1">
      <c r="A4120" t="inlineStr">
        <is>
          <t>A 12246-2025</t>
        </is>
      </c>
      <c r="B4120" s="1" t="n">
        <v>45729</v>
      </c>
      <c r="C4120" s="1" t="n">
        <v>46114</v>
      </c>
      <c r="D4120" t="inlineStr">
        <is>
          <t>DALARNAS LÄN</t>
        </is>
      </c>
      <c r="E4120" t="inlineStr">
        <is>
          <t>AVESTA</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38307-2025</t>
        </is>
      </c>
      <c r="B4121" s="1" t="n">
        <v>45883</v>
      </c>
      <c r="C4121" s="1" t="n">
        <v>46114</v>
      </c>
      <c r="D4121" t="inlineStr">
        <is>
          <t>DALARNAS LÄN</t>
        </is>
      </c>
      <c r="E4121" t="inlineStr">
        <is>
          <t>RÄTTVIK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42810-2025</t>
        </is>
      </c>
      <c r="B4122" s="1" t="n">
        <v>45908.55577546296</v>
      </c>
      <c r="C4122" s="1" t="n">
        <v>46114</v>
      </c>
      <c r="D4122" t="inlineStr">
        <is>
          <t>DALARNAS LÄN</t>
        </is>
      </c>
      <c r="E4122" t="inlineStr">
        <is>
          <t>VANSBRO</t>
        </is>
      </c>
      <c r="F4122" t="inlineStr">
        <is>
          <t>Bergvik skog öst AB</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43075-2025</t>
        </is>
      </c>
      <c r="B4123" s="1" t="n">
        <v>45909.60118055555</v>
      </c>
      <c r="C4123" s="1" t="n">
        <v>46114</v>
      </c>
      <c r="D4123" t="inlineStr">
        <is>
          <t>DALARNAS LÄN</t>
        </is>
      </c>
      <c r="E4123" t="inlineStr">
        <is>
          <t>SÄTER</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32361-2024</t>
        </is>
      </c>
      <c r="B4124" s="1" t="n">
        <v>45512.56725694444</v>
      </c>
      <c r="C4124" s="1" t="n">
        <v>46114</v>
      </c>
      <c r="D4124" t="inlineStr">
        <is>
          <t>DALARNAS LÄN</t>
        </is>
      </c>
      <c r="E4124" t="inlineStr">
        <is>
          <t>ÄLVDALEN</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42830-2025</t>
        </is>
      </c>
      <c r="B4125" s="1" t="n">
        <v>45908.57753472222</v>
      </c>
      <c r="C4125" s="1" t="n">
        <v>46114</v>
      </c>
      <c r="D4125" t="inlineStr">
        <is>
          <t>DALARNAS LÄN</t>
        </is>
      </c>
      <c r="E4125" t="inlineStr">
        <is>
          <t>MORA</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32363-2024</t>
        </is>
      </c>
      <c r="B4126" s="1" t="n">
        <v>45512</v>
      </c>
      <c r="C4126" s="1" t="n">
        <v>46114</v>
      </c>
      <c r="D4126" t="inlineStr">
        <is>
          <t>DALARNAS LÄN</t>
        </is>
      </c>
      <c r="E4126" t="inlineStr">
        <is>
          <t>ÄLVDALEN</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38171-2025</t>
        </is>
      </c>
      <c r="B4127" s="1" t="n">
        <v>45882.63377314815</v>
      </c>
      <c r="C4127" s="1" t="n">
        <v>46114</v>
      </c>
      <c r="D4127" t="inlineStr">
        <is>
          <t>DALARNAS LÄN</t>
        </is>
      </c>
      <c r="E4127" t="inlineStr">
        <is>
          <t>VANSBRO</t>
        </is>
      </c>
      <c r="F4127" t="inlineStr">
        <is>
          <t>Bergvik skog väst AB</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43511-2025</t>
        </is>
      </c>
      <c r="B4128" s="1" t="n">
        <v>45911.56076388889</v>
      </c>
      <c r="C4128" s="1" t="n">
        <v>46114</v>
      </c>
      <c r="D4128" t="inlineStr">
        <is>
          <t>DALARNAS LÄN</t>
        </is>
      </c>
      <c r="E4128" t="inlineStr">
        <is>
          <t>RÄTTVIK</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50184-2022</t>
        </is>
      </c>
      <c r="B4129" s="1" t="n">
        <v>44865.60775462963</v>
      </c>
      <c r="C4129" s="1" t="n">
        <v>46114</v>
      </c>
      <c r="D4129" t="inlineStr">
        <is>
          <t>DALARNAS LÄN</t>
        </is>
      </c>
      <c r="E4129" t="inlineStr">
        <is>
          <t>FALUN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43295-2025</t>
        </is>
      </c>
      <c r="B4130" s="1" t="n">
        <v>45910.62370370371</v>
      </c>
      <c r="C4130" s="1" t="n">
        <v>46114</v>
      </c>
      <c r="D4130" t="inlineStr">
        <is>
          <t>DALARNAS LÄN</t>
        </is>
      </c>
      <c r="E4130" t="inlineStr">
        <is>
          <t>FALUN</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43298-2025</t>
        </is>
      </c>
      <c r="B4131" s="1" t="n">
        <v>45910.62987268518</v>
      </c>
      <c r="C4131" s="1" t="n">
        <v>46114</v>
      </c>
      <c r="D4131" t="inlineStr">
        <is>
          <t>DALARNAS LÄN</t>
        </is>
      </c>
      <c r="E4131" t="inlineStr">
        <is>
          <t>FALUN</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38446-2025</t>
        </is>
      </c>
      <c r="B4132" s="1" t="n">
        <v>45883.65762731482</v>
      </c>
      <c r="C4132" s="1" t="n">
        <v>46114</v>
      </c>
      <c r="D4132" t="inlineStr">
        <is>
          <t>DALARNAS LÄN</t>
        </is>
      </c>
      <c r="E4132" t="inlineStr">
        <is>
          <t>LUDVIKA</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34875-2025</t>
        </is>
      </c>
      <c r="B4133" s="1" t="n">
        <v>45849</v>
      </c>
      <c r="C4133" s="1" t="n">
        <v>46114</v>
      </c>
      <c r="D4133" t="inlineStr">
        <is>
          <t>DALARNAS LÄN</t>
        </is>
      </c>
      <c r="E4133" t="inlineStr">
        <is>
          <t>LUDVIKA</t>
        </is>
      </c>
      <c r="F4133" t="inlineStr">
        <is>
          <t>Bergvik skog väst AB</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43300-2025</t>
        </is>
      </c>
      <c r="B4134" s="1" t="n">
        <v>45910.63303240741</v>
      </c>
      <c r="C4134" s="1" t="n">
        <v>46114</v>
      </c>
      <c r="D4134" t="inlineStr">
        <is>
          <t>DALARNAS LÄN</t>
        </is>
      </c>
      <c r="E4134" t="inlineStr">
        <is>
          <t>FALUN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43193-2025</t>
        </is>
      </c>
      <c r="B4135" s="1" t="n">
        <v>45910.42417824074</v>
      </c>
      <c r="C4135" s="1" t="n">
        <v>46114</v>
      </c>
      <c r="D4135" t="inlineStr">
        <is>
          <t>DALARNAS LÄN</t>
        </is>
      </c>
      <c r="E4135" t="inlineStr">
        <is>
          <t>HEDEMORA</t>
        </is>
      </c>
      <c r="G4135" t="n">
        <v>3.9</v>
      </c>
      <c r="H4135" t="n">
        <v>0</v>
      </c>
      <c r="I4135" t="n">
        <v>0</v>
      </c>
      <c r="J4135" t="n">
        <v>0</v>
      </c>
      <c r="K4135" t="n">
        <v>0</v>
      </c>
      <c r="L4135" t="n">
        <v>0</v>
      </c>
      <c r="M4135" t="n">
        <v>0</v>
      </c>
      <c r="N4135" t="n">
        <v>0</v>
      </c>
      <c r="O4135" t="n">
        <v>0</v>
      </c>
      <c r="P4135" t="n">
        <v>0</v>
      </c>
      <c r="Q4135" t="n">
        <v>0</v>
      </c>
      <c r="R4135" s="2" t="inlineStr"/>
    </row>
    <row r="4136" ht="15" customHeight="1">
      <c r="A4136" t="inlineStr">
        <is>
          <t>A 43203-2025</t>
        </is>
      </c>
      <c r="B4136" s="1" t="n">
        <v>45910.44527777778</v>
      </c>
      <c r="C4136" s="1" t="n">
        <v>46114</v>
      </c>
      <c r="D4136" t="inlineStr">
        <is>
          <t>DALARNAS LÄN</t>
        </is>
      </c>
      <c r="E4136" t="inlineStr">
        <is>
          <t>SMEDJEBACKEN</t>
        </is>
      </c>
      <c r="F4136" t="inlineStr">
        <is>
          <t>Sveaskog</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34169-2023</t>
        </is>
      </c>
      <c r="B4137" s="1" t="n">
        <v>45138.3071412037</v>
      </c>
      <c r="C4137" s="1" t="n">
        <v>46114</v>
      </c>
      <c r="D4137" t="inlineStr">
        <is>
          <t>DALARNAS LÄN</t>
        </is>
      </c>
      <c r="E4137" t="inlineStr">
        <is>
          <t>ORSA</t>
        </is>
      </c>
      <c r="F4137" t="inlineStr">
        <is>
          <t>Allmännings- och besparingsskogar</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34196-2023</t>
        </is>
      </c>
      <c r="B4138" s="1" t="n">
        <v>45138.42768518518</v>
      </c>
      <c r="C4138" s="1" t="n">
        <v>46114</v>
      </c>
      <c r="D4138" t="inlineStr">
        <is>
          <t>DALARNAS LÄN</t>
        </is>
      </c>
      <c r="E4138" t="inlineStr">
        <is>
          <t>SÄTER</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43602-2025</t>
        </is>
      </c>
      <c r="B4139" s="1" t="n">
        <v>45911.66576388889</v>
      </c>
      <c r="C4139" s="1" t="n">
        <v>46114</v>
      </c>
      <c r="D4139" t="inlineStr">
        <is>
          <t>DALARNAS LÄN</t>
        </is>
      </c>
      <c r="E4139" t="inlineStr">
        <is>
          <t>ÄLVDALEN</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43256-2025</t>
        </is>
      </c>
      <c r="B4140" s="1" t="n">
        <v>45910.55662037037</v>
      </c>
      <c r="C4140" s="1" t="n">
        <v>46114</v>
      </c>
      <c r="D4140" t="inlineStr">
        <is>
          <t>DALARNAS LÄN</t>
        </is>
      </c>
      <c r="E4140" t="inlineStr">
        <is>
          <t>MALUNG-SÄLEN</t>
        </is>
      </c>
      <c r="F4140" t="inlineStr">
        <is>
          <t>Allmännings- och besparingsskogar</t>
        </is>
      </c>
      <c r="G4140" t="n">
        <v>17.6</v>
      </c>
      <c r="H4140" t="n">
        <v>0</v>
      </c>
      <c r="I4140" t="n">
        <v>0</v>
      </c>
      <c r="J4140" t="n">
        <v>0</v>
      </c>
      <c r="K4140" t="n">
        <v>0</v>
      </c>
      <c r="L4140" t="n">
        <v>0</v>
      </c>
      <c r="M4140" t="n">
        <v>0</v>
      </c>
      <c r="N4140" t="n">
        <v>0</v>
      </c>
      <c r="O4140" t="n">
        <v>0</v>
      </c>
      <c r="P4140" t="n">
        <v>0</v>
      </c>
      <c r="Q4140" t="n">
        <v>0</v>
      </c>
      <c r="R4140" s="2" t="inlineStr"/>
    </row>
    <row r="4141" ht="15" customHeight="1">
      <c r="A4141" t="inlineStr">
        <is>
          <t>A 26715-2023</t>
        </is>
      </c>
      <c r="B4141" s="1" t="n">
        <v>45093.38451388889</v>
      </c>
      <c r="C4141" s="1" t="n">
        <v>46114</v>
      </c>
      <c r="D4141" t="inlineStr">
        <is>
          <t>DALARNAS LÄN</t>
        </is>
      </c>
      <c r="E4141" t="inlineStr">
        <is>
          <t>AVESTA</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21747-2024</t>
        </is>
      </c>
      <c r="B4142" s="1" t="n">
        <v>45442.5603125</v>
      </c>
      <c r="C4142" s="1" t="n">
        <v>46114</v>
      </c>
      <c r="D4142" t="inlineStr">
        <is>
          <t>DALARNAS LÄN</t>
        </is>
      </c>
      <c r="E4142" t="inlineStr">
        <is>
          <t>FALUN</t>
        </is>
      </c>
      <c r="F4142" t="inlineStr">
        <is>
          <t>Bergvik skog väst AB</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38375-2025</t>
        </is>
      </c>
      <c r="B4143" s="1" t="n">
        <v>45883.57024305555</v>
      </c>
      <c r="C4143" s="1" t="n">
        <v>46114</v>
      </c>
      <c r="D4143" t="inlineStr">
        <is>
          <t>DALARNAS LÄN</t>
        </is>
      </c>
      <c r="E4143" t="inlineStr">
        <is>
          <t>BORLÄNGE</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38376-2025</t>
        </is>
      </c>
      <c r="B4144" s="1" t="n">
        <v>45883.57032407408</v>
      </c>
      <c r="C4144" s="1" t="n">
        <v>46114</v>
      </c>
      <c r="D4144" t="inlineStr">
        <is>
          <t>DALARNAS LÄN</t>
        </is>
      </c>
      <c r="E4144" t="inlineStr">
        <is>
          <t>MALUNG-SÄLEN</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38422-2025</t>
        </is>
      </c>
      <c r="B4145" s="1" t="n">
        <v>45883.63190972222</v>
      </c>
      <c r="C4145" s="1" t="n">
        <v>46114</v>
      </c>
      <c r="D4145" t="inlineStr">
        <is>
          <t>DALARNAS LÄN</t>
        </is>
      </c>
      <c r="E4145" t="inlineStr">
        <is>
          <t>VANSBRO</t>
        </is>
      </c>
      <c r="F4145" t="inlineStr">
        <is>
          <t>Bergvik skog väst AB</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42824-2023</t>
        </is>
      </c>
      <c r="B4146" s="1" t="n">
        <v>45182.36759259259</v>
      </c>
      <c r="C4146" s="1" t="n">
        <v>46114</v>
      </c>
      <c r="D4146" t="inlineStr">
        <is>
          <t>DALARNAS LÄN</t>
        </is>
      </c>
      <c r="E4146" t="inlineStr">
        <is>
          <t>VANSBRO</t>
        </is>
      </c>
      <c r="G4146" t="n">
        <v>5.5</v>
      </c>
      <c r="H4146" t="n">
        <v>0</v>
      </c>
      <c r="I4146" t="n">
        <v>0</v>
      </c>
      <c r="J4146" t="n">
        <v>0</v>
      </c>
      <c r="K4146" t="n">
        <v>0</v>
      </c>
      <c r="L4146" t="n">
        <v>0</v>
      </c>
      <c r="M4146" t="n">
        <v>0</v>
      </c>
      <c r="N4146" t="n">
        <v>0</v>
      </c>
      <c r="O4146" t="n">
        <v>0</v>
      </c>
      <c r="P4146" t="n">
        <v>0</v>
      </c>
      <c r="Q4146" t="n">
        <v>0</v>
      </c>
      <c r="R4146" s="2" t="inlineStr"/>
    </row>
    <row r="4147" ht="15" customHeight="1">
      <c r="A4147" t="inlineStr">
        <is>
          <t>A 43246-2025</t>
        </is>
      </c>
      <c r="B4147" s="1" t="n">
        <v>45910.54856481482</v>
      </c>
      <c r="C4147" s="1" t="n">
        <v>46114</v>
      </c>
      <c r="D4147" t="inlineStr">
        <is>
          <t>DALARNAS LÄN</t>
        </is>
      </c>
      <c r="E4147" t="inlineStr">
        <is>
          <t>MALUNG-SÄLEN</t>
        </is>
      </c>
      <c r="F4147" t="inlineStr">
        <is>
          <t>Allmännings- och besparingsskogar</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43253-2025</t>
        </is>
      </c>
      <c r="B4148" s="1" t="n">
        <v>45910</v>
      </c>
      <c r="C4148" s="1" t="n">
        <v>46114</v>
      </c>
      <c r="D4148" t="inlineStr">
        <is>
          <t>DALARNAS LÄN</t>
        </is>
      </c>
      <c r="E4148" t="inlineStr">
        <is>
          <t>LUDVIKA</t>
        </is>
      </c>
      <c r="F4148" t="inlineStr">
        <is>
          <t>Bergvik skog väst AB</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37997-2025</t>
        </is>
      </c>
      <c r="B4149" s="1" t="n">
        <v>45881.84025462963</v>
      </c>
      <c r="C4149" s="1" t="n">
        <v>46114</v>
      </c>
      <c r="D4149" t="inlineStr">
        <is>
          <t>DALARNAS LÄN</t>
        </is>
      </c>
      <c r="E4149" t="inlineStr">
        <is>
          <t>FALUN</t>
        </is>
      </c>
      <c r="G4149" t="n">
        <v>1.7</v>
      </c>
      <c r="H4149" t="n">
        <v>0</v>
      </c>
      <c r="I4149" t="n">
        <v>0</v>
      </c>
      <c r="J4149" t="n">
        <v>0</v>
      </c>
      <c r="K4149" t="n">
        <v>0</v>
      </c>
      <c r="L4149" t="n">
        <v>0</v>
      </c>
      <c r="M4149" t="n">
        <v>0</v>
      </c>
      <c r="N4149" t="n">
        <v>0</v>
      </c>
      <c r="O4149" t="n">
        <v>0</v>
      </c>
      <c r="P4149" t="n">
        <v>0</v>
      </c>
      <c r="Q4149" t="n">
        <v>0</v>
      </c>
      <c r="R4149" s="2" t="inlineStr"/>
    </row>
    <row r="4150" ht="15" customHeight="1">
      <c r="A4150" t="inlineStr">
        <is>
          <t>A 37999-2025</t>
        </is>
      </c>
      <c r="B4150" s="1" t="n">
        <v>45881.86136574074</v>
      </c>
      <c r="C4150" s="1" t="n">
        <v>46114</v>
      </c>
      <c r="D4150" t="inlineStr">
        <is>
          <t>DALARNAS LÄN</t>
        </is>
      </c>
      <c r="E4150" t="inlineStr">
        <is>
          <t>FALUN</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38073-2025</t>
        </is>
      </c>
      <c r="B4151" s="1" t="n">
        <v>45882</v>
      </c>
      <c r="C4151" s="1" t="n">
        <v>46114</v>
      </c>
      <c r="D4151" t="inlineStr">
        <is>
          <t>DALARNAS LÄN</t>
        </is>
      </c>
      <c r="E4151" t="inlineStr">
        <is>
          <t>MORA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43473-2025</t>
        </is>
      </c>
      <c r="B4152" s="1" t="n">
        <v>45911.48769675926</v>
      </c>
      <c r="C4152" s="1" t="n">
        <v>46114</v>
      </c>
      <c r="D4152" t="inlineStr">
        <is>
          <t>DALARNAS LÄN</t>
        </is>
      </c>
      <c r="E4152" t="inlineStr">
        <is>
          <t>LUDVIKA</t>
        </is>
      </c>
      <c r="F4152" t="inlineStr">
        <is>
          <t>Bergvik skog väst AB</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38118-2025</t>
        </is>
      </c>
      <c r="B4153" s="1" t="n">
        <v>45882.54722222222</v>
      </c>
      <c r="C4153" s="1" t="n">
        <v>46114</v>
      </c>
      <c r="D4153" t="inlineStr">
        <is>
          <t>DALARNAS LÄN</t>
        </is>
      </c>
      <c r="E4153" t="inlineStr">
        <is>
          <t>RÄTTVIK</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60619-2022</t>
        </is>
      </c>
      <c r="B4154" s="1" t="n">
        <v>44911</v>
      </c>
      <c r="C4154" s="1" t="n">
        <v>46114</v>
      </c>
      <c r="D4154" t="inlineStr">
        <is>
          <t>DALARNAS LÄN</t>
        </is>
      </c>
      <c r="E4154" t="inlineStr">
        <is>
          <t>RÄTTVIK</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43508-2025</t>
        </is>
      </c>
      <c r="B4155" s="1" t="n">
        <v>45911.55575231482</v>
      </c>
      <c r="C4155" s="1" t="n">
        <v>46114</v>
      </c>
      <c r="D4155" t="inlineStr">
        <is>
          <t>DALARNAS LÄN</t>
        </is>
      </c>
      <c r="E4155" t="inlineStr">
        <is>
          <t>FALUN</t>
        </is>
      </c>
      <c r="F4155" t="inlineStr">
        <is>
          <t>Bergvik skog väst AB</t>
        </is>
      </c>
      <c r="G4155" t="n">
        <v>8.300000000000001</v>
      </c>
      <c r="H4155" t="n">
        <v>0</v>
      </c>
      <c r="I4155" t="n">
        <v>0</v>
      </c>
      <c r="J4155" t="n">
        <v>0</v>
      </c>
      <c r="K4155" t="n">
        <v>0</v>
      </c>
      <c r="L4155" t="n">
        <v>0</v>
      </c>
      <c r="M4155" t="n">
        <v>0</v>
      </c>
      <c r="N4155" t="n">
        <v>0</v>
      </c>
      <c r="O4155" t="n">
        <v>0</v>
      </c>
      <c r="P4155" t="n">
        <v>0</v>
      </c>
      <c r="Q4155" t="n">
        <v>0</v>
      </c>
      <c r="R4155" s="2" t="inlineStr"/>
    </row>
    <row r="4156" ht="15" customHeight="1">
      <c r="A4156" t="inlineStr">
        <is>
          <t>A 43450-2025</t>
        </is>
      </c>
      <c r="B4156" s="1" t="n">
        <v>45911.45704861111</v>
      </c>
      <c r="C4156" s="1" t="n">
        <v>46114</v>
      </c>
      <c r="D4156" t="inlineStr">
        <is>
          <t>DALARNAS LÄN</t>
        </is>
      </c>
      <c r="E4156" t="inlineStr">
        <is>
          <t>RÄTTVIK</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7534-2025</t>
        </is>
      </c>
      <c r="B4157" s="1" t="n">
        <v>45705.56287037037</v>
      </c>
      <c r="C4157" s="1" t="n">
        <v>46114</v>
      </c>
      <c r="D4157" t="inlineStr">
        <is>
          <t>DALARNAS LÄN</t>
        </is>
      </c>
      <c r="E4157" t="inlineStr">
        <is>
          <t>ORSA</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38264-2025</t>
        </is>
      </c>
      <c r="B4158" s="1" t="n">
        <v>45883.40178240741</v>
      </c>
      <c r="C4158" s="1" t="n">
        <v>46114</v>
      </c>
      <c r="D4158" t="inlineStr">
        <is>
          <t>DALARNAS LÄN</t>
        </is>
      </c>
      <c r="E4158" t="inlineStr">
        <is>
          <t>SÄTER</t>
        </is>
      </c>
      <c r="G4158" t="n">
        <v>10.8</v>
      </c>
      <c r="H4158" t="n">
        <v>0</v>
      </c>
      <c r="I4158" t="n">
        <v>0</v>
      </c>
      <c r="J4158" t="n">
        <v>0</v>
      </c>
      <c r="K4158" t="n">
        <v>0</v>
      </c>
      <c r="L4158" t="n">
        <v>0</v>
      </c>
      <c r="M4158" t="n">
        <v>0</v>
      </c>
      <c r="N4158" t="n">
        <v>0</v>
      </c>
      <c r="O4158" t="n">
        <v>0</v>
      </c>
      <c r="P4158" t="n">
        <v>0</v>
      </c>
      <c r="Q4158" t="n">
        <v>0</v>
      </c>
      <c r="R4158" s="2" t="inlineStr"/>
    </row>
    <row r="4159" ht="15" customHeight="1">
      <c r="A4159" t="inlineStr">
        <is>
          <t>A 43157-2025</t>
        </is>
      </c>
      <c r="B4159" s="1" t="n">
        <v>45910.34953703704</v>
      </c>
      <c r="C4159" s="1" t="n">
        <v>46114</v>
      </c>
      <c r="D4159" t="inlineStr">
        <is>
          <t>DALARNAS LÄN</t>
        </is>
      </c>
      <c r="E4159" t="inlineStr">
        <is>
          <t>MORA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43258-2025</t>
        </is>
      </c>
      <c r="B4160" s="1" t="n">
        <v>45910.56046296296</v>
      </c>
      <c r="C4160" s="1" t="n">
        <v>46114</v>
      </c>
      <c r="D4160" t="inlineStr">
        <is>
          <t>DALARNAS LÄN</t>
        </is>
      </c>
      <c r="E4160" t="inlineStr">
        <is>
          <t>RÄTTVIK</t>
        </is>
      </c>
      <c r="F4160" t="inlineStr">
        <is>
          <t>Bergvik skog väst AB</t>
        </is>
      </c>
      <c r="G4160" t="n">
        <v>5.8</v>
      </c>
      <c r="H4160" t="n">
        <v>0</v>
      </c>
      <c r="I4160" t="n">
        <v>0</v>
      </c>
      <c r="J4160" t="n">
        <v>0</v>
      </c>
      <c r="K4160" t="n">
        <v>0</v>
      </c>
      <c r="L4160" t="n">
        <v>0</v>
      </c>
      <c r="M4160" t="n">
        <v>0</v>
      </c>
      <c r="N4160" t="n">
        <v>0</v>
      </c>
      <c r="O4160" t="n">
        <v>0</v>
      </c>
      <c r="P4160" t="n">
        <v>0</v>
      </c>
      <c r="Q4160" t="n">
        <v>0</v>
      </c>
      <c r="R4160" s="2" t="inlineStr"/>
    </row>
    <row r="4161" ht="15" customHeight="1">
      <c r="A4161" t="inlineStr">
        <is>
          <t>A 43629-2025</t>
        </is>
      </c>
      <c r="B4161" s="1" t="n">
        <v>45911.70180555555</v>
      </c>
      <c r="C4161" s="1" t="n">
        <v>46114</v>
      </c>
      <c r="D4161" t="inlineStr">
        <is>
          <t>DALARNAS LÄN</t>
        </is>
      </c>
      <c r="E4161" t="inlineStr">
        <is>
          <t>LEKSAND</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43631-2025</t>
        </is>
      </c>
      <c r="B4162" s="1" t="n">
        <v>45911.70527777778</v>
      </c>
      <c r="C4162" s="1" t="n">
        <v>46114</v>
      </c>
      <c r="D4162" t="inlineStr">
        <is>
          <t>DALARNAS LÄN</t>
        </is>
      </c>
      <c r="E4162" t="inlineStr">
        <is>
          <t>GAGNEF</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37665-2023</t>
        </is>
      </c>
      <c r="B4163" s="1" t="n">
        <v>45159.5371875</v>
      </c>
      <c r="C4163" s="1" t="n">
        <v>46114</v>
      </c>
      <c r="D4163" t="inlineStr">
        <is>
          <t>DALARNAS LÄN</t>
        </is>
      </c>
      <c r="E4163" t="inlineStr">
        <is>
          <t>ÄLVDALEN</t>
        </is>
      </c>
      <c r="F4163" t="inlineStr">
        <is>
          <t>Allmännings- och besparingsskogar</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43282-2025</t>
        </is>
      </c>
      <c r="B4164" s="1" t="n">
        <v>45910.59958333334</v>
      </c>
      <c r="C4164" s="1" t="n">
        <v>46114</v>
      </c>
      <c r="D4164" t="inlineStr">
        <is>
          <t>DALARNAS LÄN</t>
        </is>
      </c>
      <c r="E4164" t="inlineStr">
        <is>
          <t>RÄTTVIK</t>
        </is>
      </c>
      <c r="G4164" t="n">
        <v>2.8</v>
      </c>
      <c r="H4164" t="n">
        <v>0</v>
      </c>
      <c r="I4164" t="n">
        <v>0</v>
      </c>
      <c r="J4164" t="n">
        <v>0</v>
      </c>
      <c r="K4164" t="n">
        <v>0</v>
      </c>
      <c r="L4164" t="n">
        <v>0</v>
      </c>
      <c r="M4164" t="n">
        <v>0</v>
      </c>
      <c r="N4164" t="n">
        <v>0</v>
      </c>
      <c r="O4164" t="n">
        <v>0</v>
      </c>
      <c r="P4164" t="n">
        <v>0</v>
      </c>
      <c r="Q4164" t="n">
        <v>0</v>
      </c>
      <c r="R4164" s="2" t="inlineStr"/>
    </row>
    <row r="4165" ht="15" customHeight="1">
      <c r="A4165" t="inlineStr">
        <is>
          <t>A 43479-2025</t>
        </is>
      </c>
      <c r="B4165" s="1" t="n">
        <v>45911.49506944444</v>
      </c>
      <c r="C4165" s="1" t="n">
        <v>46114</v>
      </c>
      <c r="D4165" t="inlineStr">
        <is>
          <t>DALARNAS LÄN</t>
        </is>
      </c>
      <c r="E4165" t="inlineStr">
        <is>
          <t>LUDVIKA</t>
        </is>
      </c>
      <c r="F4165" t="inlineStr">
        <is>
          <t>Bergvik skog väst AB</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20610-2024</t>
        </is>
      </c>
      <c r="B4166" s="1" t="n">
        <v>45436.44923611111</v>
      </c>
      <c r="C4166" s="1" t="n">
        <v>46114</v>
      </c>
      <c r="D4166" t="inlineStr">
        <is>
          <t>DALARNAS LÄN</t>
        </is>
      </c>
      <c r="E4166" t="inlineStr">
        <is>
          <t>FALUN</t>
        </is>
      </c>
      <c r="G4166" t="n">
        <v>11.9</v>
      </c>
      <c r="H4166" t="n">
        <v>0</v>
      </c>
      <c r="I4166" t="n">
        <v>0</v>
      </c>
      <c r="J4166" t="n">
        <v>0</v>
      </c>
      <c r="K4166" t="n">
        <v>0</v>
      </c>
      <c r="L4166" t="n">
        <v>0</v>
      </c>
      <c r="M4166" t="n">
        <v>0</v>
      </c>
      <c r="N4166" t="n">
        <v>0</v>
      </c>
      <c r="O4166" t="n">
        <v>0</v>
      </c>
      <c r="P4166" t="n">
        <v>0</v>
      </c>
      <c r="Q4166" t="n">
        <v>0</v>
      </c>
      <c r="R4166" s="2" t="inlineStr"/>
    </row>
    <row r="4167" ht="15" customHeight="1">
      <c r="A4167" t="inlineStr">
        <is>
          <t>A 38137-2025</t>
        </is>
      </c>
      <c r="B4167" s="1" t="n">
        <v>45882.56737268518</v>
      </c>
      <c r="C4167" s="1" t="n">
        <v>46114</v>
      </c>
      <c r="D4167" t="inlineStr">
        <is>
          <t>DALARNAS LÄN</t>
        </is>
      </c>
      <c r="E4167" t="inlineStr">
        <is>
          <t>BORLÄNGE</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38144-2025</t>
        </is>
      </c>
      <c r="B4168" s="1" t="n">
        <v>45882.58366898148</v>
      </c>
      <c r="C4168" s="1" t="n">
        <v>46114</v>
      </c>
      <c r="D4168" t="inlineStr">
        <is>
          <t>DALARNAS LÄN</t>
        </is>
      </c>
      <c r="E4168" t="inlineStr">
        <is>
          <t>VANSBRO</t>
        </is>
      </c>
      <c r="G4168" t="n">
        <v>11.1</v>
      </c>
      <c r="H4168" t="n">
        <v>0</v>
      </c>
      <c r="I4168" t="n">
        <v>0</v>
      </c>
      <c r="J4168" t="n">
        <v>0</v>
      </c>
      <c r="K4168" t="n">
        <v>0</v>
      </c>
      <c r="L4168" t="n">
        <v>0</v>
      </c>
      <c r="M4168" t="n">
        <v>0</v>
      </c>
      <c r="N4168" t="n">
        <v>0</v>
      </c>
      <c r="O4168" t="n">
        <v>0</v>
      </c>
      <c r="P4168" t="n">
        <v>0</v>
      </c>
      <c r="Q4168" t="n">
        <v>0</v>
      </c>
      <c r="R4168" s="2" t="inlineStr"/>
    </row>
    <row r="4169" ht="15" customHeight="1">
      <c r="A4169" t="inlineStr">
        <is>
          <t>A 37873-2025</t>
        </is>
      </c>
      <c r="B4169" s="1" t="n">
        <v>45881</v>
      </c>
      <c r="C4169" s="1" t="n">
        <v>46114</v>
      </c>
      <c r="D4169" t="inlineStr">
        <is>
          <t>DALARNAS LÄN</t>
        </is>
      </c>
      <c r="E4169" t="inlineStr">
        <is>
          <t>ÄLVDALEN</t>
        </is>
      </c>
      <c r="F4169" t="inlineStr">
        <is>
          <t>Övriga Aktiebolag</t>
        </is>
      </c>
      <c r="G4169" t="n">
        <v>40.7</v>
      </c>
      <c r="H4169" t="n">
        <v>0</v>
      </c>
      <c r="I4169" t="n">
        <v>0</v>
      </c>
      <c r="J4169" t="n">
        <v>0</v>
      </c>
      <c r="K4169" t="n">
        <v>0</v>
      </c>
      <c r="L4169" t="n">
        <v>0</v>
      </c>
      <c r="M4169" t="n">
        <v>0</v>
      </c>
      <c r="N4169" t="n">
        <v>0</v>
      </c>
      <c r="O4169" t="n">
        <v>0</v>
      </c>
      <c r="P4169" t="n">
        <v>0</v>
      </c>
      <c r="Q4169" t="n">
        <v>0</v>
      </c>
      <c r="R4169" s="2" t="inlineStr"/>
    </row>
    <row r="4170" ht="15" customHeight="1">
      <c r="A4170" t="inlineStr">
        <is>
          <t>A 41564-2021</t>
        </is>
      </c>
      <c r="B4170" s="1" t="n">
        <v>44425.39126157408</v>
      </c>
      <c r="C4170" s="1" t="n">
        <v>46114</v>
      </c>
      <c r="D4170" t="inlineStr">
        <is>
          <t>DALARNAS LÄN</t>
        </is>
      </c>
      <c r="E4170" t="inlineStr">
        <is>
          <t>SÄTER</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18724-2022</t>
        </is>
      </c>
      <c r="B4171" s="1" t="n">
        <v>44687.67511574074</v>
      </c>
      <c r="C4171" s="1" t="n">
        <v>46114</v>
      </c>
      <c r="D4171" t="inlineStr">
        <is>
          <t>DALARNAS LÄN</t>
        </is>
      </c>
      <c r="E4171" t="inlineStr">
        <is>
          <t>LUDVIKA</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43381-2025</t>
        </is>
      </c>
      <c r="B4172" s="1" t="n">
        <v>45911.36196759259</v>
      </c>
      <c r="C4172" s="1" t="n">
        <v>46114</v>
      </c>
      <c r="D4172" t="inlineStr">
        <is>
          <t>DALARNAS LÄN</t>
        </is>
      </c>
      <c r="E4172" t="inlineStr">
        <is>
          <t>FALUN</t>
        </is>
      </c>
      <c r="G4172" t="n">
        <v>10.9</v>
      </c>
      <c r="H4172" t="n">
        <v>0</v>
      </c>
      <c r="I4172" t="n">
        <v>0</v>
      </c>
      <c r="J4172" t="n">
        <v>0</v>
      </c>
      <c r="K4172" t="n">
        <v>0</v>
      </c>
      <c r="L4172" t="n">
        <v>0</v>
      </c>
      <c r="M4172" t="n">
        <v>0</v>
      </c>
      <c r="N4172" t="n">
        <v>0</v>
      </c>
      <c r="O4172" t="n">
        <v>0</v>
      </c>
      <c r="P4172" t="n">
        <v>0</v>
      </c>
      <c r="Q4172" t="n">
        <v>0</v>
      </c>
      <c r="R4172" s="2" t="inlineStr"/>
    </row>
    <row r="4173" ht="15" customHeight="1">
      <c r="A4173" t="inlineStr">
        <is>
          <t>A 43564-2025</t>
        </is>
      </c>
      <c r="B4173" s="1" t="n">
        <v>45911</v>
      </c>
      <c r="C4173" s="1" t="n">
        <v>46114</v>
      </c>
      <c r="D4173" t="inlineStr">
        <is>
          <t>DALARNAS LÄN</t>
        </is>
      </c>
      <c r="E4173" t="inlineStr">
        <is>
          <t>GAGNEF</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26836-2024</t>
        </is>
      </c>
      <c r="B4174" s="1" t="n">
        <v>45470.5739699074</v>
      </c>
      <c r="C4174" s="1" t="n">
        <v>46114</v>
      </c>
      <c r="D4174" t="inlineStr">
        <is>
          <t>DALARNAS LÄN</t>
        </is>
      </c>
      <c r="E4174" t="inlineStr">
        <is>
          <t>MALUNG-SÄLEN</t>
        </is>
      </c>
      <c r="F4174" t="inlineStr">
        <is>
          <t>Bergvik skog väst AB</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40461-2024</t>
        </is>
      </c>
      <c r="B4175" s="1" t="n">
        <v>45555.51069444444</v>
      </c>
      <c r="C4175" s="1" t="n">
        <v>46114</v>
      </c>
      <c r="D4175" t="inlineStr">
        <is>
          <t>DALARNAS LÄN</t>
        </is>
      </c>
      <c r="E4175" t="inlineStr">
        <is>
          <t>MALUNG-SÄLEN</t>
        </is>
      </c>
      <c r="F4175" t="inlineStr">
        <is>
          <t>Bergvik skog väst AB</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35780-2024</t>
        </is>
      </c>
      <c r="B4176" s="1" t="n">
        <v>45532</v>
      </c>
      <c r="C4176" s="1" t="n">
        <v>46114</v>
      </c>
      <c r="D4176" t="inlineStr">
        <is>
          <t>DALARNAS LÄN</t>
        </is>
      </c>
      <c r="E4176" t="inlineStr">
        <is>
          <t>VANSBRO</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16967-2025</t>
        </is>
      </c>
      <c r="B4177" s="1" t="n">
        <v>45755.46106481482</v>
      </c>
      <c r="C4177" s="1" t="n">
        <v>46114</v>
      </c>
      <c r="D4177" t="inlineStr">
        <is>
          <t>DALARNAS LÄN</t>
        </is>
      </c>
      <c r="E4177" t="inlineStr">
        <is>
          <t>MORA</t>
        </is>
      </c>
      <c r="F4177" t="inlineStr">
        <is>
          <t>Bergvik skog öst AB</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17997-2025</t>
        </is>
      </c>
      <c r="B4178" s="1" t="n">
        <v>45761.40799768519</v>
      </c>
      <c r="C4178" s="1" t="n">
        <v>46114</v>
      </c>
      <c r="D4178" t="inlineStr">
        <is>
          <t>DALARNAS LÄN</t>
        </is>
      </c>
      <c r="E4178" t="inlineStr">
        <is>
          <t>SMEDJEBACKEN</t>
        </is>
      </c>
      <c r="G4178" t="n">
        <v>10.4</v>
      </c>
      <c r="H4178" t="n">
        <v>0</v>
      </c>
      <c r="I4178" t="n">
        <v>0</v>
      </c>
      <c r="J4178" t="n">
        <v>0</v>
      </c>
      <c r="K4178" t="n">
        <v>0</v>
      </c>
      <c r="L4178" t="n">
        <v>0</v>
      </c>
      <c r="M4178" t="n">
        <v>0</v>
      </c>
      <c r="N4178" t="n">
        <v>0</v>
      </c>
      <c r="O4178" t="n">
        <v>0</v>
      </c>
      <c r="P4178" t="n">
        <v>0</v>
      </c>
      <c r="Q4178" t="n">
        <v>0</v>
      </c>
      <c r="R4178" s="2" t="inlineStr"/>
    </row>
    <row r="4179" ht="15" customHeight="1">
      <c r="A4179" t="inlineStr">
        <is>
          <t>A 43348-2025</t>
        </is>
      </c>
      <c r="B4179" s="1" t="n">
        <v>45910.91788194444</v>
      </c>
      <c r="C4179" s="1" t="n">
        <v>46114</v>
      </c>
      <c r="D4179" t="inlineStr">
        <is>
          <t>DALARNAS LÄN</t>
        </is>
      </c>
      <c r="E4179" t="inlineStr">
        <is>
          <t>LUDVIKA</t>
        </is>
      </c>
      <c r="G4179" t="n">
        <v>4.3</v>
      </c>
      <c r="H4179" t="n">
        <v>0</v>
      </c>
      <c r="I4179" t="n">
        <v>0</v>
      </c>
      <c r="J4179" t="n">
        <v>0</v>
      </c>
      <c r="K4179" t="n">
        <v>0</v>
      </c>
      <c r="L4179" t="n">
        <v>0</v>
      </c>
      <c r="M4179" t="n">
        <v>0</v>
      </c>
      <c r="N4179" t="n">
        <v>0</v>
      </c>
      <c r="O4179" t="n">
        <v>0</v>
      </c>
      <c r="P4179" t="n">
        <v>0</v>
      </c>
      <c r="Q4179" t="n">
        <v>0</v>
      </c>
      <c r="R4179" s="2" t="inlineStr"/>
    </row>
    <row r="4180" ht="15" customHeight="1">
      <c r="A4180" t="inlineStr">
        <is>
          <t>A 27146-2021</t>
        </is>
      </c>
      <c r="B4180" s="1" t="n">
        <v>44350</v>
      </c>
      <c r="C4180" s="1" t="n">
        <v>46114</v>
      </c>
      <c r="D4180" t="inlineStr">
        <is>
          <t>DALARNAS LÄN</t>
        </is>
      </c>
      <c r="E4180" t="inlineStr">
        <is>
          <t>ORSA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37998-2025</t>
        </is>
      </c>
      <c r="B4181" s="1" t="n">
        <v>45881.85384259259</v>
      </c>
      <c r="C4181" s="1" t="n">
        <v>46114</v>
      </c>
      <c r="D4181" t="inlineStr">
        <is>
          <t>DALARNAS LÄN</t>
        </is>
      </c>
      <c r="E4181" t="inlineStr">
        <is>
          <t>FALUN</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21696-2023</t>
        </is>
      </c>
      <c r="B4182" s="1" t="n">
        <v>45063</v>
      </c>
      <c r="C4182" s="1" t="n">
        <v>46114</v>
      </c>
      <c r="D4182" t="inlineStr">
        <is>
          <t>DALARNAS LÄN</t>
        </is>
      </c>
      <c r="E4182" t="inlineStr">
        <is>
          <t>SÄTER</t>
        </is>
      </c>
      <c r="F4182" t="inlineStr">
        <is>
          <t>Kommuner</t>
        </is>
      </c>
      <c r="G4182" t="n">
        <v>4.5</v>
      </c>
      <c r="H4182" t="n">
        <v>0</v>
      </c>
      <c r="I4182" t="n">
        <v>0</v>
      </c>
      <c r="J4182" t="n">
        <v>0</v>
      </c>
      <c r="K4182" t="n">
        <v>0</v>
      </c>
      <c r="L4182" t="n">
        <v>0</v>
      </c>
      <c r="M4182" t="n">
        <v>0</v>
      </c>
      <c r="N4182" t="n">
        <v>0</v>
      </c>
      <c r="O4182" t="n">
        <v>0</v>
      </c>
      <c r="P4182" t="n">
        <v>0</v>
      </c>
      <c r="Q4182" t="n">
        <v>0</v>
      </c>
      <c r="R4182" s="2" t="inlineStr"/>
    </row>
    <row r="4183" ht="15" customHeight="1">
      <c r="A4183" t="inlineStr">
        <is>
          <t>A 43628-2025</t>
        </is>
      </c>
      <c r="B4183" s="1" t="n">
        <v>45911.70060185185</v>
      </c>
      <c r="C4183" s="1" t="n">
        <v>46114</v>
      </c>
      <c r="D4183" t="inlineStr">
        <is>
          <t>DALARNAS LÄN</t>
        </is>
      </c>
      <c r="E4183" t="inlineStr">
        <is>
          <t>LEKSAND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38090-2025</t>
        </is>
      </c>
      <c r="B4184" s="1" t="n">
        <v>45882.48440972222</v>
      </c>
      <c r="C4184" s="1" t="n">
        <v>46114</v>
      </c>
      <c r="D4184" t="inlineStr">
        <is>
          <t>DALARNAS LÄN</t>
        </is>
      </c>
      <c r="E4184" t="inlineStr">
        <is>
          <t>LEKSAND</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43607-2025</t>
        </is>
      </c>
      <c r="B4185" s="1" t="n">
        <v>45911.66873842593</v>
      </c>
      <c r="C4185" s="1" t="n">
        <v>46114</v>
      </c>
      <c r="D4185" t="inlineStr">
        <is>
          <t>DALARNAS LÄN</t>
        </is>
      </c>
      <c r="E4185" t="inlineStr">
        <is>
          <t>LEKSAND</t>
        </is>
      </c>
      <c r="G4185" t="n">
        <v>7.3</v>
      </c>
      <c r="H4185" t="n">
        <v>0</v>
      </c>
      <c r="I4185" t="n">
        <v>0</v>
      </c>
      <c r="J4185" t="n">
        <v>0</v>
      </c>
      <c r="K4185" t="n">
        <v>0</v>
      </c>
      <c r="L4185" t="n">
        <v>0</v>
      </c>
      <c r="M4185" t="n">
        <v>0</v>
      </c>
      <c r="N4185" t="n">
        <v>0</v>
      </c>
      <c r="O4185" t="n">
        <v>0</v>
      </c>
      <c r="P4185" t="n">
        <v>0</v>
      </c>
      <c r="Q4185" t="n">
        <v>0</v>
      </c>
      <c r="R4185" s="2" t="inlineStr"/>
    </row>
    <row r="4186" ht="15" customHeight="1">
      <c r="A4186" t="inlineStr">
        <is>
          <t>A 43610-2025</t>
        </is>
      </c>
      <c r="B4186" s="1" t="n">
        <v>45911.67565972222</v>
      </c>
      <c r="C4186" s="1" t="n">
        <v>46114</v>
      </c>
      <c r="D4186" t="inlineStr">
        <is>
          <t>DALARNAS LÄN</t>
        </is>
      </c>
      <c r="E4186" t="inlineStr">
        <is>
          <t>SÄTER</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20299-2023</t>
        </is>
      </c>
      <c r="B4187" s="1" t="n">
        <v>45056</v>
      </c>
      <c r="C4187" s="1" t="n">
        <v>46114</v>
      </c>
      <c r="D4187" t="inlineStr">
        <is>
          <t>DALARNAS LÄN</t>
        </is>
      </c>
      <c r="E4187" t="inlineStr">
        <is>
          <t>MORA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43576-2025</t>
        </is>
      </c>
      <c r="B4188" s="1" t="n">
        <v>45911.64164351852</v>
      </c>
      <c r="C4188" s="1" t="n">
        <v>46114</v>
      </c>
      <c r="D4188" t="inlineStr">
        <is>
          <t>DALARNAS LÄN</t>
        </is>
      </c>
      <c r="E4188" t="inlineStr">
        <is>
          <t>FALUN</t>
        </is>
      </c>
      <c r="F4188" t="inlineStr">
        <is>
          <t>Bergvik skog väst AB</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43581-2025</t>
        </is>
      </c>
      <c r="B4189" s="1" t="n">
        <v>45911.64846064815</v>
      </c>
      <c r="C4189" s="1" t="n">
        <v>46114</v>
      </c>
      <c r="D4189" t="inlineStr">
        <is>
          <t>DALARNAS LÄN</t>
        </is>
      </c>
      <c r="E4189" t="inlineStr">
        <is>
          <t>ÄLVDALEN</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33960-2023</t>
        </is>
      </c>
      <c r="B4190" s="1" t="n">
        <v>45124</v>
      </c>
      <c r="C4190" s="1" t="n">
        <v>46114</v>
      </c>
      <c r="D4190" t="inlineStr">
        <is>
          <t>DALARNAS LÄN</t>
        </is>
      </c>
      <c r="E4190" t="inlineStr">
        <is>
          <t>SMEDJEBACKEN</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19455-2025</t>
        </is>
      </c>
      <c r="B4191" s="1" t="n">
        <v>45770.35403935185</v>
      </c>
      <c r="C4191" s="1" t="n">
        <v>46114</v>
      </c>
      <c r="D4191" t="inlineStr">
        <is>
          <t>DALARNAS LÄN</t>
        </is>
      </c>
      <c r="E4191" t="inlineStr">
        <is>
          <t>RÄTTVIK</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43195-2025</t>
        </is>
      </c>
      <c r="B4192" s="1" t="n">
        <v>45910.4294212963</v>
      </c>
      <c r="C4192" s="1" t="n">
        <v>46114</v>
      </c>
      <c r="D4192" t="inlineStr">
        <is>
          <t>DALARNAS LÄN</t>
        </is>
      </c>
      <c r="E4192" t="inlineStr">
        <is>
          <t>LEKSAND</t>
        </is>
      </c>
      <c r="G4192" t="n">
        <v>2.5</v>
      </c>
      <c r="H4192" t="n">
        <v>0</v>
      </c>
      <c r="I4192" t="n">
        <v>0</v>
      </c>
      <c r="J4192" t="n">
        <v>0</v>
      </c>
      <c r="K4192" t="n">
        <v>0</v>
      </c>
      <c r="L4192" t="n">
        <v>0</v>
      </c>
      <c r="M4192" t="n">
        <v>0</v>
      </c>
      <c r="N4192" t="n">
        <v>0</v>
      </c>
      <c r="O4192" t="n">
        <v>0</v>
      </c>
      <c r="P4192" t="n">
        <v>0</v>
      </c>
      <c r="Q4192" t="n">
        <v>0</v>
      </c>
      <c r="R4192" s="2" t="inlineStr"/>
    </row>
    <row r="4193" ht="15" customHeight="1">
      <c r="A4193" t="inlineStr">
        <is>
          <t>A 43139-2025</t>
        </is>
      </c>
      <c r="B4193" s="1" t="n">
        <v>45909.94302083334</v>
      </c>
      <c r="C4193" s="1" t="n">
        <v>46114</v>
      </c>
      <c r="D4193" t="inlineStr">
        <is>
          <t>DALARNAS LÄN</t>
        </is>
      </c>
      <c r="E4193" t="inlineStr">
        <is>
          <t>VANSBRO</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61278-2024</t>
        </is>
      </c>
      <c r="B4194" s="1" t="n">
        <v>45645.76561342592</v>
      </c>
      <c r="C4194" s="1" t="n">
        <v>46114</v>
      </c>
      <c r="D4194" t="inlineStr">
        <is>
          <t>DALARNAS LÄN</t>
        </is>
      </c>
      <c r="E4194" t="inlineStr">
        <is>
          <t>MORA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43437-2025</t>
        </is>
      </c>
      <c r="B4195" s="1" t="n">
        <v>45911.43200231482</v>
      </c>
      <c r="C4195" s="1" t="n">
        <v>46114</v>
      </c>
      <c r="D4195" t="inlineStr">
        <is>
          <t>DALARNAS LÄN</t>
        </is>
      </c>
      <c r="E4195" t="inlineStr">
        <is>
          <t>LUDVIKA</t>
        </is>
      </c>
      <c r="F4195" t="inlineStr">
        <is>
          <t>Bergvik skog väst AB</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14023-2023</t>
        </is>
      </c>
      <c r="B4196" s="1" t="n">
        <v>45007</v>
      </c>
      <c r="C4196" s="1" t="n">
        <v>46114</v>
      </c>
      <c r="D4196" t="inlineStr">
        <is>
          <t>DALARNAS LÄN</t>
        </is>
      </c>
      <c r="E4196" t="inlineStr">
        <is>
          <t>AVESTA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36427-2023</t>
        </is>
      </c>
      <c r="B4197" s="1" t="n">
        <v>45152.60333333333</v>
      </c>
      <c r="C4197" s="1" t="n">
        <v>46114</v>
      </c>
      <c r="D4197" t="inlineStr">
        <is>
          <t>DALARNAS LÄN</t>
        </is>
      </c>
      <c r="E4197" t="inlineStr">
        <is>
          <t>ORSA</t>
        </is>
      </c>
      <c r="F4197" t="inlineStr">
        <is>
          <t>Bergvik skog öst AB</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43545-2025</t>
        </is>
      </c>
      <c r="B4198" s="1" t="n">
        <v>45911.6139699074</v>
      </c>
      <c r="C4198" s="1" t="n">
        <v>46114</v>
      </c>
      <c r="D4198" t="inlineStr">
        <is>
          <t>DALARNAS LÄN</t>
        </is>
      </c>
      <c r="E4198" t="inlineStr">
        <is>
          <t>FALUN</t>
        </is>
      </c>
      <c r="F4198" t="inlineStr">
        <is>
          <t>Bergvik skog väst AB</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60025-2024</t>
        </is>
      </c>
      <c r="B4199" s="1" t="n">
        <v>45642.44887731481</v>
      </c>
      <c r="C4199" s="1" t="n">
        <v>46114</v>
      </c>
      <c r="D4199" t="inlineStr">
        <is>
          <t>DALARNAS LÄN</t>
        </is>
      </c>
      <c r="E4199" t="inlineStr">
        <is>
          <t>SMEDJEBACKEN</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60046-2024</t>
        </is>
      </c>
      <c r="B4200" s="1" t="n">
        <v>45642.47443287037</v>
      </c>
      <c r="C4200" s="1" t="n">
        <v>46114</v>
      </c>
      <c r="D4200" t="inlineStr">
        <is>
          <t>DALARNAS LÄN</t>
        </is>
      </c>
      <c r="E4200" t="inlineStr">
        <is>
          <t>MALUNG-SÄLEN</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28921-2023</t>
        </is>
      </c>
      <c r="B4201" s="1" t="n">
        <v>45104</v>
      </c>
      <c r="C4201" s="1" t="n">
        <v>46114</v>
      </c>
      <c r="D4201" t="inlineStr">
        <is>
          <t>DALARNAS LÄN</t>
        </is>
      </c>
      <c r="E4201" t="inlineStr">
        <is>
          <t>LEKSAND</t>
        </is>
      </c>
      <c r="G4201" t="n">
        <v>4.4</v>
      </c>
      <c r="H4201" t="n">
        <v>0</v>
      </c>
      <c r="I4201" t="n">
        <v>0</v>
      </c>
      <c r="J4201" t="n">
        <v>0</v>
      </c>
      <c r="K4201" t="n">
        <v>0</v>
      </c>
      <c r="L4201" t="n">
        <v>0</v>
      </c>
      <c r="M4201" t="n">
        <v>0</v>
      </c>
      <c r="N4201" t="n">
        <v>0</v>
      </c>
      <c r="O4201" t="n">
        <v>0</v>
      </c>
      <c r="P4201" t="n">
        <v>0</v>
      </c>
      <c r="Q4201" t="n">
        <v>0</v>
      </c>
      <c r="R4201" s="2" t="inlineStr"/>
    </row>
    <row r="4202" ht="15" customHeight="1">
      <c r="A4202" t="inlineStr">
        <is>
          <t>A 43145-2025</t>
        </is>
      </c>
      <c r="B4202" s="1" t="n">
        <v>45910.3044212963</v>
      </c>
      <c r="C4202" s="1" t="n">
        <v>46114</v>
      </c>
      <c r="D4202" t="inlineStr">
        <is>
          <t>DALARNAS LÄN</t>
        </is>
      </c>
      <c r="E4202" t="inlineStr">
        <is>
          <t>LUDVIKA</t>
        </is>
      </c>
      <c r="F4202" t="inlineStr">
        <is>
          <t>Bergvik skog väst AB</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5646-2023</t>
        </is>
      </c>
      <c r="B4203" s="1" t="n">
        <v>44960</v>
      </c>
      <c r="C4203" s="1" t="n">
        <v>46114</v>
      </c>
      <c r="D4203" t="inlineStr">
        <is>
          <t>DALARNAS LÄN</t>
        </is>
      </c>
      <c r="E4203" t="inlineStr">
        <is>
          <t>SÄTER</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43439-2025</t>
        </is>
      </c>
      <c r="B4204" s="1" t="n">
        <v>45911.43902777778</v>
      </c>
      <c r="C4204" s="1" t="n">
        <v>46114</v>
      </c>
      <c r="D4204" t="inlineStr">
        <is>
          <t>DALARNAS LÄN</t>
        </is>
      </c>
      <c r="E4204" t="inlineStr">
        <is>
          <t>LUDVIKA</t>
        </is>
      </c>
      <c r="F4204" t="inlineStr">
        <is>
          <t>Bergvik skog väst AB</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63519-2021</t>
        </is>
      </c>
      <c r="B4205" s="1" t="n">
        <v>44508</v>
      </c>
      <c r="C4205" s="1" t="n">
        <v>46114</v>
      </c>
      <c r="D4205" t="inlineStr">
        <is>
          <t>DALARNAS LÄN</t>
        </is>
      </c>
      <c r="E4205" t="inlineStr">
        <is>
          <t>AVESTA</t>
        </is>
      </c>
      <c r="G4205" t="n">
        <v>1.4</v>
      </c>
      <c r="H4205" t="n">
        <v>0</v>
      </c>
      <c r="I4205" t="n">
        <v>0</v>
      </c>
      <c r="J4205" t="n">
        <v>0</v>
      </c>
      <c r="K4205" t="n">
        <v>0</v>
      </c>
      <c r="L4205" t="n">
        <v>0</v>
      </c>
      <c r="M4205" t="n">
        <v>0</v>
      </c>
      <c r="N4205" t="n">
        <v>0</v>
      </c>
      <c r="O4205" t="n">
        <v>0</v>
      </c>
      <c r="P4205" t="n">
        <v>0</v>
      </c>
      <c r="Q4205" t="n">
        <v>0</v>
      </c>
      <c r="R4205" s="2" t="inlineStr"/>
    </row>
    <row r="4206" ht="15" customHeight="1">
      <c r="A4206" t="inlineStr">
        <is>
          <t>A 43138-2025</t>
        </is>
      </c>
      <c r="B4206" s="1" t="n">
        <v>45909.93715277778</v>
      </c>
      <c r="C4206" s="1" t="n">
        <v>46114</v>
      </c>
      <c r="D4206" t="inlineStr">
        <is>
          <t>DALARNAS LÄN</t>
        </is>
      </c>
      <c r="E4206" t="inlineStr">
        <is>
          <t>VANSBRO</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43172-2025</t>
        </is>
      </c>
      <c r="B4207" s="1" t="n">
        <v>45910.39777777778</v>
      </c>
      <c r="C4207" s="1" t="n">
        <v>46114</v>
      </c>
      <c r="D4207" t="inlineStr">
        <is>
          <t>DALARNAS LÄN</t>
        </is>
      </c>
      <c r="E4207" t="inlineStr">
        <is>
          <t>AVESTA</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43553-2025</t>
        </is>
      </c>
      <c r="B4208" s="1" t="n">
        <v>45911.62171296297</v>
      </c>
      <c r="C4208" s="1" t="n">
        <v>46114</v>
      </c>
      <c r="D4208" t="inlineStr">
        <is>
          <t>DALARNAS LÄN</t>
        </is>
      </c>
      <c r="E4208" t="inlineStr">
        <is>
          <t>SÄTER</t>
        </is>
      </c>
      <c r="F4208" t="inlineStr">
        <is>
          <t>Bergvik skog väst AB</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43514-2025</t>
        </is>
      </c>
      <c r="B4209" s="1" t="n">
        <v>45911.56475694444</v>
      </c>
      <c r="C4209" s="1" t="n">
        <v>46114</v>
      </c>
      <c r="D4209" t="inlineStr">
        <is>
          <t>DALARNAS LÄN</t>
        </is>
      </c>
      <c r="E4209" t="inlineStr">
        <is>
          <t>ÄLVDALEN</t>
        </is>
      </c>
      <c r="F4209" t="inlineStr">
        <is>
          <t>Allmännings- och besparingsskogar</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49480-2023</t>
        </is>
      </c>
      <c r="B4210" s="1" t="n">
        <v>45211</v>
      </c>
      <c r="C4210" s="1" t="n">
        <v>46114</v>
      </c>
      <c r="D4210" t="inlineStr">
        <is>
          <t>DALARNAS LÄN</t>
        </is>
      </c>
      <c r="E4210" t="inlineStr">
        <is>
          <t>MALUNG-SÄLEN</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30998-2023</t>
        </is>
      </c>
      <c r="B4211" s="1" t="n">
        <v>45113.54193287037</v>
      </c>
      <c r="C4211" s="1" t="n">
        <v>46114</v>
      </c>
      <c r="D4211" t="inlineStr">
        <is>
          <t>DALARNAS LÄN</t>
        </is>
      </c>
      <c r="E4211" t="inlineStr">
        <is>
          <t>LEKSAND</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43630-2025</t>
        </is>
      </c>
      <c r="B4212" s="1" t="n">
        <v>45911.70278935185</v>
      </c>
      <c r="C4212" s="1" t="n">
        <v>46114</v>
      </c>
      <c r="D4212" t="inlineStr">
        <is>
          <t>DALARNAS LÄN</t>
        </is>
      </c>
      <c r="E4212" t="inlineStr">
        <is>
          <t>LEKSAND</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43287-2025</t>
        </is>
      </c>
      <c r="B4213" s="1" t="n">
        <v>45910.60777777778</v>
      </c>
      <c r="C4213" s="1" t="n">
        <v>46114</v>
      </c>
      <c r="D4213" t="inlineStr">
        <is>
          <t>DALARNAS LÄN</t>
        </is>
      </c>
      <c r="E4213" t="inlineStr">
        <is>
          <t>RÄTTVIK</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43342-2025</t>
        </is>
      </c>
      <c r="B4214" s="1" t="n">
        <v>45910.7628125</v>
      </c>
      <c r="C4214" s="1" t="n">
        <v>46114</v>
      </c>
      <c r="D4214" t="inlineStr">
        <is>
          <t>DALARNAS LÄN</t>
        </is>
      </c>
      <c r="E4214" t="inlineStr">
        <is>
          <t>ÄLVDALEN</t>
        </is>
      </c>
      <c r="G4214" t="n">
        <v>2.9</v>
      </c>
      <c r="H4214" t="n">
        <v>0</v>
      </c>
      <c r="I4214" t="n">
        <v>0</v>
      </c>
      <c r="J4214" t="n">
        <v>0</v>
      </c>
      <c r="K4214" t="n">
        <v>0</v>
      </c>
      <c r="L4214" t="n">
        <v>0</v>
      </c>
      <c r="M4214" t="n">
        <v>0</v>
      </c>
      <c r="N4214" t="n">
        <v>0</v>
      </c>
      <c r="O4214" t="n">
        <v>0</v>
      </c>
      <c r="P4214" t="n">
        <v>0</v>
      </c>
      <c r="Q4214" t="n">
        <v>0</v>
      </c>
      <c r="R4214" s="2" t="inlineStr"/>
    </row>
    <row r="4215" ht="15" customHeight="1">
      <c r="A4215" t="inlineStr">
        <is>
          <t>A 43345-2025</t>
        </is>
      </c>
      <c r="B4215" s="1" t="n">
        <v>45910.86336805556</v>
      </c>
      <c r="C4215" s="1" t="n">
        <v>46114</v>
      </c>
      <c r="D4215" t="inlineStr">
        <is>
          <t>DALARNAS LÄN</t>
        </is>
      </c>
      <c r="E4215" t="inlineStr">
        <is>
          <t>LUDVIKA</t>
        </is>
      </c>
      <c r="G4215" t="n">
        <v>4.6</v>
      </c>
      <c r="H4215" t="n">
        <v>0</v>
      </c>
      <c r="I4215" t="n">
        <v>0</v>
      </c>
      <c r="J4215" t="n">
        <v>0</v>
      </c>
      <c r="K4215" t="n">
        <v>0</v>
      </c>
      <c r="L4215" t="n">
        <v>0</v>
      </c>
      <c r="M4215" t="n">
        <v>0</v>
      </c>
      <c r="N4215" t="n">
        <v>0</v>
      </c>
      <c r="O4215" t="n">
        <v>0</v>
      </c>
      <c r="P4215" t="n">
        <v>0</v>
      </c>
      <c r="Q4215" t="n">
        <v>0</v>
      </c>
      <c r="R4215" s="2" t="inlineStr"/>
    </row>
    <row r="4216" ht="15" customHeight="1">
      <c r="A4216" t="inlineStr">
        <is>
          <t>A 43633-2025</t>
        </is>
      </c>
      <c r="B4216" s="1" t="n">
        <v>45911.70615740741</v>
      </c>
      <c r="C4216" s="1" t="n">
        <v>46114</v>
      </c>
      <c r="D4216" t="inlineStr">
        <is>
          <t>DALARNAS LÄN</t>
        </is>
      </c>
      <c r="E4216" t="inlineStr">
        <is>
          <t>GAGNEF</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43283-2025</t>
        </is>
      </c>
      <c r="B4217" s="1" t="n">
        <v>45910.60125</v>
      </c>
      <c r="C4217" s="1" t="n">
        <v>46114</v>
      </c>
      <c r="D4217" t="inlineStr">
        <is>
          <t>DALARNAS LÄN</t>
        </is>
      </c>
      <c r="E4217" t="inlineStr">
        <is>
          <t>AVESTA</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6171-2025</t>
        </is>
      </c>
      <c r="B4218" s="1" t="n">
        <v>45698.43287037037</v>
      </c>
      <c r="C4218" s="1" t="n">
        <v>46114</v>
      </c>
      <c r="D4218" t="inlineStr">
        <is>
          <t>DALARNAS LÄN</t>
        </is>
      </c>
      <c r="E4218" t="inlineStr">
        <is>
          <t>ORSA</t>
        </is>
      </c>
      <c r="G4218" t="n">
        <v>11.1</v>
      </c>
      <c r="H4218" t="n">
        <v>0</v>
      </c>
      <c r="I4218" t="n">
        <v>0</v>
      </c>
      <c r="J4218" t="n">
        <v>0</v>
      </c>
      <c r="K4218" t="n">
        <v>0</v>
      </c>
      <c r="L4218" t="n">
        <v>0</v>
      </c>
      <c r="M4218" t="n">
        <v>0</v>
      </c>
      <c r="N4218" t="n">
        <v>0</v>
      </c>
      <c r="O4218" t="n">
        <v>0</v>
      </c>
      <c r="P4218" t="n">
        <v>0</v>
      </c>
      <c r="Q4218" t="n">
        <v>0</v>
      </c>
      <c r="R4218" s="2" t="inlineStr"/>
    </row>
    <row r="4219" ht="15" customHeight="1">
      <c r="A4219" t="inlineStr">
        <is>
          <t>A 38440-2023</t>
        </is>
      </c>
      <c r="B4219" s="1" t="n">
        <v>45162.39041666667</v>
      </c>
      <c r="C4219" s="1" t="n">
        <v>46114</v>
      </c>
      <c r="D4219" t="inlineStr">
        <is>
          <t>DALARNAS LÄN</t>
        </is>
      </c>
      <c r="E4219" t="inlineStr">
        <is>
          <t>SMEDJEBACKEN</t>
        </is>
      </c>
      <c r="G4219" t="n">
        <v>7.3</v>
      </c>
      <c r="H4219" t="n">
        <v>0</v>
      </c>
      <c r="I4219" t="n">
        <v>0</v>
      </c>
      <c r="J4219" t="n">
        <v>0</v>
      </c>
      <c r="K4219" t="n">
        <v>0</v>
      </c>
      <c r="L4219" t="n">
        <v>0</v>
      </c>
      <c r="M4219" t="n">
        <v>0</v>
      </c>
      <c r="N4219" t="n">
        <v>0</v>
      </c>
      <c r="O4219" t="n">
        <v>0</v>
      </c>
      <c r="P4219" t="n">
        <v>0</v>
      </c>
      <c r="Q4219" t="n">
        <v>0</v>
      </c>
      <c r="R4219" s="2" t="inlineStr"/>
    </row>
    <row r="4220" ht="15" customHeight="1">
      <c r="A4220" t="inlineStr">
        <is>
          <t>A 38441-2023</t>
        </is>
      </c>
      <c r="B4220" s="1" t="n">
        <v>45162.39258101852</v>
      </c>
      <c r="C4220" s="1" t="n">
        <v>46114</v>
      </c>
      <c r="D4220" t="inlineStr">
        <is>
          <t>DALARNAS LÄN</t>
        </is>
      </c>
      <c r="E4220" t="inlineStr">
        <is>
          <t>AVESTA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43605-2025</t>
        </is>
      </c>
      <c r="B4221" s="1" t="n">
        <v>45911</v>
      </c>
      <c r="C4221" s="1" t="n">
        <v>46114</v>
      </c>
      <c r="D4221" t="inlineStr">
        <is>
          <t>DALARNAS LÄN</t>
        </is>
      </c>
      <c r="E4221" t="inlineStr">
        <is>
          <t>FALUN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43361-2025</t>
        </is>
      </c>
      <c r="B4222" s="1" t="n">
        <v>45911.34414351852</v>
      </c>
      <c r="C4222" s="1" t="n">
        <v>46114</v>
      </c>
      <c r="D4222" t="inlineStr">
        <is>
          <t>DALARNAS LÄN</t>
        </is>
      </c>
      <c r="E4222" t="inlineStr">
        <is>
          <t>AVESTA</t>
        </is>
      </c>
      <c r="G4222" t="n">
        <v>2.3</v>
      </c>
      <c r="H4222" t="n">
        <v>0</v>
      </c>
      <c r="I4222" t="n">
        <v>0</v>
      </c>
      <c r="J4222" t="n">
        <v>0</v>
      </c>
      <c r="K4222" t="n">
        <v>0</v>
      </c>
      <c r="L4222" t="n">
        <v>0</v>
      </c>
      <c r="M4222" t="n">
        <v>0</v>
      </c>
      <c r="N4222" t="n">
        <v>0</v>
      </c>
      <c r="O4222" t="n">
        <v>0</v>
      </c>
      <c r="P4222" t="n">
        <v>0</v>
      </c>
      <c r="Q4222" t="n">
        <v>0</v>
      </c>
      <c r="R4222" s="2" t="inlineStr"/>
    </row>
    <row r="4223" ht="15" customHeight="1">
      <c r="A4223" t="inlineStr">
        <is>
          <t>A 31077-2023</t>
        </is>
      </c>
      <c r="B4223" s="1" t="n">
        <v>45113.64037037037</v>
      </c>
      <c r="C4223" s="1" t="n">
        <v>46114</v>
      </c>
      <c r="D4223" t="inlineStr">
        <is>
          <t>DALARNAS LÄN</t>
        </is>
      </c>
      <c r="E4223" t="inlineStr">
        <is>
          <t>FALUN</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43248-2025</t>
        </is>
      </c>
      <c r="B4224" s="1" t="n">
        <v>45910.54983796296</v>
      </c>
      <c r="C4224" s="1" t="n">
        <v>46114</v>
      </c>
      <c r="D4224" t="inlineStr">
        <is>
          <t>DALARNAS LÄN</t>
        </is>
      </c>
      <c r="E4224" t="inlineStr">
        <is>
          <t>MALUNG-SÄLEN</t>
        </is>
      </c>
      <c r="F4224" t="inlineStr">
        <is>
          <t>Allmännings- och besparingsskogar</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60483-2023</t>
        </is>
      </c>
      <c r="B4225" s="1" t="n">
        <v>45259.61207175926</v>
      </c>
      <c r="C4225" s="1" t="n">
        <v>46114</v>
      </c>
      <c r="D4225" t="inlineStr">
        <is>
          <t>DALARNAS LÄN</t>
        </is>
      </c>
      <c r="E4225" t="inlineStr">
        <is>
          <t>RÄTTVIK</t>
        </is>
      </c>
      <c r="G4225" t="n">
        <v>5.1</v>
      </c>
      <c r="H4225" t="n">
        <v>0</v>
      </c>
      <c r="I4225" t="n">
        <v>0</v>
      </c>
      <c r="J4225" t="n">
        <v>0</v>
      </c>
      <c r="K4225" t="n">
        <v>0</v>
      </c>
      <c r="L4225" t="n">
        <v>0</v>
      </c>
      <c r="M4225" t="n">
        <v>0</v>
      </c>
      <c r="N4225" t="n">
        <v>0</v>
      </c>
      <c r="O4225" t="n">
        <v>0</v>
      </c>
      <c r="P4225" t="n">
        <v>0</v>
      </c>
      <c r="Q4225" t="n">
        <v>0</v>
      </c>
      <c r="R4225" s="2" t="inlineStr"/>
    </row>
    <row r="4226" ht="15" customHeight="1">
      <c r="A4226" t="inlineStr">
        <is>
          <t>A 43257-2025</t>
        </is>
      </c>
      <c r="B4226" s="1" t="n">
        <v>45910.55814814815</v>
      </c>
      <c r="C4226" s="1" t="n">
        <v>46114</v>
      </c>
      <c r="D4226" t="inlineStr">
        <is>
          <t>DALARNAS LÄN</t>
        </is>
      </c>
      <c r="E4226" t="inlineStr">
        <is>
          <t>FALUN</t>
        </is>
      </c>
      <c r="F4226" t="inlineStr">
        <is>
          <t>Bergvik skog väst AB</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38588-2025</t>
        </is>
      </c>
      <c r="B4227" s="1" t="n">
        <v>45884.47355324074</v>
      </c>
      <c r="C4227" s="1" t="n">
        <v>46114</v>
      </c>
      <c r="D4227" t="inlineStr">
        <is>
          <t>DALARNAS LÄN</t>
        </is>
      </c>
      <c r="E4227" t="inlineStr">
        <is>
          <t>ORSA</t>
        </is>
      </c>
      <c r="F4227" t="inlineStr">
        <is>
          <t>Bergvik skog öst AB</t>
        </is>
      </c>
      <c r="G4227" t="n">
        <v>9.5</v>
      </c>
      <c r="H4227" t="n">
        <v>0</v>
      </c>
      <c r="I4227" t="n">
        <v>0</v>
      </c>
      <c r="J4227" t="n">
        <v>0</v>
      </c>
      <c r="K4227" t="n">
        <v>0</v>
      </c>
      <c r="L4227" t="n">
        <v>0</v>
      </c>
      <c r="M4227" t="n">
        <v>0</v>
      </c>
      <c r="N4227" t="n">
        <v>0</v>
      </c>
      <c r="O4227" t="n">
        <v>0</v>
      </c>
      <c r="P4227" t="n">
        <v>0</v>
      </c>
      <c r="Q4227" t="n">
        <v>0</v>
      </c>
      <c r="R4227" s="2" t="inlineStr"/>
    </row>
    <row r="4228" ht="15" customHeight="1">
      <c r="A4228" t="inlineStr">
        <is>
          <t>A 43513-2025</t>
        </is>
      </c>
      <c r="B4228" s="1" t="n">
        <v>45911.56247685185</v>
      </c>
      <c r="C4228" s="1" t="n">
        <v>46114</v>
      </c>
      <c r="D4228" t="inlineStr">
        <is>
          <t>DALARNAS LÄN</t>
        </is>
      </c>
      <c r="E4228" t="inlineStr">
        <is>
          <t>RÄTTVIK</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32696-2025</t>
        </is>
      </c>
      <c r="B4229" s="1" t="n">
        <v>45839</v>
      </c>
      <c r="C4229" s="1" t="n">
        <v>46114</v>
      </c>
      <c r="D4229" t="inlineStr">
        <is>
          <t>DALARNAS LÄN</t>
        </is>
      </c>
      <c r="E4229" t="inlineStr">
        <is>
          <t>SMEDJEBACKEN</t>
        </is>
      </c>
      <c r="F4229" t="inlineStr">
        <is>
          <t>Sveaskog</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28487-2024</t>
        </is>
      </c>
      <c r="B4230" s="1" t="n">
        <v>45477.75744212963</v>
      </c>
      <c r="C4230" s="1" t="n">
        <v>46114</v>
      </c>
      <c r="D4230" t="inlineStr">
        <is>
          <t>DALARNAS LÄN</t>
        </is>
      </c>
      <c r="E4230" t="inlineStr">
        <is>
          <t>MORA</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23586-2023</t>
        </is>
      </c>
      <c r="B4231" s="1" t="n">
        <v>45077</v>
      </c>
      <c r="C4231" s="1" t="n">
        <v>46114</v>
      </c>
      <c r="D4231" t="inlineStr">
        <is>
          <t>DALARNAS LÄN</t>
        </is>
      </c>
      <c r="E4231" t="inlineStr">
        <is>
          <t>MORA</t>
        </is>
      </c>
      <c r="G4231" t="n">
        <v>9.199999999999999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29303-2023</t>
        </is>
      </c>
      <c r="B4232" s="1" t="n">
        <v>45105</v>
      </c>
      <c r="C4232" s="1" t="n">
        <v>46114</v>
      </c>
      <c r="D4232" t="inlineStr">
        <is>
          <t>DALARNAS LÄN</t>
        </is>
      </c>
      <c r="E4232" t="inlineStr">
        <is>
          <t>HEDEMORA</t>
        </is>
      </c>
      <c r="F4232" t="inlineStr">
        <is>
          <t>Sveaskog</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31254-2023</t>
        </is>
      </c>
      <c r="B4233" s="1" t="n">
        <v>45114</v>
      </c>
      <c r="C4233" s="1" t="n">
        <v>46114</v>
      </c>
      <c r="D4233" t="inlineStr">
        <is>
          <t>DALARNAS LÄN</t>
        </is>
      </c>
      <c r="E4233" t="inlineStr">
        <is>
          <t>LEKSAND</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43153-2025</t>
        </is>
      </c>
      <c r="B4234" s="1" t="n">
        <v>45910.34449074074</v>
      </c>
      <c r="C4234" s="1" t="n">
        <v>46114</v>
      </c>
      <c r="D4234" t="inlineStr">
        <is>
          <t>DALARNAS LÄN</t>
        </is>
      </c>
      <c r="E4234" t="inlineStr">
        <is>
          <t>MORA</t>
        </is>
      </c>
      <c r="G4234" t="n">
        <v>3.9</v>
      </c>
      <c r="H4234" t="n">
        <v>0</v>
      </c>
      <c r="I4234" t="n">
        <v>0</v>
      </c>
      <c r="J4234" t="n">
        <v>0</v>
      </c>
      <c r="K4234" t="n">
        <v>0</v>
      </c>
      <c r="L4234" t="n">
        <v>0</v>
      </c>
      <c r="M4234" t="n">
        <v>0</v>
      </c>
      <c r="N4234" t="n">
        <v>0</v>
      </c>
      <c r="O4234" t="n">
        <v>0</v>
      </c>
      <c r="P4234" t="n">
        <v>0</v>
      </c>
      <c r="Q4234" t="n">
        <v>0</v>
      </c>
      <c r="R4234" s="2" t="inlineStr"/>
    </row>
    <row r="4235" ht="15" customHeight="1">
      <c r="A4235" t="inlineStr">
        <is>
          <t>A 43585-2025</t>
        </is>
      </c>
      <c r="B4235" s="1" t="n">
        <v>45911.65087962963</v>
      </c>
      <c r="C4235" s="1" t="n">
        <v>46114</v>
      </c>
      <c r="D4235" t="inlineStr">
        <is>
          <t>DALARNAS LÄN</t>
        </is>
      </c>
      <c r="E4235" t="inlineStr">
        <is>
          <t>ÄLVDALEN</t>
        </is>
      </c>
      <c r="G4235" t="n">
        <v>2.8</v>
      </c>
      <c r="H4235" t="n">
        <v>0</v>
      </c>
      <c r="I4235" t="n">
        <v>0</v>
      </c>
      <c r="J4235" t="n">
        <v>0</v>
      </c>
      <c r="K4235" t="n">
        <v>0</v>
      </c>
      <c r="L4235" t="n">
        <v>0</v>
      </c>
      <c r="M4235" t="n">
        <v>0</v>
      </c>
      <c r="N4235" t="n">
        <v>0</v>
      </c>
      <c r="O4235" t="n">
        <v>0</v>
      </c>
      <c r="P4235" t="n">
        <v>0</v>
      </c>
      <c r="Q4235" t="n">
        <v>0</v>
      </c>
      <c r="R4235" s="2" t="inlineStr"/>
    </row>
    <row r="4236" ht="15" customHeight="1">
      <c r="A4236" t="inlineStr">
        <is>
          <t>A 43589-2025</t>
        </is>
      </c>
      <c r="B4236" s="1" t="n">
        <v>45911.65578703704</v>
      </c>
      <c r="C4236" s="1" t="n">
        <v>46114</v>
      </c>
      <c r="D4236" t="inlineStr">
        <is>
          <t>DALARNAS LÄN</t>
        </is>
      </c>
      <c r="E4236" t="inlineStr">
        <is>
          <t>MALUNG-SÄLEN</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59272-2024</t>
        </is>
      </c>
      <c r="B4237" s="1" t="n">
        <v>45637.61962962963</v>
      </c>
      <c r="C4237" s="1" t="n">
        <v>46114</v>
      </c>
      <c r="D4237" t="inlineStr">
        <is>
          <t>DALARNAS LÄN</t>
        </is>
      </c>
      <c r="E4237" t="inlineStr">
        <is>
          <t>RÄTTVIK</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21966-2024</t>
        </is>
      </c>
      <c r="B4238" s="1" t="n">
        <v>45443.5037037037</v>
      </c>
      <c r="C4238" s="1" t="n">
        <v>46114</v>
      </c>
      <c r="D4238" t="inlineStr">
        <is>
          <t>DALARNAS LÄN</t>
        </is>
      </c>
      <c r="E4238" t="inlineStr">
        <is>
          <t>VANSBRO</t>
        </is>
      </c>
      <c r="F4238" t="inlineStr">
        <is>
          <t>Bergvik skog väst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43202-2025</t>
        </is>
      </c>
      <c r="B4239" s="1" t="n">
        <v>45910.43978009259</v>
      </c>
      <c r="C4239" s="1" t="n">
        <v>46114</v>
      </c>
      <c r="D4239" t="inlineStr">
        <is>
          <t>DALARNAS LÄN</t>
        </is>
      </c>
      <c r="E4239" t="inlineStr">
        <is>
          <t>FALUN</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43449-2025</t>
        </is>
      </c>
      <c r="B4240" s="1" t="n">
        <v>45911</v>
      </c>
      <c r="C4240" s="1" t="n">
        <v>46114</v>
      </c>
      <c r="D4240" t="inlineStr">
        <is>
          <t>DALARNAS LÄN</t>
        </is>
      </c>
      <c r="E4240" t="inlineStr">
        <is>
          <t>LUDVIKA</t>
        </is>
      </c>
      <c r="F4240" t="inlineStr">
        <is>
          <t>Bergvik skog väst AB</t>
        </is>
      </c>
      <c r="G4240" t="n">
        <v>6.2</v>
      </c>
      <c r="H4240" t="n">
        <v>0</v>
      </c>
      <c r="I4240" t="n">
        <v>0</v>
      </c>
      <c r="J4240" t="n">
        <v>0</v>
      </c>
      <c r="K4240" t="n">
        <v>0</v>
      </c>
      <c r="L4240" t="n">
        <v>0</v>
      </c>
      <c r="M4240" t="n">
        <v>0</v>
      </c>
      <c r="N4240" t="n">
        <v>0</v>
      </c>
      <c r="O4240" t="n">
        <v>0</v>
      </c>
      <c r="P4240" t="n">
        <v>0</v>
      </c>
      <c r="Q4240" t="n">
        <v>0</v>
      </c>
      <c r="R4240" s="2" t="inlineStr"/>
    </row>
    <row r="4241" ht="15" customHeight="1">
      <c r="A4241" t="inlineStr">
        <is>
          <t>A 43487-2025</t>
        </is>
      </c>
      <c r="B4241" s="1" t="n">
        <v>45911.51048611111</v>
      </c>
      <c r="C4241" s="1" t="n">
        <v>46114</v>
      </c>
      <c r="D4241" t="inlineStr">
        <is>
          <t>DALARNAS LÄN</t>
        </is>
      </c>
      <c r="E4241" t="inlineStr">
        <is>
          <t>VANSBRO</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52232-2024</t>
        </is>
      </c>
      <c r="B4242" s="1" t="n">
        <v>45607</v>
      </c>
      <c r="C4242" s="1" t="n">
        <v>46114</v>
      </c>
      <c r="D4242" t="inlineStr">
        <is>
          <t>DALARNAS LÄN</t>
        </is>
      </c>
      <c r="E4242" t="inlineStr">
        <is>
          <t>FALUN</t>
        </is>
      </c>
      <c r="F4242" t="inlineStr">
        <is>
          <t>Allmännings- och besparingsskogar</t>
        </is>
      </c>
      <c r="G4242" t="n">
        <v>10.7</v>
      </c>
      <c r="H4242" t="n">
        <v>0</v>
      </c>
      <c r="I4242" t="n">
        <v>0</v>
      </c>
      <c r="J4242" t="n">
        <v>0</v>
      </c>
      <c r="K4242" t="n">
        <v>0</v>
      </c>
      <c r="L4242" t="n">
        <v>0</v>
      </c>
      <c r="M4242" t="n">
        <v>0</v>
      </c>
      <c r="N4242" t="n">
        <v>0</v>
      </c>
      <c r="O4242" t="n">
        <v>0</v>
      </c>
      <c r="P4242" t="n">
        <v>0</v>
      </c>
      <c r="Q4242" t="n">
        <v>0</v>
      </c>
      <c r="R4242" s="2" t="inlineStr"/>
    </row>
    <row r="4243" ht="15" customHeight="1">
      <c r="A4243" t="inlineStr">
        <is>
          <t>A 43474-2025</t>
        </is>
      </c>
      <c r="B4243" s="1" t="n">
        <v>45911.48967592593</v>
      </c>
      <c r="C4243" s="1" t="n">
        <v>46114</v>
      </c>
      <c r="D4243" t="inlineStr">
        <is>
          <t>DALARNAS LÄN</t>
        </is>
      </c>
      <c r="E4243" t="inlineStr">
        <is>
          <t>MORA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43457-2025</t>
        </is>
      </c>
      <c r="B4244" s="1" t="n">
        <v>45911</v>
      </c>
      <c r="C4244" s="1" t="n">
        <v>46114</v>
      </c>
      <c r="D4244" t="inlineStr">
        <is>
          <t>DALARNAS LÄN</t>
        </is>
      </c>
      <c r="E4244" t="inlineStr">
        <is>
          <t>GAGNEF</t>
        </is>
      </c>
      <c r="F4244" t="inlineStr">
        <is>
          <t>Bergvik skog väst AB</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43830-2025</t>
        </is>
      </c>
      <c r="B4245" s="1" t="n">
        <v>45912</v>
      </c>
      <c r="C4245" s="1" t="n">
        <v>46114</v>
      </c>
      <c r="D4245" t="inlineStr">
        <is>
          <t>DALARNAS LÄN</t>
        </is>
      </c>
      <c r="E4245" t="inlineStr">
        <is>
          <t>LEKSAND</t>
        </is>
      </c>
      <c r="F4245" t="inlineStr">
        <is>
          <t>Bergvik skog väst AB</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3990-2025</t>
        </is>
      </c>
      <c r="B4246" s="1" t="n">
        <v>45684.55741898148</v>
      </c>
      <c r="C4246" s="1" t="n">
        <v>46114</v>
      </c>
      <c r="D4246" t="inlineStr">
        <is>
          <t>DALARNAS LÄN</t>
        </is>
      </c>
      <c r="E4246" t="inlineStr">
        <is>
          <t>AVESTA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43856-2025</t>
        </is>
      </c>
      <c r="B4247" s="1" t="n">
        <v>45912.64748842592</v>
      </c>
      <c r="C4247" s="1" t="n">
        <v>46114</v>
      </c>
      <c r="D4247" t="inlineStr">
        <is>
          <t>DALARNAS LÄN</t>
        </is>
      </c>
      <c r="E4247" t="inlineStr">
        <is>
          <t>FALUN</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43888-2025</t>
        </is>
      </c>
      <c r="B4248" s="1" t="n">
        <v>45912</v>
      </c>
      <c r="C4248" s="1" t="n">
        <v>46114</v>
      </c>
      <c r="D4248" t="inlineStr">
        <is>
          <t>DALARNAS LÄN</t>
        </is>
      </c>
      <c r="E4248" t="inlineStr">
        <is>
          <t>LEKSAND</t>
        </is>
      </c>
      <c r="F4248" t="inlineStr">
        <is>
          <t>Bergvik skog väst AB</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44088-2025</t>
        </is>
      </c>
      <c r="B4249" s="1" t="n">
        <v>45915.5579050926</v>
      </c>
      <c r="C4249" s="1" t="n">
        <v>46114</v>
      </c>
      <c r="D4249" t="inlineStr">
        <is>
          <t>DALARNAS LÄN</t>
        </is>
      </c>
      <c r="E4249" t="inlineStr">
        <is>
          <t>MALUNG-SÄLEN</t>
        </is>
      </c>
      <c r="F4249" t="inlineStr">
        <is>
          <t>Bergvik skog öst AB</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43925-2025</t>
        </is>
      </c>
      <c r="B4250" s="1" t="n">
        <v>45915</v>
      </c>
      <c r="C4250" s="1" t="n">
        <v>46114</v>
      </c>
      <c r="D4250" t="inlineStr">
        <is>
          <t>DALARNAS LÄN</t>
        </is>
      </c>
      <c r="E4250" t="inlineStr">
        <is>
          <t>LUDVIKA</t>
        </is>
      </c>
      <c r="F4250" t="inlineStr">
        <is>
          <t>Bergvik skog väst AB</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44139-2023</t>
        </is>
      </c>
      <c r="B4251" s="1" t="n">
        <v>45188</v>
      </c>
      <c r="C4251" s="1" t="n">
        <v>46114</v>
      </c>
      <c r="D4251" t="inlineStr">
        <is>
          <t>DALARNAS LÄN</t>
        </is>
      </c>
      <c r="E4251" t="inlineStr">
        <is>
          <t>MALUNG-SÄLEN</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44149-2023</t>
        </is>
      </c>
      <c r="B4252" s="1" t="n">
        <v>45188.47653935185</v>
      </c>
      <c r="C4252" s="1" t="n">
        <v>46114</v>
      </c>
      <c r="D4252" t="inlineStr">
        <is>
          <t>DALARNAS LÄN</t>
        </is>
      </c>
      <c r="E4252" t="inlineStr">
        <is>
          <t>GAGNEF</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43781-2025</t>
        </is>
      </c>
      <c r="B4253" s="1" t="n">
        <v>45912.52229166667</v>
      </c>
      <c r="C4253" s="1" t="n">
        <v>46114</v>
      </c>
      <c r="D4253" t="inlineStr">
        <is>
          <t>DALARNAS LÄN</t>
        </is>
      </c>
      <c r="E4253" t="inlineStr">
        <is>
          <t>LEKSAND</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44803-2023</t>
        </is>
      </c>
      <c r="B4254" s="1" t="n">
        <v>45190</v>
      </c>
      <c r="C4254" s="1" t="n">
        <v>46114</v>
      </c>
      <c r="D4254" t="inlineStr">
        <is>
          <t>DALARNAS LÄN</t>
        </is>
      </c>
      <c r="E4254" t="inlineStr">
        <is>
          <t>SÄTER</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43819-2025</t>
        </is>
      </c>
      <c r="B4255" s="1" t="n">
        <v>45912.60305555556</v>
      </c>
      <c r="C4255" s="1" t="n">
        <v>46114</v>
      </c>
      <c r="D4255" t="inlineStr">
        <is>
          <t>DALARNAS LÄN</t>
        </is>
      </c>
      <c r="E4255" t="inlineStr">
        <is>
          <t>VANSBRO</t>
        </is>
      </c>
      <c r="G4255" t="n">
        <v>4.9</v>
      </c>
      <c r="H4255" t="n">
        <v>0</v>
      </c>
      <c r="I4255" t="n">
        <v>0</v>
      </c>
      <c r="J4255" t="n">
        <v>0</v>
      </c>
      <c r="K4255" t="n">
        <v>0</v>
      </c>
      <c r="L4255" t="n">
        <v>0</v>
      </c>
      <c r="M4255" t="n">
        <v>0</v>
      </c>
      <c r="N4255" t="n">
        <v>0</v>
      </c>
      <c r="O4255" t="n">
        <v>0</v>
      </c>
      <c r="P4255" t="n">
        <v>0</v>
      </c>
      <c r="Q4255" t="n">
        <v>0</v>
      </c>
      <c r="R4255" s="2" t="inlineStr"/>
    </row>
    <row r="4256" ht="15" customHeight="1">
      <c r="A4256" t="inlineStr">
        <is>
          <t>A 43824-2025</t>
        </is>
      </c>
      <c r="B4256" s="1" t="n">
        <v>45912</v>
      </c>
      <c r="C4256" s="1" t="n">
        <v>46114</v>
      </c>
      <c r="D4256" t="inlineStr">
        <is>
          <t>DALARNAS LÄN</t>
        </is>
      </c>
      <c r="E4256" t="inlineStr">
        <is>
          <t>VANSBRO</t>
        </is>
      </c>
      <c r="G4256" t="n">
        <v>8.6</v>
      </c>
      <c r="H4256" t="n">
        <v>0</v>
      </c>
      <c r="I4256" t="n">
        <v>0</v>
      </c>
      <c r="J4256" t="n">
        <v>0</v>
      </c>
      <c r="K4256" t="n">
        <v>0</v>
      </c>
      <c r="L4256" t="n">
        <v>0</v>
      </c>
      <c r="M4256" t="n">
        <v>0</v>
      </c>
      <c r="N4256" t="n">
        <v>0</v>
      </c>
      <c r="O4256" t="n">
        <v>0</v>
      </c>
      <c r="P4256" t="n">
        <v>0</v>
      </c>
      <c r="Q4256" t="n">
        <v>0</v>
      </c>
      <c r="R4256" s="2" t="inlineStr"/>
    </row>
    <row r="4257" ht="15" customHeight="1">
      <c r="A4257" t="inlineStr">
        <is>
          <t>A 44119-2025</t>
        </is>
      </c>
      <c r="B4257" s="1" t="n">
        <v>45915.57738425926</v>
      </c>
      <c r="C4257" s="1" t="n">
        <v>46114</v>
      </c>
      <c r="D4257" t="inlineStr">
        <is>
          <t>DALARNAS LÄN</t>
        </is>
      </c>
      <c r="E4257" t="inlineStr">
        <is>
          <t>ORSA</t>
        </is>
      </c>
      <c r="F4257" t="inlineStr">
        <is>
          <t>Allmännings- och besparingsskogar</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44121-2025</t>
        </is>
      </c>
      <c r="B4258" s="1" t="n">
        <v>45915.57792824074</v>
      </c>
      <c r="C4258" s="1" t="n">
        <v>46114</v>
      </c>
      <c r="D4258" t="inlineStr">
        <is>
          <t>DALARNAS LÄN</t>
        </is>
      </c>
      <c r="E4258" t="inlineStr">
        <is>
          <t>ORSA</t>
        </is>
      </c>
      <c r="F4258" t="inlineStr">
        <is>
          <t>Allmännings- och besparingsskogar</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21174-2024</t>
        </is>
      </c>
      <c r="B4259" s="1" t="n">
        <v>45440.46175925926</v>
      </c>
      <c r="C4259" s="1" t="n">
        <v>46114</v>
      </c>
      <c r="D4259" t="inlineStr">
        <is>
          <t>DALARNAS LÄN</t>
        </is>
      </c>
      <c r="E4259" t="inlineStr">
        <is>
          <t>RÄTTVIK</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32894-2023</t>
        </is>
      </c>
      <c r="B4260" s="1" t="n">
        <v>45124.8894212963</v>
      </c>
      <c r="C4260" s="1" t="n">
        <v>46114</v>
      </c>
      <c r="D4260" t="inlineStr">
        <is>
          <t>DALARNAS LÄN</t>
        </is>
      </c>
      <c r="E4260" t="inlineStr">
        <is>
          <t>RÄTTVIK</t>
        </is>
      </c>
      <c r="G4260" t="n">
        <v>4.3</v>
      </c>
      <c r="H4260" t="n">
        <v>0</v>
      </c>
      <c r="I4260" t="n">
        <v>0</v>
      </c>
      <c r="J4260" t="n">
        <v>0</v>
      </c>
      <c r="K4260" t="n">
        <v>0</v>
      </c>
      <c r="L4260" t="n">
        <v>0</v>
      </c>
      <c r="M4260" t="n">
        <v>0</v>
      </c>
      <c r="N4260" t="n">
        <v>0</v>
      </c>
      <c r="O4260" t="n">
        <v>0</v>
      </c>
      <c r="P4260" t="n">
        <v>0</v>
      </c>
      <c r="Q4260" t="n">
        <v>0</v>
      </c>
      <c r="R4260" s="2" t="inlineStr"/>
    </row>
    <row r="4261" ht="15" customHeight="1">
      <c r="A4261" t="inlineStr">
        <is>
          <t>A 23283-2024</t>
        </is>
      </c>
      <c r="B4261" s="1" t="n">
        <v>45453</v>
      </c>
      <c r="C4261" s="1" t="n">
        <v>46114</v>
      </c>
      <c r="D4261" t="inlineStr">
        <is>
          <t>DALARNAS LÄN</t>
        </is>
      </c>
      <c r="E4261" t="inlineStr">
        <is>
          <t>LEKSAND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43998-2025</t>
        </is>
      </c>
      <c r="B4262" s="1" t="n">
        <v>45915</v>
      </c>
      <c r="C4262" s="1" t="n">
        <v>46114</v>
      </c>
      <c r="D4262" t="inlineStr">
        <is>
          <t>DALARNAS LÄN</t>
        </is>
      </c>
      <c r="E4262" t="inlineStr">
        <is>
          <t>ÄLVDALEN</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4954-2025</t>
        </is>
      </c>
      <c r="B4263" s="1" t="n">
        <v>45689.53123842592</v>
      </c>
      <c r="C4263" s="1" t="n">
        <v>46114</v>
      </c>
      <c r="D4263" t="inlineStr">
        <is>
          <t>DALARNAS LÄN</t>
        </is>
      </c>
      <c r="E4263" t="inlineStr">
        <is>
          <t>VANSBRO</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39807-2024</t>
        </is>
      </c>
      <c r="B4264" s="1" t="n">
        <v>45553.35763888889</v>
      </c>
      <c r="C4264" s="1" t="n">
        <v>46114</v>
      </c>
      <c r="D4264" t="inlineStr">
        <is>
          <t>DALARNAS LÄN</t>
        </is>
      </c>
      <c r="E4264" t="inlineStr">
        <is>
          <t>LEKSAND</t>
        </is>
      </c>
      <c r="F4264" t="inlineStr">
        <is>
          <t>Bergvik skog väst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44204-2025</t>
        </is>
      </c>
      <c r="B4265" s="1" t="n">
        <v>45915.62581018519</v>
      </c>
      <c r="C4265" s="1" t="n">
        <v>46114</v>
      </c>
      <c r="D4265" t="inlineStr">
        <is>
          <t>DALARNAS LÄN</t>
        </is>
      </c>
      <c r="E4265" t="inlineStr">
        <is>
          <t>MALUNG-SÄLEN</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13209-2022</t>
        </is>
      </c>
      <c r="B4266" s="1" t="n">
        <v>44644.56325231482</v>
      </c>
      <c r="C4266" s="1" t="n">
        <v>46114</v>
      </c>
      <c r="D4266" t="inlineStr">
        <is>
          <t>DALARNAS LÄN</t>
        </is>
      </c>
      <c r="E4266" t="inlineStr">
        <is>
          <t>ORSA</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38502-2025</t>
        </is>
      </c>
      <c r="B4267" s="1" t="n">
        <v>45884.37982638889</v>
      </c>
      <c r="C4267" s="1" t="n">
        <v>46114</v>
      </c>
      <c r="D4267" t="inlineStr">
        <is>
          <t>DALARNAS LÄN</t>
        </is>
      </c>
      <c r="E4267" t="inlineStr">
        <is>
          <t>RÄTTVIK</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44197-2025</t>
        </is>
      </c>
      <c r="B4268" s="1" t="n">
        <v>45915.61997685185</v>
      </c>
      <c r="C4268" s="1" t="n">
        <v>46114</v>
      </c>
      <c r="D4268" t="inlineStr">
        <is>
          <t>DALARNAS LÄN</t>
        </is>
      </c>
      <c r="E4268" t="inlineStr">
        <is>
          <t>SMEDJEBACKEN</t>
        </is>
      </c>
      <c r="G4268" t="n">
        <v>8.199999999999999</v>
      </c>
      <c r="H4268" t="n">
        <v>0</v>
      </c>
      <c r="I4268" t="n">
        <v>0</v>
      </c>
      <c r="J4268" t="n">
        <v>0</v>
      </c>
      <c r="K4268" t="n">
        <v>0</v>
      </c>
      <c r="L4268" t="n">
        <v>0</v>
      </c>
      <c r="M4268" t="n">
        <v>0</v>
      </c>
      <c r="N4268" t="n">
        <v>0</v>
      </c>
      <c r="O4268" t="n">
        <v>0</v>
      </c>
      <c r="P4268" t="n">
        <v>0</v>
      </c>
      <c r="Q4268" t="n">
        <v>0</v>
      </c>
      <c r="R4268" s="2" t="inlineStr"/>
      <c r="U4268">
        <f>HYPERLINK("https://klasma.github.io/Logging_2061/knärot/A 44197-2025 karta knärot.png", "A 44197-2025")</f>
        <v/>
      </c>
      <c r="V4268">
        <f>HYPERLINK("https://klasma.github.io/Logging_2061/klagomål/A 44197-2025 FSC-klagomål.docx", "A 44197-2025")</f>
        <v/>
      </c>
      <c r="W4268">
        <f>HYPERLINK("https://klasma.github.io/Logging_2061/klagomålsmail/A 44197-2025 FSC-klagomål mail.docx", "A 44197-2025")</f>
        <v/>
      </c>
      <c r="X4268">
        <f>HYPERLINK("https://klasma.github.io/Logging_2061/tillsyn/A 44197-2025 tillsynsbegäran.docx", "A 44197-2025")</f>
        <v/>
      </c>
      <c r="Y4268">
        <f>HYPERLINK("https://klasma.github.io/Logging_2061/tillsynsmail/A 44197-2025 tillsynsbegäran mail.docx", "A 44197-2025")</f>
        <v/>
      </c>
    </row>
    <row r="4269" ht="15" customHeight="1">
      <c r="A4269" t="inlineStr">
        <is>
          <t>A 43935-2025</t>
        </is>
      </c>
      <c r="B4269" s="1" t="n">
        <v>45915.34190972222</v>
      </c>
      <c r="C4269" s="1" t="n">
        <v>46114</v>
      </c>
      <c r="D4269" t="inlineStr">
        <is>
          <t>DALARNAS LÄN</t>
        </is>
      </c>
      <c r="E4269" t="inlineStr">
        <is>
          <t>RÄTTVIK</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43941-2025</t>
        </is>
      </c>
      <c r="B4270" s="1" t="n">
        <v>45915.36021990741</v>
      </c>
      <c r="C4270" s="1" t="n">
        <v>46114</v>
      </c>
      <c r="D4270" t="inlineStr">
        <is>
          <t>DALARNAS LÄN</t>
        </is>
      </c>
      <c r="E4270" t="inlineStr">
        <is>
          <t>RÄTTVIK</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15916-2024</t>
        </is>
      </c>
      <c r="B4271" s="1" t="n">
        <v>45405</v>
      </c>
      <c r="C4271" s="1" t="n">
        <v>46114</v>
      </c>
      <c r="D4271" t="inlineStr">
        <is>
          <t>DALARNAS LÄN</t>
        </is>
      </c>
      <c r="E4271" t="inlineStr">
        <is>
          <t>MALUNG-SÄLEN</t>
        </is>
      </c>
      <c r="F4271" t="inlineStr">
        <is>
          <t>Bergvik skog öst AB</t>
        </is>
      </c>
      <c r="G4271" t="n">
        <v>12.5</v>
      </c>
      <c r="H4271" t="n">
        <v>0</v>
      </c>
      <c r="I4271" t="n">
        <v>0</v>
      </c>
      <c r="J4271" t="n">
        <v>0</v>
      </c>
      <c r="K4271" t="n">
        <v>0</v>
      </c>
      <c r="L4271" t="n">
        <v>0</v>
      </c>
      <c r="M4271" t="n">
        <v>0</v>
      </c>
      <c r="N4271" t="n">
        <v>0</v>
      </c>
      <c r="O4271" t="n">
        <v>0</v>
      </c>
      <c r="P4271" t="n">
        <v>0</v>
      </c>
      <c r="Q4271" t="n">
        <v>0</v>
      </c>
      <c r="R4271" s="2" t="inlineStr"/>
    </row>
    <row r="4272" ht="15" customHeight="1">
      <c r="A4272" t="inlineStr">
        <is>
          <t>A 52432-2024</t>
        </is>
      </c>
      <c r="B4272" s="1" t="n">
        <v>45608</v>
      </c>
      <c r="C4272" s="1" t="n">
        <v>46114</v>
      </c>
      <c r="D4272" t="inlineStr">
        <is>
          <t>DALARNAS LÄN</t>
        </is>
      </c>
      <c r="E4272" t="inlineStr">
        <is>
          <t>GAGNEF</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28249-2023</t>
        </is>
      </c>
      <c r="B4273" s="1" t="n">
        <v>45099.59907407407</v>
      </c>
      <c r="C4273" s="1" t="n">
        <v>46114</v>
      </c>
      <c r="D4273" t="inlineStr">
        <is>
          <t>DALARNAS LÄN</t>
        </is>
      </c>
      <c r="E4273" t="inlineStr">
        <is>
          <t>FALUN</t>
        </is>
      </c>
      <c r="F4273" t="inlineStr">
        <is>
          <t>Bergvik skog väst AB</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44053-2025</t>
        </is>
      </c>
      <c r="B4274" s="1" t="n">
        <v>45915.51239583334</v>
      </c>
      <c r="C4274" s="1" t="n">
        <v>46114</v>
      </c>
      <c r="D4274" t="inlineStr">
        <is>
          <t>DALARNAS LÄN</t>
        </is>
      </c>
      <c r="E4274" t="inlineStr">
        <is>
          <t>ORSA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58972-2023</t>
        </is>
      </c>
      <c r="B4275" s="1" t="n">
        <v>45252</v>
      </c>
      <c r="C4275" s="1" t="n">
        <v>46114</v>
      </c>
      <c r="D4275" t="inlineStr">
        <is>
          <t>DALARNAS LÄN</t>
        </is>
      </c>
      <c r="E4275" t="inlineStr">
        <is>
          <t>MORA</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44238-2025</t>
        </is>
      </c>
      <c r="B4276" s="1" t="n">
        <v>45915.67001157408</v>
      </c>
      <c r="C4276" s="1" t="n">
        <v>46114</v>
      </c>
      <c r="D4276" t="inlineStr">
        <is>
          <t>DALARNAS LÄN</t>
        </is>
      </c>
      <c r="E4276" t="inlineStr">
        <is>
          <t>VANSBRO</t>
        </is>
      </c>
      <c r="G4276" t="n">
        <v>4.2</v>
      </c>
      <c r="H4276" t="n">
        <v>0</v>
      </c>
      <c r="I4276" t="n">
        <v>0</v>
      </c>
      <c r="J4276" t="n">
        <v>0</v>
      </c>
      <c r="K4276" t="n">
        <v>0</v>
      </c>
      <c r="L4276" t="n">
        <v>0</v>
      </c>
      <c r="M4276" t="n">
        <v>0</v>
      </c>
      <c r="N4276" t="n">
        <v>0</v>
      </c>
      <c r="O4276" t="n">
        <v>0</v>
      </c>
      <c r="P4276" t="n">
        <v>0</v>
      </c>
      <c r="Q4276" t="n">
        <v>0</v>
      </c>
      <c r="R4276" s="2" t="inlineStr"/>
    </row>
    <row r="4277" ht="15" customHeight="1">
      <c r="A4277" t="inlineStr">
        <is>
          <t>A 43706-2025</t>
        </is>
      </c>
      <c r="B4277" s="1" t="n">
        <v>45912.40556712963</v>
      </c>
      <c r="C4277" s="1" t="n">
        <v>46114</v>
      </c>
      <c r="D4277" t="inlineStr">
        <is>
          <t>DALARNAS LÄN</t>
        </is>
      </c>
      <c r="E4277" t="inlineStr">
        <is>
          <t>GAGNEF</t>
        </is>
      </c>
      <c r="G4277" t="n">
        <v>3.4</v>
      </c>
      <c r="H4277" t="n">
        <v>0</v>
      </c>
      <c r="I4277" t="n">
        <v>0</v>
      </c>
      <c r="J4277" t="n">
        <v>0</v>
      </c>
      <c r="K4277" t="n">
        <v>0</v>
      </c>
      <c r="L4277" t="n">
        <v>0</v>
      </c>
      <c r="M4277" t="n">
        <v>0</v>
      </c>
      <c r="N4277" t="n">
        <v>0</v>
      </c>
      <c r="O4277" t="n">
        <v>0</v>
      </c>
      <c r="P4277" t="n">
        <v>0</v>
      </c>
      <c r="Q4277" t="n">
        <v>0</v>
      </c>
      <c r="R4277" s="2" t="inlineStr"/>
    </row>
    <row r="4278" ht="15" customHeight="1">
      <c r="A4278" t="inlineStr">
        <is>
          <t>A 43713-2025</t>
        </is>
      </c>
      <c r="B4278" s="1" t="n">
        <v>45912.40796296296</v>
      </c>
      <c r="C4278" s="1" t="n">
        <v>46114</v>
      </c>
      <c r="D4278" t="inlineStr">
        <is>
          <t>DALARNAS LÄN</t>
        </is>
      </c>
      <c r="E4278" t="inlineStr">
        <is>
          <t>GAGNEF</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44237-2025</t>
        </is>
      </c>
      <c r="B4279" s="1" t="n">
        <v>45915.6677199074</v>
      </c>
      <c r="C4279" s="1" t="n">
        <v>46114</v>
      </c>
      <c r="D4279" t="inlineStr">
        <is>
          <t>DALARNAS LÄN</t>
        </is>
      </c>
      <c r="E4279" t="inlineStr">
        <is>
          <t>LEKSAND</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11594-2023</t>
        </is>
      </c>
      <c r="B4280" s="1" t="n">
        <v>44994.37497685185</v>
      </c>
      <c r="C4280" s="1" t="n">
        <v>46114</v>
      </c>
      <c r="D4280" t="inlineStr">
        <is>
          <t>DALARNAS LÄN</t>
        </is>
      </c>
      <c r="E4280" t="inlineStr">
        <is>
          <t>MALUNG-SÄLEN</t>
        </is>
      </c>
      <c r="G4280" t="n">
        <v>3</v>
      </c>
      <c r="H4280" t="n">
        <v>0</v>
      </c>
      <c r="I4280" t="n">
        <v>0</v>
      </c>
      <c r="J4280" t="n">
        <v>0</v>
      </c>
      <c r="K4280" t="n">
        <v>0</v>
      </c>
      <c r="L4280" t="n">
        <v>0</v>
      </c>
      <c r="M4280" t="n">
        <v>0</v>
      </c>
      <c r="N4280" t="n">
        <v>0</v>
      </c>
      <c r="O4280" t="n">
        <v>0</v>
      </c>
      <c r="P4280" t="n">
        <v>0</v>
      </c>
      <c r="Q4280" t="n">
        <v>0</v>
      </c>
      <c r="R4280" s="2" t="inlineStr"/>
    </row>
    <row r="4281" ht="15" customHeight="1">
      <c r="A4281" t="inlineStr">
        <is>
          <t>A 43917-2025</t>
        </is>
      </c>
      <c r="B4281" s="1" t="n">
        <v>45914.86606481481</v>
      </c>
      <c r="C4281" s="1" t="n">
        <v>46114</v>
      </c>
      <c r="D4281" t="inlineStr">
        <is>
          <t>DALARNAS LÄN</t>
        </is>
      </c>
      <c r="E4281" t="inlineStr">
        <is>
          <t>FALUN</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1463-2024</t>
        </is>
      </c>
      <c r="B4282" s="1" t="n">
        <v>45303</v>
      </c>
      <c r="C4282" s="1" t="n">
        <v>46114</v>
      </c>
      <c r="D4282" t="inlineStr">
        <is>
          <t>DALARNAS LÄN</t>
        </is>
      </c>
      <c r="E4282" t="inlineStr">
        <is>
          <t>LEKSAND</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16600-2024</t>
        </is>
      </c>
      <c r="B4283" s="1" t="n">
        <v>45408.52436342592</v>
      </c>
      <c r="C4283" s="1" t="n">
        <v>46114</v>
      </c>
      <c r="D4283" t="inlineStr">
        <is>
          <t>DALARNAS LÄN</t>
        </is>
      </c>
      <c r="E4283" t="inlineStr">
        <is>
          <t>SMEDJEBACKEN</t>
        </is>
      </c>
      <c r="F4283" t="inlineStr">
        <is>
          <t>Sveaskog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16611-2024</t>
        </is>
      </c>
      <c r="B4284" s="1" t="n">
        <v>45408.55504629629</v>
      </c>
      <c r="C4284" s="1" t="n">
        <v>46114</v>
      </c>
      <c r="D4284" t="inlineStr">
        <is>
          <t>DALARNAS LÄN</t>
        </is>
      </c>
      <c r="E4284" t="inlineStr">
        <is>
          <t>LEKSAND</t>
        </is>
      </c>
      <c r="G4284" t="n">
        <v>5.9</v>
      </c>
      <c r="H4284" t="n">
        <v>0</v>
      </c>
      <c r="I4284" t="n">
        <v>0</v>
      </c>
      <c r="J4284" t="n">
        <v>0</v>
      </c>
      <c r="K4284" t="n">
        <v>0</v>
      </c>
      <c r="L4284" t="n">
        <v>0</v>
      </c>
      <c r="M4284" t="n">
        <v>0</v>
      </c>
      <c r="N4284" t="n">
        <v>0</v>
      </c>
      <c r="O4284" t="n">
        <v>0</v>
      </c>
      <c r="P4284" t="n">
        <v>0</v>
      </c>
      <c r="Q4284" t="n">
        <v>0</v>
      </c>
      <c r="R4284" s="2" t="inlineStr"/>
    </row>
    <row r="4285" ht="15" customHeight="1">
      <c r="A4285" t="inlineStr">
        <is>
          <t>A 1699-2025</t>
        </is>
      </c>
      <c r="B4285" s="1" t="n">
        <v>45670.74568287037</v>
      </c>
      <c r="C4285" s="1" t="n">
        <v>46114</v>
      </c>
      <c r="D4285" t="inlineStr">
        <is>
          <t>DALARNAS LÄN</t>
        </is>
      </c>
      <c r="E4285" t="inlineStr">
        <is>
          <t>FALUN</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43965-2025</t>
        </is>
      </c>
      <c r="B4286" s="1" t="n">
        <v>45915.40027777778</v>
      </c>
      <c r="C4286" s="1" t="n">
        <v>46114</v>
      </c>
      <c r="D4286" t="inlineStr">
        <is>
          <t>DALARNAS LÄN</t>
        </is>
      </c>
      <c r="E4286" t="inlineStr">
        <is>
          <t>ORSA</t>
        </is>
      </c>
      <c r="F4286" t="inlineStr">
        <is>
          <t>Allmännings- och besparingsskogar</t>
        </is>
      </c>
      <c r="G4286" t="n">
        <v>11.5</v>
      </c>
      <c r="H4286" t="n">
        <v>0</v>
      </c>
      <c r="I4286" t="n">
        <v>0</v>
      </c>
      <c r="J4286" t="n">
        <v>0</v>
      </c>
      <c r="K4286" t="n">
        <v>0</v>
      </c>
      <c r="L4286" t="n">
        <v>0</v>
      </c>
      <c r="M4286" t="n">
        <v>0</v>
      </c>
      <c r="N4286" t="n">
        <v>0</v>
      </c>
      <c r="O4286" t="n">
        <v>0</v>
      </c>
      <c r="P4286" t="n">
        <v>0</v>
      </c>
      <c r="Q4286" t="n">
        <v>0</v>
      </c>
      <c r="R4286" s="2" t="inlineStr"/>
    </row>
    <row r="4287" ht="15" customHeight="1">
      <c r="A4287" t="inlineStr">
        <is>
          <t>A 44117-2025</t>
        </is>
      </c>
      <c r="B4287" s="1" t="n">
        <v>45915.57677083334</v>
      </c>
      <c r="C4287" s="1" t="n">
        <v>46114</v>
      </c>
      <c r="D4287" t="inlineStr">
        <is>
          <t>DALARNAS LÄN</t>
        </is>
      </c>
      <c r="E4287" t="inlineStr">
        <is>
          <t>ORSA</t>
        </is>
      </c>
      <c r="F4287" t="inlineStr">
        <is>
          <t>Allmännings- och besparingsskogar</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58954-2023</t>
        </is>
      </c>
      <c r="B4288" s="1" t="n">
        <v>45252.59219907408</v>
      </c>
      <c r="C4288" s="1" t="n">
        <v>46114</v>
      </c>
      <c r="D4288" t="inlineStr">
        <is>
          <t>DALARNAS LÄN</t>
        </is>
      </c>
      <c r="E4288" t="inlineStr">
        <is>
          <t>MALUNG-SÄLEN</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2722-2024</t>
        </is>
      </c>
      <c r="B4289" s="1" t="n">
        <v>45314</v>
      </c>
      <c r="C4289" s="1" t="n">
        <v>46114</v>
      </c>
      <c r="D4289" t="inlineStr">
        <is>
          <t>DALARNAS LÄN</t>
        </is>
      </c>
      <c r="E4289" t="inlineStr">
        <is>
          <t>RÄTTVIK</t>
        </is>
      </c>
      <c r="G4289" t="n">
        <v>5</v>
      </c>
      <c r="H4289" t="n">
        <v>0</v>
      </c>
      <c r="I4289" t="n">
        <v>0</v>
      </c>
      <c r="J4289" t="n">
        <v>0</v>
      </c>
      <c r="K4289" t="n">
        <v>0</v>
      </c>
      <c r="L4289" t="n">
        <v>0</v>
      </c>
      <c r="M4289" t="n">
        <v>0</v>
      </c>
      <c r="N4289" t="n">
        <v>0</v>
      </c>
      <c r="O4289" t="n">
        <v>0</v>
      </c>
      <c r="P4289" t="n">
        <v>0</v>
      </c>
      <c r="Q4289" t="n">
        <v>0</v>
      </c>
      <c r="R4289" s="2" t="inlineStr"/>
    </row>
    <row r="4290" ht="15" customHeight="1">
      <c r="A4290" t="inlineStr">
        <is>
          <t>A 43693-2025</t>
        </is>
      </c>
      <c r="B4290" s="1" t="n">
        <v>45912.39274305556</v>
      </c>
      <c r="C4290" s="1" t="n">
        <v>46114</v>
      </c>
      <c r="D4290" t="inlineStr">
        <is>
          <t>DALARNAS LÄN</t>
        </is>
      </c>
      <c r="E4290" t="inlineStr">
        <is>
          <t>MALUNG-SÄLEN</t>
        </is>
      </c>
      <c r="F4290" t="inlineStr">
        <is>
          <t>Bergvik skog öst AB</t>
        </is>
      </c>
      <c r="G4290" t="n">
        <v>5.6</v>
      </c>
      <c r="H4290" t="n">
        <v>0</v>
      </c>
      <c r="I4290" t="n">
        <v>0</v>
      </c>
      <c r="J4290" t="n">
        <v>0</v>
      </c>
      <c r="K4290" t="n">
        <v>0</v>
      </c>
      <c r="L4290" t="n">
        <v>0</v>
      </c>
      <c r="M4290" t="n">
        <v>0</v>
      </c>
      <c r="N4290" t="n">
        <v>0</v>
      </c>
      <c r="O4290" t="n">
        <v>0</v>
      </c>
      <c r="P4290" t="n">
        <v>0</v>
      </c>
      <c r="Q4290" t="n">
        <v>0</v>
      </c>
      <c r="R4290" s="2" t="inlineStr"/>
    </row>
    <row r="4291" ht="15" customHeight="1">
      <c r="A4291" t="inlineStr">
        <is>
          <t>A 26301-2023</t>
        </is>
      </c>
      <c r="B4291" s="1" t="n">
        <v>45091</v>
      </c>
      <c r="C4291" s="1" t="n">
        <v>46114</v>
      </c>
      <c r="D4291" t="inlineStr">
        <is>
          <t>DALARNAS LÄN</t>
        </is>
      </c>
      <c r="E4291" t="inlineStr">
        <is>
          <t>ORSA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43875-2025</t>
        </is>
      </c>
      <c r="B4292" s="1" t="n">
        <v>45912.67685185185</v>
      </c>
      <c r="C4292" s="1" t="n">
        <v>46114</v>
      </c>
      <c r="D4292" t="inlineStr">
        <is>
          <t>DALARNAS LÄN</t>
        </is>
      </c>
      <c r="E4292" t="inlineStr">
        <is>
          <t>LEKSAND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44129-2025</t>
        </is>
      </c>
      <c r="B4293" s="1" t="n">
        <v>45915.58392361111</v>
      </c>
      <c r="C4293" s="1" t="n">
        <v>46114</v>
      </c>
      <c r="D4293" t="inlineStr">
        <is>
          <t>DALARNAS LÄN</t>
        </is>
      </c>
      <c r="E4293" t="inlineStr">
        <is>
          <t>ORSA</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43811-2025</t>
        </is>
      </c>
      <c r="B4294" s="1" t="n">
        <v>45912.58710648148</v>
      </c>
      <c r="C4294" s="1" t="n">
        <v>46114</v>
      </c>
      <c r="D4294" t="inlineStr">
        <is>
          <t>DALARNAS LÄN</t>
        </is>
      </c>
      <c r="E4294" t="inlineStr">
        <is>
          <t>MORA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44546-2024</t>
        </is>
      </c>
      <c r="B4295" s="1" t="n">
        <v>45574</v>
      </c>
      <c r="C4295" s="1" t="n">
        <v>46114</v>
      </c>
      <c r="D4295" t="inlineStr">
        <is>
          <t>DALARNAS LÄN</t>
        </is>
      </c>
      <c r="E4295" t="inlineStr">
        <is>
          <t>GAGNEF</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43967-2025</t>
        </is>
      </c>
      <c r="B4296" s="1" t="n">
        <v>45915.40188657407</v>
      </c>
      <c r="C4296" s="1" t="n">
        <v>46114</v>
      </c>
      <c r="D4296" t="inlineStr">
        <is>
          <t>DALARNAS LÄN</t>
        </is>
      </c>
      <c r="E4296" t="inlineStr">
        <is>
          <t>ORSA</t>
        </is>
      </c>
      <c r="F4296" t="inlineStr">
        <is>
          <t>Allmännings- och besparingsskogar</t>
        </is>
      </c>
      <c r="G4296" t="n">
        <v>8.4</v>
      </c>
      <c r="H4296" t="n">
        <v>0</v>
      </c>
      <c r="I4296" t="n">
        <v>0</v>
      </c>
      <c r="J4296" t="n">
        <v>0</v>
      </c>
      <c r="K4296" t="n">
        <v>0</v>
      </c>
      <c r="L4296" t="n">
        <v>0</v>
      </c>
      <c r="M4296" t="n">
        <v>0</v>
      </c>
      <c r="N4296" t="n">
        <v>0</v>
      </c>
      <c r="O4296" t="n">
        <v>0</v>
      </c>
      <c r="P4296" t="n">
        <v>0</v>
      </c>
      <c r="Q4296" t="n">
        <v>0</v>
      </c>
      <c r="R4296" s="2" t="inlineStr"/>
    </row>
    <row r="4297" ht="15" customHeight="1">
      <c r="A4297" t="inlineStr">
        <is>
          <t>A 23667-2023</t>
        </is>
      </c>
      <c r="B4297" s="1" t="n">
        <v>45077</v>
      </c>
      <c r="C4297" s="1" t="n">
        <v>46114</v>
      </c>
      <c r="D4297" t="inlineStr">
        <is>
          <t>DALARNAS LÄN</t>
        </is>
      </c>
      <c r="E4297" t="inlineStr">
        <is>
          <t>RÄTTVIK</t>
        </is>
      </c>
      <c r="G4297" t="n">
        <v>7</v>
      </c>
      <c r="H4297" t="n">
        <v>0</v>
      </c>
      <c r="I4297" t="n">
        <v>0</v>
      </c>
      <c r="J4297" t="n">
        <v>0</v>
      </c>
      <c r="K4297" t="n">
        <v>0</v>
      </c>
      <c r="L4297" t="n">
        <v>0</v>
      </c>
      <c r="M4297" t="n">
        <v>0</v>
      </c>
      <c r="N4297" t="n">
        <v>0</v>
      </c>
      <c r="O4297" t="n">
        <v>0</v>
      </c>
      <c r="P4297" t="n">
        <v>0</v>
      </c>
      <c r="Q4297" t="n">
        <v>0</v>
      </c>
      <c r="R4297" s="2" t="inlineStr"/>
    </row>
    <row r="4298" ht="15" customHeight="1">
      <c r="A4298" t="inlineStr">
        <is>
          <t>A 13236-2022</t>
        </is>
      </c>
      <c r="B4298" s="1" t="n">
        <v>44644.61106481482</v>
      </c>
      <c r="C4298" s="1" t="n">
        <v>46114</v>
      </c>
      <c r="D4298" t="inlineStr">
        <is>
          <t>DALARNAS LÄN</t>
        </is>
      </c>
      <c r="E4298" t="inlineStr">
        <is>
          <t>ORSA</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8429-2024</t>
        </is>
      </c>
      <c r="B4299" s="1" t="n">
        <v>45353.38880787037</v>
      </c>
      <c r="C4299" s="1" t="n">
        <v>46114</v>
      </c>
      <c r="D4299" t="inlineStr">
        <is>
          <t>DALARNAS LÄN</t>
        </is>
      </c>
      <c r="E4299" t="inlineStr">
        <is>
          <t>ORSA</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43778-2025</t>
        </is>
      </c>
      <c r="B4300" s="1" t="n">
        <v>45912.5147337963</v>
      </c>
      <c r="C4300" s="1" t="n">
        <v>46114</v>
      </c>
      <c r="D4300" t="inlineStr">
        <is>
          <t>DALARNAS LÄN</t>
        </is>
      </c>
      <c r="E4300" t="inlineStr">
        <is>
          <t>ORSA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43937-2025</t>
        </is>
      </c>
      <c r="B4301" s="1" t="n">
        <v>45915.34418981482</v>
      </c>
      <c r="C4301" s="1" t="n">
        <v>46114</v>
      </c>
      <c r="D4301" t="inlineStr">
        <is>
          <t>DALARNAS LÄN</t>
        </is>
      </c>
      <c r="E4301" t="inlineStr">
        <is>
          <t>RÄTTVIK</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43984-2025</t>
        </is>
      </c>
      <c r="B4302" s="1" t="n">
        <v>45915</v>
      </c>
      <c r="C4302" s="1" t="n">
        <v>46114</v>
      </c>
      <c r="D4302" t="inlineStr">
        <is>
          <t>DALARNAS LÄN</t>
        </is>
      </c>
      <c r="E4302" t="inlineStr">
        <is>
          <t>MALUNG-SÄLEN</t>
        </is>
      </c>
      <c r="F4302" t="inlineStr">
        <is>
          <t>Bergvik skog väst AB</t>
        </is>
      </c>
      <c r="G4302" t="n">
        <v>2.3</v>
      </c>
      <c r="H4302" t="n">
        <v>0</v>
      </c>
      <c r="I4302" t="n">
        <v>0</v>
      </c>
      <c r="J4302" t="n">
        <v>0</v>
      </c>
      <c r="K4302" t="n">
        <v>0</v>
      </c>
      <c r="L4302" t="n">
        <v>0</v>
      </c>
      <c r="M4302" t="n">
        <v>0</v>
      </c>
      <c r="N4302" t="n">
        <v>0</v>
      </c>
      <c r="O4302" t="n">
        <v>0</v>
      </c>
      <c r="P4302" t="n">
        <v>0</v>
      </c>
      <c r="Q4302" t="n">
        <v>0</v>
      </c>
      <c r="R4302" s="2" t="inlineStr"/>
    </row>
    <row r="4303" ht="15" customHeight="1">
      <c r="A4303" t="inlineStr">
        <is>
          <t>A 44196-2025</t>
        </is>
      </c>
      <c r="B4303" s="1" t="n">
        <v>45915.61925925926</v>
      </c>
      <c r="C4303" s="1" t="n">
        <v>46114</v>
      </c>
      <c r="D4303" t="inlineStr">
        <is>
          <t>DALARNAS LÄN</t>
        </is>
      </c>
      <c r="E4303" t="inlineStr">
        <is>
          <t>SÄTER</t>
        </is>
      </c>
      <c r="F4303" t="inlineStr">
        <is>
          <t>Bergvik skog väst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43851-2025</t>
        </is>
      </c>
      <c r="B4304" s="1" t="n">
        <v>45912.64012731481</v>
      </c>
      <c r="C4304" s="1" t="n">
        <v>46114</v>
      </c>
      <c r="D4304" t="inlineStr">
        <is>
          <t>DALARNAS LÄN</t>
        </is>
      </c>
      <c r="E4304" t="inlineStr">
        <is>
          <t>MALUNG-SÄLEN</t>
        </is>
      </c>
      <c r="G4304" t="n">
        <v>3</v>
      </c>
      <c r="H4304" t="n">
        <v>0</v>
      </c>
      <c r="I4304" t="n">
        <v>0</v>
      </c>
      <c r="J4304" t="n">
        <v>0</v>
      </c>
      <c r="K4304" t="n">
        <v>0</v>
      </c>
      <c r="L4304" t="n">
        <v>0</v>
      </c>
      <c r="M4304" t="n">
        <v>0</v>
      </c>
      <c r="N4304" t="n">
        <v>0</v>
      </c>
      <c r="O4304" t="n">
        <v>0</v>
      </c>
      <c r="P4304" t="n">
        <v>0</v>
      </c>
      <c r="Q4304" t="n">
        <v>0</v>
      </c>
      <c r="R4304" s="2" t="inlineStr"/>
    </row>
    <row r="4305" ht="15" customHeight="1">
      <c r="A4305" t="inlineStr">
        <is>
          <t>A 30672-2024</t>
        </is>
      </c>
      <c r="B4305" s="1" t="n">
        <v>45495.81412037037</v>
      </c>
      <c r="C4305" s="1" t="n">
        <v>46114</v>
      </c>
      <c r="D4305" t="inlineStr">
        <is>
          <t>DALARNAS LÄN</t>
        </is>
      </c>
      <c r="E4305" t="inlineStr">
        <is>
          <t>GAGNEF</t>
        </is>
      </c>
      <c r="G4305" t="n">
        <v>4.3</v>
      </c>
      <c r="H4305" t="n">
        <v>0</v>
      </c>
      <c r="I4305" t="n">
        <v>0</v>
      </c>
      <c r="J4305" t="n">
        <v>0</v>
      </c>
      <c r="K4305" t="n">
        <v>0</v>
      </c>
      <c r="L4305" t="n">
        <v>0</v>
      </c>
      <c r="M4305" t="n">
        <v>0</v>
      </c>
      <c r="N4305" t="n">
        <v>0</v>
      </c>
      <c r="O4305" t="n">
        <v>0</v>
      </c>
      <c r="P4305" t="n">
        <v>0</v>
      </c>
      <c r="Q4305" t="n">
        <v>0</v>
      </c>
      <c r="R4305" s="2" t="inlineStr"/>
    </row>
    <row r="4306" ht="15" customHeight="1">
      <c r="A4306" t="inlineStr">
        <is>
          <t>A 46294-2024</t>
        </is>
      </c>
      <c r="B4306" s="1" t="n">
        <v>45581.6672337963</v>
      </c>
      <c r="C4306" s="1" t="n">
        <v>46114</v>
      </c>
      <c r="D4306" t="inlineStr">
        <is>
          <t>DALARNAS LÄN</t>
        </is>
      </c>
      <c r="E4306" t="inlineStr">
        <is>
          <t>FALUN</t>
        </is>
      </c>
      <c r="G4306" t="n">
        <v>5.6</v>
      </c>
      <c r="H4306" t="n">
        <v>0</v>
      </c>
      <c r="I4306" t="n">
        <v>0</v>
      </c>
      <c r="J4306" t="n">
        <v>0</v>
      </c>
      <c r="K4306" t="n">
        <v>0</v>
      </c>
      <c r="L4306" t="n">
        <v>0</v>
      </c>
      <c r="M4306" t="n">
        <v>0</v>
      </c>
      <c r="N4306" t="n">
        <v>0</v>
      </c>
      <c r="O4306" t="n">
        <v>0</v>
      </c>
      <c r="P4306" t="n">
        <v>0</v>
      </c>
      <c r="Q4306" t="n">
        <v>0</v>
      </c>
      <c r="R4306" s="2" t="inlineStr"/>
    </row>
    <row r="4307" ht="15" customHeight="1">
      <c r="A4307" t="inlineStr">
        <is>
          <t>A 59232-2023</t>
        </is>
      </c>
      <c r="B4307" s="1" t="n">
        <v>45253.5053587963</v>
      </c>
      <c r="C4307" s="1" t="n">
        <v>46114</v>
      </c>
      <c r="D4307" t="inlineStr">
        <is>
          <t>DALARNAS LÄN</t>
        </is>
      </c>
      <c r="E4307" t="inlineStr">
        <is>
          <t>HEDEMORA</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44244-2025</t>
        </is>
      </c>
      <c r="B4308" s="1" t="n">
        <v>45915</v>
      </c>
      <c r="C4308" s="1" t="n">
        <v>46114</v>
      </c>
      <c r="D4308" t="inlineStr">
        <is>
          <t>DALARNAS LÄN</t>
        </is>
      </c>
      <c r="E4308" t="inlineStr">
        <is>
          <t>BORLÄNGE</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44073-2025</t>
        </is>
      </c>
      <c r="B4309" s="1" t="n">
        <v>45915.54880787037</v>
      </c>
      <c r="C4309" s="1" t="n">
        <v>46114</v>
      </c>
      <c r="D4309" t="inlineStr">
        <is>
          <t>DALARNAS LÄN</t>
        </is>
      </c>
      <c r="E4309" t="inlineStr">
        <is>
          <t>FALUN</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43730-2025</t>
        </is>
      </c>
      <c r="B4310" s="1" t="n">
        <v>45912.43482638889</v>
      </c>
      <c r="C4310" s="1" t="n">
        <v>46114</v>
      </c>
      <c r="D4310" t="inlineStr">
        <is>
          <t>DALARNAS LÄN</t>
        </is>
      </c>
      <c r="E4310" t="inlineStr">
        <is>
          <t>RÄTTVIK</t>
        </is>
      </c>
      <c r="F4310" t="inlineStr">
        <is>
          <t>Sveaskog</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38498-2025</t>
        </is>
      </c>
      <c r="B4311" s="1" t="n">
        <v>45884.3706712963</v>
      </c>
      <c r="C4311" s="1" t="n">
        <v>46114</v>
      </c>
      <c r="D4311" t="inlineStr">
        <is>
          <t>DALARNAS LÄN</t>
        </is>
      </c>
      <c r="E4311" t="inlineStr">
        <is>
          <t>LEKSAND</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43945-2025</t>
        </is>
      </c>
      <c r="B4312" s="1" t="n">
        <v>45915.37336805555</v>
      </c>
      <c r="C4312" s="1" t="n">
        <v>46114</v>
      </c>
      <c r="D4312" t="inlineStr">
        <is>
          <t>DALARNAS LÄN</t>
        </is>
      </c>
      <c r="E4312" t="inlineStr">
        <is>
          <t>RÄTTVIK</t>
        </is>
      </c>
      <c r="G4312" t="n">
        <v>2</v>
      </c>
      <c r="H4312" t="n">
        <v>0</v>
      </c>
      <c r="I4312" t="n">
        <v>0</v>
      </c>
      <c r="J4312" t="n">
        <v>0</v>
      </c>
      <c r="K4312" t="n">
        <v>0</v>
      </c>
      <c r="L4312" t="n">
        <v>0</v>
      </c>
      <c r="M4312" t="n">
        <v>0</v>
      </c>
      <c r="N4312" t="n">
        <v>0</v>
      </c>
      <c r="O4312" t="n">
        <v>0</v>
      </c>
      <c r="P4312" t="n">
        <v>0</v>
      </c>
      <c r="Q4312" t="n">
        <v>0</v>
      </c>
      <c r="R4312" s="2" t="inlineStr"/>
    </row>
    <row r="4313" ht="15" customHeight="1">
      <c r="A4313" t="inlineStr">
        <is>
          <t>A 43947-2025</t>
        </is>
      </c>
      <c r="B4313" s="1" t="n">
        <v>45915.37585648148</v>
      </c>
      <c r="C4313" s="1" t="n">
        <v>46114</v>
      </c>
      <c r="D4313" t="inlineStr">
        <is>
          <t>DALARNAS LÄN</t>
        </is>
      </c>
      <c r="E4313" t="inlineStr">
        <is>
          <t>RÄTTVIK</t>
        </is>
      </c>
      <c r="G4313" t="n">
        <v>6.4</v>
      </c>
      <c r="H4313" t="n">
        <v>0</v>
      </c>
      <c r="I4313" t="n">
        <v>0</v>
      </c>
      <c r="J4313" t="n">
        <v>0</v>
      </c>
      <c r="K4313" t="n">
        <v>0</v>
      </c>
      <c r="L4313" t="n">
        <v>0</v>
      </c>
      <c r="M4313" t="n">
        <v>0</v>
      </c>
      <c r="N4313" t="n">
        <v>0</v>
      </c>
      <c r="O4313" t="n">
        <v>0</v>
      </c>
      <c r="P4313" t="n">
        <v>0</v>
      </c>
      <c r="Q4313" t="n">
        <v>0</v>
      </c>
      <c r="R4313" s="2" t="inlineStr"/>
    </row>
    <row r="4314" ht="15" customHeight="1">
      <c r="A4314" t="inlineStr">
        <is>
          <t>A 44118-2025</t>
        </is>
      </c>
      <c r="B4314" s="1" t="n">
        <v>45915.57710648148</v>
      </c>
      <c r="C4314" s="1" t="n">
        <v>46114</v>
      </c>
      <c r="D4314" t="inlineStr">
        <is>
          <t>DALARNAS LÄN</t>
        </is>
      </c>
      <c r="E4314" t="inlineStr">
        <is>
          <t>FALUN</t>
        </is>
      </c>
      <c r="G4314" t="n">
        <v>11.5</v>
      </c>
      <c r="H4314" t="n">
        <v>0</v>
      </c>
      <c r="I4314" t="n">
        <v>0</v>
      </c>
      <c r="J4314" t="n">
        <v>0</v>
      </c>
      <c r="K4314" t="n">
        <v>0</v>
      </c>
      <c r="L4314" t="n">
        <v>0</v>
      </c>
      <c r="M4314" t="n">
        <v>0</v>
      </c>
      <c r="N4314" t="n">
        <v>0</v>
      </c>
      <c r="O4314" t="n">
        <v>0</v>
      </c>
      <c r="P4314" t="n">
        <v>0</v>
      </c>
      <c r="Q4314" t="n">
        <v>0</v>
      </c>
      <c r="R4314" s="2" t="inlineStr"/>
    </row>
    <row r="4315" ht="15" customHeight="1">
      <c r="A4315" t="inlineStr">
        <is>
          <t>A 44066-2025</t>
        </is>
      </c>
      <c r="B4315" s="1" t="n">
        <v>45915</v>
      </c>
      <c r="C4315" s="1" t="n">
        <v>46114</v>
      </c>
      <c r="D4315" t="inlineStr">
        <is>
          <t>DALARNAS LÄN</t>
        </is>
      </c>
      <c r="E4315" t="inlineStr">
        <is>
          <t>AVESTA</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45768-2023</t>
        </is>
      </c>
      <c r="B4316" s="1" t="n">
        <v>45195</v>
      </c>
      <c r="C4316" s="1" t="n">
        <v>46114</v>
      </c>
      <c r="D4316" t="inlineStr">
        <is>
          <t>DALARNAS LÄN</t>
        </is>
      </c>
      <c r="E4316" t="inlineStr">
        <is>
          <t>LEKSAND</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44531-2025</t>
        </is>
      </c>
      <c r="B4317" s="1" t="n">
        <v>45916.77120370371</v>
      </c>
      <c r="C4317" s="1" t="n">
        <v>46114</v>
      </c>
      <c r="D4317" t="inlineStr">
        <is>
          <t>DALARNAS LÄN</t>
        </is>
      </c>
      <c r="E4317" t="inlineStr">
        <is>
          <t>ORSA</t>
        </is>
      </c>
      <c r="G4317" t="n">
        <v>0.8</v>
      </c>
      <c r="H4317" t="n">
        <v>0</v>
      </c>
      <c r="I4317" t="n">
        <v>0</v>
      </c>
      <c r="J4317" t="n">
        <v>0</v>
      </c>
      <c r="K4317" t="n">
        <v>0</v>
      </c>
      <c r="L4317" t="n">
        <v>0</v>
      </c>
      <c r="M4317" t="n">
        <v>0</v>
      </c>
      <c r="N4317" t="n">
        <v>0</v>
      </c>
      <c r="O4317" t="n">
        <v>0</v>
      </c>
      <c r="P4317" t="n">
        <v>0</v>
      </c>
      <c r="Q4317" t="n">
        <v>0</v>
      </c>
      <c r="R4317" s="2" t="inlineStr"/>
    </row>
    <row r="4318" ht="15" customHeight="1">
      <c r="A4318" t="inlineStr">
        <is>
          <t>A 43057-2024</t>
        </is>
      </c>
      <c r="B4318" s="1" t="n">
        <v>45567.46006944445</v>
      </c>
      <c r="C4318" s="1" t="n">
        <v>46114</v>
      </c>
      <c r="D4318" t="inlineStr">
        <is>
          <t>DALARNAS LÄN</t>
        </is>
      </c>
      <c r="E4318" t="inlineStr">
        <is>
          <t>LUDVIKA</t>
        </is>
      </c>
      <c r="F4318" t="inlineStr">
        <is>
          <t>Bergvik skog väst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36527-2024</t>
        </is>
      </c>
      <c r="B4319" s="1" t="n">
        <v>45537.44119212963</v>
      </c>
      <c r="C4319" s="1" t="n">
        <v>46114</v>
      </c>
      <c r="D4319" t="inlineStr">
        <is>
          <t>DALARNAS LÄN</t>
        </is>
      </c>
      <c r="E4319" t="inlineStr">
        <is>
          <t>LUDVIKA</t>
        </is>
      </c>
      <c r="F4319" t="inlineStr">
        <is>
          <t>Övriga Aktiebolag</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44384-2025</t>
        </is>
      </c>
      <c r="B4320" s="1" t="n">
        <v>45916.48513888889</v>
      </c>
      <c r="C4320" s="1" t="n">
        <v>46114</v>
      </c>
      <c r="D4320" t="inlineStr">
        <is>
          <t>DALARNAS LÄN</t>
        </is>
      </c>
      <c r="E4320" t="inlineStr">
        <is>
          <t>MORA</t>
        </is>
      </c>
      <c r="F4320" t="inlineStr">
        <is>
          <t>Kyrkan</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44411-2025</t>
        </is>
      </c>
      <c r="B4321" s="1" t="n">
        <v>45916.53819444445</v>
      </c>
      <c r="C4321" s="1" t="n">
        <v>46114</v>
      </c>
      <c r="D4321" t="inlineStr">
        <is>
          <t>DALARNAS LÄN</t>
        </is>
      </c>
      <c r="E4321" t="inlineStr">
        <is>
          <t>SMEDJEBACKEN</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44415-2025</t>
        </is>
      </c>
      <c r="B4322" s="1" t="n">
        <v>45916.54351851852</v>
      </c>
      <c r="C4322" s="1" t="n">
        <v>46114</v>
      </c>
      <c r="D4322" t="inlineStr">
        <is>
          <t>DALARNAS LÄN</t>
        </is>
      </c>
      <c r="E4322" t="inlineStr">
        <is>
          <t>SMEDJEBACKEN</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44678-2025</t>
        </is>
      </c>
      <c r="B4323" s="1" t="n">
        <v>45917.57190972222</v>
      </c>
      <c r="C4323" s="1" t="n">
        <v>46114</v>
      </c>
      <c r="D4323" t="inlineStr">
        <is>
          <t>DALARNAS LÄN</t>
        </is>
      </c>
      <c r="E4323" t="inlineStr">
        <is>
          <t>MALUNG-SÄLEN</t>
        </is>
      </c>
      <c r="F4323" t="inlineStr">
        <is>
          <t>Bergvik skog öst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29740-2025</t>
        </is>
      </c>
      <c r="B4324" s="1" t="n">
        <v>45825.59111111111</v>
      </c>
      <c r="C4324" s="1" t="n">
        <v>46114</v>
      </c>
      <c r="D4324" t="inlineStr">
        <is>
          <t>DALARNAS LÄN</t>
        </is>
      </c>
      <c r="E4324" t="inlineStr">
        <is>
          <t>FALUN</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42128-2024</t>
        </is>
      </c>
      <c r="B4325" s="1" t="n">
        <v>45562.40503472222</v>
      </c>
      <c r="C4325" s="1" t="n">
        <v>46114</v>
      </c>
      <c r="D4325" t="inlineStr">
        <is>
          <t>DALARNAS LÄN</t>
        </is>
      </c>
      <c r="E4325" t="inlineStr">
        <is>
          <t>LUDVIKA</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44519-2025</t>
        </is>
      </c>
      <c r="B4326" s="1" t="n">
        <v>45916.71483796297</v>
      </c>
      <c r="C4326" s="1" t="n">
        <v>46114</v>
      </c>
      <c r="D4326" t="inlineStr">
        <is>
          <t>DALARNAS LÄN</t>
        </is>
      </c>
      <c r="E4326" t="inlineStr">
        <is>
          <t>LEKSAND</t>
        </is>
      </c>
      <c r="G4326" t="n">
        <v>3.6</v>
      </c>
      <c r="H4326" t="n">
        <v>0</v>
      </c>
      <c r="I4326" t="n">
        <v>0</v>
      </c>
      <c r="J4326" t="n">
        <v>0</v>
      </c>
      <c r="K4326" t="n">
        <v>0</v>
      </c>
      <c r="L4326" t="n">
        <v>0</v>
      </c>
      <c r="M4326" t="n">
        <v>0</v>
      </c>
      <c r="N4326" t="n">
        <v>0</v>
      </c>
      <c r="O4326" t="n">
        <v>0</v>
      </c>
      <c r="P4326" t="n">
        <v>0</v>
      </c>
      <c r="Q4326" t="n">
        <v>0</v>
      </c>
      <c r="R4326" s="2" t="inlineStr"/>
    </row>
    <row r="4327" ht="15" customHeight="1">
      <c r="A4327" t="inlineStr">
        <is>
          <t>A 38844-2025</t>
        </is>
      </c>
      <c r="B4327" s="1" t="n">
        <v>45887.54075231482</v>
      </c>
      <c r="C4327" s="1" t="n">
        <v>46114</v>
      </c>
      <c r="D4327" t="inlineStr">
        <is>
          <t>DALARNAS LÄN</t>
        </is>
      </c>
      <c r="E4327" t="inlineStr">
        <is>
          <t>ORSA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38924-2025</t>
        </is>
      </c>
      <c r="B4328" s="1" t="n">
        <v>45887.63130787037</v>
      </c>
      <c r="C4328" s="1" t="n">
        <v>46114</v>
      </c>
      <c r="D4328" t="inlineStr">
        <is>
          <t>DALARNAS LÄN</t>
        </is>
      </c>
      <c r="E4328" t="inlineStr">
        <is>
          <t>FALUN</t>
        </is>
      </c>
      <c r="G4328" t="n">
        <v>4.4</v>
      </c>
      <c r="H4328" t="n">
        <v>0</v>
      </c>
      <c r="I4328" t="n">
        <v>0</v>
      </c>
      <c r="J4328" t="n">
        <v>0</v>
      </c>
      <c r="K4328" t="n">
        <v>0</v>
      </c>
      <c r="L4328" t="n">
        <v>0</v>
      </c>
      <c r="M4328" t="n">
        <v>0</v>
      </c>
      <c r="N4328" t="n">
        <v>0</v>
      </c>
      <c r="O4328" t="n">
        <v>0</v>
      </c>
      <c r="P4328" t="n">
        <v>0</v>
      </c>
      <c r="Q4328" t="n">
        <v>0</v>
      </c>
      <c r="R4328" s="2" t="inlineStr"/>
    </row>
    <row r="4329" ht="15" customHeight="1">
      <c r="A4329" t="inlineStr">
        <is>
          <t>A 44587-2025</t>
        </is>
      </c>
      <c r="B4329" s="1" t="n">
        <v>45917</v>
      </c>
      <c r="C4329" s="1" t="n">
        <v>46114</v>
      </c>
      <c r="D4329" t="inlineStr">
        <is>
          <t>DALARNAS LÄN</t>
        </is>
      </c>
      <c r="E4329" t="inlineStr">
        <is>
          <t>GAGNEF</t>
        </is>
      </c>
      <c r="F4329" t="inlineStr">
        <is>
          <t>Bergvik skog väst AB</t>
        </is>
      </c>
      <c r="G4329" t="n">
        <v>10.3</v>
      </c>
      <c r="H4329" t="n">
        <v>0</v>
      </c>
      <c r="I4329" t="n">
        <v>0</v>
      </c>
      <c r="J4329" t="n">
        <v>0</v>
      </c>
      <c r="K4329" t="n">
        <v>0</v>
      </c>
      <c r="L4329" t="n">
        <v>0</v>
      </c>
      <c r="M4329" t="n">
        <v>0</v>
      </c>
      <c r="N4329" t="n">
        <v>0</v>
      </c>
      <c r="O4329" t="n">
        <v>0</v>
      </c>
      <c r="P4329" t="n">
        <v>0</v>
      </c>
      <c r="Q4329" t="n">
        <v>0</v>
      </c>
      <c r="R4329" s="2" t="inlineStr"/>
    </row>
    <row r="4330" ht="15" customHeight="1">
      <c r="A4330" t="inlineStr">
        <is>
          <t>A 44690-2025</t>
        </is>
      </c>
      <c r="B4330" s="1" t="n">
        <v>45917.59390046296</v>
      </c>
      <c r="C4330" s="1" t="n">
        <v>46114</v>
      </c>
      <c r="D4330" t="inlineStr">
        <is>
          <t>DALARNAS LÄN</t>
        </is>
      </c>
      <c r="E4330" t="inlineStr">
        <is>
          <t>LUDVIKA</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47616-2024</t>
        </is>
      </c>
      <c r="B4331" s="1" t="n">
        <v>45588.31988425926</v>
      </c>
      <c r="C4331" s="1" t="n">
        <v>46114</v>
      </c>
      <c r="D4331" t="inlineStr">
        <is>
          <t>DALARNAS LÄN</t>
        </is>
      </c>
      <c r="E4331" t="inlineStr">
        <is>
          <t>RÄTTVIK</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32820-2024</t>
        </is>
      </c>
      <c r="B4332" s="1" t="n">
        <v>45516</v>
      </c>
      <c r="C4332" s="1" t="n">
        <v>46114</v>
      </c>
      <c r="D4332" t="inlineStr">
        <is>
          <t>DALARNAS LÄN</t>
        </is>
      </c>
      <c r="E4332" t="inlineStr">
        <is>
          <t>VANSBRO</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34882-2024</t>
        </is>
      </c>
      <c r="B4333" s="1" t="n">
        <v>45527.35987268519</v>
      </c>
      <c r="C4333" s="1" t="n">
        <v>46114</v>
      </c>
      <c r="D4333" t="inlineStr">
        <is>
          <t>DALARNAS LÄN</t>
        </is>
      </c>
      <c r="E4333" t="inlineStr">
        <is>
          <t>BORLÄNGE</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63329-2023</t>
        </is>
      </c>
      <c r="B4334" s="1" t="n">
        <v>45274.38255787037</v>
      </c>
      <c r="C4334" s="1" t="n">
        <v>46114</v>
      </c>
      <c r="D4334" t="inlineStr">
        <is>
          <t>DALARNAS LÄN</t>
        </is>
      </c>
      <c r="E4334" t="inlineStr">
        <is>
          <t>ÄLVDALEN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34893-2024</t>
        </is>
      </c>
      <c r="B4335" s="1" t="n">
        <v>45527.36696759259</v>
      </c>
      <c r="C4335" s="1" t="n">
        <v>46114</v>
      </c>
      <c r="D4335" t="inlineStr">
        <is>
          <t>DALARNAS LÄN</t>
        </is>
      </c>
      <c r="E4335" t="inlineStr">
        <is>
          <t>VANSBRO</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34925-2024</t>
        </is>
      </c>
      <c r="B4336" s="1" t="n">
        <v>45527.44376157408</v>
      </c>
      <c r="C4336" s="1" t="n">
        <v>46114</v>
      </c>
      <c r="D4336" t="inlineStr">
        <is>
          <t>DALARNAS LÄN</t>
        </is>
      </c>
      <c r="E4336" t="inlineStr">
        <is>
          <t>AVESTA</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33673-2022</t>
        </is>
      </c>
      <c r="B4337" s="1" t="n">
        <v>44789</v>
      </c>
      <c r="C4337" s="1" t="n">
        <v>46114</v>
      </c>
      <c r="D4337" t="inlineStr">
        <is>
          <t>DALARNAS LÄN</t>
        </is>
      </c>
      <c r="E4337" t="inlineStr">
        <is>
          <t>LUDVIKA</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35365-2022</t>
        </is>
      </c>
      <c r="B4338" s="1" t="n">
        <v>44798</v>
      </c>
      <c r="C4338" s="1" t="n">
        <v>46114</v>
      </c>
      <c r="D4338" t="inlineStr">
        <is>
          <t>DALARNAS LÄN</t>
        </is>
      </c>
      <c r="E4338" t="inlineStr">
        <is>
          <t>VANSBRO</t>
        </is>
      </c>
      <c r="F4338" t="inlineStr">
        <is>
          <t>Kommuner</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25025-2023</t>
        </is>
      </c>
      <c r="B4339" s="1" t="n">
        <v>45085.92146990741</v>
      </c>
      <c r="C4339" s="1" t="n">
        <v>46114</v>
      </c>
      <c r="D4339" t="inlineStr">
        <is>
          <t>DALARNAS LÄN</t>
        </is>
      </c>
      <c r="E4339" t="inlineStr">
        <is>
          <t>LEKSAND</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25038-2023</t>
        </is>
      </c>
      <c r="B4340" s="1" t="n">
        <v>45085</v>
      </c>
      <c r="C4340" s="1" t="n">
        <v>46114</v>
      </c>
      <c r="D4340" t="inlineStr">
        <is>
          <t>DALARNAS LÄN</t>
        </is>
      </c>
      <c r="E4340" t="inlineStr">
        <is>
          <t>LEKSAND</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44324-2025</t>
        </is>
      </c>
      <c r="B4341" s="1" t="n">
        <v>45916.40692129629</v>
      </c>
      <c r="C4341" s="1" t="n">
        <v>46114</v>
      </c>
      <c r="D4341" t="inlineStr">
        <is>
          <t>DALARNAS LÄN</t>
        </is>
      </c>
      <c r="E4341" t="inlineStr">
        <is>
          <t>MALUNG-SÄLEN</t>
        </is>
      </c>
      <c r="G4341" t="n">
        <v>3.4</v>
      </c>
      <c r="H4341" t="n">
        <v>0</v>
      </c>
      <c r="I4341" t="n">
        <v>0</v>
      </c>
      <c r="J4341" t="n">
        <v>0</v>
      </c>
      <c r="K4341" t="n">
        <v>0</v>
      </c>
      <c r="L4341" t="n">
        <v>0</v>
      </c>
      <c r="M4341" t="n">
        <v>0</v>
      </c>
      <c r="N4341" t="n">
        <v>0</v>
      </c>
      <c r="O4341" t="n">
        <v>0</v>
      </c>
      <c r="P4341" t="n">
        <v>0</v>
      </c>
      <c r="Q4341" t="n">
        <v>0</v>
      </c>
      <c r="R4341" s="2" t="inlineStr"/>
    </row>
    <row r="4342" ht="15" customHeight="1">
      <c r="A4342" t="inlineStr">
        <is>
          <t>A 24426-2023</t>
        </is>
      </c>
      <c r="B4342" s="1" t="n">
        <v>45082.4859375</v>
      </c>
      <c r="C4342" s="1" t="n">
        <v>46114</v>
      </c>
      <c r="D4342" t="inlineStr">
        <is>
          <t>DALARNAS LÄN</t>
        </is>
      </c>
      <c r="E4342" t="inlineStr">
        <is>
          <t>SMEDJEBACKEN</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44455-2025</t>
        </is>
      </c>
      <c r="B4343" s="1" t="n">
        <v>45916.61092592592</v>
      </c>
      <c r="C4343" s="1" t="n">
        <v>46114</v>
      </c>
      <c r="D4343" t="inlineStr">
        <is>
          <t>DALARNAS LÄN</t>
        </is>
      </c>
      <c r="E4343" t="inlineStr">
        <is>
          <t>RÄTTVIK</t>
        </is>
      </c>
      <c r="G4343" t="n">
        <v>4</v>
      </c>
      <c r="H4343" t="n">
        <v>0</v>
      </c>
      <c r="I4343" t="n">
        <v>0</v>
      </c>
      <c r="J4343" t="n">
        <v>0</v>
      </c>
      <c r="K4343" t="n">
        <v>0</v>
      </c>
      <c r="L4343" t="n">
        <v>0</v>
      </c>
      <c r="M4343" t="n">
        <v>0</v>
      </c>
      <c r="N4343" t="n">
        <v>0</v>
      </c>
      <c r="O4343" t="n">
        <v>0</v>
      </c>
      <c r="P4343" t="n">
        <v>0</v>
      </c>
      <c r="Q4343" t="n">
        <v>0</v>
      </c>
      <c r="R4343" s="2" t="inlineStr"/>
    </row>
    <row r="4344" ht="15" customHeight="1">
      <c r="A4344" t="inlineStr">
        <is>
          <t>A 26439-2024</t>
        </is>
      </c>
      <c r="B4344" s="1" t="n">
        <v>45469.49113425926</v>
      </c>
      <c r="C4344" s="1" t="n">
        <v>46114</v>
      </c>
      <c r="D4344" t="inlineStr">
        <is>
          <t>DALARNAS LÄN</t>
        </is>
      </c>
      <c r="E4344" t="inlineStr">
        <is>
          <t>SMEDJEBACKEN</t>
        </is>
      </c>
      <c r="F4344" t="inlineStr">
        <is>
          <t>Bergvik skog väst AB</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44262-2025</t>
        </is>
      </c>
      <c r="B4345" s="1" t="n">
        <v>45916.0008912037</v>
      </c>
      <c r="C4345" s="1" t="n">
        <v>46114</v>
      </c>
      <c r="D4345" t="inlineStr">
        <is>
          <t>DALARNAS LÄN</t>
        </is>
      </c>
      <c r="E4345" t="inlineStr">
        <is>
          <t>LUDVIKA</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44264-2025</t>
        </is>
      </c>
      <c r="B4346" s="1" t="n">
        <v>45916.2806712963</v>
      </c>
      <c r="C4346" s="1" t="n">
        <v>46114</v>
      </c>
      <c r="D4346" t="inlineStr">
        <is>
          <t>DALARNAS LÄN</t>
        </is>
      </c>
      <c r="E4346" t="inlineStr">
        <is>
          <t>RÄTTVIK</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44268-2025</t>
        </is>
      </c>
      <c r="B4347" s="1" t="n">
        <v>45916.3175</v>
      </c>
      <c r="C4347" s="1" t="n">
        <v>46114</v>
      </c>
      <c r="D4347" t="inlineStr">
        <is>
          <t>DALARNAS LÄN</t>
        </is>
      </c>
      <c r="E4347" t="inlineStr">
        <is>
          <t>MALUNG-SÄLEN</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619-2024</t>
        </is>
      </c>
      <c r="B4348" s="1" t="n">
        <v>45299.66493055555</v>
      </c>
      <c r="C4348" s="1" t="n">
        <v>46114</v>
      </c>
      <c r="D4348" t="inlineStr">
        <is>
          <t>DALARNAS LÄN</t>
        </is>
      </c>
      <c r="E4348" t="inlineStr">
        <is>
          <t>BORLÄNGE</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44320-2025</t>
        </is>
      </c>
      <c r="B4349" s="1" t="n">
        <v>45916.40025462963</v>
      </c>
      <c r="C4349" s="1" t="n">
        <v>46114</v>
      </c>
      <c r="D4349" t="inlineStr">
        <is>
          <t>DALARNAS LÄN</t>
        </is>
      </c>
      <c r="E4349" t="inlineStr">
        <is>
          <t>MALUNG-SÄLEN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44380-2025</t>
        </is>
      </c>
      <c r="B4350" s="1" t="n">
        <v>45916.48267361111</v>
      </c>
      <c r="C4350" s="1" t="n">
        <v>46114</v>
      </c>
      <c r="D4350" t="inlineStr">
        <is>
          <t>DALARNAS LÄN</t>
        </is>
      </c>
      <c r="E4350" t="inlineStr">
        <is>
          <t>GAGNEF</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16192-2022</t>
        </is>
      </c>
      <c r="B4351" s="1" t="n">
        <v>44669</v>
      </c>
      <c r="C4351" s="1" t="n">
        <v>46114</v>
      </c>
      <c r="D4351" t="inlineStr">
        <is>
          <t>DALARNAS LÄN</t>
        </is>
      </c>
      <c r="E4351" t="inlineStr">
        <is>
          <t>GAGNEF</t>
        </is>
      </c>
      <c r="F4351" t="inlineStr">
        <is>
          <t>Bergvik skog väst AB</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43756-2024</t>
        </is>
      </c>
      <c r="B4352" s="1" t="n">
        <v>45569</v>
      </c>
      <c r="C4352" s="1" t="n">
        <v>46114</v>
      </c>
      <c r="D4352" t="inlineStr">
        <is>
          <t>DALARNAS LÄN</t>
        </is>
      </c>
      <c r="E4352" t="inlineStr">
        <is>
          <t>RÄTTVIK</t>
        </is>
      </c>
      <c r="G4352" t="n">
        <v>3.8</v>
      </c>
      <c r="H4352" t="n">
        <v>0</v>
      </c>
      <c r="I4352" t="n">
        <v>0</v>
      </c>
      <c r="J4352" t="n">
        <v>0</v>
      </c>
      <c r="K4352" t="n">
        <v>0</v>
      </c>
      <c r="L4352" t="n">
        <v>0</v>
      </c>
      <c r="M4352" t="n">
        <v>0</v>
      </c>
      <c r="N4352" t="n">
        <v>0</v>
      </c>
      <c r="O4352" t="n">
        <v>0</v>
      </c>
      <c r="P4352" t="n">
        <v>0</v>
      </c>
      <c r="Q4352" t="n">
        <v>0</v>
      </c>
      <c r="R4352" s="2" t="inlineStr"/>
    </row>
    <row r="4353" ht="15" customHeight="1">
      <c r="A4353" t="inlineStr">
        <is>
          <t>A 56680-2022</t>
        </is>
      </c>
      <c r="B4353" s="1" t="n">
        <v>44893.67267361111</v>
      </c>
      <c r="C4353" s="1" t="n">
        <v>46114</v>
      </c>
      <c r="D4353" t="inlineStr">
        <is>
          <t>DALARNAS LÄN</t>
        </is>
      </c>
      <c r="E4353" t="inlineStr">
        <is>
          <t>LUDVIKA</t>
        </is>
      </c>
      <c r="G4353" t="n">
        <v>0.4</v>
      </c>
      <c r="H4353" t="n">
        <v>0</v>
      </c>
      <c r="I4353" t="n">
        <v>0</v>
      </c>
      <c r="J4353" t="n">
        <v>0</v>
      </c>
      <c r="K4353" t="n">
        <v>0</v>
      </c>
      <c r="L4353" t="n">
        <v>0</v>
      </c>
      <c r="M4353" t="n">
        <v>0</v>
      </c>
      <c r="N4353" t="n">
        <v>0</v>
      </c>
      <c r="O4353" t="n">
        <v>0</v>
      </c>
      <c r="P4353" t="n">
        <v>0</v>
      </c>
      <c r="Q4353" t="n">
        <v>0</v>
      </c>
      <c r="R4353" s="2" t="inlineStr"/>
    </row>
    <row r="4354" ht="15" customHeight="1">
      <c r="A4354" t="inlineStr">
        <is>
          <t>A 463-2024</t>
        </is>
      </c>
      <c r="B4354" s="1" t="n">
        <v>45297.50574074074</v>
      </c>
      <c r="C4354" s="1" t="n">
        <v>46114</v>
      </c>
      <c r="D4354" t="inlineStr">
        <is>
          <t>DALARNAS LÄN</t>
        </is>
      </c>
      <c r="E4354" t="inlineStr">
        <is>
          <t>RÄTTVIK</t>
        </is>
      </c>
      <c r="F4354" t="inlineStr">
        <is>
          <t>Övriga statliga verk och myndigheter</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3089-2024</t>
        </is>
      </c>
      <c r="B4355" s="1" t="n">
        <v>45316</v>
      </c>
      <c r="C4355" s="1" t="n">
        <v>46114</v>
      </c>
      <c r="D4355" t="inlineStr">
        <is>
          <t>DALARNAS LÄN</t>
        </is>
      </c>
      <c r="E4355" t="inlineStr">
        <is>
          <t>HEDEMORA</t>
        </is>
      </c>
      <c r="G4355" t="n">
        <v>5.5</v>
      </c>
      <c r="H4355" t="n">
        <v>0</v>
      </c>
      <c r="I4355" t="n">
        <v>0</v>
      </c>
      <c r="J4355" t="n">
        <v>0</v>
      </c>
      <c r="K4355" t="n">
        <v>0</v>
      </c>
      <c r="L4355" t="n">
        <v>0</v>
      </c>
      <c r="M4355" t="n">
        <v>0</v>
      </c>
      <c r="N4355" t="n">
        <v>0</v>
      </c>
      <c r="O4355" t="n">
        <v>0</v>
      </c>
      <c r="P4355" t="n">
        <v>0</v>
      </c>
      <c r="Q4355" t="n">
        <v>0</v>
      </c>
      <c r="R4355" s="2" t="inlineStr"/>
    </row>
    <row r="4356" ht="15" customHeight="1">
      <c r="A4356" t="inlineStr">
        <is>
          <t>A 29587-2024</t>
        </is>
      </c>
      <c r="B4356" s="1" t="n">
        <v>45484.5799537037</v>
      </c>
      <c r="C4356" s="1" t="n">
        <v>46114</v>
      </c>
      <c r="D4356" t="inlineStr">
        <is>
          <t>DALARNAS LÄN</t>
        </is>
      </c>
      <c r="E4356" t="inlineStr">
        <is>
          <t>HEDEMORA</t>
        </is>
      </c>
      <c r="F4356" t="inlineStr">
        <is>
          <t>Bergvik skog väst AB</t>
        </is>
      </c>
      <c r="G4356" t="n">
        <v>3.4</v>
      </c>
      <c r="H4356" t="n">
        <v>0</v>
      </c>
      <c r="I4356" t="n">
        <v>0</v>
      </c>
      <c r="J4356" t="n">
        <v>0</v>
      </c>
      <c r="K4356" t="n">
        <v>0</v>
      </c>
      <c r="L4356" t="n">
        <v>0</v>
      </c>
      <c r="M4356" t="n">
        <v>0</v>
      </c>
      <c r="N4356" t="n">
        <v>0</v>
      </c>
      <c r="O4356" t="n">
        <v>0</v>
      </c>
      <c r="P4356" t="n">
        <v>0</v>
      </c>
      <c r="Q4356" t="n">
        <v>0</v>
      </c>
      <c r="R4356" s="2" t="inlineStr"/>
    </row>
    <row r="4357" ht="15" customHeight="1">
      <c r="A4357" t="inlineStr">
        <is>
          <t>A 29610-2024</t>
        </is>
      </c>
      <c r="B4357" s="1" t="n">
        <v>45484</v>
      </c>
      <c r="C4357" s="1" t="n">
        <v>46114</v>
      </c>
      <c r="D4357" t="inlineStr">
        <is>
          <t>DALARNAS LÄN</t>
        </is>
      </c>
      <c r="E4357" t="inlineStr">
        <is>
          <t>ÄLVDALEN</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44261-2025</t>
        </is>
      </c>
      <c r="B4358" s="1" t="n">
        <v>45915.99416666666</v>
      </c>
      <c r="C4358" s="1" t="n">
        <v>46114</v>
      </c>
      <c r="D4358" t="inlineStr">
        <is>
          <t>DALARNAS LÄN</t>
        </is>
      </c>
      <c r="E4358" t="inlineStr">
        <is>
          <t>LUDVIKA</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23645-2024</t>
        </is>
      </c>
      <c r="B4359" s="1" t="n">
        <v>45454</v>
      </c>
      <c r="C4359" s="1" t="n">
        <v>46114</v>
      </c>
      <c r="D4359" t="inlineStr">
        <is>
          <t>DALARNAS LÄN</t>
        </is>
      </c>
      <c r="E4359" t="inlineStr">
        <is>
          <t>SMEDJEBACKEN</t>
        </is>
      </c>
      <c r="F4359" t="inlineStr">
        <is>
          <t>Bergvik skog väst AB</t>
        </is>
      </c>
      <c r="G4359" t="n">
        <v>8.6</v>
      </c>
      <c r="H4359" t="n">
        <v>0</v>
      </c>
      <c r="I4359" t="n">
        <v>0</v>
      </c>
      <c r="J4359" t="n">
        <v>0</v>
      </c>
      <c r="K4359" t="n">
        <v>0</v>
      </c>
      <c r="L4359" t="n">
        <v>0</v>
      </c>
      <c r="M4359" t="n">
        <v>0</v>
      </c>
      <c r="N4359" t="n">
        <v>0</v>
      </c>
      <c r="O4359" t="n">
        <v>0</v>
      </c>
      <c r="P4359" t="n">
        <v>0</v>
      </c>
      <c r="Q4359" t="n">
        <v>0</v>
      </c>
      <c r="R4359" s="2" t="inlineStr"/>
    </row>
    <row r="4360" ht="15" customHeight="1">
      <c r="A4360" t="inlineStr">
        <is>
          <t>A 28467-2024</t>
        </is>
      </c>
      <c r="B4360" s="1" t="n">
        <v>45477.71173611111</v>
      </c>
      <c r="C4360" s="1" t="n">
        <v>46114</v>
      </c>
      <c r="D4360" t="inlineStr">
        <is>
          <t>DALARNAS LÄN</t>
        </is>
      </c>
      <c r="E4360" t="inlineStr">
        <is>
          <t>ÄLVDALEN</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44458-2025</t>
        </is>
      </c>
      <c r="B4361" s="1" t="n">
        <v>45916.61517361111</v>
      </c>
      <c r="C4361" s="1" t="n">
        <v>46114</v>
      </c>
      <c r="D4361" t="inlineStr">
        <is>
          <t>DALARNAS LÄN</t>
        </is>
      </c>
      <c r="E4361" t="inlineStr">
        <is>
          <t>RÄTTVIK</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44516-2025</t>
        </is>
      </c>
      <c r="B4362" s="1" t="n">
        <v>45916.70982638889</v>
      </c>
      <c r="C4362" s="1" t="n">
        <v>46114</v>
      </c>
      <c r="D4362" t="inlineStr">
        <is>
          <t>DALARNAS LÄN</t>
        </is>
      </c>
      <c r="E4362" t="inlineStr">
        <is>
          <t>LEKSAND</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44544-2025</t>
        </is>
      </c>
      <c r="B4363" s="1" t="n">
        <v>45917.30706018519</v>
      </c>
      <c r="C4363" s="1" t="n">
        <v>46114</v>
      </c>
      <c r="D4363" t="inlineStr">
        <is>
          <t>DALARNAS LÄN</t>
        </is>
      </c>
      <c r="E4363" t="inlineStr">
        <is>
          <t>RÄTTVIK</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46188-2022</t>
        </is>
      </c>
      <c r="B4364" s="1" t="n">
        <v>44847.518125</v>
      </c>
      <c r="C4364" s="1" t="n">
        <v>46114</v>
      </c>
      <c r="D4364" t="inlineStr">
        <is>
          <t>DALARNAS LÄN</t>
        </is>
      </c>
      <c r="E4364" t="inlineStr">
        <is>
          <t>MORA</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28977-2023</t>
        </is>
      </c>
      <c r="B4365" s="1" t="n">
        <v>45104.61434027777</v>
      </c>
      <c r="C4365" s="1" t="n">
        <v>46114</v>
      </c>
      <c r="D4365" t="inlineStr">
        <is>
          <t>DALARNAS LÄN</t>
        </is>
      </c>
      <c r="E4365" t="inlineStr">
        <is>
          <t>SÄTER</t>
        </is>
      </c>
      <c r="G4365" t="n">
        <v>0.9</v>
      </c>
      <c r="H4365" t="n">
        <v>0</v>
      </c>
      <c r="I4365" t="n">
        <v>0</v>
      </c>
      <c r="J4365" t="n">
        <v>0</v>
      </c>
      <c r="K4365" t="n">
        <v>0</v>
      </c>
      <c r="L4365" t="n">
        <v>0</v>
      </c>
      <c r="M4365" t="n">
        <v>0</v>
      </c>
      <c r="N4365" t="n">
        <v>0</v>
      </c>
      <c r="O4365" t="n">
        <v>0</v>
      </c>
      <c r="P4365" t="n">
        <v>0</v>
      </c>
      <c r="Q4365" t="n">
        <v>0</v>
      </c>
      <c r="R4365" s="2" t="inlineStr"/>
    </row>
    <row r="4366" ht="15" customHeight="1">
      <c r="A4366" t="inlineStr">
        <is>
          <t>A 37120-2024</t>
        </is>
      </c>
      <c r="B4366" s="1" t="n">
        <v>45539.53831018518</v>
      </c>
      <c r="C4366" s="1" t="n">
        <v>46114</v>
      </c>
      <c r="D4366" t="inlineStr">
        <is>
          <t>DALARNAS LÄN</t>
        </is>
      </c>
      <c r="E4366" t="inlineStr">
        <is>
          <t>RÄTTVIK</t>
        </is>
      </c>
      <c r="G4366" t="n">
        <v>13.6</v>
      </c>
      <c r="H4366" t="n">
        <v>0</v>
      </c>
      <c r="I4366" t="n">
        <v>0</v>
      </c>
      <c r="J4366" t="n">
        <v>0</v>
      </c>
      <c r="K4366" t="n">
        <v>0</v>
      </c>
      <c r="L4366" t="n">
        <v>0</v>
      </c>
      <c r="M4366" t="n">
        <v>0</v>
      </c>
      <c r="N4366" t="n">
        <v>0</v>
      </c>
      <c r="O4366" t="n">
        <v>0</v>
      </c>
      <c r="P4366" t="n">
        <v>0</v>
      </c>
      <c r="Q4366" t="n">
        <v>0</v>
      </c>
      <c r="R4366" s="2" t="inlineStr"/>
    </row>
    <row r="4367" ht="15" customHeight="1">
      <c r="A4367" t="inlineStr">
        <is>
          <t>A 44621-2025</t>
        </is>
      </c>
      <c r="B4367" s="1" t="n">
        <v>45917.466875</v>
      </c>
      <c r="C4367" s="1" t="n">
        <v>46114</v>
      </c>
      <c r="D4367" t="inlineStr">
        <is>
          <t>DALARNAS LÄN</t>
        </is>
      </c>
      <c r="E4367" t="inlineStr">
        <is>
          <t>MORA</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44672-2025</t>
        </is>
      </c>
      <c r="B4368" s="1" t="n">
        <v>45917.56780092593</v>
      </c>
      <c r="C4368" s="1" t="n">
        <v>46114</v>
      </c>
      <c r="D4368" t="inlineStr">
        <is>
          <t>DALARNAS LÄN</t>
        </is>
      </c>
      <c r="E4368" t="inlineStr">
        <is>
          <t>LEKSAND</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8309-2022</t>
        </is>
      </c>
      <c r="B4369" s="1" t="n">
        <v>44610</v>
      </c>
      <c r="C4369" s="1" t="n">
        <v>46114</v>
      </c>
      <c r="D4369" t="inlineStr">
        <is>
          <t>DALARNAS LÄN</t>
        </is>
      </c>
      <c r="E4369" t="inlineStr">
        <is>
          <t>BORLÄNGE</t>
        </is>
      </c>
      <c r="G4369" t="n">
        <v>2.8</v>
      </c>
      <c r="H4369" t="n">
        <v>0</v>
      </c>
      <c r="I4369" t="n">
        <v>0</v>
      </c>
      <c r="J4369" t="n">
        <v>0</v>
      </c>
      <c r="K4369" t="n">
        <v>0</v>
      </c>
      <c r="L4369" t="n">
        <v>0</v>
      </c>
      <c r="M4369" t="n">
        <v>0</v>
      </c>
      <c r="N4369" t="n">
        <v>0</v>
      </c>
      <c r="O4369" t="n">
        <v>0</v>
      </c>
      <c r="P4369" t="n">
        <v>0</v>
      </c>
      <c r="Q4369" t="n">
        <v>0</v>
      </c>
      <c r="R4369" s="2" t="inlineStr"/>
    </row>
    <row r="4370" ht="15" customHeight="1">
      <c r="A4370" t="inlineStr">
        <is>
          <t>A 3655-2024</t>
        </is>
      </c>
      <c r="B4370" s="1" t="n">
        <v>45321.33939814815</v>
      </c>
      <c r="C4370" s="1" t="n">
        <v>46114</v>
      </c>
      <c r="D4370" t="inlineStr">
        <is>
          <t>DALARNAS LÄN</t>
        </is>
      </c>
      <c r="E4370" t="inlineStr">
        <is>
          <t>RÄTTVIK</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11277-2025</t>
        </is>
      </c>
      <c r="B4371" s="1" t="n">
        <v>45726.41565972222</v>
      </c>
      <c r="C4371" s="1" t="n">
        <v>46114</v>
      </c>
      <c r="D4371" t="inlineStr">
        <is>
          <t>DALARNAS LÄN</t>
        </is>
      </c>
      <c r="E4371" t="inlineStr">
        <is>
          <t>LEKSAND</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44850-2025</t>
        </is>
      </c>
      <c r="B4372" s="1" t="n">
        <v>45918.44587962963</v>
      </c>
      <c r="C4372" s="1" t="n">
        <v>46114</v>
      </c>
      <c r="D4372" t="inlineStr">
        <is>
          <t>DALARNAS LÄN</t>
        </is>
      </c>
      <c r="E4372" t="inlineStr">
        <is>
          <t>HEDEMORA</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73703-2021</t>
        </is>
      </c>
      <c r="B4373" s="1" t="n">
        <v>44552</v>
      </c>
      <c r="C4373" s="1" t="n">
        <v>46114</v>
      </c>
      <c r="D4373" t="inlineStr">
        <is>
          <t>DALARNAS LÄN</t>
        </is>
      </c>
      <c r="E4373" t="inlineStr">
        <is>
          <t>LUDVIKA</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43539-2025</t>
        </is>
      </c>
      <c r="B4374" s="1" t="n">
        <v>45911</v>
      </c>
      <c r="C4374" s="1" t="n">
        <v>46114</v>
      </c>
      <c r="D4374" t="inlineStr">
        <is>
          <t>DALARNAS LÄN</t>
        </is>
      </c>
      <c r="E4374" t="inlineStr">
        <is>
          <t>LUDVIKA</t>
        </is>
      </c>
      <c r="F4374" t="inlineStr">
        <is>
          <t>Bergvik skog väst AB</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45135-2025</t>
        </is>
      </c>
      <c r="B4375" s="1" t="n">
        <v>45919.44981481481</v>
      </c>
      <c r="C4375" s="1" t="n">
        <v>46114</v>
      </c>
      <c r="D4375" t="inlineStr">
        <is>
          <t>DALARNAS LÄN</t>
        </is>
      </c>
      <c r="E4375" t="inlineStr">
        <is>
          <t>MALUNG-SÄLEN</t>
        </is>
      </c>
      <c r="F4375" t="inlineStr">
        <is>
          <t>Bergvik skog väst AB</t>
        </is>
      </c>
      <c r="G4375" t="n">
        <v>6.3</v>
      </c>
      <c r="H4375" t="n">
        <v>0</v>
      </c>
      <c r="I4375" t="n">
        <v>0</v>
      </c>
      <c r="J4375" t="n">
        <v>0</v>
      </c>
      <c r="K4375" t="n">
        <v>0</v>
      </c>
      <c r="L4375" t="n">
        <v>0</v>
      </c>
      <c r="M4375" t="n">
        <v>0</v>
      </c>
      <c r="N4375" t="n">
        <v>0</v>
      </c>
      <c r="O4375" t="n">
        <v>0</v>
      </c>
      <c r="P4375" t="n">
        <v>0</v>
      </c>
      <c r="Q4375" t="n">
        <v>0</v>
      </c>
      <c r="R4375" s="2" t="inlineStr"/>
    </row>
    <row r="4376" ht="15" customHeight="1">
      <c r="A4376" t="inlineStr">
        <is>
          <t>A 38689-2025</t>
        </is>
      </c>
      <c r="B4376" s="1" t="n">
        <v>45884.66238425926</v>
      </c>
      <c r="C4376" s="1" t="n">
        <v>46114</v>
      </c>
      <c r="D4376" t="inlineStr">
        <is>
          <t>DALARNAS LÄN</t>
        </is>
      </c>
      <c r="E4376" t="inlineStr">
        <is>
          <t>AVESTA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45155-2025</t>
        </is>
      </c>
      <c r="B4377" s="1" t="n">
        <v>45919.47872685185</v>
      </c>
      <c r="C4377" s="1" t="n">
        <v>46114</v>
      </c>
      <c r="D4377" t="inlineStr">
        <is>
          <t>DALARNAS LÄN</t>
        </is>
      </c>
      <c r="E4377" t="inlineStr">
        <is>
          <t>ORSA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45173-2025</t>
        </is>
      </c>
      <c r="B4378" s="1" t="n">
        <v>45919.51228009259</v>
      </c>
      <c r="C4378" s="1" t="n">
        <v>46114</v>
      </c>
      <c r="D4378" t="inlineStr">
        <is>
          <t>DALARNAS LÄN</t>
        </is>
      </c>
      <c r="E4378" t="inlineStr">
        <is>
          <t>ÄLVDALEN</t>
        </is>
      </c>
      <c r="F4378" t="inlineStr">
        <is>
          <t>Allmännings- och besparingsskogar</t>
        </is>
      </c>
      <c r="G4378" t="n">
        <v>40.5</v>
      </c>
      <c r="H4378" t="n">
        <v>0</v>
      </c>
      <c r="I4378" t="n">
        <v>0</v>
      </c>
      <c r="J4378" t="n">
        <v>0</v>
      </c>
      <c r="K4378" t="n">
        <v>0</v>
      </c>
      <c r="L4378" t="n">
        <v>0</v>
      </c>
      <c r="M4378" t="n">
        <v>0</v>
      </c>
      <c r="N4378" t="n">
        <v>0</v>
      </c>
      <c r="O4378" t="n">
        <v>0</v>
      </c>
      <c r="P4378" t="n">
        <v>0</v>
      </c>
      <c r="Q4378" t="n">
        <v>0</v>
      </c>
      <c r="R4378" s="2" t="inlineStr"/>
    </row>
    <row r="4379" ht="15" customHeight="1">
      <c r="A4379" t="inlineStr">
        <is>
          <t>A 45181-2025</t>
        </is>
      </c>
      <c r="B4379" s="1" t="n">
        <v>45919.53329861111</v>
      </c>
      <c r="C4379" s="1" t="n">
        <v>46114</v>
      </c>
      <c r="D4379" t="inlineStr">
        <is>
          <t>DALARNAS LÄN</t>
        </is>
      </c>
      <c r="E4379" t="inlineStr">
        <is>
          <t>MORA</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33057-2025</t>
        </is>
      </c>
      <c r="B4380" s="1" t="n">
        <v>45840</v>
      </c>
      <c r="C4380" s="1" t="n">
        <v>46114</v>
      </c>
      <c r="D4380" t="inlineStr">
        <is>
          <t>DALARNAS LÄN</t>
        </is>
      </c>
      <c r="E4380" t="inlineStr">
        <is>
          <t>ORSA</t>
        </is>
      </c>
      <c r="F4380" t="inlineStr">
        <is>
          <t>Bergvik skog öst AB</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44863-2025</t>
        </is>
      </c>
      <c r="B4381" s="1" t="n">
        <v>45918.45920138889</v>
      </c>
      <c r="C4381" s="1" t="n">
        <v>46114</v>
      </c>
      <c r="D4381" t="inlineStr">
        <is>
          <t>DALARNAS LÄN</t>
        </is>
      </c>
      <c r="E4381" t="inlineStr">
        <is>
          <t>FALUN</t>
        </is>
      </c>
      <c r="F4381" t="inlineStr">
        <is>
          <t>Bergvik skog väst AB</t>
        </is>
      </c>
      <c r="G4381" t="n">
        <v>23.6</v>
      </c>
      <c r="H4381" t="n">
        <v>0</v>
      </c>
      <c r="I4381" t="n">
        <v>0</v>
      </c>
      <c r="J4381" t="n">
        <v>0</v>
      </c>
      <c r="K4381" t="n">
        <v>0</v>
      </c>
      <c r="L4381" t="n">
        <v>0</v>
      </c>
      <c r="M4381" t="n">
        <v>0</v>
      </c>
      <c r="N4381" t="n">
        <v>0</v>
      </c>
      <c r="O4381" t="n">
        <v>0</v>
      </c>
      <c r="P4381" t="n">
        <v>0</v>
      </c>
      <c r="Q4381" t="n">
        <v>0</v>
      </c>
      <c r="R4381" s="2" t="inlineStr"/>
    </row>
    <row r="4382" ht="15" customHeight="1">
      <c r="A4382" t="inlineStr">
        <is>
          <t>A 45175-2025</t>
        </is>
      </c>
      <c r="B4382" s="1" t="n">
        <v>45919.52307870371</v>
      </c>
      <c r="C4382" s="1" t="n">
        <v>46114</v>
      </c>
      <c r="D4382" t="inlineStr">
        <is>
          <t>DALARNAS LÄN</t>
        </is>
      </c>
      <c r="E4382" t="inlineStr">
        <is>
          <t>SMEDJEBACKEN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44948-2025</t>
        </is>
      </c>
      <c r="B4383" s="1" t="n">
        <v>45918.60555555556</v>
      </c>
      <c r="C4383" s="1" t="n">
        <v>46114</v>
      </c>
      <c r="D4383" t="inlineStr">
        <is>
          <t>DALARNAS LÄN</t>
        </is>
      </c>
      <c r="E4383" t="inlineStr">
        <is>
          <t>LEKSAND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44879-2025</t>
        </is>
      </c>
      <c r="B4384" s="1" t="n">
        <v>45918.47898148148</v>
      </c>
      <c r="C4384" s="1" t="n">
        <v>46114</v>
      </c>
      <c r="D4384" t="inlineStr">
        <is>
          <t>DALARNAS LÄN</t>
        </is>
      </c>
      <c r="E4384" t="inlineStr">
        <is>
          <t>LUDVIKA</t>
        </is>
      </c>
      <c r="F4384" t="inlineStr">
        <is>
          <t>Bergvik skog väst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42436-2024</t>
        </is>
      </c>
      <c r="B4385" s="1" t="n">
        <v>45565.42178240741</v>
      </c>
      <c r="C4385" s="1" t="n">
        <v>46114</v>
      </c>
      <c r="D4385" t="inlineStr">
        <is>
          <t>DALARNAS LÄN</t>
        </is>
      </c>
      <c r="E4385" t="inlineStr">
        <is>
          <t>FALUN</t>
        </is>
      </c>
      <c r="F4385" t="inlineStr">
        <is>
          <t>Bergvik skog väst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49358-2022</t>
        </is>
      </c>
      <c r="B4386" s="1" t="n">
        <v>44861</v>
      </c>
      <c r="C4386" s="1" t="n">
        <v>46114</v>
      </c>
      <c r="D4386" t="inlineStr">
        <is>
          <t>DALARNAS LÄN</t>
        </is>
      </c>
      <c r="E4386" t="inlineStr">
        <is>
          <t>AVESTA</t>
        </is>
      </c>
      <c r="G4386" t="n">
        <v>2.9</v>
      </c>
      <c r="H4386" t="n">
        <v>0</v>
      </c>
      <c r="I4386" t="n">
        <v>0</v>
      </c>
      <c r="J4386" t="n">
        <v>0</v>
      </c>
      <c r="K4386" t="n">
        <v>0</v>
      </c>
      <c r="L4386" t="n">
        <v>0</v>
      </c>
      <c r="M4386" t="n">
        <v>0</v>
      </c>
      <c r="N4386" t="n">
        <v>0</v>
      </c>
      <c r="O4386" t="n">
        <v>0</v>
      </c>
      <c r="P4386" t="n">
        <v>0</v>
      </c>
      <c r="Q4386" t="n">
        <v>0</v>
      </c>
      <c r="R4386" s="2" t="inlineStr"/>
    </row>
    <row r="4387" ht="15" customHeight="1">
      <c r="A4387" t="inlineStr">
        <is>
          <t>A 36306-2024</t>
        </is>
      </c>
      <c r="B4387" s="1" t="n">
        <v>45534.61327546297</v>
      </c>
      <c r="C4387" s="1" t="n">
        <v>46114</v>
      </c>
      <c r="D4387" t="inlineStr">
        <is>
          <t>DALARNAS LÄN</t>
        </is>
      </c>
      <c r="E4387" t="inlineStr">
        <is>
          <t>HEDEMORA</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44870-2025</t>
        </is>
      </c>
      <c r="B4388" s="1" t="n">
        <v>45918.46780092592</v>
      </c>
      <c r="C4388" s="1" t="n">
        <v>46114</v>
      </c>
      <c r="D4388" t="inlineStr">
        <is>
          <t>DALARNAS LÄN</t>
        </is>
      </c>
      <c r="E4388" t="inlineStr">
        <is>
          <t>MALUNG-SÄLEN</t>
        </is>
      </c>
      <c r="F4388" t="inlineStr">
        <is>
          <t>Bergvik skog väst AB</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44886-2025</t>
        </is>
      </c>
      <c r="B4389" s="1" t="n">
        <v>45918.49219907408</v>
      </c>
      <c r="C4389" s="1" t="n">
        <v>46114</v>
      </c>
      <c r="D4389" t="inlineStr">
        <is>
          <t>DALARNAS LÄN</t>
        </is>
      </c>
      <c r="E4389" t="inlineStr">
        <is>
          <t>FALUN</t>
        </is>
      </c>
      <c r="G4389" t="n">
        <v>2.8</v>
      </c>
      <c r="H4389" t="n">
        <v>0</v>
      </c>
      <c r="I4389" t="n">
        <v>0</v>
      </c>
      <c r="J4389" t="n">
        <v>0</v>
      </c>
      <c r="K4389" t="n">
        <v>0</v>
      </c>
      <c r="L4389" t="n">
        <v>0</v>
      </c>
      <c r="M4389" t="n">
        <v>0</v>
      </c>
      <c r="N4389" t="n">
        <v>0</v>
      </c>
      <c r="O4389" t="n">
        <v>0</v>
      </c>
      <c r="P4389" t="n">
        <v>0</v>
      </c>
      <c r="Q4389" t="n">
        <v>0</v>
      </c>
      <c r="R4389" s="2" t="inlineStr"/>
    </row>
    <row r="4390" ht="15" customHeight="1">
      <c r="A4390" t="inlineStr">
        <is>
          <t>A 45039-2025</t>
        </is>
      </c>
      <c r="B4390" s="1" t="n">
        <v>45918.7181712963</v>
      </c>
      <c r="C4390" s="1" t="n">
        <v>46114</v>
      </c>
      <c r="D4390" t="inlineStr">
        <is>
          <t>DALARNAS LÄN</t>
        </is>
      </c>
      <c r="E4390" t="inlineStr">
        <is>
          <t>FALUN</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47318-2023</t>
        </is>
      </c>
      <c r="B4391" s="1" t="n">
        <v>45202</v>
      </c>
      <c r="C4391" s="1" t="n">
        <v>46114</v>
      </c>
      <c r="D4391" t="inlineStr">
        <is>
          <t>DALARNAS LÄN</t>
        </is>
      </c>
      <c r="E4391" t="inlineStr">
        <is>
          <t>BORLÄNGE</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45225-2022</t>
        </is>
      </c>
      <c r="B4392" s="1" t="n">
        <v>44840</v>
      </c>
      <c r="C4392" s="1" t="n">
        <v>46114</v>
      </c>
      <c r="D4392" t="inlineStr">
        <is>
          <t>DALARNAS LÄN</t>
        </is>
      </c>
      <c r="E4392" t="inlineStr">
        <is>
          <t>SÄTER</t>
        </is>
      </c>
      <c r="F4392" t="inlineStr">
        <is>
          <t>Bergvik skog väst AB</t>
        </is>
      </c>
      <c r="G4392" t="n">
        <v>10.2</v>
      </c>
      <c r="H4392" t="n">
        <v>0</v>
      </c>
      <c r="I4392" t="n">
        <v>0</v>
      </c>
      <c r="J4392" t="n">
        <v>0</v>
      </c>
      <c r="K4392" t="n">
        <v>0</v>
      </c>
      <c r="L4392" t="n">
        <v>0</v>
      </c>
      <c r="M4392" t="n">
        <v>0</v>
      </c>
      <c r="N4392" t="n">
        <v>0</v>
      </c>
      <c r="O4392" t="n">
        <v>0</v>
      </c>
      <c r="P4392" t="n">
        <v>0</v>
      </c>
      <c r="Q4392" t="n">
        <v>0</v>
      </c>
      <c r="R4392" s="2" t="inlineStr"/>
    </row>
    <row r="4393" ht="15" customHeight="1">
      <c r="A4393" t="inlineStr">
        <is>
          <t>A 45040-2025</t>
        </is>
      </c>
      <c r="B4393" s="1" t="n">
        <v>45918.71972222222</v>
      </c>
      <c r="C4393" s="1" t="n">
        <v>46114</v>
      </c>
      <c r="D4393" t="inlineStr">
        <is>
          <t>DALARNAS LÄN</t>
        </is>
      </c>
      <c r="E4393" t="inlineStr">
        <is>
          <t>FALUN</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45259-2025</t>
        </is>
      </c>
      <c r="B4394" s="1" t="n">
        <v>45919</v>
      </c>
      <c r="C4394" s="1" t="n">
        <v>46114</v>
      </c>
      <c r="D4394" t="inlineStr">
        <is>
          <t>DALARNAS LÄN</t>
        </is>
      </c>
      <c r="E4394" t="inlineStr">
        <is>
          <t>LUDVIKA</t>
        </is>
      </c>
      <c r="F4394" t="inlineStr">
        <is>
          <t>Bergvik skog väst AB</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58133-2024</t>
        </is>
      </c>
      <c r="B4395" s="1" t="n">
        <v>45632.40962962963</v>
      </c>
      <c r="C4395" s="1" t="n">
        <v>46114</v>
      </c>
      <c r="D4395" t="inlineStr">
        <is>
          <t>DALARNAS LÄN</t>
        </is>
      </c>
      <c r="E4395" t="inlineStr">
        <is>
          <t>FALUN</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45180-2025</t>
        </is>
      </c>
      <c r="B4396" s="1" t="n">
        <v>45919.53</v>
      </c>
      <c r="C4396" s="1" t="n">
        <v>46114</v>
      </c>
      <c r="D4396" t="inlineStr">
        <is>
          <t>DALARNAS LÄN</t>
        </is>
      </c>
      <c r="E4396" t="inlineStr">
        <is>
          <t>AVESTA</t>
        </is>
      </c>
      <c r="F4396" t="inlineStr">
        <is>
          <t>Sveaskog</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45207-2025</t>
        </is>
      </c>
      <c r="B4397" s="1" t="n">
        <v>45919.56688657407</v>
      </c>
      <c r="C4397" s="1" t="n">
        <v>46114</v>
      </c>
      <c r="D4397" t="inlineStr">
        <is>
          <t>DALARNAS LÄN</t>
        </is>
      </c>
      <c r="E4397" t="inlineStr">
        <is>
          <t>MALUNG-SÄLEN</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45057-2025</t>
        </is>
      </c>
      <c r="B4398" s="1" t="n">
        <v>45919.34008101852</v>
      </c>
      <c r="C4398" s="1" t="n">
        <v>46114</v>
      </c>
      <c r="D4398" t="inlineStr">
        <is>
          <t>DALARNAS LÄN</t>
        </is>
      </c>
      <c r="E4398" t="inlineStr">
        <is>
          <t>GAGNEF</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48230-2024</t>
        </is>
      </c>
      <c r="B4399" s="1" t="n">
        <v>45590.37570601852</v>
      </c>
      <c r="C4399" s="1" t="n">
        <v>46114</v>
      </c>
      <c r="D4399" t="inlineStr">
        <is>
          <t>DALARNAS LÄN</t>
        </is>
      </c>
      <c r="E4399" t="inlineStr">
        <is>
          <t>RÄTTVIK</t>
        </is>
      </c>
      <c r="F4399" t="inlineStr">
        <is>
          <t>Bergvik skog väst AB</t>
        </is>
      </c>
      <c r="G4399" t="n">
        <v>0.4</v>
      </c>
      <c r="H4399" t="n">
        <v>0</v>
      </c>
      <c r="I4399" t="n">
        <v>0</v>
      </c>
      <c r="J4399" t="n">
        <v>0</v>
      </c>
      <c r="K4399" t="n">
        <v>0</v>
      </c>
      <c r="L4399" t="n">
        <v>0</v>
      </c>
      <c r="M4399" t="n">
        <v>0</v>
      </c>
      <c r="N4399" t="n">
        <v>0</v>
      </c>
      <c r="O4399" t="n">
        <v>0</v>
      </c>
      <c r="P4399" t="n">
        <v>0</v>
      </c>
      <c r="Q4399" t="n">
        <v>0</v>
      </c>
      <c r="R4399" s="2" t="inlineStr"/>
    </row>
    <row r="4400" ht="15" customHeight="1">
      <c r="A4400" t="inlineStr">
        <is>
          <t>A 49921-2023</t>
        </is>
      </c>
      <c r="B4400" s="1" t="n">
        <v>45214.84159722222</v>
      </c>
      <c r="C4400" s="1" t="n">
        <v>46114</v>
      </c>
      <c r="D4400" t="inlineStr">
        <is>
          <t>DALARNAS LÄN</t>
        </is>
      </c>
      <c r="E4400" t="inlineStr">
        <is>
          <t>VANSBRO</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45101-2025</t>
        </is>
      </c>
      <c r="B4401" s="1" t="n">
        <v>45919.39679398148</v>
      </c>
      <c r="C4401" s="1" t="n">
        <v>46114</v>
      </c>
      <c r="D4401" t="inlineStr">
        <is>
          <t>DALARNAS LÄN</t>
        </is>
      </c>
      <c r="E4401" t="inlineStr">
        <is>
          <t>LEKSAND</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4834-2024</t>
        </is>
      </c>
      <c r="B4402" s="1" t="n">
        <v>45329</v>
      </c>
      <c r="C4402" s="1" t="n">
        <v>46114</v>
      </c>
      <c r="D4402" t="inlineStr">
        <is>
          <t>DALARNAS LÄN</t>
        </is>
      </c>
      <c r="E4402" t="inlineStr">
        <is>
          <t>FALUN</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42035-2022</t>
        </is>
      </c>
      <c r="B4403" s="1" t="n">
        <v>44830</v>
      </c>
      <c r="C4403" s="1" t="n">
        <v>46114</v>
      </c>
      <c r="D4403" t="inlineStr">
        <is>
          <t>DALARNAS LÄN</t>
        </is>
      </c>
      <c r="E4403" t="inlineStr">
        <is>
          <t>MORA</t>
        </is>
      </c>
      <c r="G4403" t="n">
        <v>2.7</v>
      </c>
      <c r="H4403" t="n">
        <v>0</v>
      </c>
      <c r="I4403" t="n">
        <v>0</v>
      </c>
      <c r="J4403" t="n">
        <v>0</v>
      </c>
      <c r="K4403" t="n">
        <v>0</v>
      </c>
      <c r="L4403" t="n">
        <v>0</v>
      </c>
      <c r="M4403" t="n">
        <v>0</v>
      </c>
      <c r="N4403" t="n">
        <v>0</v>
      </c>
      <c r="O4403" t="n">
        <v>0</v>
      </c>
      <c r="P4403" t="n">
        <v>0</v>
      </c>
      <c r="Q4403" t="n">
        <v>0</v>
      </c>
      <c r="R4403" s="2" t="inlineStr"/>
    </row>
    <row r="4404" ht="15" customHeight="1">
      <c r="A4404" t="inlineStr">
        <is>
          <t>A 45156-2025</t>
        </is>
      </c>
      <c r="B4404" s="1" t="n">
        <v>45919.48063657407</v>
      </c>
      <c r="C4404" s="1" t="n">
        <v>46114</v>
      </c>
      <c r="D4404" t="inlineStr">
        <is>
          <t>DALARNAS LÄN</t>
        </is>
      </c>
      <c r="E4404" t="inlineStr">
        <is>
          <t>ÄLVDALEN</t>
        </is>
      </c>
      <c r="F4404" t="inlineStr">
        <is>
          <t>Allmännings- och besparingsskogar</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5570-2024</t>
        </is>
      </c>
      <c r="B4405" s="1" t="n">
        <v>45334</v>
      </c>
      <c r="C4405" s="1" t="n">
        <v>46114</v>
      </c>
      <c r="D4405" t="inlineStr">
        <is>
          <t>DALARNAS LÄN</t>
        </is>
      </c>
      <c r="E4405" t="inlineStr">
        <is>
          <t>LEKSAND</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39033-2024</t>
        </is>
      </c>
      <c r="B4406" s="1" t="n">
        <v>45548</v>
      </c>
      <c r="C4406" s="1" t="n">
        <v>46114</v>
      </c>
      <c r="D4406" t="inlineStr">
        <is>
          <t>DALARNAS LÄN</t>
        </is>
      </c>
      <c r="E4406" t="inlineStr">
        <is>
          <t>FALUN</t>
        </is>
      </c>
      <c r="G4406" t="n">
        <v>7.7</v>
      </c>
      <c r="H4406" t="n">
        <v>0</v>
      </c>
      <c r="I4406" t="n">
        <v>0</v>
      </c>
      <c r="J4406" t="n">
        <v>0</v>
      </c>
      <c r="K4406" t="n">
        <v>0</v>
      </c>
      <c r="L4406" t="n">
        <v>0</v>
      </c>
      <c r="M4406" t="n">
        <v>0</v>
      </c>
      <c r="N4406" t="n">
        <v>0</v>
      </c>
      <c r="O4406" t="n">
        <v>0</v>
      </c>
      <c r="P4406" t="n">
        <v>0</v>
      </c>
      <c r="Q4406" t="n">
        <v>0</v>
      </c>
      <c r="R4406" s="2" t="inlineStr"/>
    </row>
    <row r="4407" ht="15" customHeight="1">
      <c r="A4407" t="inlineStr">
        <is>
          <t>A 29230-2025</t>
        </is>
      </c>
      <c r="B4407" s="1" t="n">
        <v>45824.34381944445</v>
      </c>
      <c r="C4407" s="1" t="n">
        <v>46114</v>
      </c>
      <c r="D4407" t="inlineStr">
        <is>
          <t>DALARNAS LÄN</t>
        </is>
      </c>
      <c r="E4407" t="inlineStr">
        <is>
          <t>SÄTER</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54917-2024</t>
        </is>
      </c>
      <c r="B4408" s="1" t="n">
        <v>45618.69581018519</v>
      </c>
      <c r="C4408" s="1" t="n">
        <v>46114</v>
      </c>
      <c r="D4408" t="inlineStr">
        <is>
          <t>DALARNAS LÄN</t>
        </is>
      </c>
      <c r="E4408" t="inlineStr">
        <is>
          <t>LEKSAND</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27389-2024</t>
        </is>
      </c>
      <c r="B4409" s="1" t="n">
        <v>45474.31796296296</v>
      </c>
      <c r="C4409" s="1" t="n">
        <v>46114</v>
      </c>
      <c r="D4409" t="inlineStr">
        <is>
          <t>DALARNAS LÄN</t>
        </is>
      </c>
      <c r="E4409" t="inlineStr">
        <is>
          <t>LUDVIKA</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44987-2025</t>
        </is>
      </c>
      <c r="B4410" s="1" t="n">
        <v>45918.65405092593</v>
      </c>
      <c r="C4410" s="1" t="n">
        <v>46114</v>
      </c>
      <c r="D4410" t="inlineStr">
        <is>
          <t>DALARNAS LÄN</t>
        </is>
      </c>
      <c r="E4410" t="inlineStr">
        <is>
          <t>LUDVIKA</t>
        </is>
      </c>
      <c r="F4410" t="inlineStr">
        <is>
          <t>Bergvik skog väst AB</t>
        </is>
      </c>
      <c r="G4410" t="n">
        <v>12.9</v>
      </c>
      <c r="H4410" t="n">
        <v>0</v>
      </c>
      <c r="I4410" t="n">
        <v>0</v>
      </c>
      <c r="J4410" t="n">
        <v>0</v>
      </c>
      <c r="K4410" t="n">
        <v>0</v>
      </c>
      <c r="L4410" t="n">
        <v>0</v>
      </c>
      <c r="M4410" t="n">
        <v>0</v>
      </c>
      <c r="N4410" t="n">
        <v>0</v>
      </c>
      <c r="O4410" t="n">
        <v>0</v>
      </c>
      <c r="P4410" t="n">
        <v>0</v>
      </c>
      <c r="Q4410" t="n">
        <v>0</v>
      </c>
      <c r="R4410" s="2" t="inlineStr"/>
    </row>
    <row r="4411" ht="15" customHeight="1">
      <c r="A4411" t="inlineStr">
        <is>
          <t>A 57094-2023</t>
        </is>
      </c>
      <c r="B4411" s="1" t="n">
        <v>45245.31895833334</v>
      </c>
      <c r="C4411" s="1" t="n">
        <v>46114</v>
      </c>
      <c r="D4411" t="inlineStr">
        <is>
          <t>DALARNAS LÄN</t>
        </is>
      </c>
      <c r="E4411" t="inlineStr">
        <is>
          <t>RÄTTVIK</t>
        </is>
      </c>
      <c r="F4411" t="inlineStr">
        <is>
          <t>Kyrkan</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54212-2023</t>
        </is>
      </c>
      <c r="B4412" s="1" t="n">
        <v>45225</v>
      </c>
      <c r="C4412" s="1" t="n">
        <v>46114</v>
      </c>
      <c r="D4412" t="inlineStr">
        <is>
          <t>DALARNAS LÄN</t>
        </is>
      </c>
      <c r="E4412" t="inlineStr">
        <is>
          <t>RÄTTVIK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44836-2025</t>
        </is>
      </c>
      <c r="B4413" s="1" t="n">
        <v>45918.41756944444</v>
      </c>
      <c r="C4413" s="1" t="n">
        <v>46114</v>
      </c>
      <c r="D4413" t="inlineStr">
        <is>
          <t>DALARNAS LÄN</t>
        </is>
      </c>
      <c r="E4413" t="inlineStr">
        <is>
          <t>GAGNEF</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45191-2025</t>
        </is>
      </c>
      <c r="B4414" s="1" t="n">
        <v>45919.54811342592</v>
      </c>
      <c r="C4414" s="1" t="n">
        <v>46114</v>
      </c>
      <c r="D4414" t="inlineStr">
        <is>
          <t>DALARNAS LÄN</t>
        </is>
      </c>
      <c r="E4414" t="inlineStr">
        <is>
          <t>MORA</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6280-2025</t>
        </is>
      </c>
      <c r="B4415" s="1" t="n">
        <v>45698.63383101852</v>
      </c>
      <c r="C4415" s="1" t="n">
        <v>46114</v>
      </c>
      <c r="D4415" t="inlineStr">
        <is>
          <t>DALARNAS LÄN</t>
        </is>
      </c>
      <c r="E4415" t="inlineStr">
        <is>
          <t>SMEDJEBACKEN</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44520-2023</t>
        </is>
      </c>
      <c r="B4416" s="1" t="n">
        <v>45189</v>
      </c>
      <c r="C4416" s="1" t="n">
        <v>46114</v>
      </c>
      <c r="D4416" t="inlineStr">
        <is>
          <t>DALARNAS LÄN</t>
        </is>
      </c>
      <c r="E4416" t="inlineStr">
        <is>
          <t>LUDVIKA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11403-2023</t>
        </is>
      </c>
      <c r="B4417" s="1" t="n">
        <v>44993</v>
      </c>
      <c r="C4417" s="1" t="n">
        <v>46114</v>
      </c>
      <c r="D4417" t="inlineStr">
        <is>
          <t>DALARNAS LÄN</t>
        </is>
      </c>
      <c r="E4417" t="inlineStr">
        <is>
          <t>LEKSAND</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35807-2022</t>
        </is>
      </c>
      <c r="B4418" s="1" t="n">
        <v>44802</v>
      </c>
      <c r="C4418" s="1" t="n">
        <v>46114</v>
      </c>
      <c r="D4418" t="inlineStr">
        <is>
          <t>DALARNAS LÄN</t>
        </is>
      </c>
      <c r="E4418" t="inlineStr">
        <is>
          <t>FALUN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37875-2023</t>
        </is>
      </c>
      <c r="B4419" s="1" t="n">
        <v>45160.4325462963</v>
      </c>
      <c r="C4419" s="1" t="n">
        <v>46114</v>
      </c>
      <c r="D4419" t="inlineStr">
        <is>
          <t>DALARNAS LÄN</t>
        </is>
      </c>
      <c r="E4419" t="inlineStr">
        <is>
          <t>VANSBRO</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38768-2025</t>
        </is>
      </c>
      <c r="B4420" s="1" t="n">
        <v>45887.41387731482</v>
      </c>
      <c r="C4420" s="1" t="n">
        <v>46114</v>
      </c>
      <c r="D4420" t="inlineStr">
        <is>
          <t>DALARNAS LÄN</t>
        </is>
      </c>
      <c r="E4420" t="inlineStr">
        <is>
          <t>SMEDJEBACKEN</t>
        </is>
      </c>
      <c r="F4420" t="inlineStr">
        <is>
          <t>Sveaskog</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30366-2024</t>
        </is>
      </c>
      <c r="B4421" s="1" t="n">
        <v>45491.37751157407</v>
      </c>
      <c r="C4421" s="1" t="n">
        <v>46114</v>
      </c>
      <c r="D4421" t="inlineStr">
        <is>
          <t>DALARNAS LÄN</t>
        </is>
      </c>
      <c r="E4421" t="inlineStr">
        <is>
          <t>MALUNG-SÄLEN</t>
        </is>
      </c>
      <c r="F4421" t="inlineStr">
        <is>
          <t>Bergvik skog öst AB</t>
        </is>
      </c>
      <c r="G4421" t="n">
        <v>3.9</v>
      </c>
      <c r="H4421" t="n">
        <v>0</v>
      </c>
      <c r="I4421" t="n">
        <v>0</v>
      </c>
      <c r="J4421" t="n">
        <v>0</v>
      </c>
      <c r="K4421" t="n">
        <v>0</v>
      </c>
      <c r="L4421" t="n">
        <v>0</v>
      </c>
      <c r="M4421" t="n">
        <v>0</v>
      </c>
      <c r="N4421" t="n">
        <v>0</v>
      </c>
      <c r="O4421" t="n">
        <v>0</v>
      </c>
      <c r="P4421" t="n">
        <v>0</v>
      </c>
      <c r="Q4421" t="n">
        <v>0</v>
      </c>
      <c r="R4421" s="2" t="inlineStr"/>
    </row>
    <row r="4422" ht="15" customHeight="1">
      <c r="A4422" t="inlineStr">
        <is>
          <t>A 46756-2023</t>
        </is>
      </c>
      <c r="B4422" s="1" t="n">
        <v>45198.61319444444</v>
      </c>
      <c r="C4422" s="1" t="n">
        <v>46114</v>
      </c>
      <c r="D4422" t="inlineStr">
        <is>
          <t>DALARNAS LÄN</t>
        </is>
      </c>
      <c r="E4422" t="inlineStr">
        <is>
          <t>SMEDJEBACKEN</t>
        </is>
      </c>
      <c r="F4422" t="inlineStr">
        <is>
          <t>Bergvik skog väst AB</t>
        </is>
      </c>
      <c r="G4422" t="n">
        <v>3.1</v>
      </c>
      <c r="H4422" t="n">
        <v>0</v>
      </c>
      <c r="I4422" t="n">
        <v>0</v>
      </c>
      <c r="J4422" t="n">
        <v>0</v>
      </c>
      <c r="K4422" t="n">
        <v>0</v>
      </c>
      <c r="L4422" t="n">
        <v>0</v>
      </c>
      <c r="M4422" t="n">
        <v>0</v>
      </c>
      <c r="N4422" t="n">
        <v>0</v>
      </c>
      <c r="O4422" t="n">
        <v>0</v>
      </c>
      <c r="P4422" t="n">
        <v>0</v>
      </c>
      <c r="Q4422" t="n">
        <v>0</v>
      </c>
      <c r="R4422" s="2" t="inlineStr"/>
    </row>
    <row r="4423" ht="15" customHeight="1">
      <c r="A4423" t="inlineStr">
        <is>
          <t>A 44812-2025</t>
        </is>
      </c>
      <c r="B4423" s="1" t="n">
        <v>45918</v>
      </c>
      <c r="C4423" s="1" t="n">
        <v>46114</v>
      </c>
      <c r="D4423" t="inlineStr">
        <is>
          <t>DALARNAS LÄN</t>
        </is>
      </c>
      <c r="E4423" t="inlineStr">
        <is>
          <t>AVESTA</t>
        </is>
      </c>
      <c r="G4423" t="n">
        <v>2.2</v>
      </c>
      <c r="H4423" t="n">
        <v>0</v>
      </c>
      <c r="I4423" t="n">
        <v>0</v>
      </c>
      <c r="J4423" t="n">
        <v>0</v>
      </c>
      <c r="K4423" t="n">
        <v>0</v>
      </c>
      <c r="L4423" t="n">
        <v>0</v>
      </c>
      <c r="M4423" t="n">
        <v>0</v>
      </c>
      <c r="N4423" t="n">
        <v>0</v>
      </c>
      <c r="O4423" t="n">
        <v>0</v>
      </c>
      <c r="P4423" t="n">
        <v>0</v>
      </c>
      <c r="Q4423" t="n">
        <v>0</v>
      </c>
      <c r="R4423" s="2" t="inlineStr"/>
    </row>
    <row r="4424" ht="15" customHeight="1">
      <c r="A4424" t="inlineStr">
        <is>
          <t>A 57217-2024</t>
        </is>
      </c>
      <c r="B4424" s="1" t="n">
        <v>45629</v>
      </c>
      <c r="C4424" s="1" t="n">
        <v>46114</v>
      </c>
      <c r="D4424" t="inlineStr">
        <is>
          <t>DALARNAS LÄN</t>
        </is>
      </c>
      <c r="E4424" t="inlineStr">
        <is>
          <t>LUDVIKA</t>
        </is>
      </c>
      <c r="F4424" t="inlineStr">
        <is>
          <t>Bergvik skog väst AB</t>
        </is>
      </c>
      <c r="G4424" t="n">
        <v>17.3</v>
      </c>
      <c r="H4424" t="n">
        <v>0</v>
      </c>
      <c r="I4424" t="n">
        <v>0</v>
      </c>
      <c r="J4424" t="n">
        <v>0</v>
      </c>
      <c r="K4424" t="n">
        <v>0</v>
      </c>
      <c r="L4424" t="n">
        <v>0</v>
      </c>
      <c r="M4424" t="n">
        <v>0</v>
      </c>
      <c r="N4424" t="n">
        <v>0</v>
      </c>
      <c r="O4424" t="n">
        <v>0</v>
      </c>
      <c r="P4424" t="n">
        <v>0</v>
      </c>
      <c r="Q4424" t="n">
        <v>0</v>
      </c>
      <c r="R4424" s="2" t="inlineStr"/>
    </row>
    <row r="4425" ht="15" customHeight="1">
      <c r="A4425" t="inlineStr">
        <is>
          <t>A 48947-2023</t>
        </is>
      </c>
      <c r="B4425" s="1" t="n">
        <v>45209</v>
      </c>
      <c r="C4425" s="1" t="n">
        <v>46114</v>
      </c>
      <c r="D4425" t="inlineStr">
        <is>
          <t>DALARNAS LÄN</t>
        </is>
      </c>
      <c r="E4425" t="inlineStr">
        <is>
          <t>RÄTTVIK</t>
        </is>
      </c>
      <c r="F4425" t="inlineStr">
        <is>
          <t>Sveaskog</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7897-2025</t>
        </is>
      </c>
      <c r="B4426" s="1" t="n">
        <v>45707.30969907407</v>
      </c>
      <c r="C4426" s="1" t="n">
        <v>46114</v>
      </c>
      <c r="D4426" t="inlineStr">
        <is>
          <t>DALARNAS LÄN</t>
        </is>
      </c>
      <c r="E4426" t="inlineStr">
        <is>
          <t>LEKSAND</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38672-2025</t>
        </is>
      </c>
      <c r="B4427" s="1" t="n">
        <v>45884.63340277778</v>
      </c>
      <c r="C4427" s="1" t="n">
        <v>46114</v>
      </c>
      <c r="D4427" t="inlineStr">
        <is>
          <t>DALARNAS LÄN</t>
        </is>
      </c>
      <c r="E4427" t="inlineStr">
        <is>
          <t>ORSA</t>
        </is>
      </c>
      <c r="G4427" t="n">
        <v>4.6</v>
      </c>
      <c r="H4427" t="n">
        <v>0</v>
      </c>
      <c r="I4427" t="n">
        <v>0</v>
      </c>
      <c r="J4427" t="n">
        <v>0</v>
      </c>
      <c r="K4427" t="n">
        <v>0</v>
      </c>
      <c r="L4427" t="n">
        <v>0</v>
      </c>
      <c r="M4427" t="n">
        <v>0</v>
      </c>
      <c r="N4427" t="n">
        <v>0</v>
      </c>
      <c r="O4427" t="n">
        <v>0</v>
      </c>
      <c r="P4427" t="n">
        <v>0</v>
      </c>
      <c r="Q4427" t="n">
        <v>0</v>
      </c>
      <c r="R4427" s="2" t="inlineStr"/>
    </row>
    <row r="4428" ht="15" customHeight="1">
      <c r="A4428" t="inlineStr">
        <is>
          <t>A 45035-2025</t>
        </is>
      </c>
      <c r="B4428" s="1" t="n">
        <v>45918.70737268519</v>
      </c>
      <c r="C4428" s="1" t="n">
        <v>46114</v>
      </c>
      <c r="D4428" t="inlineStr">
        <is>
          <t>DALARNAS LÄN</t>
        </is>
      </c>
      <c r="E4428" t="inlineStr">
        <is>
          <t>FALUN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45233-2025</t>
        </is>
      </c>
      <c r="B4429" s="1" t="n">
        <v>45919.59399305555</v>
      </c>
      <c r="C4429" s="1" t="n">
        <v>46114</v>
      </c>
      <c r="D4429" t="inlineStr">
        <is>
          <t>DALARNAS LÄN</t>
        </is>
      </c>
      <c r="E4429" t="inlineStr">
        <is>
          <t>MALUNG-SÄLEN</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38721-2025</t>
        </is>
      </c>
      <c r="B4430" s="1" t="n">
        <v>45886.83605324074</v>
      </c>
      <c r="C4430" s="1" t="n">
        <v>46114</v>
      </c>
      <c r="D4430" t="inlineStr">
        <is>
          <t>DALARNAS LÄN</t>
        </is>
      </c>
      <c r="E4430" t="inlineStr">
        <is>
          <t>LEKSAND</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45032-2025</t>
        </is>
      </c>
      <c r="B4431" s="1" t="n">
        <v>45918.70072916667</v>
      </c>
      <c r="C4431" s="1" t="n">
        <v>46114</v>
      </c>
      <c r="D4431" t="inlineStr">
        <is>
          <t>DALARNAS LÄN</t>
        </is>
      </c>
      <c r="E4431" t="inlineStr">
        <is>
          <t>FALUN</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50682-2024</t>
        </is>
      </c>
      <c r="B4432" s="1" t="n">
        <v>45602.30305555555</v>
      </c>
      <c r="C4432" s="1" t="n">
        <v>46114</v>
      </c>
      <c r="D4432" t="inlineStr">
        <is>
          <t>DALARNAS LÄN</t>
        </is>
      </c>
      <c r="E4432" t="inlineStr">
        <is>
          <t>AVESTA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45049-2025</t>
        </is>
      </c>
      <c r="B4433" s="1" t="n">
        <v>45919.29888888889</v>
      </c>
      <c r="C4433" s="1" t="n">
        <v>46114</v>
      </c>
      <c r="D4433" t="inlineStr">
        <is>
          <t>DALARNAS LÄN</t>
        </is>
      </c>
      <c r="E4433" t="inlineStr">
        <is>
          <t>RÄTTVIK</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45031-2025</t>
        </is>
      </c>
      <c r="B4434" s="1" t="n">
        <v>45918.70020833334</v>
      </c>
      <c r="C4434" s="1" t="n">
        <v>46114</v>
      </c>
      <c r="D4434" t="inlineStr">
        <is>
          <t>DALARNAS LÄN</t>
        </is>
      </c>
      <c r="E4434" t="inlineStr">
        <is>
          <t>ORSA</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51135-2024</t>
        </is>
      </c>
      <c r="B4435" s="1" t="n">
        <v>45603.53417824074</v>
      </c>
      <c r="C4435" s="1" t="n">
        <v>46114</v>
      </c>
      <c r="D4435" t="inlineStr">
        <is>
          <t>DALARNAS LÄN</t>
        </is>
      </c>
      <c r="E4435" t="inlineStr">
        <is>
          <t>FALUN</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47999-2024</t>
        </is>
      </c>
      <c r="B4436" s="1" t="n">
        <v>45589.44649305556</v>
      </c>
      <c r="C4436" s="1" t="n">
        <v>46114</v>
      </c>
      <c r="D4436" t="inlineStr">
        <is>
          <t>DALARNAS LÄN</t>
        </is>
      </c>
      <c r="E4436" t="inlineStr">
        <is>
          <t>LUDVIKA</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9170-2025</t>
        </is>
      </c>
      <c r="B4437" s="1" t="n">
        <v>45713</v>
      </c>
      <c r="C4437" s="1" t="n">
        <v>46114</v>
      </c>
      <c r="D4437" t="inlineStr">
        <is>
          <t>DALARNAS LÄN</t>
        </is>
      </c>
      <c r="E4437" t="inlineStr">
        <is>
          <t>MALUNG-SÄLEN</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36172-2024</t>
        </is>
      </c>
      <c r="B4438" s="1" t="n">
        <v>45534.40519675926</v>
      </c>
      <c r="C4438" s="1" t="n">
        <v>46114</v>
      </c>
      <c r="D4438" t="inlineStr">
        <is>
          <t>DALARNAS LÄN</t>
        </is>
      </c>
      <c r="E4438" t="inlineStr">
        <is>
          <t>RÄTTVIK</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38754-2025</t>
        </is>
      </c>
      <c r="B4439" s="1" t="n">
        <v>45887.39354166666</v>
      </c>
      <c r="C4439" s="1" t="n">
        <v>46114</v>
      </c>
      <c r="D4439" t="inlineStr">
        <is>
          <t>DALARNAS LÄN</t>
        </is>
      </c>
      <c r="E4439" t="inlineStr">
        <is>
          <t>ÄLVDALEN</t>
        </is>
      </c>
      <c r="F4439" t="inlineStr">
        <is>
          <t>Bergvik skog väst AB</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45205-2025</t>
        </is>
      </c>
      <c r="B4440" s="1" t="n">
        <v>45919.5646412037</v>
      </c>
      <c r="C4440" s="1" t="n">
        <v>46114</v>
      </c>
      <c r="D4440" t="inlineStr">
        <is>
          <t>DALARNAS LÄN</t>
        </is>
      </c>
      <c r="E4440" t="inlineStr">
        <is>
          <t>MALUNG-SÄLEN</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45260-2025</t>
        </is>
      </c>
      <c r="B4441" s="1" t="n">
        <v>45919.63253472222</v>
      </c>
      <c r="C4441" s="1" t="n">
        <v>46114</v>
      </c>
      <c r="D4441" t="inlineStr">
        <is>
          <t>DALARNAS LÄN</t>
        </is>
      </c>
      <c r="E4441" t="inlineStr">
        <is>
          <t>AVESTA</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40671-2023</t>
        </is>
      </c>
      <c r="B4442" s="1" t="n">
        <v>45170</v>
      </c>
      <c r="C4442" s="1" t="n">
        <v>46114</v>
      </c>
      <c r="D4442" t="inlineStr">
        <is>
          <t>DALARNAS LÄN</t>
        </is>
      </c>
      <c r="E4442" t="inlineStr">
        <is>
          <t>SÄTER</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44779-2025</t>
        </is>
      </c>
      <c r="B4443" s="1" t="n">
        <v>45917.86349537037</v>
      </c>
      <c r="C4443" s="1" t="n">
        <v>46114</v>
      </c>
      <c r="D4443" t="inlineStr">
        <is>
          <t>DALARNAS LÄN</t>
        </is>
      </c>
      <c r="E4443" t="inlineStr">
        <is>
          <t>AVESTA</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38625-2025</t>
        </is>
      </c>
      <c r="B4444" s="1" t="n">
        <v>45884</v>
      </c>
      <c r="C4444" s="1" t="n">
        <v>46114</v>
      </c>
      <c r="D4444" t="inlineStr">
        <is>
          <t>DALARNAS LÄN</t>
        </is>
      </c>
      <c r="E4444" t="inlineStr">
        <is>
          <t>LUDVIKA</t>
        </is>
      </c>
      <c r="F4444" t="inlineStr">
        <is>
          <t>Bergvik skog väst AB</t>
        </is>
      </c>
      <c r="G4444" t="n">
        <v>3.7</v>
      </c>
      <c r="H4444" t="n">
        <v>0</v>
      </c>
      <c r="I4444" t="n">
        <v>0</v>
      </c>
      <c r="J4444" t="n">
        <v>0</v>
      </c>
      <c r="K4444" t="n">
        <v>0</v>
      </c>
      <c r="L4444" t="n">
        <v>0</v>
      </c>
      <c r="M4444" t="n">
        <v>0</v>
      </c>
      <c r="N4444" t="n">
        <v>0</v>
      </c>
      <c r="O4444" t="n">
        <v>0</v>
      </c>
      <c r="P4444" t="n">
        <v>0</v>
      </c>
      <c r="Q4444" t="n">
        <v>0</v>
      </c>
      <c r="R4444" s="2" t="inlineStr"/>
    </row>
    <row r="4445" ht="15" customHeight="1">
      <c r="A4445" t="inlineStr">
        <is>
          <t>A 38630-2025</t>
        </is>
      </c>
      <c r="B4445" s="1" t="n">
        <v>45884</v>
      </c>
      <c r="C4445" s="1" t="n">
        <v>46114</v>
      </c>
      <c r="D4445" t="inlineStr">
        <is>
          <t>DALARNAS LÄN</t>
        </is>
      </c>
      <c r="E4445" t="inlineStr">
        <is>
          <t>LUDVIKA</t>
        </is>
      </c>
      <c r="F4445" t="inlineStr">
        <is>
          <t>Bergvik skog väst AB</t>
        </is>
      </c>
      <c r="G4445" t="n">
        <v>3.7</v>
      </c>
      <c r="H4445" t="n">
        <v>0</v>
      </c>
      <c r="I4445" t="n">
        <v>0</v>
      </c>
      <c r="J4445" t="n">
        <v>0</v>
      </c>
      <c r="K4445" t="n">
        <v>0</v>
      </c>
      <c r="L4445" t="n">
        <v>0</v>
      </c>
      <c r="M4445" t="n">
        <v>0</v>
      </c>
      <c r="N4445" t="n">
        <v>0</v>
      </c>
      <c r="O4445" t="n">
        <v>0</v>
      </c>
      <c r="P4445" t="n">
        <v>0</v>
      </c>
      <c r="Q4445" t="n">
        <v>0</v>
      </c>
      <c r="R4445" s="2" t="inlineStr"/>
    </row>
    <row r="4446" ht="15" customHeight="1">
      <c r="A4446" t="inlineStr">
        <is>
          <t>A 41737-2025</t>
        </is>
      </c>
      <c r="B4446" s="1" t="n">
        <v>45902</v>
      </c>
      <c r="C4446" s="1" t="n">
        <v>46114</v>
      </c>
      <c r="D4446" t="inlineStr">
        <is>
          <t>DALARNAS LÄN</t>
        </is>
      </c>
      <c r="E4446" t="inlineStr">
        <is>
          <t>LUDVIKA</t>
        </is>
      </c>
      <c r="F4446" t="inlineStr">
        <is>
          <t>Bergvik skog väst AB</t>
        </is>
      </c>
      <c r="G4446" t="n">
        <v>1.9</v>
      </c>
      <c r="H4446" t="n">
        <v>0</v>
      </c>
      <c r="I4446" t="n">
        <v>0</v>
      </c>
      <c r="J4446" t="n">
        <v>0</v>
      </c>
      <c r="K4446" t="n">
        <v>0</v>
      </c>
      <c r="L4446" t="n">
        <v>0</v>
      </c>
      <c r="M4446" t="n">
        <v>0</v>
      </c>
      <c r="N4446" t="n">
        <v>0</v>
      </c>
      <c r="O4446" t="n">
        <v>0</v>
      </c>
      <c r="P4446" t="n">
        <v>0</v>
      </c>
      <c r="Q4446" t="n">
        <v>0</v>
      </c>
      <c r="R4446" s="2" t="inlineStr"/>
    </row>
    <row r="4447" ht="15" customHeight="1">
      <c r="A4447" t="inlineStr">
        <is>
          <t>A 45791-2025</t>
        </is>
      </c>
      <c r="B4447" s="1" t="n">
        <v>45923</v>
      </c>
      <c r="C4447" s="1" t="n">
        <v>46114</v>
      </c>
      <c r="D4447" t="inlineStr">
        <is>
          <t>DALARNAS LÄN</t>
        </is>
      </c>
      <c r="E4447" t="inlineStr">
        <is>
          <t>LUDVIKA</t>
        </is>
      </c>
      <c r="F4447" t="inlineStr">
        <is>
          <t>Bergvik skog väst AB</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38671-2025</t>
        </is>
      </c>
      <c r="B4448" s="1" t="n">
        <v>45884.6291087963</v>
      </c>
      <c r="C4448" s="1" t="n">
        <v>46114</v>
      </c>
      <c r="D4448" t="inlineStr">
        <is>
          <t>DALARNAS LÄN</t>
        </is>
      </c>
      <c r="E4448" t="inlineStr">
        <is>
          <t>RÄTTVIK</t>
        </is>
      </c>
      <c r="F4448" t="inlineStr">
        <is>
          <t>Sveaskog</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38688-2025</t>
        </is>
      </c>
      <c r="B4449" s="1" t="n">
        <v>45884.66097222222</v>
      </c>
      <c r="C4449" s="1" t="n">
        <v>46114</v>
      </c>
      <c r="D4449" t="inlineStr">
        <is>
          <t>DALARNAS LÄN</t>
        </is>
      </c>
      <c r="E4449" t="inlineStr">
        <is>
          <t>ORSA</t>
        </is>
      </c>
      <c r="F4449" t="inlineStr">
        <is>
          <t>Allmännings- och besparingsskogar</t>
        </is>
      </c>
      <c r="G4449" t="n">
        <v>10.2</v>
      </c>
      <c r="H4449" t="n">
        <v>0</v>
      </c>
      <c r="I4449" t="n">
        <v>0</v>
      </c>
      <c r="J4449" t="n">
        <v>0</v>
      </c>
      <c r="K4449" t="n">
        <v>0</v>
      </c>
      <c r="L4449" t="n">
        <v>0</v>
      </c>
      <c r="M4449" t="n">
        <v>0</v>
      </c>
      <c r="N4449" t="n">
        <v>0</v>
      </c>
      <c r="O4449" t="n">
        <v>0</v>
      </c>
      <c r="P4449" t="n">
        <v>0</v>
      </c>
      <c r="Q4449" t="n">
        <v>0</v>
      </c>
      <c r="R4449" s="2" t="inlineStr"/>
    </row>
    <row r="4450" ht="15" customHeight="1">
      <c r="A4450" t="inlineStr">
        <is>
          <t>A 45295-2025</t>
        </is>
      </c>
      <c r="B4450" s="1" t="n">
        <v>45920.57372685185</v>
      </c>
      <c r="C4450" s="1" t="n">
        <v>46114</v>
      </c>
      <c r="D4450" t="inlineStr">
        <is>
          <t>DALARNAS LÄN</t>
        </is>
      </c>
      <c r="E4450" t="inlineStr">
        <is>
          <t>RÄTTVIK</t>
        </is>
      </c>
      <c r="G4450" t="n">
        <v>12.4</v>
      </c>
      <c r="H4450" t="n">
        <v>0</v>
      </c>
      <c r="I4450" t="n">
        <v>0</v>
      </c>
      <c r="J4450" t="n">
        <v>0</v>
      </c>
      <c r="K4450" t="n">
        <v>0</v>
      </c>
      <c r="L4450" t="n">
        <v>0</v>
      </c>
      <c r="M4450" t="n">
        <v>0</v>
      </c>
      <c r="N4450" t="n">
        <v>0</v>
      </c>
      <c r="O4450" t="n">
        <v>0</v>
      </c>
      <c r="P4450" t="n">
        <v>0</v>
      </c>
      <c r="Q4450" t="n">
        <v>0</v>
      </c>
      <c r="R4450" s="2" t="inlineStr"/>
    </row>
    <row r="4451" ht="15" customHeight="1">
      <c r="A4451" t="inlineStr">
        <is>
          <t>A 28591-2024</t>
        </is>
      </c>
      <c r="B4451" s="1" t="n">
        <v>45478.41777777778</v>
      </c>
      <c r="C4451" s="1" t="n">
        <v>46114</v>
      </c>
      <c r="D4451" t="inlineStr">
        <is>
          <t>DALARNAS LÄN</t>
        </is>
      </c>
      <c r="E4451" t="inlineStr">
        <is>
          <t>GAGNEF</t>
        </is>
      </c>
      <c r="F4451" t="inlineStr">
        <is>
          <t>Bergvik skog väst AB</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42612-2024</t>
        </is>
      </c>
      <c r="B4452" s="1" t="n">
        <v>45565.78232638889</v>
      </c>
      <c r="C4452" s="1" t="n">
        <v>46114</v>
      </c>
      <c r="D4452" t="inlineStr">
        <is>
          <t>DALARNAS LÄN</t>
        </is>
      </c>
      <c r="E4452" t="inlineStr">
        <is>
          <t>BORLÄNGE</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47640-2024</t>
        </is>
      </c>
      <c r="B4453" s="1" t="n">
        <v>45588.36508101852</v>
      </c>
      <c r="C4453" s="1" t="n">
        <v>46114</v>
      </c>
      <c r="D4453" t="inlineStr">
        <is>
          <t>DALARNAS LÄN</t>
        </is>
      </c>
      <c r="E4453" t="inlineStr">
        <is>
          <t>LEKSAND</t>
        </is>
      </c>
      <c r="G4453" t="n">
        <v>9.1</v>
      </c>
      <c r="H4453" t="n">
        <v>0</v>
      </c>
      <c r="I4453" t="n">
        <v>0</v>
      </c>
      <c r="J4453" t="n">
        <v>0</v>
      </c>
      <c r="K4453" t="n">
        <v>0</v>
      </c>
      <c r="L4453" t="n">
        <v>0</v>
      </c>
      <c r="M4453" t="n">
        <v>0</v>
      </c>
      <c r="N4453" t="n">
        <v>0</v>
      </c>
      <c r="O4453" t="n">
        <v>0</v>
      </c>
      <c r="P4453" t="n">
        <v>0</v>
      </c>
      <c r="Q4453" t="n">
        <v>0</v>
      </c>
      <c r="R4453" s="2" t="inlineStr"/>
    </row>
    <row r="4454" ht="15" customHeight="1">
      <c r="A4454" t="inlineStr">
        <is>
          <t>A 53584-2023</t>
        </is>
      </c>
      <c r="B4454" s="1" t="n">
        <v>45230</v>
      </c>
      <c r="C4454" s="1" t="n">
        <v>46114</v>
      </c>
      <c r="D4454" t="inlineStr">
        <is>
          <t>DALARNAS LÄN</t>
        </is>
      </c>
      <c r="E4454" t="inlineStr">
        <is>
          <t>HEDEMORA</t>
        </is>
      </c>
      <c r="G4454" t="n">
        <v>6.6</v>
      </c>
      <c r="H4454" t="n">
        <v>0</v>
      </c>
      <c r="I4454" t="n">
        <v>0</v>
      </c>
      <c r="J4454" t="n">
        <v>0</v>
      </c>
      <c r="K4454" t="n">
        <v>0</v>
      </c>
      <c r="L4454" t="n">
        <v>0</v>
      </c>
      <c r="M4454" t="n">
        <v>0</v>
      </c>
      <c r="N4454" t="n">
        <v>0</v>
      </c>
      <c r="O4454" t="n">
        <v>0</v>
      </c>
      <c r="P4454" t="n">
        <v>0</v>
      </c>
      <c r="Q4454" t="n">
        <v>0</v>
      </c>
      <c r="R4454" s="2" t="inlineStr"/>
    </row>
    <row r="4455" ht="15" customHeight="1">
      <c r="A4455" t="inlineStr">
        <is>
          <t>A 7427-2024</t>
        </is>
      </c>
      <c r="B4455" s="1" t="n">
        <v>45345</v>
      </c>
      <c r="C4455" s="1" t="n">
        <v>46114</v>
      </c>
      <c r="D4455" t="inlineStr">
        <is>
          <t>DALARNAS LÄN</t>
        </is>
      </c>
      <c r="E4455" t="inlineStr">
        <is>
          <t>MALUNG-SÄLEN</t>
        </is>
      </c>
      <c r="G4455" t="n">
        <v>8</v>
      </c>
      <c r="H4455" t="n">
        <v>0</v>
      </c>
      <c r="I4455" t="n">
        <v>0</v>
      </c>
      <c r="J4455" t="n">
        <v>0</v>
      </c>
      <c r="K4455" t="n">
        <v>0</v>
      </c>
      <c r="L4455" t="n">
        <v>0</v>
      </c>
      <c r="M4455" t="n">
        <v>0</v>
      </c>
      <c r="N4455" t="n">
        <v>0</v>
      </c>
      <c r="O4455" t="n">
        <v>0</v>
      </c>
      <c r="P4455" t="n">
        <v>0</v>
      </c>
      <c r="Q4455" t="n">
        <v>0</v>
      </c>
      <c r="R4455" s="2" t="inlineStr"/>
    </row>
    <row r="4456" ht="15" customHeight="1">
      <c r="A4456" t="inlineStr">
        <is>
          <t>A 7864-2024</t>
        </is>
      </c>
      <c r="B4456" s="1" t="n">
        <v>45350.31621527778</v>
      </c>
      <c r="C4456" s="1" t="n">
        <v>46114</v>
      </c>
      <c r="D4456" t="inlineStr">
        <is>
          <t>DALARNAS LÄN</t>
        </is>
      </c>
      <c r="E4456" t="inlineStr">
        <is>
          <t>VANSBRO</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7891-2024</t>
        </is>
      </c>
      <c r="B4457" s="1" t="n">
        <v>45350.40842592593</v>
      </c>
      <c r="C4457" s="1" t="n">
        <v>46114</v>
      </c>
      <c r="D4457" t="inlineStr">
        <is>
          <t>DALARNAS LÄN</t>
        </is>
      </c>
      <c r="E4457" t="inlineStr">
        <is>
          <t>FALUN</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45649-2025</t>
        </is>
      </c>
      <c r="B4458" s="1" t="n">
        <v>45923.32206018519</v>
      </c>
      <c r="C4458" s="1" t="n">
        <v>46114</v>
      </c>
      <c r="D4458" t="inlineStr">
        <is>
          <t>DALARNAS LÄN</t>
        </is>
      </c>
      <c r="E4458" t="inlineStr">
        <is>
          <t>LUDVIKA</t>
        </is>
      </c>
      <c r="G4458" t="n">
        <v>12.3</v>
      </c>
      <c r="H4458" t="n">
        <v>0</v>
      </c>
      <c r="I4458" t="n">
        <v>0</v>
      </c>
      <c r="J4458" t="n">
        <v>0</v>
      </c>
      <c r="K4458" t="n">
        <v>0</v>
      </c>
      <c r="L4458" t="n">
        <v>0</v>
      </c>
      <c r="M4458" t="n">
        <v>0</v>
      </c>
      <c r="N4458" t="n">
        <v>0</v>
      </c>
      <c r="O4458" t="n">
        <v>0</v>
      </c>
      <c r="P4458" t="n">
        <v>0</v>
      </c>
      <c r="Q4458" t="n">
        <v>0</v>
      </c>
      <c r="R4458" s="2" t="inlineStr"/>
    </row>
    <row r="4459" ht="15" customHeight="1">
      <c r="A4459" t="inlineStr">
        <is>
          <t>A 37538-2024</t>
        </is>
      </c>
      <c r="B4459" s="1" t="n">
        <v>45541.41780092593</v>
      </c>
      <c r="C4459" s="1" t="n">
        <v>46114</v>
      </c>
      <c r="D4459" t="inlineStr">
        <is>
          <t>DALARNAS LÄN</t>
        </is>
      </c>
      <c r="E4459" t="inlineStr">
        <is>
          <t>LUDVIKA</t>
        </is>
      </c>
      <c r="F4459" t="inlineStr">
        <is>
          <t>Bergvik skog väst AB</t>
        </is>
      </c>
      <c r="G4459" t="n">
        <v>6</v>
      </c>
      <c r="H4459" t="n">
        <v>0</v>
      </c>
      <c r="I4459" t="n">
        <v>0</v>
      </c>
      <c r="J4459" t="n">
        <v>0</v>
      </c>
      <c r="K4459" t="n">
        <v>0</v>
      </c>
      <c r="L4459" t="n">
        <v>0</v>
      </c>
      <c r="M4459" t="n">
        <v>0</v>
      </c>
      <c r="N4459" t="n">
        <v>0</v>
      </c>
      <c r="O4459" t="n">
        <v>0</v>
      </c>
      <c r="P4459" t="n">
        <v>0</v>
      </c>
      <c r="Q4459" t="n">
        <v>0</v>
      </c>
      <c r="R4459" s="2" t="inlineStr"/>
    </row>
    <row r="4460" ht="15" customHeight="1">
      <c r="A4460" t="inlineStr">
        <is>
          <t>A 42806-2024</t>
        </is>
      </c>
      <c r="B4460" s="1" t="n">
        <v>45566.56789351852</v>
      </c>
      <c r="C4460" s="1" t="n">
        <v>46114</v>
      </c>
      <c r="D4460" t="inlineStr">
        <is>
          <t>DALARNAS LÄN</t>
        </is>
      </c>
      <c r="E4460" t="inlineStr">
        <is>
          <t>SÄTER</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10957-2024</t>
        </is>
      </c>
      <c r="B4461" s="1" t="n">
        <v>45370.48724537037</v>
      </c>
      <c r="C4461" s="1" t="n">
        <v>46114</v>
      </c>
      <c r="D4461" t="inlineStr">
        <is>
          <t>DALARNAS LÄN</t>
        </is>
      </c>
      <c r="E4461" t="inlineStr">
        <is>
          <t>AVESTA</t>
        </is>
      </c>
      <c r="G4461" t="n">
        <v>3.3</v>
      </c>
      <c r="H4461" t="n">
        <v>0</v>
      </c>
      <c r="I4461" t="n">
        <v>0</v>
      </c>
      <c r="J4461" t="n">
        <v>0</v>
      </c>
      <c r="K4461" t="n">
        <v>0</v>
      </c>
      <c r="L4461" t="n">
        <v>0</v>
      </c>
      <c r="M4461" t="n">
        <v>0</v>
      </c>
      <c r="N4461" t="n">
        <v>0</v>
      </c>
      <c r="O4461" t="n">
        <v>0</v>
      </c>
      <c r="P4461" t="n">
        <v>0</v>
      </c>
      <c r="Q4461" t="n">
        <v>0</v>
      </c>
      <c r="R4461" s="2" t="inlineStr"/>
    </row>
    <row r="4462" ht="15" customHeight="1">
      <c r="A4462" t="inlineStr">
        <is>
          <t>A 45497-2025</t>
        </is>
      </c>
      <c r="B4462" s="1" t="n">
        <v>45922.56707175926</v>
      </c>
      <c r="C4462" s="1" t="n">
        <v>46114</v>
      </c>
      <c r="D4462" t="inlineStr">
        <is>
          <t>DALARNAS LÄN</t>
        </is>
      </c>
      <c r="E4462" t="inlineStr">
        <is>
          <t>GAGNEF</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45503-2025</t>
        </is>
      </c>
      <c r="B4463" s="1" t="n">
        <v>45922.57319444444</v>
      </c>
      <c r="C4463" s="1" t="n">
        <v>46114</v>
      </c>
      <c r="D4463" t="inlineStr">
        <is>
          <t>DALARNAS LÄN</t>
        </is>
      </c>
      <c r="E4463" t="inlineStr">
        <is>
          <t>AVESTA</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40409-2022</t>
        </is>
      </c>
      <c r="B4464" s="1" t="n">
        <v>44823.45168981481</v>
      </c>
      <c r="C4464" s="1" t="n">
        <v>46114</v>
      </c>
      <c r="D4464" t="inlineStr">
        <is>
          <t>DALARNAS LÄN</t>
        </is>
      </c>
      <c r="E4464" t="inlineStr">
        <is>
          <t>GAGNEF</t>
        </is>
      </c>
      <c r="G4464" t="n">
        <v>3</v>
      </c>
      <c r="H4464" t="n">
        <v>0</v>
      </c>
      <c r="I4464" t="n">
        <v>0</v>
      </c>
      <c r="J4464" t="n">
        <v>0</v>
      </c>
      <c r="K4464" t="n">
        <v>0</v>
      </c>
      <c r="L4464" t="n">
        <v>0</v>
      </c>
      <c r="M4464" t="n">
        <v>0</v>
      </c>
      <c r="N4464" t="n">
        <v>0</v>
      </c>
      <c r="O4464" t="n">
        <v>0</v>
      </c>
      <c r="P4464" t="n">
        <v>0</v>
      </c>
      <c r="Q4464" t="n">
        <v>0</v>
      </c>
      <c r="R4464" s="2" t="inlineStr"/>
    </row>
    <row r="4465" ht="15" customHeight="1">
      <c r="A4465" t="inlineStr">
        <is>
          <t>A 45549-2025</t>
        </is>
      </c>
      <c r="B4465" s="1" t="n">
        <v>45922.63305555555</v>
      </c>
      <c r="C4465" s="1" t="n">
        <v>46114</v>
      </c>
      <c r="D4465" t="inlineStr">
        <is>
          <t>DALARNAS LÄN</t>
        </is>
      </c>
      <c r="E4465" t="inlineStr">
        <is>
          <t>FALUN</t>
        </is>
      </c>
      <c r="F4465" t="inlineStr">
        <is>
          <t>Bergvik skog väst AB</t>
        </is>
      </c>
      <c r="G4465" t="n">
        <v>12.2</v>
      </c>
      <c r="H4465" t="n">
        <v>0</v>
      </c>
      <c r="I4465" t="n">
        <v>0</v>
      </c>
      <c r="J4465" t="n">
        <v>0</v>
      </c>
      <c r="K4465" t="n">
        <v>0</v>
      </c>
      <c r="L4465" t="n">
        <v>0</v>
      </c>
      <c r="M4465" t="n">
        <v>0</v>
      </c>
      <c r="N4465" t="n">
        <v>0</v>
      </c>
      <c r="O4465" t="n">
        <v>0</v>
      </c>
      <c r="P4465" t="n">
        <v>0</v>
      </c>
      <c r="Q4465" t="n">
        <v>0</v>
      </c>
      <c r="R4465" s="2" t="inlineStr"/>
    </row>
    <row r="4466" ht="15" customHeight="1">
      <c r="A4466" t="inlineStr">
        <is>
          <t>A 19937-2022</t>
        </is>
      </c>
      <c r="B4466" s="1" t="n">
        <v>44697.46826388889</v>
      </c>
      <c r="C4466" s="1" t="n">
        <v>46114</v>
      </c>
      <c r="D4466" t="inlineStr">
        <is>
          <t>DALARNAS LÄN</t>
        </is>
      </c>
      <c r="E4466" t="inlineStr">
        <is>
          <t>MALUNG-SÄLEN</t>
        </is>
      </c>
      <c r="G4466" t="n">
        <v>12.7</v>
      </c>
      <c r="H4466" t="n">
        <v>0</v>
      </c>
      <c r="I4466" t="n">
        <v>0</v>
      </c>
      <c r="J4466" t="n">
        <v>0</v>
      </c>
      <c r="K4466" t="n">
        <v>0</v>
      </c>
      <c r="L4466" t="n">
        <v>0</v>
      </c>
      <c r="M4466" t="n">
        <v>0</v>
      </c>
      <c r="N4466" t="n">
        <v>0</v>
      </c>
      <c r="O4466" t="n">
        <v>0</v>
      </c>
      <c r="P4466" t="n">
        <v>0</v>
      </c>
      <c r="Q4466" t="n">
        <v>0</v>
      </c>
      <c r="R4466" s="2" t="inlineStr"/>
    </row>
    <row r="4467" ht="15" customHeight="1">
      <c r="A4467" t="inlineStr">
        <is>
          <t>A 39283-2024</t>
        </is>
      </c>
      <c r="B4467" s="1" t="n">
        <v>45551.36314814815</v>
      </c>
      <c r="C4467" s="1" t="n">
        <v>46114</v>
      </c>
      <c r="D4467" t="inlineStr">
        <is>
          <t>DALARNAS LÄN</t>
        </is>
      </c>
      <c r="E4467" t="inlineStr">
        <is>
          <t>ÄLVDALEN</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15114-2025</t>
        </is>
      </c>
      <c r="B4468" s="1" t="n">
        <v>45744.36232638889</v>
      </c>
      <c r="C4468" s="1" t="n">
        <v>46114</v>
      </c>
      <c r="D4468" t="inlineStr">
        <is>
          <t>DALARNAS LÄN</t>
        </is>
      </c>
      <c r="E4468" t="inlineStr">
        <is>
          <t>ORSA</t>
        </is>
      </c>
      <c r="F4468" t="inlineStr">
        <is>
          <t>Allmännings- och besparingsskogar</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45584-2025</t>
        </is>
      </c>
      <c r="B4469" s="1" t="n">
        <v>45922.66877314815</v>
      </c>
      <c r="C4469" s="1" t="n">
        <v>46114</v>
      </c>
      <c r="D4469" t="inlineStr">
        <is>
          <t>DALARNAS LÄN</t>
        </is>
      </c>
      <c r="E4469" t="inlineStr">
        <is>
          <t>FALUN</t>
        </is>
      </c>
      <c r="F4469" t="inlineStr">
        <is>
          <t>Bergvik skog väst AB</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26612-2021</t>
        </is>
      </c>
      <c r="B4470" s="1" t="n">
        <v>44348.64942129629</v>
      </c>
      <c r="C4470" s="1" t="n">
        <v>46114</v>
      </c>
      <c r="D4470" t="inlineStr">
        <is>
          <t>DALARNAS LÄN</t>
        </is>
      </c>
      <c r="E4470" t="inlineStr">
        <is>
          <t>HEDEMORA</t>
        </is>
      </c>
      <c r="F4470" t="inlineStr">
        <is>
          <t>Sveaskog</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26813-2023</t>
        </is>
      </c>
      <c r="B4471" s="1" t="n">
        <v>45090</v>
      </c>
      <c r="C4471" s="1" t="n">
        <v>46114</v>
      </c>
      <c r="D4471" t="inlineStr">
        <is>
          <t>DALARNAS LÄN</t>
        </is>
      </c>
      <c r="E4471" t="inlineStr">
        <is>
          <t>MALUNG-SÄLEN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60129-2023</t>
        </is>
      </c>
      <c r="B4472" s="1" t="n">
        <v>45258.49056712963</v>
      </c>
      <c r="C4472" s="1" t="n">
        <v>46114</v>
      </c>
      <c r="D4472" t="inlineStr">
        <is>
          <t>DALARNAS LÄN</t>
        </is>
      </c>
      <c r="E4472" t="inlineStr">
        <is>
          <t>LEKSAND</t>
        </is>
      </c>
      <c r="F4472" t="inlineStr">
        <is>
          <t>Bergvik skog väst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45803-2025</t>
        </is>
      </c>
      <c r="B4473" s="1" t="n">
        <v>45923.58125</v>
      </c>
      <c r="C4473" s="1" t="n">
        <v>46114</v>
      </c>
      <c r="D4473" t="inlineStr">
        <is>
          <t>DALARNAS LÄN</t>
        </is>
      </c>
      <c r="E4473" t="inlineStr">
        <is>
          <t>ORSA</t>
        </is>
      </c>
      <c r="F4473" t="inlineStr">
        <is>
          <t>Allmännings- och besparingsskogar</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32113-2024</t>
        </is>
      </c>
      <c r="B4474" s="1" t="n">
        <v>45511.446875</v>
      </c>
      <c r="C4474" s="1" t="n">
        <v>46114</v>
      </c>
      <c r="D4474" t="inlineStr">
        <is>
          <t>DALARNAS LÄN</t>
        </is>
      </c>
      <c r="E4474" t="inlineStr">
        <is>
          <t>AVESTA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45806-2025</t>
        </is>
      </c>
      <c r="B4475" s="1" t="n">
        <v>45923.5828125</v>
      </c>
      <c r="C4475" s="1" t="n">
        <v>46114</v>
      </c>
      <c r="D4475" t="inlineStr">
        <is>
          <t>DALARNAS LÄN</t>
        </is>
      </c>
      <c r="E4475" t="inlineStr">
        <is>
          <t>RÄTTVIK</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15817-2024</t>
        </is>
      </c>
      <c r="B4476" s="1" t="n">
        <v>45404.67387731482</v>
      </c>
      <c r="C4476" s="1" t="n">
        <v>46114</v>
      </c>
      <c r="D4476" t="inlineStr">
        <is>
          <t>DALARNAS LÄN</t>
        </is>
      </c>
      <c r="E4476" t="inlineStr">
        <is>
          <t>MORA</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24131-2022</t>
        </is>
      </c>
      <c r="B4477" s="1" t="n">
        <v>44725</v>
      </c>
      <c r="C4477" s="1" t="n">
        <v>46114</v>
      </c>
      <c r="D4477" t="inlineStr">
        <is>
          <t>DALARNAS LÄN</t>
        </is>
      </c>
      <c r="E4477" t="inlineStr">
        <is>
          <t>FALUN</t>
        </is>
      </c>
      <c r="F4477" t="inlineStr">
        <is>
          <t>Kyrkan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45681-2025</t>
        </is>
      </c>
      <c r="B4478" s="1" t="n">
        <v>45923.37561342592</v>
      </c>
      <c r="C4478" s="1" t="n">
        <v>46114</v>
      </c>
      <c r="D4478" t="inlineStr">
        <is>
          <t>DALARNAS LÄN</t>
        </is>
      </c>
      <c r="E4478" t="inlineStr">
        <is>
          <t>RÄTTVIK</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45597-2025</t>
        </is>
      </c>
      <c r="B4479" s="1" t="n">
        <v>45922.68672453704</v>
      </c>
      <c r="C4479" s="1" t="n">
        <v>46114</v>
      </c>
      <c r="D4479" t="inlineStr">
        <is>
          <t>DALARNAS LÄN</t>
        </is>
      </c>
      <c r="E4479" t="inlineStr">
        <is>
          <t>RÄTTVIK</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45282-2025</t>
        </is>
      </c>
      <c r="B4480" s="1" t="n">
        <v>45919.82200231482</v>
      </c>
      <c r="C4480" s="1" t="n">
        <v>46114</v>
      </c>
      <c r="D4480" t="inlineStr">
        <is>
          <t>DALARNAS LÄN</t>
        </is>
      </c>
      <c r="E4480" t="inlineStr">
        <is>
          <t>AVESTA</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3737-2023</t>
        </is>
      </c>
      <c r="B4481" s="1" t="n">
        <v>44951.42983796296</v>
      </c>
      <c r="C4481" s="1" t="n">
        <v>46114</v>
      </c>
      <c r="D4481" t="inlineStr">
        <is>
          <t>DALARNAS LÄN</t>
        </is>
      </c>
      <c r="E4481" t="inlineStr">
        <is>
          <t>LEKSAND</t>
        </is>
      </c>
      <c r="G4481" t="n">
        <v>3.1</v>
      </c>
      <c r="H4481" t="n">
        <v>0</v>
      </c>
      <c r="I4481" t="n">
        <v>0</v>
      </c>
      <c r="J4481" t="n">
        <v>0</v>
      </c>
      <c r="K4481" t="n">
        <v>0</v>
      </c>
      <c r="L4481" t="n">
        <v>0</v>
      </c>
      <c r="M4481" t="n">
        <v>0</v>
      </c>
      <c r="N4481" t="n">
        <v>0</v>
      </c>
      <c r="O4481" t="n">
        <v>0</v>
      </c>
      <c r="P4481" t="n">
        <v>0</v>
      </c>
      <c r="Q4481" t="n">
        <v>0</v>
      </c>
      <c r="R4481" s="2" t="inlineStr"/>
    </row>
    <row r="4482" ht="15" customHeight="1">
      <c r="A4482" t="inlineStr">
        <is>
          <t>A 45688-2025</t>
        </is>
      </c>
      <c r="B4482" s="1" t="n">
        <v>45923.38214120371</v>
      </c>
      <c r="C4482" s="1" t="n">
        <v>46114</v>
      </c>
      <c r="D4482" t="inlineStr">
        <is>
          <t>DALARNAS LÄN</t>
        </is>
      </c>
      <c r="E4482" t="inlineStr">
        <is>
          <t>GAGNEF</t>
        </is>
      </c>
      <c r="G4482" t="n">
        <v>5.1</v>
      </c>
      <c r="H4482" t="n">
        <v>0</v>
      </c>
      <c r="I4482" t="n">
        <v>0</v>
      </c>
      <c r="J4482" t="n">
        <v>0</v>
      </c>
      <c r="K4482" t="n">
        <v>0</v>
      </c>
      <c r="L4482" t="n">
        <v>0</v>
      </c>
      <c r="M4482" t="n">
        <v>0</v>
      </c>
      <c r="N4482" t="n">
        <v>0</v>
      </c>
      <c r="O4482" t="n">
        <v>0</v>
      </c>
      <c r="P4482" t="n">
        <v>0</v>
      </c>
      <c r="Q4482" t="n">
        <v>0</v>
      </c>
      <c r="R4482" s="2" t="inlineStr"/>
    </row>
    <row r="4483" ht="15" customHeight="1">
      <c r="A4483" t="inlineStr">
        <is>
          <t>A 45585-2025</t>
        </is>
      </c>
      <c r="B4483" s="1" t="n">
        <v>45922.66900462963</v>
      </c>
      <c r="C4483" s="1" t="n">
        <v>46114</v>
      </c>
      <c r="D4483" t="inlineStr">
        <is>
          <t>DALARNAS LÄN</t>
        </is>
      </c>
      <c r="E4483" t="inlineStr">
        <is>
          <t>FALUN</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45668-2025</t>
        </is>
      </c>
      <c r="B4484" s="1" t="n">
        <v>45923.3503587963</v>
      </c>
      <c r="C4484" s="1" t="n">
        <v>46114</v>
      </c>
      <c r="D4484" t="inlineStr">
        <is>
          <t>DALARNAS LÄN</t>
        </is>
      </c>
      <c r="E4484" t="inlineStr">
        <is>
          <t>SÄTER</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43237-2024</t>
        </is>
      </c>
      <c r="B4485" s="1" t="n">
        <v>45567</v>
      </c>
      <c r="C4485" s="1" t="n">
        <v>46114</v>
      </c>
      <c r="D4485" t="inlineStr">
        <is>
          <t>DALARNAS LÄN</t>
        </is>
      </c>
      <c r="E4485" t="inlineStr">
        <is>
          <t>LEKSAND</t>
        </is>
      </c>
      <c r="G4485" t="n">
        <v>0.8</v>
      </c>
      <c r="H4485" t="n">
        <v>0</v>
      </c>
      <c r="I4485" t="n">
        <v>0</v>
      </c>
      <c r="J4485" t="n">
        <v>0</v>
      </c>
      <c r="K4485" t="n">
        <v>0</v>
      </c>
      <c r="L4485" t="n">
        <v>0</v>
      </c>
      <c r="M4485" t="n">
        <v>0</v>
      </c>
      <c r="N4485" t="n">
        <v>0</v>
      </c>
      <c r="O4485" t="n">
        <v>0</v>
      </c>
      <c r="P4485" t="n">
        <v>0</v>
      </c>
      <c r="Q4485" t="n">
        <v>0</v>
      </c>
      <c r="R4485" s="2" t="inlineStr"/>
    </row>
    <row r="4486" ht="15" customHeight="1">
      <c r="A4486" t="inlineStr">
        <is>
          <t>A 24132-2023</t>
        </is>
      </c>
      <c r="B4486" s="1" t="n">
        <v>45079</v>
      </c>
      <c r="C4486" s="1" t="n">
        <v>46114</v>
      </c>
      <c r="D4486" t="inlineStr">
        <is>
          <t>DALARNAS LÄN</t>
        </is>
      </c>
      <c r="E4486" t="inlineStr">
        <is>
          <t>MALUNG-SÄLEN</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3893-2024</t>
        </is>
      </c>
      <c r="B4487" s="1" t="n">
        <v>45322</v>
      </c>
      <c r="C4487" s="1" t="n">
        <v>46114</v>
      </c>
      <c r="D4487" t="inlineStr">
        <is>
          <t>DALARNAS LÄN</t>
        </is>
      </c>
      <c r="E4487" t="inlineStr">
        <is>
          <t>ÄLVDALEN</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45858-2025</t>
        </is>
      </c>
      <c r="B4488" s="1" t="n">
        <v>45923.64064814815</v>
      </c>
      <c r="C4488" s="1" t="n">
        <v>46114</v>
      </c>
      <c r="D4488" t="inlineStr">
        <is>
          <t>DALARNAS LÄN</t>
        </is>
      </c>
      <c r="E4488" t="inlineStr">
        <is>
          <t>LUDVIKA</t>
        </is>
      </c>
      <c r="F4488" t="inlineStr">
        <is>
          <t>Bergvik skog väst AB</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45381-2025</t>
        </is>
      </c>
      <c r="B4489" s="1" t="n">
        <v>45922.39989583333</v>
      </c>
      <c r="C4489" s="1" t="n">
        <v>46114</v>
      </c>
      <c r="D4489" t="inlineStr">
        <is>
          <t>DALARNAS LÄN</t>
        </is>
      </c>
      <c r="E4489" t="inlineStr">
        <is>
          <t>LEKSAND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45463-2025</t>
        </is>
      </c>
      <c r="B4490" s="1" t="n">
        <v>45922.498125</v>
      </c>
      <c r="C4490" s="1" t="n">
        <v>46114</v>
      </c>
      <c r="D4490" t="inlineStr">
        <is>
          <t>DALARNAS LÄN</t>
        </is>
      </c>
      <c r="E4490" t="inlineStr">
        <is>
          <t>MALUNG-SÄLEN</t>
        </is>
      </c>
      <c r="G4490" t="n">
        <v>2.2</v>
      </c>
      <c r="H4490" t="n">
        <v>0</v>
      </c>
      <c r="I4490" t="n">
        <v>0</v>
      </c>
      <c r="J4490" t="n">
        <v>0</v>
      </c>
      <c r="K4490" t="n">
        <v>0</v>
      </c>
      <c r="L4490" t="n">
        <v>0</v>
      </c>
      <c r="M4490" t="n">
        <v>0</v>
      </c>
      <c r="N4490" t="n">
        <v>0</v>
      </c>
      <c r="O4490" t="n">
        <v>0</v>
      </c>
      <c r="P4490" t="n">
        <v>0</v>
      </c>
      <c r="Q4490" t="n">
        <v>0</v>
      </c>
      <c r="R4490" s="2" t="inlineStr"/>
    </row>
    <row r="4491" ht="15" customHeight="1">
      <c r="A4491" t="inlineStr">
        <is>
          <t>A 17695-2025</t>
        </is>
      </c>
      <c r="B4491" s="1" t="n">
        <v>45758</v>
      </c>
      <c r="C4491" s="1" t="n">
        <v>46114</v>
      </c>
      <c r="D4491" t="inlineStr">
        <is>
          <t>DALARNAS LÄN</t>
        </is>
      </c>
      <c r="E4491" t="inlineStr">
        <is>
          <t>FALUN</t>
        </is>
      </c>
      <c r="F4491" t="inlineStr">
        <is>
          <t>Bergvik skog väst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33611-2024</t>
        </is>
      </c>
      <c r="B4492" s="1" t="n">
        <v>45520.38844907407</v>
      </c>
      <c r="C4492" s="1" t="n">
        <v>46114</v>
      </c>
      <c r="D4492" t="inlineStr">
        <is>
          <t>DALARNAS LÄN</t>
        </is>
      </c>
      <c r="E4492" t="inlineStr">
        <is>
          <t>FALUN</t>
        </is>
      </c>
      <c r="G4492" t="n">
        <v>11.2</v>
      </c>
      <c r="H4492" t="n">
        <v>0</v>
      </c>
      <c r="I4492" t="n">
        <v>0</v>
      </c>
      <c r="J4492" t="n">
        <v>0</v>
      </c>
      <c r="K4492" t="n">
        <v>0</v>
      </c>
      <c r="L4492" t="n">
        <v>0</v>
      </c>
      <c r="M4492" t="n">
        <v>0</v>
      </c>
      <c r="N4492" t="n">
        <v>0</v>
      </c>
      <c r="O4492" t="n">
        <v>0</v>
      </c>
      <c r="P4492" t="n">
        <v>0</v>
      </c>
      <c r="Q4492" t="n">
        <v>0</v>
      </c>
      <c r="R4492" s="2" t="inlineStr"/>
    </row>
    <row r="4493" ht="15" customHeight="1">
      <c r="A4493" t="inlineStr">
        <is>
          <t>A 45300-2025</t>
        </is>
      </c>
      <c r="B4493" s="1" t="n">
        <v>45921.30490740741</v>
      </c>
      <c r="C4493" s="1" t="n">
        <v>46114</v>
      </c>
      <c r="D4493" t="inlineStr">
        <is>
          <t>DALARNAS LÄN</t>
        </is>
      </c>
      <c r="E4493" t="inlineStr">
        <is>
          <t>LEKSAND</t>
        </is>
      </c>
      <c r="G4493" t="n">
        <v>2.3</v>
      </c>
      <c r="H4493" t="n">
        <v>0</v>
      </c>
      <c r="I4493" t="n">
        <v>0</v>
      </c>
      <c r="J4493" t="n">
        <v>0</v>
      </c>
      <c r="K4493" t="n">
        <v>0</v>
      </c>
      <c r="L4493" t="n">
        <v>0</v>
      </c>
      <c r="M4493" t="n">
        <v>0</v>
      </c>
      <c r="N4493" t="n">
        <v>0</v>
      </c>
      <c r="O4493" t="n">
        <v>0</v>
      </c>
      <c r="P4493" t="n">
        <v>0</v>
      </c>
      <c r="Q4493" t="n">
        <v>0</v>
      </c>
      <c r="R4493" s="2" t="inlineStr"/>
    </row>
    <row r="4494" ht="15" customHeight="1">
      <c r="A4494" t="inlineStr">
        <is>
          <t>A 45318-2025</t>
        </is>
      </c>
      <c r="B4494" s="1" t="n">
        <v>45921.85230324074</v>
      </c>
      <c r="C4494" s="1" t="n">
        <v>46114</v>
      </c>
      <c r="D4494" t="inlineStr">
        <is>
          <t>DALARNAS LÄN</t>
        </is>
      </c>
      <c r="E4494" t="inlineStr">
        <is>
          <t>LEKSAND</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18320-2025</t>
        </is>
      </c>
      <c r="B4495" s="1" t="n">
        <v>45762.46747685185</v>
      </c>
      <c r="C4495" s="1" t="n">
        <v>46114</v>
      </c>
      <c r="D4495" t="inlineStr">
        <is>
          <t>DALARNAS LÄN</t>
        </is>
      </c>
      <c r="E4495" t="inlineStr">
        <is>
          <t>MALUNG-SÄLEN</t>
        </is>
      </c>
      <c r="G4495" t="n">
        <v>5.3</v>
      </c>
      <c r="H4495" t="n">
        <v>0</v>
      </c>
      <c r="I4495" t="n">
        <v>0</v>
      </c>
      <c r="J4495" t="n">
        <v>0</v>
      </c>
      <c r="K4495" t="n">
        <v>0</v>
      </c>
      <c r="L4495" t="n">
        <v>0</v>
      </c>
      <c r="M4495" t="n">
        <v>0</v>
      </c>
      <c r="N4495" t="n">
        <v>0</v>
      </c>
      <c r="O4495" t="n">
        <v>0</v>
      </c>
      <c r="P4495" t="n">
        <v>0</v>
      </c>
      <c r="Q4495" t="n">
        <v>0</v>
      </c>
      <c r="R4495" s="2" t="inlineStr"/>
    </row>
    <row r="4496" ht="15" customHeight="1">
      <c r="A4496" t="inlineStr">
        <is>
          <t>A 45608-2025</t>
        </is>
      </c>
      <c r="B4496" s="1" t="n">
        <v>45922.70684027778</v>
      </c>
      <c r="C4496" s="1" t="n">
        <v>46114</v>
      </c>
      <c r="D4496" t="inlineStr">
        <is>
          <t>DALARNAS LÄN</t>
        </is>
      </c>
      <c r="E4496" t="inlineStr">
        <is>
          <t>SMEDJEBACKEN</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58116-2022</t>
        </is>
      </c>
      <c r="B4497" s="1" t="n">
        <v>44900.65716435185</v>
      </c>
      <c r="C4497" s="1" t="n">
        <v>46114</v>
      </c>
      <c r="D4497" t="inlineStr">
        <is>
          <t>DALARNAS LÄN</t>
        </is>
      </c>
      <c r="E4497" t="inlineStr">
        <is>
          <t>MORA</t>
        </is>
      </c>
      <c r="G4497" t="n">
        <v>2.9</v>
      </c>
      <c r="H4497" t="n">
        <v>0</v>
      </c>
      <c r="I4497" t="n">
        <v>0</v>
      </c>
      <c r="J4497" t="n">
        <v>0</v>
      </c>
      <c r="K4497" t="n">
        <v>0</v>
      </c>
      <c r="L4497" t="n">
        <v>0</v>
      </c>
      <c r="M4497" t="n">
        <v>0</v>
      </c>
      <c r="N4497" t="n">
        <v>0</v>
      </c>
      <c r="O4497" t="n">
        <v>0</v>
      </c>
      <c r="P4497" t="n">
        <v>0</v>
      </c>
      <c r="Q4497" t="n">
        <v>0</v>
      </c>
      <c r="R4497" s="2" t="inlineStr"/>
    </row>
    <row r="4498" ht="15" customHeight="1">
      <c r="A4498" t="inlineStr">
        <is>
          <t>A 23068-2024</t>
        </is>
      </c>
      <c r="B4498" s="1" t="n">
        <v>45450.45521990741</v>
      </c>
      <c r="C4498" s="1" t="n">
        <v>46114</v>
      </c>
      <c r="D4498" t="inlineStr">
        <is>
          <t>DALARNAS LÄN</t>
        </is>
      </c>
      <c r="E4498" t="inlineStr">
        <is>
          <t>LEKSAND</t>
        </is>
      </c>
      <c r="G4498" t="n">
        <v>2.4</v>
      </c>
      <c r="H4498" t="n">
        <v>0</v>
      </c>
      <c r="I4498" t="n">
        <v>0</v>
      </c>
      <c r="J4498" t="n">
        <v>0</v>
      </c>
      <c r="K4498" t="n">
        <v>0</v>
      </c>
      <c r="L4498" t="n">
        <v>0</v>
      </c>
      <c r="M4498" t="n">
        <v>0</v>
      </c>
      <c r="N4498" t="n">
        <v>0</v>
      </c>
      <c r="O4498" t="n">
        <v>0</v>
      </c>
      <c r="P4498" t="n">
        <v>0</v>
      </c>
      <c r="Q4498" t="n">
        <v>0</v>
      </c>
      <c r="R4498" s="2" t="inlineStr"/>
    </row>
    <row r="4499" ht="15" customHeight="1">
      <c r="A4499" t="inlineStr">
        <is>
          <t>A 58088-2023</t>
        </is>
      </c>
      <c r="B4499" s="1" t="n">
        <v>45248.37060185185</v>
      </c>
      <c r="C4499" s="1" t="n">
        <v>46114</v>
      </c>
      <c r="D4499" t="inlineStr">
        <is>
          <t>DALARNAS LÄN</t>
        </is>
      </c>
      <c r="E4499" t="inlineStr">
        <is>
          <t>RÄTTVIK</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7894-2025</t>
        </is>
      </c>
      <c r="B4500" s="1" t="n">
        <v>45707.30268518518</v>
      </c>
      <c r="C4500" s="1" t="n">
        <v>46114</v>
      </c>
      <c r="D4500" t="inlineStr">
        <is>
          <t>DALARNAS LÄN</t>
        </is>
      </c>
      <c r="E4500" t="inlineStr">
        <is>
          <t>LEKSAND</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45726-2025</t>
        </is>
      </c>
      <c r="B4501" s="1" t="n">
        <v>45923.45712962963</v>
      </c>
      <c r="C4501" s="1" t="n">
        <v>46114</v>
      </c>
      <c r="D4501" t="inlineStr">
        <is>
          <t>DALARNAS LÄN</t>
        </is>
      </c>
      <c r="E4501" t="inlineStr">
        <is>
          <t>RÄTTVIK</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56279-2023</t>
        </is>
      </c>
      <c r="B4502" s="1" t="n">
        <v>45241.68520833334</v>
      </c>
      <c r="C4502" s="1" t="n">
        <v>46114</v>
      </c>
      <c r="D4502" t="inlineStr">
        <is>
          <t>DALARNAS LÄN</t>
        </is>
      </c>
      <c r="E4502" t="inlineStr">
        <is>
          <t>FALUN</t>
        </is>
      </c>
      <c r="F4502" t="inlineStr">
        <is>
          <t>Bergvik skog väst AB</t>
        </is>
      </c>
      <c r="G4502" t="n">
        <v>1.4</v>
      </c>
      <c r="H4502" t="n">
        <v>0</v>
      </c>
      <c r="I4502" t="n">
        <v>0</v>
      </c>
      <c r="J4502" t="n">
        <v>0</v>
      </c>
      <c r="K4502" t="n">
        <v>0</v>
      </c>
      <c r="L4502" t="n">
        <v>0</v>
      </c>
      <c r="M4502" t="n">
        <v>0</v>
      </c>
      <c r="N4502" t="n">
        <v>0</v>
      </c>
      <c r="O4502" t="n">
        <v>0</v>
      </c>
      <c r="P4502" t="n">
        <v>0</v>
      </c>
      <c r="Q4502" t="n">
        <v>0</v>
      </c>
      <c r="R4502" s="2" t="inlineStr"/>
    </row>
    <row r="4503" ht="15" customHeight="1">
      <c r="A4503" t="inlineStr">
        <is>
          <t>A 7817-2023</t>
        </is>
      </c>
      <c r="B4503" s="1" t="n">
        <v>44973.4645949074</v>
      </c>
      <c r="C4503" s="1" t="n">
        <v>46114</v>
      </c>
      <c r="D4503" t="inlineStr">
        <is>
          <t>DALARNAS LÄN</t>
        </is>
      </c>
      <c r="E4503" t="inlineStr">
        <is>
          <t>GAGNEF</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49800-2024</t>
        </is>
      </c>
      <c r="B4504" s="1" t="n">
        <v>45597.38252314815</v>
      </c>
      <c r="C4504" s="1" t="n">
        <v>46114</v>
      </c>
      <c r="D4504" t="inlineStr">
        <is>
          <t>DALARNAS LÄN</t>
        </is>
      </c>
      <c r="E4504" t="inlineStr">
        <is>
          <t>MALUNG-SÄLEN</t>
        </is>
      </c>
      <c r="G4504" t="n">
        <v>7.9</v>
      </c>
      <c r="H4504" t="n">
        <v>0</v>
      </c>
      <c r="I4504" t="n">
        <v>0</v>
      </c>
      <c r="J4504" t="n">
        <v>0</v>
      </c>
      <c r="K4504" t="n">
        <v>0</v>
      </c>
      <c r="L4504" t="n">
        <v>0</v>
      </c>
      <c r="M4504" t="n">
        <v>0</v>
      </c>
      <c r="N4504" t="n">
        <v>0</v>
      </c>
      <c r="O4504" t="n">
        <v>0</v>
      </c>
      <c r="P4504" t="n">
        <v>0</v>
      </c>
      <c r="Q4504" t="n">
        <v>0</v>
      </c>
      <c r="R4504" s="2" t="inlineStr"/>
    </row>
    <row r="4505" ht="15" customHeight="1">
      <c r="A4505" t="inlineStr">
        <is>
          <t>A 45826-2025</t>
        </is>
      </c>
      <c r="B4505" s="1" t="n">
        <v>45923.60047453704</v>
      </c>
      <c r="C4505" s="1" t="n">
        <v>46114</v>
      </c>
      <c r="D4505" t="inlineStr">
        <is>
          <t>DALARNAS LÄN</t>
        </is>
      </c>
      <c r="E4505" t="inlineStr">
        <is>
          <t>RÄTTVIK</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19355-2025</t>
        </is>
      </c>
      <c r="B4506" s="1" t="n">
        <v>45769.61793981482</v>
      </c>
      <c r="C4506" s="1" t="n">
        <v>46114</v>
      </c>
      <c r="D4506" t="inlineStr">
        <is>
          <t>DALARNAS LÄN</t>
        </is>
      </c>
      <c r="E4506" t="inlineStr">
        <is>
          <t>MALUNG-SÄLEN</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43762-2025</t>
        </is>
      </c>
      <c r="B4507" s="1" t="n">
        <v>45912</v>
      </c>
      <c r="C4507" s="1" t="n">
        <v>46114</v>
      </c>
      <c r="D4507" t="inlineStr">
        <is>
          <t>DALARNAS LÄN</t>
        </is>
      </c>
      <c r="E4507" t="inlineStr">
        <is>
          <t>LUDVIKA</t>
        </is>
      </c>
      <c r="F4507" t="inlineStr">
        <is>
          <t>Bergvik skog väst AB</t>
        </is>
      </c>
      <c r="G4507" t="n">
        <v>3.9</v>
      </c>
      <c r="H4507" t="n">
        <v>0</v>
      </c>
      <c r="I4507" t="n">
        <v>0</v>
      </c>
      <c r="J4507" t="n">
        <v>0</v>
      </c>
      <c r="K4507" t="n">
        <v>0</v>
      </c>
      <c r="L4507" t="n">
        <v>0</v>
      </c>
      <c r="M4507" t="n">
        <v>0</v>
      </c>
      <c r="N4507" t="n">
        <v>0</v>
      </c>
      <c r="O4507" t="n">
        <v>0</v>
      </c>
      <c r="P4507" t="n">
        <v>0</v>
      </c>
      <c r="Q4507" t="n">
        <v>0</v>
      </c>
      <c r="R4507" s="2" t="inlineStr"/>
    </row>
    <row r="4508" ht="15" customHeight="1">
      <c r="A4508" t="inlineStr">
        <is>
          <t>A 54159-2022</t>
        </is>
      </c>
      <c r="B4508" s="1" t="n">
        <v>44881</v>
      </c>
      <c r="C4508" s="1" t="n">
        <v>46114</v>
      </c>
      <c r="D4508" t="inlineStr">
        <is>
          <t>DALARNAS LÄN</t>
        </is>
      </c>
      <c r="E4508" t="inlineStr">
        <is>
          <t>VANSBRO</t>
        </is>
      </c>
      <c r="G4508" t="n">
        <v>1.8</v>
      </c>
      <c r="H4508" t="n">
        <v>0</v>
      </c>
      <c r="I4508" t="n">
        <v>0</v>
      </c>
      <c r="J4508" t="n">
        <v>0</v>
      </c>
      <c r="K4508" t="n">
        <v>0</v>
      </c>
      <c r="L4508" t="n">
        <v>0</v>
      </c>
      <c r="M4508" t="n">
        <v>0</v>
      </c>
      <c r="N4508" t="n">
        <v>0</v>
      </c>
      <c r="O4508" t="n">
        <v>0</v>
      </c>
      <c r="P4508" t="n">
        <v>0</v>
      </c>
      <c r="Q4508" t="n">
        <v>0</v>
      </c>
      <c r="R4508" s="2" t="inlineStr"/>
    </row>
    <row r="4509" ht="15" customHeight="1">
      <c r="A4509" t="inlineStr">
        <is>
          <t>A 18992-2024</t>
        </is>
      </c>
      <c r="B4509" s="1" t="n">
        <v>45427.61516203704</v>
      </c>
      <c r="C4509" s="1" t="n">
        <v>46114</v>
      </c>
      <c r="D4509" t="inlineStr">
        <is>
          <t>DALARNAS LÄN</t>
        </is>
      </c>
      <c r="E4509" t="inlineStr">
        <is>
          <t>MORA</t>
        </is>
      </c>
      <c r="G4509" t="n">
        <v>9.9</v>
      </c>
      <c r="H4509" t="n">
        <v>0</v>
      </c>
      <c r="I4509" t="n">
        <v>0</v>
      </c>
      <c r="J4509" t="n">
        <v>0</v>
      </c>
      <c r="K4509" t="n">
        <v>0</v>
      </c>
      <c r="L4509" t="n">
        <v>0</v>
      </c>
      <c r="M4509" t="n">
        <v>0</v>
      </c>
      <c r="N4509" t="n">
        <v>0</v>
      </c>
      <c r="O4509" t="n">
        <v>0</v>
      </c>
      <c r="P4509" t="n">
        <v>0</v>
      </c>
      <c r="Q4509" t="n">
        <v>0</v>
      </c>
      <c r="R4509" s="2" t="inlineStr"/>
    </row>
    <row r="4510" ht="15" customHeight="1">
      <c r="A4510" t="inlineStr">
        <is>
          <t>A 5651-2025</t>
        </is>
      </c>
      <c r="B4510" s="1" t="n">
        <v>45693.71571759259</v>
      </c>
      <c r="C4510" s="1" t="n">
        <v>46114</v>
      </c>
      <c r="D4510" t="inlineStr">
        <is>
          <t>DALARNAS LÄN</t>
        </is>
      </c>
      <c r="E4510" t="inlineStr">
        <is>
          <t>RÄTTVIK</t>
        </is>
      </c>
      <c r="F4510" t="inlineStr">
        <is>
          <t>Bergvik skog väst AB</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46369-2025</t>
        </is>
      </c>
      <c r="B4511" s="1" t="n">
        <v>45925.50526620371</v>
      </c>
      <c r="C4511" s="1" t="n">
        <v>46114</v>
      </c>
      <c r="D4511" t="inlineStr">
        <is>
          <t>DALARNAS LÄN</t>
        </is>
      </c>
      <c r="E4511" t="inlineStr">
        <is>
          <t>SMEDJEBACKEN</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46372-2025</t>
        </is>
      </c>
      <c r="B4512" s="1" t="n">
        <v>45925.50818287037</v>
      </c>
      <c r="C4512" s="1" t="n">
        <v>46114</v>
      </c>
      <c r="D4512" t="inlineStr">
        <is>
          <t>DALARNAS LÄN</t>
        </is>
      </c>
      <c r="E4512" t="inlineStr">
        <is>
          <t>SMEDJEBACKEN</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58819-2023</t>
        </is>
      </c>
      <c r="B4513" s="1" t="n">
        <v>45252.38962962963</v>
      </c>
      <c r="C4513" s="1" t="n">
        <v>46114</v>
      </c>
      <c r="D4513" t="inlineStr">
        <is>
          <t>DALARNAS LÄN</t>
        </is>
      </c>
      <c r="E4513" t="inlineStr">
        <is>
          <t>FALUN</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54199-2022</t>
        </is>
      </c>
      <c r="B4514" s="1" t="n">
        <v>44881.70018518518</v>
      </c>
      <c r="C4514" s="1" t="n">
        <v>46114</v>
      </c>
      <c r="D4514" t="inlineStr">
        <is>
          <t>DALARNAS LÄN</t>
        </is>
      </c>
      <c r="E4514" t="inlineStr">
        <is>
          <t>MALUNG-SÄLEN</t>
        </is>
      </c>
      <c r="G4514" t="n">
        <v>2</v>
      </c>
      <c r="H4514" t="n">
        <v>0</v>
      </c>
      <c r="I4514" t="n">
        <v>0</v>
      </c>
      <c r="J4514" t="n">
        <v>0</v>
      </c>
      <c r="K4514" t="n">
        <v>0</v>
      </c>
      <c r="L4514" t="n">
        <v>0</v>
      </c>
      <c r="M4514" t="n">
        <v>0</v>
      </c>
      <c r="N4514" t="n">
        <v>0</v>
      </c>
      <c r="O4514" t="n">
        <v>0</v>
      </c>
      <c r="P4514" t="n">
        <v>0</v>
      </c>
      <c r="Q4514" t="n">
        <v>0</v>
      </c>
      <c r="R4514" s="2" t="inlineStr"/>
    </row>
    <row r="4515" ht="15" customHeight="1">
      <c r="A4515" t="inlineStr">
        <is>
          <t>A 10406-2024</t>
        </is>
      </c>
      <c r="B4515" s="1" t="n">
        <v>45365</v>
      </c>
      <c r="C4515" s="1" t="n">
        <v>46114</v>
      </c>
      <c r="D4515" t="inlineStr">
        <is>
          <t>DALARNAS LÄN</t>
        </is>
      </c>
      <c r="E4515" t="inlineStr">
        <is>
          <t>SÄTER</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45937-2025</t>
        </is>
      </c>
      <c r="B4516" s="1" t="n">
        <v>45924.27231481481</v>
      </c>
      <c r="C4516" s="1" t="n">
        <v>46114</v>
      </c>
      <c r="D4516" t="inlineStr">
        <is>
          <t>DALARNAS LÄN</t>
        </is>
      </c>
      <c r="E4516" t="inlineStr">
        <is>
          <t>HEDEMORA</t>
        </is>
      </c>
      <c r="G4516" t="n">
        <v>3.9</v>
      </c>
      <c r="H4516" t="n">
        <v>0</v>
      </c>
      <c r="I4516" t="n">
        <v>0</v>
      </c>
      <c r="J4516" t="n">
        <v>0</v>
      </c>
      <c r="K4516" t="n">
        <v>0</v>
      </c>
      <c r="L4516" t="n">
        <v>0</v>
      </c>
      <c r="M4516" t="n">
        <v>0</v>
      </c>
      <c r="N4516" t="n">
        <v>0</v>
      </c>
      <c r="O4516" t="n">
        <v>0</v>
      </c>
      <c r="P4516" t="n">
        <v>0</v>
      </c>
      <c r="Q4516" t="n">
        <v>0</v>
      </c>
      <c r="R4516" s="2" t="inlineStr"/>
    </row>
    <row r="4517" ht="15" customHeight="1">
      <c r="A4517" t="inlineStr">
        <is>
          <t>A 23800-2023</t>
        </is>
      </c>
      <c r="B4517" s="1" t="n">
        <v>45078.36881944445</v>
      </c>
      <c r="C4517" s="1" t="n">
        <v>46114</v>
      </c>
      <c r="D4517" t="inlineStr">
        <is>
          <t>DALARNAS LÄN</t>
        </is>
      </c>
      <c r="E4517" t="inlineStr">
        <is>
          <t>MALUNG-SÄLEN</t>
        </is>
      </c>
      <c r="G4517" t="n">
        <v>6.3</v>
      </c>
      <c r="H4517" t="n">
        <v>0</v>
      </c>
      <c r="I4517" t="n">
        <v>0</v>
      </c>
      <c r="J4517" t="n">
        <v>0</v>
      </c>
      <c r="K4517" t="n">
        <v>0</v>
      </c>
      <c r="L4517" t="n">
        <v>0</v>
      </c>
      <c r="M4517" t="n">
        <v>0</v>
      </c>
      <c r="N4517" t="n">
        <v>0</v>
      </c>
      <c r="O4517" t="n">
        <v>0</v>
      </c>
      <c r="P4517" t="n">
        <v>0</v>
      </c>
      <c r="Q4517" t="n">
        <v>0</v>
      </c>
      <c r="R4517" s="2" t="inlineStr"/>
    </row>
    <row r="4518" ht="15" customHeight="1">
      <c r="A4518" t="inlineStr">
        <is>
          <t>A 46024-2025</t>
        </is>
      </c>
      <c r="B4518" s="1" t="n">
        <v>45924.43376157407</v>
      </c>
      <c r="C4518" s="1" t="n">
        <v>46114</v>
      </c>
      <c r="D4518" t="inlineStr">
        <is>
          <t>DALARNAS LÄN</t>
        </is>
      </c>
      <c r="E4518" t="inlineStr">
        <is>
          <t>LUDVIKA</t>
        </is>
      </c>
      <c r="F4518" t="inlineStr">
        <is>
          <t>Bergvik skog väst AB</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9559-2025</t>
        </is>
      </c>
      <c r="B4519" s="1" t="n">
        <v>45715.60960648148</v>
      </c>
      <c r="C4519" s="1" t="n">
        <v>46114</v>
      </c>
      <c r="D4519" t="inlineStr">
        <is>
          <t>DALARNAS LÄN</t>
        </is>
      </c>
      <c r="E4519" t="inlineStr">
        <is>
          <t>SMEDJEBACKEN</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45940-2025</t>
        </is>
      </c>
      <c r="B4520" s="1" t="n">
        <v>45924</v>
      </c>
      <c r="C4520" s="1" t="n">
        <v>46114</v>
      </c>
      <c r="D4520" t="inlineStr">
        <is>
          <t>DALARNAS LÄN</t>
        </is>
      </c>
      <c r="E4520" t="inlineStr">
        <is>
          <t>LUDVIKA</t>
        </is>
      </c>
      <c r="F4520" t="inlineStr">
        <is>
          <t>Bergvik skog väst AB</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60647-2022</t>
        </is>
      </c>
      <c r="B4521" s="1" t="n">
        <v>44911</v>
      </c>
      <c r="C4521" s="1" t="n">
        <v>46114</v>
      </c>
      <c r="D4521" t="inlineStr">
        <is>
          <t>DALARNAS LÄN</t>
        </is>
      </c>
      <c r="E4521" t="inlineStr">
        <is>
          <t>MORA</t>
        </is>
      </c>
      <c r="G4521" t="n">
        <v>4.8</v>
      </c>
      <c r="H4521" t="n">
        <v>0</v>
      </c>
      <c r="I4521" t="n">
        <v>0</v>
      </c>
      <c r="J4521" t="n">
        <v>0</v>
      </c>
      <c r="K4521" t="n">
        <v>0</v>
      </c>
      <c r="L4521" t="n">
        <v>0</v>
      </c>
      <c r="M4521" t="n">
        <v>0</v>
      </c>
      <c r="N4521" t="n">
        <v>0</v>
      </c>
      <c r="O4521" t="n">
        <v>0</v>
      </c>
      <c r="P4521" t="n">
        <v>0</v>
      </c>
      <c r="Q4521" t="n">
        <v>0</v>
      </c>
      <c r="R4521" s="2" t="inlineStr"/>
    </row>
    <row r="4522" ht="15" customHeight="1">
      <c r="A4522" t="inlineStr">
        <is>
          <t>A 141-2025</t>
        </is>
      </c>
      <c r="B4522" s="1" t="n">
        <v>45659.58247685185</v>
      </c>
      <c r="C4522" s="1" t="n">
        <v>46114</v>
      </c>
      <c r="D4522" t="inlineStr">
        <is>
          <t>DALARNAS LÄN</t>
        </is>
      </c>
      <c r="E4522" t="inlineStr">
        <is>
          <t>FALUN</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46176-2025</t>
        </is>
      </c>
      <c r="B4523" s="1" t="n">
        <v>45924.65101851852</v>
      </c>
      <c r="C4523" s="1" t="n">
        <v>46114</v>
      </c>
      <c r="D4523" t="inlineStr">
        <is>
          <t>DALARNAS LÄN</t>
        </is>
      </c>
      <c r="E4523" t="inlineStr">
        <is>
          <t>LEKSAND</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44054-2024</t>
        </is>
      </c>
      <c r="B4524" s="1" t="n">
        <v>45572.59703703703</v>
      </c>
      <c r="C4524" s="1" t="n">
        <v>46114</v>
      </c>
      <c r="D4524" t="inlineStr">
        <is>
          <t>DALARNAS LÄN</t>
        </is>
      </c>
      <c r="E4524" t="inlineStr">
        <is>
          <t>GAGNEF</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32167-2024</t>
        </is>
      </c>
      <c r="B4525" s="1" t="n">
        <v>45511.60100694445</v>
      </c>
      <c r="C4525" s="1" t="n">
        <v>46114</v>
      </c>
      <c r="D4525" t="inlineStr">
        <is>
          <t>DALARNAS LÄN</t>
        </is>
      </c>
      <c r="E4525" t="inlineStr">
        <is>
          <t>MALUNG-SÄLEN</t>
        </is>
      </c>
      <c r="G4525" t="n">
        <v>1.9</v>
      </c>
      <c r="H4525" t="n">
        <v>0</v>
      </c>
      <c r="I4525" t="n">
        <v>0</v>
      </c>
      <c r="J4525" t="n">
        <v>0</v>
      </c>
      <c r="K4525" t="n">
        <v>0</v>
      </c>
      <c r="L4525" t="n">
        <v>0</v>
      </c>
      <c r="M4525" t="n">
        <v>0</v>
      </c>
      <c r="N4525" t="n">
        <v>0</v>
      </c>
      <c r="O4525" t="n">
        <v>0</v>
      </c>
      <c r="P4525" t="n">
        <v>0</v>
      </c>
      <c r="Q4525" t="n">
        <v>0</v>
      </c>
      <c r="R4525" s="2" t="inlineStr"/>
    </row>
    <row r="4526" ht="15" customHeight="1">
      <c r="A4526" t="inlineStr">
        <is>
          <t>A 41090-2022</t>
        </is>
      </c>
      <c r="B4526" s="1" t="n">
        <v>44825.64709490741</v>
      </c>
      <c r="C4526" s="1" t="n">
        <v>46114</v>
      </c>
      <c r="D4526" t="inlineStr">
        <is>
          <t>DALARNAS LÄN</t>
        </is>
      </c>
      <c r="E4526" t="inlineStr">
        <is>
          <t>LUDVIKA</t>
        </is>
      </c>
      <c r="F4526" t="inlineStr">
        <is>
          <t>Bergvik skog väst AB</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46248-2025</t>
        </is>
      </c>
      <c r="B4527" s="1" t="n">
        <v>45925.33582175926</v>
      </c>
      <c r="C4527" s="1" t="n">
        <v>46114</v>
      </c>
      <c r="D4527" t="inlineStr">
        <is>
          <t>DALARNAS LÄN</t>
        </is>
      </c>
      <c r="E4527" t="inlineStr">
        <is>
          <t>RÄTTVIK</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16351-2025</t>
        </is>
      </c>
      <c r="B4528" s="1" t="n">
        <v>45751.38546296296</v>
      </c>
      <c r="C4528" s="1" t="n">
        <v>46114</v>
      </c>
      <c r="D4528" t="inlineStr">
        <is>
          <t>DALARNAS LÄN</t>
        </is>
      </c>
      <c r="E4528" t="inlineStr">
        <is>
          <t>SMEDJEBACKEN</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34813-2022</t>
        </is>
      </c>
      <c r="B4529" s="1" t="n">
        <v>44796.28063657408</v>
      </c>
      <c r="C4529" s="1" t="n">
        <v>46114</v>
      </c>
      <c r="D4529" t="inlineStr">
        <is>
          <t>DALARNAS LÄN</t>
        </is>
      </c>
      <c r="E4529" t="inlineStr">
        <is>
          <t>RÄTTVIK</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17619-2025</t>
        </is>
      </c>
      <c r="B4530" s="1" t="n">
        <v>45757.85554398148</v>
      </c>
      <c r="C4530" s="1" t="n">
        <v>46114</v>
      </c>
      <c r="D4530" t="inlineStr">
        <is>
          <t>DALARNAS LÄN</t>
        </is>
      </c>
      <c r="E4530" t="inlineStr">
        <is>
          <t>MALUNG-SÄLEN</t>
        </is>
      </c>
      <c r="G4530" t="n">
        <v>3.7</v>
      </c>
      <c r="H4530" t="n">
        <v>0</v>
      </c>
      <c r="I4530" t="n">
        <v>0</v>
      </c>
      <c r="J4530" t="n">
        <v>0</v>
      </c>
      <c r="K4530" t="n">
        <v>0</v>
      </c>
      <c r="L4530" t="n">
        <v>0</v>
      </c>
      <c r="M4530" t="n">
        <v>0</v>
      </c>
      <c r="N4530" t="n">
        <v>0</v>
      </c>
      <c r="O4530" t="n">
        <v>0</v>
      </c>
      <c r="P4530" t="n">
        <v>0</v>
      </c>
      <c r="Q4530" t="n">
        <v>0</v>
      </c>
      <c r="R4530" s="2" t="inlineStr"/>
    </row>
    <row r="4531" ht="15" customHeight="1">
      <c r="A4531" t="inlineStr">
        <is>
          <t>A 46242-2025</t>
        </is>
      </c>
      <c r="B4531" s="1" t="n">
        <v>45925.31876157408</v>
      </c>
      <c r="C4531" s="1" t="n">
        <v>46114</v>
      </c>
      <c r="D4531" t="inlineStr">
        <is>
          <t>DALARNAS LÄN</t>
        </is>
      </c>
      <c r="E4531" t="inlineStr">
        <is>
          <t>ORSA</t>
        </is>
      </c>
      <c r="G4531" t="n">
        <v>5.6</v>
      </c>
      <c r="H4531" t="n">
        <v>0</v>
      </c>
      <c r="I4531" t="n">
        <v>0</v>
      </c>
      <c r="J4531" t="n">
        <v>0</v>
      </c>
      <c r="K4531" t="n">
        <v>0</v>
      </c>
      <c r="L4531" t="n">
        <v>0</v>
      </c>
      <c r="M4531" t="n">
        <v>0</v>
      </c>
      <c r="N4531" t="n">
        <v>0</v>
      </c>
      <c r="O4531" t="n">
        <v>0</v>
      </c>
      <c r="P4531" t="n">
        <v>0</v>
      </c>
      <c r="Q4531" t="n">
        <v>0</v>
      </c>
      <c r="R4531" s="2" t="inlineStr"/>
    </row>
    <row r="4532" ht="15" customHeight="1">
      <c r="A4532" t="inlineStr">
        <is>
          <t>A 46494-2025</t>
        </is>
      </c>
      <c r="B4532" s="1" t="n">
        <v>45925</v>
      </c>
      <c r="C4532" s="1" t="n">
        <v>46114</v>
      </c>
      <c r="D4532" t="inlineStr">
        <is>
          <t>DALARNAS LÄN</t>
        </is>
      </c>
      <c r="E4532" t="inlineStr">
        <is>
          <t>SÄTER</t>
        </is>
      </c>
      <c r="F4532" t="inlineStr">
        <is>
          <t>Bergvik skog väst AB</t>
        </is>
      </c>
      <c r="G4532" t="n">
        <v>15.2</v>
      </c>
      <c r="H4532" t="n">
        <v>0</v>
      </c>
      <c r="I4532" t="n">
        <v>0</v>
      </c>
      <c r="J4532" t="n">
        <v>0</v>
      </c>
      <c r="K4532" t="n">
        <v>0</v>
      </c>
      <c r="L4532" t="n">
        <v>0</v>
      </c>
      <c r="M4532" t="n">
        <v>0</v>
      </c>
      <c r="N4532" t="n">
        <v>0</v>
      </c>
      <c r="O4532" t="n">
        <v>0</v>
      </c>
      <c r="P4532" t="n">
        <v>0</v>
      </c>
      <c r="Q4532" t="n">
        <v>0</v>
      </c>
      <c r="R4532" s="2" t="inlineStr"/>
    </row>
    <row r="4533" ht="15" customHeight="1">
      <c r="A4533" t="inlineStr">
        <is>
          <t>A 45936-2025</t>
        </is>
      </c>
      <c r="B4533" s="1" t="n">
        <v>45924.26582175926</v>
      </c>
      <c r="C4533" s="1" t="n">
        <v>46114</v>
      </c>
      <c r="D4533" t="inlineStr">
        <is>
          <t>DALARNAS LÄN</t>
        </is>
      </c>
      <c r="E4533" t="inlineStr">
        <is>
          <t>HEDEMORA</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45938-2025</t>
        </is>
      </c>
      <c r="B4534" s="1" t="n">
        <v>45924.27704861111</v>
      </c>
      <c r="C4534" s="1" t="n">
        <v>46114</v>
      </c>
      <c r="D4534" t="inlineStr">
        <is>
          <t>DALARNAS LÄN</t>
        </is>
      </c>
      <c r="E4534" t="inlineStr">
        <is>
          <t>HEDEMORA</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50056-2024</t>
        </is>
      </c>
      <c r="B4535" s="1" t="n">
        <v>45600.34134259259</v>
      </c>
      <c r="C4535" s="1" t="n">
        <v>46114</v>
      </c>
      <c r="D4535" t="inlineStr">
        <is>
          <t>DALARNAS LÄN</t>
        </is>
      </c>
      <c r="E4535" t="inlineStr">
        <is>
          <t>ÄLVDALEN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46402-2025</t>
        </is>
      </c>
      <c r="B4536" s="1" t="n">
        <v>45925.56084490741</v>
      </c>
      <c r="C4536" s="1" t="n">
        <v>46114</v>
      </c>
      <c r="D4536" t="inlineStr">
        <is>
          <t>DALARNAS LÄN</t>
        </is>
      </c>
      <c r="E4536" t="inlineStr">
        <is>
          <t>ORSA</t>
        </is>
      </c>
      <c r="F4536" t="inlineStr">
        <is>
          <t>Allmännings- och besparingsskogar</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46473-2025</t>
        </is>
      </c>
      <c r="B4537" s="1" t="n">
        <v>45925.6866087963</v>
      </c>
      <c r="C4537" s="1" t="n">
        <v>46114</v>
      </c>
      <c r="D4537" t="inlineStr">
        <is>
          <t>DALARNAS LÄN</t>
        </is>
      </c>
      <c r="E4537" t="inlineStr">
        <is>
          <t>MALUNG-SÄLEN</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46409-2025</t>
        </is>
      </c>
      <c r="B4538" s="1" t="n">
        <v>45925.56752314815</v>
      </c>
      <c r="C4538" s="1" t="n">
        <v>46114</v>
      </c>
      <c r="D4538" t="inlineStr">
        <is>
          <t>DALARNAS LÄN</t>
        </is>
      </c>
      <c r="E4538" t="inlineStr">
        <is>
          <t>ÄLVDALEN</t>
        </is>
      </c>
      <c r="G4538" t="n">
        <v>2.6</v>
      </c>
      <c r="H4538" t="n">
        <v>0</v>
      </c>
      <c r="I4538" t="n">
        <v>0</v>
      </c>
      <c r="J4538" t="n">
        <v>0</v>
      </c>
      <c r="K4538" t="n">
        <v>0</v>
      </c>
      <c r="L4538" t="n">
        <v>0</v>
      </c>
      <c r="M4538" t="n">
        <v>0</v>
      </c>
      <c r="N4538" t="n">
        <v>0</v>
      </c>
      <c r="O4538" t="n">
        <v>0</v>
      </c>
      <c r="P4538" t="n">
        <v>0</v>
      </c>
      <c r="Q4538" t="n">
        <v>0</v>
      </c>
      <c r="R4538" s="2" t="inlineStr"/>
    </row>
    <row r="4539" ht="15" customHeight="1">
      <c r="A4539" t="inlineStr">
        <is>
          <t>A 46363-2025</t>
        </is>
      </c>
      <c r="B4539" s="1" t="n">
        <v>45925.49875</v>
      </c>
      <c r="C4539" s="1" t="n">
        <v>46114</v>
      </c>
      <c r="D4539" t="inlineStr">
        <is>
          <t>DALARNAS LÄN</t>
        </is>
      </c>
      <c r="E4539" t="inlineStr">
        <is>
          <t>SMEDJEBACKEN</t>
        </is>
      </c>
      <c r="G4539" t="n">
        <v>2.9</v>
      </c>
      <c r="H4539" t="n">
        <v>0</v>
      </c>
      <c r="I4539" t="n">
        <v>0</v>
      </c>
      <c r="J4539" t="n">
        <v>0</v>
      </c>
      <c r="K4539" t="n">
        <v>0</v>
      </c>
      <c r="L4539" t="n">
        <v>0</v>
      </c>
      <c r="M4539" t="n">
        <v>0</v>
      </c>
      <c r="N4539" t="n">
        <v>0</v>
      </c>
      <c r="O4539" t="n">
        <v>0</v>
      </c>
      <c r="P4539" t="n">
        <v>0</v>
      </c>
      <c r="Q4539" t="n">
        <v>0</v>
      </c>
      <c r="R4539" s="2" t="inlineStr"/>
    </row>
    <row r="4540" ht="15" customHeight="1">
      <c r="A4540" t="inlineStr">
        <is>
          <t>A 46482-2025</t>
        </is>
      </c>
      <c r="B4540" s="1" t="n">
        <v>45925.70153935185</v>
      </c>
      <c r="C4540" s="1" t="n">
        <v>46114</v>
      </c>
      <c r="D4540" t="inlineStr">
        <is>
          <t>DALARNAS LÄN</t>
        </is>
      </c>
      <c r="E4540" t="inlineStr">
        <is>
          <t>MALUNG-SÄLEN</t>
        </is>
      </c>
      <c r="F4540" t="inlineStr">
        <is>
          <t>Bergvik skog väst AB</t>
        </is>
      </c>
      <c r="G4540" t="n">
        <v>0.9</v>
      </c>
      <c r="H4540" t="n">
        <v>0</v>
      </c>
      <c r="I4540" t="n">
        <v>0</v>
      </c>
      <c r="J4540" t="n">
        <v>0</v>
      </c>
      <c r="K4540" t="n">
        <v>0</v>
      </c>
      <c r="L4540" t="n">
        <v>0</v>
      </c>
      <c r="M4540" t="n">
        <v>0</v>
      </c>
      <c r="N4540" t="n">
        <v>0</v>
      </c>
      <c r="O4540" t="n">
        <v>0</v>
      </c>
      <c r="P4540" t="n">
        <v>0</v>
      </c>
      <c r="Q4540" t="n">
        <v>0</v>
      </c>
      <c r="R4540" s="2" t="inlineStr"/>
    </row>
    <row r="4541" ht="15" customHeight="1">
      <c r="A4541" t="inlineStr">
        <is>
          <t>A 28965-2023</t>
        </is>
      </c>
      <c r="B4541" s="1" t="n">
        <v>45104</v>
      </c>
      <c r="C4541" s="1" t="n">
        <v>46114</v>
      </c>
      <c r="D4541" t="inlineStr">
        <is>
          <t>DALARNAS LÄN</t>
        </is>
      </c>
      <c r="E4541" t="inlineStr">
        <is>
          <t>LEKSAND</t>
        </is>
      </c>
      <c r="F4541" t="inlineStr">
        <is>
          <t>Bergvik skog väst AB</t>
        </is>
      </c>
      <c r="G4541" t="n">
        <v>0.9</v>
      </c>
      <c r="H4541" t="n">
        <v>0</v>
      </c>
      <c r="I4541" t="n">
        <v>0</v>
      </c>
      <c r="J4541" t="n">
        <v>0</v>
      </c>
      <c r="K4541" t="n">
        <v>0</v>
      </c>
      <c r="L4541" t="n">
        <v>0</v>
      </c>
      <c r="M4541" t="n">
        <v>0</v>
      </c>
      <c r="N4541" t="n">
        <v>0</v>
      </c>
      <c r="O4541" t="n">
        <v>0</v>
      </c>
      <c r="P4541" t="n">
        <v>0</v>
      </c>
      <c r="Q4541" t="n">
        <v>0</v>
      </c>
      <c r="R4541" s="2" t="inlineStr"/>
    </row>
    <row r="4542" ht="15" customHeight="1">
      <c r="A4542" t="inlineStr">
        <is>
          <t>A 46317-2025</t>
        </is>
      </c>
      <c r="B4542" s="1" t="n">
        <v>45925</v>
      </c>
      <c r="C4542" s="1" t="n">
        <v>46114</v>
      </c>
      <c r="D4542" t="inlineStr">
        <is>
          <t>DALARNAS LÄN</t>
        </is>
      </c>
      <c r="E4542" t="inlineStr">
        <is>
          <t>LUDVIKA</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46358-2025</t>
        </is>
      </c>
      <c r="B4543" s="1" t="n">
        <v>45925.49443287037</v>
      </c>
      <c r="C4543" s="1" t="n">
        <v>46114</v>
      </c>
      <c r="D4543" t="inlineStr">
        <is>
          <t>DALARNAS LÄN</t>
        </is>
      </c>
      <c r="E4543" t="inlineStr">
        <is>
          <t>SMEDJEBACKEN</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46405-2025</t>
        </is>
      </c>
      <c r="B4544" s="1" t="n">
        <v>45925.56306712963</v>
      </c>
      <c r="C4544" s="1" t="n">
        <v>46114</v>
      </c>
      <c r="D4544" t="inlineStr">
        <is>
          <t>DALARNAS LÄN</t>
        </is>
      </c>
      <c r="E4544" t="inlineStr">
        <is>
          <t>LEKSAND</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46277-2025</t>
        </is>
      </c>
      <c r="B4545" s="1" t="n">
        <v>45925.37229166667</v>
      </c>
      <c r="C4545" s="1" t="n">
        <v>46114</v>
      </c>
      <c r="D4545" t="inlineStr">
        <is>
          <t>DALARNAS LÄN</t>
        </is>
      </c>
      <c r="E4545" t="inlineStr">
        <is>
          <t>ORSA</t>
        </is>
      </c>
      <c r="G4545" t="n">
        <v>0.9</v>
      </c>
      <c r="H4545" t="n">
        <v>0</v>
      </c>
      <c r="I4545" t="n">
        <v>0</v>
      </c>
      <c r="J4545" t="n">
        <v>0</v>
      </c>
      <c r="K4545" t="n">
        <v>0</v>
      </c>
      <c r="L4545" t="n">
        <v>0</v>
      </c>
      <c r="M4545" t="n">
        <v>0</v>
      </c>
      <c r="N4545" t="n">
        <v>0</v>
      </c>
      <c r="O4545" t="n">
        <v>0</v>
      </c>
      <c r="P4545" t="n">
        <v>0</v>
      </c>
      <c r="Q4545" t="n">
        <v>0</v>
      </c>
      <c r="R4545" s="2" t="inlineStr"/>
    </row>
    <row r="4546" ht="15" customHeight="1">
      <c r="A4546" t="inlineStr">
        <is>
          <t>A 50258-2024</t>
        </is>
      </c>
      <c r="B4546" s="1" t="n">
        <v>45600.58436342593</v>
      </c>
      <c r="C4546" s="1" t="n">
        <v>46114</v>
      </c>
      <c r="D4546" t="inlineStr">
        <is>
          <t>DALARNAS LÄN</t>
        </is>
      </c>
      <c r="E4546" t="inlineStr">
        <is>
          <t>VANSBRO</t>
        </is>
      </c>
      <c r="F4546" t="inlineStr">
        <is>
          <t>Bergvik skog öst AB</t>
        </is>
      </c>
      <c r="G4546" t="n">
        <v>45.8</v>
      </c>
      <c r="H4546" t="n">
        <v>0</v>
      </c>
      <c r="I4546" t="n">
        <v>0</v>
      </c>
      <c r="J4546" t="n">
        <v>0</v>
      </c>
      <c r="K4546" t="n">
        <v>0</v>
      </c>
      <c r="L4546" t="n">
        <v>0</v>
      </c>
      <c r="M4546" t="n">
        <v>0</v>
      </c>
      <c r="N4546" t="n">
        <v>0</v>
      </c>
      <c r="O4546" t="n">
        <v>0</v>
      </c>
      <c r="P4546" t="n">
        <v>0</v>
      </c>
      <c r="Q4546" t="n">
        <v>0</v>
      </c>
      <c r="R4546" s="2" t="inlineStr"/>
    </row>
    <row r="4547" ht="15" customHeight="1">
      <c r="A4547" t="inlineStr">
        <is>
          <t>A 46287-2025</t>
        </is>
      </c>
      <c r="B4547" s="1" t="n">
        <v>45925.38450231482</v>
      </c>
      <c r="C4547" s="1" t="n">
        <v>46114</v>
      </c>
      <c r="D4547" t="inlineStr">
        <is>
          <t>DALARNAS LÄN</t>
        </is>
      </c>
      <c r="E4547" t="inlineStr">
        <is>
          <t>HEDEMORA</t>
        </is>
      </c>
      <c r="G4547" t="n">
        <v>7.3</v>
      </c>
      <c r="H4547" t="n">
        <v>0</v>
      </c>
      <c r="I4547" t="n">
        <v>0</v>
      </c>
      <c r="J4547" t="n">
        <v>0</v>
      </c>
      <c r="K4547" t="n">
        <v>0</v>
      </c>
      <c r="L4547" t="n">
        <v>0</v>
      </c>
      <c r="M4547" t="n">
        <v>0</v>
      </c>
      <c r="N4547" t="n">
        <v>0</v>
      </c>
      <c r="O4547" t="n">
        <v>0</v>
      </c>
      <c r="P4547" t="n">
        <v>0</v>
      </c>
      <c r="Q4547" t="n">
        <v>0</v>
      </c>
      <c r="R4547" s="2" t="inlineStr"/>
    </row>
    <row r="4548" ht="15" customHeight="1">
      <c r="A4548" t="inlineStr">
        <is>
          <t>A 55905-2024</t>
        </is>
      </c>
      <c r="B4548" s="1" t="n">
        <v>45623.58370370371</v>
      </c>
      <c r="C4548" s="1" t="n">
        <v>46114</v>
      </c>
      <c r="D4548" t="inlineStr">
        <is>
          <t>DALARNAS LÄN</t>
        </is>
      </c>
      <c r="E4548" t="inlineStr">
        <is>
          <t>VANSBRO</t>
        </is>
      </c>
      <c r="G4548" t="n">
        <v>26.9</v>
      </c>
      <c r="H4548" t="n">
        <v>0</v>
      </c>
      <c r="I4548" t="n">
        <v>0</v>
      </c>
      <c r="J4548" t="n">
        <v>0</v>
      </c>
      <c r="K4548" t="n">
        <v>0</v>
      </c>
      <c r="L4548" t="n">
        <v>0</v>
      </c>
      <c r="M4548" t="n">
        <v>0</v>
      </c>
      <c r="N4548" t="n">
        <v>0</v>
      </c>
      <c r="O4548" t="n">
        <v>0</v>
      </c>
      <c r="P4548" t="n">
        <v>0</v>
      </c>
      <c r="Q4548" t="n">
        <v>0</v>
      </c>
      <c r="R4548" s="2" t="inlineStr"/>
    </row>
    <row r="4549" ht="15" customHeight="1">
      <c r="A4549" t="inlineStr">
        <is>
          <t>A 16293-2025</t>
        </is>
      </c>
      <c r="B4549" s="1" t="n">
        <v>45751.33447916667</v>
      </c>
      <c r="C4549" s="1" t="n">
        <v>46114</v>
      </c>
      <c r="D4549" t="inlineStr">
        <is>
          <t>DALARNAS LÄN</t>
        </is>
      </c>
      <c r="E4549" t="inlineStr">
        <is>
          <t>LEKSAND</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46470-2025</t>
        </is>
      </c>
      <c r="B4550" s="1" t="n">
        <v>45925.68283564815</v>
      </c>
      <c r="C4550" s="1" t="n">
        <v>46114</v>
      </c>
      <c r="D4550" t="inlineStr">
        <is>
          <t>DALARNAS LÄN</t>
        </is>
      </c>
      <c r="E4550" t="inlineStr">
        <is>
          <t>MALUNG-SÄLEN</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46483-2025</t>
        </is>
      </c>
      <c r="B4551" s="1" t="n">
        <v>45925.70248842592</v>
      </c>
      <c r="C4551" s="1" t="n">
        <v>46114</v>
      </c>
      <c r="D4551" t="inlineStr">
        <is>
          <t>DALARNAS LÄN</t>
        </is>
      </c>
      <c r="E4551" t="inlineStr">
        <is>
          <t>LEKSAND</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6097-2025</t>
        </is>
      </c>
      <c r="B4552" s="1" t="n">
        <v>45697</v>
      </c>
      <c r="C4552" s="1" t="n">
        <v>46114</v>
      </c>
      <c r="D4552" t="inlineStr">
        <is>
          <t>DALARNAS LÄN</t>
        </is>
      </c>
      <c r="E4552" t="inlineStr">
        <is>
          <t>ORSA</t>
        </is>
      </c>
      <c r="G4552" t="n">
        <v>11.1</v>
      </c>
      <c r="H4552" t="n">
        <v>0</v>
      </c>
      <c r="I4552" t="n">
        <v>0</v>
      </c>
      <c r="J4552" t="n">
        <v>0</v>
      </c>
      <c r="K4552" t="n">
        <v>0</v>
      </c>
      <c r="L4552" t="n">
        <v>0</v>
      </c>
      <c r="M4552" t="n">
        <v>0</v>
      </c>
      <c r="N4552" t="n">
        <v>0</v>
      </c>
      <c r="O4552" t="n">
        <v>0</v>
      </c>
      <c r="P4552" t="n">
        <v>0</v>
      </c>
      <c r="Q4552" t="n">
        <v>0</v>
      </c>
      <c r="R4552" s="2" t="inlineStr"/>
    </row>
    <row r="4553" ht="15" customHeight="1">
      <c r="A4553" t="inlineStr">
        <is>
          <t>A 45983-2025</t>
        </is>
      </c>
      <c r="B4553" s="1" t="n">
        <v>45924.37988425926</v>
      </c>
      <c r="C4553" s="1" t="n">
        <v>46114</v>
      </c>
      <c r="D4553" t="inlineStr">
        <is>
          <t>DALARNAS LÄN</t>
        </is>
      </c>
      <c r="E4553" t="inlineStr">
        <is>
          <t>HEDEMORA</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45989-2025</t>
        </is>
      </c>
      <c r="B4554" s="1" t="n">
        <v>45924.38699074074</v>
      </c>
      <c r="C4554" s="1" t="n">
        <v>46114</v>
      </c>
      <c r="D4554" t="inlineStr">
        <is>
          <t>DALARNAS LÄN</t>
        </is>
      </c>
      <c r="E4554" t="inlineStr">
        <is>
          <t>GAGNEF</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45996-2025</t>
        </is>
      </c>
      <c r="B4555" s="1" t="n">
        <v>45924.39965277778</v>
      </c>
      <c r="C4555" s="1" t="n">
        <v>46114</v>
      </c>
      <c r="D4555" t="inlineStr">
        <is>
          <t>DALARNAS LÄN</t>
        </is>
      </c>
      <c r="E4555" t="inlineStr">
        <is>
          <t>MALUNG-SÄLEN</t>
        </is>
      </c>
      <c r="F4555" t="inlineStr">
        <is>
          <t>Allmännings- och besparingsskogar</t>
        </is>
      </c>
      <c r="G4555" t="n">
        <v>15.3</v>
      </c>
      <c r="H4555" t="n">
        <v>0</v>
      </c>
      <c r="I4555" t="n">
        <v>0</v>
      </c>
      <c r="J4555" t="n">
        <v>0</v>
      </c>
      <c r="K4555" t="n">
        <v>0</v>
      </c>
      <c r="L4555" t="n">
        <v>0</v>
      </c>
      <c r="M4555" t="n">
        <v>0</v>
      </c>
      <c r="N4555" t="n">
        <v>0</v>
      </c>
      <c r="O4555" t="n">
        <v>0</v>
      </c>
      <c r="P4555" t="n">
        <v>0</v>
      </c>
      <c r="Q4555" t="n">
        <v>0</v>
      </c>
      <c r="R4555" s="2" t="inlineStr"/>
    </row>
    <row r="4556" ht="15" customHeight="1">
      <c r="A4556" t="inlineStr">
        <is>
          <t>A 46495-2025</t>
        </is>
      </c>
      <c r="B4556" s="1" t="n">
        <v>45925</v>
      </c>
      <c r="C4556" s="1" t="n">
        <v>46114</v>
      </c>
      <c r="D4556" t="inlineStr">
        <is>
          <t>DALARNAS LÄN</t>
        </is>
      </c>
      <c r="E4556" t="inlineStr">
        <is>
          <t>SÄTER</t>
        </is>
      </c>
      <c r="F4556" t="inlineStr">
        <is>
          <t>Bergvik skog väst AB</t>
        </is>
      </c>
      <c r="G4556" t="n">
        <v>41.4</v>
      </c>
      <c r="H4556" t="n">
        <v>0</v>
      </c>
      <c r="I4556" t="n">
        <v>0</v>
      </c>
      <c r="J4556" t="n">
        <v>0</v>
      </c>
      <c r="K4556" t="n">
        <v>0</v>
      </c>
      <c r="L4556" t="n">
        <v>0</v>
      </c>
      <c r="M4556" t="n">
        <v>0</v>
      </c>
      <c r="N4556" t="n">
        <v>0</v>
      </c>
      <c r="O4556" t="n">
        <v>0</v>
      </c>
      <c r="P4556" t="n">
        <v>0</v>
      </c>
      <c r="Q4556" t="n">
        <v>0</v>
      </c>
      <c r="R4556" s="2" t="inlineStr"/>
    </row>
    <row r="4557" ht="15" customHeight="1">
      <c r="A4557" t="inlineStr">
        <is>
          <t>A 64581-2021</t>
        </is>
      </c>
      <c r="B4557" s="1" t="n">
        <v>44511.67334490741</v>
      </c>
      <c r="C4557" s="1" t="n">
        <v>46114</v>
      </c>
      <c r="D4557" t="inlineStr">
        <is>
          <t>DALARNAS LÄN</t>
        </is>
      </c>
      <c r="E4557" t="inlineStr">
        <is>
          <t>MALUNG-SÄLEN</t>
        </is>
      </c>
      <c r="G4557" t="n">
        <v>0.4</v>
      </c>
      <c r="H4557" t="n">
        <v>0</v>
      </c>
      <c r="I4557" t="n">
        <v>0</v>
      </c>
      <c r="J4557" t="n">
        <v>0</v>
      </c>
      <c r="K4557" t="n">
        <v>0</v>
      </c>
      <c r="L4557" t="n">
        <v>0</v>
      </c>
      <c r="M4557" t="n">
        <v>0</v>
      </c>
      <c r="N4557" t="n">
        <v>0</v>
      </c>
      <c r="O4557" t="n">
        <v>0</v>
      </c>
      <c r="P4557" t="n">
        <v>0</v>
      </c>
      <c r="Q4557" t="n">
        <v>0</v>
      </c>
      <c r="R4557" s="2" t="inlineStr"/>
    </row>
    <row r="4558" ht="15" customHeight="1">
      <c r="A4558" t="inlineStr">
        <is>
          <t>A 46279-2025</t>
        </is>
      </c>
      <c r="B4558" s="1" t="n">
        <v>45925.37534722222</v>
      </c>
      <c r="C4558" s="1" t="n">
        <v>46114</v>
      </c>
      <c r="D4558" t="inlineStr">
        <is>
          <t>DALARNAS LÄN</t>
        </is>
      </c>
      <c r="E4558" t="inlineStr">
        <is>
          <t>ORSA</t>
        </is>
      </c>
      <c r="G4558" t="n">
        <v>2.2</v>
      </c>
      <c r="H4558" t="n">
        <v>0</v>
      </c>
      <c r="I4558" t="n">
        <v>0</v>
      </c>
      <c r="J4558" t="n">
        <v>0</v>
      </c>
      <c r="K4558" t="n">
        <v>0</v>
      </c>
      <c r="L4558" t="n">
        <v>0</v>
      </c>
      <c r="M4558" t="n">
        <v>0</v>
      </c>
      <c r="N4558" t="n">
        <v>0</v>
      </c>
      <c r="O4558" t="n">
        <v>0</v>
      </c>
      <c r="P4558" t="n">
        <v>0</v>
      </c>
      <c r="Q4558" t="n">
        <v>0</v>
      </c>
      <c r="R4558" s="2" t="inlineStr"/>
    </row>
    <row r="4559" ht="15" customHeight="1">
      <c r="A4559" t="inlineStr">
        <is>
          <t>A 46090-2025</t>
        </is>
      </c>
      <c r="B4559" s="1" t="n">
        <v>45924.5253125</v>
      </c>
      <c r="C4559" s="1" t="n">
        <v>46114</v>
      </c>
      <c r="D4559" t="inlineStr">
        <is>
          <t>DALARNAS LÄN</t>
        </is>
      </c>
      <c r="E4559" t="inlineStr">
        <is>
          <t>MORA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46091-2025</t>
        </is>
      </c>
      <c r="B4560" s="1" t="n">
        <v>45924.52871527777</v>
      </c>
      <c r="C4560" s="1" t="n">
        <v>46114</v>
      </c>
      <c r="D4560" t="inlineStr">
        <is>
          <t>DALARNAS LÄN</t>
        </is>
      </c>
      <c r="E4560" t="inlineStr">
        <is>
          <t>MORA</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6027-2025</t>
        </is>
      </c>
      <c r="B4561" s="1" t="n">
        <v>45695</v>
      </c>
      <c r="C4561" s="1" t="n">
        <v>46114</v>
      </c>
      <c r="D4561" t="inlineStr">
        <is>
          <t>DALARNAS LÄN</t>
        </is>
      </c>
      <c r="E4561" t="inlineStr">
        <is>
          <t>LEKSAND</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46040-2025</t>
        </is>
      </c>
      <c r="B4562" s="1" t="n">
        <v>45924.45159722222</v>
      </c>
      <c r="C4562" s="1" t="n">
        <v>46114</v>
      </c>
      <c r="D4562" t="inlineStr">
        <is>
          <t>DALARNAS LÄN</t>
        </is>
      </c>
      <c r="E4562" t="inlineStr">
        <is>
          <t>LUDVIKA</t>
        </is>
      </c>
      <c r="F4562" t="inlineStr">
        <is>
          <t>Bergvik skog väst AB</t>
        </is>
      </c>
      <c r="G4562" t="n">
        <v>3.8</v>
      </c>
      <c r="H4562" t="n">
        <v>0</v>
      </c>
      <c r="I4562" t="n">
        <v>0</v>
      </c>
      <c r="J4562" t="n">
        <v>0</v>
      </c>
      <c r="K4562" t="n">
        <v>0</v>
      </c>
      <c r="L4562" t="n">
        <v>0</v>
      </c>
      <c r="M4562" t="n">
        <v>0</v>
      </c>
      <c r="N4562" t="n">
        <v>0</v>
      </c>
      <c r="O4562" t="n">
        <v>0</v>
      </c>
      <c r="P4562" t="n">
        <v>0</v>
      </c>
      <c r="Q4562" t="n">
        <v>0</v>
      </c>
      <c r="R4562" s="2" t="inlineStr"/>
    </row>
    <row r="4563" ht="15" customHeight="1">
      <c r="A4563" t="inlineStr">
        <is>
          <t>A 46421-2025</t>
        </is>
      </c>
      <c r="B4563" s="1" t="n">
        <v>45925.59936342593</v>
      </c>
      <c r="C4563" s="1" t="n">
        <v>46114</v>
      </c>
      <c r="D4563" t="inlineStr">
        <is>
          <t>DALARNAS LÄN</t>
        </is>
      </c>
      <c r="E4563" t="inlineStr">
        <is>
          <t>ORSA</t>
        </is>
      </c>
      <c r="F4563" t="inlineStr">
        <is>
          <t>Allmännings- och besparingsskogar</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21456-2021</t>
        </is>
      </c>
      <c r="B4564" s="1" t="n">
        <v>44321</v>
      </c>
      <c r="C4564" s="1" t="n">
        <v>46114</v>
      </c>
      <c r="D4564" t="inlineStr">
        <is>
          <t>DALARNAS LÄN</t>
        </is>
      </c>
      <c r="E4564" t="inlineStr">
        <is>
          <t>GAGNEF</t>
        </is>
      </c>
      <c r="F4564" t="inlineStr">
        <is>
          <t>Bergvik skog väst AB</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46272-2025</t>
        </is>
      </c>
      <c r="B4565" s="1" t="n">
        <v>45925.36988425926</v>
      </c>
      <c r="C4565" s="1" t="n">
        <v>46114</v>
      </c>
      <c r="D4565" t="inlineStr">
        <is>
          <t>DALARNAS LÄN</t>
        </is>
      </c>
      <c r="E4565" t="inlineStr">
        <is>
          <t>ORSA</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46283-2025</t>
        </is>
      </c>
      <c r="B4566" s="1" t="n">
        <v>45925</v>
      </c>
      <c r="C4566" s="1" t="n">
        <v>46114</v>
      </c>
      <c r="D4566" t="inlineStr">
        <is>
          <t>DALARNAS LÄN</t>
        </is>
      </c>
      <c r="E4566" t="inlineStr">
        <is>
          <t>MORA</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46054-2025</t>
        </is>
      </c>
      <c r="B4567" s="1" t="n">
        <v>45924.46261574074</v>
      </c>
      <c r="C4567" s="1" t="n">
        <v>46114</v>
      </c>
      <c r="D4567" t="inlineStr">
        <is>
          <t>DALARNAS LÄN</t>
        </is>
      </c>
      <c r="E4567" t="inlineStr">
        <is>
          <t>LUDVIKA</t>
        </is>
      </c>
      <c r="F4567" t="inlineStr">
        <is>
          <t>Bergvik skog väst AB</t>
        </is>
      </c>
      <c r="G4567" t="n">
        <v>4.5</v>
      </c>
      <c r="H4567" t="n">
        <v>0</v>
      </c>
      <c r="I4567" t="n">
        <v>0</v>
      </c>
      <c r="J4567" t="n">
        <v>0</v>
      </c>
      <c r="K4567" t="n">
        <v>0</v>
      </c>
      <c r="L4567" t="n">
        <v>0</v>
      </c>
      <c r="M4567" t="n">
        <v>0</v>
      </c>
      <c r="N4567" t="n">
        <v>0</v>
      </c>
      <c r="O4567" t="n">
        <v>0</v>
      </c>
      <c r="P4567" t="n">
        <v>0</v>
      </c>
      <c r="Q4567" t="n">
        <v>0</v>
      </c>
      <c r="R4567" s="2" t="inlineStr"/>
    </row>
    <row r="4568" ht="15" customHeight="1">
      <c r="A4568" t="inlineStr">
        <is>
          <t>A 46268-2025</t>
        </is>
      </c>
      <c r="B4568" s="1" t="n">
        <v>45925.36806712963</v>
      </c>
      <c r="C4568" s="1" t="n">
        <v>46114</v>
      </c>
      <c r="D4568" t="inlineStr">
        <is>
          <t>DALARNAS LÄN</t>
        </is>
      </c>
      <c r="E4568" t="inlineStr">
        <is>
          <t>SMEDJEBACKEN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12448-2023</t>
        </is>
      </c>
      <c r="B4569" s="1" t="n">
        <v>44999</v>
      </c>
      <c r="C4569" s="1" t="n">
        <v>46114</v>
      </c>
      <c r="D4569" t="inlineStr">
        <is>
          <t>DALARNAS LÄN</t>
        </is>
      </c>
      <c r="E4569" t="inlineStr">
        <is>
          <t>BORLÄNGE</t>
        </is>
      </c>
      <c r="F4569" t="inlineStr">
        <is>
          <t>Bergvik skog väst AB</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46298-2025</t>
        </is>
      </c>
      <c r="B4570" s="1" t="n">
        <v>45925.41173611111</v>
      </c>
      <c r="C4570" s="1" t="n">
        <v>46114</v>
      </c>
      <c r="D4570" t="inlineStr">
        <is>
          <t>DALARNAS LÄN</t>
        </is>
      </c>
      <c r="E4570" t="inlineStr">
        <is>
          <t>SMEDJEBACKEN</t>
        </is>
      </c>
      <c r="G4570" t="n">
        <v>7.9</v>
      </c>
      <c r="H4570" t="n">
        <v>0</v>
      </c>
      <c r="I4570" t="n">
        <v>0</v>
      </c>
      <c r="J4570" t="n">
        <v>0</v>
      </c>
      <c r="K4570" t="n">
        <v>0</v>
      </c>
      <c r="L4570" t="n">
        <v>0</v>
      </c>
      <c r="M4570" t="n">
        <v>0</v>
      </c>
      <c r="N4570" t="n">
        <v>0</v>
      </c>
      <c r="O4570" t="n">
        <v>0</v>
      </c>
      <c r="P4570" t="n">
        <v>0</v>
      </c>
      <c r="Q4570" t="n">
        <v>0</v>
      </c>
      <c r="R4570" s="2" t="inlineStr"/>
    </row>
    <row r="4571" ht="15" customHeight="1">
      <c r="A4571" t="inlineStr">
        <is>
          <t>A 46303-2025</t>
        </is>
      </c>
      <c r="B4571" s="1" t="n">
        <v>45925.41668981482</v>
      </c>
      <c r="C4571" s="1" t="n">
        <v>46114</v>
      </c>
      <c r="D4571" t="inlineStr">
        <is>
          <t>DALARNAS LÄN</t>
        </is>
      </c>
      <c r="E4571" t="inlineStr">
        <is>
          <t>SMEDJEBACKEN</t>
        </is>
      </c>
      <c r="G4571" t="n">
        <v>4.6</v>
      </c>
      <c r="H4571" t="n">
        <v>0</v>
      </c>
      <c r="I4571" t="n">
        <v>0</v>
      </c>
      <c r="J4571" t="n">
        <v>0</v>
      </c>
      <c r="K4571" t="n">
        <v>0</v>
      </c>
      <c r="L4571" t="n">
        <v>0</v>
      </c>
      <c r="M4571" t="n">
        <v>0</v>
      </c>
      <c r="N4571" t="n">
        <v>0</v>
      </c>
      <c r="O4571" t="n">
        <v>0</v>
      </c>
      <c r="P4571" t="n">
        <v>0</v>
      </c>
      <c r="Q4571" t="n">
        <v>0</v>
      </c>
      <c r="R4571" s="2" t="inlineStr"/>
    </row>
    <row r="4572" ht="15" customHeight="1">
      <c r="A4572" t="inlineStr">
        <is>
          <t>A 46327-2025</t>
        </is>
      </c>
      <c r="B4572" s="1" t="n">
        <v>45925.45247685185</v>
      </c>
      <c r="C4572" s="1" t="n">
        <v>46114</v>
      </c>
      <c r="D4572" t="inlineStr">
        <is>
          <t>DALARNAS LÄN</t>
        </is>
      </c>
      <c r="E4572" t="inlineStr">
        <is>
          <t>AVESTA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50347-2021</t>
        </is>
      </c>
      <c r="B4573" s="1" t="n">
        <v>44459</v>
      </c>
      <c r="C4573" s="1" t="n">
        <v>46114</v>
      </c>
      <c r="D4573" t="inlineStr">
        <is>
          <t>DALARNAS LÄN</t>
        </is>
      </c>
      <c r="E4573" t="inlineStr">
        <is>
          <t>LUDVIKA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46364-2025</t>
        </is>
      </c>
      <c r="B4574" s="1" t="n">
        <v>45925.49892361111</v>
      </c>
      <c r="C4574" s="1" t="n">
        <v>46114</v>
      </c>
      <c r="D4574" t="inlineStr">
        <is>
          <t>DALARNAS LÄN</t>
        </is>
      </c>
      <c r="E4574" t="inlineStr">
        <is>
          <t>FALUN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46367-2025</t>
        </is>
      </c>
      <c r="B4575" s="1" t="n">
        <v>45925.50178240741</v>
      </c>
      <c r="C4575" s="1" t="n">
        <v>46114</v>
      </c>
      <c r="D4575" t="inlineStr">
        <is>
          <t>DALARNAS LÄN</t>
        </is>
      </c>
      <c r="E4575" t="inlineStr">
        <is>
          <t>SMEDJEBACKEN</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33837-2024</t>
        </is>
      </c>
      <c r="B4576" s="1" t="n">
        <v>45520</v>
      </c>
      <c r="C4576" s="1" t="n">
        <v>46114</v>
      </c>
      <c r="D4576" t="inlineStr">
        <is>
          <t>DALARNAS LÄN</t>
        </is>
      </c>
      <c r="E4576" t="inlineStr">
        <is>
          <t>VANSBRO</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9065-2025</t>
        </is>
      </c>
      <c r="B4577" s="1" t="n">
        <v>45713</v>
      </c>
      <c r="C4577" s="1" t="n">
        <v>46114</v>
      </c>
      <c r="D4577" t="inlineStr">
        <is>
          <t>DALARNAS LÄN</t>
        </is>
      </c>
      <c r="E4577" t="inlineStr">
        <is>
          <t>MALUNG-SÄLEN</t>
        </is>
      </c>
      <c r="G4577" t="n">
        <v>4</v>
      </c>
      <c r="H4577" t="n">
        <v>0</v>
      </c>
      <c r="I4577" t="n">
        <v>0</v>
      </c>
      <c r="J4577" t="n">
        <v>0</v>
      </c>
      <c r="K4577" t="n">
        <v>0</v>
      </c>
      <c r="L4577" t="n">
        <v>0</v>
      </c>
      <c r="M4577" t="n">
        <v>0</v>
      </c>
      <c r="N4577" t="n">
        <v>0</v>
      </c>
      <c r="O4577" t="n">
        <v>0</v>
      </c>
      <c r="P4577" t="n">
        <v>0</v>
      </c>
      <c r="Q4577" t="n">
        <v>0</v>
      </c>
      <c r="R4577" s="2" t="inlineStr"/>
    </row>
    <row r="4578" ht="15" customHeight="1">
      <c r="A4578" t="inlineStr">
        <is>
          <t>A 46045-2025</t>
        </is>
      </c>
      <c r="B4578" s="1" t="n">
        <v>45924.45614583333</v>
      </c>
      <c r="C4578" s="1" t="n">
        <v>46114</v>
      </c>
      <c r="D4578" t="inlineStr">
        <is>
          <t>DALARNAS LÄN</t>
        </is>
      </c>
      <c r="E4578" t="inlineStr">
        <is>
          <t>LUDVIKA</t>
        </is>
      </c>
      <c r="F4578" t="inlineStr">
        <is>
          <t>Bergvik skog väst AB</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46108-2025</t>
        </is>
      </c>
      <c r="B4579" s="1" t="n">
        <v>45924.55571759259</v>
      </c>
      <c r="C4579" s="1" t="n">
        <v>46114</v>
      </c>
      <c r="D4579" t="inlineStr">
        <is>
          <t>DALARNAS LÄN</t>
        </is>
      </c>
      <c r="E4579" t="inlineStr">
        <is>
          <t>LUDVIKA</t>
        </is>
      </c>
      <c r="F4579" t="inlineStr">
        <is>
          <t>Bergvik skog väst AB</t>
        </is>
      </c>
      <c r="G4579" t="n">
        <v>17.2</v>
      </c>
      <c r="H4579" t="n">
        <v>0</v>
      </c>
      <c r="I4579" t="n">
        <v>0</v>
      </c>
      <c r="J4579" t="n">
        <v>0</v>
      </c>
      <c r="K4579" t="n">
        <v>0</v>
      </c>
      <c r="L4579" t="n">
        <v>0</v>
      </c>
      <c r="M4579" t="n">
        <v>0</v>
      </c>
      <c r="N4579" t="n">
        <v>0</v>
      </c>
      <c r="O4579" t="n">
        <v>0</v>
      </c>
      <c r="P4579" t="n">
        <v>0</v>
      </c>
      <c r="Q4579" t="n">
        <v>0</v>
      </c>
      <c r="R4579" s="2" t="inlineStr"/>
    </row>
    <row r="4580" ht="15" customHeight="1">
      <c r="A4580" t="inlineStr">
        <is>
          <t>A 46389-2025</t>
        </is>
      </c>
      <c r="B4580" s="1" t="n">
        <v>45925.54184027778</v>
      </c>
      <c r="C4580" s="1" t="n">
        <v>46114</v>
      </c>
      <c r="D4580" t="inlineStr">
        <is>
          <t>DALARNAS LÄN</t>
        </is>
      </c>
      <c r="E4580" t="inlineStr">
        <is>
          <t>RÄTTVIK</t>
        </is>
      </c>
      <c r="F4580" t="inlineStr">
        <is>
          <t>Sveaskog</t>
        </is>
      </c>
      <c r="G4580" t="n">
        <v>3.2</v>
      </c>
      <c r="H4580" t="n">
        <v>0</v>
      </c>
      <c r="I4580" t="n">
        <v>0</v>
      </c>
      <c r="J4580" t="n">
        <v>0</v>
      </c>
      <c r="K4580" t="n">
        <v>0</v>
      </c>
      <c r="L4580" t="n">
        <v>0</v>
      </c>
      <c r="M4580" t="n">
        <v>0</v>
      </c>
      <c r="N4580" t="n">
        <v>0</v>
      </c>
      <c r="O4580" t="n">
        <v>0</v>
      </c>
      <c r="P4580" t="n">
        <v>0</v>
      </c>
      <c r="Q4580" t="n">
        <v>0</v>
      </c>
      <c r="R4580" s="2" t="inlineStr"/>
      <c r="U4580">
        <f>HYPERLINK("https://klasma.github.io/Logging_2031/knärot/A 46389-2025 karta knärot.png", "A 46389-2025")</f>
        <v/>
      </c>
      <c r="V4580">
        <f>HYPERLINK("https://klasma.github.io/Logging_2031/klagomål/A 46389-2025 FSC-klagomål.docx", "A 46389-2025")</f>
        <v/>
      </c>
      <c r="W4580">
        <f>HYPERLINK("https://klasma.github.io/Logging_2031/klagomålsmail/A 46389-2025 FSC-klagomål mail.docx", "A 46389-2025")</f>
        <v/>
      </c>
      <c r="X4580">
        <f>HYPERLINK("https://klasma.github.io/Logging_2031/tillsyn/A 46389-2025 tillsynsbegäran.docx", "A 46389-2025")</f>
        <v/>
      </c>
      <c r="Y4580">
        <f>HYPERLINK("https://klasma.github.io/Logging_2031/tillsynsmail/A 46389-2025 tillsynsbegäran mail.docx", "A 46389-2025")</f>
        <v/>
      </c>
    </row>
    <row r="4581" ht="15" customHeight="1">
      <c r="A4581" t="inlineStr">
        <is>
          <t>A 9211-2024</t>
        </is>
      </c>
      <c r="B4581" s="1" t="n">
        <v>45358.49988425926</v>
      </c>
      <c r="C4581" s="1" t="n">
        <v>46114</v>
      </c>
      <c r="D4581" t="inlineStr">
        <is>
          <t>DALARNAS LÄN</t>
        </is>
      </c>
      <c r="E4581" t="inlineStr">
        <is>
          <t>RÄTTVIK</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46394-2025</t>
        </is>
      </c>
      <c r="B4582" s="1" t="n">
        <v>45925.54701388889</v>
      </c>
      <c r="C4582" s="1" t="n">
        <v>46114</v>
      </c>
      <c r="D4582" t="inlineStr">
        <is>
          <t>DALARNAS LÄN</t>
        </is>
      </c>
      <c r="E4582" t="inlineStr">
        <is>
          <t>RÄTTVIK</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9295-2024</t>
        </is>
      </c>
      <c r="B4583" s="1" t="n">
        <v>45358</v>
      </c>
      <c r="C4583" s="1" t="n">
        <v>46114</v>
      </c>
      <c r="D4583" t="inlineStr">
        <is>
          <t>DALARNAS LÄN</t>
        </is>
      </c>
      <c r="E4583" t="inlineStr">
        <is>
          <t>BORLÄNGE</t>
        </is>
      </c>
      <c r="F4583" t="inlineStr">
        <is>
          <t>Kommuner</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40360-2023</t>
        </is>
      </c>
      <c r="B4584" s="1" t="n">
        <v>45169.66387731482</v>
      </c>
      <c r="C4584" s="1" t="n">
        <v>46114</v>
      </c>
      <c r="D4584" t="inlineStr">
        <is>
          <t>DALARNAS LÄN</t>
        </is>
      </c>
      <c r="E4584" t="inlineStr">
        <is>
          <t>VANSBRO</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46246-2025</t>
        </is>
      </c>
      <c r="B4585" s="1" t="n">
        <v>45925.32719907408</v>
      </c>
      <c r="C4585" s="1" t="n">
        <v>46114</v>
      </c>
      <c r="D4585" t="inlineStr">
        <is>
          <t>DALARNAS LÄN</t>
        </is>
      </c>
      <c r="E4585" t="inlineStr">
        <is>
          <t>RÄTTVIK</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29420-2023</t>
        </is>
      </c>
      <c r="B4586" s="1" t="n">
        <v>45106.47424768518</v>
      </c>
      <c r="C4586" s="1" t="n">
        <v>46114</v>
      </c>
      <c r="D4586" t="inlineStr">
        <is>
          <t>DALARNAS LÄN</t>
        </is>
      </c>
      <c r="E4586" t="inlineStr">
        <is>
          <t>SMEDJEBACKEN</t>
        </is>
      </c>
      <c r="G4586" t="n">
        <v>1.6</v>
      </c>
      <c r="H4586" t="n">
        <v>0</v>
      </c>
      <c r="I4586" t="n">
        <v>0</v>
      </c>
      <c r="J4586" t="n">
        <v>0</v>
      </c>
      <c r="K4586" t="n">
        <v>0</v>
      </c>
      <c r="L4586" t="n">
        <v>0</v>
      </c>
      <c r="M4586" t="n">
        <v>0</v>
      </c>
      <c r="N4586" t="n">
        <v>0</v>
      </c>
      <c r="O4586" t="n">
        <v>0</v>
      </c>
      <c r="P4586" t="n">
        <v>0</v>
      </c>
      <c r="Q4586" t="n">
        <v>0</v>
      </c>
      <c r="R4586" s="2" t="inlineStr"/>
    </row>
    <row r="4587" ht="15" customHeight="1">
      <c r="A4587" t="inlineStr">
        <is>
          <t>A 46646-2025</t>
        </is>
      </c>
      <c r="B4587" s="1" t="n">
        <v>45926.47548611111</v>
      </c>
      <c r="C4587" s="1" t="n">
        <v>46114</v>
      </c>
      <c r="D4587" t="inlineStr">
        <is>
          <t>DALARNAS LÄN</t>
        </is>
      </c>
      <c r="E4587" t="inlineStr">
        <is>
          <t>RÄTTVIK</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46834-2025</t>
        </is>
      </c>
      <c r="B4588" s="1" t="n">
        <v>45927.73971064815</v>
      </c>
      <c r="C4588" s="1" t="n">
        <v>46114</v>
      </c>
      <c r="D4588" t="inlineStr">
        <is>
          <t>DALARNAS LÄN</t>
        </is>
      </c>
      <c r="E4588" t="inlineStr">
        <is>
          <t>FALUN</t>
        </is>
      </c>
      <c r="G4588" t="n">
        <v>8.5</v>
      </c>
      <c r="H4588" t="n">
        <v>0</v>
      </c>
      <c r="I4588" t="n">
        <v>0</v>
      </c>
      <c r="J4588" t="n">
        <v>0</v>
      </c>
      <c r="K4588" t="n">
        <v>0</v>
      </c>
      <c r="L4588" t="n">
        <v>0</v>
      </c>
      <c r="M4588" t="n">
        <v>0</v>
      </c>
      <c r="N4588" t="n">
        <v>0</v>
      </c>
      <c r="O4588" t="n">
        <v>0</v>
      </c>
      <c r="P4588" t="n">
        <v>0</v>
      </c>
      <c r="Q4588" t="n">
        <v>0</v>
      </c>
      <c r="R4588" s="2" t="inlineStr"/>
    </row>
    <row r="4589" ht="15" customHeight="1">
      <c r="A4589" t="inlineStr">
        <is>
          <t>A 46891-2025</t>
        </is>
      </c>
      <c r="B4589" s="1" t="n">
        <v>45929.37491898148</v>
      </c>
      <c r="C4589" s="1" t="n">
        <v>46114</v>
      </c>
      <c r="D4589" t="inlineStr">
        <is>
          <t>DALARNAS LÄN</t>
        </is>
      </c>
      <c r="E4589" t="inlineStr">
        <is>
          <t>SÄTER</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47018-2025</t>
        </is>
      </c>
      <c r="B4590" s="1" t="n">
        <v>45929.57569444444</v>
      </c>
      <c r="C4590" s="1" t="n">
        <v>46114</v>
      </c>
      <c r="D4590" t="inlineStr">
        <is>
          <t>DALARNAS LÄN</t>
        </is>
      </c>
      <c r="E4590" t="inlineStr">
        <is>
          <t>ÄLVDALEN</t>
        </is>
      </c>
      <c r="F4590" t="inlineStr">
        <is>
          <t>Allmännings- och besparingsskogar</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60-2023</t>
        </is>
      </c>
      <c r="B4591" s="1" t="n">
        <v>44928.42864583333</v>
      </c>
      <c r="C4591" s="1" t="n">
        <v>46114</v>
      </c>
      <c r="D4591" t="inlineStr">
        <is>
          <t>DALARNAS LÄN</t>
        </is>
      </c>
      <c r="E4591" t="inlineStr">
        <is>
          <t>RÄTTVIK</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31126-2021</t>
        </is>
      </c>
      <c r="B4592" s="1" t="n">
        <v>44368</v>
      </c>
      <c r="C4592" s="1" t="n">
        <v>46114</v>
      </c>
      <c r="D4592" t="inlineStr">
        <is>
          <t>DALARNAS LÄN</t>
        </is>
      </c>
      <c r="E4592" t="inlineStr">
        <is>
          <t>AVESTA</t>
        </is>
      </c>
      <c r="G4592" t="n">
        <v>6.3</v>
      </c>
      <c r="H4592" t="n">
        <v>0</v>
      </c>
      <c r="I4592" t="n">
        <v>0</v>
      </c>
      <c r="J4592" t="n">
        <v>0</v>
      </c>
      <c r="K4592" t="n">
        <v>0</v>
      </c>
      <c r="L4592" t="n">
        <v>0</v>
      </c>
      <c r="M4592" t="n">
        <v>0</v>
      </c>
      <c r="N4592" t="n">
        <v>0</v>
      </c>
      <c r="O4592" t="n">
        <v>0</v>
      </c>
      <c r="P4592" t="n">
        <v>0</v>
      </c>
      <c r="Q4592" t="n">
        <v>0</v>
      </c>
      <c r="R4592" s="2" t="inlineStr"/>
    </row>
    <row r="4593" ht="15" customHeight="1">
      <c r="A4593" t="inlineStr">
        <is>
          <t>A 41664-2022</t>
        </is>
      </c>
      <c r="B4593" s="1" t="n">
        <v>44827</v>
      </c>
      <c r="C4593" s="1" t="n">
        <v>46114</v>
      </c>
      <c r="D4593" t="inlineStr">
        <is>
          <t>DALARNAS LÄN</t>
        </is>
      </c>
      <c r="E4593" t="inlineStr">
        <is>
          <t>FALUN</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46638-2025</t>
        </is>
      </c>
      <c r="B4594" s="1" t="n">
        <v>45926.4656712963</v>
      </c>
      <c r="C4594" s="1" t="n">
        <v>46114</v>
      </c>
      <c r="D4594" t="inlineStr">
        <is>
          <t>DALARNAS LÄN</t>
        </is>
      </c>
      <c r="E4594" t="inlineStr">
        <is>
          <t>MALUNG-SÄLEN</t>
        </is>
      </c>
      <c r="G4594" t="n">
        <v>8.9</v>
      </c>
      <c r="H4594" t="n">
        <v>0</v>
      </c>
      <c r="I4594" t="n">
        <v>0</v>
      </c>
      <c r="J4594" t="n">
        <v>0</v>
      </c>
      <c r="K4594" t="n">
        <v>0</v>
      </c>
      <c r="L4594" t="n">
        <v>0</v>
      </c>
      <c r="M4594" t="n">
        <v>0</v>
      </c>
      <c r="N4594" t="n">
        <v>0</v>
      </c>
      <c r="O4594" t="n">
        <v>0</v>
      </c>
      <c r="P4594" t="n">
        <v>0</v>
      </c>
      <c r="Q4594" t="n">
        <v>0</v>
      </c>
      <c r="R4594" s="2" t="inlineStr"/>
    </row>
    <row r="4595" ht="15" customHeight="1">
      <c r="A4595" t="inlineStr">
        <is>
          <t>A 35943-2024</t>
        </is>
      </c>
      <c r="B4595" s="1" t="n">
        <v>45533.45655092593</v>
      </c>
      <c r="C4595" s="1" t="n">
        <v>46114</v>
      </c>
      <c r="D4595" t="inlineStr">
        <is>
          <t>DALARNAS LÄN</t>
        </is>
      </c>
      <c r="E4595" t="inlineStr">
        <is>
          <t>VANSBRO</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46557-2025</t>
        </is>
      </c>
      <c r="B4596" s="1" t="n">
        <v>45926.32371527778</v>
      </c>
      <c r="C4596" s="1" t="n">
        <v>46114</v>
      </c>
      <c r="D4596" t="inlineStr">
        <is>
          <t>DALARNAS LÄN</t>
        </is>
      </c>
      <c r="E4596" t="inlineStr">
        <is>
          <t>MALUNG-SÄLEN</t>
        </is>
      </c>
      <c r="F4596" t="inlineStr">
        <is>
          <t>Övriga statliga verk och myndigheter</t>
        </is>
      </c>
      <c r="G4596" t="n">
        <v>3.6</v>
      </c>
      <c r="H4596" t="n">
        <v>0</v>
      </c>
      <c r="I4596" t="n">
        <v>0</v>
      </c>
      <c r="J4596" t="n">
        <v>0</v>
      </c>
      <c r="K4596" t="n">
        <v>0</v>
      </c>
      <c r="L4596" t="n">
        <v>0</v>
      </c>
      <c r="M4596" t="n">
        <v>0</v>
      </c>
      <c r="N4596" t="n">
        <v>0</v>
      </c>
      <c r="O4596" t="n">
        <v>0</v>
      </c>
      <c r="P4596" t="n">
        <v>0</v>
      </c>
      <c r="Q4596" t="n">
        <v>0</v>
      </c>
      <c r="R4596" s="2" t="inlineStr"/>
    </row>
    <row r="4597" ht="15" customHeight="1">
      <c r="A4597" t="inlineStr">
        <is>
          <t>A 46582-2025</t>
        </is>
      </c>
      <c r="B4597" s="1" t="n">
        <v>45926.37971064815</v>
      </c>
      <c r="C4597" s="1" t="n">
        <v>46114</v>
      </c>
      <c r="D4597" t="inlineStr">
        <is>
          <t>DALARNAS LÄN</t>
        </is>
      </c>
      <c r="E4597" t="inlineStr">
        <is>
          <t>ÄLVDALEN</t>
        </is>
      </c>
      <c r="F4597" t="inlineStr">
        <is>
          <t>Allmännings- och besparingsskogar</t>
        </is>
      </c>
      <c r="G4597" t="n">
        <v>20.7</v>
      </c>
      <c r="H4597" t="n">
        <v>0</v>
      </c>
      <c r="I4597" t="n">
        <v>0</v>
      </c>
      <c r="J4597" t="n">
        <v>0</v>
      </c>
      <c r="K4597" t="n">
        <v>0</v>
      </c>
      <c r="L4597" t="n">
        <v>0</v>
      </c>
      <c r="M4597" t="n">
        <v>0</v>
      </c>
      <c r="N4597" t="n">
        <v>0</v>
      </c>
      <c r="O4597" t="n">
        <v>0</v>
      </c>
      <c r="P4597" t="n">
        <v>0</v>
      </c>
      <c r="Q4597" t="n">
        <v>0</v>
      </c>
      <c r="R4597" s="2" t="inlineStr"/>
    </row>
    <row r="4598" ht="15" customHeight="1">
      <c r="A4598" t="inlineStr">
        <is>
          <t>A 918-2024</t>
        </is>
      </c>
      <c r="B4598" s="1" t="n">
        <v>45301</v>
      </c>
      <c r="C4598" s="1" t="n">
        <v>46114</v>
      </c>
      <c r="D4598" t="inlineStr">
        <is>
          <t>DALARNAS LÄN</t>
        </is>
      </c>
      <c r="E4598" t="inlineStr">
        <is>
          <t>LUDVIKA</t>
        </is>
      </c>
      <c r="G4598" t="n">
        <v>6</v>
      </c>
      <c r="H4598" t="n">
        <v>0</v>
      </c>
      <c r="I4598" t="n">
        <v>0</v>
      </c>
      <c r="J4598" t="n">
        <v>0</v>
      </c>
      <c r="K4598" t="n">
        <v>0</v>
      </c>
      <c r="L4598" t="n">
        <v>0</v>
      </c>
      <c r="M4598" t="n">
        <v>0</v>
      </c>
      <c r="N4598" t="n">
        <v>0</v>
      </c>
      <c r="O4598" t="n">
        <v>0</v>
      </c>
      <c r="P4598" t="n">
        <v>0</v>
      </c>
      <c r="Q4598" t="n">
        <v>0</v>
      </c>
      <c r="R4598" s="2" t="inlineStr"/>
    </row>
    <row r="4599" ht="15" customHeight="1">
      <c r="A4599" t="inlineStr">
        <is>
          <t>A 923-2024</t>
        </is>
      </c>
      <c r="B4599" s="1" t="n">
        <v>45301</v>
      </c>
      <c r="C4599" s="1" t="n">
        <v>46114</v>
      </c>
      <c r="D4599" t="inlineStr">
        <is>
          <t>DALARNAS LÄN</t>
        </is>
      </c>
      <c r="E4599" t="inlineStr">
        <is>
          <t>LUDVIKA</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47034-2025</t>
        </is>
      </c>
      <c r="B4600" s="1" t="n">
        <v>45929.59138888889</v>
      </c>
      <c r="C4600" s="1" t="n">
        <v>46114</v>
      </c>
      <c r="D4600" t="inlineStr">
        <is>
          <t>DALARNAS LÄN</t>
        </is>
      </c>
      <c r="E4600" t="inlineStr">
        <is>
          <t>MALUNG-SÄLEN</t>
        </is>
      </c>
      <c r="G4600" t="n">
        <v>12.1</v>
      </c>
      <c r="H4600" t="n">
        <v>0</v>
      </c>
      <c r="I4600" t="n">
        <v>0</v>
      </c>
      <c r="J4600" t="n">
        <v>0</v>
      </c>
      <c r="K4600" t="n">
        <v>0</v>
      </c>
      <c r="L4600" t="n">
        <v>0</v>
      </c>
      <c r="M4600" t="n">
        <v>0</v>
      </c>
      <c r="N4600" t="n">
        <v>0</v>
      </c>
      <c r="O4600" t="n">
        <v>0</v>
      </c>
      <c r="P4600" t="n">
        <v>0</v>
      </c>
      <c r="Q4600" t="n">
        <v>0</v>
      </c>
      <c r="R4600" s="2" t="inlineStr"/>
    </row>
    <row r="4601" ht="15" customHeight="1">
      <c r="A4601" t="inlineStr">
        <is>
          <t>A 9168-2025</t>
        </is>
      </c>
      <c r="B4601" s="1" t="n">
        <v>45713</v>
      </c>
      <c r="C4601" s="1" t="n">
        <v>46114</v>
      </c>
      <c r="D4601" t="inlineStr">
        <is>
          <t>DALARNAS LÄN</t>
        </is>
      </c>
      <c r="E4601" t="inlineStr">
        <is>
          <t>MALUNG-SÄLEN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56460-2022</t>
        </is>
      </c>
      <c r="B4602" s="1" t="n">
        <v>44893</v>
      </c>
      <c r="C4602" s="1" t="n">
        <v>46114</v>
      </c>
      <c r="D4602" t="inlineStr">
        <is>
          <t>DALARNAS LÄN</t>
        </is>
      </c>
      <c r="E4602" t="inlineStr">
        <is>
          <t>MORA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36424-2024</t>
        </is>
      </c>
      <c r="B4603" s="1" t="n">
        <v>45536.67121527778</v>
      </c>
      <c r="C4603" s="1" t="n">
        <v>46114</v>
      </c>
      <c r="D4603" t="inlineStr">
        <is>
          <t>DALARNAS LÄN</t>
        </is>
      </c>
      <c r="E4603" t="inlineStr">
        <is>
          <t>BORLÄNGE</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47026-2025</t>
        </is>
      </c>
      <c r="B4604" s="1" t="n">
        <v>45929.58412037037</v>
      </c>
      <c r="C4604" s="1" t="n">
        <v>46114</v>
      </c>
      <c r="D4604" t="inlineStr">
        <is>
          <t>DALARNAS LÄN</t>
        </is>
      </c>
      <c r="E4604" t="inlineStr">
        <is>
          <t>AVESTA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11678-2023</t>
        </is>
      </c>
      <c r="B4605" s="1" t="n">
        <v>44994</v>
      </c>
      <c r="C4605" s="1" t="n">
        <v>46114</v>
      </c>
      <c r="D4605" t="inlineStr">
        <is>
          <t>DALARNAS LÄN</t>
        </is>
      </c>
      <c r="E4605" t="inlineStr">
        <is>
          <t>LEKSAND</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46525-2025</t>
        </is>
      </c>
      <c r="B4606" s="1" t="n">
        <v>45926.3312962963</v>
      </c>
      <c r="C4606" s="1" t="n">
        <v>46114</v>
      </c>
      <c r="D4606" t="inlineStr">
        <is>
          <t>DALARNAS LÄN</t>
        </is>
      </c>
      <c r="E4606" t="inlineStr">
        <is>
          <t>MORA</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47068-2025</t>
        </is>
      </c>
      <c r="B4607" s="1" t="n">
        <v>45929.63511574074</v>
      </c>
      <c r="C4607" s="1" t="n">
        <v>46114</v>
      </c>
      <c r="D4607" t="inlineStr">
        <is>
          <t>DALARNAS LÄN</t>
        </is>
      </c>
      <c r="E4607" t="inlineStr">
        <is>
          <t>LEKSAND</t>
        </is>
      </c>
      <c r="G4607" t="n">
        <v>3.4</v>
      </c>
      <c r="H4607" t="n">
        <v>0</v>
      </c>
      <c r="I4607" t="n">
        <v>0</v>
      </c>
      <c r="J4607" t="n">
        <v>0</v>
      </c>
      <c r="K4607" t="n">
        <v>0</v>
      </c>
      <c r="L4607" t="n">
        <v>0</v>
      </c>
      <c r="M4607" t="n">
        <v>0</v>
      </c>
      <c r="N4607" t="n">
        <v>0</v>
      </c>
      <c r="O4607" t="n">
        <v>0</v>
      </c>
      <c r="P4607" t="n">
        <v>0</v>
      </c>
      <c r="Q4607" t="n">
        <v>0</v>
      </c>
      <c r="R4607" s="2" t="inlineStr"/>
    </row>
    <row r="4608" ht="15" customHeight="1">
      <c r="A4608" t="inlineStr">
        <is>
          <t>A 46882-2025</t>
        </is>
      </c>
      <c r="B4608" s="1" t="n">
        <v>45929.36357638889</v>
      </c>
      <c r="C4608" s="1" t="n">
        <v>46114</v>
      </c>
      <c r="D4608" t="inlineStr">
        <is>
          <t>DALARNAS LÄN</t>
        </is>
      </c>
      <c r="E4608" t="inlineStr">
        <is>
          <t>ÄLVDALEN</t>
        </is>
      </c>
      <c r="F4608" t="inlineStr">
        <is>
          <t>Allmännings- och besparingsskogar</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39710-2021</t>
        </is>
      </c>
      <c r="B4609" s="1" t="n">
        <v>44417</v>
      </c>
      <c r="C4609" s="1" t="n">
        <v>46114</v>
      </c>
      <c r="D4609" t="inlineStr">
        <is>
          <t>DALARNAS LÄN</t>
        </is>
      </c>
      <c r="E4609" t="inlineStr">
        <is>
          <t>FALUN</t>
        </is>
      </c>
      <c r="G4609" t="n">
        <v>0.1</v>
      </c>
      <c r="H4609" t="n">
        <v>0</v>
      </c>
      <c r="I4609" t="n">
        <v>0</v>
      </c>
      <c r="J4609" t="n">
        <v>0</v>
      </c>
      <c r="K4609" t="n">
        <v>0</v>
      </c>
      <c r="L4609" t="n">
        <v>0</v>
      </c>
      <c r="M4609" t="n">
        <v>0</v>
      </c>
      <c r="N4609" t="n">
        <v>0</v>
      </c>
      <c r="O4609" t="n">
        <v>0</v>
      </c>
      <c r="P4609" t="n">
        <v>0</v>
      </c>
      <c r="Q4609" t="n">
        <v>0</v>
      </c>
      <c r="R4609" s="2" t="inlineStr"/>
    </row>
    <row r="4610" ht="15" customHeight="1">
      <c r="A4610" t="inlineStr">
        <is>
          <t>A 51859-2023</t>
        </is>
      </c>
      <c r="B4610" s="1" t="n">
        <v>45223.35689814815</v>
      </c>
      <c r="C4610" s="1" t="n">
        <v>46114</v>
      </c>
      <c r="D4610" t="inlineStr">
        <is>
          <t>DALARNAS LÄN</t>
        </is>
      </c>
      <c r="E4610" t="inlineStr">
        <is>
          <t>BORLÄNGE</t>
        </is>
      </c>
      <c r="G4610" t="n">
        <v>0.3</v>
      </c>
      <c r="H4610" t="n">
        <v>0</v>
      </c>
      <c r="I4610" t="n">
        <v>0</v>
      </c>
      <c r="J4610" t="n">
        <v>0</v>
      </c>
      <c r="K4610" t="n">
        <v>0</v>
      </c>
      <c r="L4610" t="n">
        <v>0</v>
      </c>
      <c r="M4610" t="n">
        <v>0</v>
      </c>
      <c r="N4610" t="n">
        <v>0</v>
      </c>
      <c r="O4610" t="n">
        <v>0</v>
      </c>
      <c r="P4610" t="n">
        <v>0</v>
      </c>
      <c r="Q4610" t="n">
        <v>0</v>
      </c>
      <c r="R4610" s="2" t="inlineStr"/>
    </row>
    <row r="4611" ht="15" customHeight="1">
      <c r="A4611" t="inlineStr">
        <is>
          <t>A 51862-2023</t>
        </is>
      </c>
      <c r="B4611" s="1" t="n">
        <v>45223</v>
      </c>
      <c r="C4611" s="1" t="n">
        <v>46114</v>
      </c>
      <c r="D4611" t="inlineStr">
        <is>
          <t>DALARNAS LÄN</t>
        </is>
      </c>
      <c r="E4611" t="inlineStr">
        <is>
          <t>BORLÄNGE</t>
        </is>
      </c>
      <c r="F4611" t="inlineStr">
        <is>
          <t>Övriga statliga verk och myndigheter</t>
        </is>
      </c>
      <c r="G4611" t="n">
        <v>1</v>
      </c>
      <c r="H4611" t="n">
        <v>0</v>
      </c>
      <c r="I4611" t="n">
        <v>0</v>
      </c>
      <c r="J4611" t="n">
        <v>0</v>
      </c>
      <c r="K4611" t="n">
        <v>0</v>
      </c>
      <c r="L4611" t="n">
        <v>0</v>
      </c>
      <c r="M4611" t="n">
        <v>0</v>
      </c>
      <c r="N4611" t="n">
        <v>0</v>
      </c>
      <c r="O4611" t="n">
        <v>0</v>
      </c>
      <c r="P4611" t="n">
        <v>0</v>
      </c>
      <c r="Q4611" t="n">
        <v>0</v>
      </c>
      <c r="R4611" s="2" t="inlineStr"/>
    </row>
    <row r="4612" ht="15" customHeight="1">
      <c r="A4612" t="inlineStr">
        <is>
          <t>A 47058-2025</t>
        </is>
      </c>
      <c r="B4612" s="1" t="n">
        <v>45929.62607638889</v>
      </c>
      <c r="C4612" s="1" t="n">
        <v>46114</v>
      </c>
      <c r="D4612" t="inlineStr">
        <is>
          <t>DALARNAS LÄN</t>
        </is>
      </c>
      <c r="E4612" t="inlineStr">
        <is>
          <t>MALUNG-SÄLEN</t>
        </is>
      </c>
      <c r="G4612" t="n">
        <v>12.5</v>
      </c>
      <c r="H4612" t="n">
        <v>0</v>
      </c>
      <c r="I4612" t="n">
        <v>0</v>
      </c>
      <c r="J4612" t="n">
        <v>0</v>
      </c>
      <c r="K4612" t="n">
        <v>0</v>
      </c>
      <c r="L4612" t="n">
        <v>0</v>
      </c>
      <c r="M4612" t="n">
        <v>0</v>
      </c>
      <c r="N4612" t="n">
        <v>0</v>
      </c>
      <c r="O4612" t="n">
        <v>0</v>
      </c>
      <c r="P4612" t="n">
        <v>0</v>
      </c>
      <c r="Q4612" t="n">
        <v>0</v>
      </c>
      <c r="R4612" s="2" t="inlineStr"/>
    </row>
    <row r="4613" ht="15" customHeight="1">
      <c r="A4613" t="inlineStr">
        <is>
          <t>A 13580-2025</t>
        </is>
      </c>
      <c r="B4613" s="1" t="n">
        <v>45736.58362268518</v>
      </c>
      <c r="C4613" s="1" t="n">
        <v>46114</v>
      </c>
      <c r="D4613" t="inlineStr">
        <is>
          <t>DALARNAS LÄN</t>
        </is>
      </c>
      <c r="E4613" t="inlineStr">
        <is>
          <t>ORSA</t>
        </is>
      </c>
      <c r="F4613" t="inlineStr">
        <is>
          <t>Bergvik skog öst AB</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437-2024</t>
        </is>
      </c>
      <c r="B4614" s="1" t="n">
        <v>45296</v>
      </c>
      <c r="C4614" s="1" t="n">
        <v>46114</v>
      </c>
      <c r="D4614" t="inlineStr">
        <is>
          <t>DALARNAS LÄN</t>
        </is>
      </c>
      <c r="E4614" t="inlineStr">
        <is>
          <t>MORA</t>
        </is>
      </c>
      <c r="G4614" t="n">
        <v>1.6</v>
      </c>
      <c r="H4614" t="n">
        <v>0</v>
      </c>
      <c r="I4614" t="n">
        <v>0</v>
      </c>
      <c r="J4614" t="n">
        <v>0</v>
      </c>
      <c r="K4614" t="n">
        <v>0</v>
      </c>
      <c r="L4614" t="n">
        <v>0</v>
      </c>
      <c r="M4614" t="n">
        <v>0</v>
      </c>
      <c r="N4614" t="n">
        <v>0</v>
      </c>
      <c r="O4614" t="n">
        <v>0</v>
      </c>
      <c r="P4614" t="n">
        <v>0</v>
      </c>
      <c r="Q4614" t="n">
        <v>0</v>
      </c>
      <c r="R4614" s="2" t="inlineStr"/>
    </row>
    <row r="4615" ht="15" customHeight="1">
      <c r="A4615" t="inlineStr">
        <is>
          <t>A 478-2024</t>
        </is>
      </c>
      <c r="B4615" s="1" t="n">
        <v>45297</v>
      </c>
      <c r="C4615" s="1" t="n">
        <v>46114</v>
      </c>
      <c r="D4615" t="inlineStr">
        <is>
          <t>DALARNAS LÄN</t>
        </is>
      </c>
      <c r="E4615" t="inlineStr">
        <is>
          <t>LUDVIKA</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47001-2025</t>
        </is>
      </c>
      <c r="B4616" s="1" t="n">
        <v>45929.55321759259</v>
      </c>
      <c r="C4616" s="1" t="n">
        <v>46114</v>
      </c>
      <c r="D4616" t="inlineStr">
        <is>
          <t>DALARNAS LÄN</t>
        </is>
      </c>
      <c r="E4616" t="inlineStr">
        <is>
          <t>BORLÄNGE</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47006-2025</t>
        </is>
      </c>
      <c r="B4617" s="1" t="n">
        <v>45929.56319444445</v>
      </c>
      <c r="C4617" s="1" t="n">
        <v>46114</v>
      </c>
      <c r="D4617" t="inlineStr">
        <is>
          <t>DALARNAS LÄN</t>
        </is>
      </c>
      <c r="E4617" t="inlineStr">
        <is>
          <t>BORLÄNGE</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52418-2024</t>
        </is>
      </c>
      <c r="B4618" s="1" t="n">
        <v>45609.46230324074</v>
      </c>
      <c r="C4618" s="1" t="n">
        <v>46114</v>
      </c>
      <c r="D4618" t="inlineStr">
        <is>
          <t>DALARNAS LÄN</t>
        </is>
      </c>
      <c r="E4618" t="inlineStr">
        <is>
          <t>GAGNEF</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46949-2025</t>
        </is>
      </c>
      <c r="B4619" s="1" t="n">
        <v>45929.46811342592</v>
      </c>
      <c r="C4619" s="1" t="n">
        <v>46114</v>
      </c>
      <c r="D4619" t="inlineStr">
        <is>
          <t>DALARNAS LÄN</t>
        </is>
      </c>
      <c r="E4619" t="inlineStr">
        <is>
          <t>LEKSAND</t>
        </is>
      </c>
      <c r="G4619" t="n">
        <v>5</v>
      </c>
      <c r="H4619" t="n">
        <v>0</v>
      </c>
      <c r="I4619" t="n">
        <v>0</v>
      </c>
      <c r="J4619" t="n">
        <v>0</v>
      </c>
      <c r="K4619" t="n">
        <v>0</v>
      </c>
      <c r="L4619" t="n">
        <v>0</v>
      </c>
      <c r="M4619" t="n">
        <v>0</v>
      </c>
      <c r="N4619" t="n">
        <v>0</v>
      </c>
      <c r="O4619" t="n">
        <v>0</v>
      </c>
      <c r="P4619" t="n">
        <v>0</v>
      </c>
      <c r="Q4619" t="n">
        <v>0</v>
      </c>
      <c r="R4619" s="2" t="inlineStr"/>
    </row>
    <row r="4620" ht="15" customHeight="1">
      <c r="A4620" t="inlineStr">
        <is>
          <t>A 5063-2025</t>
        </is>
      </c>
      <c r="B4620" s="1" t="n">
        <v>45691.47466435185</v>
      </c>
      <c r="C4620" s="1" t="n">
        <v>46114</v>
      </c>
      <c r="D4620" t="inlineStr">
        <is>
          <t>DALARNAS LÄN</t>
        </is>
      </c>
      <c r="E4620" t="inlineStr">
        <is>
          <t>ÄLVDALEN</t>
        </is>
      </c>
      <c r="F4620" t="inlineStr">
        <is>
          <t>Bergvik skog väst AB</t>
        </is>
      </c>
      <c r="G4620" t="n">
        <v>2.8</v>
      </c>
      <c r="H4620" t="n">
        <v>0</v>
      </c>
      <c r="I4620" t="n">
        <v>0</v>
      </c>
      <c r="J4620" t="n">
        <v>0</v>
      </c>
      <c r="K4620" t="n">
        <v>0</v>
      </c>
      <c r="L4620" t="n">
        <v>0</v>
      </c>
      <c r="M4620" t="n">
        <v>0</v>
      </c>
      <c r="N4620" t="n">
        <v>0</v>
      </c>
      <c r="O4620" t="n">
        <v>0</v>
      </c>
      <c r="P4620" t="n">
        <v>0</v>
      </c>
      <c r="Q4620" t="n">
        <v>0</v>
      </c>
      <c r="R4620" s="2" t="inlineStr"/>
    </row>
    <row r="4621" ht="15" customHeight="1">
      <c r="A4621" t="inlineStr">
        <is>
          <t>A 39666-2024</t>
        </is>
      </c>
      <c r="B4621" s="1" t="n">
        <v>45552</v>
      </c>
      <c r="C4621" s="1" t="n">
        <v>46114</v>
      </c>
      <c r="D4621" t="inlineStr">
        <is>
          <t>DALARNAS LÄN</t>
        </is>
      </c>
      <c r="E4621" t="inlineStr">
        <is>
          <t>FALUN</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16901-2024</t>
        </is>
      </c>
      <c r="B4622" s="1" t="n">
        <v>45411.62793981482</v>
      </c>
      <c r="C4622" s="1" t="n">
        <v>46114</v>
      </c>
      <c r="D4622" t="inlineStr">
        <is>
          <t>DALARNAS LÄN</t>
        </is>
      </c>
      <c r="E4622" t="inlineStr">
        <is>
          <t>SÄTER</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777-2025</t>
        </is>
      </c>
      <c r="B4623" s="1" t="n">
        <v>45665.47403935185</v>
      </c>
      <c r="C4623" s="1" t="n">
        <v>46114</v>
      </c>
      <c r="D4623" t="inlineStr">
        <is>
          <t>DALARNAS LÄN</t>
        </is>
      </c>
      <c r="E4623" t="inlineStr">
        <is>
          <t>ÄLVDALEN</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46537-2025</t>
        </is>
      </c>
      <c r="B4624" s="1" t="n">
        <v>45926.34195601852</v>
      </c>
      <c r="C4624" s="1" t="n">
        <v>46114</v>
      </c>
      <c r="D4624" t="inlineStr">
        <is>
          <t>DALARNAS LÄN</t>
        </is>
      </c>
      <c r="E4624" t="inlineStr">
        <is>
          <t>MORA</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46538-2025</t>
        </is>
      </c>
      <c r="B4625" s="1" t="n">
        <v>45926.34296296296</v>
      </c>
      <c r="C4625" s="1" t="n">
        <v>46114</v>
      </c>
      <c r="D4625" t="inlineStr">
        <is>
          <t>DALARNAS LÄN</t>
        </is>
      </c>
      <c r="E4625" t="inlineStr">
        <is>
          <t>FALUN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12231-2025</t>
        </is>
      </c>
      <c r="B4626" s="1" t="n">
        <v>45729.57234953704</v>
      </c>
      <c r="C4626" s="1" t="n">
        <v>46114</v>
      </c>
      <c r="D4626" t="inlineStr">
        <is>
          <t>DALARNAS LÄN</t>
        </is>
      </c>
      <c r="E4626" t="inlineStr">
        <is>
          <t>AVESTA</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46598-2025</t>
        </is>
      </c>
      <c r="B4627" s="1" t="n">
        <v>45926</v>
      </c>
      <c r="C4627" s="1" t="n">
        <v>46114</v>
      </c>
      <c r="D4627" t="inlineStr">
        <is>
          <t>DALARNAS LÄN</t>
        </is>
      </c>
      <c r="E4627" t="inlineStr">
        <is>
          <t>LUDVIKA</t>
        </is>
      </c>
      <c r="F4627" t="inlineStr">
        <is>
          <t>Bergvik skog väst AB</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12318-2025</t>
        </is>
      </c>
      <c r="B4628" s="1" t="n">
        <v>45729.87777777778</v>
      </c>
      <c r="C4628" s="1" t="n">
        <v>46114</v>
      </c>
      <c r="D4628" t="inlineStr">
        <is>
          <t>DALARNAS LÄN</t>
        </is>
      </c>
      <c r="E4628" t="inlineStr">
        <is>
          <t>ÄLVDALEN</t>
        </is>
      </c>
      <c r="G4628" t="n">
        <v>3.3</v>
      </c>
      <c r="H4628" t="n">
        <v>0</v>
      </c>
      <c r="I4628" t="n">
        <v>0</v>
      </c>
      <c r="J4628" t="n">
        <v>0</v>
      </c>
      <c r="K4628" t="n">
        <v>0</v>
      </c>
      <c r="L4628" t="n">
        <v>0</v>
      </c>
      <c r="M4628" t="n">
        <v>0</v>
      </c>
      <c r="N4628" t="n">
        <v>0</v>
      </c>
      <c r="O4628" t="n">
        <v>0</v>
      </c>
      <c r="P4628" t="n">
        <v>0</v>
      </c>
      <c r="Q4628" t="n">
        <v>0</v>
      </c>
      <c r="R4628" s="2" t="inlineStr"/>
    </row>
    <row r="4629" ht="15" customHeight="1">
      <c r="A4629" t="inlineStr">
        <is>
          <t>A 43005-2022</t>
        </is>
      </c>
      <c r="B4629" s="1" t="n">
        <v>44833.50582175926</v>
      </c>
      <c r="C4629" s="1" t="n">
        <v>46114</v>
      </c>
      <c r="D4629" t="inlineStr">
        <is>
          <t>DALARNAS LÄN</t>
        </is>
      </c>
      <c r="E4629" t="inlineStr">
        <is>
          <t>FALUN</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46603-2025</t>
        </is>
      </c>
      <c r="B4630" s="1" t="n">
        <v>45926</v>
      </c>
      <c r="C4630" s="1" t="n">
        <v>46114</v>
      </c>
      <c r="D4630" t="inlineStr">
        <is>
          <t>DALARNAS LÄN</t>
        </is>
      </c>
      <c r="E4630" t="inlineStr">
        <is>
          <t>LUDVIKA</t>
        </is>
      </c>
      <c r="F4630" t="inlineStr">
        <is>
          <t>Bergvik skog väst AB</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812-2025</t>
        </is>
      </c>
      <c r="B4631" s="1" t="n">
        <v>45665.55768518519</v>
      </c>
      <c r="C4631" s="1" t="n">
        <v>46114</v>
      </c>
      <c r="D4631" t="inlineStr">
        <is>
          <t>DALARNAS LÄN</t>
        </is>
      </c>
      <c r="E4631" t="inlineStr">
        <is>
          <t>GAGNEF</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47140-2025</t>
        </is>
      </c>
      <c r="B4632" s="1" t="n">
        <v>45929</v>
      </c>
      <c r="C4632" s="1" t="n">
        <v>46114</v>
      </c>
      <c r="D4632" t="inlineStr">
        <is>
          <t>DALARNAS LÄN</t>
        </is>
      </c>
      <c r="E4632" t="inlineStr">
        <is>
          <t>MORA</t>
        </is>
      </c>
      <c r="G4632" t="n">
        <v>6.7</v>
      </c>
      <c r="H4632" t="n">
        <v>0</v>
      </c>
      <c r="I4632" t="n">
        <v>0</v>
      </c>
      <c r="J4632" t="n">
        <v>0</v>
      </c>
      <c r="K4632" t="n">
        <v>0</v>
      </c>
      <c r="L4632" t="n">
        <v>0</v>
      </c>
      <c r="M4632" t="n">
        <v>0</v>
      </c>
      <c r="N4632" t="n">
        <v>0</v>
      </c>
      <c r="O4632" t="n">
        <v>0</v>
      </c>
      <c r="P4632" t="n">
        <v>0</v>
      </c>
      <c r="Q4632" t="n">
        <v>0</v>
      </c>
      <c r="R4632" s="2" t="inlineStr"/>
    </row>
    <row r="4633" ht="15" customHeight="1">
      <c r="A4633" t="inlineStr">
        <is>
          <t>A 46517-2025</t>
        </is>
      </c>
      <c r="B4633" s="1" t="n">
        <v>45926</v>
      </c>
      <c r="C4633" s="1" t="n">
        <v>46114</v>
      </c>
      <c r="D4633" t="inlineStr">
        <is>
          <t>DALARNAS LÄN</t>
        </is>
      </c>
      <c r="E4633" t="inlineStr">
        <is>
          <t>LUDVIKA</t>
        </is>
      </c>
      <c r="F4633" t="inlineStr">
        <is>
          <t>Bergvik skog väst AB</t>
        </is>
      </c>
      <c r="G4633" t="n">
        <v>2.4</v>
      </c>
      <c r="H4633" t="n">
        <v>0</v>
      </c>
      <c r="I4633" t="n">
        <v>0</v>
      </c>
      <c r="J4633" t="n">
        <v>0</v>
      </c>
      <c r="K4633" t="n">
        <v>0</v>
      </c>
      <c r="L4633" t="n">
        <v>0</v>
      </c>
      <c r="M4633" t="n">
        <v>0</v>
      </c>
      <c r="N4633" t="n">
        <v>0</v>
      </c>
      <c r="O4633" t="n">
        <v>0</v>
      </c>
      <c r="P4633" t="n">
        <v>0</v>
      </c>
      <c r="Q4633" t="n">
        <v>0</v>
      </c>
      <c r="R4633" s="2" t="inlineStr"/>
    </row>
    <row r="4634" ht="15" customHeight="1">
      <c r="A4634" t="inlineStr">
        <is>
          <t>A 8755-2023</t>
        </is>
      </c>
      <c r="B4634" s="1" t="n">
        <v>44978</v>
      </c>
      <c r="C4634" s="1" t="n">
        <v>46114</v>
      </c>
      <c r="D4634" t="inlineStr">
        <is>
          <t>DALARNAS LÄN</t>
        </is>
      </c>
      <c r="E4634" t="inlineStr">
        <is>
          <t>LEKSAND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6189-2023</t>
        </is>
      </c>
      <c r="B4635" s="1" t="n">
        <v>44964.72545138889</v>
      </c>
      <c r="C4635" s="1" t="n">
        <v>46114</v>
      </c>
      <c r="D4635" t="inlineStr">
        <is>
          <t>DALARNAS LÄN</t>
        </is>
      </c>
      <c r="E4635" t="inlineStr">
        <is>
          <t>RÄTTVIK</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47055-2025</t>
        </is>
      </c>
      <c r="B4636" s="1" t="n">
        <v>45929.61931712963</v>
      </c>
      <c r="C4636" s="1" t="n">
        <v>46114</v>
      </c>
      <c r="D4636" t="inlineStr">
        <is>
          <t>DALARNAS LÄN</t>
        </is>
      </c>
      <c r="E4636" t="inlineStr">
        <is>
          <t>MORA</t>
        </is>
      </c>
      <c r="G4636" t="n">
        <v>28.1</v>
      </c>
      <c r="H4636" t="n">
        <v>0</v>
      </c>
      <c r="I4636" t="n">
        <v>0</v>
      </c>
      <c r="J4636" t="n">
        <v>0</v>
      </c>
      <c r="K4636" t="n">
        <v>0</v>
      </c>
      <c r="L4636" t="n">
        <v>0</v>
      </c>
      <c r="M4636" t="n">
        <v>0</v>
      </c>
      <c r="N4636" t="n">
        <v>0</v>
      </c>
      <c r="O4636" t="n">
        <v>0</v>
      </c>
      <c r="P4636" t="n">
        <v>0</v>
      </c>
      <c r="Q4636" t="n">
        <v>0</v>
      </c>
      <c r="R4636" s="2" t="inlineStr"/>
    </row>
    <row r="4637" ht="15" customHeight="1">
      <c r="A4637" t="inlineStr">
        <is>
          <t>A 47072-2025</t>
        </is>
      </c>
      <c r="B4637" s="1" t="n">
        <v>45929.6365162037</v>
      </c>
      <c r="C4637" s="1" t="n">
        <v>46114</v>
      </c>
      <c r="D4637" t="inlineStr">
        <is>
          <t>DALARNAS LÄN</t>
        </is>
      </c>
      <c r="E4637" t="inlineStr">
        <is>
          <t>MORA</t>
        </is>
      </c>
      <c r="G4637" t="n">
        <v>3.4</v>
      </c>
      <c r="H4637" t="n">
        <v>0</v>
      </c>
      <c r="I4637" t="n">
        <v>0</v>
      </c>
      <c r="J4637" t="n">
        <v>0</v>
      </c>
      <c r="K4637" t="n">
        <v>0</v>
      </c>
      <c r="L4637" t="n">
        <v>0</v>
      </c>
      <c r="M4637" t="n">
        <v>0</v>
      </c>
      <c r="N4637" t="n">
        <v>0</v>
      </c>
      <c r="O4637" t="n">
        <v>0</v>
      </c>
      <c r="P4637" t="n">
        <v>0</v>
      </c>
      <c r="Q4637" t="n">
        <v>0</v>
      </c>
      <c r="R4637" s="2" t="inlineStr"/>
    </row>
    <row r="4638" ht="15" customHeight="1">
      <c r="A4638" t="inlineStr">
        <is>
          <t>A 10717-2024</t>
        </is>
      </c>
      <c r="B4638" s="1" t="n">
        <v>45369.46217592592</v>
      </c>
      <c r="C4638" s="1" t="n">
        <v>46114</v>
      </c>
      <c r="D4638" t="inlineStr">
        <is>
          <t>DALARNAS LÄN</t>
        </is>
      </c>
      <c r="E4638" t="inlineStr">
        <is>
          <t>GAGNEF</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5582-2024</t>
        </is>
      </c>
      <c r="B4639" s="1" t="n">
        <v>45334</v>
      </c>
      <c r="C4639" s="1" t="n">
        <v>46114</v>
      </c>
      <c r="D4639" t="inlineStr">
        <is>
          <t>DALARNAS LÄN</t>
        </is>
      </c>
      <c r="E4639" t="inlineStr">
        <is>
          <t>LEKSAND</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46801-2025</t>
        </is>
      </c>
      <c r="B4640" s="1" t="n">
        <v>45926.66944444444</v>
      </c>
      <c r="C4640" s="1" t="n">
        <v>46114</v>
      </c>
      <c r="D4640" t="inlineStr">
        <is>
          <t>DALARNAS LÄN</t>
        </is>
      </c>
      <c r="E4640" t="inlineStr">
        <is>
          <t>FALUN</t>
        </is>
      </c>
      <c r="G4640" t="n">
        <v>2</v>
      </c>
      <c r="H4640" t="n">
        <v>0</v>
      </c>
      <c r="I4640" t="n">
        <v>0</v>
      </c>
      <c r="J4640" t="n">
        <v>0</v>
      </c>
      <c r="K4640" t="n">
        <v>0</v>
      </c>
      <c r="L4640" t="n">
        <v>0</v>
      </c>
      <c r="M4640" t="n">
        <v>0</v>
      </c>
      <c r="N4640" t="n">
        <v>0</v>
      </c>
      <c r="O4640" t="n">
        <v>0</v>
      </c>
      <c r="P4640" t="n">
        <v>0</v>
      </c>
      <c r="Q4640" t="n">
        <v>0</v>
      </c>
      <c r="R4640" s="2" t="inlineStr"/>
    </row>
    <row r="4641" ht="15" customHeight="1">
      <c r="A4641" t="inlineStr">
        <is>
          <t>A 13983-2023</t>
        </is>
      </c>
      <c r="B4641" s="1" t="n">
        <v>45008.50270833333</v>
      </c>
      <c r="C4641" s="1" t="n">
        <v>46114</v>
      </c>
      <c r="D4641" t="inlineStr">
        <is>
          <t>DALARNAS LÄN</t>
        </is>
      </c>
      <c r="E4641" t="inlineStr">
        <is>
          <t>AVESTA</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46978-2025</t>
        </is>
      </c>
      <c r="B4642" s="1" t="n">
        <v>45929.51811342593</v>
      </c>
      <c r="C4642" s="1" t="n">
        <v>46114</v>
      </c>
      <c r="D4642" t="inlineStr">
        <is>
          <t>DALARNAS LÄN</t>
        </is>
      </c>
      <c r="E4642" t="inlineStr">
        <is>
          <t>LEKSAND</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14027-2023</t>
        </is>
      </c>
      <c r="B4643" s="1" t="n">
        <v>45007</v>
      </c>
      <c r="C4643" s="1" t="n">
        <v>46114</v>
      </c>
      <c r="D4643" t="inlineStr">
        <is>
          <t>DALARNAS LÄN</t>
        </is>
      </c>
      <c r="E4643" t="inlineStr">
        <is>
          <t>AVESTA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46523-2025</t>
        </is>
      </c>
      <c r="B4644" s="1" t="n">
        <v>45926</v>
      </c>
      <c r="C4644" s="1" t="n">
        <v>46114</v>
      </c>
      <c r="D4644" t="inlineStr">
        <is>
          <t>DALARNAS LÄN</t>
        </is>
      </c>
      <c r="E4644" t="inlineStr">
        <is>
          <t>SMEDJEBACKEN</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15816-2025</t>
        </is>
      </c>
      <c r="B4645" s="1" t="n">
        <v>45748.67491898148</v>
      </c>
      <c r="C4645" s="1" t="n">
        <v>46114</v>
      </c>
      <c r="D4645" t="inlineStr">
        <is>
          <t>DALARNAS LÄN</t>
        </is>
      </c>
      <c r="E4645" t="inlineStr">
        <is>
          <t>FALUN</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46866-2025</t>
        </is>
      </c>
      <c r="B4646" s="1" t="n">
        <v>45929</v>
      </c>
      <c r="C4646" s="1" t="n">
        <v>46114</v>
      </c>
      <c r="D4646" t="inlineStr">
        <is>
          <t>DALARNAS LÄN</t>
        </is>
      </c>
      <c r="E4646" t="inlineStr">
        <is>
          <t>RÄTTVIK</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47554-2025</t>
        </is>
      </c>
      <c r="B4647" s="1" t="n">
        <v>45931.37412037037</v>
      </c>
      <c r="C4647" s="1" t="n">
        <v>46114</v>
      </c>
      <c r="D4647" t="inlineStr">
        <is>
          <t>DALARNAS LÄN</t>
        </is>
      </c>
      <c r="E4647" t="inlineStr">
        <is>
          <t>GAGNEF</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31389-2024</t>
        </is>
      </c>
      <c r="B4648" s="1" t="n">
        <v>45505.46431712963</v>
      </c>
      <c r="C4648" s="1" t="n">
        <v>46114</v>
      </c>
      <c r="D4648" t="inlineStr">
        <is>
          <t>DALARNAS LÄN</t>
        </is>
      </c>
      <c r="E4648" t="inlineStr">
        <is>
          <t>AVESTA</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31395-2024</t>
        </is>
      </c>
      <c r="B4649" s="1" t="n">
        <v>45505.47716435185</v>
      </c>
      <c r="C4649" s="1" t="n">
        <v>46114</v>
      </c>
      <c r="D4649" t="inlineStr">
        <is>
          <t>DALARNAS LÄN</t>
        </is>
      </c>
      <c r="E4649" t="inlineStr">
        <is>
          <t>MORA</t>
        </is>
      </c>
      <c r="F4649" t="inlineStr">
        <is>
          <t>Bergvik skog öst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11164-2023</t>
        </is>
      </c>
      <c r="B4650" s="1" t="n">
        <v>44992</v>
      </c>
      <c r="C4650" s="1" t="n">
        <v>46114</v>
      </c>
      <c r="D4650" t="inlineStr">
        <is>
          <t>DALARNAS LÄN</t>
        </is>
      </c>
      <c r="E4650" t="inlineStr">
        <is>
          <t>SÄTER</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1591-2025</t>
        </is>
      </c>
      <c r="B4651" s="1" t="n">
        <v>45670.58081018519</v>
      </c>
      <c r="C4651" s="1" t="n">
        <v>46114</v>
      </c>
      <c r="D4651" t="inlineStr">
        <is>
          <t>DALARNAS LÄN</t>
        </is>
      </c>
      <c r="E4651" t="inlineStr">
        <is>
          <t>FALUN</t>
        </is>
      </c>
      <c r="G4651" t="n">
        <v>2.3</v>
      </c>
      <c r="H4651" t="n">
        <v>0</v>
      </c>
      <c r="I4651" t="n">
        <v>0</v>
      </c>
      <c r="J4651" t="n">
        <v>0</v>
      </c>
      <c r="K4651" t="n">
        <v>0</v>
      </c>
      <c r="L4651" t="n">
        <v>0</v>
      </c>
      <c r="M4651" t="n">
        <v>0</v>
      </c>
      <c r="N4651" t="n">
        <v>0</v>
      </c>
      <c r="O4651" t="n">
        <v>0</v>
      </c>
      <c r="P4651" t="n">
        <v>0</v>
      </c>
      <c r="Q4651" t="n">
        <v>0</v>
      </c>
      <c r="R4651" s="2" t="inlineStr"/>
    </row>
    <row r="4652" ht="15" customHeight="1">
      <c r="A4652" t="inlineStr">
        <is>
          <t>A 1594-2025</t>
        </is>
      </c>
      <c r="B4652" s="1" t="n">
        <v>45670.58211805556</v>
      </c>
      <c r="C4652" s="1" t="n">
        <v>46114</v>
      </c>
      <c r="D4652" t="inlineStr">
        <is>
          <t>DALARNAS LÄN</t>
        </is>
      </c>
      <c r="E4652" t="inlineStr">
        <is>
          <t>SÄTER</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47781-2025</t>
        </is>
      </c>
      <c r="B4653" s="1" t="n">
        <v>45931.7471875</v>
      </c>
      <c r="C4653" s="1" t="n">
        <v>46114</v>
      </c>
      <c r="D4653" t="inlineStr">
        <is>
          <t>DALARNAS LÄN</t>
        </is>
      </c>
      <c r="E4653" t="inlineStr">
        <is>
          <t>RÄTTVIK</t>
        </is>
      </c>
      <c r="F4653" t="inlineStr">
        <is>
          <t>Bergvik skog väst AB</t>
        </is>
      </c>
      <c r="G4653" t="n">
        <v>14.4</v>
      </c>
      <c r="H4653" t="n">
        <v>0</v>
      </c>
      <c r="I4653" t="n">
        <v>0</v>
      </c>
      <c r="J4653" t="n">
        <v>0</v>
      </c>
      <c r="K4653" t="n">
        <v>0</v>
      </c>
      <c r="L4653" t="n">
        <v>0</v>
      </c>
      <c r="M4653" t="n">
        <v>0</v>
      </c>
      <c r="N4653" t="n">
        <v>0</v>
      </c>
      <c r="O4653" t="n">
        <v>0</v>
      </c>
      <c r="P4653" t="n">
        <v>0</v>
      </c>
      <c r="Q4653" t="n">
        <v>0</v>
      </c>
      <c r="R4653" s="2" t="inlineStr"/>
    </row>
    <row r="4654" ht="15" customHeight="1">
      <c r="A4654" t="inlineStr">
        <is>
          <t>A 47522-2025</t>
        </is>
      </c>
      <c r="B4654" s="1" t="n">
        <v>45931.33821759259</v>
      </c>
      <c r="C4654" s="1" t="n">
        <v>46114</v>
      </c>
      <c r="D4654" t="inlineStr">
        <is>
          <t>DALARNAS LÄN</t>
        </is>
      </c>
      <c r="E4654" t="inlineStr">
        <is>
          <t>SÄTER</t>
        </is>
      </c>
      <c r="G4654" t="n">
        <v>4.7</v>
      </c>
      <c r="H4654" t="n">
        <v>0</v>
      </c>
      <c r="I4654" t="n">
        <v>0</v>
      </c>
      <c r="J4654" t="n">
        <v>0</v>
      </c>
      <c r="K4654" t="n">
        <v>0</v>
      </c>
      <c r="L4654" t="n">
        <v>0</v>
      </c>
      <c r="M4654" t="n">
        <v>0</v>
      </c>
      <c r="N4654" t="n">
        <v>0</v>
      </c>
      <c r="O4654" t="n">
        <v>0</v>
      </c>
      <c r="P4654" t="n">
        <v>0</v>
      </c>
      <c r="Q4654" t="n">
        <v>0</v>
      </c>
      <c r="R4654" s="2" t="inlineStr"/>
    </row>
    <row r="4655" ht="15" customHeight="1">
      <c r="A4655" t="inlineStr">
        <is>
          <t>A 65176-2021</t>
        </is>
      </c>
      <c r="B4655" s="1" t="n">
        <v>44515.47277777778</v>
      </c>
      <c r="C4655" s="1" t="n">
        <v>46114</v>
      </c>
      <c r="D4655" t="inlineStr">
        <is>
          <t>DALARNAS LÄN</t>
        </is>
      </c>
      <c r="E4655" t="inlineStr">
        <is>
          <t>RÄTTVIK</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47560-2025</t>
        </is>
      </c>
      <c r="B4656" s="1" t="n">
        <v>45931.38627314815</v>
      </c>
      <c r="C4656" s="1" t="n">
        <v>46114</v>
      </c>
      <c r="D4656" t="inlineStr">
        <is>
          <t>DALARNAS LÄN</t>
        </is>
      </c>
      <c r="E4656" t="inlineStr">
        <is>
          <t>GAGNEF</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63917-2023</t>
        </is>
      </c>
      <c r="B4657" s="1" t="n">
        <v>45278</v>
      </c>
      <c r="C4657" s="1" t="n">
        <v>46114</v>
      </c>
      <c r="D4657" t="inlineStr">
        <is>
          <t>DALARNAS LÄN</t>
        </is>
      </c>
      <c r="E4657" t="inlineStr">
        <is>
          <t>ORSA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47685-2025</t>
        </is>
      </c>
      <c r="B4658" s="1" t="n">
        <v>45931.58986111111</v>
      </c>
      <c r="C4658" s="1" t="n">
        <v>46114</v>
      </c>
      <c r="D4658" t="inlineStr">
        <is>
          <t>DALARNAS LÄN</t>
        </is>
      </c>
      <c r="E4658" t="inlineStr">
        <is>
          <t>GAGNEF</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46505-2023</t>
        </is>
      </c>
      <c r="B4659" s="1" t="n">
        <v>45197</v>
      </c>
      <c r="C4659" s="1" t="n">
        <v>46114</v>
      </c>
      <c r="D4659" t="inlineStr">
        <is>
          <t>DALARNAS LÄN</t>
        </is>
      </c>
      <c r="E4659" t="inlineStr">
        <is>
          <t>LEKSAND</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921-2025</t>
        </is>
      </c>
      <c r="B4660" s="1" t="n">
        <v>45665</v>
      </c>
      <c r="C4660" s="1" t="n">
        <v>46114</v>
      </c>
      <c r="D4660" t="inlineStr">
        <is>
          <t>DALARNAS LÄN</t>
        </is>
      </c>
      <c r="E4660" t="inlineStr">
        <is>
          <t>VANSBRO</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47201-2025</t>
        </is>
      </c>
      <c r="B4661" s="1" t="n">
        <v>45930.36114583333</v>
      </c>
      <c r="C4661" s="1" t="n">
        <v>46114</v>
      </c>
      <c r="D4661" t="inlineStr">
        <is>
          <t>DALARNAS LÄN</t>
        </is>
      </c>
      <c r="E4661" t="inlineStr">
        <is>
          <t>RÄTTVIK</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60847-2021</t>
        </is>
      </c>
      <c r="B4662" s="1" t="n">
        <v>44497</v>
      </c>
      <c r="C4662" s="1" t="n">
        <v>46114</v>
      </c>
      <c r="D4662" t="inlineStr">
        <is>
          <t>DALARNAS LÄN</t>
        </is>
      </c>
      <c r="E4662" t="inlineStr">
        <is>
          <t>MORA</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19469-2024</t>
        </is>
      </c>
      <c r="B4663" s="1" t="n">
        <v>45429</v>
      </c>
      <c r="C4663" s="1" t="n">
        <v>46114</v>
      </c>
      <c r="D4663" t="inlineStr">
        <is>
          <t>DALARNAS LÄN</t>
        </is>
      </c>
      <c r="E4663" t="inlineStr">
        <is>
          <t>SMEDJEBACKEN</t>
        </is>
      </c>
      <c r="F4663" t="inlineStr">
        <is>
          <t>Sveaskog</t>
        </is>
      </c>
      <c r="G4663" t="n">
        <v>2.4</v>
      </c>
      <c r="H4663" t="n">
        <v>0</v>
      </c>
      <c r="I4663" t="n">
        <v>0</v>
      </c>
      <c r="J4663" t="n">
        <v>0</v>
      </c>
      <c r="K4663" t="n">
        <v>0</v>
      </c>
      <c r="L4663" t="n">
        <v>0</v>
      </c>
      <c r="M4663" t="n">
        <v>0</v>
      </c>
      <c r="N4663" t="n">
        <v>0</v>
      </c>
      <c r="O4663" t="n">
        <v>0</v>
      </c>
      <c r="P4663" t="n">
        <v>0</v>
      </c>
      <c r="Q4663" t="n">
        <v>0</v>
      </c>
      <c r="R4663" s="2" t="inlineStr"/>
    </row>
    <row r="4664" ht="15" customHeight="1">
      <c r="A4664" t="inlineStr">
        <is>
          <t>A 5841-2024</t>
        </is>
      </c>
      <c r="B4664" s="1" t="n">
        <v>45335.60587962963</v>
      </c>
      <c r="C4664" s="1" t="n">
        <v>46114</v>
      </c>
      <c r="D4664" t="inlineStr">
        <is>
          <t>DALARNAS LÄN</t>
        </is>
      </c>
      <c r="E4664" t="inlineStr">
        <is>
          <t>LUDVIKA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47284-2025</t>
        </is>
      </c>
      <c r="B4665" s="1" t="n">
        <v>45930.48217592593</v>
      </c>
      <c r="C4665" s="1" t="n">
        <v>46114</v>
      </c>
      <c r="D4665" t="inlineStr">
        <is>
          <t>DALARNAS LÄN</t>
        </is>
      </c>
      <c r="E4665" t="inlineStr">
        <is>
          <t>MALUNG-SÄLEN</t>
        </is>
      </c>
      <c r="F4665" t="inlineStr">
        <is>
          <t>Bergvik skog väst AB</t>
        </is>
      </c>
      <c r="G4665" t="n">
        <v>8.4</v>
      </c>
      <c r="H4665" t="n">
        <v>0</v>
      </c>
      <c r="I4665" t="n">
        <v>0</v>
      </c>
      <c r="J4665" t="n">
        <v>0</v>
      </c>
      <c r="K4665" t="n">
        <v>0</v>
      </c>
      <c r="L4665" t="n">
        <v>0</v>
      </c>
      <c r="M4665" t="n">
        <v>0</v>
      </c>
      <c r="N4665" t="n">
        <v>0</v>
      </c>
      <c r="O4665" t="n">
        <v>0</v>
      </c>
      <c r="P4665" t="n">
        <v>0</v>
      </c>
      <c r="Q4665" t="n">
        <v>0</v>
      </c>
      <c r="R4665" s="2" t="inlineStr"/>
    </row>
    <row r="4666" ht="15" customHeight="1">
      <c r="A4666" t="inlineStr">
        <is>
          <t>A 20784-2024</t>
        </is>
      </c>
      <c r="B4666" s="1" t="n">
        <v>45437.55819444444</v>
      </c>
      <c r="C4666" s="1" t="n">
        <v>46114</v>
      </c>
      <c r="D4666" t="inlineStr">
        <is>
          <t>DALARNAS LÄN</t>
        </is>
      </c>
      <c r="E4666" t="inlineStr">
        <is>
          <t>BORLÄNGE</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47294-2025</t>
        </is>
      </c>
      <c r="B4667" s="1" t="n">
        <v>45930.491875</v>
      </c>
      <c r="C4667" s="1" t="n">
        <v>46114</v>
      </c>
      <c r="D4667" t="inlineStr">
        <is>
          <t>DALARNAS LÄN</t>
        </is>
      </c>
      <c r="E4667" t="inlineStr">
        <is>
          <t>RÄTTVIK</t>
        </is>
      </c>
      <c r="G4667" t="n">
        <v>6.1</v>
      </c>
      <c r="H4667" t="n">
        <v>0</v>
      </c>
      <c r="I4667" t="n">
        <v>0</v>
      </c>
      <c r="J4667" t="n">
        <v>0</v>
      </c>
      <c r="K4667" t="n">
        <v>0</v>
      </c>
      <c r="L4667" t="n">
        <v>0</v>
      </c>
      <c r="M4667" t="n">
        <v>0</v>
      </c>
      <c r="N4667" t="n">
        <v>0</v>
      </c>
      <c r="O4667" t="n">
        <v>0</v>
      </c>
      <c r="P4667" t="n">
        <v>0</v>
      </c>
      <c r="Q4667" t="n">
        <v>0</v>
      </c>
      <c r="R4667" s="2" t="inlineStr"/>
    </row>
    <row r="4668" ht="15" customHeight="1">
      <c r="A4668" t="inlineStr">
        <is>
          <t>A 47295-2025</t>
        </is>
      </c>
      <c r="B4668" s="1" t="n">
        <v>45930.49263888889</v>
      </c>
      <c r="C4668" s="1" t="n">
        <v>46114</v>
      </c>
      <c r="D4668" t="inlineStr">
        <is>
          <t>DALARNAS LÄN</t>
        </is>
      </c>
      <c r="E4668" t="inlineStr">
        <is>
          <t>GAGNEF</t>
        </is>
      </c>
      <c r="G4668" t="n">
        <v>3.2</v>
      </c>
      <c r="H4668" t="n">
        <v>0</v>
      </c>
      <c r="I4668" t="n">
        <v>0</v>
      </c>
      <c r="J4668" t="n">
        <v>0</v>
      </c>
      <c r="K4668" t="n">
        <v>0</v>
      </c>
      <c r="L4668" t="n">
        <v>0</v>
      </c>
      <c r="M4668" t="n">
        <v>0</v>
      </c>
      <c r="N4668" t="n">
        <v>0</v>
      </c>
      <c r="O4668" t="n">
        <v>0</v>
      </c>
      <c r="P4668" t="n">
        <v>0</v>
      </c>
      <c r="Q4668" t="n">
        <v>0</v>
      </c>
      <c r="R4668" s="2" t="inlineStr"/>
    </row>
    <row r="4669" ht="15" customHeight="1">
      <c r="A4669" t="inlineStr">
        <is>
          <t>A 47280-2025</t>
        </is>
      </c>
      <c r="B4669" s="1" t="n">
        <v>45930.47725694445</v>
      </c>
      <c r="C4669" s="1" t="n">
        <v>46114</v>
      </c>
      <c r="D4669" t="inlineStr">
        <is>
          <t>DALARNAS LÄN</t>
        </is>
      </c>
      <c r="E4669" t="inlineStr">
        <is>
          <t>SÄTER</t>
        </is>
      </c>
      <c r="F4669" t="inlineStr">
        <is>
          <t>Bergvik skog väst AB</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47286-2025</t>
        </is>
      </c>
      <c r="B4670" s="1" t="n">
        <v>45930.48436342592</v>
      </c>
      <c r="C4670" s="1" t="n">
        <v>46114</v>
      </c>
      <c r="D4670" t="inlineStr">
        <is>
          <t>DALARNAS LÄN</t>
        </is>
      </c>
      <c r="E4670" t="inlineStr">
        <is>
          <t>RÄTTVIK</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36296-2023</t>
        </is>
      </c>
      <c r="B4671" s="1" t="n">
        <v>45152.3591087963</v>
      </c>
      <c r="C4671" s="1" t="n">
        <v>46114</v>
      </c>
      <c r="D4671" t="inlineStr">
        <is>
          <t>DALARNAS LÄN</t>
        </is>
      </c>
      <c r="E4671" t="inlineStr">
        <is>
          <t>LUDVIKA</t>
        </is>
      </c>
      <c r="F4671" t="inlineStr">
        <is>
          <t>Bergvik skog väst AB</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16409-2022</t>
        </is>
      </c>
      <c r="B4672" s="1" t="n">
        <v>44671</v>
      </c>
      <c r="C4672" s="1" t="n">
        <v>46114</v>
      </c>
      <c r="D4672" t="inlineStr">
        <is>
          <t>DALARNAS LÄN</t>
        </is>
      </c>
      <c r="E4672" t="inlineStr">
        <is>
          <t>GAGNEF</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47467-2025</t>
        </is>
      </c>
      <c r="B4673" s="1" t="n">
        <v>45930.6686574074</v>
      </c>
      <c r="C4673" s="1" t="n">
        <v>46114</v>
      </c>
      <c r="D4673" t="inlineStr">
        <is>
          <t>DALARNAS LÄN</t>
        </is>
      </c>
      <c r="E4673" t="inlineStr">
        <is>
          <t>MALUNG-SÄLEN</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47742-2025</t>
        </is>
      </c>
      <c r="B4674" s="1" t="n">
        <v>45931.64465277778</v>
      </c>
      <c r="C4674" s="1" t="n">
        <v>46114</v>
      </c>
      <c r="D4674" t="inlineStr">
        <is>
          <t>DALARNAS LÄN</t>
        </is>
      </c>
      <c r="E4674" t="inlineStr">
        <is>
          <t>MALUNG-SÄLEN</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15435-2024</t>
        </is>
      </c>
      <c r="B4675" s="1" t="n">
        <v>45401.40806712963</v>
      </c>
      <c r="C4675" s="1" t="n">
        <v>46114</v>
      </c>
      <c r="D4675" t="inlineStr">
        <is>
          <t>DALARNAS LÄN</t>
        </is>
      </c>
      <c r="E4675" t="inlineStr">
        <is>
          <t>MORA</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16992-2025</t>
        </is>
      </c>
      <c r="B4676" s="1" t="n">
        <v>45755.50215277778</v>
      </c>
      <c r="C4676" s="1" t="n">
        <v>46114</v>
      </c>
      <c r="D4676" t="inlineStr">
        <is>
          <t>DALARNAS LÄN</t>
        </is>
      </c>
      <c r="E4676" t="inlineStr">
        <is>
          <t>ORSA</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47677-2025</t>
        </is>
      </c>
      <c r="B4677" s="1" t="n">
        <v>45931.57971064815</v>
      </c>
      <c r="C4677" s="1" t="n">
        <v>46114</v>
      </c>
      <c r="D4677" t="inlineStr">
        <is>
          <t>DALARNAS LÄN</t>
        </is>
      </c>
      <c r="E4677" t="inlineStr">
        <is>
          <t>MALUNG-SÄLEN</t>
        </is>
      </c>
      <c r="F4677" t="inlineStr">
        <is>
          <t>Bergvik skog öst AB</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31085-2024</t>
        </is>
      </c>
      <c r="B4678" s="1" t="n">
        <v>45502.48047453703</v>
      </c>
      <c r="C4678" s="1" t="n">
        <v>46114</v>
      </c>
      <c r="D4678" t="inlineStr">
        <is>
          <t>DALARNAS LÄN</t>
        </is>
      </c>
      <c r="E4678" t="inlineStr">
        <is>
          <t>MORA</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47361-2025</t>
        </is>
      </c>
      <c r="B4679" s="1" t="n">
        <v>45930.58505787037</v>
      </c>
      <c r="C4679" s="1" t="n">
        <v>46114</v>
      </c>
      <c r="D4679" t="inlineStr">
        <is>
          <t>DALARNAS LÄN</t>
        </is>
      </c>
      <c r="E4679" t="inlineStr">
        <is>
          <t>RÄTTVIK</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58619-2022</t>
        </is>
      </c>
      <c r="B4680" s="1" t="n">
        <v>44902.59579861111</v>
      </c>
      <c r="C4680" s="1" t="n">
        <v>46114</v>
      </c>
      <c r="D4680" t="inlineStr">
        <is>
          <t>DALARNAS LÄN</t>
        </is>
      </c>
      <c r="E4680" t="inlineStr">
        <is>
          <t>LEKSAND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15557-2024</t>
        </is>
      </c>
      <c r="B4681" s="1" t="n">
        <v>45401.64273148148</v>
      </c>
      <c r="C4681" s="1" t="n">
        <v>46114</v>
      </c>
      <c r="D4681" t="inlineStr">
        <is>
          <t>DALARNAS LÄN</t>
        </is>
      </c>
      <c r="E4681" t="inlineStr">
        <is>
          <t>SMEDJEBACKEN</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47755-2025</t>
        </is>
      </c>
      <c r="B4682" s="1" t="n">
        <v>45931.66475694445</v>
      </c>
      <c r="C4682" s="1" t="n">
        <v>46114</v>
      </c>
      <c r="D4682" t="inlineStr">
        <is>
          <t>DALARNAS LÄN</t>
        </is>
      </c>
      <c r="E4682" t="inlineStr">
        <is>
          <t>MALUNG-SÄLEN</t>
        </is>
      </c>
      <c r="G4682" t="n">
        <v>2.6</v>
      </c>
      <c r="H4682" t="n">
        <v>0</v>
      </c>
      <c r="I4682" t="n">
        <v>0</v>
      </c>
      <c r="J4682" t="n">
        <v>0</v>
      </c>
      <c r="K4682" t="n">
        <v>0</v>
      </c>
      <c r="L4682" t="n">
        <v>0</v>
      </c>
      <c r="M4682" t="n">
        <v>0</v>
      </c>
      <c r="N4682" t="n">
        <v>0</v>
      </c>
      <c r="O4682" t="n">
        <v>0</v>
      </c>
      <c r="P4682" t="n">
        <v>0</v>
      </c>
      <c r="Q4682" t="n">
        <v>0</v>
      </c>
      <c r="R4682" s="2" t="inlineStr"/>
    </row>
    <row r="4683" ht="15" customHeight="1">
      <c r="A4683" t="inlineStr">
        <is>
          <t>A 7562-2023</t>
        </is>
      </c>
      <c r="B4683" s="1" t="n">
        <v>44972.35152777778</v>
      </c>
      <c r="C4683" s="1" t="n">
        <v>46114</v>
      </c>
      <c r="D4683" t="inlineStr">
        <is>
          <t>DALARNAS LÄN</t>
        </is>
      </c>
      <c r="E4683" t="inlineStr">
        <is>
          <t>SÄTER</t>
        </is>
      </c>
      <c r="G4683" t="n">
        <v>2.8</v>
      </c>
      <c r="H4683" t="n">
        <v>0</v>
      </c>
      <c r="I4683" t="n">
        <v>0</v>
      </c>
      <c r="J4683" t="n">
        <v>0</v>
      </c>
      <c r="K4683" t="n">
        <v>0</v>
      </c>
      <c r="L4683" t="n">
        <v>0</v>
      </c>
      <c r="M4683" t="n">
        <v>0</v>
      </c>
      <c r="N4683" t="n">
        <v>0</v>
      </c>
      <c r="O4683" t="n">
        <v>0</v>
      </c>
      <c r="P4683" t="n">
        <v>0</v>
      </c>
      <c r="Q4683" t="n">
        <v>0</v>
      </c>
      <c r="R4683" s="2" t="inlineStr"/>
    </row>
    <row r="4684" ht="15" customHeight="1">
      <c r="A4684" t="inlineStr">
        <is>
          <t>A 47669-2025</t>
        </is>
      </c>
      <c r="B4684" s="1" t="n">
        <v>45931.57208333333</v>
      </c>
      <c r="C4684" s="1" t="n">
        <v>46114</v>
      </c>
      <c r="D4684" t="inlineStr">
        <is>
          <t>DALARNAS LÄN</t>
        </is>
      </c>
      <c r="E4684" t="inlineStr">
        <is>
          <t>GAGNEF</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46683-2025</t>
        </is>
      </c>
      <c r="B4685" s="1" t="n">
        <v>45926</v>
      </c>
      <c r="C4685" s="1" t="n">
        <v>46114</v>
      </c>
      <c r="D4685" t="inlineStr">
        <is>
          <t>DALARNAS LÄN</t>
        </is>
      </c>
      <c r="E4685" t="inlineStr">
        <is>
          <t>LUDVIKA</t>
        </is>
      </c>
      <c r="F4685" t="inlineStr">
        <is>
          <t>Bergvik skog väst AB</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57307-2024</t>
        </is>
      </c>
      <c r="B4686" s="1" t="n">
        <v>45629.60449074074</v>
      </c>
      <c r="C4686" s="1" t="n">
        <v>46114</v>
      </c>
      <c r="D4686" t="inlineStr">
        <is>
          <t>DALARNAS LÄN</t>
        </is>
      </c>
      <c r="E4686" t="inlineStr">
        <is>
          <t>LUDVIKA</t>
        </is>
      </c>
      <c r="F4686" t="inlineStr">
        <is>
          <t>Naturvårdsverket</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43863-2023</t>
        </is>
      </c>
      <c r="B4687" s="1" t="n">
        <v>45187.62532407408</v>
      </c>
      <c r="C4687" s="1" t="n">
        <v>46114</v>
      </c>
      <c r="D4687" t="inlineStr">
        <is>
          <t>DALARNAS LÄN</t>
        </is>
      </c>
      <c r="E4687" t="inlineStr">
        <is>
          <t>MORA</t>
        </is>
      </c>
      <c r="F4687" t="inlineStr">
        <is>
          <t>Bergvik skog väst AB</t>
        </is>
      </c>
      <c r="G4687" t="n">
        <v>3.9</v>
      </c>
      <c r="H4687" t="n">
        <v>0</v>
      </c>
      <c r="I4687" t="n">
        <v>0</v>
      </c>
      <c r="J4687" t="n">
        <v>0</v>
      </c>
      <c r="K4687" t="n">
        <v>0</v>
      </c>
      <c r="L4687" t="n">
        <v>0</v>
      </c>
      <c r="M4687" t="n">
        <v>0</v>
      </c>
      <c r="N4687" t="n">
        <v>0</v>
      </c>
      <c r="O4687" t="n">
        <v>0</v>
      </c>
      <c r="P4687" t="n">
        <v>0</v>
      </c>
      <c r="Q4687" t="n">
        <v>0</v>
      </c>
      <c r="R4687" s="2" t="inlineStr"/>
    </row>
    <row r="4688" ht="15" customHeight="1">
      <c r="A4688" t="inlineStr">
        <is>
          <t>A 38193-2021</t>
        </is>
      </c>
      <c r="B4688" s="1" t="n">
        <v>44405</v>
      </c>
      <c r="C4688" s="1" t="n">
        <v>46114</v>
      </c>
      <c r="D4688" t="inlineStr">
        <is>
          <t>DALARNAS LÄN</t>
        </is>
      </c>
      <c r="E4688" t="inlineStr">
        <is>
          <t>MALUNG-SÄLEN</t>
        </is>
      </c>
      <c r="F4688" t="inlineStr">
        <is>
          <t>Naturvårdsverket</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48254-2023</t>
        </is>
      </c>
      <c r="B4689" s="1" t="n">
        <v>45205.53241898148</v>
      </c>
      <c r="C4689" s="1" t="n">
        <v>46114</v>
      </c>
      <c r="D4689" t="inlineStr">
        <is>
          <t>DALARNAS LÄN</t>
        </is>
      </c>
      <c r="E4689" t="inlineStr">
        <is>
          <t>HEDEMORA</t>
        </is>
      </c>
      <c r="F4689" t="inlineStr">
        <is>
          <t>Sveaskog</t>
        </is>
      </c>
      <c r="G4689" t="n">
        <v>1.5</v>
      </c>
      <c r="H4689" t="n">
        <v>0</v>
      </c>
      <c r="I4689" t="n">
        <v>0</v>
      </c>
      <c r="J4689" t="n">
        <v>0</v>
      </c>
      <c r="K4689" t="n">
        <v>0</v>
      </c>
      <c r="L4689" t="n">
        <v>0</v>
      </c>
      <c r="M4689" t="n">
        <v>0</v>
      </c>
      <c r="N4689" t="n">
        <v>0</v>
      </c>
      <c r="O4689" t="n">
        <v>0</v>
      </c>
      <c r="P4689" t="n">
        <v>0</v>
      </c>
      <c r="Q4689" t="n">
        <v>0</v>
      </c>
      <c r="R4689" s="2" t="inlineStr"/>
      <c r="U4689">
        <f>HYPERLINK("https://klasma.github.io/Logging_2083/knärot/A 48254-2023 karta knärot.png", "A 48254-2023")</f>
        <v/>
      </c>
      <c r="V4689">
        <f>HYPERLINK("https://klasma.github.io/Logging_2083/klagomål/A 48254-2023 FSC-klagomål.docx", "A 48254-2023")</f>
        <v/>
      </c>
      <c r="W4689">
        <f>HYPERLINK("https://klasma.github.io/Logging_2083/klagomålsmail/A 48254-2023 FSC-klagomål mail.docx", "A 48254-2023")</f>
        <v/>
      </c>
      <c r="X4689">
        <f>HYPERLINK("https://klasma.github.io/Logging_2083/tillsyn/A 48254-2023 tillsynsbegäran.docx", "A 48254-2023")</f>
        <v/>
      </c>
      <c r="Y4689">
        <f>HYPERLINK("https://klasma.github.io/Logging_2083/tillsynsmail/A 48254-2023 tillsynsbegäran mail.docx", "A 48254-2023")</f>
        <v/>
      </c>
    </row>
    <row r="4690" ht="15" customHeight="1">
      <c r="A4690" t="inlineStr">
        <is>
          <t>A 48352-2023</t>
        </is>
      </c>
      <c r="B4690" s="1" t="n">
        <v>45205</v>
      </c>
      <c r="C4690" s="1" t="n">
        <v>46114</v>
      </c>
      <c r="D4690" t="inlineStr">
        <is>
          <t>DALARNAS LÄN</t>
        </is>
      </c>
      <c r="E4690" t="inlineStr">
        <is>
          <t>LUDVIKA</t>
        </is>
      </c>
      <c r="F4690" t="inlineStr">
        <is>
          <t>Bergvik skog väst AB</t>
        </is>
      </c>
      <c r="G4690" t="n">
        <v>12.8</v>
      </c>
      <c r="H4690" t="n">
        <v>0</v>
      </c>
      <c r="I4690" t="n">
        <v>0</v>
      </c>
      <c r="J4690" t="n">
        <v>0</v>
      </c>
      <c r="K4690" t="n">
        <v>0</v>
      </c>
      <c r="L4690" t="n">
        <v>0</v>
      </c>
      <c r="M4690" t="n">
        <v>0</v>
      </c>
      <c r="N4690" t="n">
        <v>0</v>
      </c>
      <c r="O4690" t="n">
        <v>0</v>
      </c>
      <c r="P4690" t="n">
        <v>0</v>
      </c>
      <c r="Q4690" t="n">
        <v>0</v>
      </c>
      <c r="R4690" s="2" t="inlineStr"/>
    </row>
    <row r="4691" ht="15" customHeight="1">
      <c r="A4691" t="inlineStr">
        <is>
          <t>A 47707-2025</t>
        </is>
      </c>
      <c r="B4691" s="1" t="n">
        <v>45931.6125462963</v>
      </c>
      <c r="C4691" s="1" t="n">
        <v>46114</v>
      </c>
      <c r="D4691" t="inlineStr">
        <is>
          <t>DALARNAS LÄN</t>
        </is>
      </c>
      <c r="E4691" t="inlineStr">
        <is>
          <t>ÄLVDALEN</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59667-2024</t>
        </is>
      </c>
      <c r="B4692" s="1" t="n">
        <v>45639</v>
      </c>
      <c r="C4692" s="1" t="n">
        <v>46114</v>
      </c>
      <c r="D4692" t="inlineStr">
        <is>
          <t>DALARNAS LÄN</t>
        </is>
      </c>
      <c r="E4692" t="inlineStr">
        <is>
          <t>LUDVIKA</t>
        </is>
      </c>
      <c r="F4692" t="inlineStr">
        <is>
          <t>Bergvik skog väst AB</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47203-2025</t>
        </is>
      </c>
      <c r="B4693" s="1" t="n">
        <v>45930.36337962963</v>
      </c>
      <c r="C4693" s="1" t="n">
        <v>46114</v>
      </c>
      <c r="D4693" t="inlineStr">
        <is>
          <t>DALARNAS LÄN</t>
        </is>
      </c>
      <c r="E4693" t="inlineStr">
        <is>
          <t>RÄTTVIK</t>
        </is>
      </c>
      <c r="G4693" t="n">
        <v>0.6</v>
      </c>
      <c r="H4693" t="n">
        <v>0</v>
      </c>
      <c r="I4693" t="n">
        <v>0</v>
      </c>
      <c r="J4693" t="n">
        <v>0</v>
      </c>
      <c r="K4693" t="n">
        <v>0</v>
      </c>
      <c r="L4693" t="n">
        <v>0</v>
      </c>
      <c r="M4693" t="n">
        <v>0</v>
      </c>
      <c r="N4693" t="n">
        <v>0</v>
      </c>
      <c r="O4693" t="n">
        <v>0</v>
      </c>
      <c r="P4693" t="n">
        <v>0</v>
      </c>
      <c r="Q4693" t="n">
        <v>0</v>
      </c>
      <c r="R4693" s="2" t="inlineStr"/>
    </row>
    <row r="4694" ht="15" customHeight="1">
      <c r="A4694" t="inlineStr">
        <is>
          <t>A 26219-2021</t>
        </is>
      </c>
      <c r="B4694" s="1" t="n">
        <v>44347</v>
      </c>
      <c r="C4694" s="1" t="n">
        <v>46114</v>
      </c>
      <c r="D4694" t="inlineStr">
        <is>
          <t>DALARNAS LÄN</t>
        </is>
      </c>
      <c r="E4694" t="inlineStr">
        <is>
          <t>RÄTTVIK</t>
        </is>
      </c>
      <c r="G4694" t="n">
        <v>7.1</v>
      </c>
      <c r="H4694" t="n">
        <v>0</v>
      </c>
      <c r="I4694" t="n">
        <v>0</v>
      </c>
      <c r="J4694" t="n">
        <v>0</v>
      </c>
      <c r="K4694" t="n">
        <v>0</v>
      </c>
      <c r="L4694" t="n">
        <v>0</v>
      </c>
      <c r="M4694" t="n">
        <v>0</v>
      </c>
      <c r="N4694" t="n">
        <v>0</v>
      </c>
      <c r="O4694" t="n">
        <v>0</v>
      </c>
      <c r="P4694" t="n">
        <v>0</v>
      </c>
      <c r="Q4694" t="n">
        <v>0</v>
      </c>
      <c r="R4694" s="2" t="inlineStr"/>
    </row>
    <row r="4695" ht="15" customHeight="1">
      <c r="A4695" t="inlineStr">
        <is>
          <t>A 60051-2022</t>
        </is>
      </c>
      <c r="B4695" s="1" t="n">
        <v>44909.52385416667</v>
      </c>
      <c r="C4695" s="1" t="n">
        <v>46114</v>
      </c>
      <c r="D4695" t="inlineStr">
        <is>
          <t>DALARNAS LÄN</t>
        </is>
      </c>
      <c r="E4695" t="inlineStr">
        <is>
          <t>MORA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47407-2025</t>
        </is>
      </c>
      <c r="B4696" s="1" t="n">
        <v>45930.61326388889</v>
      </c>
      <c r="C4696" s="1" t="n">
        <v>46114</v>
      </c>
      <c r="D4696" t="inlineStr">
        <is>
          <t>DALARNAS LÄN</t>
        </is>
      </c>
      <c r="E4696" t="inlineStr">
        <is>
          <t>FALUN</t>
        </is>
      </c>
      <c r="F4696" t="inlineStr">
        <is>
          <t>Bergvik skog väst AB</t>
        </is>
      </c>
      <c r="G4696" t="n">
        <v>2.8</v>
      </c>
      <c r="H4696" t="n">
        <v>0</v>
      </c>
      <c r="I4696" t="n">
        <v>0</v>
      </c>
      <c r="J4696" t="n">
        <v>0</v>
      </c>
      <c r="K4696" t="n">
        <v>0</v>
      </c>
      <c r="L4696" t="n">
        <v>0</v>
      </c>
      <c r="M4696" t="n">
        <v>0</v>
      </c>
      <c r="N4696" t="n">
        <v>0</v>
      </c>
      <c r="O4696" t="n">
        <v>0</v>
      </c>
      <c r="P4696" t="n">
        <v>0</v>
      </c>
      <c r="Q4696" t="n">
        <v>0</v>
      </c>
      <c r="R4696" s="2" t="inlineStr"/>
    </row>
    <row r="4697" ht="15" customHeight="1">
      <c r="A4697" t="inlineStr">
        <is>
          <t>A 47661-2025</t>
        </is>
      </c>
      <c r="B4697" s="1" t="n">
        <v>45931.56057870371</v>
      </c>
      <c r="C4697" s="1" t="n">
        <v>46114</v>
      </c>
      <c r="D4697" t="inlineStr">
        <is>
          <t>DALARNAS LÄN</t>
        </is>
      </c>
      <c r="E4697" t="inlineStr">
        <is>
          <t>SÄTER</t>
        </is>
      </c>
      <c r="F4697" t="inlineStr">
        <is>
          <t>Bergvik skog väst AB</t>
        </is>
      </c>
      <c r="G4697" t="n">
        <v>13.8</v>
      </c>
      <c r="H4697" t="n">
        <v>0</v>
      </c>
      <c r="I4697" t="n">
        <v>0</v>
      </c>
      <c r="J4697" t="n">
        <v>0</v>
      </c>
      <c r="K4697" t="n">
        <v>0</v>
      </c>
      <c r="L4697" t="n">
        <v>0</v>
      </c>
      <c r="M4697" t="n">
        <v>0</v>
      </c>
      <c r="N4697" t="n">
        <v>0</v>
      </c>
      <c r="O4697" t="n">
        <v>0</v>
      </c>
      <c r="P4697" t="n">
        <v>0</v>
      </c>
      <c r="Q4697" t="n">
        <v>0</v>
      </c>
      <c r="R4697" s="2" t="inlineStr"/>
    </row>
    <row r="4698" ht="15" customHeight="1">
      <c r="A4698" t="inlineStr">
        <is>
          <t>A 47470-2025</t>
        </is>
      </c>
      <c r="B4698" s="1" t="n">
        <v>45930.67282407408</v>
      </c>
      <c r="C4698" s="1" t="n">
        <v>46114</v>
      </c>
      <c r="D4698" t="inlineStr">
        <is>
          <t>DALARNAS LÄN</t>
        </is>
      </c>
      <c r="E4698" t="inlineStr">
        <is>
          <t>GAGNEF</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7490-2023</t>
        </is>
      </c>
      <c r="B4699" s="1" t="n">
        <v>44971.69914351852</v>
      </c>
      <c r="C4699" s="1" t="n">
        <v>46114</v>
      </c>
      <c r="D4699" t="inlineStr">
        <is>
          <t>DALARNAS LÄN</t>
        </is>
      </c>
      <c r="E4699" t="inlineStr">
        <is>
          <t>AVESTA</t>
        </is>
      </c>
      <c r="G4699" t="n">
        <v>1.9</v>
      </c>
      <c r="H4699" t="n">
        <v>0</v>
      </c>
      <c r="I4699" t="n">
        <v>0</v>
      </c>
      <c r="J4699" t="n">
        <v>0</v>
      </c>
      <c r="K4699" t="n">
        <v>0</v>
      </c>
      <c r="L4699" t="n">
        <v>0</v>
      </c>
      <c r="M4699" t="n">
        <v>0</v>
      </c>
      <c r="N4699" t="n">
        <v>0</v>
      </c>
      <c r="O4699" t="n">
        <v>0</v>
      </c>
      <c r="P4699" t="n">
        <v>0</v>
      </c>
      <c r="Q4699" t="n">
        <v>0</v>
      </c>
      <c r="R4699" s="2" t="inlineStr"/>
    </row>
    <row r="4700" ht="15" customHeight="1">
      <c r="A4700" t="inlineStr">
        <is>
          <t>A 47403-2025</t>
        </is>
      </c>
      <c r="B4700" s="1" t="n">
        <v>45930.60982638889</v>
      </c>
      <c r="C4700" s="1" t="n">
        <v>46114</v>
      </c>
      <c r="D4700" t="inlineStr">
        <is>
          <t>DALARNAS LÄN</t>
        </is>
      </c>
      <c r="E4700" t="inlineStr">
        <is>
          <t>FALUN</t>
        </is>
      </c>
      <c r="F4700" t="inlineStr">
        <is>
          <t>Bergvik skog väst AB</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13262-2022</t>
        </is>
      </c>
      <c r="B4701" s="1" t="n">
        <v>44644.70184027778</v>
      </c>
      <c r="C4701" s="1" t="n">
        <v>46114</v>
      </c>
      <c r="D4701" t="inlineStr">
        <is>
          <t>DALARNAS LÄN</t>
        </is>
      </c>
      <c r="E4701" t="inlineStr">
        <is>
          <t>MORA</t>
        </is>
      </c>
      <c r="G4701" t="n">
        <v>0.8</v>
      </c>
      <c r="H4701" t="n">
        <v>0</v>
      </c>
      <c r="I4701" t="n">
        <v>0</v>
      </c>
      <c r="J4701" t="n">
        <v>0</v>
      </c>
      <c r="K4701" t="n">
        <v>0</v>
      </c>
      <c r="L4701" t="n">
        <v>0</v>
      </c>
      <c r="M4701" t="n">
        <v>0</v>
      </c>
      <c r="N4701" t="n">
        <v>0</v>
      </c>
      <c r="O4701" t="n">
        <v>0</v>
      </c>
      <c r="P4701" t="n">
        <v>0</v>
      </c>
      <c r="Q4701" t="n">
        <v>0</v>
      </c>
      <c r="R4701" s="2" t="inlineStr"/>
    </row>
    <row r="4702" ht="15" customHeight="1">
      <c r="A4702" t="inlineStr">
        <is>
          <t>A 1853-2025</t>
        </is>
      </c>
      <c r="B4702" s="1" t="n">
        <v>45671.59190972222</v>
      </c>
      <c r="C4702" s="1" t="n">
        <v>46114</v>
      </c>
      <c r="D4702" t="inlineStr">
        <is>
          <t>DALARNAS LÄN</t>
        </is>
      </c>
      <c r="E4702" t="inlineStr">
        <is>
          <t>SMEDJEBACKEN</t>
        </is>
      </c>
      <c r="G4702" t="n">
        <v>4.1</v>
      </c>
      <c r="H4702" t="n">
        <v>0</v>
      </c>
      <c r="I4702" t="n">
        <v>0</v>
      </c>
      <c r="J4702" t="n">
        <v>0</v>
      </c>
      <c r="K4702" t="n">
        <v>0</v>
      </c>
      <c r="L4702" t="n">
        <v>0</v>
      </c>
      <c r="M4702" t="n">
        <v>0</v>
      </c>
      <c r="N4702" t="n">
        <v>0</v>
      </c>
      <c r="O4702" t="n">
        <v>0</v>
      </c>
      <c r="P4702" t="n">
        <v>0</v>
      </c>
      <c r="Q4702" t="n">
        <v>0</v>
      </c>
      <c r="R4702" s="2" t="inlineStr"/>
    </row>
    <row r="4703" ht="15" customHeight="1">
      <c r="A4703" t="inlineStr">
        <is>
          <t>A 12617-2022</t>
        </is>
      </c>
      <c r="B4703" s="1" t="n">
        <v>44641</v>
      </c>
      <c r="C4703" s="1" t="n">
        <v>46114</v>
      </c>
      <c r="D4703" t="inlineStr">
        <is>
          <t>DALARNAS LÄN</t>
        </is>
      </c>
      <c r="E4703" t="inlineStr">
        <is>
          <t>RÄTTVIK</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47838-2025</t>
        </is>
      </c>
      <c r="B4704" s="1" t="n">
        <v>45931</v>
      </c>
      <c r="C4704" s="1" t="n">
        <v>46114</v>
      </c>
      <c r="D4704" t="inlineStr">
        <is>
          <t>DALARNAS LÄN</t>
        </is>
      </c>
      <c r="E4704" t="inlineStr">
        <is>
          <t>FALUN</t>
        </is>
      </c>
      <c r="G4704" t="n">
        <v>5.3</v>
      </c>
      <c r="H4704" t="n">
        <v>0</v>
      </c>
      <c r="I4704" t="n">
        <v>0</v>
      </c>
      <c r="J4704" t="n">
        <v>0</v>
      </c>
      <c r="K4704" t="n">
        <v>0</v>
      </c>
      <c r="L4704" t="n">
        <v>0</v>
      </c>
      <c r="M4704" t="n">
        <v>0</v>
      </c>
      <c r="N4704" t="n">
        <v>0</v>
      </c>
      <c r="O4704" t="n">
        <v>0</v>
      </c>
      <c r="P4704" t="n">
        <v>0</v>
      </c>
      <c r="Q4704" t="n">
        <v>0</v>
      </c>
      <c r="R4704" s="2" t="inlineStr"/>
    </row>
    <row r="4705" ht="15" customHeight="1">
      <c r="A4705" t="inlineStr">
        <is>
          <t>A 47414-2025</t>
        </is>
      </c>
      <c r="B4705" s="1" t="n">
        <v>45930.61896990741</v>
      </c>
      <c r="C4705" s="1" t="n">
        <v>46114</v>
      </c>
      <c r="D4705" t="inlineStr">
        <is>
          <t>DALARNAS LÄN</t>
        </is>
      </c>
      <c r="E4705" t="inlineStr">
        <is>
          <t>MORA</t>
        </is>
      </c>
      <c r="G4705" t="n">
        <v>6.1</v>
      </c>
      <c r="H4705" t="n">
        <v>0</v>
      </c>
      <c r="I4705" t="n">
        <v>0</v>
      </c>
      <c r="J4705" t="n">
        <v>0</v>
      </c>
      <c r="K4705" t="n">
        <v>0</v>
      </c>
      <c r="L4705" t="n">
        <v>0</v>
      </c>
      <c r="M4705" t="n">
        <v>0</v>
      </c>
      <c r="N4705" t="n">
        <v>0</v>
      </c>
      <c r="O4705" t="n">
        <v>0</v>
      </c>
      <c r="P4705" t="n">
        <v>0</v>
      </c>
      <c r="Q4705" t="n">
        <v>0</v>
      </c>
      <c r="R4705" s="2" t="inlineStr"/>
    </row>
    <row r="4706" ht="15" customHeight="1">
      <c r="A4706" t="inlineStr">
        <is>
          <t>A 27910-2023</t>
        </is>
      </c>
      <c r="B4706" s="1" t="n">
        <v>45098</v>
      </c>
      <c r="C4706" s="1" t="n">
        <v>46114</v>
      </c>
      <c r="D4706" t="inlineStr">
        <is>
          <t>DALARNAS LÄN</t>
        </is>
      </c>
      <c r="E4706" t="inlineStr">
        <is>
          <t>SÄTER</t>
        </is>
      </c>
      <c r="G4706" t="n">
        <v>0.5</v>
      </c>
      <c r="H4706" t="n">
        <v>0</v>
      </c>
      <c r="I4706" t="n">
        <v>0</v>
      </c>
      <c r="J4706" t="n">
        <v>0</v>
      </c>
      <c r="K4706" t="n">
        <v>0</v>
      </c>
      <c r="L4706" t="n">
        <v>0</v>
      </c>
      <c r="M4706" t="n">
        <v>0</v>
      </c>
      <c r="N4706" t="n">
        <v>0</v>
      </c>
      <c r="O4706" t="n">
        <v>0</v>
      </c>
      <c r="P4706" t="n">
        <v>0</v>
      </c>
      <c r="Q4706" t="n">
        <v>0</v>
      </c>
      <c r="R4706" s="2" t="inlineStr"/>
    </row>
    <row r="4707" ht="15" customHeight="1">
      <c r="A4707" t="inlineStr">
        <is>
          <t>A 48057-2024</t>
        </is>
      </c>
      <c r="B4707" s="1" t="n">
        <v>45589.541875</v>
      </c>
      <c r="C4707" s="1" t="n">
        <v>46114</v>
      </c>
      <c r="D4707" t="inlineStr">
        <is>
          <t>DALARNAS LÄN</t>
        </is>
      </c>
      <c r="E4707" t="inlineStr">
        <is>
          <t>SMEDJEBACKEN</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47285-2025</t>
        </is>
      </c>
      <c r="B4708" s="1" t="n">
        <v>45930.48280092593</v>
      </c>
      <c r="C4708" s="1" t="n">
        <v>46114</v>
      </c>
      <c r="D4708" t="inlineStr">
        <is>
          <t>DALARNAS LÄN</t>
        </is>
      </c>
      <c r="E4708" t="inlineStr">
        <is>
          <t>GAGNEF</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9296-2023</t>
        </is>
      </c>
      <c r="B4709" s="1" t="n">
        <v>44980.64003472222</v>
      </c>
      <c r="C4709" s="1" t="n">
        <v>46114</v>
      </c>
      <c r="D4709" t="inlineStr">
        <is>
          <t>DALARNAS LÄN</t>
        </is>
      </c>
      <c r="E4709" t="inlineStr">
        <is>
          <t>VANSBRO</t>
        </is>
      </c>
      <c r="F4709" t="inlineStr">
        <is>
          <t>Bergvik skog väst AB</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46674-2025</t>
        </is>
      </c>
      <c r="B4710" s="1" t="n">
        <v>45926</v>
      </c>
      <c r="C4710" s="1" t="n">
        <v>46114</v>
      </c>
      <c r="D4710" t="inlineStr">
        <is>
          <t>DALARNAS LÄN</t>
        </is>
      </c>
      <c r="E4710" t="inlineStr">
        <is>
          <t>LUDVIKA</t>
        </is>
      </c>
      <c r="F4710" t="inlineStr">
        <is>
          <t>Bergvik skog väst AB</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63383-2023</t>
        </is>
      </c>
      <c r="B4711" s="1" t="n">
        <v>45274</v>
      </c>
      <c r="C4711" s="1" t="n">
        <v>46114</v>
      </c>
      <c r="D4711" t="inlineStr">
        <is>
          <t>DALARNAS LÄN</t>
        </is>
      </c>
      <c r="E4711" t="inlineStr">
        <is>
          <t>FALUN</t>
        </is>
      </c>
      <c r="G4711" t="n">
        <v>0.4</v>
      </c>
      <c r="H4711" t="n">
        <v>0</v>
      </c>
      <c r="I4711" t="n">
        <v>0</v>
      </c>
      <c r="J4711" t="n">
        <v>0</v>
      </c>
      <c r="K4711" t="n">
        <v>0</v>
      </c>
      <c r="L4711" t="n">
        <v>0</v>
      </c>
      <c r="M4711" t="n">
        <v>0</v>
      </c>
      <c r="N4711" t="n">
        <v>0</v>
      </c>
      <c r="O4711" t="n">
        <v>0</v>
      </c>
      <c r="P4711" t="n">
        <v>0</v>
      </c>
      <c r="Q4711" t="n">
        <v>0</v>
      </c>
      <c r="R4711" s="2" t="inlineStr"/>
    </row>
    <row r="4712" ht="15" customHeight="1">
      <c r="A4712" t="inlineStr">
        <is>
          <t>A 56767-2023</t>
        </is>
      </c>
      <c r="B4712" s="1" t="n">
        <v>45244</v>
      </c>
      <c r="C4712" s="1" t="n">
        <v>46114</v>
      </c>
      <c r="D4712" t="inlineStr">
        <is>
          <t>DALARNAS LÄN</t>
        </is>
      </c>
      <c r="E4712" t="inlineStr">
        <is>
          <t>MORA</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47765-2025</t>
        </is>
      </c>
      <c r="B4713" s="1" t="n">
        <v>45931.69100694444</v>
      </c>
      <c r="C4713" s="1" t="n">
        <v>46114</v>
      </c>
      <c r="D4713" t="inlineStr">
        <is>
          <t>DALARNAS LÄN</t>
        </is>
      </c>
      <c r="E4713" t="inlineStr">
        <is>
          <t>MORA</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47692-2025</t>
        </is>
      </c>
      <c r="B4714" s="1" t="n">
        <v>45931.59818287037</v>
      </c>
      <c r="C4714" s="1" t="n">
        <v>46114</v>
      </c>
      <c r="D4714" t="inlineStr">
        <is>
          <t>DALARNAS LÄN</t>
        </is>
      </c>
      <c r="E4714" t="inlineStr">
        <is>
          <t>ÄLVDALEN</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19311-2024</t>
        </is>
      </c>
      <c r="B4715" s="1" t="n">
        <v>45428</v>
      </c>
      <c r="C4715" s="1" t="n">
        <v>46114</v>
      </c>
      <c r="D4715" t="inlineStr">
        <is>
          <t>DALARNAS LÄN</t>
        </is>
      </c>
      <c r="E4715" t="inlineStr">
        <is>
          <t>MALUNG-SÄLEN</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47769-2025</t>
        </is>
      </c>
      <c r="B4716" s="1" t="n">
        <v>45931.70715277778</v>
      </c>
      <c r="C4716" s="1" t="n">
        <v>46114</v>
      </c>
      <c r="D4716" t="inlineStr">
        <is>
          <t>DALARNAS LÄN</t>
        </is>
      </c>
      <c r="E4716" t="inlineStr">
        <is>
          <t>MORA</t>
        </is>
      </c>
      <c r="G4716" t="n">
        <v>6.7</v>
      </c>
      <c r="H4716" t="n">
        <v>0</v>
      </c>
      <c r="I4716" t="n">
        <v>0</v>
      </c>
      <c r="J4716" t="n">
        <v>0</v>
      </c>
      <c r="K4716" t="n">
        <v>0</v>
      </c>
      <c r="L4716" t="n">
        <v>0</v>
      </c>
      <c r="M4716" t="n">
        <v>0</v>
      </c>
      <c r="N4716" t="n">
        <v>0</v>
      </c>
      <c r="O4716" t="n">
        <v>0</v>
      </c>
      <c r="P4716" t="n">
        <v>0</v>
      </c>
      <c r="Q4716" t="n">
        <v>0</v>
      </c>
      <c r="R4716" s="2" t="inlineStr"/>
    </row>
    <row r="4717" ht="15" customHeight="1">
      <c r="A4717" t="inlineStr">
        <is>
          <t>A 32277-2024</t>
        </is>
      </c>
      <c r="B4717" s="1" t="n">
        <v>45512.3703125</v>
      </c>
      <c r="C4717" s="1" t="n">
        <v>46114</v>
      </c>
      <c r="D4717" t="inlineStr">
        <is>
          <t>DALARNAS LÄN</t>
        </is>
      </c>
      <c r="E4717" t="inlineStr">
        <is>
          <t>LUDVIKA</t>
        </is>
      </c>
      <c r="F4717" t="inlineStr">
        <is>
          <t>Bergvik skog väst AB</t>
        </is>
      </c>
      <c r="G4717" t="n">
        <v>0.7</v>
      </c>
      <c r="H4717" t="n">
        <v>0</v>
      </c>
      <c r="I4717" t="n">
        <v>0</v>
      </c>
      <c r="J4717" t="n">
        <v>0</v>
      </c>
      <c r="K4717" t="n">
        <v>0</v>
      </c>
      <c r="L4717" t="n">
        <v>0</v>
      </c>
      <c r="M4717" t="n">
        <v>0</v>
      </c>
      <c r="N4717" t="n">
        <v>0</v>
      </c>
      <c r="O4717" t="n">
        <v>0</v>
      </c>
      <c r="P4717" t="n">
        <v>0</v>
      </c>
      <c r="Q4717" t="n">
        <v>0</v>
      </c>
      <c r="R4717" s="2" t="inlineStr"/>
    </row>
    <row r="4718" ht="15" customHeight="1">
      <c r="A4718" t="inlineStr">
        <is>
          <t>A 34190-2023</t>
        </is>
      </c>
      <c r="B4718" s="1" t="n">
        <v>45138.40166666666</v>
      </c>
      <c r="C4718" s="1" t="n">
        <v>46114</v>
      </c>
      <c r="D4718" t="inlineStr">
        <is>
          <t>DALARNAS LÄN</t>
        </is>
      </c>
      <c r="E4718" t="inlineStr">
        <is>
          <t>AVESTA</t>
        </is>
      </c>
      <c r="G4718" t="n">
        <v>5.2</v>
      </c>
      <c r="H4718" t="n">
        <v>0</v>
      </c>
      <c r="I4718" t="n">
        <v>0</v>
      </c>
      <c r="J4718" t="n">
        <v>0</v>
      </c>
      <c r="K4718" t="n">
        <v>0</v>
      </c>
      <c r="L4718" t="n">
        <v>0</v>
      </c>
      <c r="M4718" t="n">
        <v>0</v>
      </c>
      <c r="N4718" t="n">
        <v>0</v>
      </c>
      <c r="O4718" t="n">
        <v>0</v>
      </c>
      <c r="P4718" t="n">
        <v>0</v>
      </c>
      <c r="Q4718" t="n">
        <v>0</v>
      </c>
      <c r="R4718" s="2" t="inlineStr"/>
    </row>
    <row r="4719" ht="15" customHeight="1">
      <c r="A4719" t="inlineStr">
        <is>
          <t>A 46074-2023</t>
        </is>
      </c>
      <c r="B4719" s="1" t="n">
        <v>45196.46915509259</v>
      </c>
      <c r="C4719" s="1" t="n">
        <v>46114</v>
      </c>
      <c r="D4719" t="inlineStr">
        <is>
          <t>DALARNAS LÄN</t>
        </is>
      </c>
      <c r="E4719" t="inlineStr">
        <is>
          <t>LUDVIKA</t>
        </is>
      </c>
      <c r="F4719" t="inlineStr">
        <is>
          <t>Bergvik skog väst AB</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48280-2025</t>
        </is>
      </c>
      <c r="B4720" s="1" t="n">
        <v>45933.58769675926</v>
      </c>
      <c r="C4720" s="1" t="n">
        <v>46114</v>
      </c>
      <c r="D4720" t="inlineStr">
        <is>
          <t>DALARNAS LÄN</t>
        </is>
      </c>
      <c r="E4720" t="inlineStr">
        <is>
          <t>RÄTTVIK</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48309-2025</t>
        </is>
      </c>
      <c r="B4721" s="1" t="n">
        <v>45933.61548611111</v>
      </c>
      <c r="C4721" s="1" t="n">
        <v>46114</v>
      </c>
      <c r="D4721" t="inlineStr">
        <is>
          <t>DALARNAS LÄN</t>
        </is>
      </c>
      <c r="E4721" t="inlineStr">
        <is>
          <t>FALUN</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23687-2023</t>
        </is>
      </c>
      <c r="B4722" s="1" t="n">
        <v>45077</v>
      </c>
      <c r="C4722" s="1" t="n">
        <v>46114</v>
      </c>
      <c r="D4722" t="inlineStr">
        <is>
          <t>DALARNAS LÄN</t>
        </is>
      </c>
      <c r="E4722" t="inlineStr">
        <is>
          <t>SMEDJEBACKEN</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53073-2024</t>
        </is>
      </c>
      <c r="B4723" s="1" t="n">
        <v>45611.48383101852</v>
      </c>
      <c r="C4723" s="1" t="n">
        <v>46114</v>
      </c>
      <c r="D4723" t="inlineStr">
        <is>
          <t>DALARNAS LÄN</t>
        </is>
      </c>
      <c r="E4723" t="inlineStr">
        <is>
          <t>FALUN</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48302-2025</t>
        </is>
      </c>
      <c r="B4724" s="1" t="n">
        <v>45933.61208333333</v>
      </c>
      <c r="C4724" s="1" t="n">
        <v>46114</v>
      </c>
      <c r="D4724" t="inlineStr">
        <is>
          <t>DALARNAS LÄN</t>
        </is>
      </c>
      <c r="E4724" t="inlineStr">
        <is>
          <t>MALUNG-SÄLEN</t>
        </is>
      </c>
      <c r="F4724" t="inlineStr">
        <is>
          <t>Bergvik skog öst AB</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48305-2025</t>
        </is>
      </c>
      <c r="B4725" s="1" t="n">
        <v>45933.6137962963</v>
      </c>
      <c r="C4725" s="1" t="n">
        <v>46114</v>
      </c>
      <c r="D4725" t="inlineStr">
        <is>
          <t>DALARNAS LÄN</t>
        </is>
      </c>
      <c r="E4725" t="inlineStr">
        <is>
          <t>MALUNG-SÄLEN</t>
        </is>
      </c>
      <c r="F4725" t="inlineStr">
        <is>
          <t>Bergvik skog öst AB</t>
        </is>
      </c>
      <c r="G4725" t="n">
        <v>13.7</v>
      </c>
      <c r="H4725" t="n">
        <v>0</v>
      </c>
      <c r="I4725" t="n">
        <v>0</v>
      </c>
      <c r="J4725" t="n">
        <v>0</v>
      </c>
      <c r="K4725" t="n">
        <v>0</v>
      </c>
      <c r="L4725" t="n">
        <v>0</v>
      </c>
      <c r="M4725" t="n">
        <v>0</v>
      </c>
      <c r="N4725" t="n">
        <v>0</v>
      </c>
      <c r="O4725" t="n">
        <v>0</v>
      </c>
      <c r="P4725" t="n">
        <v>0</v>
      </c>
      <c r="Q4725" t="n">
        <v>0</v>
      </c>
      <c r="R4725" s="2" t="inlineStr"/>
    </row>
    <row r="4726" ht="15" customHeight="1">
      <c r="A4726" t="inlineStr">
        <is>
          <t>A 65056-2023</t>
        </is>
      </c>
      <c r="B4726" s="1" t="n">
        <v>45287.56077546296</v>
      </c>
      <c r="C4726" s="1" t="n">
        <v>46114</v>
      </c>
      <c r="D4726" t="inlineStr">
        <is>
          <t>DALARNAS LÄN</t>
        </is>
      </c>
      <c r="E4726" t="inlineStr">
        <is>
          <t>FALUN</t>
        </is>
      </c>
      <c r="G4726" t="n">
        <v>7.2</v>
      </c>
      <c r="H4726" t="n">
        <v>0</v>
      </c>
      <c r="I4726" t="n">
        <v>0</v>
      </c>
      <c r="J4726" t="n">
        <v>0</v>
      </c>
      <c r="K4726" t="n">
        <v>0</v>
      </c>
      <c r="L4726" t="n">
        <v>0</v>
      </c>
      <c r="M4726" t="n">
        <v>0</v>
      </c>
      <c r="N4726" t="n">
        <v>0</v>
      </c>
      <c r="O4726" t="n">
        <v>0</v>
      </c>
      <c r="P4726" t="n">
        <v>0</v>
      </c>
      <c r="Q4726" t="n">
        <v>0</v>
      </c>
      <c r="R4726" s="2" t="inlineStr"/>
    </row>
    <row r="4727" ht="15" customHeight="1">
      <c r="A4727" t="inlineStr">
        <is>
          <t>A 65057-2023</t>
        </is>
      </c>
      <c r="B4727" s="1" t="n">
        <v>45287</v>
      </c>
      <c r="C4727" s="1" t="n">
        <v>46114</v>
      </c>
      <c r="D4727" t="inlineStr">
        <is>
          <t>DALARNAS LÄN</t>
        </is>
      </c>
      <c r="E4727" t="inlineStr">
        <is>
          <t>HEDEMORA</t>
        </is>
      </c>
      <c r="G4727" t="n">
        <v>1.8</v>
      </c>
      <c r="H4727" t="n">
        <v>0</v>
      </c>
      <c r="I4727" t="n">
        <v>0</v>
      </c>
      <c r="J4727" t="n">
        <v>0</v>
      </c>
      <c r="K4727" t="n">
        <v>0</v>
      </c>
      <c r="L4727" t="n">
        <v>0</v>
      </c>
      <c r="M4727" t="n">
        <v>0</v>
      </c>
      <c r="N4727" t="n">
        <v>0</v>
      </c>
      <c r="O4727" t="n">
        <v>0</v>
      </c>
      <c r="P4727" t="n">
        <v>0</v>
      </c>
      <c r="Q4727" t="n">
        <v>0</v>
      </c>
      <c r="R4727" s="2" t="inlineStr"/>
    </row>
    <row r="4728" ht="15" customHeight="1">
      <c r="A4728" t="inlineStr">
        <is>
          <t>A 23432-2024</t>
        </is>
      </c>
      <c r="B4728" s="1" t="n">
        <v>45453.61982638889</v>
      </c>
      <c r="C4728" s="1" t="n">
        <v>46114</v>
      </c>
      <c r="D4728" t="inlineStr">
        <is>
          <t>DALARNAS LÄN</t>
        </is>
      </c>
      <c r="E4728" t="inlineStr">
        <is>
          <t>VANSBRO</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50056-2022</t>
        </is>
      </c>
      <c r="B4729" s="1" t="n">
        <v>44865</v>
      </c>
      <c r="C4729" s="1" t="n">
        <v>46114</v>
      </c>
      <c r="D4729" t="inlineStr">
        <is>
          <t>DALARNAS LÄN</t>
        </is>
      </c>
      <c r="E4729" t="inlineStr">
        <is>
          <t>MORA</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48376-2025</t>
        </is>
      </c>
      <c r="B4730" s="1" t="n">
        <v>45933.71648148148</v>
      </c>
      <c r="C4730" s="1" t="n">
        <v>46114</v>
      </c>
      <c r="D4730" t="inlineStr">
        <is>
          <t>DALARNAS LÄN</t>
        </is>
      </c>
      <c r="E4730" t="inlineStr">
        <is>
          <t>MORA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61814-2023</t>
        </is>
      </c>
      <c r="B4731" s="1" t="n">
        <v>45266.32162037037</v>
      </c>
      <c r="C4731" s="1" t="n">
        <v>46114</v>
      </c>
      <c r="D4731" t="inlineStr">
        <is>
          <t>DALARNAS LÄN</t>
        </is>
      </c>
      <c r="E4731" t="inlineStr">
        <is>
          <t>RÄTTVIK</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47859-2025</t>
        </is>
      </c>
      <c r="B4732" s="1" t="n">
        <v>45932.41336805555</v>
      </c>
      <c r="C4732" s="1" t="n">
        <v>46114</v>
      </c>
      <c r="D4732" t="inlineStr">
        <is>
          <t>DALARNAS LÄN</t>
        </is>
      </c>
      <c r="E4732" t="inlineStr">
        <is>
          <t>MALUNG-SÄLEN</t>
        </is>
      </c>
      <c r="F4732" t="inlineStr">
        <is>
          <t>Allmännings- och besparingsskogar</t>
        </is>
      </c>
      <c r="G4732" t="n">
        <v>65.2</v>
      </c>
      <c r="H4732" t="n">
        <v>0</v>
      </c>
      <c r="I4732" t="n">
        <v>0</v>
      </c>
      <c r="J4732" t="n">
        <v>0</v>
      </c>
      <c r="K4732" t="n">
        <v>0</v>
      </c>
      <c r="L4732" t="n">
        <v>0</v>
      </c>
      <c r="M4732" t="n">
        <v>0</v>
      </c>
      <c r="N4732" t="n">
        <v>0</v>
      </c>
      <c r="O4732" t="n">
        <v>0</v>
      </c>
      <c r="P4732" t="n">
        <v>0</v>
      </c>
      <c r="Q4732" t="n">
        <v>0</v>
      </c>
      <c r="R4732" s="2" t="inlineStr"/>
    </row>
    <row r="4733" ht="15" customHeight="1">
      <c r="A4733" t="inlineStr">
        <is>
          <t>A 47860-2025</t>
        </is>
      </c>
      <c r="B4733" s="1" t="n">
        <v>45932.42298611111</v>
      </c>
      <c r="C4733" s="1" t="n">
        <v>46114</v>
      </c>
      <c r="D4733" t="inlineStr">
        <is>
          <t>DALARNAS LÄN</t>
        </is>
      </c>
      <c r="E4733" t="inlineStr">
        <is>
          <t>MORA</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48197-2025</t>
        </is>
      </c>
      <c r="B4734" s="1" t="n">
        <v>45933.47471064814</v>
      </c>
      <c r="C4734" s="1" t="n">
        <v>46114</v>
      </c>
      <c r="D4734" t="inlineStr">
        <is>
          <t>DALARNAS LÄN</t>
        </is>
      </c>
      <c r="E4734" t="inlineStr">
        <is>
          <t>ÄLVDALEN</t>
        </is>
      </c>
      <c r="F4734" t="inlineStr">
        <is>
          <t>Bergvik skog öst AB</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51529-2024</t>
        </is>
      </c>
      <c r="B4735" s="1" t="n">
        <v>45603</v>
      </c>
      <c r="C4735" s="1" t="n">
        <v>46114</v>
      </c>
      <c r="D4735" t="inlineStr">
        <is>
          <t>DALARNAS LÄN</t>
        </is>
      </c>
      <c r="E4735" t="inlineStr">
        <is>
          <t>RÄTTVIK</t>
        </is>
      </c>
      <c r="G4735" t="n">
        <v>2.9</v>
      </c>
      <c r="H4735" t="n">
        <v>0</v>
      </c>
      <c r="I4735" t="n">
        <v>0</v>
      </c>
      <c r="J4735" t="n">
        <v>0</v>
      </c>
      <c r="K4735" t="n">
        <v>0</v>
      </c>
      <c r="L4735" t="n">
        <v>0</v>
      </c>
      <c r="M4735" t="n">
        <v>0</v>
      </c>
      <c r="N4735" t="n">
        <v>0</v>
      </c>
      <c r="O4735" t="n">
        <v>0</v>
      </c>
      <c r="P4735" t="n">
        <v>0</v>
      </c>
      <c r="Q4735" t="n">
        <v>0</v>
      </c>
      <c r="R4735" s="2" t="inlineStr"/>
    </row>
    <row r="4736" ht="15" customHeight="1">
      <c r="A4736" t="inlineStr">
        <is>
          <t>A 48102-2025</t>
        </is>
      </c>
      <c r="B4736" s="1" t="n">
        <v>45933.33965277778</v>
      </c>
      <c r="C4736" s="1" t="n">
        <v>46114</v>
      </c>
      <c r="D4736" t="inlineStr">
        <is>
          <t>DALARNAS LÄN</t>
        </is>
      </c>
      <c r="E4736" t="inlineStr">
        <is>
          <t>VANSBRO</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47805-2025</t>
        </is>
      </c>
      <c r="B4737" s="1" t="n">
        <v>45931.88991898148</v>
      </c>
      <c r="C4737" s="1" t="n">
        <v>46114</v>
      </c>
      <c r="D4737" t="inlineStr">
        <is>
          <t>DALARNAS LÄN</t>
        </is>
      </c>
      <c r="E4737" t="inlineStr">
        <is>
          <t>SMEDJEBACKEN</t>
        </is>
      </c>
      <c r="G4737" t="n">
        <v>4.9</v>
      </c>
      <c r="H4737" t="n">
        <v>0</v>
      </c>
      <c r="I4737" t="n">
        <v>0</v>
      </c>
      <c r="J4737" t="n">
        <v>0</v>
      </c>
      <c r="K4737" t="n">
        <v>0</v>
      </c>
      <c r="L4737" t="n">
        <v>0</v>
      </c>
      <c r="M4737" t="n">
        <v>0</v>
      </c>
      <c r="N4737" t="n">
        <v>0</v>
      </c>
      <c r="O4737" t="n">
        <v>0</v>
      </c>
      <c r="P4737" t="n">
        <v>0</v>
      </c>
      <c r="Q4737" t="n">
        <v>0</v>
      </c>
      <c r="R4737" s="2" t="inlineStr"/>
    </row>
    <row r="4738" ht="15" customHeight="1">
      <c r="A4738" t="inlineStr">
        <is>
          <t>A 48296-2025</t>
        </is>
      </c>
      <c r="B4738" s="1" t="n">
        <v>45933.6071875</v>
      </c>
      <c r="C4738" s="1" t="n">
        <v>46114</v>
      </c>
      <c r="D4738" t="inlineStr">
        <is>
          <t>DALARNAS LÄN</t>
        </is>
      </c>
      <c r="E4738" t="inlineStr">
        <is>
          <t>MALUNG-SÄLEN</t>
        </is>
      </c>
      <c r="F4738" t="inlineStr">
        <is>
          <t>Bergvik skog väst AB</t>
        </is>
      </c>
      <c r="G4738" t="n">
        <v>9.4</v>
      </c>
      <c r="H4738" t="n">
        <v>0</v>
      </c>
      <c r="I4738" t="n">
        <v>0</v>
      </c>
      <c r="J4738" t="n">
        <v>0</v>
      </c>
      <c r="K4738" t="n">
        <v>0</v>
      </c>
      <c r="L4738" t="n">
        <v>0</v>
      </c>
      <c r="M4738" t="n">
        <v>0</v>
      </c>
      <c r="N4738" t="n">
        <v>0</v>
      </c>
      <c r="O4738" t="n">
        <v>0</v>
      </c>
      <c r="P4738" t="n">
        <v>0</v>
      </c>
      <c r="Q4738" t="n">
        <v>0</v>
      </c>
      <c r="R4738" s="2" t="inlineStr"/>
    </row>
    <row r="4739" ht="15" customHeight="1">
      <c r="A4739" t="inlineStr">
        <is>
          <t>A 58913-2024</t>
        </is>
      </c>
      <c r="B4739" s="1" t="n">
        <v>45636</v>
      </c>
      <c r="C4739" s="1" t="n">
        <v>46114</v>
      </c>
      <c r="D4739" t="inlineStr">
        <is>
          <t>DALARNAS LÄN</t>
        </is>
      </c>
      <c r="E4739" t="inlineStr">
        <is>
          <t>MALUNG-SÄLEN</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8045-2024</t>
        </is>
      </c>
      <c r="B4740" s="1" t="n">
        <v>45351.31371527778</v>
      </c>
      <c r="C4740" s="1" t="n">
        <v>46114</v>
      </c>
      <c r="D4740" t="inlineStr">
        <is>
          <t>DALARNAS LÄN</t>
        </is>
      </c>
      <c r="E4740" t="inlineStr">
        <is>
          <t>LEKSAND</t>
        </is>
      </c>
      <c r="G4740" t="n">
        <v>6.7</v>
      </c>
      <c r="H4740" t="n">
        <v>0</v>
      </c>
      <c r="I4740" t="n">
        <v>0</v>
      </c>
      <c r="J4740" t="n">
        <v>0</v>
      </c>
      <c r="K4740" t="n">
        <v>0</v>
      </c>
      <c r="L4740" t="n">
        <v>0</v>
      </c>
      <c r="M4740" t="n">
        <v>0</v>
      </c>
      <c r="N4740" t="n">
        <v>0</v>
      </c>
      <c r="O4740" t="n">
        <v>0</v>
      </c>
      <c r="P4740" t="n">
        <v>0</v>
      </c>
      <c r="Q4740" t="n">
        <v>0</v>
      </c>
      <c r="R4740" s="2" t="inlineStr"/>
    </row>
    <row r="4741" ht="15" customHeight="1">
      <c r="A4741" t="inlineStr">
        <is>
          <t>A 33001-2023</t>
        </is>
      </c>
      <c r="B4741" s="1" t="n">
        <v>45125</v>
      </c>
      <c r="C4741" s="1" t="n">
        <v>46114</v>
      </c>
      <c r="D4741" t="inlineStr">
        <is>
          <t>DALARNAS LÄN</t>
        </is>
      </c>
      <c r="E4741" t="inlineStr">
        <is>
          <t>LEKSAND</t>
        </is>
      </c>
      <c r="F4741" t="inlineStr">
        <is>
          <t>Bergvik skog väst AB</t>
        </is>
      </c>
      <c r="G4741" t="n">
        <v>3</v>
      </c>
      <c r="H4741" t="n">
        <v>0</v>
      </c>
      <c r="I4741" t="n">
        <v>0</v>
      </c>
      <c r="J4741" t="n">
        <v>0</v>
      </c>
      <c r="K4741" t="n">
        <v>0</v>
      </c>
      <c r="L4741" t="n">
        <v>0</v>
      </c>
      <c r="M4741" t="n">
        <v>0</v>
      </c>
      <c r="N4741" t="n">
        <v>0</v>
      </c>
      <c r="O4741" t="n">
        <v>0</v>
      </c>
      <c r="P4741" t="n">
        <v>0</v>
      </c>
      <c r="Q4741" t="n">
        <v>0</v>
      </c>
      <c r="R4741" s="2" t="inlineStr"/>
    </row>
    <row r="4742" ht="15" customHeight="1">
      <c r="A4742" t="inlineStr">
        <is>
          <t>A 54219-2025</t>
        </is>
      </c>
      <c r="B4742" s="1" t="n">
        <v>45964</v>
      </c>
      <c r="C4742" s="1" t="n">
        <v>46114</v>
      </c>
      <c r="D4742" t="inlineStr">
        <is>
          <t>DALARNAS LÄN</t>
        </is>
      </c>
      <c r="E4742" t="inlineStr">
        <is>
          <t>ÄLVDALEN</t>
        </is>
      </c>
      <c r="G4742" t="n">
        <v>11.5</v>
      </c>
      <c r="H4742" t="n">
        <v>0</v>
      </c>
      <c r="I4742" t="n">
        <v>0</v>
      </c>
      <c r="J4742" t="n">
        <v>0</v>
      </c>
      <c r="K4742" t="n">
        <v>0</v>
      </c>
      <c r="L4742" t="n">
        <v>0</v>
      </c>
      <c r="M4742" t="n">
        <v>0</v>
      </c>
      <c r="N4742" t="n">
        <v>0</v>
      </c>
      <c r="O4742" t="n">
        <v>0</v>
      </c>
      <c r="P4742" t="n">
        <v>0</v>
      </c>
      <c r="Q4742" t="n">
        <v>0</v>
      </c>
      <c r="R4742" s="2" t="inlineStr"/>
    </row>
    <row r="4743" ht="15" customHeight="1">
      <c r="A4743" t="inlineStr">
        <is>
          <t>A 15499-2024</t>
        </is>
      </c>
      <c r="B4743" s="1" t="n">
        <v>45401.53798611111</v>
      </c>
      <c r="C4743" s="1" t="n">
        <v>46114</v>
      </c>
      <c r="D4743" t="inlineStr">
        <is>
          <t>DALARNAS LÄN</t>
        </is>
      </c>
      <c r="E4743" t="inlineStr">
        <is>
          <t>MORA</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10566-2025</t>
        </is>
      </c>
      <c r="B4744" s="1" t="n">
        <v>45721.53792824074</v>
      </c>
      <c r="C4744" s="1" t="n">
        <v>46114</v>
      </c>
      <c r="D4744" t="inlineStr">
        <is>
          <t>DALARNAS LÄN</t>
        </is>
      </c>
      <c r="E4744" t="inlineStr">
        <is>
          <t>AVESTA</t>
        </is>
      </c>
      <c r="F4744" t="inlineStr">
        <is>
          <t>Sveaskog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1946-2024</t>
        </is>
      </c>
      <c r="B4745" s="1" t="n">
        <v>45308</v>
      </c>
      <c r="C4745" s="1" t="n">
        <v>46114</v>
      </c>
      <c r="D4745" t="inlineStr">
        <is>
          <t>DALARNAS LÄN</t>
        </is>
      </c>
      <c r="E4745" t="inlineStr">
        <is>
          <t>LEKSAND</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48985-2023</t>
        </is>
      </c>
      <c r="B4746" s="1" t="n">
        <v>45209.64077546296</v>
      </c>
      <c r="C4746" s="1" t="n">
        <v>46114</v>
      </c>
      <c r="D4746" t="inlineStr">
        <is>
          <t>DALARNAS LÄN</t>
        </is>
      </c>
      <c r="E4746" t="inlineStr">
        <is>
          <t>ORSA</t>
        </is>
      </c>
      <c r="F4746" t="inlineStr">
        <is>
          <t>Allmännings- och besparingsskogar</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18075-2024</t>
        </is>
      </c>
      <c r="B4747" s="1" t="n">
        <v>45420.43453703704</v>
      </c>
      <c r="C4747" s="1" t="n">
        <v>46114</v>
      </c>
      <c r="D4747" t="inlineStr">
        <is>
          <t>DALARNAS LÄN</t>
        </is>
      </c>
      <c r="E4747" t="inlineStr">
        <is>
          <t>ÄLVDALEN</t>
        </is>
      </c>
      <c r="F4747" t="inlineStr">
        <is>
          <t>Bergvik skog väst AB</t>
        </is>
      </c>
      <c r="G4747" t="n">
        <v>8.6</v>
      </c>
      <c r="H4747" t="n">
        <v>0</v>
      </c>
      <c r="I4747" t="n">
        <v>0</v>
      </c>
      <c r="J4747" t="n">
        <v>0</v>
      </c>
      <c r="K4747" t="n">
        <v>0</v>
      </c>
      <c r="L4747" t="n">
        <v>0</v>
      </c>
      <c r="M4747" t="n">
        <v>0</v>
      </c>
      <c r="N4747" t="n">
        <v>0</v>
      </c>
      <c r="O4747" t="n">
        <v>0</v>
      </c>
      <c r="P4747" t="n">
        <v>0</v>
      </c>
      <c r="Q4747" t="n">
        <v>0</v>
      </c>
      <c r="R4747" s="2" t="inlineStr"/>
    </row>
    <row r="4748" ht="15" customHeight="1">
      <c r="A4748" t="inlineStr">
        <is>
          <t>A 18064-2022</t>
        </is>
      </c>
      <c r="B4748" s="1" t="n">
        <v>44684</v>
      </c>
      <c r="C4748" s="1" t="n">
        <v>46114</v>
      </c>
      <c r="D4748" t="inlineStr">
        <is>
          <t>DALARNAS LÄN</t>
        </is>
      </c>
      <c r="E4748" t="inlineStr">
        <is>
          <t>RÄTTVIK</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47953-2025</t>
        </is>
      </c>
      <c r="B4749" s="1" t="n">
        <v>45932.5853125</v>
      </c>
      <c r="C4749" s="1" t="n">
        <v>46114</v>
      </c>
      <c r="D4749" t="inlineStr">
        <is>
          <t>DALARNAS LÄN</t>
        </is>
      </c>
      <c r="E4749" t="inlineStr">
        <is>
          <t>ORSA</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47976-2025</t>
        </is>
      </c>
      <c r="B4750" s="1" t="n">
        <v>45932.60846064815</v>
      </c>
      <c r="C4750" s="1" t="n">
        <v>46114</v>
      </c>
      <c r="D4750" t="inlineStr">
        <is>
          <t>DALARNAS LÄN</t>
        </is>
      </c>
      <c r="E4750" t="inlineStr">
        <is>
          <t>LEKSAND</t>
        </is>
      </c>
      <c r="F4750" t="inlineStr">
        <is>
          <t>Bergvik skog väst AB</t>
        </is>
      </c>
      <c r="G4750" t="n">
        <v>0.3</v>
      </c>
      <c r="H4750" t="n">
        <v>0</v>
      </c>
      <c r="I4750" t="n">
        <v>0</v>
      </c>
      <c r="J4750" t="n">
        <v>0</v>
      </c>
      <c r="K4750" t="n">
        <v>0</v>
      </c>
      <c r="L4750" t="n">
        <v>0</v>
      </c>
      <c r="M4750" t="n">
        <v>0</v>
      </c>
      <c r="N4750" t="n">
        <v>0</v>
      </c>
      <c r="O4750" t="n">
        <v>0</v>
      </c>
      <c r="P4750" t="n">
        <v>0</v>
      </c>
      <c r="Q4750" t="n">
        <v>0</v>
      </c>
      <c r="R4750" s="2" t="inlineStr"/>
    </row>
    <row r="4751" ht="15" customHeight="1">
      <c r="A4751" t="inlineStr">
        <is>
          <t>A 47977-2025</t>
        </is>
      </c>
      <c r="B4751" s="1" t="n">
        <v>45932.60920138889</v>
      </c>
      <c r="C4751" s="1" t="n">
        <v>46114</v>
      </c>
      <c r="D4751" t="inlineStr">
        <is>
          <t>DALARNAS LÄN</t>
        </is>
      </c>
      <c r="E4751" t="inlineStr">
        <is>
          <t>LEKSAND</t>
        </is>
      </c>
      <c r="F4751" t="inlineStr">
        <is>
          <t>Bergvik skog väst AB</t>
        </is>
      </c>
      <c r="G4751" t="n">
        <v>0.2</v>
      </c>
      <c r="H4751" t="n">
        <v>0</v>
      </c>
      <c r="I4751" t="n">
        <v>0</v>
      </c>
      <c r="J4751" t="n">
        <v>0</v>
      </c>
      <c r="K4751" t="n">
        <v>0</v>
      </c>
      <c r="L4751" t="n">
        <v>0</v>
      </c>
      <c r="M4751" t="n">
        <v>0</v>
      </c>
      <c r="N4751" t="n">
        <v>0</v>
      </c>
      <c r="O4751" t="n">
        <v>0</v>
      </c>
      <c r="P4751" t="n">
        <v>0</v>
      </c>
      <c r="Q4751" t="n">
        <v>0</v>
      </c>
      <c r="R4751" s="2" t="inlineStr"/>
    </row>
    <row r="4752" ht="15" customHeight="1">
      <c r="A4752" t="inlineStr">
        <is>
          <t>A 67320-2021</t>
        </is>
      </c>
      <c r="B4752" s="1" t="n">
        <v>44523.67086805555</v>
      </c>
      <c r="C4752" s="1" t="n">
        <v>46114</v>
      </c>
      <c r="D4752" t="inlineStr">
        <is>
          <t>DALARNAS LÄN</t>
        </is>
      </c>
      <c r="E4752" t="inlineStr">
        <is>
          <t>MALUNG-SÄLEN</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39914-2024</t>
        </is>
      </c>
      <c r="B4753" s="1" t="n">
        <v>45553.53113425926</v>
      </c>
      <c r="C4753" s="1" t="n">
        <v>46114</v>
      </c>
      <c r="D4753" t="inlineStr">
        <is>
          <t>DALARNAS LÄN</t>
        </is>
      </c>
      <c r="E4753" t="inlineStr">
        <is>
          <t>FALUN</t>
        </is>
      </c>
      <c r="F4753" t="inlineStr">
        <is>
          <t>Bergvik skog väst AB</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48356-2025</t>
        </is>
      </c>
      <c r="B4754" s="1" t="n">
        <v>45933.66008101852</v>
      </c>
      <c r="C4754" s="1" t="n">
        <v>46114</v>
      </c>
      <c r="D4754" t="inlineStr">
        <is>
          <t>DALARNAS LÄN</t>
        </is>
      </c>
      <c r="E4754" t="inlineStr">
        <is>
          <t>MALUNG-SÄLEN</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37124-2024</t>
        </is>
      </c>
      <c r="B4755" s="1" t="n">
        <v>45539.55662037037</v>
      </c>
      <c r="C4755" s="1" t="n">
        <v>46114</v>
      </c>
      <c r="D4755" t="inlineStr">
        <is>
          <t>DALARNAS LÄN</t>
        </is>
      </c>
      <c r="E4755" t="inlineStr">
        <is>
          <t>RÄTTVIK</t>
        </is>
      </c>
      <c r="G4755" t="n">
        <v>2.6</v>
      </c>
      <c r="H4755" t="n">
        <v>0</v>
      </c>
      <c r="I4755" t="n">
        <v>0</v>
      </c>
      <c r="J4755" t="n">
        <v>0</v>
      </c>
      <c r="K4755" t="n">
        <v>0</v>
      </c>
      <c r="L4755" t="n">
        <v>0</v>
      </c>
      <c r="M4755" t="n">
        <v>0</v>
      </c>
      <c r="N4755" t="n">
        <v>0</v>
      </c>
      <c r="O4755" t="n">
        <v>0</v>
      </c>
      <c r="P4755" t="n">
        <v>0</v>
      </c>
      <c r="Q4755" t="n">
        <v>0</v>
      </c>
      <c r="R4755" s="2" t="inlineStr"/>
    </row>
    <row r="4756" ht="15" customHeight="1">
      <c r="A4756" t="inlineStr">
        <is>
          <t>A 51399-2024</t>
        </is>
      </c>
      <c r="B4756" s="1" t="n">
        <v>45604.42353009259</v>
      </c>
      <c r="C4756" s="1" t="n">
        <v>46114</v>
      </c>
      <c r="D4756" t="inlineStr">
        <is>
          <t>DALARNAS LÄN</t>
        </is>
      </c>
      <c r="E4756" t="inlineStr">
        <is>
          <t>MALUNG-SÄLEN</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47957-2025</t>
        </is>
      </c>
      <c r="B4757" s="1" t="n">
        <v>45932.59075231481</v>
      </c>
      <c r="C4757" s="1" t="n">
        <v>46114</v>
      </c>
      <c r="D4757" t="inlineStr">
        <is>
          <t>DALARNAS LÄN</t>
        </is>
      </c>
      <c r="E4757" t="inlineStr">
        <is>
          <t>MALUNG-SÄLEN</t>
        </is>
      </c>
      <c r="F4757" t="inlineStr">
        <is>
          <t>Bergvik skog öst AB</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48077-2025</t>
        </is>
      </c>
      <c r="B4758" s="1" t="n">
        <v>45932.71114583333</v>
      </c>
      <c r="C4758" s="1" t="n">
        <v>46114</v>
      </c>
      <c r="D4758" t="inlineStr">
        <is>
          <t>DALARNAS LÄN</t>
        </is>
      </c>
      <c r="E4758" t="inlineStr">
        <is>
          <t>HEDEMORA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59692-2024</t>
        </is>
      </c>
      <c r="B4759" s="1" t="n">
        <v>45639.40686342592</v>
      </c>
      <c r="C4759" s="1" t="n">
        <v>46114</v>
      </c>
      <c r="D4759" t="inlineStr">
        <is>
          <t>DALARNAS LÄN</t>
        </is>
      </c>
      <c r="E4759" t="inlineStr">
        <is>
          <t>ÄLVDALEN</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48238-2025</t>
        </is>
      </c>
      <c r="B4760" s="1" t="n">
        <v>45933.53237268519</v>
      </c>
      <c r="C4760" s="1" t="n">
        <v>46114</v>
      </c>
      <c r="D4760" t="inlineStr">
        <is>
          <t>DALARNAS LÄN</t>
        </is>
      </c>
      <c r="E4760" t="inlineStr">
        <is>
          <t>HEDEMORA</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41691-2024</t>
        </is>
      </c>
      <c r="B4761" s="1" t="n">
        <v>45560</v>
      </c>
      <c r="C4761" s="1" t="n">
        <v>46114</v>
      </c>
      <c r="D4761" t="inlineStr">
        <is>
          <t>DALARNAS LÄN</t>
        </is>
      </c>
      <c r="E4761" t="inlineStr">
        <is>
          <t>SÄTER</t>
        </is>
      </c>
      <c r="F4761" t="inlineStr">
        <is>
          <t>Bergvik skog väst AB</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6070-2023</t>
        </is>
      </c>
      <c r="B4762" s="1" t="n">
        <v>44964.5124074074</v>
      </c>
      <c r="C4762" s="1" t="n">
        <v>46114</v>
      </c>
      <c r="D4762" t="inlineStr">
        <is>
          <t>DALARNAS LÄN</t>
        </is>
      </c>
      <c r="E4762" t="inlineStr">
        <is>
          <t>FALUN</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48293-2025</t>
        </is>
      </c>
      <c r="B4763" s="1" t="n">
        <v>45933.60197916667</v>
      </c>
      <c r="C4763" s="1" t="n">
        <v>46114</v>
      </c>
      <c r="D4763" t="inlineStr">
        <is>
          <t>DALARNAS LÄN</t>
        </is>
      </c>
      <c r="E4763" t="inlineStr">
        <is>
          <t>AVESTA</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48304-2025</t>
        </is>
      </c>
      <c r="B4764" s="1" t="n">
        <v>45933.6132175926</v>
      </c>
      <c r="C4764" s="1" t="n">
        <v>46114</v>
      </c>
      <c r="D4764" t="inlineStr">
        <is>
          <t>DALARNAS LÄN</t>
        </is>
      </c>
      <c r="E4764" t="inlineStr">
        <is>
          <t>FALUN</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48109-2025</t>
        </is>
      </c>
      <c r="B4765" s="1" t="n">
        <v>45933.34494212963</v>
      </c>
      <c r="C4765" s="1" t="n">
        <v>46114</v>
      </c>
      <c r="D4765" t="inlineStr">
        <is>
          <t>DALARNAS LÄN</t>
        </is>
      </c>
      <c r="E4765" t="inlineStr">
        <is>
          <t>VANSBRO</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48135-2025</t>
        </is>
      </c>
      <c r="B4766" s="1" t="n">
        <v>45933.37452546296</v>
      </c>
      <c r="C4766" s="1" t="n">
        <v>46114</v>
      </c>
      <c r="D4766" t="inlineStr">
        <is>
          <t>DALARNAS LÄN</t>
        </is>
      </c>
      <c r="E4766" t="inlineStr">
        <is>
          <t>ÄLVDALEN</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60984-2023</t>
        </is>
      </c>
      <c r="B4767" s="1" t="n">
        <v>45259</v>
      </c>
      <c r="C4767" s="1" t="n">
        <v>46114</v>
      </c>
      <c r="D4767" t="inlineStr">
        <is>
          <t>DALARNAS LÄN</t>
        </is>
      </c>
      <c r="E4767" t="inlineStr">
        <is>
          <t>RÄTTVIK</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30093-2025</t>
        </is>
      </c>
      <c r="B4768" s="1" t="n">
        <v>45826</v>
      </c>
      <c r="C4768" s="1" t="n">
        <v>46114</v>
      </c>
      <c r="D4768" t="inlineStr">
        <is>
          <t>DALARNAS LÄN</t>
        </is>
      </c>
      <c r="E4768" t="inlineStr">
        <is>
          <t>VANSBRO</t>
        </is>
      </c>
      <c r="F4768" t="inlineStr">
        <is>
          <t>Bergvik skog väst AB</t>
        </is>
      </c>
      <c r="G4768" t="n">
        <v>3.7</v>
      </c>
      <c r="H4768" t="n">
        <v>0</v>
      </c>
      <c r="I4768" t="n">
        <v>0</v>
      </c>
      <c r="J4768" t="n">
        <v>0</v>
      </c>
      <c r="K4768" t="n">
        <v>0</v>
      </c>
      <c r="L4768" t="n">
        <v>0</v>
      </c>
      <c r="M4768" t="n">
        <v>0</v>
      </c>
      <c r="N4768" t="n">
        <v>0</v>
      </c>
      <c r="O4768" t="n">
        <v>0</v>
      </c>
      <c r="P4768" t="n">
        <v>0</v>
      </c>
      <c r="Q4768" t="n">
        <v>0</v>
      </c>
      <c r="R4768" s="2" t="inlineStr"/>
    </row>
    <row r="4769" ht="15" customHeight="1">
      <c r="A4769" t="inlineStr">
        <is>
          <t>A 26998-2024</t>
        </is>
      </c>
      <c r="B4769" s="1" t="n">
        <v>45471.38782407407</v>
      </c>
      <c r="C4769" s="1" t="n">
        <v>46114</v>
      </c>
      <c r="D4769" t="inlineStr">
        <is>
          <t>DALARNAS LÄN</t>
        </is>
      </c>
      <c r="E4769" t="inlineStr">
        <is>
          <t>SMEDJEBACKEN</t>
        </is>
      </c>
      <c r="G4769" t="n">
        <v>9</v>
      </c>
      <c r="H4769" t="n">
        <v>0</v>
      </c>
      <c r="I4769" t="n">
        <v>0</v>
      </c>
      <c r="J4769" t="n">
        <v>0</v>
      </c>
      <c r="K4769" t="n">
        <v>0</v>
      </c>
      <c r="L4769" t="n">
        <v>0</v>
      </c>
      <c r="M4769" t="n">
        <v>0</v>
      </c>
      <c r="N4769" t="n">
        <v>0</v>
      </c>
      <c r="O4769" t="n">
        <v>0</v>
      </c>
      <c r="P4769" t="n">
        <v>0</v>
      </c>
      <c r="Q4769" t="n">
        <v>0</v>
      </c>
      <c r="R4769" s="2" t="inlineStr"/>
    </row>
    <row r="4770" ht="15" customHeight="1">
      <c r="A4770" t="inlineStr">
        <is>
          <t>A 47998-2025</t>
        </is>
      </c>
      <c r="B4770" s="1" t="n">
        <v>45932.62795138889</v>
      </c>
      <c r="C4770" s="1" t="n">
        <v>46114</v>
      </c>
      <c r="D4770" t="inlineStr">
        <is>
          <t>DALARNAS LÄN</t>
        </is>
      </c>
      <c r="E4770" t="inlineStr">
        <is>
          <t>MALUNG-SÄLEN</t>
        </is>
      </c>
      <c r="G4770" t="n">
        <v>4.4</v>
      </c>
      <c r="H4770" t="n">
        <v>0</v>
      </c>
      <c r="I4770" t="n">
        <v>0</v>
      </c>
      <c r="J4770" t="n">
        <v>0</v>
      </c>
      <c r="K4770" t="n">
        <v>0</v>
      </c>
      <c r="L4770" t="n">
        <v>0</v>
      </c>
      <c r="M4770" t="n">
        <v>0</v>
      </c>
      <c r="N4770" t="n">
        <v>0</v>
      </c>
      <c r="O4770" t="n">
        <v>0</v>
      </c>
      <c r="P4770" t="n">
        <v>0</v>
      </c>
      <c r="Q4770" t="n">
        <v>0</v>
      </c>
      <c r="R4770" s="2" t="inlineStr"/>
    </row>
    <row r="4771" ht="15" customHeight="1">
      <c r="A4771" t="inlineStr">
        <is>
          <t>A 42346-2022</t>
        </is>
      </c>
      <c r="B4771" s="1" t="n">
        <v>44831.35561342593</v>
      </c>
      <c r="C4771" s="1" t="n">
        <v>46114</v>
      </c>
      <c r="D4771" t="inlineStr">
        <is>
          <t>DALARNAS LÄN</t>
        </is>
      </c>
      <c r="E4771" t="inlineStr">
        <is>
          <t>ORSA</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43770-2024</t>
        </is>
      </c>
      <c r="B4772" s="1" t="n">
        <v>45569.84101851852</v>
      </c>
      <c r="C4772" s="1" t="n">
        <v>46114</v>
      </c>
      <c r="D4772" t="inlineStr">
        <is>
          <t>DALARNAS LÄN</t>
        </is>
      </c>
      <c r="E4772" t="inlineStr">
        <is>
          <t>SÄTER</t>
        </is>
      </c>
      <c r="G4772" t="n">
        <v>13.2</v>
      </c>
      <c r="H4772" t="n">
        <v>0</v>
      </c>
      <c r="I4772" t="n">
        <v>0</v>
      </c>
      <c r="J4772" t="n">
        <v>0</v>
      </c>
      <c r="K4772" t="n">
        <v>0</v>
      </c>
      <c r="L4772" t="n">
        <v>0</v>
      </c>
      <c r="M4772" t="n">
        <v>0</v>
      </c>
      <c r="N4772" t="n">
        <v>0</v>
      </c>
      <c r="O4772" t="n">
        <v>0</v>
      </c>
      <c r="P4772" t="n">
        <v>0</v>
      </c>
      <c r="Q4772" t="n">
        <v>0</v>
      </c>
      <c r="R4772" s="2" t="inlineStr"/>
    </row>
    <row r="4773" ht="15" customHeight="1">
      <c r="A4773" t="inlineStr">
        <is>
          <t>A 2007-2025</t>
        </is>
      </c>
      <c r="B4773" s="1" t="n">
        <v>45672</v>
      </c>
      <c r="C4773" s="1" t="n">
        <v>46114</v>
      </c>
      <c r="D4773" t="inlineStr">
        <is>
          <t>DALARNAS LÄN</t>
        </is>
      </c>
      <c r="E4773" t="inlineStr">
        <is>
          <t>RÄTTVIK</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48017-2025</t>
        </is>
      </c>
      <c r="B4774" s="1" t="n">
        <v>45932.64740740741</v>
      </c>
      <c r="C4774" s="1" t="n">
        <v>46114</v>
      </c>
      <c r="D4774" t="inlineStr">
        <is>
          <t>DALARNAS LÄN</t>
        </is>
      </c>
      <c r="E4774" t="inlineStr">
        <is>
          <t>ÄLVDALEN</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19967-2025</t>
        </is>
      </c>
      <c r="B4775" s="1" t="n">
        <v>45771.68155092592</v>
      </c>
      <c r="C4775" s="1" t="n">
        <v>46114</v>
      </c>
      <c r="D4775" t="inlineStr">
        <is>
          <t>DALARNAS LÄN</t>
        </is>
      </c>
      <c r="E4775" t="inlineStr">
        <is>
          <t>FALUN</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47833-2025</t>
        </is>
      </c>
      <c r="B4776" s="1" t="n">
        <v>45932.36393518518</v>
      </c>
      <c r="C4776" s="1" t="n">
        <v>46114</v>
      </c>
      <c r="D4776" t="inlineStr">
        <is>
          <t>DALARNAS LÄN</t>
        </is>
      </c>
      <c r="E4776" t="inlineStr">
        <is>
          <t>VANSBRO</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48377-2025</t>
        </is>
      </c>
      <c r="B4777" s="1" t="n">
        <v>45933.71896990741</v>
      </c>
      <c r="C4777" s="1" t="n">
        <v>46114</v>
      </c>
      <c r="D4777" t="inlineStr">
        <is>
          <t>DALARNAS LÄN</t>
        </is>
      </c>
      <c r="E4777" t="inlineStr">
        <is>
          <t>MORA</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16187-2021</t>
        </is>
      </c>
      <c r="B4778" s="1" t="n">
        <v>44292</v>
      </c>
      <c r="C4778" s="1" t="n">
        <v>46114</v>
      </c>
      <c r="D4778" t="inlineStr">
        <is>
          <t>DALARNAS LÄN</t>
        </is>
      </c>
      <c r="E4778" t="inlineStr">
        <is>
          <t>LUDVIKA</t>
        </is>
      </c>
      <c r="F4778" t="inlineStr">
        <is>
          <t>Bergvik skog väst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20368-2025</t>
        </is>
      </c>
      <c r="B4779" s="1" t="n">
        <v>45775.41047453704</v>
      </c>
      <c r="C4779" s="1" t="n">
        <v>46114</v>
      </c>
      <c r="D4779" t="inlineStr">
        <is>
          <t>DALARNAS LÄN</t>
        </is>
      </c>
      <c r="E4779" t="inlineStr">
        <is>
          <t>LUDVIKA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8537-2023</t>
        </is>
      </c>
      <c r="B4780" s="1" t="n">
        <v>44977</v>
      </c>
      <c r="C4780" s="1" t="n">
        <v>46114</v>
      </c>
      <c r="D4780" t="inlineStr">
        <is>
          <t>DALARNAS LÄN</t>
        </is>
      </c>
      <c r="E4780" t="inlineStr">
        <is>
          <t>RÄTTVIK</t>
        </is>
      </c>
      <c r="G4780" t="n">
        <v>4</v>
      </c>
      <c r="H4780" t="n">
        <v>0</v>
      </c>
      <c r="I4780" t="n">
        <v>0</v>
      </c>
      <c r="J4780" t="n">
        <v>0</v>
      </c>
      <c r="K4780" t="n">
        <v>0</v>
      </c>
      <c r="L4780" t="n">
        <v>0</v>
      </c>
      <c r="M4780" t="n">
        <v>0</v>
      </c>
      <c r="N4780" t="n">
        <v>0</v>
      </c>
      <c r="O4780" t="n">
        <v>0</v>
      </c>
      <c r="P4780" t="n">
        <v>0</v>
      </c>
      <c r="Q4780" t="n">
        <v>0</v>
      </c>
      <c r="R4780" s="2" t="inlineStr"/>
    </row>
    <row r="4781" ht="15" customHeight="1">
      <c r="A4781" t="inlineStr">
        <is>
          <t>A 18435-2025</t>
        </is>
      </c>
      <c r="B4781" s="1" t="n">
        <v>45762</v>
      </c>
      <c r="C4781" s="1" t="n">
        <v>46114</v>
      </c>
      <c r="D4781" t="inlineStr">
        <is>
          <t>DALARNAS LÄN</t>
        </is>
      </c>
      <c r="E4781" t="inlineStr">
        <is>
          <t>LUDVIKA</t>
        </is>
      </c>
      <c r="F4781" t="inlineStr">
        <is>
          <t>Bergvik skog väst AB</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48201-2025</t>
        </is>
      </c>
      <c r="B4782" s="1" t="n">
        <v>45933.48107638889</v>
      </c>
      <c r="C4782" s="1" t="n">
        <v>46114</v>
      </c>
      <c r="D4782" t="inlineStr">
        <is>
          <t>DALARNAS LÄN</t>
        </is>
      </c>
      <c r="E4782" t="inlineStr">
        <is>
          <t>LUDVIKA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47945-2025</t>
        </is>
      </c>
      <c r="B4783" s="1" t="n">
        <v>45932.573125</v>
      </c>
      <c r="C4783" s="1" t="n">
        <v>46114</v>
      </c>
      <c r="D4783" t="inlineStr">
        <is>
          <t>DALARNAS LÄN</t>
        </is>
      </c>
      <c r="E4783" t="inlineStr">
        <is>
          <t>FALUN</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47897-2025</t>
        </is>
      </c>
      <c r="B4784" s="1" t="n">
        <v>45932.49101851852</v>
      </c>
      <c r="C4784" s="1" t="n">
        <v>46114</v>
      </c>
      <c r="D4784" t="inlineStr">
        <is>
          <t>DALARNAS LÄN</t>
        </is>
      </c>
      <c r="E4784" t="inlineStr">
        <is>
          <t>VANSBRO</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43563-2024</t>
        </is>
      </c>
      <c r="B4785" s="1" t="n">
        <v>45569.40421296296</v>
      </c>
      <c r="C4785" s="1" t="n">
        <v>46114</v>
      </c>
      <c r="D4785" t="inlineStr">
        <is>
          <t>DALARNAS LÄN</t>
        </is>
      </c>
      <c r="E4785" t="inlineStr">
        <is>
          <t>RÄTTVIK</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15643-2025</t>
        </is>
      </c>
      <c r="B4786" s="1" t="n">
        <v>45748.39222222222</v>
      </c>
      <c r="C4786" s="1" t="n">
        <v>46114</v>
      </c>
      <c r="D4786" t="inlineStr">
        <is>
          <t>DALARNAS LÄN</t>
        </is>
      </c>
      <c r="E4786" t="inlineStr">
        <is>
          <t>MORA</t>
        </is>
      </c>
      <c r="G4786" t="n">
        <v>7.6</v>
      </c>
      <c r="H4786" t="n">
        <v>0</v>
      </c>
      <c r="I4786" t="n">
        <v>0</v>
      </c>
      <c r="J4786" t="n">
        <v>0</v>
      </c>
      <c r="K4786" t="n">
        <v>0</v>
      </c>
      <c r="L4786" t="n">
        <v>0</v>
      </c>
      <c r="M4786" t="n">
        <v>0</v>
      </c>
      <c r="N4786" t="n">
        <v>0</v>
      </c>
      <c r="O4786" t="n">
        <v>0</v>
      </c>
      <c r="P4786" t="n">
        <v>0</v>
      </c>
      <c r="Q4786" t="n">
        <v>0</v>
      </c>
      <c r="R4786" s="2" t="inlineStr"/>
    </row>
    <row r="4787" ht="15" customHeight="1">
      <c r="A4787" t="inlineStr">
        <is>
          <t>A 47910-2025</t>
        </is>
      </c>
      <c r="B4787" s="1" t="n">
        <v>45932.51163194444</v>
      </c>
      <c r="C4787" s="1" t="n">
        <v>46114</v>
      </c>
      <c r="D4787" t="inlineStr">
        <is>
          <t>DALARNAS LÄN</t>
        </is>
      </c>
      <c r="E4787" t="inlineStr">
        <is>
          <t>FALUN</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48076-2025</t>
        </is>
      </c>
      <c r="B4788" s="1" t="n">
        <v>45932.7075</v>
      </c>
      <c r="C4788" s="1" t="n">
        <v>46114</v>
      </c>
      <c r="D4788" t="inlineStr">
        <is>
          <t>DALARNAS LÄN</t>
        </is>
      </c>
      <c r="E4788" t="inlineStr">
        <is>
          <t>HEDEMORA</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32394-2024</t>
        </is>
      </c>
      <c r="B4789" s="1" t="n">
        <v>45512.64349537037</v>
      </c>
      <c r="C4789" s="1" t="n">
        <v>46114</v>
      </c>
      <c r="D4789" t="inlineStr">
        <is>
          <t>DALARNAS LÄN</t>
        </is>
      </c>
      <c r="E4789" t="inlineStr">
        <is>
          <t>LEKSAND</t>
        </is>
      </c>
      <c r="F4789" t="inlineStr">
        <is>
          <t>Bergvik skog väst AB</t>
        </is>
      </c>
      <c r="G4789" t="n">
        <v>6</v>
      </c>
      <c r="H4789" t="n">
        <v>0</v>
      </c>
      <c r="I4789" t="n">
        <v>0</v>
      </c>
      <c r="J4789" t="n">
        <v>0</v>
      </c>
      <c r="K4789" t="n">
        <v>0</v>
      </c>
      <c r="L4789" t="n">
        <v>0</v>
      </c>
      <c r="M4789" t="n">
        <v>0</v>
      </c>
      <c r="N4789" t="n">
        <v>0</v>
      </c>
      <c r="O4789" t="n">
        <v>0</v>
      </c>
      <c r="P4789" t="n">
        <v>0</v>
      </c>
      <c r="Q4789" t="n">
        <v>0</v>
      </c>
      <c r="R4789" s="2" t="inlineStr"/>
    </row>
    <row r="4790" ht="15" customHeight="1">
      <c r="A4790" t="inlineStr">
        <is>
          <t>A 11015-2022</t>
        </is>
      </c>
      <c r="B4790" s="1" t="n">
        <v>44628.52340277778</v>
      </c>
      <c r="C4790" s="1" t="n">
        <v>46114</v>
      </c>
      <c r="D4790" t="inlineStr">
        <is>
          <t>DALARNAS LÄN</t>
        </is>
      </c>
      <c r="E4790" t="inlineStr">
        <is>
          <t>LEKSAND</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48546-2025</t>
        </is>
      </c>
      <c r="B4791" s="1" t="n">
        <v>45936.42172453704</v>
      </c>
      <c r="C4791" s="1" t="n">
        <v>46114</v>
      </c>
      <c r="D4791" t="inlineStr">
        <is>
          <t>DALARNAS LÄN</t>
        </is>
      </c>
      <c r="E4791" t="inlineStr">
        <is>
          <t>ORSA</t>
        </is>
      </c>
      <c r="F4791" t="inlineStr">
        <is>
          <t>Allmännings- och besparingsskogar</t>
        </is>
      </c>
      <c r="G4791" t="n">
        <v>6</v>
      </c>
      <c r="H4791" t="n">
        <v>0</v>
      </c>
      <c r="I4791" t="n">
        <v>0</v>
      </c>
      <c r="J4791" t="n">
        <v>0</v>
      </c>
      <c r="K4791" t="n">
        <v>0</v>
      </c>
      <c r="L4791" t="n">
        <v>0</v>
      </c>
      <c r="M4791" t="n">
        <v>0</v>
      </c>
      <c r="N4791" t="n">
        <v>0</v>
      </c>
      <c r="O4791" t="n">
        <v>0</v>
      </c>
      <c r="P4791" t="n">
        <v>0</v>
      </c>
      <c r="Q4791" t="n">
        <v>0</v>
      </c>
      <c r="R4791" s="2" t="inlineStr"/>
    </row>
    <row r="4792" ht="15" customHeight="1">
      <c r="A4792" t="inlineStr">
        <is>
          <t>A 46754-2023</t>
        </is>
      </c>
      <c r="B4792" s="1" t="n">
        <v>45198</v>
      </c>
      <c r="C4792" s="1" t="n">
        <v>46114</v>
      </c>
      <c r="D4792" t="inlineStr">
        <is>
          <t>DALARNAS LÄN</t>
        </is>
      </c>
      <c r="E4792" t="inlineStr">
        <is>
          <t>SMEDJEBACKEN</t>
        </is>
      </c>
      <c r="F4792" t="inlineStr">
        <is>
          <t>Sveaskog</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46755-2023</t>
        </is>
      </c>
      <c r="B4793" s="1" t="n">
        <v>45198.61314814815</v>
      </c>
      <c r="C4793" s="1" t="n">
        <v>46114</v>
      </c>
      <c r="D4793" t="inlineStr">
        <is>
          <t>DALARNAS LÄN</t>
        </is>
      </c>
      <c r="E4793" t="inlineStr">
        <is>
          <t>MORA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48653-2025</t>
        </is>
      </c>
      <c r="B4794" s="1" t="n">
        <v>45936.55692129629</v>
      </c>
      <c r="C4794" s="1" t="n">
        <v>46114</v>
      </c>
      <c r="D4794" t="inlineStr">
        <is>
          <t>DALARNAS LÄN</t>
        </is>
      </c>
      <c r="E4794" t="inlineStr">
        <is>
          <t>MALUNG-SÄLEN</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48673-2025</t>
        </is>
      </c>
      <c r="B4795" s="1" t="n">
        <v>45936.58496527778</v>
      </c>
      <c r="C4795" s="1" t="n">
        <v>46114</v>
      </c>
      <c r="D4795" t="inlineStr">
        <is>
          <t>DALARNAS LÄN</t>
        </is>
      </c>
      <c r="E4795" t="inlineStr">
        <is>
          <t>MALUNG-SÄLEN</t>
        </is>
      </c>
      <c r="G4795" t="n">
        <v>0.4</v>
      </c>
      <c r="H4795" t="n">
        <v>0</v>
      </c>
      <c r="I4795" t="n">
        <v>0</v>
      </c>
      <c r="J4795" t="n">
        <v>0</v>
      </c>
      <c r="K4795" t="n">
        <v>0</v>
      </c>
      <c r="L4795" t="n">
        <v>0</v>
      </c>
      <c r="M4795" t="n">
        <v>0</v>
      </c>
      <c r="N4795" t="n">
        <v>0</v>
      </c>
      <c r="O4795" t="n">
        <v>0</v>
      </c>
      <c r="P4795" t="n">
        <v>0</v>
      </c>
      <c r="Q4795" t="n">
        <v>0</v>
      </c>
      <c r="R4795" s="2" t="inlineStr"/>
    </row>
    <row r="4796" ht="15" customHeight="1">
      <c r="A4796" t="inlineStr">
        <is>
          <t>A 25690-2022</t>
        </is>
      </c>
      <c r="B4796" s="1" t="n">
        <v>44732</v>
      </c>
      <c r="C4796" s="1" t="n">
        <v>46114</v>
      </c>
      <c r="D4796" t="inlineStr">
        <is>
          <t>DALARNAS LÄN</t>
        </is>
      </c>
      <c r="E4796" t="inlineStr">
        <is>
          <t>SÄTER</t>
        </is>
      </c>
      <c r="F4796" t="inlineStr">
        <is>
          <t>Bergvik skog väst AB</t>
        </is>
      </c>
      <c r="G4796" t="n">
        <v>2.8</v>
      </c>
      <c r="H4796" t="n">
        <v>0</v>
      </c>
      <c r="I4796" t="n">
        <v>0</v>
      </c>
      <c r="J4796" t="n">
        <v>0</v>
      </c>
      <c r="K4796" t="n">
        <v>0</v>
      </c>
      <c r="L4796" t="n">
        <v>0</v>
      </c>
      <c r="M4796" t="n">
        <v>0</v>
      </c>
      <c r="N4796" t="n">
        <v>0</v>
      </c>
      <c r="O4796" t="n">
        <v>0</v>
      </c>
      <c r="P4796" t="n">
        <v>0</v>
      </c>
      <c r="Q4796" t="n">
        <v>0</v>
      </c>
      <c r="R4796" s="2" t="inlineStr"/>
    </row>
    <row r="4797" ht="15" customHeight="1">
      <c r="A4797" t="inlineStr">
        <is>
          <t>A 48733-2025</t>
        </is>
      </c>
      <c r="B4797" s="1" t="n">
        <v>45936.66438657408</v>
      </c>
      <c r="C4797" s="1" t="n">
        <v>46114</v>
      </c>
      <c r="D4797" t="inlineStr">
        <is>
          <t>DALARNAS LÄN</t>
        </is>
      </c>
      <c r="E4797" t="inlineStr">
        <is>
          <t>VANSBRO</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62214-2023</t>
        </is>
      </c>
      <c r="B4798" s="1" t="n">
        <v>45267.50777777778</v>
      </c>
      <c r="C4798" s="1" t="n">
        <v>46114</v>
      </c>
      <c r="D4798" t="inlineStr">
        <is>
          <t>DALARNAS LÄN</t>
        </is>
      </c>
      <c r="E4798" t="inlineStr">
        <is>
          <t>BORLÄNGE</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28451-2023</t>
        </is>
      </c>
      <c r="B4799" s="1" t="n">
        <v>45103.33896990741</v>
      </c>
      <c r="C4799" s="1" t="n">
        <v>46114</v>
      </c>
      <c r="D4799" t="inlineStr">
        <is>
          <t>DALARNAS LÄN</t>
        </is>
      </c>
      <c r="E4799" t="inlineStr">
        <is>
          <t>ORSA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48548-2025</t>
        </is>
      </c>
      <c r="B4800" s="1" t="n">
        <v>45936.42234953704</v>
      </c>
      <c r="C4800" s="1" t="n">
        <v>46114</v>
      </c>
      <c r="D4800" t="inlineStr">
        <is>
          <t>DALARNAS LÄN</t>
        </is>
      </c>
      <c r="E4800" t="inlineStr">
        <is>
          <t>AVESTA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48490-2025</t>
        </is>
      </c>
      <c r="B4801" s="1" t="n">
        <v>45936.36644675926</v>
      </c>
      <c r="C4801" s="1" t="n">
        <v>46114</v>
      </c>
      <c r="D4801" t="inlineStr">
        <is>
          <t>DALARNAS LÄN</t>
        </is>
      </c>
      <c r="E4801" t="inlineStr">
        <is>
          <t>LUDVIKA</t>
        </is>
      </c>
      <c r="F4801" t="inlineStr">
        <is>
          <t>Bergvik skog väst AB</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36519-2024</t>
        </is>
      </c>
      <c r="B4802" s="1" t="n">
        <v>45537.43009259259</v>
      </c>
      <c r="C4802" s="1" t="n">
        <v>46114</v>
      </c>
      <c r="D4802" t="inlineStr">
        <is>
          <t>DALARNAS LÄN</t>
        </is>
      </c>
      <c r="E4802" t="inlineStr">
        <is>
          <t>RÄTTVIK</t>
        </is>
      </c>
      <c r="F4802" t="inlineStr">
        <is>
          <t>Sveaskog</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40752-2024</t>
        </is>
      </c>
      <c r="B4803" s="1" t="n">
        <v>45558.45638888889</v>
      </c>
      <c r="C4803" s="1" t="n">
        <v>46114</v>
      </c>
      <c r="D4803" t="inlineStr">
        <is>
          <t>DALARNAS LÄN</t>
        </is>
      </c>
      <c r="E4803" t="inlineStr">
        <is>
          <t>LEKSAND</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48646-2025</t>
        </is>
      </c>
      <c r="B4804" s="1" t="n">
        <v>45936.54474537037</v>
      </c>
      <c r="C4804" s="1" t="n">
        <v>46114</v>
      </c>
      <c r="D4804" t="inlineStr">
        <is>
          <t>DALARNAS LÄN</t>
        </is>
      </c>
      <c r="E4804" t="inlineStr">
        <is>
          <t>MALUNG-SÄLEN</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48839-2025</t>
        </is>
      </c>
      <c r="B4805" s="1" t="n">
        <v>45936</v>
      </c>
      <c r="C4805" s="1" t="n">
        <v>46114</v>
      </c>
      <c r="D4805" t="inlineStr">
        <is>
          <t>DALARNAS LÄN</t>
        </is>
      </c>
      <c r="E4805" t="inlineStr">
        <is>
          <t>MALUNG-SÄLEN</t>
        </is>
      </c>
      <c r="G4805" t="n">
        <v>16.3</v>
      </c>
      <c r="H4805" t="n">
        <v>0</v>
      </c>
      <c r="I4805" t="n">
        <v>0</v>
      </c>
      <c r="J4805" t="n">
        <v>0</v>
      </c>
      <c r="K4805" t="n">
        <v>0</v>
      </c>
      <c r="L4805" t="n">
        <v>0</v>
      </c>
      <c r="M4805" t="n">
        <v>0</v>
      </c>
      <c r="N4805" t="n">
        <v>0</v>
      </c>
      <c r="O4805" t="n">
        <v>0</v>
      </c>
      <c r="P4805" t="n">
        <v>0</v>
      </c>
      <c r="Q4805" t="n">
        <v>0</v>
      </c>
      <c r="R4805" s="2" t="inlineStr"/>
    </row>
    <row r="4806" ht="15" customHeight="1">
      <c r="A4806" t="inlineStr">
        <is>
          <t>A 48387-2025</t>
        </is>
      </c>
      <c r="B4806" s="1" t="n">
        <v>45933.85835648148</v>
      </c>
      <c r="C4806" s="1" t="n">
        <v>46114</v>
      </c>
      <c r="D4806" t="inlineStr">
        <is>
          <t>DALARNAS LÄN</t>
        </is>
      </c>
      <c r="E4806" t="inlineStr">
        <is>
          <t>FALUN</t>
        </is>
      </c>
      <c r="G4806" t="n">
        <v>4.3</v>
      </c>
      <c r="H4806" t="n">
        <v>0</v>
      </c>
      <c r="I4806" t="n">
        <v>0</v>
      </c>
      <c r="J4806" t="n">
        <v>0</v>
      </c>
      <c r="K4806" t="n">
        <v>0</v>
      </c>
      <c r="L4806" t="n">
        <v>0</v>
      </c>
      <c r="M4806" t="n">
        <v>0</v>
      </c>
      <c r="N4806" t="n">
        <v>0</v>
      </c>
      <c r="O4806" t="n">
        <v>0</v>
      </c>
      <c r="P4806" t="n">
        <v>0</v>
      </c>
      <c r="Q4806" t="n">
        <v>0</v>
      </c>
      <c r="R4806" s="2" t="inlineStr"/>
    </row>
    <row r="4807" ht="15" customHeight="1">
      <c r="A4807" t="inlineStr">
        <is>
          <t>A 48577-2025</t>
        </is>
      </c>
      <c r="B4807" s="1" t="n">
        <v>45936.45299768518</v>
      </c>
      <c r="C4807" s="1" t="n">
        <v>46114</v>
      </c>
      <c r="D4807" t="inlineStr">
        <is>
          <t>DALARNAS LÄN</t>
        </is>
      </c>
      <c r="E4807" t="inlineStr">
        <is>
          <t>LUDVIKA</t>
        </is>
      </c>
      <c r="F4807" t="inlineStr">
        <is>
          <t>Bergvik skog väst AB</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48624-2025</t>
        </is>
      </c>
      <c r="B4808" s="1" t="n">
        <v>45936.50738425926</v>
      </c>
      <c r="C4808" s="1" t="n">
        <v>46114</v>
      </c>
      <c r="D4808" t="inlineStr">
        <is>
          <t>DALARNAS LÄN</t>
        </is>
      </c>
      <c r="E4808" t="inlineStr">
        <is>
          <t>MALUNG-SÄLEN</t>
        </is>
      </c>
      <c r="F4808" t="inlineStr">
        <is>
          <t>Bergvik skog väst AB</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4365-2025</t>
        </is>
      </c>
      <c r="B4809" s="1" t="n">
        <v>45686.34302083333</v>
      </c>
      <c r="C4809" s="1" t="n">
        <v>46114</v>
      </c>
      <c r="D4809" t="inlineStr">
        <is>
          <t>DALARNAS LÄN</t>
        </is>
      </c>
      <c r="E4809" t="inlineStr">
        <is>
          <t>RÄTTVIK</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48617-2025</t>
        </is>
      </c>
      <c r="B4810" s="1" t="n">
        <v>45935</v>
      </c>
      <c r="C4810" s="1" t="n">
        <v>46114</v>
      </c>
      <c r="D4810" t="inlineStr">
        <is>
          <t>DALARNAS LÄN</t>
        </is>
      </c>
      <c r="E4810" t="inlineStr">
        <is>
          <t>SMEDJEBACKEN</t>
        </is>
      </c>
      <c r="F4810" t="inlineStr">
        <is>
          <t>Bergvik skog väst AB</t>
        </is>
      </c>
      <c r="G4810" t="n">
        <v>18.6</v>
      </c>
      <c r="H4810" t="n">
        <v>0</v>
      </c>
      <c r="I4810" t="n">
        <v>0</v>
      </c>
      <c r="J4810" t="n">
        <v>0</v>
      </c>
      <c r="K4810" t="n">
        <v>0</v>
      </c>
      <c r="L4810" t="n">
        <v>0</v>
      </c>
      <c r="M4810" t="n">
        <v>0</v>
      </c>
      <c r="N4810" t="n">
        <v>0</v>
      </c>
      <c r="O4810" t="n">
        <v>0</v>
      </c>
      <c r="P4810" t="n">
        <v>0</v>
      </c>
      <c r="Q4810" t="n">
        <v>0</v>
      </c>
      <c r="R4810" s="2" t="inlineStr"/>
    </row>
    <row r="4811" ht="15" customHeight="1">
      <c r="A4811" t="inlineStr">
        <is>
          <t>A 48481-2025</t>
        </is>
      </c>
      <c r="B4811" s="1" t="n">
        <v>45936.3534375</v>
      </c>
      <c r="C4811" s="1" t="n">
        <v>46114</v>
      </c>
      <c r="D4811" t="inlineStr">
        <is>
          <t>DALARNAS LÄN</t>
        </is>
      </c>
      <c r="E4811" t="inlineStr">
        <is>
          <t>SMEDJEBACKEN</t>
        </is>
      </c>
      <c r="F4811" t="inlineStr">
        <is>
          <t>Sveaskog</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51208-2023</t>
        </is>
      </c>
      <c r="B4812" s="1" t="n">
        <v>45219.4410300926</v>
      </c>
      <c r="C4812" s="1" t="n">
        <v>46114</v>
      </c>
      <c r="D4812" t="inlineStr">
        <is>
          <t>DALARNAS LÄN</t>
        </is>
      </c>
      <c r="E4812" t="inlineStr">
        <is>
          <t>LUDVIKA</t>
        </is>
      </c>
      <c r="F4812" t="inlineStr">
        <is>
          <t>Bergvik skog väst AB</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48507-2025</t>
        </is>
      </c>
      <c r="B4813" s="1" t="n">
        <v>45936.38559027778</v>
      </c>
      <c r="C4813" s="1" t="n">
        <v>46114</v>
      </c>
      <c r="D4813" t="inlineStr">
        <is>
          <t>DALARNAS LÄN</t>
        </is>
      </c>
      <c r="E4813" t="inlineStr">
        <is>
          <t>SÄTER</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45110-2025</t>
        </is>
      </c>
      <c r="B4814" s="1" t="n">
        <v>45919</v>
      </c>
      <c r="C4814" s="1" t="n">
        <v>46114</v>
      </c>
      <c r="D4814" t="inlineStr">
        <is>
          <t>DALARNAS LÄN</t>
        </is>
      </c>
      <c r="E4814" t="inlineStr">
        <is>
          <t>GAGNEF</t>
        </is>
      </c>
      <c r="F4814" t="inlineStr">
        <is>
          <t>Bergvik skog väst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15882-2023</t>
        </is>
      </c>
      <c r="B4815" s="1" t="n">
        <v>45022</v>
      </c>
      <c r="C4815" s="1" t="n">
        <v>46114</v>
      </c>
      <c r="D4815" t="inlineStr">
        <is>
          <t>DALARNAS LÄN</t>
        </is>
      </c>
      <c r="E4815" t="inlineStr">
        <is>
          <t>LEKSAND</t>
        </is>
      </c>
      <c r="G4815" t="n">
        <v>0.1</v>
      </c>
      <c r="H4815" t="n">
        <v>0</v>
      </c>
      <c r="I4815" t="n">
        <v>0</v>
      </c>
      <c r="J4815" t="n">
        <v>0</v>
      </c>
      <c r="K4815" t="n">
        <v>0</v>
      </c>
      <c r="L4815" t="n">
        <v>0</v>
      </c>
      <c r="M4815" t="n">
        <v>0</v>
      </c>
      <c r="N4815" t="n">
        <v>0</v>
      </c>
      <c r="O4815" t="n">
        <v>0</v>
      </c>
      <c r="P4815" t="n">
        <v>0</v>
      </c>
      <c r="Q4815" t="n">
        <v>0</v>
      </c>
      <c r="R4815" s="2" t="inlineStr"/>
    </row>
    <row r="4816" ht="15" customHeight="1">
      <c r="A4816" t="inlineStr">
        <is>
          <t>A 48476-2025</t>
        </is>
      </c>
      <c r="B4816" s="1" t="n">
        <v>45936.34744212963</v>
      </c>
      <c r="C4816" s="1" t="n">
        <v>46114</v>
      </c>
      <c r="D4816" t="inlineStr">
        <is>
          <t>DALARNAS LÄN</t>
        </is>
      </c>
      <c r="E4816" t="inlineStr">
        <is>
          <t>SMEDJEBACKEN</t>
        </is>
      </c>
      <c r="F4816" t="inlineStr">
        <is>
          <t>Sveaskog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55392-2022</t>
        </is>
      </c>
      <c r="B4817" s="1" t="n">
        <v>44887</v>
      </c>
      <c r="C4817" s="1" t="n">
        <v>46114</v>
      </c>
      <c r="D4817" t="inlineStr">
        <is>
          <t>DALARNAS LÄN</t>
        </is>
      </c>
      <c r="E4817" t="inlineStr">
        <is>
          <t>GAGNEF</t>
        </is>
      </c>
      <c r="G4817" t="n">
        <v>0.4</v>
      </c>
      <c r="H4817" t="n">
        <v>0</v>
      </c>
      <c r="I4817" t="n">
        <v>0</v>
      </c>
      <c r="J4817" t="n">
        <v>0</v>
      </c>
      <c r="K4817" t="n">
        <v>0</v>
      </c>
      <c r="L4817" t="n">
        <v>0</v>
      </c>
      <c r="M4817" t="n">
        <v>0</v>
      </c>
      <c r="N4817" t="n">
        <v>0</v>
      </c>
      <c r="O4817" t="n">
        <v>0</v>
      </c>
      <c r="P4817" t="n">
        <v>0</v>
      </c>
      <c r="Q4817" t="n">
        <v>0</v>
      </c>
      <c r="R4817" s="2" t="inlineStr"/>
    </row>
    <row r="4818" ht="15" customHeight="1">
      <c r="A4818" t="inlineStr">
        <is>
          <t>A 48478-2025</t>
        </is>
      </c>
      <c r="B4818" s="1" t="n">
        <v>45936.34949074074</v>
      </c>
      <c r="C4818" s="1" t="n">
        <v>46114</v>
      </c>
      <c r="D4818" t="inlineStr">
        <is>
          <t>DALARNAS LÄN</t>
        </is>
      </c>
      <c r="E4818" t="inlineStr">
        <is>
          <t>SMEDJEBACKEN</t>
        </is>
      </c>
      <c r="F4818" t="inlineStr">
        <is>
          <t>Sveaskog</t>
        </is>
      </c>
      <c r="G4818" t="n">
        <v>4.4</v>
      </c>
      <c r="H4818" t="n">
        <v>0</v>
      </c>
      <c r="I4818" t="n">
        <v>0</v>
      </c>
      <c r="J4818" t="n">
        <v>0</v>
      </c>
      <c r="K4818" t="n">
        <v>0</v>
      </c>
      <c r="L4818" t="n">
        <v>0</v>
      </c>
      <c r="M4818" t="n">
        <v>0</v>
      </c>
      <c r="N4818" t="n">
        <v>0</v>
      </c>
      <c r="O4818" t="n">
        <v>0</v>
      </c>
      <c r="P4818" t="n">
        <v>0</v>
      </c>
      <c r="Q4818" t="n">
        <v>0</v>
      </c>
      <c r="R4818" s="2" t="inlineStr"/>
    </row>
    <row r="4819" ht="15" customHeight="1">
      <c r="A4819" t="inlineStr">
        <is>
          <t>A 48696-2025</t>
        </is>
      </c>
      <c r="B4819" s="1" t="n">
        <v>45936.61449074074</v>
      </c>
      <c r="C4819" s="1" t="n">
        <v>46114</v>
      </c>
      <c r="D4819" t="inlineStr">
        <is>
          <t>DALARNAS LÄN</t>
        </is>
      </c>
      <c r="E4819" t="inlineStr">
        <is>
          <t>MALUNG-SÄLEN</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48421-2025</t>
        </is>
      </c>
      <c r="B4820" s="1" t="n">
        <v>45934.67564814815</v>
      </c>
      <c r="C4820" s="1" t="n">
        <v>46114</v>
      </c>
      <c r="D4820" t="inlineStr">
        <is>
          <t>DALARNAS LÄN</t>
        </is>
      </c>
      <c r="E4820" t="inlineStr">
        <is>
          <t>LEKSAND</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47716-2025</t>
        </is>
      </c>
      <c r="B4821" s="1" t="n">
        <v>45931</v>
      </c>
      <c r="C4821" s="1" t="n">
        <v>46114</v>
      </c>
      <c r="D4821" t="inlineStr">
        <is>
          <t>DALARNAS LÄN</t>
        </is>
      </c>
      <c r="E4821" t="inlineStr">
        <is>
          <t>MORA</t>
        </is>
      </c>
      <c r="G4821" t="n">
        <v>8.9</v>
      </c>
      <c r="H4821" t="n">
        <v>0</v>
      </c>
      <c r="I4821" t="n">
        <v>0</v>
      </c>
      <c r="J4821" t="n">
        <v>0</v>
      </c>
      <c r="K4821" t="n">
        <v>0</v>
      </c>
      <c r="L4821" t="n">
        <v>0</v>
      </c>
      <c r="M4821" t="n">
        <v>0</v>
      </c>
      <c r="N4821" t="n">
        <v>0</v>
      </c>
      <c r="O4821" t="n">
        <v>0</v>
      </c>
      <c r="P4821" t="n">
        <v>0</v>
      </c>
      <c r="Q4821" t="n">
        <v>0</v>
      </c>
      <c r="R4821" s="2" t="inlineStr"/>
    </row>
    <row r="4822" ht="15" customHeight="1">
      <c r="A4822" t="inlineStr">
        <is>
          <t>A 59307-2022</t>
        </is>
      </c>
      <c r="B4822" s="1" t="n">
        <v>44897</v>
      </c>
      <c r="C4822" s="1" t="n">
        <v>46114</v>
      </c>
      <c r="D4822" t="inlineStr">
        <is>
          <t>DALARNAS LÄN</t>
        </is>
      </c>
      <c r="E4822" t="inlineStr">
        <is>
          <t>RÄTTVIK</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48488-2025</t>
        </is>
      </c>
      <c r="B4823" s="1" t="n">
        <v>45936.36597222222</v>
      </c>
      <c r="C4823" s="1" t="n">
        <v>46114</v>
      </c>
      <c r="D4823" t="inlineStr">
        <is>
          <t>DALARNAS LÄN</t>
        </is>
      </c>
      <c r="E4823" t="inlineStr">
        <is>
          <t>LUDVIKA</t>
        </is>
      </c>
      <c r="F4823" t="inlineStr">
        <is>
          <t>Bergvik skog väst AB</t>
        </is>
      </c>
      <c r="G4823" t="n">
        <v>2</v>
      </c>
      <c r="H4823" t="n">
        <v>0</v>
      </c>
      <c r="I4823" t="n">
        <v>0</v>
      </c>
      <c r="J4823" t="n">
        <v>0</v>
      </c>
      <c r="K4823" t="n">
        <v>0</v>
      </c>
      <c r="L4823" t="n">
        <v>0</v>
      </c>
      <c r="M4823" t="n">
        <v>0</v>
      </c>
      <c r="N4823" t="n">
        <v>0</v>
      </c>
      <c r="O4823" t="n">
        <v>0</v>
      </c>
      <c r="P4823" t="n">
        <v>0</v>
      </c>
      <c r="Q4823" t="n">
        <v>0</v>
      </c>
      <c r="R4823" s="2" t="inlineStr"/>
    </row>
    <row r="4824" ht="15" customHeight="1">
      <c r="A4824" t="inlineStr">
        <is>
          <t>A 18122-2025</t>
        </is>
      </c>
      <c r="B4824" s="1" t="n">
        <v>45761.59221064814</v>
      </c>
      <c r="C4824" s="1" t="n">
        <v>46114</v>
      </c>
      <c r="D4824" t="inlineStr">
        <is>
          <t>DALARNAS LÄN</t>
        </is>
      </c>
      <c r="E4824" t="inlineStr">
        <is>
          <t>MORA</t>
        </is>
      </c>
      <c r="F4824" t="inlineStr">
        <is>
          <t>Bergvik skog öst AB</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48829-2025</t>
        </is>
      </c>
      <c r="B4825" s="1" t="n">
        <v>45936</v>
      </c>
      <c r="C4825" s="1" t="n">
        <v>46114</v>
      </c>
      <c r="D4825" t="inlineStr">
        <is>
          <t>DALARNAS LÄN</t>
        </is>
      </c>
      <c r="E4825" t="inlineStr">
        <is>
          <t>LEKSAND</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48927-2025</t>
        </is>
      </c>
      <c r="B4826" s="1" t="n">
        <v>45931</v>
      </c>
      <c r="C4826" s="1" t="n">
        <v>46114</v>
      </c>
      <c r="D4826" t="inlineStr">
        <is>
          <t>DALARNAS LÄN</t>
        </is>
      </c>
      <c r="E4826" t="inlineStr">
        <is>
          <t>MORA</t>
        </is>
      </c>
      <c r="G4826" t="n">
        <v>2.1</v>
      </c>
      <c r="H4826" t="n">
        <v>0</v>
      </c>
      <c r="I4826" t="n">
        <v>0</v>
      </c>
      <c r="J4826" t="n">
        <v>0</v>
      </c>
      <c r="K4826" t="n">
        <v>0</v>
      </c>
      <c r="L4826" t="n">
        <v>0</v>
      </c>
      <c r="M4826" t="n">
        <v>0</v>
      </c>
      <c r="N4826" t="n">
        <v>0</v>
      </c>
      <c r="O4826" t="n">
        <v>0</v>
      </c>
      <c r="P4826" t="n">
        <v>0</v>
      </c>
      <c r="Q4826" t="n">
        <v>0</v>
      </c>
      <c r="R4826" s="2" t="inlineStr"/>
    </row>
    <row r="4827" ht="15" customHeight="1">
      <c r="A4827" t="inlineStr">
        <is>
          <t>A 57930-2024</t>
        </is>
      </c>
      <c r="B4827" s="1" t="n">
        <v>45630</v>
      </c>
      <c r="C4827" s="1" t="n">
        <v>46114</v>
      </c>
      <c r="D4827" t="inlineStr">
        <is>
          <t>DALARNAS LÄN</t>
        </is>
      </c>
      <c r="E4827" t="inlineStr">
        <is>
          <t>LEKSAND</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18186-2025</t>
        </is>
      </c>
      <c r="B4828" s="1" t="n">
        <v>45761.66739583333</v>
      </c>
      <c r="C4828" s="1" t="n">
        <v>46114</v>
      </c>
      <c r="D4828" t="inlineStr">
        <is>
          <t>DALARNAS LÄN</t>
        </is>
      </c>
      <c r="E4828" t="inlineStr">
        <is>
          <t>MALUNG-SÄLEN</t>
        </is>
      </c>
      <c r="F4828" t="inlineStr">
        <is>
          <t>Bergvik skog öst AB</t>
        </is>
      </c>
      <c r="G4828" t="n">
        <v>7.9</v>
      </c>
      <c r="H4828" t="n">
        <v>0</v>
      </c>
      <c r="I4828" t="n">
        <v>0</v>
      </c>
      <c r="J4828" t="n">
        <v>0</v>
      </c>
      <c r="K4828" t="n">
        <v>0</v>
      </c>
      <c r="L4828" t="n">
        <v>0</v>
      </c>
      <c r="M4828" t="n">
        <v>0</v>
      </c>
      <c r="N4828" t="n">
        <v>0</v>
      </c>
      <c r="O4828" t="n">
        <v>0</v>
      </c>
      <c r="P4828" t="n">
        <v>0</v>
      </c>
      <c r="Q4828" t="n">
        <v>0</v>
      </c>
      <c r="R4828" s="2" t="inlineStr"/>
    </row>
    <row r="4829" ht="15" customHeight="1">
      <c r="A4829" t="inlineStr">
        <is>
          <t>A 48584-2025</t>
        </is>
      </c>
      <c r="B4829" s="1" t="n">
        <v>45936.45788194444</v>
      </c>
      <c r="C4829" s="1" t="n">
        <v>46114</v>
      </c>
      <c r="D4829" t="inlineStr">
        <is>
          <t>DALARNAS LÄN</t>
        </is>
      </c>
      <c r="E4829" t="inlineStr">
        <is>
          <t>ORSA</t>
        </is>
      </c>
      <c r="F4829" t="inlineStr">
        <is>
          <t>Allmännings- och besparingsskogar</t>
        </is>
      </c>
      <c r="G4829" t="n">
        <v>10.3</v>
      </c>
      <c r="H4829" t="n">
        <v>0</v>
      </c>
      <c r="I4829" t="n">
        <v>0</v>
      </c>
      <c r="J4829" t="n">
        <v>0</v>
      </c>
      <c r="K4829" t="n">
        <v>0</v>
      </c>
      <c r="L4829" t="n">
        <v>0</v>
      </c>
      <c r="M4829" t="n">
        <v>0</v>
      </c>
      <c r="N4829" t="n">
        <v>0</v>
      </c>
      <c r="O4829" t="n">
        <v>0</v>
      </c>
      <c r="P4829" t="n">
        <v>0</v>
      </c>
      <c r="Q4829" t="n">
        <v>0</v>
      </c>
      <c r="R4829" s="2" t="inlineStr"/>
    </row>
    <row r="4830" ht="15" customHeight="1">
      <c r="A4830" t="inlineStr">
        <is>
          <t>A 48590-2025</t>
        </is>
      </c>
      <c r="B4830" s="1" t="n">
        <v>45936.46136574074</v>
      </c>
      <c r="C4830" s="1" t="n">
        <v>46114</v>
      </c>
      <c r="D4830" t="inlineStr">
        <is>
          <t>DALARNAS LÄN</t>
        </is>
      </c>
      <c r="E4830" t="inlineStr">
        <is>
          <t>LUDVIKA</t>
        </is>
      </c>
      <c r="F4830" t="inlineStr">
        <is>
          <t>Bergvik skog väst AB</t>
        </is>
      </c>
      <c r="G4830" t="n">
        <v>13.7</v>
      </c>
      <c r="H4830" t="n">
        <v>0</v>
      </c>
      <c r="I4830" t="n">
        <v>0</v>
      </c>
      <c r="J4830" t="n">
        <v>0</v>
      </c>
      <c r="K4830" t="n">
        <v>0</v>
      </c>
      <c r="L4830" t="n">
        <v>0</v>
      </c>
      <c r="M4830" t="n">
        <v>0</v>
      </c>
      <c r="N4830" t="n">
        <v>0</v>
      </c>
      <c r="O4830" t="n">
        <v>0</v>
      </c>
      <c r="P4830" t="n">
        <v>0</v>
      </c>
      <c r="Q4830" t="n">
        <v>0</v>
      </c>
      <c r="R4830" s="2" t="inlineStr"/>
    </row>
    <row r="4831" ht="15" customHeight="1">
      <c r="A4831" t="inlineStr">
        <is>
          <t>A 57927-2024</t>
        </is>
      </c>
      <c r="B4831" s="1" t="n">
        <v>45630</v>
      </c>
      <c r="C4831" s="1" t="n">
        <v>46114</v>
      </c>
      <c r="D4831" t="inlineStr">
        <is>
          <t>DALARNAS LÄN</t>
        </is>
      </c>
      <c r="E4831" t="inlineStr">
        <is>
          <t>LEKSAND</t>
        </is>
      </c>
      <c r="G4831" t="n">
        <v>0.2</v>
      </c>
      <c r="H4831" t="n">
        <v>0</v>
      </c>
      <c r="I4831" t="n">
        <v>0</v>
      </c>
      <c r="J4831" t="n">
        <v>0</v>
      </c>
      <c r="K4831" t="n">
        <v>0</v>
      </c>
      <c r="L4831" t="n">
        <v>0</v>
      </c>
      <c r="M4831" t="n">
        <v>0</v>
      </c>
      <c r="N4831" t="n">
        <v>0</v>
      </c>
      <c r="O4831" t="n">
        <v>0</v>
      </c>
      <c r="P4831" t="n">
        <v>0</v>
      </c>
      <c r="Q4831" t="n">
        <v>0</v>
      </c>
      <c r="R4831" s="2" t="inlineStr"/>
    </row>
    <row r="4832" ht="15" customHeight="1">
      <c r="A4832" t="inlineStr">
        <is>
          <t>A 48480-2025</t>
        </is>
      </c>
      <c r="B4832" s="1" t="n">
        <v>45936.35192129629</v>
      </c>
      <c r="C4832" s="1" t="n">
        <v>46114</v>
      </c>
      <c r="D4832" t="inlineStr">
        <is>
          <t>DALARNAS LÄN</t>
        </is>
      </c>
      <c r="E4832" t="inlineStr">
        <is>
          <t>SMEDJEBACKEN</t>
        </is>
      </c>
      <c r="F4832" t="inlineStr">
        <is>
          <t>Sveaskog</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48504-2025</t>
        </is>
      </c>
      <c r="B4833" s="1" t="n">
        <v>45936.38270833333</v>
      </c>
      <c r="C4833" s="1" t="n">
        <v>46114</v>
      </c>
      <c r="D4833" t="inlineStr">
        <is>
          <t>DALARNAS LÄN</t>
        </is>
      </c>
      <c r="E4833" t="inlineStr">
        <is>
          <t>ORSA</t>
        </is>
      </c>
      <c r="F4833" t="inlineStr">
        <is>
          <t>Allmännings- och besparingsskogar</t>
        </is>
      </c>
      <c r="G4833" t="n">
        <v>6.1</v>
      </c>
      <c r="H4833" t="n">
        <v>0</v>
      </c>
      <c r="I4833" t="n">
        <v>0</v>
      </c>
      <c r="J4833" t="n">
        <v>0</v>
      </c>
      <c r="K4833" t="n">
        <v>0</v>
      </c>
      <c r="L4833" t="n">
        <v>0</v>
      </c>
      <c r="M4833" t="n">
        <v>0</v>
      </c>
      <c r="N4833" t="n">
        <v>0</v>
      </c>
      <c r="O4833" t="n">
        <v>0</v>
      </c>
      <c r="P4833" t="n">
        <v>0</v>
      </c>
      <c r="Q4833" t="n">
        <v>0</v>
      </c>
      <c r="R4833" s="2" t="inlineStr"/>
    </row>
    <row r="4834" ht="15" customHeight="1">
      <c r="A4834" t="inlineStr">
        <is>
          <t>A 48536-2025</t>
        </is>
      </c>
      <c r="B4834" s="1" t="n">
        <v>45936.40972222222</v>
      </c>
      <c r="C4834" s="1" t="n">
        <v>46114</v>
      </c>
      <c r="D4834" t="inlineStr">
        <is>
          <t>DALARNAS LÄN</t>
        </is>
      </c>
      <c r="E4834" t="inlineStr">
        <is>
          <t>AVESTA</t>
        </is>
      </c>
      <c r="G4834" t="n">
        <v>2.7</v>
      </c>
      <c r="H4834" t="n">
        <v>0</v>
      </c>
      <c r="I4834" t="n">
        <v>0</v>
      </c>
      <c r="J4834" t="n">
        <v>0</v>
      </c>
      <c r="K4834" t="n">
        <v>0</v>
      </c>
      <c r="L4834" t="n">
        <v>0</v>
      </c>
      <c r="M4834" t="n">
        <v>0</v>
      </c>
      <c r="N4834" t="n">
        <v>0</v>
      </c>
      <c r="O4834" t="n">
        <v>0</v>
      </c>
      <c r="P4834" t="n">
        <v>0</v>
      </c>
      <c r="Q4834" t="n">
        <v>0</v>
      </c>
      <c r="R4834" s="2" t="inlineStr"/>
    </row>
    <row r="4835" ht="15" customHeight="1">
      <c r="A4835" t="inlineStr">
        <is>
          <t>A 9586-2023</t>
        </is>
      </c>
      <c r="B4835" s="1" t="n">
        <v>44982</v>
      </c>
      <c r="C4835" s="1" t="n">
        <v>46114</v>
      </c>
      <c r="D4835" t="inlineStr">
        <is>
          <t>DALARNAS LÄN</t>
        </is>
      </c>
      <c r="E4835" t="inlineStr">
        <is>
          <t>SÄTER</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49095-2025</t>
        </is>
      </c>
      <c r="B4836" s="1" t="n">
        <v>45937.69153935185</v>
      </c>
      <c r="C4836" s="1" t="n">
        <v>46114</v>
      </c>
      <c r="D4836" t="inlineStr">
        <is>
          <t>DALARNAS LÄN</t>
        </is>
      </c>
      <c r="E4836" t="inlineStr">
        <is>
          <t>AVESTA</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41728-2024</t>
        </is>
      </c>
      <c r="B4837" s="1" t="n">
        <v>45560.90010416666</v>
      </c>
      <c r="C4837" s="1" t="n">
        <v>46114</v>
      </c>
      <c r="D4837" t="inlineStr">
        <is>
          <t>DALARNAS LÄN</t>
        </is>
      </c>
      <c r="E4837" t="inlineStr">
        <is>
          <t>AVESTA</t>
        </is>
      </c>
      <c r="G4837" t="n">
        <v>2.3</v>
      </c>
      <c r="H4837" t="n">
        <v>0</v>
      </c>
      <c r="I4837" t="n">
        <v>0</v>
      </c>
      <c r="J4837" t="n">
        <v>0</v>
      </c>
      <c r="K4837" t="n">
        <v>0</v>
      </c>
      <c r="L4837" t="n">
        <v>0</v>
      </c>
      <c r="M4837" t="n">
        <v>0</v>
      </c>
      <c r="N4837" t="n">
        <v>0</v>
      </c>
      <c r="O4837" t="n">
        <v>0</v>
      </c>
      <c r="P4837" t="n">
        <v>0</v>
      </c>
      <c r="Q4837" t="n">
        <v>0</v>
      </c>
      <c r="R4837" s="2" t="inlineStr"/>
    </row>
    <row r="4838" ht="15" customHeight="1">
      <c r="A4838" t="inlineStr">
        <is>
          <t>A 30578-2022</t>
        </is>
      </c>
      <c r="B4838" s="1" t="n">
        <v>44762.63053240741</v>
      </c>
      <c r="C4838" s="1" t="n">
        <v>46114</v>
      </c>
      <c r="D4838" t="inlineStr">
        <is>
          <t>DALARNAS LÄN</t>
        </is>
      </c>
      <c r="E4838" t="inlineStr">
        <is>
          <t>RÄTTVIK</t>
        </is>
      </c>
      <c r="G4838" t="n">
        <v>4.5</v>
      </c>
      <c r="H4838" t="n">
        <v>0</v>
      </c>
      <c r="I4838" t="n">
        <v>0</v>
      </c>
      <c r="J4838" t="n">
        <v>0</v>
      </c>
      <c r="K4838" t="n">
        <v>0</v>
      </c>
      <c r="L4838" t="n">
        <v>0</v>
      </c>
      <c r="M4838" t="n">
        <v>0</v>
      </c>
      <c r="N4838" t="n">
        <v>0</v>
      </c>
      <c r="O4838" t="n">
        <v>0</v>
      </c>
      <c r="P4838" t="n">
        <v>0</v>
      </c>
      <c r="Q4838" t="n">
        <v>0</v>
      </c>
      <c r="R4838" s="2" t="inlineStr"/>
    </row>
    <row r="4839" ht="15" customHeight="1">
      <c r="A4839" t="inlineStr">
        <is>
          <t>A 48834-2025</t>
        </is>
      </c>
      <c r="B4839" s="1" t="n">
        <v>45937.39556712963</v>
      </c>
      <c r="C4839" s="1" t="n">
        <v>46114</v>
      </c>
      <c r="D4839" t="inlineStr">
        <is>
          <t>DALARNAS LÄN</t>
        </is>
      </c>
      <c r="E4839" t="inlineStr">
        <is>
          <t>MALUNG-SÄLEN</t>
        </is>
      </c>
      <c r="F4839" t="inlineStr">
        <is>
          <t>Bergvik skog väst AB</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48866-2025</t>
        </is>
      </c>
      <c r="B4840" s="1" t="n">
        <v>45937.44818287037</v>
      </c>
      <c r="C4840" s="1" t="n">
        <v>46114</v>
      </c>
      <c r="D4840" t="inlineStr">
        <is>
          <t>DALARNAS LÄN</t>
        </is>
      </c>
      <c r="E4840" t="inlineStr">
        <is>
          <t>FALUN</t>
        </is>
      </c>
      <c r="G4840" t="n">
        <v>4.9</v>
      </c>
      <c r="H4840" t="n">
        <v>0</v>
      </c>
      <c r="I4840" t="n">
        <v>0</v>
      </c>
      <c r="J4840" t="n">
        <v>0</v>
      </c>
      <c r="K4840" t="n">
        <v>0</v>
      </c>
      <c r="L4840" t="n">
        <v>0</v>
      </c>
      <c r="M4840" t="n">
        <v>0</v>
      </c>
      <c r="N4840" t="n">
        <v>0</v>
      </c>
      <c r="O4840" t="n">
        <v>0</v>
      </c>
      <c r="P4840" t="n">
        <v>0</v>
      </c>
      <c r="Q4840" t="n">
        <v>0</v>
      </c>
      <c r="R4840" s="2" t="inlineStr"/>
    </row>
    <row r="4841" ht="15" customHeight="1">
      <c r="A4841" t="inlineStr">
        <is>
          <t>A 30738-2024</t>
        </is>
      </c>
      <c r="B4841" s="1" t="n">
        <v>45496.64266203704</v>
      </c>
      <c r="C4841" s="1" t="n">
        <v>46114</v>
      </c>
      <c r="D4841" t="inlineStr">
        <is>
          <t>DALARNAS LÄN</t>
        </is>
      </c>
      <c r="E4841" t="inlineStr">
        <is>
          <t>AVESTA</t>
        </is>
      </c>
      <c r="F4841" t="inlineStr">
        <is>
          <t>Sveaskog</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24406-2024</t>
        </is>
      </c>
      <c r="B4842" s="1" t="n">
        <v>45457.67018518518</v>
      </c>
      <c r="C4842" s="1" t="n">
        <v>46114</v>
      </c>
      <c r="D4842" t="inlineStr">
        <is>
          <t>DALARNAS LÄN</t>
        </is>
      </c>
      <c r="E4842" t="inlineStr">
        <is>
          <t>AVESTA</t>
        </is>
      </c>
      <c r="G4842" t="n">
        <v>9.800000000000001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48930-2025</t>
        </is>
      </c>
      <c r="B4843" s="1" t="n">
        <v>45937.52008101852</v>
      </c>
      <c r="C4843" s="1" t="n">
        <v>46114</v>
      </c>
      <c r="D4843" t="inlineStr">
        <is>
          <t>DALARNAS LÄN</t>
        </is>
      </c>
      <c r="E4843" t="inlineStr">
        <is>
          <t>RÄTTVIK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48926-2025</t>
        </is>
      </c>
      <c r="B4844" s="1" t="n">
        <v>45937.50666666667</v>
      </c>
      <c r="C4844" s="1" t="n">
        <v>46114</v>
      </c>
      <c r="D4844" t="inlineStr">
        <is>
          <t>DALARNAS LÄN</t>
        </is>
      </c>
      <c r="E4844" t="inlineStr">
        <is>
          <t>MORA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49430-2025</t>
        </is>
      </c>
      <c r="B4845" s="1" t="n">
        <v>45938.79863425926</v>
      </c>
      <c r="C4845" s="1" t="n">
        <v>46114</v>
      </c>
      <c r="D4845" t="inlineStr">
        <is>
          <t>DALARNAS LÄN</t>
        </is>
      </c>
      <c r="E4845" t="inlineStr">
        <is>
          <t>FALUN</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48980-2025</t>
        </is>
      </c>
      <c r="B4846" s="1" t="n">
        <v>45937.57186342592</v>
      </c>
      <c r="C4846" s="1" t="n">
        <v>46114</v>
      </c>
      <c r="D4846" t="inlineStr">
        <is>
          <t>DALARNAS LÄN</t>
        </is>
      </c>
      <c r="E4846" t="inlineStr">
        <is>
          <t>RÄTTVIK</t>
        </is>
      </c>
      <c r="F4846" t="inlineStr">
        <is>
          <t>Bergvik skog väst AB</t>
        </is>
      </c>
      <c r="G4846" t="n">
        <v>12.5</v>
      </c>
      <c r="H4846" t="n">
        <v>0</v>
      </c>
      <c r="I4846" t="n">
        <v>0</v>
      </c>
      <c r="J4846" t="n">
        <v>0</v>
      </c>
      <c r="K4846" t="n">
        <v>0</v>
      </c>
      <c r="L4846" t="n">
        <v>0</v>
      </c>
      <c r="M4846" t="n">
        <v>0</v>
      </c>
      <c r="N4846" t="n">
        <v>0</v>
      </c>
      <c r="O4846" t="n">
        <v>0</v>
      </c>
      <c r="P4846" t="n">
        <v>0</v>
      </c>
      <c r="Q4846" t="n">
        <v>0</v>
      </c>
      <c r="R4846" s="2" t="inlineStr"/>
    </row>
    <row r="4847" ht="15" customHeight="1">
      <c r="A4847" t="inlineStr">
        <is>
          <t>A 48837-2025</t>
        </is>
      </c>
      <c r="B4847" s="1" t="n">
        <v>45937.40653935185</v>
      </c>
      <c r="C4847" s="1" t="n">
        <v>46114</v>
      </c>
      <c r="D4847" t="inlineStr">
        <is>
          <t>DALARNAS LÄN</t>
        </is>
      </c>
      <c r="E4847" t="inlineStr">
        <is>
          <t>MALUNG-SÄLEN</t>
        </is>
      </c>
      <c r="F4847" t="inlineStr">
        <is>
          <t>Bergvik skog väst AB</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23245-2021</t>
        </is>
      </c>
      <c r="B4848" s="1" t="n">
        <v>44333</v>
      </c>
      <c r="C4848" s="1" t="n">
        <v>46114</v>
      </c>
      <c r="D4848" t="inlineStr">
        <is>
          <t>DALARNAS LÄN</t>
        </is>
      </c>
      <c r="E4848" t="inlineStr">
        <is>
          <t>LUDVIKA</t>
        </is>
      </c>
      <c r="F4848" t="inlineStr">
        <is>
          <t>Kyrkan</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49462-2025</t>
        </is>
      </c>
      <c r="B4849" s="1" t="n">
        <v>45939.32263888889</v>
      </c>
      <c r="C4849" s="1" t="n">
        <v>46114</v>
      </c>
      <c r="D4849" t="inlineStr">
        <is>
          <t>DALARNAS LÄN</t>
        </is>
      </c>
      <c r="E4849" t="inlineStr">
        <is>
          <t>BORLÄNGE</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5520-2024</t>
        </is>
      </c>
      <c r="B4850" s="1" t="n">
        <v>45334.37760416666</v>
      </c>
      <c r="C4850" s="1" t="n">
        <v>46114</v>
      </c>
      <c r="D4850" t="inlineStr">
        <is>
          <t>DALARNAS LÄN</t>
        </is>
      </c>
      <c r="E4850" t="inlineStr">
        <is>
          <t>RÄTTVIK</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49505-2025</t>
        </is>
      </c>
      <c r="B4851" s="1" t="n">
        <v>45939.37564814815</v>
      </c>
      <c r="C4851" s="1" t="n">
        <v>46114</v>
      </c>
      <c r="D4851" t="inlineStr">
        <is>
          <t>DALARNAS LÄN</t>
        </is>
      </c>
      <c r="E4851" t="inlineStr">
        <is>
          <t>LEKSAND</t>
        </is>
      </c>
      <c r="F4851" t="inlineStr">
        <is>
          <t>Bergvik skog väst AB</t>
        </is>
      </c>
      <c r="G4851" t="n">
        <v>1.4</v>
      </c>
      <c r="H4851" t="n">
        <v>0</v>
      </c>
      <c r="I4851" t="n">
        <v>0</v>
      </c>
      <c r="J4851" t="n">
        <v>0</v>
      </c>
      <c r="K4851" t="n">
        <v>0</v>
      </c>
      <c r="L4851" t="n">
        <v>0</v>
      </c>
      <c r="M4851" t="n">
        <v>0</v>
      </c>
      <c r="N4851" t="n">
        <v>0</v>
      </c>
      <c r="O4851" t="n">
        <v>0</v>
      </c>
      <c r="P4851" t="n">
        <v>0</v>
      </c>
      <c r="Q4851" t="n">
        <v>0</v>
      </c>
      <c r="R4851" s="2" t="inlineStr"/>
    </row>
    <row r="4852" ht="15" customHeight="1">
      <c r="A4852" t="inlineStr">
        <is>
          <t>A 49517-2025</t>
        </is>
      </c>
      <c r="B4852" s="1" t="n">
        <v>45939.38850694444</v>
      </c>
      <c r="C4852" s="1" t="n">
        <v>46114</v>
      </c>
      <c r="D4852" t="inlineStr">
        <is>
          <t>DALARNAS LÄN</t>
        </is>
      </c>
      <c r="E4852" t="inlineStr">
        <is>
          <t>ORSA</t>
        </is>
      </c>
      <c r="F4852" t="inlineStr">
        <is>
          <t>Bergvik skog öst AB</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5576-2024</t>
        </is>
      </c>
      <c r="B4853" s="1" t="n">
        <v>45334</v>
      </c>
      <c r="C4853" s="1" t="n">
        <v>46114</v>
      </c>
      <c r="D4853" t="inlineStr">
        <is>
          <t>DALARNAS LÄN</t>
        </is>
      </c>
      <c r="E4853" t="inlineStr">
        <is>
          <t>LUDVIKA</t>
        </is>
      </c>
      <c r="G4853" t="n">
        <v>7</v>
      </c>
      <c r="H4853" t="n">
        <v>0</v>
      </c>
      <c r="I4853" t="n">
        <v>0</v>
      </c>
      <c r="J4853" t="n">
        <v>0</v>
      </c>
      <c r="K4853" t="n">
        <v>0</v>
      </c>
      <c r="L4853" t="n">
        <v>0</v>
      </c>
      <c r="M4853" t="n">
        <v>0</v>
      </c>
      <c r="N4853" t="n">
        <v>0</v>
      </c>
      <c r="O4853" t="n">
        <v>0</v>
      </c>
      <c r="P4853" t="n">
        <v>0</v>
      </c>
      <c r="Q4853" t="n">
        <v>0</v>
      </c>
      <c r="R4853" s="2" t="inlineStr"/>
    </row>
    <row r="4854" ht="15" customHeight="1">
      <c r="A4854" t="inlineStr">
        <is>
          <t>A 5583-2024</t>
        </is>
      </c>
      <c r="B4854" s="1" t="n">
        <v>45334</v>
      </c>
      <c r="C4854" s="1" t="n">
        <v>46114</v>
      </c>
      <c r="D4854" t="inlineStr">
        <is>
          <t>DALARNAS LÄN</t>
        </is>
      </c>
      <c r="E4854" t="inlineStr">
        <is>
          <t>LEKSAND</t>
        </is>
      </c>
      <c r="F4854" t="inlineStr">
        <is>
          <t>Kyrkan</t>
        </is>
      </c>
      <c r="G4854" t="n">
        <v>0.4</v>
      </c>
      <c r="H4854" t="n">
        <v>0</v>
      </c>
      <c r="I4854" t="n">
        <v>0</v>
      </c>
      <c r="J4854" t="n">
        <v>0</v>
      </c>
      <c r="K4854" t="n">
        <v>0</v>
      </c>
      <c r="L4854" t="n">
        <v>0</v>
      </c>
      <c r="M4854" t="n">
        <v>0</v>
      </c>
      <c r="N4854" t="n">
        <v>0</v>
      </c>
      <c r="O4854" t="n">
        <v>0</v>
      </c>
      <c r="P4854" t="n">
        <v>0</v>
      </c>
      <c r="Q4854" t="n">
        <v>0</v>
      </c>
      <c r="R4854" s="2" t="inlineStr"/>
    </row>
    <row r="4855" ht="15" customHeight="1">
      <c r="A4855" t="inlineStr">
        <is>
          <t>A 55832-2024</t>
        </is>
      </c>
      <c r="B4855" s="1" t="n">
        <v>45623.48604166666</v>
      </c>
      <c r="C4855" s="1" t="n">
        <v>46114</v>
      </c>
      <c r="D4855" t="inlineStr">
        <is>
          <t>DALARNAS LÄN</t>
        </is>
      </c>
      <c r="E4855" t="inlineStr">
        <is>
          <t>HEDEMORA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55920-2024</t>
        </is>
      </c>
      <c r="B4856" s="1" t="n">
        <v>45623.59871527777</v>
      </c>
      <c r="C4856" s="1" t="n">
        <v>46114</v>
      </c>
      <c r="D4856" t="inlineStr">
        <is>
          <t>DALARNAS LÄN</t>
        </is>
      </c>
      <c r="E4856" t="inlineStr">
        <is>
          <t>RÄTTVIK</t>
        </is>
      </c>
      <c r="G4856" t="n">
        <v>0.5</v>
      </c>
      <c r="H4856" t="n">
        <v>0</v>
      </c>
      <c r="I4856" t="n">
        <v>0</v>
      </c>
      <c r="J4856" t="n">
        <v>0</v>
      </c>
      <c r="K4856" t="n">
        <v>0</v>
      </c>
      <c r="L4856" t="n">
        <v>0</v>
      </c>
      <c r="M4856" t="n">
        <v>0</v>
      </c>
      <c r="N4856" t="n">
        <v>0</v>
      </c>
      <c r="O4856" t="n">
        <v>0</v>
      </c>
      <c r="P4856" t="n">
        <v>0</v>
      </c>
      <c r="Q4856" t="n">
        <v>0</v>
      </c>
      <c r="R4856" s="2" t="inlineStr"/>
    </row>
    <row r="4857" ht="15" customHeight="1">
      <c r="A4857" t="inlineStr">
        <is>
          <t>A 25807-2024</t>
        </is>
      </c>
      <c r="B4857" s="1" t="n">
        <v>45467.36902777778</v>
      </c>
      <c r="C4857" s="1" t="n">
        <v>46114</v>
      </c>
      <c r="D4857" t="inlineStr">
        <is>
          <t>DALARNAS LÄN</t>
        </is>
      </c>
      <c r="E4857" t="inlineStr">
        <is>
          <t>SMEDJEBACKEN</t>
        </is>
      </c>
      <c r="F4857" t="inlineStr">
        <is>
          <t>Sveaskog</t>
        </is>
      </c>
      <c r="G4857" t="n">
        <v>7.3</v>
      </c>
      <c r="H4857" t="n">
        <v>0</v>
      </c>
      <c r="I4857" t="n">
        <v>0</v>
      </c>
      <c r="J4857" t="n">
        <v>0</v>
      </c>
      <c r="K4857" t="n">
        <v>0</v>
      </c>
      <c r="L4857" t="n">
        <v>0</v>
      </c>
      <c r="M4857" t="n">
        <v>0</v>
      </c>
      <c r="N4857" t="n">
        <v>0</v>
      </c>
      <c r="O4857" t="n">
        <v>0</v>
      </c>
      <c r="P4857" t="n">
        <v>0</v>
      </c>
      <c r="Q4857" t="n">
        <v>0</v>
      </c>
      <c r="R4857" s="2" t="inlineStr"/>
    </row>
    <row r="4858" ht="15" customHeight="1">
      <c r="A4858" t="inlineStr">
        <is>
          <t>A 48862-2025</t>
        </is>
      </c>
      <c r="B4858" s="1" t="n">
        <v>45937.44243055556</v>
      </c>
      <c r="C4858" s="1" t="n">
        <v>46114</v>
      </c>
      <c r="D4858" t="inlineStr">
        <is>
          <t>DALARNAS LÄN</t>
        </is>
      </c>
      <c r="E4858" t="inlineStr">
        <is>
          <t>SÄTER</t>
        </is>
      </c>
      <c r="G4858" t="n">
        <v>5.8</v>
      </c>
      <c r="H4858" t="n">
        <v>0</v>
      </c>
      <c r="I4858" t="n">
        <v>0</v>
      </c>
      <c r="J4858" t="n">
        <v>0</v>
      </c>
      <c r="K4858" t="n">
        <v>0</v>
      </c>
      <c r="L4858" t="n">
        <v>0</v>
      </c>
      <c r="M4858" t="n">
        <v>0</v>
      </c>
      <c r="N4858" t="n">
        <v>0</v>
      </c>
      <c r="O4858" t="n">
        <v>0</v>
      </c>
      <c r="P4858" t="n">
        <v>0</v>
      </c>
      <c r="Q4858" t="n">
        <v>0</v>
      </c>
      <c r="R4858" s="2" t="inlineStr"/>
    </row>
    <row r="4859" ht="15" customHeight="1">
      <c r="A4859" t="inlineStr">
        <is>
          <t>A 56942-2024</t>
        </is>
      </c>
      <c r="B4859" s="1" t="n">
        <v>45628.62292824074</v>
      </c>
      <c r="C4859" s="1" t="n">
        <v>46114</v>
      </c>
      <c r="D4859" t="inlineStr">
        <is>
          <t>DALARNAS LÄN</t>
        </is>
      </c>
      <c r="E4859" t="inlineStr">
        <is>
          <t>ORSA</t>
        </is>
      </c>
      <c r="F4859" t="inlineStr">
        <is>
          <t>Bergvik skog öst AB</t>
        </is>
      </c>
      <c r="G4859" t="n">
        <v>0.7</v>
      </c>
      <c r="H4859" t="n">
        <v>0</v>
      </c>
      <c r="I4859" t="n">
        <v>0</v>
      </c>
      <c r="J4859" t="n">
        <v>0</v>
      </c>
      <c r="K4859" t="n">
        <v>0</v>
      </c>
      <c r="L4859" t="n">
        <v>0</v>
      </c>
      <c r="M4859" t="n">
        <v>0</v>
      </c>
      <c r="N4859" t="n">
        <v>0</v>
      </c>
      <c r="O4859" t="n">
        <v>0</v>
      </c>
      <c r="P4859" t="n">
        <v>0</v>
      </c>
      <c r="Q4859" t="n">
        <v>0</v>
      </c>
      <c r="R4859" s="2" t="inlineStr"/>
    </row>
    <row r="4860" ht="15" customHeight="1">
      <c r="A4860" t="inlineStr">
        <is>
          <t>A 56950-2024</t>
        </is>
      </c>
      <c r="B4860" s="1" t="n">
        <v>45625</v>
      </c>
      <c r="C4860" s="1" t="n">
        <v>46114</v>
      </c>
      <c r="D4860" t="inlineStr">
        <is>
          <t>DALARNAS LÄN</t>
        </is>
      </c>
      <c r="E4860" t="inlineStr">
        <is>
          <t>LEKSAND</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48922-2025</t>
        </is>
      </c>
      <c r="B4861" s="1" t="n">
        <v>45937.50077546296</v>
      </c>
      <c r="C4861" s="1" t="n">
        <v>46114</v>
      </c>
      <c r="D4861" t="inlineStr">
        <is>
          <t>DALARNAS LÄN</t>
        </is>
      </c>
      <c r="E4861" t="inlineStr">
        <is>
          <t>LEKSAND</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48929-2025</t>
        </is>
      </c>
      <c r="B4862" s="1" t="n">
        <v>45937.51315972222</v>
      </c>
      <c r="C4862" s="1" t="n">
        <v>46114</v>
      </c>
      <c r="D4862" t="inlineStr">
        <is>
          <t>DALARNAS LÄN</t>
        </is>
      </c>
      <c r="E4862" t="inlineStr">
        <is>
          <t>MORA</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48984-2025</t>
        </is>
      </c>
      <c r="B4863" s="1" t="n">
        <v>45937.57471064815</v>
      </c>
      <c r="C4863" s="1" t="n">
        <v>46114</v>
      </c>
      <c r="D4863" t="inlineStr">
        <is>
          <t>DALARNAS LÄN</t>
        </is>
      </c>
      <c r="E4863" t="inlineStr">
        <is>
          <t>SMEDJEBACKEN</t>
        </is>
      </c>
      <c r="F4863" t="inlineStr">
        <is>
          <t>Sveaskog</t>
        </is>
      </c>
      <c r="G4863" t="n">
        <v>6.9</v>
      </c>
      <c r="H4863" t="n">
        <v>0</v>
      </c>
      <c r="I4863" t="n">
        <v>0</v>
      </c>
      <c r="J4863" t="n">
        <v>0</v>
      </c>
      <c r="K4863" t="n">
        <v>0</v>
      </c>
      <c r="L4863" t="n">
        <v>0</v>
      </c>
      <c r="M4863" t="n">
        <v>0</v>
      </c>
      <c r="N4863" t="n">
        <v>0</v>
      </c>
      <c r="O4863" t="n">
        <v>0</v>
      </c>
      <c r="P4863" t="n">
        <v>0</v>
      </c>
      <c r="Q4863" t="n">
        <v>0</v>
      </c>
      <c r="R4863" s="2" t="inlineStr"/>
    </row>
    <row r="4864" ht="15" customHeight="1">
      <c r="A4864" t="inlineStr">
        <is>
          <t>A 24284-2021</t>
        </is>
      </c>
      <c r="B4864" s="1" t="n">
        <v>44337.31189814815</v>
      </c>
      <c r="C4864" s="1" t="n">
        <v>46114</v>
      </c>
      <c r="D4864" t="inlineStr">
        <is>
          <t>DALARNAS LÄN</t>
        </is>
      </c>
      <c r="E4864" t="inlineStr">
        <is>
          <t>BORLÄNGE</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49329-2025</t>
        </is>
      </c>
      <c r="B4865" s="1" t="n">
        <v>45938.57802083333</v>
      </c>
      <c r="C4865" s="1" t="n">
        <v>46114</v>
      </c>
      <c r="D4865" t="inlineStr">
        <is>
          <t>DALARNAS LÄN</t>
        </is>
      </c>
      <c r="E4865" t="inlineStr">
        <is>
          <t>VANSBRO</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48883-2025</t>
        </is>
      </c>
      <c r="B4866" s="1" t="n">
        <v>45937.46483796297</v>
      </c>
      <c r="C4866" s="1" t="n">
        <v>46114</v>
      </c>
      <c r="D4866" t="inlineStr">
        <is>
          <t>DALARNAS LÄN</t>
        </is>
      </c>
      <c r="E4866" t="inlineStr">
        <is>
          <t>RÄTTVIK</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34039-2023</t>
        </is>
      </c>
      <c r="B4867" s="1" t="n">
        <v>45125</v>
      </c>
      <c r="C4867" s="1" t="n">
        <v>46114</v>
      </c>
      <c r="D4867" t="inlineStr">
        <is>
          <t>DALARNAS LÄN</t>
        </is>
      </c>
      <c r="E4867" t="inlineStr">
        <is>
          <t>SMEDJEBACKEN</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37131-2024</t>
        </is>
      </c>
      <c r="B4868" s="1" t="n">
        <v>45539.57195601852</v>
      </c>
      <c r="C4868" s="1" t="n">
        <v>46114</v>
      </c>
      <c r="D4868" t="inlineStr">
        <is>
          <t>DALARNAS LÄN</t>
        </is>
      </c>
      <c r="E4868" t="inlineStr">
        <is>
          <t>RÄTTVIK</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15350-2022</t>
        </is>
      </c>
      <c r="B4869" s="1" t="n">
        <v>44659.54976851852</v>
      </c>
      <c r="C4869" s="1" t="n">
        <v>46114</v>
      </c>
      <c r="D4869" t="inlineStr">
        <is>
          <t>DALARNAS LÄN</t>
        </is>
      </c>
      <c r="E4869" t="inlineStr">
        <is>
          <t>SMEDJEBACKEN</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15120-2023</t>
        </is>
      </c>
      <c r="B4870" s="1" t="n">
        <v>45016.46484953703</v>
      </c>
      <c r="C4870" s="1" t="n">
        <v>46114</v>
      </c>
      <c r="D4870" t="inlineStr">
        <is>
          <t>DALARNAS LÄN</t>
        </is>
      </c>
      <c r="E4870" t="inlineStr">
        <is>
          <t>LEKSAND</t>
        </is>
      </c>
      <c r="G4870" t="n">
        <v>2.7</v>
      </c>
      <c r="H4870" t="n">
        <v>0</v>
      </c>
      <c r="I4870" t="n">
        <v>0</v>
      </c>
      <c r="J4870" t="n">
        <v>0</v>
      </c>
      <c r="K4870" t="n">
        <v>0</v>
      </c>
      <c r="L4870" t="n">
        <v>0</v>
      </c>
      <c r="M4870" t="n">
        <v>0</v>
      </c>
      <c r="N4870" t="n">
        <v>0</v>
      </c>
      <c r="O4870" t="n">
        <v>0</v>
      </c>
      <c r="P4870" t="n">
        <v>0</v>
      </c>
      <c r="Q4870" t="n">
        <v>0</v>
      </c>
      <c r="R4870" s="2" t="inlineStr"/>
    </row>
    <row r="4871" ht="15" customHeight="1">
      <c r="A4871" t="inlineStr">
        <is>
          <t>A 12497-2024</t>
        </is>
      </c>
      <c r="B4871" s="1" t="n">
        <v>45379.57112268519</v>
      </c>
      <c r="C4871" s="1" t="n">
        <v>46114</v>
      </c>
      <c r="D4871" t="inlineStr">
        <is>
          <t>DALARNAS LÄN</t>
        </is>
      </c>
      <c r="E4871" t="inlineStr">
        <is>
          <t>LUDVIKA</t>
        </is>
      </c>
      <c r="F4871" t="inlineStr">
        <is>
          <t>Naturvårdsverket</t>
        </is>
      </c>
      <c r="G4871" t="n">
        <v>0.4</v>
      </c>
      <c r="H4871" t="n">
        <v>0</v>
      </c>
      <c r="I4871" t="n">
        <v>0</v>
      </c>
      <c r="J4871" t="n">
        <v>0</v>
      </c>
      <c r="K4871" t="n">
        <v>0</v>
      </c>
      <c r="L4871" t="n">
        <v>0</v>
      </c>
      <c r="M4871" t="n">
        <v>0</v>
      </c>
      <c r="N4871" t="n">
        <v>0</v>
      </c>
      <c r="O4871" t="n">
        <v>0</v>
      </c>
      <c r="P4871" t="n">
        <v>0</v>
      </c>
      <c r="Q4871" t="n">
        <v>0</v>
      </c>
      <c r="R4871" s="2" t="inlineStr"/>
    </row>
    <row r="4872" ht="15" customHeight="1">
      <c r="A4872" t="inlineStr">
        <is>
          <t>A 49599-2025</t>
        </is>
      </c>
      <c r="B4872" s="1" t="n">
        <v>45939.54412037037</v>
      </c>
      <c r="C4872" s="1" t="n">
        <v>46114</v>
      </c>
      <c r="D4872" t="inlineStr">
        <is>
          <t>DALARNAS LÄN</t>
        </is>
      </c>
      <c r="E4872" t="inlineStr">
        <is>
          <t>SÄTER</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38814-2025</t>
        </is>
      </c>
      <c r="B4873" s="1" t="n">
        <v>45887</v>
      </c>
      <c r="C4873" s="1" t="n">
        <v>46114</v>
      </c>
      <c r="D4873" t="inlineStr">
        <is>
          <t>DALARNAS LÄN</t>
        </is>
      </c>
      <c r="E4873" t="inlineStr">
        <is>
          <t>ÄLVDALEN</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49076-2025</t>
        </is>
      </c>
      <c r="B4874" s="1" t="n">
        <v>45937.65601851852</v>
      </c>
      <c r="C4874" s="1" t="n">
        <v>46114</v>
      </c>
      <c r="D4874" t="inlineStr">
        <is>
          <t>DALARNAS LÄN</t>
        </is>
      </c>
      <c r="E4874" t="inlineStr">
        <is>
          <t>LEKSAND</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43693-2022</t>
        </is>
      </c>
      <c r="B4875" s="1" t="n">
        <v>44837.6369212963</v>
      </c>
      <c r="C4875" s="1" t="n">
        <v>46114</v>
      </c>
      <c r="D4875" t="inlineStr">
        <is>
          <t>DALARNAS LÄN</t>
        </is>
      </c>
      <c r="E4875" t="inlineStr">
        <is>
          <t>LEKSAND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113-2024</t>
        </is>
      </c>
      <c r="B4876" s="1" t="n">
        <v>45294.35001157408</v>
      </c>
      <c r="C4876" s="1" t="n">
        <v>46114</v>
      </c>
      <c r="D4876" t="inlineStr">
        <is>
          <t>DALARNAS LÄN</t>
        </is>
      </c>
      <c r="E4876" t="inlineStr">
        <is>
          <t>MALUNG-SÄLEN</t>
        </is>
      </c>
      <c r="G4876" t="n">
        <v>0.6</v>
      </c>
      <c r="H4876" t="n">
        <v>0</v>
      </c>
      <c r="I4876" t="n">
        <v>0</v>
      </c>
      <c r="J4876" t="n">
        <v>0</v>
      </c>
      <c r="K4876" t="n">
        <v>0</v>
      </c>
      <c r="L4876" t="n">
        <v>0</v>
      </c>
      <c r="M4876" t="n">
        <v>0</v>
      </c>
      <c r="N4876" t="n">
        <v>0</v>
      </c>
      <c r="O4876" t="n">
        <v>0</v>
      </c>
      <c r="P4876" t="n">
        <v>0</v>
      </c>
      <c r="Q4876" t="n">
        <v>0</v>
      </c>
      <c r="R4876" s="2" t="inlineStr"/>
    </row>
    <row r="4877" ht="15" customHeight="1">
      <c r="A4877" t="inlineStr">
        <is>
          <t>A 49134-2025</t>
        </is>
      </c>
      <c r="B4877" s="1" t="n">
        <v>45937.92665509259</v>
      </c>
      <c r="C4877" s="1" t="n">
        <v>46114</v>
      </c>
      <c r="D4877" t="inlineStr">
        <is>
          <t>DALARNAS LÄN</t>
        </is>
      </c>
      <c r="E4877" t="inlineStr">
        <is>
          <t>FALUN</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49467-2025</t>
        </is>
      </c>
      <c r="B4878" s="1" t="n">
        <v>45939.33846064815</v>
      </c>
      <c r="C4878" s="1" t="n">
        <v>46114</v>
      </c>
      <c r="D4878" t="inlineStr">
        <is>
          <t>DALARNAS LÄN</t>
        </is>
      </c>
      <c r="E4878" t="inlineStr">
        <is>
          <t>RÄTTVIK</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43012-2023</t>
        </is>
      </c>
      <c r="B4879" s="1" t="n">
        <v>45182.63990740741</v>
      </c>
      <c r="C4879" s="1" t="n">
        <v>46114</v>
      </c>
      <c r="D4879" t="inlineStr">
        <is>
          <t>DALARNAS LÄN</t>
        </is>
      </c>
      <c r="E4879" t="inlineStr">
        <is>
          <t>BORLÄNGE</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49150-2025</t>
        </is>
      </c>
      <c r="B4880" s="1" t="n">
        <v>45938.34032407407</v>
      </c>
      <c r="C4880" s="1" t="n">
        <v>46114</v>
      </c>
      <c r="D4880" t="inlineStr">
        <is>
          <t>DALARNAS LÄN</t>
        </is>
      </c>
      <c r="E4880" t="inlineStr">
        <is>
          <t>FALUN</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49225-2025</t>
        </is>
      </c>
      <c r="B4881" s="1" t="n">
        <v>45938.46748842593</v>
      </c>
      <c r="C4881" s="1" t="n">
        <v>46114</v>
      </c>
      <c r="D4881" t="inlineStr">
        <is>
          <t>DALARNAS LÄN</t>
        </is>
      </c>
      <c r="E4881" t="inlineStr">
        <is>
          <t>RÄTTVIK</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44817-2023</t>
        </is>
      </c>
      <c r="B4882" s="1" t="n">
        <v>45190.51887731482</v>
      </c>
      <c r="C4882" s="1" t="n">
        <v>46114</v>
      </c>
      <c r="D4882" t="inlineStr">
        <is>
          <t>DALARNAS LÄN</t>
        </is>
      </c>
      <c r="E4882" t="inlineStr">
        <is>
          <t>MORA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17134-2024</t>
        </is>
      </c>
      <c r="B4883" s="1" t="n">
        <v>45412</v>
      </c>
      <c r="C4883" s="1" t="n">
        <v>46114</v>
      </c>
      <c r="D4883" t="inlineStr">
        <is>
          <t>DALARNAS LÄN</t>
        </is>
      </c>
      <c r="E4883" t="inlineStr">
        <is>
          <t>SMEDJEBACKEN</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54440-2022</t>
        </is>
      </c>
      <c r="B4884" s="1" t="n">
        <v>44882</v>
      </c>
      <c r="C4884" s="1" t="n">
        <v>46114</v>
      </c>
      <c r="D4884" t="inlineStr">
        <is>
          <t>DALARNAS LÄN</t>
        </is>
      </c>
      <c r="E4884" t="inlineStr">
        <is>
          <t>SÄTER</t>
        </is>
      </c>
      <c r="F4884" t="inlineStr">
        <is>
          <t>Bergvik skog väst AB</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54826-2023</t>
        </is>
      </c>
      <c r="B4885" s="1" t="n">
        <v>45236</v>
      </c>
      <c r="C4885" s="1" t="n">
        <v>46114</v>
      </c>
      <c r="D4885" t="inlineStr">
        <is>
          <t>DALARNAS LÄN</t>
        </is>
      </c>
      <c r="E4885" t="inlineStr">
        <is>
          <t>SÄTER</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55680-2022</t>
        </is>
      </c>
      <c r="B4886" s="1" t="n">
        <v>44883</v>
      </c>
      <c r="C4886" s="1" t="n">
        <v>46114</v>
      </c>
      <c r="D4886" t="inlineStr">
        <is>
          <t>DALARNAS LÄN</t>
        </is>
      </c>
      <c r="E4886" t="inlineStr">
        <is>
          <t>SMEDJEBACKEN</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49404-2025</t>
        </is>
      </c>
      <c r="B4887" s="1" t="n">
        <v>45938.67662037037</v>
      </c>
      <c r="C4887" s="1" t="n">
        <v>46114</v>
      </c>
      <c r="D4887" t="inlineStr">
        <is>
          <t>DALARNAS LÄN</t>
        </is>
      </c>
      <c r="E4887" t="inlineStr">
        <is>
          <t>MORA</t>
        </is>
      </c>
      <c r="F4887" t="inlineStr">
        <is>
          <t>Bergvik skog väst AB</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49396-2025</t>
        </is>
      </c>
      <c r="B4888" s="1" t="n">
        <v>45938.66181712963</v>
      </c>
      <c r="C4888" s="1" t="n">
        <v>46114</v>
      </c>
      <c r="D4888" t="inlineStr">
        <is>
          <t>DALARNAS LÄN</t>
        </is>
      </c>
      <c r="E4888" t="inlineStr">
        <is>
          <t>ORSA</t>
        </is>
      </c>
      <c r="F4888" t="inlineStr">
        <is>
          <t>Allmännings- och besparingsskogar</t>
        </is>
      </c>
      <c r="G4888" t="n">
        <v>9.9</v>
      </c>
      <c r="H4888" t="n">
        <v>0</v>
      </c>
      <c r="I4888" t="n">
        <v>0</v>
      </c>
      <c r="J4888" t="n">
        <v>0</v>
      </c>
      <c r="K4888" t="n">
        <v>0</v>
      </c>
      <c r="L4888" t="n">
        <v>0</v>
      </c>
      <c r="M4888" t="n">
        <v>0</v>
      </c>
      <c r="N4888" t="n">
        <v>0</v>
      </c>
      <c r="O4888" t="n">
        <v>0</v>
      </c>
      <c r="P4888" t="n">
        <v>0</v>
      </c>
      <c r="Q4888" t="n">
        <v>0</v>
      </c>
      <c r="R4888" s="2" t="inlineStr"/>
    </row>
    <row r="4889" ht="15" customHeight="1">
      <c r="A4889" t="inlineStr">
        <is>
          <t>A 60774-2022</t>
        </is>
      </c>
      <c r="B4889" s="1" t="n">
        <v>44914.37917824074</v>
      </c>
      <c r="C4889" s="1" t="n">
        <v>46114</v>
      </c>
      <c r="D4889" t="inlineStr">
        <is>
          <t>DALARNAS LÄN</t>
        </is>
      </c>
      <c r="E4889" t="inlineStr">
        <is>
          <t>HEDEMORA</t>
        </is>
      </c>
      <c r="G4889" t="n">
        <v>11.5</v>
      </c>
      <c r="H4889" t="n">
        <v>0</v>
      </c>
      <c r="I4889" t="n">
        <v>0</v>
      </c>
      <c r="J4889" t="n">
        <v>0</v>
      </c>
      <c r="K4889" t="n">
        <v>0</v>
      </c>
      <c r="L4889" t="n">
        <v>0</v>
      </c>
      <c r="M4889" t="n">
        <v>0</v>
      </c>
      <c r="N4889" t="n">
        <v>0</v>
      </c>
      <c r="O4889" t="n">
        <v>0</v>
      </c>
      <c r="P4889" t="n">
        <v>0</v>
      </c>
      <c r="Q4889" t="n">
        <v>0</v>
      </c>
      <c r="R4889" s="2" t="inlineStr"/>
    </row>
    <row r="4890" ht="15" customHeight="1">
      <c r="A4890" t="inlineStr">
        <is>
          <t>A 42200-2024</t>
        </is>
      </c>
      <c r="B4890" s="1" t="n">
        <v>45562.51660879629</v>
      </c>
      <c r="C4890" s="1" t="n">
        <v>46114</v>
      </c>
      <c r="D4890" t="inlineStr">
        <is>
          <t>DALARNAS LÄN</t>
        </is>
      </c>
      <c r="E4890" t="inlineStr">
        <is>
          <t>SMEDJEBACKEN</t>
        </is>
      </c>
      <c r="F4890" t="inlineStr">
        <is>
          <t>Sveaskog</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48840-2025</t>
        </is>
      </c>
      <c r="B4891" s="1" t="n">
        <v>45937.42217592592</v>
      </c>
      <c r="C4891" s="1" t="n">
        <v>46114</v>
      </c>
      <c r="D4891" t="inlineStr">
        <is>
          <t>DALARNAS LÄN</t>
        </is>
      </c>
      <c r="E4891" t="inlineStr">
        <is>
          <t>VANSBRO</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56289-2024</t>
        </is>
      </c>
      <c r="B4892" s="1" t="n">
        <v>45624</v>
      </c>
      <c r="C4892" s="1" t="n">
        <v>46114</v>
      </c>
      <c r="D4892" t="inlineStr">
        <is>
          <t>DALARNAS LÄN</t>
        </is>
      </c>
      <c r="E4892" t="inlineStr">
        <is>
          <t>MALUNG-SÄLEN</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56297-2024</t>
        </is>
      </c>
      <c r="B4893" s="1" t="n">
        <v>45624</v>
      </c>
      <c r="C4893" s="1" t="n">
        <v>46114</v>
      </c>
      <c r="D4893" t="inlineStr">
        <is>
          <t>DALARNAS LÄN</t>
        </is>
      </c>
      <c r="E4893" t="inlineStr">
        <is>
          <t>MALUNG-SÄLEN</t>
        </is>
      </c>
      <c r="G4893" t="n">
        <v>4.5</v>
      </c>
      <c r="H4893" t="n">
        <v>0</v>
      </c>
      <c r="I4893" t="n">
        <v>0</v>
      </c>
      <c r="J4893" t="n">
        <v>0</v>
      </c>
      <c r="K4893" t="n">
        <v>0</v>
      </c>
      <c r="L4893" t="n">
        <v>0</v>
      </c>
      <c r="M4893" t="n">
        <v>0</v>
      </c>
      <c r="N4893" t="n">
        <v>0</v>
      </c>
      <c r="O4893" t="n">
        <v>0</v>
      </c>
      <c r="P4893" t="n">
        <v>0</v>
      </c>
      <c r="Q4893" t="n">
        <v>0</v>
      </c>
      <c r="R4893" s="2" t="inlineStr"/>
    </row>
    <row r="4894" ht="15" customHeight="1">
      <c r="A4894" t="inlineStr">
        <is>
          <t>A 55570-2023</t>
        </is>
      </c>
      <c r="B4894" s="1" t="n">
        <v>45238.65434027778</v>
      </c>
      <c r="C4894" s="1" t="n">
        <v>46114</v>
      </c>
      <c r="D4894" t="inlineStr">
        <is>
          <t>DALARNAS LÄN</t>
        </is>
      </c>
      <c r="E4894" t="inlineStr">
        <is>
          <t>VANSBRO</t>
        </is>
      </c>
      <c r="F4894" t="inlineStr">
        <is>
          <t>Övriga statliga verk och myndigheter</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5453-2025</t>
        </is>
      </c>
      <c r="B4895" s="1" t="n">
        <v>45692.95231481481</v>
      </c>
      <c r="C4895" s="1" t="n">
        <v>46114</v>
      </c>
      <c r="D4895" t="inlineStr">
        <is>
          <t>DALARNAS LÄN</t>
        </is>
      </c>
      <c r="E4895" t="inlineStr">
        <is>
          <t>LEKSAND</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27495-2022</t>
        </is>
      </c>
      <c r="B4896" s="1" t="n">
        <v>44742</v>
      </c>
      <c r="C4896" s="1" t="n">
        <v>46114</v>
      </c>
      <c r="D4896" t="inlineStr">
        <is>
          <t>DALARNAS LÄN</t>
        </is>
      </c>
      <c r="E4896" t="inlineStr">
        <is>
          <t>FALUN</t>
        </is>
      </c>
      <c r="F4896" t="inlineStr">
        <is>
          <t>Kyrkan</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48781-2025</t>
        </is>
      </c>
      <c r="B4897" s="1" t="n">
        <v>45937.30636574074</v>
      </c>
      <c r="C4897" s="1" t="n">
        <v>46114</v>
      </c>
      <c r="D4897" t="inlineStr">
        <is>
          <t>DALARNAS LÄN</t>
        </is>
      </c>
      <c r="E4897" t="inlineStr">
        <is>
          <t>MALUNG-SÄLEN</t>
        </is>
      </c>
      <c r="G4897" t="n">
        <v>14.9</v>
      </c>
      <c r="H4897" t="n">
        <v>0</v>
      </c>
      <c r="I4897" t="n">
        <v>0</v>
      </c>
      <c r="J4897" t="n">
        <v>0</v>
      </c>
      <c r="K4897" t="n">
        <v>0</v>
      </c>
      <c r="L4897" t="n">
        <v>0</v>
      </c>
      <c r="M4897" t="n">
        <v>0</v>
      </c>
      <c r="N4897" t="n">
        <v>0</v>
      </c>
      <c r="O4897" t="n">
        <v>0</v>
      </c>
      <c r="P4897" t="n">
        <v>0</v>
      </c>
      <c r="Q4897" t="n">
        <v>0</v>
      </c>
      <c r="R4897" s="2" t="inlineStr"/>
    </row>
    <row r="4898" ht="15" customHeight="1">
      <c r="A4898" t="inlineStr">
        <is>
          <t>A 48824-2025</t>
        </is>
      </c>
      <c r="B4898" s="1" t="n">
        <v>45937.37949074074</v>
      </c>
      <c r="C4898" s="1" t="n">
        <v>46114</v>
      </c>
      <c r="D4898" t="inlineStr">
        <is>
          <t>DALARNAS LÄN</t>
        </is>
      </c>
      <c r="E4898" t="inlineStr">
        <is>
          <t>LEKSAND</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3352-2024</t>
        </is>
      </c>
      <c r="B4899" s="1" t="n">
        <v>45317</v>
      </c>
      <c r="C4899" s="1" t="n">
        <v>46114</v>
      </c>
      <c r="D4899" t="inlineStr">
        <is>
          <t>DALARNAS LÄN</t>
        </is>
      </c>
      <c r="E4899" t="inlineStr">
        <is>
          <t>LEKSAND</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52755-2024</t>
        </is>
      </c>
      <c r="B4900" s="1" t="n">
        <v>45610.50217592593</v>
      </c>
      <c r="C4900" s="1" t="n">
        <v>46114</v>
      </c>
      <c r="D4900" t="inlineStr">
        <is>
          <t>DALARNAS LÄN</t>
        </is>
      </c>
      <c r="E4900" t="inlineStr">
        <is>
          <t>LEKSAND</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14552-2025</t>
        </is>
      </c>
      <c r="B4901" s="1" t="n">
        <v>45741</v>
      </c>
      <c r="C4901" s="1" t="n">
        <v>46114</v>
      </c>
      <c r="D4901" t="inlineStr">
        <is>
          <t>DALARNAS LÄN</t>
        </is>
      </c>
      <c r="E4901" t="inlineStr">
        <is>
          <t>FALUN</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7142-2023</t>
        </is>
      </c>
      <c r="B4902" s="1" t="n">
        <v>44970.44603009259</v>
      </c>
      <c r="C4902" s="1" t="n">
        <v>46114</v>
      </c>
      <c r="D4902" t="inlineStr">
        <is>
          <t>DALARNAS LÄN</t>
        </is>
      </c>
      <c r="E4902" t="inlineStr">
        <is>
          <t>VANSBRO</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49655-2025</t>
        </is>
      </c>
      <c r="B4903" s="1" t="n">
        <v>45939.62938657407</v>
      </c>
      <c r="C4903" s="1" t="n">
        <v>46114</v>
      </c>
      <c r="D4903" t="inlineStr">
        <is>
          <t>DALARNAS LÄN</t>
        </is>
      </c>
      <c r="E4903" t="inlineStr">
        <is>
          <t>MALUNG-SÄLEN</t>
        </is>
      </c>
      <c r="F4903" t="inlineStr">
        <is>
          <t>Bergvik skog öst AB</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49479-2025</t>
        </is>
      </c>
      <c r="B4904" s="1" t="n">
        <v>45939.34798611111</v>
      </c>
      <c r="C4904" s="1" t="n">
        <v>46114</v>
      </c>
      <c r="D4904" t="inlineStr">
        <is>
          <t>DALARNAS LÄN</t>
        </is>
      </c>
      <c r="E4904" t="inlineStr">
        <is>
          <t>RÄTTVIK</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26615-2022</t>
        </is>
      </c>
      <c r="B4905" s="1" t="n">
        <v>44739</v>
      </c>
      <c r="C4905" s="1" t="n">
        <v>46114</v>
      </c>
      <c r="D4905" t="inlineStr">
        <is>
          <t>DALARNAS LÄN</t>
        </is>
      </c>
      <c r="E4905" t="inlineStr">
        <is>
          <t>FALUN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3690-2024</t>
        </is>
      </c>
      <c r="B4906" s="1" t="n">
        <v>45321.41290509259</v>
      </c>
      <c r="C4906" s="1" t="n">
        <v>46114</v>
      </c>
      <c r="D4906" t="inlineStr">
        <is>
          <t>DALARNAS LÄN</t>
        </is>
      </c>
      <c r="E4906" t="inlineStr">
        <is>
          <t>AVESTA</t>
        </is>
      </c>
      <c r="G4906" t="n">
        <v>4.9</v>
      </c>
      <c r="H4906" t="n">
        <v>0</v>
      </c>
      <c r="I4906" t="n">
        <v>0</v>
      </c>
      <c r="J4906" t="n">
        <v>0</v>
      </c>
      <c r="K4906" t="n">
        <v>0</v>
      </c>
      <c r="L4906" t="n">
        <v>0</v>
      </c>
      <c r="M4906" t="n">
        <v>0</v>
      </c>
      <c r="N4906" t="n">
        <v>0</v>
      </c>
      <c r="O4906" t="n">
        <v>0</v>
      </c>
      <c r="P4906" t="n">
        <v>0</v>
      </c>
      <c r="Q4906" t="n">
        <v>0</v>
      </c>
      <c r="R4906" s="2" t="inlineStr"/>
    </row>
    <row r="4907" ht="15" customHeight="1">
      <c r="A4907" t="inlineStr">
        <is>
          <t>A 57416-2022</t>
        </is>
      </c>
      <c r="B4907" s="1" t="n">
        <v>44896.49959490741</v>
      </c>
      <c r="C4907" s="1" t="n">
        <v>46114</v>
      </c>
      <c r="D4907" t="inlineStr">
        <is>
          <t>DALARNAS LÄN</t>
        </is>
      </c>
      <c r="E4907" t="inlineStr">
        <is>
          <t>SÄTER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32600-2023</t>
        </is>
      </c>
      <c r="B4908" s="1" t="n">
        <v>45121</v>
      </c>
      <c r="C4908" s="1" t="n">
        <v>46114</v>
      </c>
      <c r="D4908" t="inlineStr">
        <is>
          <t>DALARNAS LÄN</t>
        </is>
      </c>
      <c r="E4908" t="inlineStr">
        <is>
          <t>SMEDJEBACKEN</t>
        </is>
      </c>
      <c r="F4908" t="inlineStr">
        <is>
          <t>Bergvik skog väst AB</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49929-2025</t>
        </is>
      </c>
      <c r="B4909" s="1" t="n">
        <v>45939</v>
      </c>
      <c r="C4909" s="1" t="n">
        <v>46114</v>
      </c>
      <c r="D4909" t="inlineStr">
        <is>
          <t>DALARNAS LÄN</t>
        </is>
      </c>
      <c r="E4909" t="inlineStr">
        <is>
          <t>SÄTER</t>
        </is>
      </c>
      <c r="G4909" t="n">
        <v>6.6</v>
      </c>
      <c r="H4909" t="n">
        <v>0</v>
      </c>
      <c r="I4909" t="n">
        <v>0</v>
      </c>
      <c r="J4909" t="n">
        <v>0</v>
      </c>
      <c r="K4909" t="n">
        <v>0</v>
      </c>
      <c r="L4909" t="n">
        <v>0</v>
      </c>
      <c r="M4909" t="n">
        <v>0</v>
      </c>
      <c r="N4909" t="n">
        <v>0</v>
      </c>
      <c r="O4909" t="n">
        <v>0</v>
      </c>
      <c r="P4909" t="n">
        <v>0</v>
      </c>
      <c r="Q4909" t="n">
        <v>0</v>
      </c>
      <c r="R4909" s="2" t="inlineStr"/>
    </row>
    <row r="4910" ht="15" customHeight="1">
      <c r="A4910" t="inlineStr">
        <is>
          <t>A 49939-2025</t>
        </is>
      </c>
      <c r="B4910" s="1" t="n">
        <v>45939</v>
      </c>
      <c r="C4910" s="1" t="n">
        <v>46114</v>
      </c>
      <c r="D4910" t="inlineStr">
        <is>
          <t>DALARNAS LÄN</t>
        </is>
      </c>
      <c r="E4910" t="inlineStr">
        <is>
          <t>AVESTA</t>
        </is>
      </c>
      <c r="G4910" t="n">
        <v>6.3</v>
      </c>
      <c r="H4910" t="n">
        <v>0</v>
      </c>
      <c r="I4910" t="n">
        <v>0</v>
      </c>
      <c r="J4910" t="n">
        <v>0</v>
      </c>
      <c r="K4910" t="n">
        <v>0</v>
      </c>
      <c r="L4910" t="n">
        <v>0</v>
      </c>
      <c r="M4910" t="n">
        <v>0</v>
      </c>
      <c r="N4910" t="n">
        <v>0</v>
      </c>
      <c r="O4910" t="n">
        <v>0</v>
      </c>
      <c r="P4910" t="n">
        <v>0</v>
      </c>
      <c r="Q4910" t="n">
        <v>0</v>
      </c>
      <c r="R4910" s="2" t="inlineStr"/>
    </row>
    <row r="4911" ht="15" customHeight="1">
      <c r="A4911" t="inlineStr">
        <is>
          <t>A 32622-2023</t>
        </is>
      </c>
      <c r="B4911" s="1" t="n">
        <v>45121</v>
      </c>
      <c r="C4911" s="1" t="n">
        <v>46114</v>
      </c>
      <c r="D4911" t="inlineStr">
        <is>
          <t>DALARNAS LÄN</t>
        </is>
      </c>
      <c r="E4911" t="inlineStr">
        <is>
          <t>ÄLVDALEN</t>
        </is>
      </c>
      <c r="F4911" t="inlineStr">
        <is>
          <t>Sveaskog</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39511-2024</t>
        </is>
      </c>
      <c r="B4912" s="1" t="n">
        <v>45551.68347222222</v>
      </c>
      <c r="C4912" s="1" t="n">
        <v>46114</v>
      </c>
      <c r="D4912" t="inlineStr">
        <is>
          <t>DALARNAS LÄN</t>
        </is>
      </c>
      <c r="E4912" t="inlineStr">
        <is>
          <t>MORA</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49226-2025</t>
        </is>
      </c>
      <c r="B4913" s="1" t="n">
        <v>45938.46777777778</v>
      </c>
      <c r="C4913" s="1" t="n">
        <v>46114</v>
      </c>
      <c r="D4913" t="inlineStr">
        <is>
          <t>DALARNAS LÄN</t>
        </is>
      </c>
      <c r="E4913" t="inlineStr">
        <is>
          <t>GAGNEF</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49401-2025</t>
        </is>
      </c>
      <c r="B4914" s="1" t="n">
        <v>45938.66932870371</v>
      </c>
      <c r="C4914" s="1" t="n">
        <v>46114</v>
      </c>
      <c r="D4914" t="inlineStr">
        <is>
          <t>DALARNAS LÄN</t>
        </is>
      </c>
      <c r="E4914" t="inlineStr">
        <is>
          <t>MORA</t>
        </is>
      </c>
      <c r="F4914" t="inlineStr">
        <is>
          <t>Bergvik skog väst AB</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58840-2022</t>
        </is>
      </c>
      <c r="B4915" s="1" t="n">
        <v>44903</v>
      </c>
      <c r="C4915" s="1" t="n">
        <v>46114</v>
      </c>
      <c r="D4915" t="inlineStr">
        <is>
          <t>DALARNAS LÄN</t>
        </is>
      </c>
      <c r="E4915" t="inlineStr">
        <is>
          <t>MALUNG-SÄLEN</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18805-2023</t>
        </is>
      </c>
      <c r="B4916" s="1" t="n">
        <v>45044</v>
      </c>
      <c r="C4916" s="1" t="n">
        <v>46114</v>
      </c>
      <c r="D4916" t="inlineStr">
        <is>
          <t>DALARNAS LÄN</t>
        </is>
      </c>
      <c r="E4916" t="inlineStr">
        <is>
          <t>AVESTA</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13165-2023</t>
        </is>
      </c>
      <c r="B4917" s="1" t="n">
        <v>45002.57731481481</v>
      </c>
      <c r="C4917" s="1" t="n">
        <v>46114</v>
      </c>
      <c r="D4917" t="inlineStr">
        <is>
          <t>DALARNAS LÄN</t>
        </is>
      </c>
      <c r="E4917" t="inlineStr">
        <is>
          <t>LEKSAND</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26449-2024</t>
        </is>
      </c>
      <c r="B4918" s="1" t="n">
        <v>45469.50783564815</v>
      </c>
      <c r="C4918" s="1" t="n">
        <v>46114</v>
      </c>
      <c r="D4918" t="inlineStr">
        <is>
          <t>DALARNAS LÄN</t>
        </is>
      </c>
      <c r="E4918" t="inlineStr">
        <is>
          <t>HEDEMORA</t>
        </is>
      </c>
      <c r="G4918" t="n">
        <v>4.5</v>
      </c>
      <c r="H4918" t="n">
        <v>0</v>
      </c>
      <c r="I4918" t="n">
        <v>0</v>
      </c>
      <c r="J4918" t="n">
        <v>0</v>
      </c>
      <c r="K4918" t="n">
        <v>0</v>
      </c>
      <c r="L4918" t="n">
        <v>0</v>
      </c>
      <c r="M4918" t="n">
        <v>0</v>
      </c>
      <c r="N4918" t="n">
        <v>0</v>
      </c>
      <c r="O4918" t="n">
        <v>0</v>
      </c>
      <c r="P4918" t="n">
        <v>0</v>
      </c>
      <c r="Q4918" t="n">
        <v>0</v>
      </c>
      <c r="R4918" s="2" t="inlineStr"/>
    </row>
    <row r="4919" ht="15" customHeight="1">
      <c r="A4919" t="inlineStr">
        <is>
          <t>A 21279-2023</t>
        </is>
      </c>
      <c r="B4919" s="1" t="n">
        <v>45062.64018518518</v>
      </c>
      <c r="C4919" s="1" t="n">
        <v>46114</v>
      </c>
      <c r="D4919" t="inlineStr">
        <is>
          <t>DALARNAS LÄN</t>
        </is>
      </c>
      <c r="E4919" t="inlineStr">
        <is>
          <t>MALUNG-SÄLEN</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39620-2024</t>
        </is>
      </c>
      <c r="B4920" s="1" t="n">
        <v>45552.43163194445</v>
      </c>
      <c r="C4920" s="1" t="n">
        <v>46114</v>
      </c>
      <c r="D4920" t="inlineStr">
        <is>
          <t>DALARNAS LÄN</t>
        </is>
      </c>
      <c r="E4920" t="inlineStr">
        <is>
          <t>LEKSAND</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58422-2023</t>
        </is>
      </c>
      <c r="B4921" s="1" t="n">
        <v>45246</v>
      </c>
      <c r="C4921" s="1" t="n">
        <v>46114</v>
      </c>
      <c r="D4921" t="inlineStr">
        <is>
          <t>DALARNAS LÄN</t>
        </is>
      </c>
      <c r="E4921" t="inlineStr">
        <is>
          <t>SMEDJEBACKEN</t>
        </is>
      </c>
      <c r="F4921" t="inlineStr">
        <is>
          <t>Bergvik skog väst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57797-2022</t>
        </is>
      </c>
      <c r="B4922" s="1" t="n">
        <v>44897</v>
      </c>
      <c r="C4922" s="1" t="n">
        <v>46114</v>
      </c>
      <c r="D4922" t="inlineStr">
        <is>
          <t>DALARNAS LÄN</t>
        </is>
      </c>
      <c r="E4922" t="inlineStr">
        <is>
          <t>MORA</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57965-2024</t>
        </is>
      </c>
      <c r="B4923" s="1" t="n">
        <v>45631.595625</v>
      </c>
      <c r="C4923" s="1" t="n">
        <v>46114</v>
      </c>
      <c r="D4923" t="inlineStr">
        <is>
          <t>DALARNAS LÄN</t>
        </is>
      </c>
      <c r="E4923" t="inlineStr">
        <is>
          <t>MALUNG-SÄLEN</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49211-2025</t>
        </is>
      </c>
      <c r="B4924" s="1" t="n">
        <v>45938.43825231482</v>
      </c>
      <c r="C4924" s="1" t="n">
        <v>46114</v>
      </c>
      <c r="D4924" t="inlineStr">
        <is>
          <t>DALARNAS LÄN</t>
        </is>
      </c>
      <c r="E4924" t="inlineStr">
        <is>
          <t>ORSA</t>
        </is>
      </c>
      <c r="F4924" t="inlineStr">
        <is>
          <t>Bergvik skog öst AB</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15670-2024</t>
        </is>
      </c>
      <c r="B4925" s="1" t="n">
        <v>45404.39177083333</v>
      </c>
      <c r="C4925" s="1" t="n">
        <v>46114</v>
      </c>
      <c r="D4925" t="inlineStr">
        <is>
          <t>DALARNAS LÄN</t>
        </is>
      </c>
      <c r="E4925" t="inlineStr">
        <is>
          <t>GAGNEF</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49229-2025</t>
        </is>
      </c>
      <c r="B4926" s="1" t="n">
        <v>45938.46975694445</v>
      </c>
      <c r="C4926" s="1" t="n">
        <v>46114</v>
      </c>
      <c r="D4926" t="inlineStr">
        <is>
          <t>DALARNAS LÄN</t>
        </is>
      </c>
      <c r="E4926" t="inlineStr">
        <is>
          <t>GAGNEF</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4718-2025</t>
        </is>
      </c>
      <c r="B4927" s="1" t="n">
        <v>45688.40648148148</v>
      </c>
      <c r="C4927" s="1" t="n">
        <v>46114</v>
      </c>
      <c r="D4927" t="inlineStr">
        <is>
          <t>DALARNAS LÄN</t>
        </is>
      </c>
      <c r="E4927" t="inlineStr">
        <is>
          <t>SMEDJEBACKEN</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60126-2022</t>
        </is>
      </c>
      <c r="B4928" s="1" t="n">
        <v>44909</v>
      </c>
      <c r="C4928" s="1" t="n">
        <v>46114</v>
      </c>
      <c r="D4928" t="inlineStr">
        <is>
          <t>DALARNAS LÄN</t>
        </is>
      </c>
      <c r="E4928" t="inlineStr">
        <is>
          <t>RÄTTVIK</t>
        </is>
      </c>
      <c r="F4928" t="inlineStr">
        <is>
          <t>Sveaskog</t>
        </is>
      </c>
      <c r="G4928" t="n">
        <v>1</v>
      </c>
      <c r="H4928" t="n">
        <v>0</v>
      </c>
      <c r="I4928" t="n">
        <v>0</v>
      </c>
      <c r="J4928" t="n">
        <v>0</v>
      </c>
      <c r="K4928" t="n">
        <v>0</v>
      </c>
      <c r="L4928" t="n">
        <v>0</v>
      </c>
      <c r="M4928" t="n">
        <v>0</v>
      </c>
      <c r="N4928" t="n">
        <v>0</v>
      </c>
      <c r="O4928" t="n">
        <v>0</v>
      </c>
      <c r="P4928" t="n">
        <v>0</v>
      </c>
      <c r="Q4928" t="n">
        <v>0</v>
      </c>
      <c r="R4928" s="2" t="inlineStr"/>
      <c r="U4928">
        <f>HYPERLINK("https://klasma.github.io/Logging_2031/knärot/A 60126-2022 karta knärot.png", "A 60126-2022")</f>
        <v/>
      </c>
      <c r="V4928">
        <f>HYPERLINK("https://klasma.github.io/Logging_2031/klagomål/A 60126-2022 FSC-klagomål.docx", "A 60126-2022")</f>
        <v/>
      </c>
      <c r="W4928">
        <f>HYPERLINK("https://klasma.github.io/Logging_2031/klagomålsmail/A 60126-2022 FSC-klagomål mail.docx", "A 60126-2022")</f>
        <v/>
      </c>
      <c r="X4928">
        <f>HYPERLINK("https://klasma.github.io/Logging_2031/tillsyn/A 60126-2022 tillsynsbegäran.docx", "A 60126-2022")</f>
        <v/>
      </c>
      <c r="Y4928">
        <f>HYPERLINK("https://klasma.github.io/Logging_2031/tillsynsmail/A 60126-2022 tillsynsbegäran mail.docx", "A 60126-2022")</f>
        <v/>
      </c>
    </row>
    <row r="4929" ht="15" customHeight="1">
      <c r="A4929" t="inlineStr">
        <is>
          <t>A 49235-2025</t>
        </is>
      </c>
      <c r="B4929" s="1" t="n">
        <v>45938.47748842592</v>
      </c>
      <c r="C4929" s="1" t="n">
        <v>46114</v>
      </c>
      <c r="D4929" t="inlineStr">
        <is>
          <t>DALARNAS LÄN</t>
        </is>
      </c>
      <c r="E4929" t="inlineStr">
        <is>
          <t>MALUNG-SÄLEN</t>
        </is>
      </c>
      <c r="F4929" t="inlineStr">
        <is>
          <t>Bergvik skog väst AB</t>
        </is>
      </c>
      <c r="G4929" t="n">
        <v>12.4</v>
      </c>
      <c r="H4929" t="n">
        <v>0</v>
      </c>
      <c r="I4929" t="n">
        <v>0</v>
      </c>
      <c r="J4929" t="n">
        <v>0</v>
      </c>
      <c r="K4929" t="n">
        <v>0</v>
      </c>
      <c r="L4929" t="n">
        <v>0</v>
      </c>
      <c r="M4929" t="n">
        <v>0</v>
      </c>
      <c r="N4929" t="n">
        <v>0</v>
      </c>
      <c r="O4929" t="n">
        <v>0</v>
      </c>
      <c r="P4929" t="n">
        <v>0</v>
      </c>
      <c r="Q4929" t="n">
        <v>0</v>
      </c>
      <c r="R4929" s="2" t="inlineStr"/>
    </row>
    <row r="4930" ht="15" customHeight="1">
      <c r="A4930" t="inlineStr">
        <is>
          <t>A 28157-2023</t>
        </is>
      </c>
      <c r="B4930" s="1" t="n">
        <v>45099.49403935186</v>
      </c>
      <c r="C4930" s="1" t="n">
        <v>46114</v>
      </c>
      <c r="D4930" t="inlineStr">
        <is>
          <t>DALARNAS LÄN</t>
        </is>
      </c>
      <c r="E4930" t="inlineStr">
        <is>
          <t>LUDVIKA</t>
        </is>
      </c>
      <c r="F4930" t="inlineStr">
        <is>
          <t>Bergvik skog väst AB</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20189-2025</t>
        </is>
      </c>
      <c r="B4931" s="1" t="n">
        <v>45772.59885416667</v>
      </c>
      <c r="C4931" s="1" t="n">
        <v>46114</v>
      </c>
      <c r="D4931" t="inlineStr">
        <is>
          <t>DALARNAS LÄN</t>
        </is>
      </c>
      <c r="E4931" t="inlineStr">
        <is>
          <t>VANSBRO</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16777-2024</t>
        </is>
      </c>
      <c r="B4932" s="1" t="n">
        <v>45411</v>
      </c>
      <c r="C4932" s="1" t="n">
        <v>46114</v>
      </c>
      <c r="D4932" t="inlineStr">
        <is>
          <t>DALARNAS LÄN</t>
        </is>
      </c>
      <c r="E4932" t="inlineStr">
        <is>
          <t>ORSA</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7626-2025</t>
        </is>
      </c>
      <c r="B4933" s="1" t="n">
        <v>45705.72799768519</v>
      </c>
      <c r="C4933" s="1" t="n">
        <v>46114</v>
      </c>
      <c r="D4933" t="inlineStr">
        <is>
          <t>DALARNAS LÄN</t>
        </is>
      </c>
      <c r="E4933" t="inlineStr">
        <is>
          <t>ORSA</t>
        </is>
      </c>
      <c r="G4933" t="n">
        <v>15.5</v>
      </c>
      <c r="H4933" t="n">
        <v>0</v>
      </c>
      <c r="I4933" t="n">
        <v>0</v>
      </c>
      <c r="J4933" t="n">
        <v>0</v>
      </c>
      <c r="K4933" t="n">
        <v>0</v>
      </c>
      <c r="L4933" t="n">
        <v>0</v>
      </c>
      <c r="M4933" t="n">
        <v>0</v>
      </c>
      <c r="N4933" t="n">
        <v>0</v>
      </c>
      <c r="O4933" t="n">
        <v>0</v>
      </c>
      <c r="P4933" t="n">
        <v>0</v>
      </c>
      <c r="Q4933" t="n">
        <v>0</v>
      </c>
      <c r="R4933" s="2" t="inlineStr"/>
    </row>
    <row r="4934" ht="15" customHeight="1">
      <c r="A4934" t="inlineStr">
        <is>
          <t>A 27125-2024</t>
        </is>
      </c>
      <c r="B4934" s="1" t="n">
        <v>45471</v>
      </c>
      <c r="C4934" s="1" t="n">
        <v>46114</v>
      </c>
      <c r="D4934" t="inlineStr">
        <is>
          <t>DALARNAS LÄN</t>
        </is>
      </c>
      <c r="E4934" t="inlineStr">
        <is>
          <t>MORA</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53102-2021</t>
        </is>
      </c>
      <c r="B4935" s="1" t="n">
        <v>44467</v>
      </c>
      <c r="C4935" s="1" t="n">
        <v>46114</v>
      </c>
      <c r="D4935" t="inlineStr">
        <is>
          <t>DALARNAS LÄN</t>
        </is>
      </c>
      <c r="E4935" t="inlineStr">
        <is>
          <t>ORSA</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48944-2025</t>
        </is>
      </c>
      <c r="B4936" s="1" t="n">
        <v>45937.5359375</v>
      </c>
      <c r="C4936" s="1" t="n">
        <v>46114</v>
      </c>
      <c r="D4936" t="inlineStr">
        <is>
          <t>DALARNAS LÄN</t>
        </is>
      </c>
      <c r="E4936" t="inlineStr">
        <is>
          <t>MALUNG-SÄLEN</t>
        </is>
      </c>
      <c r="F4936" t="inlineStr">
        <is>
          <t>Bergvik skog väst AB</t>
        </is>
      </c>
      <c r="G4936" t="n">
        <v>9.9</v>
      </c>
      <c r="H4936" t="n">
        <v>0</v>
      </c>
      <c r="I4936" t="n">
        <v>0</v>
      </c>
      <c r="J4936" t="n">
        <v>0</v>
      </c>
      <c r="K4936" t="n">
        <v>0</v>
      </c>
      <c r="L4936" t="n">
        <v>0</v>
      </c>
      <c r="M4936" t="n">
        <v>0</v>
      </c>
      <c r="N4936" t="n">
        <v>0</v>
      </c>
      <c r="O4936" t="n">
        <v>0</v>
      </c>
      <c r="P4936" t="n">
        <v>0</v>
      </c>
      <c r="Q4936" t="n">
        <v>0</v>
      </c>
      <c r="R4936" s="2" t="inlineStr"/>
    </row>
    <row r="4937" ht="15" customHeight="1">
      <c r="A4937" t="inlineStr">
        <is>
          <t>A 33931-2024</t>
        </is>
      </c>
      <c r="B4937" s="1" t="n">
        <v>45523.43003472222</v>
      </c>
      <c r="C4937" s="1" t="n">
        <v>46114</v>
      </c>
      <c r="D4937" t="inlineStr">
        <is>
          <t>DALARNAS LÄN</t>
        </is>
      </c>
      <c r="E4937" t="inlineStr">
        <is>
          <t>FALUN</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49205-2025</t>
        </is>
      </c>
      <c r="B4938" s="1" t="n">
        <v>45938.42122685185</v>
      </c>
      <c r="C4938" s="1" t="n">
        <v>46114</v>
      </c>
      <c r="D4938" t="inlineStr">
        <is>
          <t>DALARNAS LÄN</t>
        </is>
      </c>
      <c r="E4938" t="inlineStr">
        <is>
          <t>SMEDJEBACKEN</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33998-2024</t>
        </is>
      </c>
      <c r="B4939" s="1" t="n">
        <v>45523.54817129629</v>
      </c>
      <c r="C4939" s="1" t="n">
        <v>46114</v>
      </c>
      <c r="D4939" t="inlineStr">
        <is>
          <t>DALARNAS LÄN</t>
        </is>
      </c>
      <c r="E4939" t="inlineStr">
        <is>
          <t>FALUN</t>
        </is>
      </c>
      <c r="F4939" t="inlineStr">
        <is>
          <t>Bergvik skog väst AB</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48957-2025</t>
        </is>
      </c>
      <c r="B4940" s="1" t="n">
        <v>45937.55002314815</v>
      </c>
      <c r="C4940" s="1" t="n">
        <v>46114</v>
      </c>
      <c r="D4940" t="inlineStr">
        <is>
          <t>DALARNAS LÄN</t>
        </is>
      </c>
      <c r="E4940" t="inlineStr">
        <is>
          <t>GAGNEF</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61316-2024</t>
        </is>
      </c>
      <c r="B4941" s="1" t="n">
        <v>45646.32006944445</v>
      </c>
      <c r="C4941" s="1" t="n">
        <v>46114</v>
      </c>
      <c r="D4941" t="inlineStr">
        <is>
          <t>DALARNAS LÄN</t>
        </is>
      </c>
      <c r="E4941" t="inlineStr">
        <is>
          <t>RÄTTVIK</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49653-2025</t>
        </is>
      </c>
      <c r="B4942" s="1" t="n">
        <v>45939</v>
      </c>
      <c r="C4942" s="1" t="n">
        <v>46114</v>
      </c>
      <c r="D4942" t="inlineStr">
        <is>
          <t>DALARNAS LÄN</t>
        </is>
      </c>
      <c r="E4942" t="inlineStr">
        <is>
          <t>SÄTER</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49677-2025</t>
        </is>
      </c>
      <c r="B4943" s="1" t="n">
        <v>45939.64640046296</v>
      </c>
      <c r="C4943" s="1" t="n">
        <v>46114</v>
      </c>
      <c r="D4943" t="inlineStr">
        <is>
          <t>DALARNAS LÄN</t>
        </is>
      </c>
      <c r="E4943" t="inlineStr">
        <is>
          <t>VANSBRO</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30822-2024</t>
        </is>
      </c>
      <c r="B4944" s="1" t="n">
        <v>45497</v>
      </c>
      <c r="C4944" s="1" t="n">
        <v>46114</v>
      </c>
      <c r="D4944" t="inlineStr">
        <is>
          <t>DALARNAS LÄN</t>
        </is>
      </c>
      <c r="E4944" t="inlineStr">
        <is>
          <t>MORA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49002-2025</t>
        </is>
      </c>
      <c r="B4945" s="1" t="n">
        <v>45937.59822916667</v>
      </c>
      <c r="C4945" s="1" t="n">
        <v>46114</v>
      </c>
      <c r="D4945" t="inlineStr">
        <is>
          <t>DALARNAS LÄN</t>
        </is>
      </c>
      <c r="E4945" t="inlineStr">
        <is>
          <t>FALUN</t>
        </is>
      </c>
      <c r="F4945" t="inlineStr">
        <is>
          <t>Bergvik skog väst AB</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49062-2025</t>
        </is>
      </c>
      <c r="B4946" s="1" t="n">
        <v>45937.64236111111</v>
      </c>
      <c r="C4946" s="1" t="n">
        <v>46114</v>
      </c>
      <c r="D4946" t="inlineStr">
        <is>
          <t>DALARNAS LÄN</t>
        </is>
      </c>
      <c r="E4946" t="inlineStr">
        <is>
          <t>MALUNG-SÄLEN</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49099-2025</t>
        </is>
      </c>
      <c r="B4947" s="1" t="n">
        <v>45937.70412037037</v>
      </c>
      <c r="C4947" s="1" t="n">
        <v>46114</v>
      </c>
      <c r="D4947" t="inlineStr">
        <is>
          <t>DALARNAS LÄN</t>
        </is>
      </c>
      <c r="E4947" t="inlineStr">
        <is>
          <t>AVESTA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54842-2023</t>
        </is>
      </c>
      <c r="B4948" s="1" t="n">
        <v>45236.58135416666</v>
      </c>
      <c r="C4948" s="1" t="n">
        <v>46114</v>
      </c>
      <c r="D4948" t="inlineStr">
        <is>
          <t>DALARNAS LÄN</t>
        </is>
      </c>
      <c r="E4948" t="inlineStr">
        <is>
          <t>MALUNG-SÄLEN</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30204-2024</t>
        </is>
      </c>
      <c r="B4949" s="1" t="n">
        <v>45490.35402777778</v>
      </c>
      <c r="C4949" s="1" t="n">
        <v>46114</v>
      </c>
      <c r="D4949" t="inlineStr">
        <is>
          <t>DALARNAS LÄN</t>
        </is>
      </c>
      <c r="E4949" t="inlineStr">
        <is>
          <t>LEKSAND</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49617-2025</t>
        </is>
      </c>
      <c r="B4950" s="1" t="n">
        <v>45939.58782407407</v>
      </c>
      <c r="C4950" s="1" t="n">
        <v>46114</v>
      </c>
      <c r="D4950" t="inlineStr">
        <is>
          <t>DALARNAS LÄN</t>
        </is>
      </c>
      <c r="E4950" t="inlineStr">
        <is>
          <t>VANSBRO</t>
        </is>
      </c>
      <c r="F4950" t="inlineStr">
        <is>
          <t>Bergvik skog öst AB</t>
        </is>
      </c>
      <c r="G4950" t="n">
        <v>1.6</v>
      </c>
      <c r="H4950" t="n">
        <v>0</v>
      </c>
      <c r="I4950" t="n">
        <v>0</v>
      </c>
      <c r="J4950" t="n">
        <v>0</v>
      </c>
      <c r="K4950" t="n">
        <v>0</v>
      </c>
      <c r="L4950" t="n">
        <v>0</v>
      </c>
      <c r="M4950" t="n">
        <v>0</v>
      </c>
      <c r="N4950" t="n">
        <v>0</v>
      </c>
      <c r="O4950" t="n">
        <v>0</v>
      </c>
      <c r="P4950" t="n">
        <v>0</v>
      </c>
      <c r="Q4950" t="n">
        <v>0</v>
      </c>
      <c r="R4950" s="2" t="inlineStr"/>
    </row>
    <row r="4951" ht="15" customHeight="1">
      <c r="A4951" t="inlineStr">
        <is>
          <t>A 20596-2021</t>
        </is>
      </c>
      <c r="B4951" s="1" t="n">
        <v>44316</v>
      </c>
      <c r="C4951" s="1" t="n">
        <v>46114</v>
      </c>
      <c r="D4951" t="inlineStr">
        <is>
          <t>DALARNAS LÄN</t>
        </is>
      </c>
      <c r="E4951" t="inlineStr">
        <is>
          <t>LUDVIKA</t>
        </is>
      </c>
      <c r="F4951" t="inlineStr">
        <is>
          <t>Naturvårdsverket</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48908-2025</t>
        </is>
      </c>
      <c r="B4952" s="1" t="n">
        <v>45937.48424768518</v>
      </c>
      <c r="C4952" s="1" t="n">
        <v>46114</v>
      </c>
      <c r="D4952" t="inlineStr">
        <is>
          <t>DALARNAS LÄN</t>
        </is>
      </c>
      <c r="E4952" t="inlineStr">
        <is>
          <t>MALUNG-SÄLEN</t>
        </is>
      </c>
      <c r="F4952" t="inlineStr">
        <is>
          <t>Bergvik skog väst AB</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49574-2025</t>
        </is>
      </c>
      <c r="B4953" s="1" t="n">
        <v>45939.49045138889</v>
      </c>
      <c r="C4953" s="1" t="n">
        <v>46114</v>
      </c>
      <c r="D4953" t="inlineStr">
        <is>
          <t>DALARNAS LÄN</t>
        </is>
      </c>
      <c r="E4953" t="inlineStr">
        <is>
          <t>MORA</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32995-2023</t>
        </is>
      </c>
      <c r="B4954" s="1" t="n">
        <v>45113</v>
      </c>
      <c r="C4954" s="1" t="n">
        <v>46114</v>
      </c>
      <c r="D4954" t="inlineStr">
        <is>
          <t>DALARNAS LÄN</t>
        </is>
      </c>
      <c r="E4954" t="inlineStr">
        <is>
          <t>LUDVIKA</t>
        </is>
      </c>
      <c r="F4954" t="inlineStr">
        <is>
          <t>Kommuner</t>
        </is>
      </c>
      <c r="G4954" t="n">
        <v>5.8</v>
      </c>
      <c r="H4954" t="n">
        <v>0</v>
      </c>
      <c r="I4954" t="n">
        <v>0</v>
      </c>
      <c r="J4954" t="n">
        <v>0</v>
      </c>
      <c r="K4954" t="n">
        <v>0</v>
      </c>
      <c r="L4954" t="n">
        <v>0</v>
      </c>
      <c r="M4954" t="n">
        <v>0</v>
      </c>
      <c r="N4954" t="n">
        <v>0</v>
      </c>
      <c r="O4954" t="n">
        <v>0</v>
      </c>
      <c r="P4954" t="n">
        <v>0</v>
      </c>
      <c r="Q4954" t="n">
        <v>0</v>
      </c>
      <c r="R4954" s="2" t="inlineStr"/>
    </row>
    <row r="4955" ht="15" customHeight="1">
      <c r="A4955" t="inlineStr">
        <is>
          <t>A 49678-2025</t>
        </is>
      </c>
      <c r="B4955" s="1" t="n">
        <v>45939.64701388889</v>
      </c>
      <c r="C4955" s="1" t="n">
        <v>46114</v>
      </c>
      <c r="D4955" t="inlineStr">
        <is>
          <t>DALARNAS LÄN</t>
        </is>
      </c>
      <c r="E4955" t="inlineStr">
        <is>
          <t>AVESTA</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49679-2025</t>
        </is>
      </c>
      <c r="B4956" s="1" t="n">
        <v>45939.64821759259</v>
      </c>
      <c r="C4956" s="1" t="n">
        <v>46114</v>
      </c>
      <c r="D4956" t="inlineStr">
        <is>
          <t>DALARNAS LÄN</t>
        </is>
      </c>
      <c r="E4956" t="inlineStr">
        <is>
          <t>VANSBRO</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6047-2023</t>
        </is>
      </c>
      <c r="B4957" s="1" t="n">
        <v>44964</v>
      </c>
      <c r="C4957" s="1" t="n">
        <v>46114</v>
      </c>
      <c r="D4957" t="inlineStr">
        <is>
          <t>DALARNAS LÄN</t>
        </is>
      </c>
      <c r="E4957" t="inlineStr">
        <is>
          <t>ORSA</t>
        </is>
      </c>
      <c r="F4957" t="inlineStr">
        <is>
          <t>Bergvik skog öst AB</t>
        </is>
      </c>
      <c r="G4957" t="n">
        <v>0.2</v>
      </c>
      <c r="H4957" t="n">
        <v>0</v>
      </c>
      <c r="I4957" t="n">
        <v>0</v>
      </c>
      <c r="J4957" t="n">
        <v>0</v>
      </c>
      <c r="K4957" t="n">
        <v>0</v>
      </c>
      <c r="L4957" t="n">
        <v>0</v>
      </c>
      <c r="M4957" t="n">
        <v>0</v>
      </c>
      <c r="N4957" t="n">
        <v>0</v>
      </c>
      <c r="O4957" t="n">
        <v>0</v>
      </c>
      <c r="P4957" t="n">
        <v>0</v>
      </c>
      <c r="Q4957" t="n">
        <v>0</v>
      </c>
      <c r="R4957" s="2" t="inlineStr"/>
    </row>
    <row r="4958" ht="15" customHeight="1">
      <c r="A4958" t="inlineStr">
        <is>
          <t>A 6050-2023</t>
        </is>
      </c>
      <c r="B4958" s="1" t="n">
        <v>44959</v>
      </c>
      <c r="C4958" s="1" t="n">
        <v>46114</v>
      </c>
      <c r="D4958" t="inlineStr">
        <is>
          <t>DALARNAS LÄN</t>
        </is>
      </c>
      <c r="E4958" t="inlineStr">
        <is>
          <t>LEKSAND</t>
        </is>
      </c>
      <c r="G4958" t="n">
        <v>6.2</v>
      </c>
      <c r="H4958" t="n">
        <v>0</v>
      </c>
      <c r="I4958" t="n">
        <v>0</v>
      </c>
      <c r="J4958" t="n">
        <v>0</v>
      </c>
      <c r="K4958" t="n">
        <v>0</v>
      </c>
      <c r="L4958" t="n">
        <v>0</v>
      </c>
      <c r="M4958" t="n">
        <v>0</v>
      </c>
      <c r="N4958" t="n">
        <v>0</v>
      </c>
      <c r="O4958" t="n">
        <v>0</v>
      </c>
      <c r="P4958" t="n">
        <v>0</v>
      </c>
      <c r="Q4958" t="n">
        <v>0</v>
      </c>
      <c r="R4958" s="2" t="inlineStr"/>
    </row>
    <row r="4959" ht="15" customHeight="1">
      <c r="A4959" t="inlineStr">
        <is>
          <t>A 17730-2024</t>
        </is>
      </c>
      <c r="B4959" s="1" t="n">
        <v>45418</v>
      </c>
      <c r="C4959" s="1" t="n">
        <v>46114</v>
      </c>
      <c r="D4959" t="inlineStr">
        <is>
          <t>DALARNAS LÄN</t>
        </is>
      </c>
      <c r="E4959" t="inlineStr">
        <is>
          <t>LEKSAND</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6371-2022</t>
        </is>
      </c>
      <c r="B4960" s="1" t="n">
        <v>44600</v>
      </c>
      <c r="C4960" s="1" t="n">
        <v>46114</v>
      </c>
      <c r="D4960" t="inlineStr">
        <is>
          <t>DALARNAS LÄN</t>
        </is>
      </c>
      <c r="E4960" t="inlineStr">
        <is>
          <t>MORA</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49212-2025</t>
        </is>
      </c>
      <c r="B4961" s="1" t="n">
        <v>45938.43855324074</v>
      </c>
      <c r="C4961" s="1" t="n">
        <v>46114</v>
      </c>
      <c r="D4961" t="inlineStr">
        <is>
          <t>DALARNAS LÄN</t>
        </is>
      </c>
      <c r="E4961" t="inlineStr">
        <is>
          <t>LEKSAND</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21268-2024</t>
        </is>
      </c>
      <c r="B4962" s="1" t="n">
        <v>45440.64032407408</v>
      </c>
      <c r="C4962" s="1" t="n">
        <v>46114</v>
      </c>
      <c r="D4962" t="inlineStr">
        <is>
          <t>DALARNAS LÄN</t>
        </is>
      </c>
      <c r="E4962" t="inlineStr">
        <is>
          <t>VANSBRO</t>
        </is>
      </c>
      <c r="F4962" t="inlineStr">
        <is>
          <t>Bergvik skog väst AB</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49673-2025</t>
        </is>
      </c>
      <c r="B4963" s="1" t="n">
        <v>45939.64255787037</v>
      </c>
      <c r="C4963" s="1" t="n">
        <v>46114</v>
      </c>
      <c r="D4963" t="inlineStr">
        <is>
          <t>DALARNAS LÄN</t>
        </is>
      </c>
      <c r="E4963" t="inlineStr">
        <is>
          <t>VANSBRO</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49198-2025</t>
        </is>
      </c>
      <c r="B4964" s="1" t="n">
        <v>45938.41104166667</v>
      </c>
      <c r="C4964" s="1" t="n">
        <v>46114</v>
      </c>
      <c r="D4964" t="inlineStr">
        <is>
          <t>DALARNAS LÄN</t>
        </is>
      </c>
      <c r="E4964" t="inlineStr">
        <is>
          <t>SMEDJEBACKEN</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49209-2025</t>
        </is>
      </c>
      <c r="B4965" s="1" t="n">
        <v>45938.43589120371</v>
      </c>
      <c r="C4965" s="1" t="n">
        <v>46114</v>
      </c>
      <c r="D4965" t="inlineStr">
        <is>
          <t>DALARNAS LÄN</t>
        </is>
      </c>
      <c r="E4965" t="inlineStr">
        <is>
          <t>LEKSAND</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26913-2022</t>
        </is>
      </c>
      <c r="B4966" s="1" t="n">
        <v>44740.59753472222</v>
      </c>
      <c r="C4966" s="1" t="n">
        <v>46114</v>
      </c>
      <c r="D4966" t="inlineStr">
        <is>
          <t>DALARNAS LÄN</t>
        </is>
      </c>
      <c r="E4966" t="inlineStr">
        <is>
          <t>MALUNG-SÄLEN</t>
        </is>
      </c>
      <c r="F4966" t="inlineStr">
        <is>
          <t>Bergvik skog öst AB</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49873-2025</t>
        </is>
      </c>
      <c r="B4967" s="1" t="n">
        <v>45940.55105324074</v>
      </c>
      <c r="C4967" s="1" t="n">
        <v>46114</v>
      </c>
      <c r="D4967" t="inlineStr">
        <is>
          <t>DALARNAS LÄN</t>
        </is>
      </c>
      <c r="E4967" t="inlineStr">
        <is>
          <t>MALUNG-SÄLEN</t>
        </is>
      </c>
      <c r="F4967" t="inlineStr">
        <is>
          <t>Allmännings- och besparingsskogar</t>
        </is>
      </c>
      <c r="G4967" t="n">
        <v>21.5</v>
      </c>
      <c r="H4967" t="n">
        <v>0</v>
      </c>
      <c r="I4967" t="n">
        <v>0</v>
      </c>
      <c r="J4967" t="n">
        <v>0</v>
      </c>
      <c r="K4967" t="n">
        <v>0</v>
      </c>
      <c r="L4967" t="n">
        <v>0</v>
      </c>
      <c r="M4967" t="n">
        <v>0</v>
      </c>
      <c r="N4967" t="n">
        <v>0</v>
      </c>
      <c r="O4967" t="n">
        <v>0</v>
      </c>
      <c r="P4967" t="n">
        <v>0</v>
      </c>
      <c r="Q4967" t="n">
        <v>0</v>
      </c>
      <c r="R4967" s="2" t="inlineStr"/>
    </row>
    <row r="4968" ht="15" customHeight="1">
      <c r="A4968" t="inlineStr">
        <is>
          <t>A 49874-2025</t>
        </is>
      </c>
      <c r="B4968" s="1" t="n">
        <v>45940</v>
      </c>
      <c r="C4968" s="1" t="n">
        <v>46114</v>
      </c>
      <c r="D4968" t="inlineStr">
        <is>
          <t>DALARNAS LÄN</t>
        </is>
      </c>
      <c r="E4968" t="inlineStr">
        <is>
          <t>LUDVIKA</t>
        </is>
      </c>
      <c r="F4968" t="inlineStr">
        <is>
          <t>Bergvik skog väst AB</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49879-2025</t>
        </is>
      </c>
      <c r="B4969" s="1" t="n">
        <v>45940</v>
      </c>
      <c r="C4969" s="1" t="n">
        <v>46114</v>
      </c>
      <c r="D4969" t="inlineStr">
        <is>
          <t>DALARNAS LÄN</t>
        </is>
      </c>
      <c r="E4969" t="inlineStr">
        <is>
          <t>LUDVIKA</t>
        </is>
      </c>
      <c r="F4969" t="inlineStr">
        <is>
          <t>Bergvik skog väst AB</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49893-2025</t>
        </is>
      </c>
      <c r="B4970" s="1" t="n">
        <v>45940</v>
      </c>
      <c r="C4970" s="1" t="n">
        <v>46114</v>
      </c>
      <c r="D4970" t="inlineStr">
        <is>
          <t>DALARNAS LÄN</t>
        </is>
      </c>
      <c r="E4970" t="inlineStr">
        <is>
          <t>LUDVIKA</t>
        </is>
      </c>
      <c r="F4970" t="inlineStr">
        <is>
          <t>Bergvik skog väst AB</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47054-2025</t>
        </is>
      </c>
      <c r="B4971" s="1" t="n">
        <v>45929</v>
      </c>
      <c r="C4971" s="1" t="n">
        <v>46114</v>
      </c>
      <c r="D4971" t="inlineStr">
        <is>
          <t>DALARNAS LÄN</t>
        </is>
      </c>
      <c r="E4971" t="inlineStr">
        <is>
          <t>GAGNEF</t>
        </is>
      </c>
      <c r="F4971" t="inlineStr">
        <is>
          <t>Bergvik skog väst AB</t>
        </is>
      </c>
      <c r="G4971" t="n">
        <v>17.1</v>
      </c>
      <c r="H4971" t="n">
        <v>0</v>
      </c>
      <c r="I4971" t="n">
        <v>0</v>
      </c>
      <c r="J4971" t="n">
        <v>0</v>
      </c>
      <c r="K4971" t="n">
        <v>0</v>
      </c>
      <c r="L4971" t="n">
        <v>0</v>
      </c>
      <c r="M4971" t="n">
        <v>0</v>
      </c>
      <c r="N4971" t="n">
        <v>0</v>
      </c>
      <c r="O4971" t="n">
        <v>0</v>
      </c>
      <c r="P4971" t="n">
        <v>0</v>
      </c>
      <c r="Q4971" t="n">
        <v>0</v>
      </c>
      <c r="R4971" s="2" t="inlineStr"/>
    </row>
    <row r="4972" ht="15" customHeight="1">
      <c r="A4972" t="inlineStr">
        <is>
          <t>A 61350-2024</t>
        </is>
      </c>
      <c r="B4972" s="1" t="n">
        <v>45646.37872685185</v>
      </c>
      <c r="C4972" s="1" t="n">
        <v>46114</v>
      </c>
      <c r="D4972" t="inlineStr">
        <is>
          <t>DALARNAS LÄN</t>
        </is>
      </c>
      <c r="E4972" t="inlineStr">
        <is>
          <t>MORA</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20100-2024</t>
        </is>
      </c>
      <c r="B4973" s="1" t="n">
        <v>45434.47217592593</v>
      </c>
      <c r="C4973" s="1" t="n">
        <v>46114</v>
      </c>
      <c r="D4973" t="inlineStr">
        <is>
          <t>DALARNAS LÄN</t>
        </is>
      </c>
      <c r="E4973" t="inlineStr">
        <is>
          <t>MALUNG-SÄLEN</t>
        </is>
      </c>
      <c r="F4973" t="inlineStr">
        <is>
          <t>Bergvik skog väst AB</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59483-2024</t>
        </is>
      </c>
      <c r="B4974" s="1" t="n">
        <v>45638.52847222222</v>
      </c>
      <c r="C4974" s="1" t="n">
        <v>46114</v>
      </c>
      <c r="D4974" t="inlineStr">
        <is>
          <t>DALARNAS LÄN</t>
        </is>
      </c>
      <c r="E4974" t="inlineStr">
        <is>
          <t>ÄLVDALEN</t>
        </is>
      </c>
      <c r="F4974" t="inlineStr">
        <is>
          <t>Allmännings- och besparingsskogar</t>
        </is>
      </c>
      <c r="G4974" t="n">
        <v>6.9</v>
      </c>
      <c r="H4974" t="n">
        <v>0</v>
      </c>
      <c r="I4974" t="n">
        <v>0</v>
      </c>
      <c r="J4974" t="n">
        <v>0</v>
      </c>
      <c r="K4974" t="n">
        <v>0</v>
      </c>
      <c r="L4974" t="n">
        <v>0</v>
      </c>
      <c r="M4974" t="n">
        <v>0</v>
      </c>
      <c r="N4974" t="n">
        <v>0</v>
      </c>
      <c r="O4974" t="n">
        <v>0</v>
      </c>
      <c r="P4974" t="n">
        <v>0</v>
      </c>
      <c r="Q4974" t="n">
        <v>0</v>
      </c>
      <c r="R4974" s="2" t="inlineStr"/>
    </row>
    <row r="4975" ht="15" customHeight="1">
      <c r="A4975" t="inlineStr">
        <is>
          <t>A 49942-2025</t>
        </is>
      </c>
      <c r="B4975" s="1" t="n">
        <v>45940.69508101852</v>
      </c>
      <c r="C4975" s="1" t="n">
        <v>46114</v>
      </c>
      <c r="D4975" t="inlineStr">
        <is>
          <t>DALARNAS LÄN</t>
        </is>
      </c>
      <c r="E4975" t="inlineStr">
        <is>
          <t>HEDEMORA</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45961-2025</t>
        </is>
      </c>
      <c r="B4976" s="1" t="n">
        <v>45924</v>
      </c>
      <c r="C4976" s="1" t="n">
        <v>46114</v>
      </c>
      <c r="D4976" t="inlineStr">
        <is>
          <t>DALARNAS LÄN</t>
        </is>
      </c>
      <c r="E4976" t="inlineStr">
        <is>
          <t>GAGNEF</t>
        </is>
      </c>
      <c r="F4976" t="inlineStr">
        <is>
          <t>Bergvik skog väst AB</t>
        </is>
      </c>
      <c r="G4976" t="n">
        <v>3.2</v>
      </c>
      <c r="H4976" t="n">
        <v>0</v>
      </c>
      <c r="I4976" t="n">
        <v>0</v>
      </c>
      <c r="J4976" t="n">
        <v>0</v>
      </c>
      <c r="K4976" t="n">
        <v>0</v>
      </c>
      <c r="L4976" t="n">
        <v>0</v>
      </c>
      <c r="M4976" t="n">
        <v>0</v>
      </c>
      <c r="N4976" t="n">
        <v>0</v>
      </c>
      <c r="O4976" t="n">
        <v>0</v>
      </c>
      <c r="P4976" t="n">
        <v>0</v>
      </c>
      <c r="Q4976" t="n">
        <v>0</v>
      </c>
      <c r="R4976" s="2" t="inlineStr"/>
    </row>
    <row r="4977" ht="15" customHeight="1">
      <c r="A4977" t="inlineStr">
        <is>
          <t>A 49800-2025</t>
        </is>
      </c>
      <c r="B4977" s="1" t="n">
        <v>45940.40857638889</v>
      </c>
      <c r="C4977" s="1" t="n">
        <v>46114</v>
      </c>
      <c r="D4977" t="inlineStr">
        <is>
          <t>DALARNAS LÄN</t>
        </is>
      </c>
      <c r="E4977" t="inlineStr">
        <is>
          <t>MALUNG-SÄLEN</t>
        </is>
      </c>
      <c r="G4977" t="n">
        <v>5.4</v>
      </c>
      <c r="H4977" t="n">
        <v>0</v>
      </c>
      <c r="I4977" t="n">
        <v>0</v>
      </c>
      <c r="J4977" t="n">
        <v>0</v>
      </c>
      <c r="K4977" t="n">
        <v>0</v>
      </c>
      <c r="L4977" t="n">
        <v>0</v>
      </c>
      <c r="M4977" t="n">
        <v>0</v>
      </c>
      <c r="N4977" t="n">
        <v>0</v>
      </c>
      <c r="O4977" t="n">
        <v>0</v>
      </c>
      <c r="P4977" t="n">
        <v>0</v>
      </c>
      <c r="Q4977" t="n">
        <v>0</v>
      </c>
      <c r="R4977" s="2" t="inlineStr"/>
    </row>
    <row r="4978" ht="15" customHeight="1">
      <c r="A4978" t="inlineStr">
        <is>
          <t>A 49810-2025</t>
        </is>
      </c>
      <c r="B4978" s="1" t="n">
        <v>45940.42287037037</v>
      </c>
      <c r="C4978" s="1" t="n">
        <v>46114</v>
      </c>
      <c r="D4978" t="inlineStr">
        <is>
          <t>DALARNAS LÄN</t>
        </is>
      </c>
      <c r="E4978" t="inlineStr">
        <is>
          <t>RÄTTVIK</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23917-2024</t>
        </is>
      </c>
      <c r="B4979" s="1" t="n">
        <v>45455.86696759259</v>
      </c>
      <c r="C4979" s="1" t="n">
        <v>46114</v>
      </c>
      <c r="D4979" t="inlineStr">
        <is>
          <t>DALARNAS LÄN</t>
        </is>
      </c>
      <c r="E4979" t="inlineStr">
        <is>
          <t>SÄTER</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50201-2025</t>
        </is>
      </c>
      <c r="B4980" s="1" t="n">
        <v>45943.6525462963</v>
      </c>
      <c r="C4980" s="1" t="n">
        <v>46114</v>
      </c>
      <c r="D4980" t="inlineStr">
        <is>
          <t>DALARNAS LÄN</t>
        </is>
      </c>
      <c r="E4980" t="inlineStr">
        <is>
          <t>RÄTTVIK</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50208-2025</t>
        </is>
      </c>
      <c r="B4981" s="1" t="n">
        <v>45943.6643287037</v>
      </c>
      <c r="C4981" s="1" t="n">
        <v>46114</v>
      </c>
      <c r="D4981" t="inlineStr">
        <is>
          <t>DALARNAS LÄN</t>
        </is>
      </c>
      <c r="E4981" t="inlineStr">
        <is>
          <t>AVESTA</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49723-2025</t>
        </is>
      </c>
      <c r="B4982" s="1" t="n">
        <v>45939.82416666667</v>
      </c>
      <c r="C4982" s="1" t="n">
        <v>46114</v>
      </c>
      <c r="D4982" t="inlineStr">
        <is>
          <t>DALARNAS LÄN</t>
        </is>
      </c>
      <c r="E4982" t="inlineStr">
        <is>
          <t>RÄTTVIK</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26080-2021</t>
        </is>
      </c>
      <c r="B4983" s="1" t="n">
        <v>44344</v>
      </c>
      <c r="C4983" s="1" t="n">
        <v>46114</v>
      </c>
      <c r="D4983" t="inlineStr">
        <is>
          <t>DALARNAS LÄN</t>
        </is>
      </c>
      <c r="E4983" t="inlineStr">
        <is>
          <t>ÄLVDALEN</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50140-2025</t>
        </is>
      </c>
      <c r="B4984" s="1" t="n">
        <v>45943.56582175926</v>
      </c>
      <c r="C4984" s="1" t="n">
        <v>46114</v>
      </c>
      <c r="D4984" t="inlineStr">
        <is>
          <t>DALARNAS LÄN</t>
        </is>
      </c>
      <c r="E4984" t="inlineStr">
        <is>
          <t>RÄTTVIK</t>
        </is>
      </c>
      <c r="F4984" t="inlineStr">
        <is>
          <t>Bergvik skog väst AB</t>
        </is>
      </c>
      <c r="G4984" t="n">
        <v>7.7</v>
      </c>
      <c r="H4984" t="n">
        <v>0</v>
      </c>
      <c r="I4984" t="n">
        <v>0</v>
      </c>
      <c r="J4984" t="n">
        <v>0</v>
      </c>
      <c r="K4984" t="n">
        <v>0</v>
      </c>
      <c r="L4984" t="n">
        <v>0</v>
      </c>
      <c r="M4984" t="n">
        <v>0</v>
      </c>
      <c r="N4984" t="n">
        <v>0</v>
      </c>
      <c r="O4984" t="n">
        <v>0</v>
      </c>
      <c r="P4984" t="n">
        <v>0</v>
      </c>
      <c r="Q4984" t="n">
        <v>0</v>
      </c>
      <c r="R4984" s="2" t="inlineStr"/>
    </row>
    <row r="4985" ht="15" customHeight="1">
      <c r="A4985" t="inlineStr">
        <is>
          <t>A 49819-2025</t>
        </is>
      </c>
      <c r="B4985" s="1" t="n">
        <v>45940.43707175926</v>
      </c>
      <c r="C4985" s="1" t="n">
        <v>46114</v>
      </c>
      <c r="D4985" t="inlineStr">
        <is>
          <t>DALARNAS LÄN</t>
        </is>
      </c>
      <c r="E4985" t="inlineStr">
        <is>
          <t>VANSBRO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49828-2025</t>
        </is>
      </c>
      <c r="B4986" s="1" t="n">
        <v>45940.44993055556</v>
      </c>
      <c r="C4986" s="1" t="n">
        <v>46114</v>
      </c>
      <c r="D4986" t="inlineStr">
        <is>
          <t>DALARNAS LÄN</t>
        </is>
      </c>
      <c r="E4986" t="inlineStr">
        <is>
          <t>MORA</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59547-2023</t>
        </is>
      </c>
      <c r="B4987" s="1" t="n">
        <v>45254.55645833333</v>
      </c>
      <c r="C4987" s="1" t="n">
        <v>46114</v>
      </c>
      <c r="D4987" t="inlineStr">
        <is>
          <t>DALARNAS LÄN</t>
        </is>
      </c>
      <c r="E4987" t="inlineStr">
        <is>
          <t>ÄLVDALEN</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49722-2025</t>
        </is>
      </c>
      <c r="B4988" s="1" t="n">
        <v>45939.82260416666</v>
      </c>
      <c r="C4988" s="1" t="n">
        <v>46114</v>
      </c>
      <c r="D4988" t="inlineStr">
        <is>
          <t>DALARNAS LÄN</t>
        </is>
      </c>
      <c r="E4988" t="inlineStr">
        <is>
          <t>RÄTTVIK</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49762-2025</t>
        </is>
      </c>
      <c r="B4989" s="1" t="n">
        <v>45940.3487962963</v>
      </c>
      <c r="C4989" s="1" t="n">
        <v>46114</v>
      </c>
      <c r="D4989" t="inlineStr">
        <is>
          <t>DALARNAS LÄN</t>
        </is>
      </c>
      <c r="E4989" t="inlineStr">
        <is>
          <t>GAGNEF</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50107-2025</t>
        </is>
      </c>
      <c r="B4990" s="1" t="n">
        <v>45943.53743055555</v>
      </c>
      <c r="C4990" s="1" t="n">
        <v>46114</v>
      </c>
      <c r="D4990" t="inlineStr">
        <is>
          <t>DALARNAS LÄN</t>
        </is>
      </c>
      <c r="E4990" t="inlineStr">
        <is>
          <t>RÄTTVIK</t>
        </is>
      </c>
      <c r="F4990" t="inlineStr">
        <is>
          <t>Sveaskog</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50013-2025</t>
        </is>
      </c>
      <c r="B4991" s="1" t="n">
        <v>45943</v>
      </c>
      <c r="C4991" s="1" t="n">
        <v>46114</v>
      </c>
      <c r="D4991" t="inlineStr">
        <is>
          <t>DALARNAS LÄN</t>
        </is>
      </c>
      <c r="E4991" t="inlineStr">
        <is>
          <t>MALUNG-SÄLEN</t>
        </is>
      </c>
      <c r="F4991" t="inlineStr">
        <is>
          <t>Allmännings- och besparingsskogar</t>
        </is>
      </c>
      <c r="G4991" t="n">
        <v>27.2</v>
      </c>
      <c r="H4991" t="n">
        <v>0</v>
      </c>
      <c r="I4991" t="n">
        <v>0</v>
      </c>
      <c r="J4991" t="n">
        <v>0</v>
      </c>
      <c r="K4991" t="n">
        <v>0</v>
      </c>
      <c r="L4991" t="n">
        <v>0</v>
      </c>
      <c r="M4991" t="n">
        <v>0</v>
      </c>
      <c r="N4991" t="n">
        <v>0</v>
      </c>
      <c r="O4991" t="n">
        <v>0</v>
      </c>
      <c r="P4991" t="n">
        <v>0</v>
      </c>
      <c r="Q4991" t="n">
        <v>0</v>
      </c>
      <c r="R4991" s="2" t="inlineStr"/>
    </row>
    <row r="4992" ht="15" customHeight="1">
      <c r="A4992" t="inlineStr">
        <is>
          <t>A 49925-2025</t>
        </is>
      </c>
      <c r="B4992" s="1" t="n">
        <v>45940.64503472222</v>
      </c>
      <c r="C4992" s="1" t="n">
        <v>46114</v>
      </c>
      <c r="D4992" t="inlineStr">
        <is>
          <t>DALARNAS LÄN</t>
        </is>
      </c>
      <c r="E4992" t="inlineStr">
        <is>
          <t>SÄTER</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49760-2025</t>
        </is>
      </c>
      <c r="B4993" s="1" t="n">
        <v>45940.34780092593</v>
      </c>
      <c r="C4993" s="1" t="n">
        <v>46114</v>
      </c>
      <c r="D4993" t="inlineStr">
        <is>
          <t>DALARNAS LÄN</t>
        </is>
      </c>
      <c r="E4993" t="inlineStr">
        <is>
          <t>MALUNG-SÄLEN</t>
        </is>
      </c>
      <c r="F4993" t="inlineStr">
        <is>
          <t>Allmännings- och besparingsskogar</t>
        </is>
      </c>
      <c r="G4993" t="n">
        <v>4.8</v>
      </c>
      <c r="H4993" t="n">
        <v>0</v>
      </c>
      <c r="I4993" t="n">
        <v>0</v>
      </c>
      <c r="J4993" t="n">
        <v>0</v>
      </c>
      <c r="K4993" t="n">
        <v>0</v>
      </c>
      <c r="L4993" t="n">
        <v>0</v>
      </c>
      <c r="M4993" t="n">
        <v>0</v>
      </c>
      <c r="N4993" t="n">
        <v>0</v>
      </c>
      <c r="O4993" t="n">
        <v>0</v>
      </c>
      <c r="P4993" t="n">
        <v>0</v>
      </c>
      <c r="Q4993" t="n">
        <v>0</v>
      </c>
      <c r="R4993" s="2" t="inlineStr"/>
    </row>
    <row r="4994" ht="15" customHeight="1">
      <c r="A4994" t="inlineStr">
        <is>
          <t>A 50186-2025</t>
        </is>
      </c>
      <c r="B4994" s="1" t="n">
        <v>45943.62554398148</v>
      </c>
      <c r="C4994" s="1" t="n">
        <v>46114</v>
      </c>
      <c r="D4994" t="inlineStr">
        <is>
          <t>DALARNAS LÄN</t>
        </is>
      </c>
      <c r="E4994" t="inlineStr">
        <is>
          <t>RÄTTVIK</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50197-2025</t>
        </is>
      </c>
      <c r="B4995" s="1" t="n">
        <v>45943.64564814815</v>
      </c>
      <c r="C4995" s="1" t="n">
        <v>46114</v>
      </c>
      <c r="D4995" t="inlineStr">
        <is>
          <t>DALARNAS LÄN</t>
        </is>
      </c>
      <c r="E4995" t="inlineStr">
        <is>
          <t>RÄTTVIK</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49869-2025</t>
        </is>
      </c>
      <c r="B4996" s="1" t="n">
        <v>45940.53694444444</v>
      </c>
      <c r="C4996" s="1" t="n">
        <v>46114</v>
      </c>
      <c r="D4996" t="inlineStr">
        <is>
          <t>DALARNAS LÄN</t>
        </is>
      </c>
      <c r="E4996" t="inlineStr">
        <is>
          <t>MALUNG-SÄLEN</t>
        </is>
      </c>
      <c r="F4996" t="inlineStr">
        <is>
          <t>Allmännings- och besparingsskogar</t>
        </is>
      </c>
      <c r="G4996" t="n">
        <v>8.4</v>
      </c>
      <c r="H4996" t="n">
        <v>0</v>
      </c>
      <c r="I4996" t="n">
        <v>0</v>
      </c>
      <c r="J4996" t="n">
        <v>0</v>
      </c>
      <c r="K4996" t="n">
        <v>0</v>
      </c>
      <c r="L4996" t="n">
        <v>0</v>
      </c>
      <c r="M4996" t="n">
        <v>0</v>
      </c>
      <c r="N4996" t="n">
        <v>0</v>
      </c>
      <c r="O4996" t="n">
        <v>0</v>
      </c>
      <c r="P4996" t="n">
        <v>0</v>
      </c>
      <c r="Q4996" t="n">
        <v>0</v>
      </c>
      <c r="R4996" s="2" t="inlineStr"/>
    </row>
    <row r="4997" ht="15" customHeight="1">
      <c r="A4997" t="inlineStr">
        <is>
          <t>A 50043-2025</t>
        </is>
      </c>
      <c r="B4997" s="1" t="n">
        <v>45943.40546296296</v>
      </c>
      <c r="C4997" s="1" t="n">
        <v>46114</v>
      </c>
      <c r="D4997" t="inlineStr">
        <is>
          <t>DALARNAS LÄN</t>
        </is>
      </c>
      <c r="E4997" t="inlineStr">
        <is>
          <t>HEDEMORA</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50038-2025</t>
        </is>
      </c>
      <c r="B4998" s="1" t="n">
        <v>45943.40084490741</v>
      </c>
      <c r="C4998" s="1" t="n">
        <v>46114</v>
      </c>
      <c r="D4998" t="inlineStr">
        <is>
          <t>DALARNAS LÄN</t>
        </is>
      </c>
      <c r="E4998" t="inlineStr">
        <is>
          <t>HEDEMORA</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50101-2025</t>
        </is>
      </c>
      <c r="B4999" s="1" t="n">
        <v>45943.53317129629</v>
      </c>
      <c r="C4999" s="1" t="n">
        <v>46114</v>
      </c>
      <c r="D4999" t="inlineStr">
        <is>
          <t>DALARNAS LÄN</t>
        </is>
      </c>
      <c r="E4999" t="inlineStr">
        <is>
          <t>HEDEMORA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49956-2025</t>
        </is>
      </c>
      <c r="B5000" s="1" t="n">
        <v>45940</v>
      </c>
      <c r="C5000" s="1" t="n">
        <v>46114</v>
      </c>
      <c r="D5000" t="inlineStr">
        <is>
          <t>DALARNAS LÄN</t>
        </is>
      </c>
      <c r="E5000" t="inlineStr">
        <is>
          <t>RÄTTVIK</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49954-2025</t>
        </is>
      </c>
      <c r="B5001" s="1" t="n">
        <v>45940</v>
      </c>
      <c r="C5001" s="1" t="n">
        <v>46114</v>
      </c>
      <c r="D5001" t="inlineStr">
        <is>
          <t>DALARNAS LÄN</t>
        </is>
      </c>
      <c r="E5001" t="inlineStr">
        <is>
          <t>RÄTTVIK</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49955-2025</t>
        </is>
      </c>
      <c r="B5002" s="1" t="n">
        <v>45940</v>
      </c>
      <c r="C5002" s="1" t="n">
        <v>46114</v>
      </c>
      <c r="D5002" t="inlineStr">
        <is>
          <t>DALARNAS LÄN</t>
        </is>
      </c>
      <c r="E5002" t="inlineStr">
        <is>
          <t>RÄTTVIK</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3853-2024</t>
        </is>
      </c>
      <c r="B5003" s="1" t="n">
        <v>45322.36032407408</v>
      </c>
      <c r="C5003" s="1" t="n">
        <v>46114</v>
      </c>
      <c r="D5003" t="inlineStr">
        <is>
          <t>DALARNAS LÄN</t>
        </is>
      </c>
      <c r="E5003" t="inlineStr">
        <is>
          <t>MALUNG-SÄLEN</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50136-2025</t>
        </is>
      </c>
      <c r="B5004" s="1" t="n">
        <v>45943.56230324074</v>
      </c>
      <c r="C5004" s="1" t="n">
        <v>46114</v>
      </c>
      <c r="D5004" t="inlineStr">
        <is>
          <t>DALARNAS LÄN</t>
        </is>
      </c>
      <c r="E5004" t="inlineStr">
        <is>
          <t>RÄTTVIK</t>
        </is>
      </c>
      <c r="F5004" t="inlineStr">
        <is>
          <t>Bergvik skog väst AB</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49891-2025</t>
        </is>
      </c>
      <c r="B5005" s="1" t="n">
        <v>45940.57618055555</v>
      </c>
      <c r="C5005" s="1" t="n">
        <v>46114</v>
      </c>
      <c r="D5005" t="inlineStr">
        <is>
          <t>DALARNAS LÄN</t>
        </is>
      </c>
      <c r="E5005" t="inlineStr">
        <is>
          <t>FALUN</t>
        </is>
      </c>
      <c r="G5005" t="n">
        <v>1.1</v>
      </c>
      <c r="H5005" t="n">
        <v>0</v>
      </c>
      <c r="I5005" t="n">
        <v>0</v>
      </c>
      <c r="J5005" t="n">
        <v>0</v>
      </c>
      <c r="K5005" t="n">
        <v>0</v>
      </c>
      <c r="L5005" t="n">
        <v>0</v>
      </c>
      <c r="M5005" t="n">
        <v>0</v>
      </c>
      <c r="N5005" t="n">
        <v>0</v>
      </c>
      <c r="O5005" t="n">
        <v>0</v>
      </c>
      <c r="P5005" t="n">
        <v>0</v>
      </c>
      <c r="Q5005" t="n">
        <v>0</v>
      </c>
      <c r="R5005" s="2" t="inlineStr"/>
    </row>
    <row r="5006" ht="15" customHeight="1">
      <c r="A5006" t="inlineStr">
        <is>
          <t>A 60152-2023</t>
        </is>
      </c>
      <c r="B5006" s="1" t="n">
        <v>45258</v>
      </c>
      <c r="C5006" s="1" t="n">
        <v>46114</v>
      </c>
      <c r="D5006" t="inlineStr">
        <is>
          <t>DALARNAS LÄN</t>
        </is>
      </c>
      <c r="E5006" t="inlineStr">
        <is>
          <t>BORLÄNGE</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61662-2024</t>
        </is>
      </c>
      <c r="B5007" s="1" t="n">
        <v>45646.85320601852</v>
      </c>
      <c r="C5007" s="1" t="n">
        <v>46114</v>
      </c>
      <c r="D5007" t="inlineStr">
        <is>
          <t>DALARNAS LÄN</t>
        </is>
      </c>
      <c r="E5007" t="inlineStr">
        <is>
          <t>VANSBRO</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61663-2024</t>
        </is>
      </c>
      <c r="B5008" s="1" t="n">
        <v>45646.86575231481</v>
      </c>
      <c r="C5008" s="1" t="n">
        <v>46114</v>
      </c>
      <c r="D5008" t="inlineStr">
        <is>
          <t>DALARNAS LÄN</t>
        </is>
      </c>
      <c r="E5008" t="inlineStr">
        <is>
          <t>VANSBRO</t>
        </is>
      </c>
      <c r="G5008" t="n">
        <v>8.800000000000001</v>
      </c>
      <c r="H5008" t="n">
        <v>0</v>
      </c>
      <c r="I5008" t="n">
        <v>0</v>
      </c>
      <c r="J5008" t="n">
        <v>0</v>
      </c>
      <c r="K5008" t="n">
        <v>0</v>
      </c>
      <c r="L5008" t="n">
        <v>0</v>
      </c>
      <c r="M5008" t="n">
        <v>0</v>
      </c>
      <c r="N5008" t="n">
        <v>0</v>
      </c>
      <c r="O5008" t="n">
        <v>0</v>
      </c>
      <c r="P5008" t="n">
        <v>0</v>
      </c>
      <c r="Q5008" t="n">
        <v>0</v>
      </c>
      <c r="R5008" s="2" t="inlineStr"/>
    </row>
    <row r="5009" ht="15" customHeight="1">
      <c r="A5009" t="inlineStr">
        <is>
          <t>A 50115-2025</t>
        </is>
      </c>
      <c r="B5009" s="1" t="n">
        <v>45943.54636574074</v>
      </c>
      <c r="C5009" s="1" t="n">
        <v>46114</v>
      </c>
      <c r="D5009" t="inlineStr">
        <is>
          <t>DALARNAS LÄN</t>
        </is>
      </c>
      <c r="E5009" t="inlineStr">
        <is>
          <t>HEDEMORA</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47281-2025</t>
        </is>
      </c>
      <c r="B5010" s="1" t="n">
        <v>45930</v>
      </c>
      <c r="C5010" s="1" t="n">
        <v>46114</v>
      </c>
      <c r="D5010" t="inlineStr">
        <is>
          <t>DALARNAS LÄN</t>
        </is>
      </c>
      <c r="E5010" t="inlineStr">
        <is>
          <t>MALUNG-SÄLEN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49905-2025</t>
        </is>
      </c>
      <c r="B5011" s="1" t="n">
        <v>45940.59796296297</v>
      </c>
      <c r="C5011" s="1" t="n">
        <v>46114</v>
      </c>
      <c r="D5011" t="inlineStr">
        <is>
          <t>DALARNAS LÄN</t>
        </is>
      </c>
      <c r="E5011" t="inlineStr">
        <is>
          <t>FALUN</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62566-2023</t>
        </is>
      </c>
      <c r="B5012" s="1" t="n">
        <v>45269</v>
      </c>
      <c r="C5012" s="1" t="n">
        <v>46114</v>
      </c>
      <c r="D5012" t="inlineStr">
        <is>
          <t>DALARNAS LÄN</t>
        </is>
      </c>
      <c r="E5012" t="inlineStr">
        <is>
          <t>AVESTA</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19596-2024</t>
        </is>
      </c>
      <c r="B5013" s="1" t="n">
        <v>45430.59172453704</v>
      </c>
      <c r="C5013" s="1" t="n">
        <v>46114</v>
      </c>
      <c r="D5013" t="inlineStr">
        <is>
          <t>DALARNAS LÄN</t>
        </is>
      </c>
      <c r="E5013" t="inlineStr">
        <is>
          <t>MALUNG-SÄLEN</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50078-2025</t>
        </is>
      </c>
      <c r="B5014" s="1" t="n">
        <v>45943</v>
      </c>
      <c r="C5014" s="1" t="n">
        <v>46114</v>
      </c>
      <c r="D5014" t="inlineStr">
        <is>
          <t>DALARNAS LÄN</t>
        </is>
      </c>
      <c r="E5014" t="inlineStr">
        <is>
          <t>HEDEMORA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69059-2021</t>
        </is>
      </c>
      <c r="B5015" s="1" t="n">
        <v>44529</v>
      </c>
      <c r="C5015" s="1" t="n">
        <v>46114</v>
      </c>
      <c r="D5015" t="inlineStr">
        <is>
          <t>DALARNAS LÄN</t>
        </is>
      </c>
      <c r="E5015" t="inlineStr">
        <is>
          <t>RÄTTVIK</t>
        </is>
      </c>
      <c r="G5015" t="n">
        <v>1</v>
      </c>
      <c r="H5015" t="n">
        <v>0</v>
      </c>
      <c r="I5015" t="n">
        <v>0</v>
      </c>
      <c r="J5015" t="n">
        <v>0</v>
      </c>
      <c r="K5015" t="n">
        <v>0</v>
      </c>
      <c r="L5015" t="n">
        <v>0</v>
      </c>
      <c r="M5015" t="n">
        <v>0</v>
      </c>
      <c r="N5015" t="n">
        <v>0</v>
      </c>
      <c r="O5015" t="n">
        <v>0</v>
      </c>
      <c r="P5015" t="n">
        <v>0</v>
      </c>
      <c r="Q5015" t="n">
        <v>0</v>
      </c>
      <c r="R5015" s="2" t="inlineStr"/>
    </row>
    <row r="5016" ht="15" customHeight="1">
      <c r="A5016" t="inlineStr">
        <is>
          <t>A 5156-2024</t>
        </is>
      </c>
      <c r="B5016" s="1" t="n">
        <v>45330</v>
      </c>
      <c r="C5016" s="1" t="n">
        <v>46114</v>
      </c>
      <c r="D5016" t="inlineStr">
        <is>
          <t>DALARNAS LÄN</t>
        </is>
      </c>
      <c r="E5016" t="inlineStr">
        <is>
          <t>RÄTTVIK</t>
        </is>
      </c>
      <c r="G5016" t="n">
        <v>0.4</v>
      </c>
      <c r="H5016" t="n">
        <v>0</v>
      </c>
      <c r="I5016" t="n">
        <v>0</v>
      </c>
      <c r="J5016" t="n">
        <v>0</v>
      </c>
      <c r="K5016" t="n">
        <v>0</v>
      </c>
      <c r="L5016" t="n">
        <v>0</v>
      </c>
      <c r="M5016" t="n">
        <v>0</v>
      </c>
      <c r="N5016" t="n">
        <v>0</v>
      </c>
      <c r="O5016" t="n">
        <v>0</v>
      </c>
      <c r="P5016" t="n">
        <v>0</v>
      </c>
      <c r="Q5016" t="n">
        <v>0</v>
      </c>
      <c r="R5016" s="2" t="inlineStr"/>
    </row>
    <row r="5017" ht="15" customHeight="1">
      <c r="A5017" t="inlineStr">
        <is>
          <t>A 20946-2023</t>
        </is>
      </c>
      <c r="B5017" s="1" t="n">
        <v>45061</v>
      </c>
      <c r="C5017" s="1" t="n">
        <v>46114</v>
      </c>
      <c r="D5017" t="inlineStr">
        <is>
          <t>DALARNAS LÄN</t>
        </is>
      </c>
      <c r="E5017" t="inlineStr">
        <is>
          <t>LEKSAND</t>
        </is>
      </c>
      <c r="G5017" t="n">
        <v>2.7</v>
      </c>
      <c r="H5017" t="n">
        <v>0</v>
      </c>
      <c r="I5017" t="n">
        <v>0</v>
      </c>
      <c r="J5017" t="n">
        <v>0</v>
      </c>
      <c r="K5017" t="n">
        <v>0</v>
      </c>
      <c r="L5017" t="n">
        <v>0</v>
      </c>
      <c r="M5017" t="n">
        <v>0</v>
      </c>
      <c r="N5017" t="n">
        <v>0</v>
      </c>
      <c r="O5017" t="n">
        <v>0</v>
      </c>
      <c r="P5017" t="n">
        <v>0</v>
      </c>
      <c r="Q5017" t="n">
        <v>0</v>
      </c>
      <c r="R5017" s="2" t="inlineStr"/>
    </row>
    <row r="5018" ht="15" customHeight="1">
      <c r="A5018" t="inlineStr">
        <is>
          <t>A 49787-2025</t>
        </is>
      </c>
      <c r="B5018" s="1" t="n">
        <v>45940.40210648148</v>
      </c>
      <c r="C5018" s="1" t="n">
        <v>46114</v>
      </c>
      <c r="D5018" t="inlineStr">
        <is>
          <t>DALARNAS LÄN</t>
        </is>
      </c>
      <c r="E5018" t="inlineStr">
        <is>
          <t>MALUNG-SÄLEN</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50224-2025</t>
        </is>
      </c>
      <c r="B5019" s="1" t="n">
        <v>45943.68886574074</v>
      </c>
      <c r="C5019" s="1" t="n">
        <v>46114</v>
      </c>
      <c r="D5019" t="inlineStr">
        <is>
          <t>DALARNAS LÄN</t>
        </is>
      </c>
      <c r="E5019" t="inlineStr">
        <is>
          <t>FALUN</t>
        </is>
      </c>
      <c r="G5019" t="n">
        <v>2.7</v>
      </c>
      <c r="H5019" t="n">
        <v>0</v>
      </c>
      <c r="I5019" t="n">
        <v>0</v>
      </c>
      <c r="J5019" t="n">
        <v>0</v>
      </c>
      <c r="K5019" t="n">
        <v>0</v>
      </c>
      <c r="L5019" t="n">
        <v>0</v>
      </c>
      <c r="M5019" t="n">
        <v>0</v>
      </c>
      <c r="N5019" t="n">
        <v>0</v>
      </c>
      <c r="O5019" t="n">
        <v>0</v>
      </c>
      <c r="P5019" t="n">
        <v>0</v>
      </c>
      <c r="Q5019" t="n">
        <v>0</v>
      </c>
      <c r="R5019" s="2" t="inlineStr"/>
    </row>
    <row r="5020" ht="15" customHeight="1">
      <c r="A5020" t="inlineStr">
        <is>
          <t>A 49961-2025</t>
        </is>
      </c>
      <c r="B5020" s="1" t="n">
        <v>45941.37351851852</v>
      </c>
      <c r="C5020" s="1" t="n">
        <v>46114</v>
      </c>
      <c r="D5020" t="inlineStr">
        <is>
          <t>DALARNAS LÄN</t>
        </is>
      </c>
      <c r="E5020" t="inlineStr">
        <is>
          <t>GAGNEF</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49962-2025</t>
        </is>
      </c>
      <c r="B5021" s="1" t="n">
        <v>45941.37846064815</v>
      </c>
      <c r="C5021" s="1" t="n">
        <v>46114</v>
      </c>
      <c r="D5021" t="inlineStr">
        <is>
          <t>DALARNAS LÄN</t>
        </is>
      </c>
      <c r="E5021" t="inlineStr">
        <is>
          <t>GAGNEF</t>
        </is>
      </c>
      <c r="G5021" t="n">
        <v>2.8</v>
      </c>
      <c r="H5021" t="n">
        <v>0</v>
      </c>
      <c r="I5021" t="n">
        <v>0</v>
      </c>
      <c r="J5021" t="n">
        <v>0</v>
      </c>
      <c r="K5021" t="n">
        <v>0</v>
      </c>
      <c r="L5021" t="n">
        <v>0</v>
      </c>
      <c r="M5021" t="n">
        <v>0</v>
      </c>
      <c r="N5021" t="n">
        <v>0</v>
      </c>
      <c r="O5021" t="n">
        <v>0</v>
      </c>
      <c r="P5021" t="n">
        <v>0</v>
      </c>
      <c r="Q5021" t="n">
        <v>0</v>
      </c>
      <c r="R5021" s="2" t="inlineStr"/>
    </row>
    <row r="5022" ht="15" customHeight="1">
      <c r="A5022" t="inlineStr">
        <is>
          <t>A 49865-2025</t>
        </is>
      </c>
      <c r="B5022" s="1" t="n">
        <v>45940.53023148148</v>
      </c>
      <c r="C5022" s="1" t="n">
        <v>46114</v>
      </c>
      <c r="D5022" t="inlineStr">
        <is>
          <t>DALARNAS LÄN</t>
        </is>
      </c>
      <c r="E5022" t="inlineStr">
        <is>
          <t>MALUNG-SÄLEN</t>
        </is>
      </c>
      <c r="F5022" t="inlineStr">
        <is>
          <t>Allmännings- och besparingsskogar</t>
        </is>
      </c>
      <c r="G5022" t="n">
        <v>10.2</v>
      </c>
      <c r="H5022" t="n">
        <v>0</v>
      </c>
      <c r="I5022" t="n">
        <v>0</v>
      </c>
      <c r="J5022" t="n">
        <v>0</v>
      </c>
      <c r="K5022" t="n">
        <v>0</v>
      </c>
      <c r="L5022" t="n">
        <v>0</v>
      </c>
      <c r="M5022" t="n">
        <v>0</v>
      </c>
      <c r="N5022" t="n">
        <v>0</v>
      </c>
      <c r="O5022" t="n">
        <v>0</v>
      </c>
      <c r="P5022" t="n">
        <v>0</v>
      </c>
      <c r="Q5022" t="n">
        <v>0</v>
      </c>
      <c r="R5022" s="2" t="inlineStr"/>
    </row>
    <row r="5023" ht="15" customHeight="1">
      <c r="A5023" t="inlineStr">
        <is>
          <t>A 49872-2025</t>
        </is>
      </c>
      <c r="B5023" s="1" t="n">
        <v>45940.54184027778</v>
      </c>
      <c r="C5023" s="1" t="n">
        <v>46114</v>
      </c>
      <c r="D5023" t="inlineStr">
        <is>
          <t>DALARNAS LÄN</t>
        </is>
      </c>
      <c r="E5023" t="inlineStr">
        <is>
          <t>MALUNG-SÄLEN</t>
        </is>
      </c>
      <c r="F5023" t="inlineStr">
        <is>
          <t>Allmännings- och besparingsskogar</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49877-2025</t>
        </is>
      </c>
      <c r="B5024" s="1" t="n">
        <v>45940.5586574074</v>
      </c>
      <c r="C5024" s="1" t="n">
        <v>46114</v>
      </c>
      <c r="D5024" t="inlineStr">
        <is>
          <t>DALARNAS LÄN</t>
        </is>
      </c>
      <c r="E5024" t="inlineStr">
        <is>
          <t>FALUN</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34039-2024</t>
        </is>
      </c>
      <c r="B5025" s="1" t="n">
        <v>45523.5974537037</v>
      </c>
      <c r="C5025" s="1" t="n">
        <v>46114</v>
      </c>
      <c r="D5025" t="inlineStr">
        <is>
          <t>DALARNAS LÄN</t>
        </is>
      </c>
      <c r="E5025" t="inlineStr">
        <is>
          <t>LEKSAND</t>
        </is>
      </c>
      <c r="G5025" t="n">
        <v>7.1</v>
      </c>
      <c r="H5025" t="n">
        <v>0</v>
      </c>
      <c r="I5025" t="n">
        <v>0</v>
      </c>
      <c r="J5025" t="n">
        <v>0</v>
      </c>
      <c r="K5025" t="n">
        <v>0</v>
      </c>
      <c r="L5025" t="n">
        <v>0</v>
      </c>
      <c r="M5025" t="n">
        <v>0</v>
      </c>
      <c r="N5025" t="n">
        <v>0</v>
      </c>
      <c r="O5025" t="n">
        <v>0</v>
      </c>
      <c r="P5025" t="n">
        <v>0</v>
      </c>
      <c r="Q5025" t="n">
        <v>0</v>
      </c>
      <c r="R5025" s="2" t="inlineStr"/>
    </row>
    <row r="5026" ht="15" customHeight="1">
      <c r="A5026" t="inlineStr">
        <is>
          <t>A 20126-2025</t>
        </is>
      </c>
      <c r="B5026" s="1" t="n">
        <v>45772.49640046297</v>
      </c>
      <c r="C5026" s="1" t="n">
        <v>46114</v>
      </c>
      <c r="D5026" t="inlineStr">
        <is>
          <t>DALARNAS LÄN</t>
        </is>
      </c>
      <c r="E5026" t="inlineStr">
        <is>
          <t>MORA</t>
        </is>
      </c>
      <c r="G5026" t="n">
        <v>12.1</v>
      </c>
      <c r="H5026" t="n">
        <v>0</v>
      </c>
      <c r="I5026" t="n">
        <v>0</v>
      </c>
      <c r="J5026" t="n">
        <v>0</v>
      </c>
      <c r="K5026" t="n">
        <v>0</v>
      </c>
      <c r="L5026" t="n">
        <v>0</v>
      </c>
      <c r="M5026" t="n">
        <v>0</v>
      </c>
      <c r="N5026" t="n">
        <v>0</v>
      </c>
      <c r="O5026" t="n">
        <v>0</v>
      </c>
      <c r="P5026" t="n">
        <v>0</v>
      </c>
      <c r="Q5026" t="n">
        <v>0</v>
      </c>
      <c r="R5026" s="2" t="inlineStr"/>
    </row>
    <row r="5027" ht="15" customHeight="1">
      <c r="A5027" t="inlineStr">
        <is>
          <t>A 22484-2024</t>
        </is>
      </c>
      <c r="B5027" s="1" t="n">
        <v>45446.96997685185</v>
      </c>
      <c r="C5027" s="1" t="n">
        <v>46114</v>
      </c>
      <c r="D5027" t="inlineStr">
        <is>
          <t>DALARNAS LÄN</t>
        </is>
      </c>
      <c r="E5027" t="inlineStr">
        <is>
          <t>FALUN</t>
        </is>
      </c>
      <c r="G5027" t="n">
        <v>11.8</v>
      </c>
      <c r="H5027" t="n">
        <v>0</v>
      </c>
      <c r="I5027" t="n">
        <v>0</v>
      </c>
      <c r="J5027" t="n">
        <v>0</v>
      </c>
      <c r="K5027" t="n">
        <v>0</v>
      </c>
      <c r="L5027" t="n">
        <v>0</v>
      </c>
      <c r="M5027" t="n">
        <v>0</v>
      </c>
      <c r="N5027" t="n">
        <v>0</v>
      </c>
      <c r="O5027" t="n">
        <v>0</v>
      </c>
      <c r="P5027" t="n">
        <v>0</v>
      </c>
      <c r="Q5027" t="n">
        <v>0</v>
      </c>
      <c r="R5027" s="2" t="inlineStr"/>
    </row>
    <row r="5028" ht="15" customHeight="1">
      <c r="A5028" t="inlineStr">
        <is>
          <t>A 42894-2024</t>
        </is>
      </c>
      <c r="B5028" s="1" t="n">
        <v>45566.82304398148</v>
      </c>
      <c r="C5028" s="1" t="n">
        <v>46114</v>
      </c>
      <c r="D5028" t="inlineStr">
        <is>
          <t>DALARNAS LÄN</t>
        </is>
      </c>
      <c r="E5028" t="inlineStr">
        <is>
          <t>HEDEMORA</t>
        </is>
      </c>
      <c r="F5028" t="inlineStr">
        <is>
          <t>Sveaskog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42895-2024</t>
        </is>
      </c>
      <c r="B5029" s="1" t="n">
        <v>45566.82385416667</v>
      </c>
      <c r="C5029" s="1" t="n">
        <v>46114</v>
      </c>
      <c r="D5029" t="inlineStr">
        <is>
          <t>DALARNAS LÄN</t>
        </is>
      </c>
      <c r="E5029" t="inlineStr">
        <is>
          <t>HEDEMORA</t>
        </is>
      </c>
      <c r="F5029" t="inlineStr">
        <is>
          <t>Sveaskog</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50630-2025</t>
        </is>
      </c>
      <c r="B5030" s="1" t="n">
        <v>45945.6441087963</v>
      </c>
      <c r="C5030" s="1" t="n">
        <v>46114</v>
      </c>
      <c r="D5030" t="inlineStr">
        <is>
          <t>DALARNAS LÄN</t>
        </is>
      </c>
      <c r="E5030" t="inlineStr">
        <is>
          <t>FALUN</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50649-2025</t>
        </is>
      </c>
      <c r="B5031" s="1" t="n">
        <v>45945.66170138889</v>
      </c>
      <c r="C5031" s="1" t="n">
        <v>46114</v>
      </c>
      <c r="D5031" t="inlineStr">
        <is>
          <t>DALARNAS LÄN</t>
        </is>
      </c>
      <c r="E5031" t="inlineStr">
        <is>
          <t>SÄTER</t>
        </is>
      </c>
      <c r="F5031" t="inlineStr">
        <is>
          <t>Bergvik skog väst AB</t>
        </is>
      </c>
      <c r="G5031" t="n">
        <v>1</v>
      </c>
      <c r="H5031" t="n">
        <v>0</v>
      </c>
      <c r="I5031" t="n">
        <v>0</v>
      </c>
      <c r="J5031" t="n">
        <v>0</v>
      </c>
      <c r="K5031" t="n">
        <v>0</v>
      </c>
      <c r="L5031" t="n">
        <v>0</v>
      </c>
      <c r="M5031" t="n">
        <v>0</v>
      </c>
      <c r="N5031" t="n">
        <v>0</v>
      </c>
      <c r="O5031" t="n">
        <v>0</v>
      </c>
      <c r="P5031" t="n">
        <v>0</v>
      </c>
      <c r="Q5031" t="n">
        <v>0</v>
      </c>
      <c r="R5031" s="2" t="inlineStr"/>
    </row>
    <row r="5032" ht="15" customHeight="1">
      <c r="A5032" t="inlineStr">
        <is>
          <t>A 50680-2025</t>
        </is>
      </c>
      <c r="B5032" s="1" t="n">
        <v>45945</v>
      </c>
      <c r="C5032" s="1" t="n">
        <v>46114</v>
      </c>
      <c r="D5032" t="inlineStr">
        <is>
          <t>DALARNAS LÄN</t>
        </is>
      </c>
      <c r="E5032" t="inlineStr">
        <is>
          <t>SMEDJEBACKEN</t>
        </is>
      </c>
      <c r="F5032" t="inlineStr">
        <is>
          <t>Bergvik skog väst AB</t>
        </is>
      </c>
      <c r="G5032" t="n">
        <v>24.5</v>
      </c>
      <c r="H5032" t="n">
        <v>0</v>
      </c>
      <c r="I5032" t="n">
        <v>0</v>
      </c>
      <c r="J5032" t="n">
        <v>0</v>
      </c>
      <c r="K5032" t="n">
        <v>0</v>
      </c>
      <c r="L5032" t="n">
        <v>0</v>
      </c>
      <c r="M5032" t="n">
        <v>0</v>
      </c>
      <c r="N5032" t="n">
        <v>0</v>
      </c>
      <c r="O5032" t="n">
        <v>0</v>
      </c>
      <c r="P5032" t="n">
        <v>0</v>
      </c>
      <c r="Q5032" t="n">
        <v>0</v>
      </c>
      <c r="R5032" s="2" t="inlineStr"/>
    </row>
    <row r="5033" ht="15" customHeight="1">
      <c r="A5033" t="inlineStr">
        <is>
          <t>A 50682-2025</t>
        </is>
      </c>
      <c r="B5033" s="1" t="n">
        <v>45945</v>
      </c>
      <c r="C5033" s="1" t="n">
        <v>46114</v>
      </c>
      <c r="D5033" t="inlineStr">
        <is>
          <t>DALARNAS LÄN</t>
        </is>
      </c>
      <c r="E5033" t="inlineStr">
        <is>
          <t>SMEDJEBACKEN</t>
        </is>
      </c>
      <c r="F5033" t="inlineStr">
        <is>
          <t>Bergvik skog väst AB</t>
        </is>
      </c>
      <c r="G5033" t="n">
        <v>17.4</v>
      </c>
      <c r="H5033" t="n">
        <v>0</v>
      </c>
      <c r="I5033" t="n">
        <v>0</v>
      </c>
      <c r="J5033" t="n">
        <v>0</v>
      </c>
      <c r="K5033" t="n">
        <v>0</v>
      </c>
      <c r="L5033" t="n">
        <v>0</v>
      </c>
      <c r="M5033" t="n">
        <v>0</v>
      </c>
      <c r="N5033" t="n">
        <v>0</v>
      </c>
      <c r="O5033" t="n">
        <v>0</v>
      </c>
      <c r="P5033" t="n">
        <v>0</v>
      </c>
      <c r="Q5033" t="n">
        <v>0</v>
      </c>
      <c r="R5033" s="2" t="inlineStr"/>
    </row>
    <row r="5034" ht="15" customHeight="1">
      <c r="A5034" t="inlineStr">
        <is>
          <t>A 7759-2025</t>
        </is>
      </c>
      <c r="B5034" s="1" t="n">
        <v>45706.53827546296</v>
      </c>
      <c r="C5034" s="1" t="n">
        <v>46114</v>
      </c>
      <c r="D5034" t="inlineStr">
        <is>
          <t>DALARNAS LÄN</t>
        </is>
      </c>
      <c r="E5034" t="inlineStr">
        <is>
          <t>LEKSAND</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30039-2024</t>
        </is>
      </c>
      <c r="B5035" s="1" t="n">
        <v>45488</v>
      </c>
      <c r="C5035" s="1" t="n">
        <v>46114</v>
      </c>
      <c r="D5035" t="inlineStr">
        <is>
          <t>DALARNAS LÄN</t>
        </is>
      </c>
      <c r="E5035" t="inlineStr">
        <is>
          <t>LUDVIKA</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32726-2025</t>
        </is>
      </c>
      <c r="B5036" s="1" t="n">
        <v>45839.3969212963</v>
      </c>
      <c r="C5036" s="1" t="n">
        <v>46114</v>
      </c>
      <c r="D5036" t="inlineStr">
        <is>
          <t>DALARNAS LÄN</t>
        </is>
      </c>
      <c r="E5036" t="inlineStr">
        <is>
          <t>LEKSAND</t>
        </is>
      </c>
      <c r="F5036" t="inlineStr">
        <is>
          <t>Bergvik skog väst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31365-2024</t>
        </is>
      </c>
      <c r="B5037" s="1" t="n">
        <v>45505.37086805556</v>
      </c>
      <c r="C5037" s="1" t="n">
        <v>46114</v>
      </c>
      <c r="D5037" t="inlineStr">
        <is>
          <t>DALARNAS LÄN</t>
        </is>
      </c>
      <c r="E5037" t="inlineStr">
        <is>
          <t>HEDEMORA</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41295-2023</t>
        </is>
      </c>
      <c r="B5038" s="1" t="n">
        <v>45174.59534722222</v>
      </c>
      <c r="C5038" s="1" t="n">
        <v>46114</v>
      </c>
      <c r="D5038" t="inlineStr">
        <is>
          <t>DALARNAS LÄN</t>
        </is>
      </c>
      <c r="E5038" t="inlineStr">
        <is>
          <t>RÄTTVIK</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50314-2025</t>
        </is>
      </c>
      <c r="B5039" s="1" t="n">
        <v>45944.44439814815</v>
      </c>
      <c r="C5039" s="1" t="n">
        <v>46114</v>
      </c>
      <c r="D5039" t="inlineStr">
        <is>
          <t>DALARNAS LÄN</t>
        </is>
      </c>
      <c r="E5039" t="inlineStr">
        <is>
          <t>ÄLVDALEN</t>
        </is>
      </c>
      <c r="G5039" t="n">
        <v>1.5</v>
      </c>
      <c r="H5039" t="n">
        <v>0</v>
      </c>
      <c r="I5039" t="n">
        <v>0</v>
      </c>
      <c r="J5039" t="n">
        <v>0</v>
      </c>
      <c r="K5039" t="n">
        <v>0</v>
      </c>
      <c r="L5039" t="n">
        <v>0</v>
      </c>
      <c r="M5039" t="n">
        <v>0</v>
      </c>
      <c r="N5039" t="n">
        <v>0</v>
      </c>
      <c r="O5039" t="n">
        <v>0</v>
      </c>
      <c r="P5039" t="n">
        <v>0</v>
      </c>
      <c r="Q5039" t="n">
        <v>0</v>
      </c>
      <c r="R5039" s="2" t="inlineStr"/>
    </row>
    <row r="5040" ht="15" customHeight="1">
      <c r="A5040" t="inlineStr">
        <is>
          <t>A 16334-2023</t>
        </is>
      </c>
      <c r="B5040" s="1" t="n">
        <v>45028</v>
      </c>
      <c r="C5040" s="1" t="n">
        <v>46114</v>
      </c>
      <c r="D5040" t="inlineStr">
        <is>
          <t>DALARNAS LÄN</t>
        </is>
      </c>
      <c r="E5040" t="inlineStr">
        <is>
          <t>FALUN</t>
        </is>
      </c>
      <c r="G5040" t="n">
        <v>1.4</v>
      </c>
      <c r="H5040" t="n">
        <v>0</v>
      </c>
      <c r="I5040" t="n">
        <v>0</v>
      </c>
      <c r="J5040" t="n">
        <v>0</v>
      </c>
      <c r="K5040" t="n">
        <v>0</v>
      </c>
      <c r="L5040" t="n">
        <v>0</v>
      </c>
      <c r="M5040" t="n">
        <v>0</v>
      </c>
      <c r="N5040" t="n">
        <v>0</v>
      </c>
      <c r="O5040" t="n">
        <v>0</v>
      </c>
      <c r="P5040" t="n">
        <v>0</v>
      </c>
      <c r="Q5040" t="n">
        <v>0</v>
      </c>
      <c r="R5040" s="2" t="inlineStr"/>
    </row>
    <row r="5041" ht="15" customHeight="1">
      <c r="A5041" t="inlineStr">
        <is>
          <t>A 8694-2023</t>
        </is>
      </c>
      <c r="B5041" s="1" t="n">
        <v>44972</v>
      </c>
      <c r="C5041" s="1" t="n">
        <v>46114</v>
      </c>
      <c r="D5041" t="inlineStr">
        <is>
          <t>DALARNAS LÄN</t>
        </is>
      </c>
      <c r="E5041" t="inlineStr">
        <is>
          <t>VANSBRO</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50622-2025</t>
        </is>
      </c>
      <c r="B5042" s="1" t="n">
        <v>45945.63233796296</v>
      </c>
      <c r="C5042" s="1" t="n">
        <v>46114</v>
      </c>
      <c r="D5042" t="inlineStr">
        <is>
          <t>DALARNAS LÄN</t>
        </is>
      </c>
      <c r="E5042" t="inlineStr">
        <is>
          <t>VANSBRO</t>
        </is>
      </c>
      <c r="F5042" t="inlineStr">
        <is>
          <t>Bergvik skog väst AB</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41334-2025</t>
        </is>
      </c>
      <c r="B5043" s="1" t="n">
        <v>45899.36081018519</v>
      </c>
      <c r="C5043" s="1" t="n">
        <v>46114</v>
      </c>
      <c r="D5043" t="inlineStr">
        <is>
          <t>DALARNAS LÄN</t>
        </is>
      </c>
      <c r="E5043" t="inlineStr">
        <is>
          <t>AVESTA</t>
        </is>
      </c>
      <c r="F5043" t="inlineStr">
        <is>
          <t>Sveaskog</t>
        </is>
      </c>
      <c r="G5043" t="n">
        <v>9.9</v>
      </c>
      <c r="H5043" t="n">
        <v>0</v>
      </c>
      <c r="I5043" t="n">
        <v>0</v>
      </c>
      <c r="J5043" t="n">
        <v>0</v>
      </c>
      <c r="K5043" t="n">
        <v>0</v>
      </c>
      <c r="L5043" t="n">
        <v>0</v>
      </c>
      <c r="M5043" t="n">
        <v>0</v>
      </c>
      <c r="N5043" t="n">
        <v>0</v>
      </c>
      <c r="O5043" t="n">
        <v>0</v>
      </c>
      <c r="P5043" t="n">
        <v>0</v>
      </c>
      <c r="Q5043" t="n">
        <v>0</v>
      </c>
      <c r="R5043" s="2" t="inlineStr"/>
    </row>
    <row r="5044" ht="15" customHeight="1">
      <c r="A5044" t="inlineStr">
        <is>
          <t>A 42404-2024</t>
        </is>
      </c>
      <c r="B5044" s="1" t="n">
        <v>45565.3477662037</v>
      </c>
      <c r="C5044" s="1" t="n">
        <v>46114</v>
      </c>
      <c r="D5044" t="inlineStr">
        <is>
          <t>DALARNAS LÄN</t>
        </is>
      </c>
      <c r="E5044" t="inlineStr">
        <is>
          <t>RÄTTVIK</t>
        </is>
      </c>
      <c r="G5044" t="n">
        <v>5</v>
      </c>
      <c r="H5044" t="n">
        <v>0</v>
      </c>
      <c r="I5044" t="n">
        <v>0</v>
      </c>
      <c r="J5044" t="n">
        <v>0</v>
      </c>
      <c r="K5044" t="n">
        <v>0</v>
      </c>
      <c r="L5044" t="n">
        <v>0</v>
      </c>
      <c r="M5044" t="n">
        <v>0</v>
      </c>
      <c r="N5044" t="n">
        <v>0</v>
      </c>
      <c r="O5044" t="n">
        <v>0</v>
      </c>
      <c r="P5044" t="n">
        <v>0</v>
      </c>
      <c r="Q5044" t="n">
        <v>0</v>
      </c>
      <c r="R5044" s="2" t="inlineStr"/>
    </row>
    <row r="5045" ht="15" customHeight="1">
      <c r="A5045" t="inlineStr">
        <is>
          <t>A 58484-2023</t>
        </is>
      </c>
      <c r="B5045" s="1" t="n">
        <v>45251</v>
      </c>
      <c r="C5045" s="1" t="n">
        <v>46114</v>
      </c>
      <c r="D5045" t="inlineStr">
        <is>
          <t>DALARNAS LÄN</t>
        </is>
      </c>
      <c r="E5045" t="inlineStr">
        <is>
          <t>RÄTTVIK</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12356-2023</t>
        </is>
      </c>
      <c r="B5046" s="1" t="n">
        <v>44998</v>
      </c>
      <c r="C5046" s="1" t="n">
        <v>46114</v>
      </c>
      <c r="D5046" t="inlineStr">
        <is>
          <t>DALARNAS LÄN</t>
        </is>
      </c>
      <c r="E5046" t="inlineStr">
        <is>
          <t>LEKSAND</t>
        </is>
      </c>
      <c r="G5046" t="n">
        <v>1.6</v>
      </c>
      <c r="H5046" t="n">
        <v>0</v>
      </c>
      <c r="I5046" t="n">
        <v>0</v>
      </c>
      <c r="J5046" t="n">
        <v>0</v>
      </c>
      <c r="K5046" t="n">
        <v>0</v>
      </c>
      <c r="L5046" t="n">
        <v>0</v>
      </c>
      <c r="M5046" t="n">
        <v>0</v>
      </c>
      <c r="N5046" t="n">
        <v>0</v>
      </c>
      <c r="O5046" t="n">
        <v>0</v>
      </c>
      <c r="P5046" t="n">
        <v>0</v>
      </c>
      <c r="Q5046" t="n">
        <v>0</v>
      </c>
      <c r="R5046" s="2" t="inlineStr"/>
    </row>
    <row r="5047" ht="15" customHeight="1">
      <c r="A5047" t="inlineStr">
        <is>
          <t>A 12363-2023</t>
        </is>
      </c>
      <c r="B5047" s="1" t="n">
        <v>44998</v>
      </c>
      <c r="C5047" s="1" t="n">
        <v>46114</v>
      </c>
      <c r="D5047" t="inlineStr">
        <is>
          <t>DALARNAS LÄN</t>
        </is>
      </c>
      <c r="E5047" t="inlineStr">
        <is>
          <t>LEKSAND</t>
        </is>
      </c>
      <c r="G5047" t="n">
        <v>10</v>
      </c>
      <c r="H5047" t="n">
        <v>0</v>
      </c>
      <c r="I5047" t="n">
        <v>0</v>
      </c>
      <c r="J5047" t="n">
        <v>0</v>
      </c>
      <c r="K5047" t="n">
        <v>0</v>
      </c>
      <c r="L5047" t="n">
        <v>0</v>
      </c>
      <c r="M5047" t="n">
        <v>0</v>
      </c>
      <c r="N5047" t="n">
        <v>0</v>
      </c>
      <c r="O5047" t="n">
        <v>0</v>
      </c>
      <c r="P5047" t="n">
        <v>0</v>
      </c>
      <c r="Q5047" t="n">
        <v>0</v>
      </c>
      <c r="R5047" s="2" t="inlineStr"/>
    </row>
    <row r="5048" ht="15" customHeight="1">
      <c r="A5048" t="inlineStr">
        <is>
          <t>A 50417-2025</t>
        </is>
      </c>
      <c r="B5048" s="1" t="n">
        <v>45944.649375</v>
      </c>
      <c r="C5048" s="1" t="n">
        <v>46114</v>
      </c>
      <c r="D5048" t="inlineStr">
        <is>
          <t>DALARNAS LÄN</t>
        </is>
      </c>
      <c r="E5048" t="inlineStr">
        <is>
          <t>FALUN</t>
        </is>
      </c>
      <c r="F5048" t="inlineStr">
        <is>
          <t>Bergvik skog väst AB</t>
        </is>
      </c>
      <c r="G5048" t="n">
        <v>2.5</v>
      </c>
      <c r="H5048" t="n">
        <v>0</v>
      </c>
      <c r="I5048" t="n">
        <v>0</v>
      </c>
      <c r="J5048" t="n">
        <v>0</v>
      </c>
      <c r="K5048" t="n">
        <v>0</v>
      </c>
      <c r="L5048" t="n">
        <v>0</v>
      </c>
      <c r="M5048" t="n">
        <v>0</v>
      </c>
      <c r="N5048" t="n">
        <v>0</v>
      </c>
      <c r="O5048" t="n">
        <v>0</v>
      </c>
      <c r="P5048" t="n">
        <v>0</v>
      </c>
      <c r="Q5048" t="n">
        <v>0</v>
      </c>
      <c r="R5048" s="2" t="inlineStr"/>
    </row>
    <row r="5049" ht="15" customHeight="1">
      <c r="A5049" t="inlineStr">
        <is>
          <t>A 60885-2024</t>
        </is>
      </c>
      <c r="B5049" s="1" t="n">
        <v>45644</v>
      </c>
      <c r="C5049" s="1" t="n">
        <v>46114</v>
      </c>
      <c r="D5049" t="inlineStr">
        <is>
          <t>DALARNAS LÄN</t>
        </is>
      </c>
      <c r="E5049" t="inlineStr">
        <is>
          <t>GAGNEF</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15939-2024</t>
        </is>
      </c>
      <c r="B5050" s="1" t="n">
        <v>45405</v>
      </c>
      <c r="C5050" s="1" t="n">
        <v>46114</v>
      </c>
      <c r="D5050" t="inlineStr">
        <is>
          <t>DALARNAS LÄN</t>
        </is>
      </c>
      <c r="E5050" t="inlineStr">
        <is>
          <t>LUDVIKA</t>
        </is>
      </c>
      <c r="G5050" t="n">
        <v>1.3</v>
      </c>
      <c r="H5050" t="n">
        <v>0</v>
      </c>
      <c r="I5050" t="n">
        <v>0</v>
      </c>
      <c r="J5050" t="n">
        <v>0</v>
      </c>
      <c r="K5050" t="n">
        <v>0</v>
      </c>
      <c r="L5050" t="n">
        <v>0</v>
      </c>
      <c r="M5050" t="n">
        <v>0</v>
      </c>
      <c r="N5050" t="n">
        <v>0</v>
      </c>
      <c r="O5050" t="n">
        <v>0</v>
      </c>
      <c r="P5050" t="n">
        <v>0</v>
      </c>
      <c r="Q5050" t="n">
        <v>0</v>
      </c>
      <c r="R5050" s="2" t="inlineStr"/>
      <c r="U5050">
        <f>HYPERLINK("https://klasma.github.io/Logging_2085/knärot/A 15939-2024 karta knärot.png", "A 15939-2024")</f>
        <v/>
      </c>
      <c r="V5050">
        <f>HYPERLINK("https://klasma.github.io/Logging_2085/klagomål/A 15939-2024 FSC-klagomål.docx", "A 15939-2024")</f>
        <v/>
      </c>
      <c r="W5050">
        <f>HYPERLINK("https://klasma.github.io/Logging_2085/klagomålsmail/A 15939-2024 FSC-klagomål mail.docx", "A 15939-2024")</f>
        <v/>
      </c>
      <c r="X5050">
        <f>HYPERLINK("https://klasma.github.io/Logging_2085/tillsyn/A 15939-2024 tillsynsbegäran.docx", "A 15939-2024")</f>
        <v/>
      </c>
      <c r="Y5050">
        <f>HYPERLINK("https://klasma.github.io/Logging_2085/tillsynsmail/A 15939-2024 tillsynsbegäran mail.docx", "A 15939-2024")</f>
        <v/>
      </c>
    </row>
    <row r="5051" ht="15" customHeight="1">
      <c r="A5051" t="inlineStr">
        <is>
          <t>A 15999-2024</t>
        </is>
      </c>
      <c r="B5051" s="1" t="n">
        <v>45405.61724537037</v>
      </c>
      <c r="C5051" s="1" t="n">
        <v>46114</v>
      </c>
      <c r="D5051" t="inlineStr">
        <is>
          <t>DALARNAS LÄN</t>
        </is>
      </c>
      <c r="E5051" t="inlineStr">
        <is>
          <t>FALUN</t>
        </is>
      </c>
      <c r="G5051" t="n">
        <v>1.6</v>
      </c>
      <c r="H5051" t="n">
        <v>0</v>
      </c>
      <c r="I5051" t="n">
        <v>0</v>
      </c>
      <c r="J5051" t="n">
        <v>0</v>
      </c>
      <c r="K5051" t="n">
        <v>0</v>
      </c>
      <c r="L5051" t="n">
        <v>0</v>
      </c>
      <c r="M5051" t="n">
        <v>0</v>
      </c>
      <c r="N5051" t="n">
        <v>0</v>
      </c>
      <c r="O5051" t="n">
        <v>0</v>
      </c>
      <c r="P5051" t="n">
        <v>0</v>
      </c>
      <c r="Q5051" t="n">
        <v>0</v>
      </c>
      <c r="R5051" s="2" t="inlineStr"/>
    </row>
    <row r="5052" ht="15" customHeight="1">
      <c r="A5052" t="inlineStr">
        <is>
          <t>A 2101-2025</t>
        </is>
      </c>
      <c r="B5052" s="1" t="n">
        <v>45672</v>
      </c>
      <c r="C5052" s="1" t="n">
        <v>46114</v>
      </c>
      <c r="D5052" t="inlineStr">
        <is>
          <t>DALARNAS LÄN</t>
        </is>
      </c>
      <c r="E5052" t="inlineStr">
        <is>
          <t>RÄTTVIK</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27420-2024</t>
        </is>
      </c>
      <c r="B5053" s="1" t="n">
        <v>45474.37850694444</v>
      </c>
      <c r="C5053" s="1" t="n">
        <v>46114</v>
      </c>
      <c r="D5053" t="inlineStr">
        <is>
          <t>DALARNAS LÄN</t>
        </is>
      </c>
      <c r="E5053" t="inlineStr">
        <is>
          <t>MORA</t>
        </is>
      </c>
      <c r="G5053" t="n">
        <v>7.3</v>
      </c>
      <c r="H5053" t="n">
        <v>0</v>
      </c>
      <c r="I5053" t="n">
        <v>0</v>
      </c>
      <c r="J5053" t="n">
        <v>0</v>
      </c>
      <c r="K5053" t="n">
        <v>0</v>
      </c>
      <c r="L5053" t="n">
        <v>0</v>
      </c>
      <c r="M5053" t="n">
        <v>0</v>
      </c>
      <c r="N5053" t="n">
        <v>0</v>
      </c>
      <c r="O5053" t="n">
        <v>0</v>
      </c>
      <c r="P5053" t="n">
        <v>0</v>
      </c>
      <c r="Q5053" t="n">
        <v>0</v>
      </c>
      <c r="R5053" s="2" t="inlineStr"/>
    </row>
    <row r="5054" ht="15" customHeight="1">
      <c r="A5054" t="inlineStr">
        <is>
          <t>A 47686-2025</t>
        </is>
      </c>
      <c r="B5054" s="1" t="n">
        <v>45931</v>
      </c>
      <c r="C5054" s="1" t="n">
        <v>46114</v>
      </c>
      <c r="D5054" t="inlineStr">
        <is>
          <t>DALARNAS LÄN</t>
        </is>
      </c>
      <c r="E5054" t="inlineStr">
        <is>
          <t>MORA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61993-2021</t>
        </is>
      </c>
      <c r="B5055" s="1" t="n">
        <v>44501</v>
      </c>
      <c r="C5055" s="1" t="n">
        <v>46114</v>
      </c>
      <c r="D5055" t="inlineStr">
        <is>
          <t>DALARNAS LÄN</t>
        </is>
      </c>
      <c r="E5055" t="inlineStr">
        <is>
          <t>MALUNG-SÄLEN</t>
        </is>
      </c>
      <c r="F5055" t="inlineStr">
        <is>
          <t>Allmännings- och besparingsskogar</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50444-2025</t>
        </is>
      </c>
      <c r="B5056" s="1" t="n">
        <v>45944.93016203704</v>
      </c>
      <c r="C5056" s="1" t="n">
        <v>46114</v>
      </c>
      <c r="D5056" t="inlineStr">
        <is>
          <t>DALARNAS LÄN</t>
        </is>
      </c>
      <c r="E5056" t="inlineStr">
        <is>
          <t>LUDVIKA</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57151-2022</t>
        </is>
      </c>
      <c r="B5057" s="1" t="n">
        <v>44895.57898148148</v>
      </c>
      <c r="C5057" s="1" t="n">
        <v>46114</v>
      </c>
      <c r="D5057" t="inlineStr">
        <is>
          <t>DALARNAS LÄN</t>
        </is>
      </c>
      <c r="E5057" t="inlineStr">
        <is>
          <t>SMEDJEBACKEN</t>
        </is>
      </c>
      <c r="G5057" t="n">
        <v>2.3</v>
      </c>
      <c r="H5057" t="n">
        <v>0</v>
      </c>
      <c r="I5057" t="n">
        <v>0</v>
      </c>
      <c r="J5057" t="n">
        <v>0</v>
      </c>
      <c r="K5057" t="n">
        <v>0</v>
      </c>
      <c r="L5057" t="n">
        <v>0</v>
      </c>
      <c r="M5057" t="n">
        <v>0</v>
      </c>
      <c r="N5057" t="n">
        <v>0</v>
      </c>
      <c r="O5057" t="n">
        <v>0</v>
      </c>
      <c r="P5057" t="n">
        <v>0</v>
      </c>
      <c r="Q5057" t="n">
        <v>0</v>
      </c>
      <c r="R5057" s="2" t="inlineStr"/>
    </row>
    <row r="5058" ht="15" customHeight="1">
      <c r="A5058" t="inlineStr">
        <is>
          <t>A 7238-2023</t>
        </is>
      </c>
      <c r="B5058" s="1" t="n">
        <v>44970.60710648148</v>
      </c>
      <c r="C5058" s="1" t="n">
        <v>46114</v>
      </c>
      <c r="D5058" t="inlineStr">
        <is>
          <t>DALARNAS LÄN</t>
        </is>
      </c>
      <c r="E5058" t="inlineStr">
        <is>
          <t>LUDVIKA</t>
        </is>
      </c>
      <c r="F5058" t="inlineStr">
        <is>
          <t>Övriga Aktiebolag</t>
        </is>
      </c>
      <c r="G5058" t="n">
        <v>3.1</v>
      </c>
      <c r="H5058" t="n">
        <v>0</v>
      </c>
      <c r="I5058" t="n">
        <v>0</v>
      </c>
      <c r="J5058" t="n">
        <v>0</v>
      </c>
      <c r="K5058" t="n">
        <v>0</v>
      </c>
      <c r="L5058" t="n">
        <v>0</v>
      </c>
      <c r="M5058" t="n">
        <v>0</v>
      </c>
      <c r="N5058" t="n">
        <v>0</v>
      </c>
      <c r="O5058" t="n">
        <v>0</v>
      </c>
      <c r="P5058" t="n">
        <v>0</v>
      </c>
      <c r="Q5058" t="n">
        <v>0</v>
      </c>
      <c r="R5058" s="2" t="inlineStr"/>
    </row>
    <row r="5059" ht="15" customHeight="1">
      <c r="A5059" t="inlineStr">
        <is>
          <t>A 7243-2023</t>
        </is>
      </c>
      <c r="B5059" s="1" t="n">
        <v>44970.61488425926</v>
      </c>
      <c r="C5059" s="1" t="n">
        <v>46114</v>
      </c>
      <c r="D5059" t="inlineStr">
        <is>
          <t>DALARNAS LÄN</t>
        </is>
      </c>
      <c r="E5059" t="inlineStr">
        <is>
          <t>LUDVIKA</t>
        </is>
      </c>
      <c r="F5059" t="inlineStr">
        <is>
          <t>Övriga Aktiebolag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36935-2024</t>
        </is>
      </c>
      <c r="B5060" s="1" t="n">
        <v>45538.56925925926</v>
      </c>
      <c r="C5060" s="1" t="n">
        <v>46114</v>
      </c>
      <c r="D5060" t="inlineStr">
        <is>
          <t>DALARNAS LÄN</t>
        </is>
      </c>
      <c r="E5060" t="inlineStr">
        <is>
          <t>HEDEMORA</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43266-2023</t>
        </is>
      </c>
      <c r="B5061" s="1" t="n">
        <v>45183.51255787037</v>
      </c>
      <c r="C5061" s="1" t="n">
        <v>46114</v>
      </c>
      <c r="D5061" t="inlineStr">
        <is>
          <t>DALARNAS LÄN</t>
        </is>
      </c>
      <c r="E5061" t="inlineStr">
        <is>
          <t>FALUN</t>
        </is>
      </c>
      <c r="F5061" t="inlineStr">
        <is>
          <t>Bergvik skog väst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17507-2025</t>
        </is>
      </c>
      <c r="B5062" s="1" t="n">
        <v>45757</v>
      </c>
      <c r="C5062" s="1" t="n">
        <v>46114</v>
      </c>
      <c r="D5062" t="inlineStr">
        <is>
          <t>DALARNAS LÄN</t>
        </is>
      </c>
      <c r="E5062" t="inlineStr">
        <is>
          <t>FALUN</t>
        </is>
      </c>
      <c r="F5062" t="inlineStr">
        <is>
          <t>Bergvik skog väst AB</t>
        </is>
      </c>
      <c r="G5062" t="n">
        <v>11.2</v>
      </c>
      <c r="H5062" t="n">
        <v>0</v>
      </c>
      <c r="I5062" t="n">
        <v>0</v>
      </c>
      <c r="J5062" t="n">
        <v>0</v>
      </c>
      <c r="K5062" t="n">
        <v>0</v>
      </c>
      <c r="L5062" t="n">
        <v>0</v>
      </c>
      <c r="M5062" t="n">
        <v>0</v>
      </c>
      <c r="N5062" t="n">
        <v>0</v>
      </c>
      <c r="O5062" t="n">
        <v>0</v>
      </c>
      <c r="P5062" t="n">
        <v>0</v>
      </c>
      <c r="Q5062" t="n">
        <v>0</v>
      </c>
      <c r="R5062" s="2" t="inlineStr"/>
    </row>
    <row r="5063" ht="15" customHeight="1">
      <c r="A5063" t="inlineStr">
        <is>
          <t>A 17521-2025</t>
        </is>
      </c>
      <c r="B5063" s="1" t="n">
        <v>45757.57952546296</v>
      </c>
      <c r="C5063" s="1" t="n">
        <v>46114</v>
      </c>
      <c r="D5063" t="inlineStr">
        <is>
          <t>DALARNAS LÄN</t>
        </is>
      </c>
      <c r="E5063" t="inlineStr">
        <is>
          <t>ORSA</t>
        </is>
      </c>
      <c r="F5063" t="inlineStr">
        <is>
          <t>Bergvik skog öst AB</t>
        </is>
      </c>
      <c r="G5063" t="n">
        <v>3.6</v>
      </c>
      <c r="H5063" t="n">
        <v>0</v>
      </c>
      <c r="I5063" t="n">
        <v>0</v>
      </c>
      <c r="J5063" t="n">
        <v>0</v>
      </c>
      <c r="K5063" t="n">
        <v>0</v>
      </c>
      <c r="L5063" t="n">
        <v>0</v>
      </c>
      <c r="M5063" t="n">
        <v>0</v>
      </c>
      <c r="N5063" t="n">
        <v>0</v>
      </c>
      <c r="O5063" t="n">
        <v>0</v>
      </c>
      <c r="P5063" t="n">
        <v>0</v>
      </c>
      <c r="Q5063" t="n">
        <v>0</v>
      </c>
      <c r="R5063" s="2" t="inlineStr"/>
    </row>
    <row r="5064" ht="15" customHeight="1">
      <c r="A5064" t="inlineStr">
        <is>
          <t>A 50300-2025</t>
        </is>
      </c>
      <c r="B5064" s="1" t="n">
        <v>45944.41258101852</v>
      </c>
      <c r="C5064" s="1" t="n">
        <v>46114</v>
      </c>
      <c r="D5064" t="inlineStr">
        <is>
          <t>DALARNAS LÄN</t>
        </is>
      </c>
      <c r="E5064" t="inlineStr">
        <is>
          <t>FALUN</t>
        </is>
      </c>
      <c r="F5064" t="inlineStr">
        <is>
          <t>Bergvik skog väst AB</t>
        </is>
      </c>
      <c r="G5064" t="n">
        <v>13.2</v>
      </c>
      <c r="H5064" t="n">
        <v>0</v>
      </c>
      <c r="I5064" t="n">
        <v>0</v>
      </c>
      <c r="J5064" t="n">
        <v>0</v>
      </c>
      <c r="K5064" t="n">
        <v>0</v>
      </c>
      <c r="L5064" t="n">
        <v>0</v>
      </c>
      <c r="M5064" t="n">
        <v>0</v>
      </c>
      <c r="N5064" t="n">
        <v>0</v>
      </c>
      <c r="O5064" t="n">
        <v>0</v>
      </c>
      <c r="P5064" t="n">
        <v>0</v>
      </c>
      <c r="Q5064" t="n">
        <v>0</v>
      </c>
      <c r="R5064" s="2" t="inlineStr"/>
    </row>
    <row r="5065" ht="15" customHeight="1">
      <c r="A5065" t="inlineStr">
        <is>
          <t>A 47344-2025</t>
        </is>
      </c>
      <c r="B5065" s="1" t="n">
        <v>45930</v>
      </c>
      <c r="C5065" s="1" t="n">
        <v>46114</v>
      </c>
      <c r="D5065" t="inlineStr">
        <is>
          <t>DALARNAS LÄN</t>
        </is>
      </c>
      <c r="E5065" t="inlineStr">
        <is>
          <t>RÄTTVIK</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8554-2023</t>
        </is>
      </c>
      <c r="B5066" s="1" t="n">
        <v>44977</v>
      </c>
      <c r="C5066" s="1" t="n">
        <v>46114</v>
      </c>
      <c r="D5066" t="inlineStr">
        <is>
          <t>DALARNAS LÄN</t>
        </is>
      </c>
      <c r="E5066" t="inlineStr">
        <is>
          <t>BORLÄNGE</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50349-2025</t>
        </is>
      </c>
      <c r="B5067" s="1" t="n">
        <v>45944.54912037037</v>
      </c>
      <c r="C5067" s="1" t="n">
        <v>46114</v>
      </c>
      <c r="D5067" t="inlineStr">
        <is>
          <t>DALARNAS LÄN</t>
        </is>
      </c>
      <c r="E5067" t="inlineStr">
        <is>
          <t>RÄTTVIK</t>
        </is>
      </c>
      <c r="F5067" t="inlineStr">
        <is>
          <t>Bergvik skog väst AB</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8538-2025</t>
        </is>
      </c>
      <c r="B5068" s="1" t="n">
        <v>45709.59030092593</v>
      </c>
      <c r="C5068" s="1" t="n">
        <v>46114</v>
      </c>
      <c r="D5068" t="inlineStr">
        <is>
          <t>DALARNAS LÄN</t>
        </is>
      </c>
      <c r="E5068" t="inlineStr">
        <is>
          <t>ÄLVDALEN</t>
        </is>
      </c>
      <c r="F5068" t="inlineStr">
        <is>
          <t>Allmännings- och besparingsskogar</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39344-2024</t>
        </is>
      </c>
      <c r="B5069" s="1" t="n">
        <v>45551.44503472222</v>
      </c>
      <c r="C5069" s="1" t="n">
        <v>46114</v>
      </c>
      <c r="D5069" t="inlineStr">
        <is>
          <t>DALARNAS LÄN</t>
        </is>
      </c>
      <c r="E5069" t="inlineStr">
        <is>
          <t>MORA</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57205-2023</t>
        </is>
      </c>
      <c r="B5070" s="1" t="n">
        <v>45245.48171296297</v>
      </c>
      <c r="C5070" s="1" t="n">
        <v>46114</v>
      </c>
      <c r="D5070" t="inlineStr">
        <is>
          <t>DALARNAS LÄN</t>
        </is>
      </c>
      <c r="E5070" t="inlineStr">
        <is>
          <t>RÄTTVIK</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39085-2021</t>
        </is>
      </c>
      <c r="B5071" s="1" t="n">
        <v>44412.58629629629</v>
      </c>
      <c r="C5071" s="1" t="n">
        <v>46114</v>
      </c>
      <c r="D5071" t="inlineStr">
        <is>
          <t>DALARNAS LÄN</t>
        </is>
      </c>
      <c r="E5071" t="inlineStr">
        <is>
          <t>SMEDJEBACKEN</t>
        </is>
      </c>
      <c r="G5071" t="n">
        <v>5.2</v>
      </c>
      <c r="H5071" t="n">
        <v>0</v>
      </c>
      <c r="I5071" t="n">
        <v>0</v>
      </c>
      <c r="J5071" t="n">
        <v>0</v>
      </c>
      <c r="K5071" t="n">
        <v>0</v>
      </c>
      <c r="L5071" t="n">
        <v>0</v>
      </c>
      <c r="M5071" t="n">
        <v>0</v>
      </c>
      <c r="N5071" t="n">
        <v>0</v>
      </c>
      <c r="O5071" t="n">
        <v>0</v>
      </c>
      <c r="P5071" t="n">
        <v>0</v>
      </c>
      <c r="Q5071" t="n">
        <v>0</v>
      </c>
      <c r="R5071" s="2" t="inlineStr"/>
    </row>
    <row r="5072" ht="15" customHeight="1">
      <c r="A5072" t="inlineStr">
        <is>
          <t>A 1694-2023</t>
        </is>
      </c>
      <c r="B5072" s="1" t="n">
        <v>44938</v>
      </c>
      <c r="C5072" s="1" t="n">
        <v>46114</v>
      </c>
      <c r="D5072" t="inlineStr">
        <is>
          <t>DALARNAS LÄN</t>
        </is>
      </c>
      <c r="E5072" t="inlineStr">
        <is>
          <t>MALUNG-SÄLEN</t>
        </is>
      </c>
      <c r="G5072" t="n">
        <v>7.8</v>
      </c>
      <c r="H5072" t="n">
        <v>0</v>
      </c>
      <c r="I5072" t="n">
        <v>0</v>
      </c>
      <c r="J5072" t="n">
        <v>0</v>
      </c>
      <c r="K5072" t="n">
        <v>0</v>
      </c>
      <c r="L5072" t="n">
        <v>0</v>
      </c>
      <c r="M5072" t="n">
        <v>0</v>
      </c>
      <c r="N5072" t="n">
        <v>0</v>
      </c>
      <c r="O5072" t="n">
        <v>0</v>
      </c>
      <c r="P5072" t="n">
        <v>0</v>
      </c>
      <c r="Q5072" t="n">
        <v>0</v>
      </c>
      <c r="R5072" s="2" t="inlineStr"/>
    </row>
    <row r="5073" ht="15" customHeight="1">
      <c r="A5073" t="inlineStr">
        <is>
          <t>A 50238-2025</t>
        </is>
      </c>
      <c r="B5073" s="1" t="n">
        <v>45943.78539351852</v>
      </c>
      <c r="C5073" s="1" t="n">
        <v>46114</v>
      </c>
      <c r="D5073" t="inlineStr">
        <is>
          <t>DALARNAS LÄN</t>
        </is>
      </c>
      <c r="E5073" t="inlineStr">
        <is>
          <t>AVESTA</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55015-2024</t>
        </is>
      </c>
      <c r="B5074" s="1" t="n">
        <v>45621.35554398148</v>
      </c>
      <c r="C5074" s="1" t="n">
        <v>46114</v>
      </c>
      <c r="D5074" t="inlineStr">
        <is>
          <t>DALARNAS LÄN</t>
        </is>
      </c>
      <c r="E5074" t="inlineStr">
        <is>
          <t>LEKSAND</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24511-2024</t>
        </is>
      </c>
      <c r="B5075" s="1" t="n">
        <v>45460.34475694445</v>
      </c>
      <c r="C5075" s="1" t="n">
        <v>46114</v>
      </c>
      <c r="D5075" t="inlineStr">
        <is>
          <t>DALARNAS LÄN</t>
        </is>
      </c>
      <c r="E5075" t="inlineStr">
        <is>
          <t>MALUNG-SÄLEN</t>
        </is>
      </c>
      <c r="F5075" t="inlineStr">
        <is>
          <t>Bergvik skog öst AB</t>
        </is>
      </c>
      <c r="G5075" t="n">
        <v>5.7</v>
      </c>
      <c r="H5075" t="n">
        <v>0</v>
      </c>
      <c r="I5075" t="n">
        <v>0</v>
      </c>
      <c r="J5075" t="n">
        <v>0</v>
      </c>
      <c r="K5075" t="n">
        <v>0</v>
      </c>
      <c r="L5075" t="n">
        <v>0</v>
      </c>
      <c r="M5075" t="n">
        <v>0</v>
      </c>
      <c r="N5075" t="n">
        <v>0</v>
      </c>
      <c r="O5075" t="n">
        <v>0</v>
      </c>
      <c r="P5075" t="n">
        <v>0</v>
      </c>
      <c r="Q5075" t="n">
        <v>0</v>
      </c>
      <c r="R5075" s="2" t="inlineStr"/>
    </row>
    <row r="5076" ht="15" customHeight="1">
      <c r="A5076" t="inlineStr">
        <is>
          <t>A 53775-2024</t>
        </is>
      </c>
      <c r="B5076" s="1" t="n">
        <v>45614</v>
      </c>
      <c r="C5076" s="1" t="n">
        <v>46114</v>
      </c>
      <c r="D5076" t="inlineStr">
        <is>
          <t>DALARNAS LÄN</t>
        </is>
      </c>
      <c r="E5076" t="inlineStr">
        <is>
          <t>VANSBRO</t>
        </is>
      </c>
      <c r="G5076" t="n">
        <v>6.7</v>
      </c>
      <c r="H5076" t="n">
        <v>0</v>
      </c>
      <c r="I5076" t="n">
        <v>0</v>
      </c>
      <c r="J5076" t="n">
        <v>0</v>
      </c>
      <c r="K5076" t="n">
        <v>0</v>
      </c>
      <c r="L5076" t="n">
        <v>0</v>
      </c>
      <c r="M5076" t="n">
        <v>0</v>
      </c>
      <c r="N5076" t="n">
        <v>0</v>
      </c>
      <c r="O5076" t="n">
        <v>0</v>
      </c>
      <c r="P5076" t="n">
        <v>0</v>
      </c>
      <c r="Q5076" t="n">
        <v>0</v>
      </c>
      <c r="R5076" s="2" t="inlineStr"/>
    </row>
    <row r="5077" ht="15" customHeight="1">
      <c r="A5077" t="inlineStr">
        <is>
          <t>A 24590-2024</t>
        </is>
      </c>
      <c r="B5077" s="1" t="n">
        <v>45460</v>
      </c>
      <c r="C5077" s="1" t="n">
        <v>46114</v>
      </c>
      <c r="D5077" t="inlineStr">
        <is>
          <t>DALARNAS LÄN</t>
        </is>
      </c>
      <c r="E5077" t="inlineStr">
        <is>
          <t>MORA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28674-2024</t>
        </is>
      </c>
      <c r="B5078" s="1" t="n">
        <v>45478.47863425926</v>
      </c>
      <c r="C5078" s="1" t="n">
        <v>46114</v>
      </c>
      <c r="D5078" t="inlineStr">
        <is>
          <t>DALARNAS LÄN</t>
        </is>
      </c>
      <c r="E5078" t="inlineStr">
        <is>
          <t>LEKSAND</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28760-2024</t>
        </is>
      </c>
      <c r="B5079" s="1" t="n">
        <v>45478</v>
      </c>
      <c r="C5079" s="1" t="n">
        <v>46114</v>
      </c>
      <c r="D5079" t="inlineStr">
        <is>
          <t>DALARNAS LÄN</t>
        </is>
      </c>
      <c r="E5079" t="inlineStr">
        <is>
          <t>SMEDJEBACKEN</t>
        </is>
      </c>
      <c r="F5079" t="inlineStr">
        <is>
          <t>Bergvik skog väst AB</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16092-2025</t>
        </is>
      </c>
      <c r="B5080" s="1" t="n">
        <v>45749.9131712963</v>
      </c>
      <c r="C5080" s="1" t="n">
        <v>46114</v>
      </c>
      <c r="D5080" t="inlineStr">
        <is>
          <t>DALARNAS LÄN</t>
        </is>
      </c>
      <c r="E5080" t="inlineStr">
        <is>
          <t>FALUN</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55271-2024</t>
        </is>
      </c>
      <c r="B5081" s="1" t="n">
        <v>45621.61481481481</v>
      </c>
      <c r="C5081" s="1" t="n">
        <v>46114</v>
      </c>
      <c r="D5081" t="inlineStr">
        <is>
          <t>DALARNAS LÄN</t>
        </is>
      </c>
      <c r="E5081" t="inlineStr">
        <is>
          <t>RÄTTVIK</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41850-2025</t>
        </is>
      </c>
      <c r="B5082" s="1" t="n">
        <v>45902.84729166667</v>
      </c>
      <c r="C5082" s="1" t="n">
        <v>46114</v>
      </c>
      <c r="D5082" t="inlineStr">
        <is>
          <t>DALARNAS LÄN</t>
        </is>
      </c>
      <c r="E5082" t="inlineStr">
        <is>
          <t>AVESTA</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50440-2025</t>
        </is>
      </c>
      <c r="B5083" s="1" t="n">
        <v>45944.82208333333</v>
      </c>
      <c r="C5083" s="1" t="n">
        <v>46114</v>
      </c>
      <c r="D5083" t="inlineStr">
        <is>
          <t>DALARNAS LÄN</t>
        </is>
      </c>
      <c r="E5083" t="inlineStr">
        <is>
          <t>AVESTA</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43868-2025</t>
        </is>
      </c>
      <c r="B5084" s="1" t="n">
        <v>45912</v>
      </c>
      <c r="C5084" s="1" t="n">
        <v>46114</v>
      </c>
      <c r="D5084" t="inlineStr">
        <is>
          <t>DALARNAS LÄN</t>
        </is>
      </c>
      <c r="E5084" t="inlineStr">
        <is>
          <t>VANSBRO</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39519-2024</t>
        </is>
      </c>
      <c r="B5085" s="1" t="n">
        <v>45551.76079861111</v>
      </c>
      <c r="C5085" s="1" t="n">
        <v>46114</v>
      </c>
      <c r="D5085" t="inlineStr">
        <is>
          <t>DALARNAS LÄN</t>
        </is>
      </c>
      <c r="E5085" t="inlineStr">
        <is>
          <t>LUDVIKA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16231-2021</t>
        </is>
      </c>
      <c r="B5086" s="1" t="n">
        <v>44292</v>
      </c>
      <c r="C5086" s="1" t="n">
        <v>46114</v>
      </c>
      <c r="D5086" t="inlineStr">
        <is>
          <t>DALARNAS LÄN</t>
        </is>
      </c>
      <c r="E5086" t="inlineStr">
        <is>
          <t>LEKSAND</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50237-2025</t>
        </is>
      </c>
      <c r="B5087" s="1" t="n">
        <v>45943.78372685185</v>
      </c>
      <c r="C5087" s="1" t="n">
        <v>46114</v>
      </c>
      <c r="D5087" t="inlineStr">
        <is>
          <t>DALARNAS LÄN</t>
        </is>
      </c>
      <c r="E5087" t="inlineStr">
        <is>
          <t>AVESTA</t>
        </is>
      </c>
      <c r="G5087" t="n">
        <v>3.4</v>
      </c>
      <c r="H5087" t="n">
        <v>0</v>
      </c>
      <c r="I5087" t="n">
        <v>0</v>
      </c>
      <c r="J5087" t="n">
        <v>0</v>
      </c>
      <c r="K5087" t="n">
        <v>0</v>
      </c>
      <c r="L5087" t="n">
        <v>0</v>
      </c>
      <c r="M5087" t="n">
        <v>0</v>
      </c>
      <c r="N5087" t="n">
        <v>0</v>
      </c>
      <c r="O5087" t="n">
        <v>0</v>
      </c>
      <c r="P5087" t="n">
        <v>0</v>
      </c>
      <c r="Q5087" t="n">
        <v>0</v>
      </c>
      <c r="R5087" s="2" t="inlineStr"/>
    </row>
    <row r="5088" ht="15" customHeight="1">
      <c r="A5088" t="inlineStr">
        <is>
          <t>A 8523-2023</t>
        </is>
      </c>
      <c r="B5088" s="1" t="n">
        <v>44977</v>
      </c>
      <c r="C5088" s="1" t="n">
        <v>46114</v>
      </c>
      <c r="D5088" t="inlineStr">
        <is>
          <t>DALARNAS LÄN</t>
        </is>
      </c>
      <c r="E5088" t="inlineStr">
        <is>
          <t>AVESTA</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56721-2024</t>
        </is>
      </c>
      <c r="B5089" s="1" t="n">
        <v>45628.32282407407</v>
      </c>
      <c r="C5089" s="1" t="n">
        <v>46114</v>
      </c>
      <c r="D5089" t="inlineStr">
        <is>
          <t>DALARNAS LÄN</t>
        </is>
      </c>
      <c r="E5089" t="inlineStr">
        <is>
          <t>AVESTA</t>
        </is>
      </c>
      <c r="G5089" t="n">
        <v>0.9</v>
      </c>
      <c r="H5089" t="n">
        <v>0</v>
      </c>
      <c r="I5089" t="n">
        <v>0</v>
      </c>
      <c r="J5089" t="n">
        <v>0</v>
      </c>
      <c r="K5089" t="n">
        <v>0</v>
      </c>
      <c r="L5089" t="n">
        <v>0</v>
      </c>
      <c r="M5089" t="n">
        <v>0</v>
      </c>
      <c r="N5089" t="n">
        <v>0</v>
      </c>
      <c r="O5089" t="n">
        <v>0</v>
      </c>
      <c r="P5089" t="n">
        <v>0</v>
      </c>
      <c r="Q5089" t="n">
        <v>0</v>
      </c>
      <c r="R5089" s="2" t="inlineStr"/>
    </row>
    <row r="5090" ht="15" customHeight="1">
      <c r="A5090" t="inlineStr">
        <is>
          <t>A 50332-2025</t>
        </is>
      </c>
      <c r="B5090" s="1" t="n">
        <v>45944.47092592593</v>
      </c>
      <c r="C5090" s="1" t="n">
        <v>46114</v>
      </c>
      <c r="D5090" t="inlineStr">
        <is>
          <t>DALARNAS LÄN</t>
        </is>
      </c>
      <c r="E5090" t="inlineStr">
        <is>
          <t>LEKSAND</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2790-2024</t>
        </is>
      </c>
      <c r="B5091" s="1" t="n">
        <v>45314.65690972222</v>
      </c>
      <c r="C5091" s="1" t="n">
        <v>46114</v>
      </c>
      <c r="D5091" t="inlineStr">
        <is>
          <t>DALARNAS LÄN</t>
        </is>
      </c>
      <c r="E5091" t="inlineStr">
        <is>
          <t>MALUNG-SÄLEN</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50668-2025</t>
        </is>
      </c>
      <c r="B5092" s="1" t="n">
        <v>45945</v>
      </c>
      <c r="C5092" s="1" t="n">
        <v>46114</v>
      </c>
      <c r="D5092" t="inlineStr">
        <is>
          <t>DALARNAS LÄN</t>
        </is>
      </c>
      <c r="E5092" t="inlineStr">
        <is>
          <t>SMEDJEBACKEN</t>
        </is>
      </c>
      <c r="F5092" t="inlineStr">
        <is>
          <t>Bergvik skog väst AB</t>
        </is>
      </c>
      <c r="G5092" t="n">
        <v>14.5</v>
      </c>
      <c r="H5092" t="n">
        <v>0</v>
      </c>
      <c r="I5092" t="n">
        <v>0</v>
      </c>
      <c r="J5092" t="n">
        <v>0</v>
      </c>
      <c r="K5092" t="n">
        <v>0</v>
      </c>
      <c r="L5092" t="n">
        <v>0</v>
      </c>
      <c r="M5092" t="n">
        <v>0</v>
      </c>
      <c r="N5092" t="n">
        <v>0</v>
      </c>
      <c r="O5092" t="n">
        <v>0</v>
      </c>
      <c r="P5092" t="n">
        <v>0</v>
      </c>
      <c r="Q5092" t="n">
        <v>0</v>
      </c>
      <c r="R5092" s="2" t="inlineStr"/>
    </row>
    <row r="5093" ht="15" customHeight="1">
      <c r="A5093" t="inlineStr">
        <is>
          <t>A 56283-2024</t>
        </is>
      </c>
      <c r="B5093" s="1" t="n">
        <v>45624.67864583333</v>
      </c>
      <c r="C5093" s="1" t="n">
        <v>46114</v>
      </c>
      <c r="D5093" t="inlineStr">
        <is>
          <t>DALARNAS LÄN</t>
        </is>
      </c>
      <c r="E5093" t="inlineStr">
        <is>
          <t>LEKSAND</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50533-2025</t>
        </is>
      </c>
      <c r="B5094" s="1" t="n">
        <v>45945.48137731481</v>
      </c>
      <c r="C5094" s="1" t="n">
        <v>46114</v>
      </c>
      <c r="D5094" t="inlineStr">
        <is>
          <t>DALARNAS LÄN</t>
        </is>
      </c>
      <c r="E5094" t="inlineStr">
        <is>
          <t>SÄTER</t>
        </is>
      </c>
      <c r="F5094" t="inlineStr">
        <is>
          <t>Bergvik skog väst AB</t>
        </is>
      </c>
      <c r="G5094" t="n">
        <v>8.6</v>
      </c>
      <c r="H5094" t="n">
        <v>0</v>
      </c>
      <c r="I5094" t="n">
        <v>0</v>
      </c>
      <c r="J5094" t="n">
        <v>0</v>
      </c>
      <c r="K5094" t="n">
        <v>0</v>
      </c>
      <c r="L5094" t="n">
        <v>0</v>
      </c>
      <c r="M5094" t="n">
        <v>0</v>
      </c>
      <c r="N5094" t="n">
        <v>0</v>
      </c>
      <c r="O5094" t="n">
        <v>0</v>
      </c>
      <c r="P5094" t="n">
        <v>0</v>
      </c>
      <c r="Q5094" t="n">
        <v>0</v>
      </c>
      <c r="R5094" s="2" t="inlineStr"/>
    </row>
    <row r="5095" ht="15" customHeight="1">
      <c r="A5095" t="inlineStr">
        <is>
          <t>A 14021-2023</t>
        </is>
      </c>
      <c r="B5095" s="1" t="n">
        <v>45007</v>
      </c>
      <c r="C5095" s="1" t="n">
        <v>46114</v>
      </c>
      <c r="D5095" t="inlineStr">
        <is>
          <t>DALARNAS LÄN</t>
        </is>
      </c>
      <c r="E5095" t="inlineStr">
        <is>
          <t>AVESTA</t>
        </is>
      </c>
      <c r="G5095" t="n">
        <v>3</v>
      </c>
      <c r="H5095" t="n">
        <v>0</v>
      </c>
      <c r="I5095" t="n">
        <v>0</v>
      </c>
      <c r="J5095" t="n">
        <v>0</v>
      </c>
      <c r="K5095" t="n">
        <v>0</v>
      </c>
      <c r="L5095" t="n">
        <v>0</v>
      </c>
      <c r="M5095" t="n">
        <v>0</v>
      </c>
      <c r="N5095" t="n">
        <v>0</v>
      </c>
      <c r="O5095" t="n">
        <v>0</v>
      </c>
      <c r="P5095" t="n">
        <v>0</v>
      </c>
      <c r="Q5095" t="n">
        <v>0</v>
      </c>
      <c r="R5095" s="2" t="inlineStr"/>
    </row>
    <row r="5096" ht="15" customHeight="1">
      <c r="A5096" t="inlineStr">
        <is>
          <t>A 6496-2024</t>
        </is>
      </c>
      <c r="B5096" s="1" t="n">
        <v>45339</v>
      </c>
      <c r="C5096" s="1" t="n">
        <v>46114</v>
      </c>
      <c r="D5096" t="inlineStr">
        <is>
          <t>DALARNAS LÄN</t>
        </is>
      </c>
      <c r="E5096" t="inlineStr">
        <is>
          <t>MALUNG-SÄLEN</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20185-2025</t>
        </is>
      </c>
      <c r="B5097" s="1" t="n">
        <v>45772.59590277778</v>
      </c>
      <c r="C5097" s="1" t="n">
        <v>46114</v>
      </c>
      <c r="D5097" t="inlineStr">
        <is>
          <t>DALARNAS LÄN</t>
        </is>
      </c>
      <c r="E5097" t="inlineStr">
        <is>
          <t>VANSBRO</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51135-2025</t>
        </is>
      </c>
      <c r="B5098" s="1" t="n">
        <v>45947.55684027778</v>
      </c>
      <c r="C5098" s="1" t="n">
        <v>46114</v>
      </c>
      <c r="D5098" t="inlineStr">
        <is>
          <t>DALARNAS LÄN</t>
        </is>
      </c>
      <c r="E5098" t="inlineStr">
        <is>
          <t>SMEDJEBACKEN</t>
        </is>
      </c>
      <c r="F5098" t="inlineStr">
        <is>
          <t>Sveaskog</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51138-2025</t>
        </is>
      </c>
      <c r="B5099" s="1" t="n">
        <v>45947.5597337963</v>
      </c>
      <c r="C5099" s="1" t="n">
        <v>46114</v>
      </c>
      <c r="D5099" t="inlineStr">
        <is>
          <t>DALARNAS LÄN</t>
        </is>
      </c>
      <c r="E5099" t="inlineStr">
        <is>
          <t>SMEDJEBACKEN</t>
        </is>
      </c>
      <c r="F5099" t="inlineStr">
        <is>
          <t>Sveaskog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37591-2024</t>
        </is>
      </c>
      <c r="B5100" s="1" t="n">
        <v>45541.46949074074</v>
      </c>
      <c r="C5100" s="1" t="n">
        <v>46114</v>
      </c>
      <c r="D5100" t="inlineStr">
        <is>
          <t>DALARNAS LÄN</t>
        </is>
      </c>
      <c r="E5100" t="inlineStr">
        <is>
          <t>RÄTTVIK</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37677-2024</t>
        </is>
      </c>
      <c r="B5101" s="1" t="n">
        <v>45541.58631944445</v>
      </c>
      <c r="C5101" s="1" t="n">
        <v>46114</v>
      </c>
      <c r="D5101" t="inlineStr">
        <is>
          <t>DALARNAS LÄN</t>
        </is>
      </c>
      <c r="E5101" t="inlineStr">
        <is>
          <t>MALUNG-SÄLEN</t>
        </is>
      </c>
      <c r="F5101" t="inlineStr">
        <is>
          <t>Bergvik skog öst AB</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51140-2025</t>
        </is>
      </c>
      <c r="B5102" s="1" t="n">
        <v>45947.56268518518</v>
      </c>
      <c r="C5102" s="1" t="n">
        <v>46114</v>
      </c>
      <c r="D5102" t="inlineStr">
        <is>
          <t>DALARNAS LÄN</t>
        </is>
      </c>
      <c r="E5102" t="inlineStr">
        <is>
          <t>SMEDJEBACKEN</t>
        </is>
      </c>
      <c r="F5102" t="inlineStr">
        <is>
          <t>Sveaskog</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51152-2025</t>
        </is>
      </c>
      <c r="B5103" s="1" t="n">
        <v>45947</v>
      </c>
      <c r="C5103" s="1" t="n">
        <v>46114</v>
      </c>
      <c r="D5103" t="inlineStr">
        <is>
          <t>DALARNAS LÄN</t>
        </is>
      </c>
      <c r="E5103" t="inlineStr">
        <is>
          <t>BORLÄNGE</t>
        </is>
      </c>
      <c r="G5103" t="n">
        <v>4</v>
      </c>
      <c r="H5103" t="n">
        <v>0</v>
      </c>
      <c r="I5103" t="n">
        <v>0</v>
      </c>
      <c r="J5103" t="n">
        <v>0</v>
      </c>
      <c r="K5103" t="n">
        <v>0</v>
      </c>
      <c r="L5103" t="n">
        <v>0</v>
      </c>
      <c r="M5103" t="n">
        <v>0</v>
      </c>
      <c r="N5103" t="n">
        <v>0</v>
      </c>
      <c r="O5103" t="n">
        <v>0</v>
      </c>
      <c r="P5103" t="n">
        <v>0</v>
      </c>
      <c r="Q5103" t="n">
        <v>0</v>
      </c>
      <c r="R5103" s="2" t="inlineStr"/>
    </row>
    <row r="5104" ht="15" customHeight="1">
      <c r="A5104" t="inlineStr">
        <is>
          <t>A 50704-2025</t>
        </is>
      </c>
      <c r="B5104" s="1" t="n">
        <v>45946.27984953704</v>
      </c>
      <c r="C5104" s="1" t="n">
        <v>46114</v>
      </c>
      <c r="D5104" t="inlineStr">
        <is>
          <t>DALARNAS LÄN</t>
        </is>
      </c>
      <c r="E5104" t="inlineStr">
        <is>
          <t>LEKSAND</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50783-2025</t>
        </is>
      </c>
      <c r="B5105" s="1" t="n">
        <v>45946.46853009259</v>
      </c>
      <c r="C5105" s="1" t="n">
        <v>46114</v>
      </c>
      <c r="D5105" t="inlineStr">
        <is>
          <t>DALARNAS LÄN</t>
        </is>
      </c>
      <c r="E5105" t="inlineStr">
        <is>
          <t>SÄTER</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68735-2021</t>
        </is>
      </c>
      <c r="B5106" s="1" t="n">
        <v>44529</v>
      </c>
      <c r="C5106" s="1" t="n">
        <v>46114</v>
      </c>
      <c r="D5106" t="inlineStr">
        <is>
          <t>DALARNAS LÄN</t>
        </is>
      </c>
      <c r="E5106" t="inlineStr">
        <is>
          <t>BORLÄNGE</t>
        </is>
      </c>
      <c r="G5106" t="n">
        <v>3</v>
      </c>
      <c r="H5106" t="n">
        <v>0</v>
      </c>
      <c r="I5106" t="n">
        <v>0</v>
      </c>
      <c r="J5106" t="n">
        <v>0</v>
      </c>
      <c r="K5106" t="n">
        <v>0</v>
      </c>
      <c r="L5106" t="n">
        <v>0</v>
      </c>
      <c r="M5106" t="n">
        <v>0</v>
      </c>
      <c r="N5106" t="n">
        <v>0</v>
      </c>
      <c r="O5106" t="n">
        <v>0</v>
      </c>
      <c r="P5106" t="n">
        <v>0</v>
      </c>
      <c r="Q5106" t="n">
        <v>0</v>
      </c>
      <c r="R5106" s="2" t="inlineStr"/>
    </row>
    <row r="5107" ht="15" customHeight="1">
      <c r="A5107" t="inlineStr">
        <is>
          <t>A 10513-2025</t>
        </is>
      </c>
      <c r="B5107" s="1" t="n">
        <v>45721.41333333333</v>
      </c>
      <c r="C5107" s="1" t="n">
        <v>46114</v>
      </c>
      <c r="D5107" t="inlineStr">
        <is>
          <t>DALARNAS LÄN</t>
        </is>
      </c>
      <c r="E5107" t="inlineStr">
        <is>
          <t>RÄTTVIK</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49535-2024</t>
        </is>
      </c>
      <c r="B5108" s="1" t="n">
        <v>45596.42756944444</v>
      </c>
      <c r="C5108" s="1" t="n">
        <v>46114</v>
      </c>
      <c r="D5108" t="inlineStr">
        <is>
          <t>DALARNAS LÄN</t>
        </is>
      </c>
      <c r="E5108" t="inlineStr">
        <is>
          <t>SMEDJEBACKEN</t>
        </is>
      </c>
      <c r="G5108" t="n">
        <v>5.1</v>
      </c>
      <c r="H5108" t="n">
        <v>0</v>
      </c>
      <c r="I5108" t="n">
        <v>0</v>
      </c>
      <c r="J5108" t="n">
        <v>0</v>
      </c>
      <c r="K5108" t="n">
        <v>0</v>
      </c>
      <c r="L5108" t="n">
        <v>0</v>
      </c>
      <c r="M5108" t="n">
        <v>0</v>
      </c>
      <c r="N5108" t="n">
        <v>0</v>
      </c>
      <c r="O5108" t="n">
        <v>0</v>
      </c>
      <c r="P5108" t="n">
        <v>0</v>
      </c>
      <c r="Q5108" t="n">
        <v>0</v>
      </c>
      <c r="R5108" s="2" t="inlineStr"/>
    </row>
    <row r="5109" ht="15" customHeight="1">
      <c r="A5109" t="inlineStr">
        <is>
          <t>A 40021-2023</t>
        </is>
      </c>
      <c r="B5109" s="1" t="n">
        <v>45167</v>
      </c>
      <c r="C5109" s="1" t="n">
        <v>46114</v>
      </c>
      <c r="D5109" t="inlineStr">
        <is>
          <t>DALARNAS LÄN</t>
        </is>
      </c>
      <c r="E5109" t="inlineStr">
        <is>
          <t>RÄTTVIK</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58322-2023</t>
        </is>
      </c>
      <c r="B5110" s="1" t="n">
        <v>45250</v>
      </c>
      <c r="C5110" s="1" t="n">
        <v>46114</v>
      </c>
      <c r="D5110" t="inlineStr">
        <is>
          <t>DALARNAS LÄN</t>
        </is>
      </c>
      <c r="E5110" t="inlineStr">
        <is>
          <t>FALUN</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33034-2021</t>
        </is>
      </c>
      <c r="B5111" s="1" t="n">
        <v>44376</v>
      </c>
      <c r="C5111" s="1" t="n">
        <v>46114</v>
      </c>
      <c r="D5111" t="inlineStr">
        <is>
          <t>DALARNAS LÄN</t>
        </is>
      </c>
      <c r="E5111" t="inlineStr">
        <is>
          <t>GAGNEF</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8784-2024</t>
        </is>
      </c>
      <c r="B5112" s="1" t="n">
        <v>45356.58180555556</v>
      </c>
      <c r="C5112" s="1" t="n">
        <v>46114</v>
      </c>
      <c r="D5112" t="inlineStr">
        <is>
          <t>DALARNAS LÄN</t>
        </is>
      </c>
      <c r="E5112" t="inlineStr">
        <is>
          <t>ÄLVDALEN</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24169-2022</t>
        </is>
      </c>
      <c r="B5113" s="1" t="n">
        <v>44725.50280092593</v>
      </c>
      <c r="C5113" s="1" t="n">
        <v>46114</v>
      </c>
      <c r="D5113" t="inlineStr">
        <is>
          <t>DALARNAS LÄN</t>
        </is>
      </c>
      <c r="E5113" t="inlineStr">
        <is>
          <t>MORA</t>
        </is>
      </c>
      <c r="F5113" t="inlineStr">
        <is>
          <t>Bergvik skog väst AB</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51151-2025</t>
        </is>
      </c>
      <c r="B5114" s="1" t="n">
        <v>45947.57368055556</v>
      </c>
      <c r="C5114" s="1" t="n">
        <v>46114</v>
      </c>
      <c r="D5114" t="inlineStr">
        <is>
          <t>DALARNAS LÄN</t>
        </is>
      </c>
      <c r="E5114" t="inlineStr">
        <is>
          <t>SMEDJEBACKEN</t>
        </is>
      </c>
      <c r="F5114" t="inlineStr">
        <is>
          <t>Sveaskog</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29640-2024</t>
        </is>
      </c>
      <c r="B5115" s="1" t="n">
        <v>45484.69837962963</v>
      </c>
      <c r="C5115" s="1" t="n">
        <v>46114</v>
      </c>
      <c r="D5115" t="inlineStr">
        <is>
          <t>DALARNAS LÄN</t>
        </is>
      </c>
      <c r="E5115" t="inlineStr">
        <is>
          <t>HEDEMORA</t>
        </is>
      </c>
      <c r="F5115" t="inlineStr">
        <is>
          <t>Bergvik skog väst AB</t>
        </is>
      </c>
      <c r="G5115" t="n">
        <v>8.6</v>
      </c>
      <c r="H5115" t="n">
        <v>0</v>
      </c>
      <c r="I5115" t="n">
        <v>0</v>
      </c>
      <c r="J5115" t="n">
        <v>0</v>
      </c>
      <c r="K5115" t="n">
        <v>0</v>
      </c>
      <c r="L5115" t="n">
        <v>0</v>
      </c>
      <c r="M5115" t="n">
        <v>0</v>
      </c>
      <c r="N5115" t="n">
        <v>0</v>
      </c>
      <c r="O5115" t="n">
        <v>0</v>
      </c>
      <c r="P5115" t="n">
        <v>0</v>
      </c>
      <c r="Q5115" t="n">
        <v>0</v>
      </c>
      <c r="R5115" s="2" t="inlineStr"/>
    </row>
    <row r="5116" ht="15" customHeight="1">
      <c r="A5116" t="inlineStr">
        <is>
          <t>A 51173-2025</t>
        </is>
      </c>
      <c r="B5116" s="1" t="n">
        <v>45947.60856481481</v>
      </c>
      <c r="C5116" s="1" t="n">
        <v>46114</v>
      </c>
      <c r="D5116" t="inlineStr">
        <is>
          <t>DALARNAS LÄN</t>
        </is>
      </c>
      <c r="E5116" t="inlineStr">
        <is>
          <t>SMEDJEBACKEN</t>
        </is>
      </c>
      <c r="F5116" t="inlineStr">
        <is>
          <t>Sveaskog</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3166-2024</t>
        </is>
      </c>
      <c r="B5117" s="1" t="n">
        <v>45316.62592592592</v>
      </c>
      <c r="C5117" s="1" t="n">
        <v>46114</v>
      </c>
      <c r="D5117" t="inlineStr">
        <is>
          <t>DALARNAS LÄN</t>
        </is>
      </c>
      <c r="E5117" t="inlineStr">
        <is>
          <t>ORSA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33829-2024</t>
        </is>
      </c>
      <c r="B5118" s="1" t="n">
        <v>45520</v>
      </c>
      <c r="C5118" s="1" t="n">
        <v>46114</v>
      </c>
      <c r="D5118" t="inlineStr">
        <is>
          <t>DALARNAS LÄN</t>
        </is>
      </c>
      <c r="E5118" t="inlineStr">
        <is>
          <t>VANSBRO</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49953-2025</t>
        </is>
      </c>
      <c r="B5119" s="1" t="n">
        <v>45940</v>
      </c>
      <c r="C5119" s="1" t="n">
        <v>46114</v>
      </c>
      <c r="D5119" t="inlineStr">
        <is>
          <t>DALARNAS LÄN</t>
        </is>
      </c>
      <c r="E5119" t="inlineStr">
        <is>
          <t>AVESTA</t>
        </is>
      </c>
      <c r="G5119" t="n">
        <v>7.7</v>
      </c>
      <c r="H5119" t="n">
        <v>0</v>
      </c>
      <c r="I5119" t="n">
        <v>0</v>
      </c>
      <c r="J5119" t="n">
        <v>0</v>
      </c>
      <c r="K5119" t="n">
        <v>0</v>
      </c>
      <c r="L5119" t="n">
        <v>0</v>
      </c>
      <c r="M5119" t="n">
        <v>0</v>
      </c>
      <c r="N5119" t="n">
        <v>0</v>
      </c>
      <c r="O5119" t="n">
        <v>0</v>
      </c>
      <c r="P5119" t="n">
        <v>0</v>
      </c>
      <c r="Q5119" t="n">
        <v>0</v>
      </c>
      <c r="R5119" s="2" t="inlineStr"/>
    </row>
    <row r="5120" ht="15" customHeight="1">
      <c r="A5120" t="inlineStr">
        <is>
          <t>A 59207-2022</t>
        </is>
      </c>
      <c r="B5120" s="1" t="n">
        <v>44904</v>
      </c>
      <c r="C5120" s="1" t="n">
        <v>46114</v>
      </c>
      <c r="D5120" t="inlineStr">
        <is>
          <t>DALARNAS LÄN</t>
        </is>
      </c>
      <c r="E5120" t="inlineStr">
        <is>
          <t>ÄLVDALEN</t>
        </is>
      </c>
      <c r="G5120" t="n">
        <v>4.7</v>
      </c>
      <c r="H5120" t="n">
        <v>0</v>
      </c>
      <c r="I5120" t="n">
        <v>0</v>
      </c>
      <c r="J5120" t="n">
        <v>0</v>
      </c>
      <c r="K5120" t="n">
        <v>0</v>
      </c>
      <c r="L5120" t="n">
        <v>0</v>
      </c>
      <c r="M5120" t="n">
        <v>0</v>
      </c>
      <c r="N5120" t="n">
        <v>0</v>
      </c>
      <c r="O5120" t="n">
        <v>0</v>
      </c>
      <c r="P5120" t="n">
        <v>0</v>
      </c>
      <c r="Q5120" t="n">
        <v>0</v>
      </c>
      <c r="R5120" s="2" t="inlineStr"/>
    </row>
    <row r="5121" ht="15" customHeight="1">
      <c r="A5121" t="inlineStr">
        <is>
          <t>A 33838-2024</t>
        </is>
      </c>
      <c r="B5121" s="1" t="n">
        <v>45520.62771990741</v>
      </c>
      <c r="C5121" s="1" t="n">
        <v>46114</v>
      </c>
      <c r="D5121" t="inlineStr">
        <is>
          <t>DALARNAS LÄN</t>
        </is>
      </c>
      <c r="E5121" t="inlineStr">
        <is>
          <t>RÄTTVIK</t>
        </is>
      </c>
      <c r="F5121" t="inlineStr">
        <is>
          <t>Sveaskog</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50782-2025</t>
        </is>
      </c>
      <c r="B5122" s="1" t="n">
        <v>45946.46168981482</v>
      </c>
      <c r="C5122" s="1" t="n">
        <v>46114</v>
      </c>
      <c r="D5122" t="inlineStr">
        <is>
          <t>DALARNAS LÄN</t>
        </is>
      </c>
      <c r="E5122" t="inlineStr">
        <is>
          <t>SMEDJEBACKEN</t>
        </is>
      </c>
      <c r="F5122" t="inlineStr">
        <is>
          <t>Sveaskog</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63203-2023</t>
        </is>
      </c>
      <c r="B5123" s="1" t="n">
        <v>45273.60798611111</v>
      </c>
      <c r="C5123" s="1" t="n">
        <v>46114</v>
      </c>
      <c r="D5123" t="inlineStr">
        <is>
          <t>DALARNAS LÄN</t>
        </is>
      </c>
      <c r="E5123" t="inlineStr">
        <is>
          <t>GAGNEF</t>
        </is>
      </c>
      <c r="G5123" t="n">
        <v>3.2</v>
      </c>
      <c r="H5123" t="n">
        <v>0</v>
      </c>
      <c r="I5123" t="n">
        <v>0</v>
      </c>
      <c r="J5123" t="n">
        <v>0</v>
      </c>
      <c r="K5123" t="n">
        <v>0</v>
      </c>
      <c r="L5123" t="n">
        <v>0</v>
      </c>
      <c r="M5123" t="n">
        <v>0</v>
      </c>
      <c r="N5123" t="n">
        <v>0</v>
      </c>
      <c r="O5123" t="n">
        <v>0</v>
      </c>
      <c r="P5123" t="n">
        <v>0</v>
      </c>
      <c r="Q5123" t="n">
        <v>0</v>
      </c>
      <c r="R5123" s="2" t="inlineStr"/>
    </row>
    <row r="5124" ht="15" customHeight="1">
      <c r="A5124" t="inlineStr">
        <is>
          <t>A 44499-2022</t>
        </is>
      </c>
      <c r="B5124" s="1" t="n">
        <v>44840</v>
      </c>
      <c r="C5124" s="1" t="n">
        <v>46114</v>
      </c>
      <c r="D5124" t="inlineStr">
        <is>
          <t>DALARNAS LÄN</t>
        </is>
      </c>
      <c r="E5124" t="inlineStr">
        <is>
          <t>RÄTTVIK</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43641-2022</t>
        </is>
      </c>
      <c r="B5125" s="1" t="n">
        <v>44837</v>
      </c>
      <c r="C5125" s="1" t="n">
        <v>46114</v>
      </c>
      <c r="D5125" t="inlineStr">
        <is>
          <t>DALARNAS LÄN</t>
        </is>
      </c>
      <c r="E5125" t="inlineStr">
        <is>
          <t>MORA</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44336-2024</t>
        </is>
      </c>
      <c r="B5126" s="1" t="n">
        <v>45573.61174768519</v>
      </c>
      <c r="C5126" s="1" t="n">
        <v>46114</v>
      </c>
      <c r="D5126" t="inlineStr">
        <is>
          <t>DALARNAS LÄN</t>
        </is>
      </c>
      <c r="E5126" t="inlineStr">
        <is>
          <t>GAGNEF</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50984-2025</t>
        </is>
      </c>
      <c r="B5127" s="1" t="n">
        <v>45947.34503472222</v>
      </c>
      <c r="C5127" s="1" t="n">
        <v>46114</v>
      </c>
      <c r="D5127" t="inlineStr">
        <is>
          <t>DALARNAS LÄN</t>
        </is>
      </c>
      <c r="E5127" t="inlineStr">
        <is>
          <t>MALUNG-SÄLEN</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53750-2024</t>
        </is>
      </c>
      <c r="B5128" s="1" t="n">
        <v>45615.48465277778</v>
      </c>
      <c r="C5128" s="1" t="n">
        <v>46114</v>
      </c>
      <c r="D5128" t="inlineStr">
        <is>
          <t>DALARNAS LÄN</t>
        </is>
      </c>
      <c r="E5128" t="inlineStr">
        <is>
          <t>MORA</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50689-2025</t>
        </is>
      </c>
      <c r="B5129" s="1" t="n">
        <v>45945.83503472222</v>
      </c>
      <c r="C5129" s="1" t="n">
        <v>46114</v>
      </c>
      <c r="D5129" t="inlineStr">
        <is>
          <t>DALARNAS LÄN</t>
        </is>
      </c>
      <c r="E5129" t="inlineStr">
        <is>
          <t>VANSBRO</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47496-2022</t>
        </is>
      </c>
      <c r="B5130" s="1" t="n">
        <v>44853</v>
      </c>
      <c r="C5130" s="1" t="n">
        <v>46114</v>
      </c>
      <c r="D5130" t="inlineStr">
        <is>
          <t>DALARNAS LÄN</t>
        </is>
      </c>
      <c r="E5130" t="inlineStr">
        <is>
          <t>LUDVIKA</t>
        </is>
      </c>
      <c r="F5130" t="inlineStr">
        <is>
          <t>Bergvik skog väst AB</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48818-2025</t>
        </is>
      </c>
      <c r="B5131" s="1" t="n">
        <v>45937</v>
      </c>
      <c r="C5131" s="1" t="n">
        <v>46114</v>
      </c>
      <c r="D5131" t="inlineStr">
        <is>
          <t>DALARNAS LÄN</t>
        </is>
      </c>
      <c r="E5131" t="inlineStr">
        <is>
          <t>VANSBRO</t>
        </is>
      </c>
      <c r="F5131" t="inlineStr">
        <is>
          <t>Bergvik skog väst AB</t>
        </is>
      </c>
      <c r="G5131" t="n">
        <v>7.8</v>
      </c>
      <c r="H5131" t="n">
        <v>0</v>
      </c>
      <c r="I5131" t="n">
        <v>0</v>
      </c>
      <c r="J5131" t="n">
        <v>0</v>
      </c>
      <c r="K5131" t="n">
        <v>0</v>
      </c>
      <c r="L5131" t="n">
        <v>0</v>
      </c>
      <c r="M5131" t="n">
        <v>0</v>
      </c>
      <c r="N5131" t="n">
        <v>0</v>
      </c>
      <c r="O5131" t="n">
        <v>0</v>
      </c>
      <c r="P5131" t="n">
        <v>0</v>
      </c>
      <c r="Q5131" t="n">
        <v>0</v>
      </c>
      <c r="R5131" s="2" t="inlineStr"/>
    </row>
    <row r="5132" ht="15" customHeight="1">
      <c r="A5132" t="inlineStr">
        <is>
          <t>A 63723-2023</t>
        </is>
      </c>
      <c r="B5132" s="1" t="n">
        <v>45276.37109953703</v>
      </c>
      <c r="C5132" s="1" t="n">
        <v>46114</v>
      </c>
      <c r="D5132" t="inlineStr">
        <is>
          <t>DALARNAS LÄN</t>
        </is>
      </c>
      <c r="E5132" t="inlineStr">
        <is>
          <t>FALUN</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56887-2024</t>
        </is>
      </c>
      <c r="B5133" s="1" t="n">
        <v>45628.57388888889</v>
      </c>
      <c r="C5133" s="1" t="n">
        <v>46114</v>
      </c>
      <c r="D5133" t="inlineStr">
        <is>
          <t>DALARNAS LÄN</t>
        </is>
      </c>
      <c r="E5133" t="inlineStr">
        <is>
          <t>ORSA</t>
        </is>
      </c>
      <c r="F5133" t="inlineStr">
        <is>
          <t>Bergvik skog öst AB</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50779-2025</t>
        </is>
      </c>
      <c r="B5134" s="1" t="n">
        <v>45946.45733796297</v>
      </c>
      <c r="C5134" s="1" t="n">
        <v>46114</v>
      </c>
      <c r="D5134" t="inlineStr">
        <is>
          <t>DALARNAS LÄN</t>
        </is>
      </c>
      <c r="E5134" t="inlineStr">
        <is>
          <t>SMEDJEBACKEN</t>
        </is>
      </c>
      <c r="F5134" t="inlineStr">
        <is>
          <t>Sveaskog</t>
        </is>
      </c>
      <c r="G5134" t="n">
        <v>6.5</v>
      </c>
      <c r="H5134" t="n">
        <v>0</v>
      </c>
      <c r="I5134" t="n">
        <v>0</v>
      </c>
      <c r="J5134" t="n">
        <v>0</v>
      </c>
      <c r="K5134" t="n">
        <v>0</v>
      </c>
      <c r="L5134" t="n">
        <v>0</v>
      </c>
      <c r="M5134" t="n">
        <v>0</v>
      </c>
      <c r="N5134" t="n">
        <v>0</v>
      </c>
      <c r="O5134" t="n">
        <v>0</v>
      </c>
      <c r="P5134" t="n">
        <v>0</v>
      </c>
      <c r="Q5134" t="n">
        <v>0</v>
      </c>
      <c r="R5134" s="2" t="inlineStr"/>
    </row>
    <row r="5135" ht="15" customHeight="1">
      <c r="A5135" t="inlineStr">
        <is>
          <t>A 51051-2025</t>
        </is>
      </c>
      <c r="B5135" s="1" t="n">
        <v>45947.43714120371</v>
      </c>
      <c r="C5135" s="1" t="n">
        <v>46114</v>
      </c>
      <c r="D5135" t="inlineStr">
        <is>
          <t>DALARNAS LÄN</t>
        </is>
      </c>
      <c r="E5135" t="inlineStr">
        <is>
          <t>SMEDJEBACKEN</t>
        </is>
      </c>
      <c r="F5135" t="inlineStr">
        <is>
          <t>Sveaskog</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51063-2025</t>
        </is>
      </c>
      <c r="B5136" s="1" t="n">
        <v>45947.44696759259</v>
      </c>
      <c r="C5136" s="1" t="n">
        <v>46114</v>
      </c>
      <c r="D5136" t="inlineStr">
        <is>
          <t>DALARNAS LÄN</t>
        </is>
      </c>
      <c r="E5136" t="inlineStr">
        <is>
          <t>SMEDJEBACKEN</t>
        </is>
      </c>
      <c r="F5136" t="inlineStr">
        <is>
          <t>Sveaskog</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51067-2025</t>
        </is>
      </c>
      <c r="B5137" s="1" t="n">
        <v>45947.45381944445</v>
      </c>
      <c r="C5137" s="1" t="n">
        <v>46114</v>
      </c>
      <c r="D5137" t="inlineStr">
        <is>
          <t>DALARNAS LÄN</t>
        </is>
      </c>
      <c r="E5137" t="inlineStr">
        <is>
          <t>ORSA</t>
        </is>
      </c>
      <c r="G5137" t="n">
        <v>5.4</v>
      </c>
      <c r="H5137" t="n">
        <v>0</v>
      </c>
      <c r="I5137" t="n">
        <v>0</v>
      </c>
      <c r="J5137" t="n">
        <v>0</v>
      </c>
      <c r="K5137" t="n">
        <v>0</v>
      </c>
      <c r="L5137" t="n">
        <v>0</v>
      </c>
      <c r="M5137" t="n">
        <v>0</v>
      </c>
      <c r="N5137" t="n">
        <v>0</v>
      </c>
      <c r="O5137" t="n">
        <v>0</v>
      </c>
      <c r="P5137" t="n">
        <v>0</v>
      </c>
      <c r="Q5137" t="n">
        <v>0</v>
      </c>
      <c r="R5137" s="2" t="inlineStr"/>
    </row>
    <row r="5138" ht="15" customHeight="1">
      <c r="A5138" t="inlineStr">
        <is>
          <t>A 51071-2025</t>
        </is>
      </c>
      <c r="B5138" s="1" t="n">
        <v>45947.45814814815</v>
      </c>
      <c r="C5138" s="1" t="n">
        <v>46114</v>
      </c>
      <c r="D5138" t="inlineStr">
        <is>
          <t>DALARNAS LÄN</t>
        </is>
      </c>
      <c r="E5138" t="inlineStr">
        <is>
          <t>SMEDJEBACKEN</t>
        </is>
      </c>
      <c r="F5138" t="inlineStr">
        <is>
          <t>Sveaskog</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60298-2024</t>
        </is>
      </c>
      <c r="B5139" s="1" t="n">
        <v>45643.31895833334</v>
      </c>
      <c r="C5139" s="1" t="n">
        <v>46114</v>
      </c>
      <c r="D5139" t="inlineStr">
        <is>
          <t>DALARNAS LÄN</t>
        </is>
      </c>
      <c r="E5139" t="inlineStr">
        <is>
          <t>MALUNG-SÄLEN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6195-2023</t>
        </is>
      </c>
      <c r="B5140" s="1" t="n">
        <v>44964.7396875</v>
      </c>
      <c r="C5140" s="1" t="n">
        <v>46114</v>
      </c>
      <c r="D5140" t="inlineStr">
        <is>
          <t>DALARNAS LÄN</t>
        </is>
      </c>
      <c r="E5140" t="inlineStr">
        <is>
          <t>RÄTTVIK</t>
        </is>
      </c>
      <c r="G5140" t="n">
        <v>0.3</v>
      </c>
      <c r="H5140" t="n">
        <v>0</v>
      </c>
      <c r="I5140" t="n">
        <v>0</v>
      </c>
      <c r="J5140" t="n">
        <v>0</v>
      </c>
      <c r="K5140" t="n">
        <v>0</v>
      </c>
      <c r="L5140" t="n">
        <v>0</v>
      </c>
      <c r="M5140" t="n">
        <v>0</v>
      </c>
      <c r="N5140" t="n">
        <v>0</v>
      </c>
      <c r="O5140" t="n">
        <v>0</v>
      </c>
      <c r="P5140" t="n">
        <v>0</v>
      </c>
      <c r="Q5140" t="n">
        <v>0</v>
      </c>
      <c r="R5140" s="2" t="inlineStr"/>
    </row>
    <row r="5141" ht="15" customHeight="1">
      <c r="A5141" t="inlineStr">
        <is>
          <t>A 984-2024</t>
        </is>
      </c>
      <c r="B5141" s="1" t="n">
        <v>45301</v>
      </c>
      <c r="C5141" s="1" t="n">
        <v>46114</v>
      </c>
      <c r="D5141" t="inlineStr">
        <is>
          <t>DALARNAS LÄN</t>
        </is>
      </c>
      <c r="E5141" t="inlineStr">
        <is>
          <t>MALUNG-SÄLEN</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50836-2025</t>
        </is>
      </c>
      <c r="B5142" s="1" t="n">
        <v>45946.55805555556</v>
      </c>
      <c r="C5142" s="1" t="n">
        <v>46114</v>
      </c>
      <c r="D5142" t="inlineStr">
        <is>
          <t>DALARNAS LÄN</t>
        </is>
      </c>
      <c r="E5142" t="inlineStr">
        <is>
          <t>AVESTA</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51053-2025</t>
        </is>
      </c>
      <c r="B5143" s="1" t="n">
        <v>45947.4393287037</v>
      </c>
      <c r="C5143" s="1" t="n">
        <v>46114</v>
      </c>
      <c r="D5143" t="inlineStr">
        <is>
          <t>DALARNAS LÄN</t>
        </is>
      </c>
      <c r="E5143" t="inlineStr">
        <is>
          <t>SMEDJEBACKEN</t>
        </is>
      </c>
      <c r="F5143" t="inlineStr">
        <is>
          <t>Sveaskog</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51054-2025</t>
        </is>
      </c>
      <c r="B5144" s="1" t="n">
        <v>45947.4418287037</v>
      </c>
      <c r="C5144" s="1" t="n">
        <v>46114</v>
      </c>
      <c r="D5144" t="inlineStr">
        <is>
          <t>DALARNAS LÄN</t>
        </is>
      </c>
      <c r="E5144" t="inlineStr">
        <is>
          <t>SMEDJEBACKEN</t>
        </is>
      </c>
      <c r="F5144" t="inlineStr">
        <is>
          <t>Sveaskog</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51055-2025</t>
        </is>
      </c>
      <c r="B5145" s="1" t="n">
        <v>45947.44309027777</v>
      </c>
      <c r="C5145" s="1" t="n">
        <v>46114</v>
      </c>
      <c r="D5145" t="inlineStr">
        <is>
          <t>DALARNAS LÄN</t>
        </is>
      </c>
      <c r="E5145" t="inlineStr">
        <is>
          <t>ORSA</t>
        </is>
      </c>
      <c r="G5145" t="n">
        <v>4.6</v>
      </c>
      <c r="H5145" t="n">
        <v>0</v>
      </c>
      <c r="I5145" t="n">
        <v>0</v>
      </c>
      <c r="J5145" t="n">
        <v>0</v>
      </c>
      <c r="K5145" t="n">
        <v>0</v>
      </c>
      <c r="L5145" t="n">
        <v>0</v>
      </c>
      <c r="M5145" t="n">
        <v>0</v>
      </c>
      <c r="N5145" t="n">
        <v>0</v>
      </c>
      <c r="O5145" t="n">
        <v>0</v>
      </c>
      <c r="P5145" t="n">
        <v>0</v>
      </c>
      <c r="Q5145" t="n">
        <v>0</v>
      </c>
      <c r="R5145" s="2" t="inlineStr"/>
    </row>
    <row r="5146" ht="15" customHeight="1">
      <c r="A5146" t="inlineStr">
        <is>
          <t>A 74196-2021</t>
        </is>
      </c>
      <c r="B5146" s="1" t="n">
        <v>44558</v>
      </c>
      <c r="C5146" s="1" t="n">
        <v>46114</v>
      </c>
      <c r="D5146" t="inlineStr">
        <is>
          <t>DALARNAS LÄN</t>
        </is>
      </c>
      <c r="E5146" t="inlineStr">
        <is>
          <t>FALUN</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40426-2022</t>
        </is>
      </c>
      <c r="B5147" s="1" t="n">
        <v>44823.46959490741</v>
      </c>
      <c r="C5147" s="1" t="n">
        <v>46114</v>
      </c>
      <c r="D5147" t="inlineStr">
        <is>
          <t>DALARNAS LÄN</t>
        </is>
      </c>
      <c r="E5147" t="inlineStr">
        <is>
          <t>FALUN</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52615-2021</t>
        </is>
      </c>
      <c r="B5148" s="1" t="n">
        <v>44466</v>
      </c>
      <c r="C5148" s="1" t="n">
        <v>46114</v>
      </c>
      <c r="D5148" t="inlineStr">
        <is>
          <t>DALARNAS LÄN</t>
        </is>
      </c>
      <c r="E5148" t="inlineStr">
        <is>
          <t>FALUN</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6028-2025</t>
        </is>
      </c>
      <c r="B5149" s="1" t="n">
        <v>45695</v>
      </c>
      <c r="C5149" s="1" t="n">
        <v>46114</v>
      </c>
      <c r="D5149" t="inlineStr">
        <is>
          <t>DALARNAS LÄN</t>
        </is>
      </c>
      <c r="E5149" t="inlineStr">
        <is>
          <t>LEKSAND</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12136-2025</t>
        </is>
      </c>
      <c r="B5150" s="1" t="n">
        <v>45729.39300925926</v>
      </c>
      <c r="C5150" s="1" t="n">
        <v>46114</v>
      </c>
      <c r="D5150" t="inlineStr">
        <is>
          <t>DALARNAS LÄN</t>
        </is>
      </c>
      <c r="E5150" t="inlineStr">
        <is>
          <t>HEDEMORA</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12145-2025</t>
        </is>
      </c>
      <c r="B5151" s="1" t="n">
        <v>45729.40608796296</v>
      </c>
      <c r="C5151" s="1" t="n">
        <v>46114</v>
      </c>
      <c r="D5151" t="inlineStr">
        <is>
          <t>DALARNAS LÄN</t>
        </is>
      </c>
      <c r="E5151" t="inlineStr">
        <is>
          <t>AVESTA</t>
        </is>
      </c>
      <c r="G5151" t="n">
        <v>1.3</v>
      </c>
      <c r="H5151" t="n">
        <v>0</v>
      </c>
      <c r="I5151" t="n">
        <v>0</v>
      </c>
      <c r="J5151" t="n">
        <v>0</v>
      </c>
      <c r="K5151" t="n">
        <v>0</v>
      </c>
      <c r="L5151" t="n">
        <v>0</v>
      </c>
      <c r="M5151" t="n">
        <v>0</v>
      </c>
      <c r="N5151" t="n">
        <v>0</v>
      </c>
      <c r="O5151" t="n">
        <v>0</v>
      </c>
      <c r="P5151" t="n">
        <v>0</v>
      </c>
      <c r="Q5151" t="n">
        <v>0</v>
      </c>
      <c r="R5151" s="2" t="inlineStr"/>
    </row>
    <row r="5152" ht="15" customHeight="1">
      <c r="A5152" t="inlineStr">
        <is>
          <t>A 56772-2024</t>
        </is>
      </c>
      <c r="B5152" s="1" t="n">
        <v>45628.41666666666</v>
      </c>
      <c r="C5152" s="1" t="n">
        <v>46114</v>
      </c>
      <c r="D5152" t="inlineStr">
        <is>
          <t>DALARNAS LÄN</t>
        </is>
      </c>
      <c r="E5152" t="inlineStr">
        <is>
          <t>RÄTTVIK</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47553-2025</t>
        </is>
      </c>
      <c r="B5153" s="1" t="n">
        <v>45931</v>
      </c>
      <c r="C5153" s="1" t="n">
        <v>46114</v>
      </c>
      <c r="D5153" t="inlineStr">
        <is>
          <t>DALARNAS LÄN</t>
        </is>
      </c>
      <c r="E5153" t="inlineStr">
        <is>
          <t>MALUNG-SÄLEN</t>
        </is>
      </c>
      <c r="F5153" t="inlineStr">
        <is>
          <t>Bergvik skog väst AB</t>
        </is>
      </c>
      <c r="G5153" t="n">
        <v>15.4</v>
      </c>
      <c r="H5153" t="n">
        <v>0</v>
      </c>
      <c r="I5153" t="n">
        <v>0</v>
      </c>
      <c r="J5153" t="n">
        <v>0</v>
      </c>
      <c r="K5153" t="n">
        <v>0</v>
      </c>
      <c r="L5153" t="n">
        <v>0</v>
      </c>
      <c r="M5153" t="n">
        <v>0</v>
      </c>
      <c r="N5153" t="n">
        <v>0</v>
      </c>
      <c r="O5153" t="n">
        <v>0</v>
      </c>
      <c r="P5153" t="n">
        <v>0</v>
      </c>
      <c r="Q5153" t="n">
        <v>0</v>
      </c>
      <c r="R5153" s="2" t="inlineStr"/>
    </row>
    <row r="5154" ht="15" customHeight="1">
      <c r="A5154" t="inlineStr">
        <is>
          <t>A 36455-2024</t>
        </is>
      </c>
      <c r="B5154" s="1" t="n">
        <v>45537.34337962963</v>
      </c>
      <c r="C5154" s="1" t="n">
        <v>46114</v>
      </c>
      <c r="D5154" t="inlineStr">
        <is>
          <t>DALARNAS LÄN</t>
        </is>
      </c>
      <c r="E5154" t="inlineStr">
        <is>
          <t>RÄTTVIK</t>
        </is>
      </c>
      <c r="G5154" t="n">
        <v>9.800000000000001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50528-2024</t>
        </is>
      </c>
      <c r="B5155" s="1" t="n">
        <v>45601.56344907408</v>
      </c>
      <c r="C5155" s="1" t="n">
        <v>46114</v>
      </c>
      <c r="D5155" t="inlineStr">
        <is>
          <t>DALARNAS LÄN</t>
        </is>
      </c>
      <c r="E5155" t="inlineStr">
        <is>
          <t>LUDVIKA</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50533-2024</t>
        </is>
      </c>
      <c r="B5156" s="1" t="n">
        <v>45601.56724537037</v>
      </c>
      <c r="C5156" s="1" t="n">
        <v>46114</v>
      </c>
      <c r="D5156" t="inlineStr">
        <is>
          <t>DALARNAS LÄN</t>
        </is>
      </c>
      <c r="E5156" t="inlineStr">
        <is>
          <t>VANSBRO</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50754-2025</t>
        </is>
      </c>
      <c r="B5157" s="1" t="n">
        <v>45946.40530092592</v>
      </c>
      <c r="C5157" s="1" t="n">
        <v>46114</v>
      </c>
      <c r="D5157" t="inlineStr">
        <is>
          <t>DALARNAS LÄN</t>
        </is>
      </c>
      <c r="E5157" t="inlineStr">
        <is>
          <t>GAGNEF</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48295-2025</t>
        </is>
      </c>
      <c r="B5158" s="1" t="n">
        <v>45933</v>
      </c>
      <c r="C5158" s="1" t="n">
        <v>46114</v>
      </c>
      <c r="D5158" t="inlineStr">
        <is>
          <t>DALARNAS LÄN</t>
        </is>
      </c>
      <c r="E5158" t="inlineStr">
        <is>
          <t>FALUN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50902-2025</t>
        </is>
      </c>
      <c r="B5159" s="1" t="n">
        <v>45946.64559027777</v>
      </c>
      <c r="C5159" s="1" t="n">
        <v>46114</v>
      </c>
      <c r="D5159" t="inlineStr">
        <is>
          <t>DALARNAS LÄN</t>
        </is>
      </c>
      <c r="E5159" t="inlineStr">
        <is>
          <t>RÄTTVIK</t>
        </is>
      </c>
      <c r="G5159" t="n">
        <v>4.4</v>
      </c>
      <c r="H5159" t="n">
        <v>0</v>
      </c>
      <c r="I5159" t="n">
        <v>0</v>
      </c>
      <c r="J5159" t="n">
        <v>0</v>
      </c>
      <c r="K5159" t="n">
        <v>0</v>
      </c>
      <c r="L5159" t="n">
        <v>0</v>
      </c>
      <c r="M5159" t="n">
        <v>0</v>
      </c>
      <c r="N5159" t="n">
        <v>0</v>
      </c>
      <c r="O5159" t="n">
        <v>0</v>
      </c>
      <c r="P5159" t="n">
        <v>0</v>
      </c>
      <c r="Q5159" t="n">
        <v>0</v>
      </c>
      <c r="R5159" s="2" t="inlineStr"/>
    </row>
    <row r="5160" ht="15" customHeight="1">
      <c r="A5160" t="inlineStr">
        <is>
          <t>A 50687-2025</t>
        </is>
      </c>
      <c r="B5160" s="1" t="n">
        <v>45945.83003472222</v>
      </c>
      <c r="C5160" s="1" t="n">
        <v>46114</v>
      </c>
      <c r="D5160" t="inlineStr">
        <is>
          <t>DALARNAS LÄN</t>
        </is>
      </c>
      <c r="E5160" t="inlineStr">
        <is>
          <t>VANSBRO</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49723-2023</t>
        </is>
      </c>
      <c r="B5161" s="1" t="n">
        <v>45212</v>
      </c>
      <c r="C5161" s="1" t="n">
        <v>46114</v>
      </c>
      <c r="D5161" t="inlineStr">
        <is>
          <t>DALARNAS LÄN</t>
        </is>
      </c>
      <c r="E5161" t="inlineStr">
        <is>
          <t>ÄLVDALEN</t>
        </is>
      </c>
      <c r="F5161" t="inlineStr">
        <is>
          <t>Bergvik skog väst AB</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55650-2021</t>
        </is>
      </c>
      <c r="B5162" s="1" t="n">
        <v>44475</v>
      </c>
      <c r="C5162" s="1" t="n">
        <v>46114</v>
      </c>
      <c r="D5162" t="inlineStr">
        <is>
          <t>DALARNAS LÄN</t>
        </is>
      </c>
      <c r="E5162" t="inlineStr">
        <is>
          <t>SMEDJEBACKEN</t>
        </is>
      </c>
      <c r="F5162" t="inlineStr">
        <is>
          <t>Bergvik skog väst AB</t>
        </is>
      </c>
      <c r="G5162" t="n">
        <v>2.9</v>
      </c>
      <c r="H5162" t="n">
        <v>0</v>
      </c>
      <c r="I5162" t="n">
        <v>0</v>
      </c>
      <c r="J5162" t="n">
        <v>0</v>
      </c>
      <c r="K5162" t="n">
        <v>0</v>
      </c>
      <c r="L5162" t="n">
        <v>0</v>
      </c>
      <c r="M5162" t="n">
        <v>0</v>
      </c>
      <c r="N5162" t="n">
        <v>0</v>
      </c>
      <c r="O5162" t="n">
        <v>0</v>
      </c>
      <c r="P5162" t="n">
        <v>0</v>
      </c>
      <c r="Q5162" t="n">
        <v>0</v>
      </c>
      <c r="R5162" s="2" t="inlineStr"/>
    </row>
    <row r="5163" ht="15" customHeight="1">
      <c r="A5163" t="inlineStr">
        <is>
          <t>A 51049-2025</t>
        </is>
      </c>
      <c r="B5163" s="1" t="n">
        <v>45947.43479166667</v>
      </c>
      <c r="C5163" s="1" t="n">
        <v>46114</v>
      </c>
      <c r="D5163" t="inlineStr">
        <is>
          <t>DALARNAS LÄN</t>
        </is>
      </c>
      <c r="E5163" t="inlineStr">
        <is>
          <t>ORSA</t>
        </is>
      </c>
      <c r="G5163" t="n">
        <v>2.3</v>
      </c>
      <c r="H5163" t="n">
        <v>0</v>
      </c>
      <c r="I5163" t="n">
        <v>0</v>
      </c>
      <c r="J5163" t="n">
        <v>0</v>
      </c>
      <c r="K5163" t="n">
        <v>0</v>
      </c>
      <c r="L5163" t="n">
        <v>0</v>
      </c>
      <c r="M5163" t="n">
        <v>0</v>
      </c>
      <c r="N5163" t="n">
        <v>0</v>
      </c>
      <c r="O5163" t="n">
        <v>0</v>
      </c>
      <c r="P5163" t="n">
        <v>0</v>
      </c>
      <c r="Q5163" t="n">
        <v>0</v>
      </c>
      <c r="R5163" s="2" t="inlineStr"/>
    </row>
    <row r="5164" ht="15" customHeight="1">
      <c r="A5164" t="inlineStr">
        <is>
          <t>A 48875-2025</t>
        </is>
      </c>
      <c r="B5164" s="1" t="n">
        <v>45937</v>
      </c>
      <c r="C5164" s="1" t="n">
        <v>46114</v>
      </c>
      <c r="D5164" t="inlineStr">
        <is>
          <t>DALARNAS LÄN</t>
        </is>
      </c>
      <c r="E5164" t="inlineStr">
        <is>
          <t>VANSBRO</t>
        </is>
      </c>
      <c r="F5164" t="inlineStr">
        <is>
          <t>Bergvik skog väst AB</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51064-2025</t>
        </is>
      </c>
      <c r="B5165" s="1" t="n">
        <v>45947.45197916667</v>
      </c>
      <c r="C5165" s="1" t="n">
        <v>46114</v>
      </c>
      <c r="D5165" t="inlineStr">
        <is>
          <t>DALARNAS LÄN</t>
        </is>
      </c>
      <c r="E5165" t="inlineStr">
        <is>
          <t>ORSA</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28041-2021</t>
        </is>
      </c>
      <c r="B5166" s="1" t="n">
        <v>44355.39248842592</v>
      </c>
      <c r="C5166" s="1" t="n">
        <v>46114</v>
      </c>
      <c r="D5166" t="inlineStr">
        <is>
          <t>DALARNAS LÄN</t>
        </is>
      </c>
      <c r="E5166" t="inlineStr">
        <is>
          <t>SMEDJEBACKEN</t>
        </is>
      </c>
      <c r="F5166" t="inlineStr">
        <is>
          <t>Sveaskog</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63842-2023</t>
        </is>
      </c>
      <c r="B5167" s="1" t="n">
        <v>45278.47667824074</v>
      </c>
      <c r="C5167" s="1" t="n">
        <v>46114</v>
      </c>
      <c r="D5167" t="inlineStr">
        <is>
          <t>DALARNAS LÄN</t>
        </is>
      </c>
      <c r="E5167" t="inlineStr">
        <is>
          <t>FALUN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51253-2025</t>
        </is>
      </c>
      <c r="B5168" s="1" t="n">
        <v>45948.91614583333</v>
      </c>
      <c r="C5168" s="1" t="n">
        <v>46114</v>
      </c>
      <c r="D5168" t="inlineStr">
        <is>
          <t>DALARNAS LÄN</t>
        </is>
      </c>
      <c r="E5168" t="inlineStr">
        <is>
          <t>AVESTA</t>
        </is>
      </c>
      <c r="G5168" t="n">
        <v>0.4</v>
      </c>
      <c r="H5168" t="n">
        <v>0</v>
      </c>
      <c r="I5168" t="n">
        <v>0</v>
      </c>
      <c r="J5168" t="n">
        <v>0</v>
      </c>
      <c r="K5168" t="n">
        <v>0</v>
      </c>
      <c r="L5168" t="n">
        <v>0</v>
      </c>
      <c r="M5168" t="n">
        <v>0</v>
      </c>
      <c r="N5168" t="n">
        <v>0</v>
      </c>
      <c r="O5168" t="n">
        <v>0</v>
      </c>
      <c r="P5168" t="n">
        <v>0</v>
      </c>
      <c r="Q5168" t="n">
        <v>0</v>
      </c>
      <c r="R5168" s="2" t="inlineStr"/>
    </row>
    <row r="5169" ht="15" customHeight="1">
      <c r="A5169" t="inlineStr">
        <is>
          <t>A 51615-2025</t>
        </is>
      </c>
      <c r="B5169" s="1" t="n">
        <v>45951.40246527778</v>
      </c>
      <c r="C5169" s="1" t="n">
        <v>46114</v>
      </c>
      <c r="D5169" t="inlineStr">
        <is>
          <t>DALARNAS LÄN</t>
        </is>
      </c>
      <c r="E5169" t="inlineStr">
        <is>
          <t>HEDEMORA</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9045-2025</t>
        </is>
      </c>
      <c r="B5170" s="1" t="n">
        <v>45713.62837962963</v>
      </c>
      <c r="C5170" s="1" t="n">
        <v>46114</v>
      </c>
      <c r="D5170" t="inlineStr">
        <is>
          <t>DALARNAS LÄN</t>
        </is>
      </c>
      <c r="E5170" t="inlineStr">
        <is>
          <t>ÄLVDALEN</t>
        </is>
      </c>
      <c r="F5170" t="inlineStr">
        <is>
          <t>Allmännings- och besparingsskogar</t>
        </is>
      </c>
      <c r="G5170" t="n">
        <v>39.1</v>
      </c>
      <c r="H5170" t="n">
        <v>0</v>
      </c>
      <c r="I5170" t="n">
        <v>0</v>
      </c>
      <c r="J5170" t="n">
        <v>0</v>
      </c>
      <c r="K5170" t="n">
        <v>0</v>
      </c>
      <c r="L5170" t="n">
        <v>0</v>
      </c>
      <c r="M5170" t="n">
        <v>0</v>
      </c>
      <c r="N5170" t="n">
        <v>0</v>
      </c>
      <c r="O5170" t="n">
        <v>0</v>
      </c>
      <c r="P5170" t="n">
        <v>0</v>
      </c>
      <c r="Q5170" t="n">
        <v>0</v>
      </c>
      <c r="R5170" s="2" t="inlineStr"/>
    </row>
    <row r="5171" ht="15" customHeight="1">
      <c r="A5171" t="inlineStr">
        <is>
          <t>A 51622-2025</t>
        </is>
      </c>
      <c r="B5171" s="1" t="n">
        <v>45951.41353009259</v>
      </c>
      <c r="C5171" s="1" t="n">
        <v>46114</v>
      </c>
      <c r="D5171" t="inlineStr">
        <is>
          <t>DALARNAS LÄN</t>
        </is>
      </c>
      <c r="E5171" t="inlineStr">
        <is>
          <t>LUDVIKA</t>
        </is>
      </c>
      <c r="G5171" t="n">
        <v>1</v>
      </c>
      <c r="H5171" t="n">
        <v>0</v>
      </c>
      <c r="I5171" t="n">
        <v>0</v>
      </c>
      <c r="J5171" t="n">
        <v>0</v>
      </c>
      <c r="K5171" t="n">
        <v>0</v>
      </c>
      <c r="L5171" t="n">
        <v>0</v>
      </c>
      <c r="M5171" t="n">
        <v>0</v>
      </c>
      <c r="N5171" t="n">
        <v>0</v>
      </c>
      <c r="O5171" t="n">
        <v>0</v>
      </c>
      <c r="P5171" t="n">
        <v>0</v>
      </c>
      <c r="Q5171" t="n">
        <v>0</v>
      </c>
      <c r="R5171" s="2" t="inlineStr"/>
    </row>
    <row r="5172" ht="15" customHeight="1">
      <c r="A5172" t="inlineStr">
        <is>
          <t>A 51768-2025</t>
        </is>
      </c>
      <c r="B5172" s="1" t="n">
        <v>45951.64041666667</v>
      </c>
      <c r="C5172" s="1" t="n">
        <v>46114</v>
      </c>
      <c r="D5172" t="inlineStr">
        <is>
          <t>DALARNAS LÄN</t>
        </is>
      </c>
      <c r="E5172" t="inlineStr">
        <is>
          <t>LEKSAND</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51442-2025</t>
        </is>
      </c>
      <c r="B5173" s="1" t="n">
        <v>45950.57458333333</v>
      </c>
      <c r="C5173" s="1" t="n">
        <v>46114</v>
      </c>
      <c r="D5173" t="inlineStr">
        <is>
          <t>DALARNAS LÄN</t>
        </is>
      </c>
      <c r="E5173" t="inlineStr">
        <is>
          <t>ÄLVDALEN</t>
        </is>
      </c>
      <c r="F5173" t="inlineStr">
        <is>
          <t>Bergvik skog väst AB</t>
        </is>
      </c>
      <c r="G5173" t="n">
        <v>6.3</v>
      </c>
      <c r="H5173" t="n">
        <v>0</v>
      </c>
      <c r="I5173" t="n">
        <v>0</v>
      </c>
      <c r="J5173" t="n">
        <v>0</v>
      </c>
      <c r="K5173" t="n">
        <v>0</v>
      </c>
      <c r="L5173" t="n">
        <v>0</v>
      </c>
      <c r="M5173" t="n">
        <v>0</v>
      </c>
      <c r="N5173" t="n">
        <v>0</v>
      </c>
      <c r="O5173" t="n">
        <v>0</v>
      </c>
      <c r="P5173" t="n">
        <v>0</v>
      </c>
      <c r="Q5173" t="n">
        <v>0</v>
      </c>
      <c r="R5173" s="2" t="inlineStr"/>
    </row>
    <row r="5174" ht="15" customHeight="1">
      <c r="A5174" t="inlineStr">
        <is>
          <t>A 51444-2025</t>
        </is>
      </c>
      <c r="B5174" s="1" t="n">
        <v>45950</v>
      </c>
      <c r="C5174" s="1" t="n">
        <v>46114</v>
      </c>
      <c r="D5174" t="inlineStr">
        <is>
          <t>DALARNAS LÄN</t>
        </is>
      </c>
      <c r="E5174" t="inlineStr">
        <is>
          <t>SMEDJEBACKEN</t>
        </is>
      </c>
      <c r="F5174" t="inlineStr">
        <is>
          <t>Bergvik skog väst AB</t>
        </is>
      </c>
      <c r="G5174" t="n">
        <v>2.8</v>
      </c>
      <c r="H5174" t="n">
        <v>0</v>
      </c>
      <c r="I5174" t="n">
        <v>0</v>
      </c>
      <c r="J5174" t="n">
        <v>0</v>
      </c>
      <c r="K5174" t="n">
        <v>0</v>
      </c>
      <c r="L5174" t="n">
        <v>0</v>
      </c>
      <c r="M5174" t="n">
        <v>0</v>
      </c>
      <c r="N5174" t="n">
        <v>0</v>
      </c>
      <c r="O5174" t="n">
        <v>0</v>
      </c>
      <c r="P5174" t="n">
        <v>0</v>
      </c>
      <c r="Q5174" t="n">
        <v>0</v>
      </c>
      <c r="R5174" s="2" t="inlineStr"/>
    </row>
    <row r="5175" ht="15" customHeight="1">
      <c r="A5175" t="inlineStr">
        <is>
          <t>A 51381-2025</t>
        </is>
      </c>
      <c r="B5175" s="1" t="n">
        <v>45950.45982638889</v>
      </c>
      <c r="C5175" s="1" t="n">
        <v>46114</v>
      </c>
      <c r="D5175" t="inlineStr">
        <is>
          <t>DALARNAS LÄN</t>
        </is>
      </c>
      <c r="E5175" t="inlineStr">
        <is>
          <t>ÄLVDALEN</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51392-2025</t>
        </is>
      </c>
      <c r="B5176" s="1" t="n">
        <v>45950.46956018519</v>
      </c>
      <c r="C5176" s="1" t="n">
        <v>46114</v>
      </c>
      <c r="D5176" t="inlineStr">
        <is>
          <t>DALARNAS LÄN</t>
        </is>
      </c>
      <c r="E5176" t="inlineStr">
        <is>
          <t>ÄLVDALEN</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19033-2024</t>
        </is>
      </c>
      <c r="B5177" s="1" t="n">
        <v>45427.6833449074</v>
      </c>
      <c r="C5177" s="1" t="n">
        <v>46114</v>
      </c>
      <c r="D5177" t="inlineStr">
        <is>
          <t>DALARNAS LÄN</t>
        </is>
      </c>
      <c r="E5177" t="inlineStr">
        <is>
          <t>GAGNEF</t>
        </is>
      </c>
      <c r="G5177" t="n">
        <v>7.2</v>
      </c>
      <c r="H5177" t="n">
        <v>0</v>
      </c>
      <c r="I5177" t="n">
        <v>0</v>
      </c>
      <c r="J5177" t="n">
        <v>0</v>
      </c>
      <c r="K5177" t="n">
        <v>0</v>
      </c>
      <c r="L5177" t="n">
        <v>0</v>
      </c>
      <c r="M5177" t="n">
        <v>0</v>
      </c>
      <c r="N5177" t="n">
        <v>0</v>
      </c>
      <c r="O5177" t="n">
        <v>0</v>
      </c>
      <c r="P5177" t="n">
        <v>0</v>
      </c>
      <c r="Q5177" t="n">
        <v>0</v>
      </c>
      <c r="R5177" s="2" t="inlineStr"/>
    </row>
    <row r="5178" ht="15" customHeight="1">
      <c r="A5178" t="inlineStr">
        <is>
          <t>A 51251-2025</t>
        </is>
      </c>
      <c r="B5178" s="1" t="n">
        <v>45948.90693287037</v>
      </c>
      <c r="C5178" s="1" t="n">
        <v>46114</v>
      </c>
      <c r="D5178" t="inlineStr">
        <is>
          <t>DALARNAS LÄN</t>
        </is>
      </c>
      <c r="E5178" t="inlineStr">
        <is>
          <t>AVESTA</t>
        </is>
      </c>
      <c r="G5178" t="n">
        <v>2.7</v>
      </c>
      <c r="H5178" t="n">
        <v>0</v>
      </c>
      <c r="I5178" t="n">
        <v>0</v>
      </c>
      <c r="J5178" t="n">
        <v>0</v>
      </c>
      <c r="K5178" t="n">
        <v>0</v>
      </c>
      <c r="L5178" t="n">
        <v>0</v>
      </c>
      <c r="M5178" t="n">
        <v>0</v>
      </c>
      <c r="N5178" t="n">
        <v>0</v>
      </c>
      <c r="O5178" t="n">
        <v>0</v>
      </c>
      <c r="P5178" t="n">
        <v>0</v>
      </c>
      <c r="Q5178" t="n">
        <v>0</v>
      </c>
      <c r="R5178" s="2" t="inlineStr"/>
    </row>
    <row r="5179" ht="15" customHeight="1">
      <c r="A5179" t="inlineStr">
        <is>
          <t>A 51252-2025</t>
        </is>
      </c>
      <c r="B5179" s="1" t="n">
        <v>45948.91340277778</v>
      </c>
      <c r="C5179" s="1" t="n">
        <v>46114</v>
      </c>
      <c r="D5179" t="inlineStr">
        <is>
          <t>DALARNAS LÄN</t>
        </is>
      </c>
      <c r="E5179" t="inlineStr">
        <is>
          <t>AVESTA</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51283-2025</t>
        </is>
      </c>
      <c r="B5180" s="1" t="n">
        <v>45950.33710648148</v>
      </c>
      <c r="C5180" s="1" t="n">
        <v>46114</v>
      </c>
      <c r="D5180" t="inlineStr">
        <is>
          <t>DALARNAS LÄN</t>
        </is>
      </c>
      <c r="E5180" t="inlineStr">
        <is>
          <t>MALUNG-SÄLEN</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10777-2025</t>
        </is>
      </c>
      <c r="B5181" s="1" t="n">
        <v>45722.47743055555</v>
      </c>
      <c r="C5181" s="1" t="n">
        <v>46114</v>
      </c>
      <c r="D5181" t="inlineStr">
        <is>
          <t>DALARNAS LÄN</t>
        </is>
      </c>
      <c r="E5181" t="inlineStr">
        <is>
          <t>MORA</t>
        </is>
      </c>
      <c r="G5181" t="n">
        <v>9.9</v>
      </c>
      <c r="H5181" t="n">
        <v>0</v>
      </c>
      <c r="I5181" t="n">
        <v>0</v>
      </c>
      <c r="J5181" t="n">
        <v>0</v>
      </c>
      <c r="K5181" t="n">
        <v>0</v>
      </c>
      <c r="L5181" t="n">
        <v>0</v>
      </c>
      <c r="M5181" t="n">
        <v>0</v>
      </c>
      <c r="N5181" t="n">
        <v>0</v>
      </c>
      <c r="O5181" t="n">
        <v>0</v>
      </c>
      <c r="P5181" t="n">
        <v>0</v>
      </c>
      <c r="Q5181" t="n">
        <v>0</v>
      </c>
      <c r="R5181" s="2" t="inlineStr"/>
    </row>
    <row r="5182" ht="15" customHeight="1">
      <c r="A5182" t="inlineStr">
        <is>
          <t>A 746-2025</t>
        </is>
      </c>
      <c r="B5182" s="1" t="n">
        <v>45665.43957175926</v>
      </c>
      <c r="C5182" s="1" t="n">
        <v>46114</v>
      </c>
      <c r="D5182" t="inlineStr">
        <is>
          <t>DALARNAS LÄN</t>
        </is>
      </c>
      <c r="E5182" t="inlineStr">
        <is>
          <t>FALUN</t>
        </is>
      </c>
      <c r="G5182" t="n">
        <v>1</v>
      </c>
      <c r="H5182" t="n">
        <v>0</v>
      </c>
      <c r="I5182" t="n">
        <v>0</v>
      </c>
      <c r="J5182" t="n">
        <v>0</v>
      </c>
      <c r="K5182" t="n">
        <v>0</v>
      </c>
      <c r="L5182" t="n">
        <v>0</v>
      </c>
      <c r="M5182" t="n">
        <v>0</v>
      </c>
      <c r="N5182" t="n">
        <v>0</v>
      </c>
      <c r="O5182" t="n">
        <v>0</v>
      </c>
      <c r="P5182" t="n">
        <v>0</v>
      </c>
      <c r="Q5182" t="n">
        <v>0</v>
      </c>
      <c r="R5182" s="2" t="inlineStr"/>
    </row>
    <row r="5183" ht="15" customHeight="1">
      <c r="A5183" t="inlineStr">
        <is>
          <t>A 64171-2023</t>
        </is>
      </c>
      <c r="B5183" s="1" t="n">
        <v>45279</v>
      </c>
      <c r="C5183" s="1" t="n">
        <v>46114</v>
      </c>
      <c r="D5183" t="inlineStr">
        <is>
          <t>DALARNAS LÄN</t>
        </is>
      </c>
      <c r="E5183" t="inlineStr">
        <is>
          <t>LUDVIKA</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51771-2025</t>
        </is>
      </c>
      <c r="B5184" s="1" t="n">
        <v>45951.64653935185</v>
      </c>
      <c r="C5184" s="1" t="n">
        <v>46114</v>
      </c>
      <c r="D5184" t="inlineStr">
        <is>
          <t>DALARNAS LÄN</t>
        </is>
      </c>
      <c r="E5184" t="inlineStr">
        <is>
          <t>MORA</t>
        </is>
      </c>
      <c r="G5184" t="n">
        <v>0.7</v>
      </c>
      <c r="H5184" t="n">
        <v>0</v>
      </c>
      <c r="I5184" t="n">
        <v>0</v>
      </c>
      <c r="J5184" t="n">
        <v>0</v>
      </c>
      <c r="K5184" t="n">
        <v>0</v>
      </c>
      <c r="L5184" t="n">
        <v>0</v>
      </c>
      <c r="M5184" t="n">
        <v>0</v>
      </c>
      <c r="N5184" t="n">
        <v>0</v>
      </c>
      <c r="O5184" t="n">
        <v>0</v>
      </c>
      <c r="P5184" t="n">
        <v>0</v>
      </c>
      <c r="Q5184" t="n">
        <v>0</v>
      </c>
      <c r="R5184" s="2" t="inlineStr"/>
    </row>
    <row r="5185" ht="15" customHeight="1">
      <c r="A5185" t="inlineStr">
        <is>
          <t>A 60298-2023</t>
        </is>
      </c>
      <c r="B5185" s="1" t="n">
        <v>45257</v>
      </c>
      <c r="C5185" s="1" t="n">
        <v>46114</v>
      </c>
      <c r="D5185" t="inlineStr">
        <is>
          <t>DALARNAS LÄN</t>
        </is>
      </c>
      <c r="E5185" t="inlineStr">
        <is>
          <t>RÄTTVIK</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16608-2025</t>
        </is>
      </c>
      <c r="B5186" s="1" t="n">
        <v>45753.88591435185</v>
      </c>
      <c r="C5186" s="1" t="n">
        <v>46114</v>
      </c>
      <c r="D5186" t="inlineStr">
        <is>
          <t>DALARNAS LÄN</t>
        </is>
      </c>
      <c r="E5186" t="inlineStr">
        <is>
          <t>SMEDJEBACKEN</t>
        </is>
      </c>
      <c r="F5186" t="inlineStr">
        <is>
          <t>Övriga Aktiebolag</t>
        </is>
      </c>
      <c r="G5186" t="n">
        <v>8.4</v>
      </c>
      <c r="H5186" t="n">
        <v>0</v>
      </c>
      <c r="I5186" t="n">
        <v>0</v>
      </c>
      <c r="J5186" t="n">
        <v>0</v>
      </c>
      <c r="K5186" t="n">
        <v>0</v>
      </c>
      <c r="L5186" t="n">
        <v>0</v>
      </c>
      <c r="M5186" t="n">
        <v>0</v>
      </c>
      <c r="N5186" t="n">
        <v>0</v>
      </c>
      <c r="O5186" t="n">
        <v>0</v>
      </c>
      <c r="P5186" t="n">
        <v>0</v>
      </c>
      <c r="Q5186" t="n">
        <v>0</v>
      </c>
      <c r="R5186" s="2" t="inlineStr"/>
    </row>
    <row r="5187" ht="15" customHeight="1">
      <c r="A5187" t="inlineStr">
        <is>
          <t>A 51695-2025</t>
        </is>
      </c>
      <c r="B5187" s="1" t="n">
        <v>45951.54824074074</v>
      </c>
      <c r="C5187" s="1" t="n">
        <v>46114</v>
      </c>
      <c r="D5187" t="inlineStr">
        <is>
          <t>DALARNAS LÄN</t>
        </is>
      </c>
      <c r="E5187" t="inlineStr">
        <is>
          <t>HEDEMORA</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51306-2025</t>
        </is>
      </c>
      <c r="B5188" s="1" t="n">
        <v>45950.3656712963</v>
      </c>
      <c r="C5188" s="1" t="n">
        <v>46114</v>
      </c>
      <c r="D5188" t="inlineStr">
        <is>
          <t>DALARNAS LÄN</t>
        </is>
      </c>
      <c r="E5188" t="inlineStr">
        <is>
          <t>FALUN</t>
        </is>
      </c>
      <c r="G5188" t="n">
        <v>6.7</v>
      </c>
      <c r="H5188" t="n">
        <v>0</v>
      </c>
      <c r="I5188" t="n">
        <v>0</v>
      </c>
      <c r="J5188" t="n">
        <v>0</v>
      </c>
      <c r="K5188" t="n">
        <v>0</v>
      </c>
      <c r="L5188" t="n">
        <v>0</v>
      </c>
      <c r="M5188" t="n">
        <v>0</v>
      </c>
      <c r="N5188" t="n">
        <v>0</v>
      </c>
      <c r="O5188" t="n">
        <v>0</v>
      </c>
      <c r="P5188" t="n">
        <v>0</v>
      </c>
      <c r="Q5188" t="n">
        <v>0</v>
      </c>
      <c r="R5188" s="2" t="inlineStr"/>
    </row>
    <row r="5189" ht="15" customHeight="1">
      <c r="A5189" t="inlineStr">
        <is>
          <t>A 51728-2025</t>
        </is>
      </c>
      <c r="B5189" s="1" t="n">
        <v>45951</v>
      </c>
      <c r="C5189" s="1" t="n">
        <v>46114</v>
      </c>
      <c r="D5189" t="inlineStr">
        <is>
          <t>DALARNAS LÄN</t>
        </is>
      </c>
      <c r="E5189" t="inlineStr">
        <is>
          <t>LEKSAND</t>
        </is>
      </c>
      <c r="F5189" t="inlineStr">
        <is>
          <t>Bergvik skog väst AB</t>
        </is>
      </c>
      <c r="G5189" t="n">
        <v>14.2</v>
      </c>
      <c r="H5189" t="n">
        <v>0</v>
      </c>
      <c r="I5189" t="n">
        <v>0</v>
      </c>
      <c r="J5189" t="n">
        <v>0</v>
      </c>
      <c r="K5189" t="n">
        <v>0</v>
      </c>
      <c r="L5189" t="n">
        <v>0</v>
      </c>
      <c r="M5189" t="n">
        <v>0</v>
      </c>
      <c r="N5189" t="n">
        <v>0</v>
      </c>
      <c r="O5189" t="n">
        <v>0</v>
      </c>
      <c r="P5189" t="n">
        <v>0</v>
      </c>
      <c r="Q5189" t="n">
        <v>0</v>
      </c>
      <c r="R5189" s="2" t="inlineStr"/>
    </row>
    <row r="5190" ht="15" customHeight="1">
      <c r="A5190" t="inlineStr">
        <is>
          <t>A 21859-2022</t>
        </is>
      </c>
      <c r="B5190" s="1" t="n">
        <v>44711.36557870371</v>
      </c>
      <c r="C5190" s="1" t="n">
        <v>46114</v>
      </c>
      <c r="D5190" t="inlineStr">
        <is>
          <t>DALARNAS LÄN</t>
        </is>
      </c>
      <c r="E5190" t="inlineStr">
        <is>
          <t>SÄTER</t>
        </is>
      </c>
      <c r="F5190" t="inlineStr">
        <is>
          <t>Bergvik skog väst AB</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57629-2022</t>
        </is>
      </c>
      <c r="B5191" s="1" t="n">
        <v>44897</v>
      </c>
      <c r="C5191" s="1" t="n">
        <v>46114</v>
      </c>
      <c r="D5191" t="inlineStr">
        <is>
          <t>DALARNAS LÄN</t>
        </is>
      </c>
      <c r="E5191" t="inlineStr">
        <is>
          <t>SMEDJEBACKEN</t>
        </is>
      </c>
      <c r="F5191" t="inlineStr">
        <is>
          <t>Kyrkan</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51671-2025</t>
        </is>
      </c>
      <c r="B5192" s="1" t="n">
        <v>45951.49759259259</v>
      </c>
      <c r="C5192" s="1" t="n">
        <v>46114</v>
      </c>
      <c r="D5192" t="inlineStr">
        <is>
          <t>DALARNAS LÄN</t>
        </is>
      </c>
      <c r="E5192" t="inlineStr">
        <is>
          <t>AVESTA</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51334-2025</t>
        </is>
      </c>
      <c r="B5193" s="1" t="n">
        <v>45950.42378472222</v>
      </c>
      <c r="C5193" s="1" t="n">
        <v>46114</v>
      </c>
      <c r="D5193" t="inlineStr">
        <is>
          <t>DALARNAS LÄN</t>
        </is>
      </c>
      <c r="E5193" t="inlineStr">
        <is>
          <t>ORSA</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11092-2023</t>
        </is>
      </c>
      <c r="B5194" s="1" t="n">
        <v>44992</v>
      </c>
      <c r="C5194" s="1" t="n">
        <v>46114</v>
      </c>
      <c r="D5194" t="inlineStr">
        <is>
          <t>DALARNAS LÄN</t>
        </is>
      </c>
      <c r="E5194" t="inlineStr">
        <is>
          <t>LEKSAND</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18233-2023</t>
        </is>
      </c>
      <c r="B5195" s="1" t="n">
        <v>45041.45144675926</v>
      </c>
      <c r="C5195" s="1" t="n">
        <v>46114</v>
      </c>
      <c r="D5195" t="inlineStr">
        <is>
          <t>DALARNAS LÄN</t>
        </is>
      </c>
      <c r="E5195" t="inlineStr">
        <is>
          <t>MALUNG-SÄLEN</t>
        </is>
      </c>
      <c r="F5195" t="inlineStr">
        <is>
          <t>Bergvik skog öst AB</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28134-2023</t>
        </is>
      </c>
      <c r="B5196" s="1" t="n">
        <v>45099.48079861111</v>
      </c>
      <c r="C5196" s="1" t="n">
        <v>46114</v>
      </c>
      <c r="D5196" t="inlineStr">
        <is>
          <t>DALARNAS LÄN</t>
        </is>
      </c>
      <c r="E5196" t="inlineStr">
        <is>
          <t>LUDVIKA</t>
        </is>
      </c>
      <c r="F5196" t="inlineStr">
        <is>
          <t>Bergvik skog väst AB</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28578-2023</t>
        </is>
      </c>
      <c r="B5197" s="1" t="n">
        <v>45103</v>
      </c>
      <c r="C5197" s="1" t="n">
        <v>46114</v>
      </c>
      <c r="D5197" t="inlineStr">
        <is>
          <t>DALARNAS LÄN</t>
        </is>
      </c>
      <c r="E5197" t="inlineStr">
        <is>
          <t>LEKSAND</t>
        </is>
      </c>
      <c r="G5197" t="n">
        <v>4.4</v>
      </c>
      <c r="H5197" t="n">
        <v>0</v>
      </c>
      <c r="I5197" t="n">
        <v>0</v>
      </c>
      <c r="J5197" t="n">
        <v>0</v>
      </c>
      <c r="K5197" t="n">
        <v>0</v>
      </c>
      <c r="L5197" t="n">
        <v>0</v>
      </c>
      <c r="M5197" t="n">
        <v>0</v>
      </c>
      <c r="N5197" t="n">
        <v>0</v>
      </c>
      <c r="O5197" t="n">
        <v>0</v>
      </c>
      <c r="P5197" t="n">
        <v>0</v>
      </c>
      <c r="Q5197" t="n">
        <v>0</v>
      </c>
      <c r="R5197" s="2" t="inlineStr"/>
    </row>
    <row r="5198" ht="15" customHeight="1">
      <c r="A5198" t="inlineStr">
        <is>
          <t>A 20666-2024</t>
        </is>
      </c>
      <c r="B5198" s="1" t="n">
        <v>45436</v>
      </c>
      <c r="C5198" s="1" t="n">
        <v>46114</v>
      </c>
      <c r="D5198" t="inlineStr">
        <is>
          <t>DALARNAS LÄN</t>
        </is>
      </c>
      <c r="E5198" t="inlineStr">
        <is>
          <t>HEDEMORA</t>
        </is>
      </c>
      <c r="G5198" t="n">
        <v>5.1</v>
      </c>
      <c r="H5198" t="n">
        <v>0</v>
      </c>
      <c r="I5198" t="n">
        <v>0</v>
      </c>
      <c r="J5198" t="n">
        <v>0</v>
      </c>
      <c r="K5198" t="n">
        <v>0</v>
      </c>
      <c r="L5198" t="n">
        <v>0</v>
      </c>
      <c r="M5198" t="n">
        <v>0</v>
      </c>
      <c r="N5198" t="n">
        <v>0</v>
      </c>
      <c r="O5198" t="n">
        <v>0</v>
      </c>
      <c r="P5198" t="n">
        <v>0</v>
      </c>
      <c r="Q5198" t="n">
        <v>0</v>
      </c>
      <c r="R5198" s="2" t="inlineStr"/>
    </row>
    <row r="5199" ht="15" customHeight="1">
      <c r="A5199" t="inlineStr">
        <is>
          <t>A 42548-2023</t>
        </is>
      </c>
      <c r="B5199" s="1" t="n">
        <v>45181.37539351852</v>
      </c>
      <c r="C5199" s="1" t="n">
        <v>46114</v>
      </c>
      <c r="D5199" t="inlineStr">
        <is>
          <t>DALARNAS LÄN</t>
        </is>
      </c>
      <c r="E5199" t="inlineStr">
        <is>
          <t>MALUNG-SÄLEN</t>
        </is>
      </c>
      <c r="F5199" t="inlineStr">
        <is>
          <t>Bergvik skog öst AB</t>
        </is>
      </c>
      <c r="G5199" t="n">
        <v>7.8</v>
      </c>
      <c r="H5199" t="n">
        <v>0</v>
      </c>
      <c r="I5199" t="n">
        <v>0</v>
      </c>
      <c r="J5199" t="n">
        <v>0</v>
      </c>
      <c r="K5199" t="n">
        <v>0</v>
      </c>
      <c r="L5199" t="n">
        <v>0</v>
      </c>
      <c r="M5199" t="n">
        <v>0</v>
      </c>
      <c r="N5199" t="n">
        <v>0</v>
      </c>
      <c r="O5199" t="n">
        <v>0</v>
      </c>
      <c r="P5199" t="n">
        <v>0</v>
      </c>
      <c r="Q5199" t="n">
        <v>0</v>
      </c>
      <c r="R5199" s="2" t="inlineStr"/>
    </row>
    <row r="5200" ht="15" customHeight="1">
      <c r="A5200" t="inlineStr">
        <is>
          <t>A 51600-2025</t>
        </is>
      </c>
      <c r="B5200" s="1" t="n">
        <v>45951.37347222222</v>
      </c>
      <c r="C5200" s="1" t="n">
        <v>46114</v>
      </c>
      <c r="D5200" t="inlineStr">
        <is>
          <t>DALARNAS LÄN</t>
        </is>
      </c>
      <c r="E5200" t="inlineStr">
        <is>
          <t>MALUNG-SÄLEN</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8556-2023</t>
        </is>
      </c>
      <c r="B5201" s="1" t="n">
        <v>44977</v>
      </c>
      <c r="C5201" s="1" t="n">
        <v>46114</v>
      </c>
      <c r="D5201" t="inlineStr">
        <is>
          <t>DALARNAS LÄN</t>
        </is>
      </c>
      <c r="E5201" t="inlineStr">
        <is>
          <t>BORLÄNGE</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43516-2023</t>
        </is>
      </c>
      <c r="B5202" s="1" t="n">
        <v>45184</v>
      </c>
      <c r="C5202" s="1" t="n">
        <v>46114</v>
      </c>
      <c r="D5202" t="inlineStr">
        <is>
          <t>DALARNAS LÄN</t>
        </is>
      </c>
      <c r="E5202" t="inlineStr">
        <is>
          <t>BORLÄNGE</t>
        </is>
      </c>
      <c r="G5202" t="n">
        <v>1.8</v>
      </c>
      <c r="H5202" t="n">
        <v>0</v>
      </c>
      <c r="I5202" t="n">
        <v>0</v>
      </c>
      <c r="J5202" t="n">
        <v>0</v>
      </c>
      <c r="K5202" t="n">
        <v>0</v>
      </c>
      <c r="L5202" t="n">
        <v>0</v>
      </c>
      <c r="M5202" t="n">
        <v>0</v>
      </c>
      <c r="N5202" t="n">
        <v>0</v>
      </c>
      <c r="O5202" t="n">
        <v>0</v>
      </c>
      <c r="P5202" t="n">
        <v>0</v>
      </c>
      <c r="Q5202" t="n">
        <v>0</v>
      </c>
      <c r="R5202" s="2" t="inlineStr"/>
    </row>
    <row r="5203" ht="15" customHeight="1">
      <c r="A5203" t="inlineStr">
        <is>
          <t>A 51340-2025</t>
        </is>
      </c>
      <c r="B5203" s="1" t="n">
        <v>45950.42725694444</v>
      </c>
      <c r="C5203" s="1" t="n">
        <v>46114</v>
      </c>
      <c r="D5203" t="inlineStr">
        <is>
          <t>DALARNAS LÄN</t>
        </is>
      </c>
      <c r="E5203" t="inlineStr">
        <is>
          <t>ORSA</t>
        </is>
      </c>
      <c r="F5203" t="inlineStr">
        <is>
          <t>Allmännings- och besparingsskogar</t>
        </is>
      </c>
      <c r="G5203" t="n">
        <v>14.1</v>
      </c>
      <c r="H5203" t="n">
        <v>0</v>
      </c>
      <c r="I5203" t="n">
        <v>0</v>
      </c>
      <c r="J5203" t="n">
        <v>0</v>
      </c>
      <c r="K5203" t="n">
        <v>0</v>
      </c>
      <c r="L5203" t="n">
        <v>0</v>
      </c>
      <c r="M5203" t="n">
        <v>0</v>
      </c>
      <c r="N5203" t="n">
        <v>0</v>
      </c>
      <c r="O5203" t="n">
        <v>0</v>
      </c>
      <c r="P5203" t="n">
        <v>0</v>
      </c>
      <c r="Q5203" t="n">
        <v>0</v>
      </c>
      <c r="R5203" s="2" t="inlineStr"/>
    </row>
    <row r="5204" ht="15" customHeight="1">
      <c r="A5204" t="inlineStr">
        <is>
          <t>A 16836-2025</t>
        </is>
      </c>
      <c r="B5204" s="1" t="n">
        <v>45754.66570601852</v>
      </c>
      <c r="C5204" s="1" t="n">
        <v>46114</v>
      </c>
      <c r="D5204" t="inlineStr">
        <is>
          <t>DALARNAS LÄN</t>
        </is>
      </c>
      <c r="E5204" t="inlineStr">
        <is>
          <t>VANSBRO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51716-2024</t>
        </is>
      </c>
      <c r="B5205" s="1" t="n">
        <v>45607.37652777778</v>
      </c>
      <c r="C5205" s="1" t="n">
        <v>46114</v>
      </c>
      <c r="D5205" t="inlineStr">
        <is>
          <t>DALARNAS LÄN</t>
        </is>
      </c>
      <c r="E5205" t="inlineStr">
        <is>
          <t>BORLÄNGE</t>
        </is>
      </c>
      <c r="G5205" t="n">
        <v>3.4</v>
      </c>
      <c r="H5205" t="n">
        <v>0</v>
      </c>
      <c r="I5205" t="n">
        <v>0</v>
      </c>
      <c r="J5205" t="n">
        <v>0</v>
      </c>
      <c r="K5205" t="n">
        <v>0</v>
      </c>
      <c r="L5205" t="n">
        <v>0</v>
      </c>
      <c r="M5205" t="n">
        <v>0</v>
      </c>
      <c r="N5205" t="n">
        <v>0</v>
      </c>
      <c r="O5205" t="n">
        <v>0</v>
      </c>
      <c r="P5205" t="n">
        <v>0</v>
      </c>
      <c r="Q5205" t="n">
        <v>0</v>
      </c>
      <c r="R5205" s="2" t="inlineStr"/>
    </row>
    <row r="5206" ht="15" customHeight="1">
      <c r="A5206" t="inlineStr">
        <is>
          <t>A 32848-2024</t>
        </is>
      </c>
      <c r="B5206" s="1" t="n">
        <v>45516.63170138889</v>
      </c>
      <c r="C5206" s="1" t="n">
        <v>46114</v>
      </c>
      <c r="D5206" t="inlineStr">
        <is>
          <t>DALARNAS LÄN</t>
        </is>
      </c>
      <c r="E5206" t="inlineStr">
        <is>
          <t>GAGNEF</t>
        </is>
      </c>
      <c r="F5206" t="inlineStr">
        <is>
          <t>Bergvik skog väst AB</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51458-2025</t>
        </is>
      </c>
      <c r="B5207" s="1" t="n">
        <v>45950.59743055556</v>
      </c>
      <c r="C5207" s="1" t="n">
        <v>46114</v>
      </c>
      <c r="D5207" t="inlineStr">
        <is>
          <t>DALARNAS LÄN</t>
        </is>
      </c>
      <c r="E5207" t="inlineStr">
        <is>
          <t>BORLÄNGE</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13510-2023</t>
        </is>
      </c>
      <c r="B5208" s="1" t="n">
        <v>45006.30673611111</v>
      </c>
      <c r="C5208" s="1" t="n">
        <v>46114</v>
      </c>
      <c r="D5208" t="inlineStr">
        <is>
          <t>DALARNAS LÄN</t>
        </is>
      </c>
      <c r="E5208" t="inlineStr">
        <is>
          <t>SÄTER</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19371-2024</t>
        </is>
      </c>
      <c r="B5209" s="1" t="n">
        <v>45429.34969907408</v>
      </c>
      <c r="C5209" s="1" t="n">
        <v>46114</v>
      </c>
      <c r="D5209" t="inlineStr">
        <is>
          <t>DALARNAS LÄN</t>
        </is>
      </c>
      <c r="E5209" t="inlineStr">
        <is>
          <t>LEKSAND</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51461-2025</t>
        </is>
      </c>
      <c r="B5210" s="1" t="n">
        <v>45950.6047337963</v>
      </c>
      <c r="C5210" s="1" t="n">
        <v>46114</v>
      </c>
      <c r="D5210" t="inlineStr">
        <is>
          <t>DALARNAS LÄN</t>
        </is>
      </c>
      <c r="E5210" t="inlineStr">
        <is>
          <t>ÄLVDALEN</t>
        </is>
      </c>
      <c r="F5210" t="inlineStr">
        <is>
          <t>Allmännings- och besparingsskogar</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2554-2025</t>
        </is>
      </c>
      <c r="B5211" s="1" t="n">
        <v>45674.64569444444</v>
      </c>
      <c r="C5211" s="1" t="n">
        <v>46114</v>
      </c>
      <c r="D5211" t="inlineStr">
        <is>
          <t>DALARNAS LÄN</t>
        </is>
      </c>
      <c r="E5211" t="inlineStr">
        <is>
          <t>FALUN</t>
        </is>
      </c>
      <c r="G5211" t="n">
        <v>1.8</v>
      </c>
      <c r="H5211" t="n">
        <v>0</v>
      </c>
      <c r="I5211" t="n">
        <v>0</v>
      </c>
      <c r="J5211" t="n">
        <v>0</v>
      </c>
      <c r="K5211" t="n">
        <v>0</v>
      </c>
      <c r="L5211" t="n">
        <v>0</v>
      </c>
      <c r="M5211" t="n">
        <v>0</v>
      </c>
      <c r="N5211" t="n">
        <v>0</v>
      </c>
      <c r="O5211" t="n">
        <v>0</v>
      </c>
      <c r="P5211" t="n">
        <v>0</v>
      </c>
      <c r="Q5211" t="n">
        <v>0</v>
      </c>
      <c r="R5211" s="2" t="inlineStr"/>
    </row>
    <row r="5212" ht="15" customHeight="1">
      <c r="A5212" t="inlineStr">
        <is>
          <t>A 36459-2024</t>
        </is>
      </c>
      <c r="B5212" s="1" t="n">
        <v>45537.34924768518</v>
      </c>
      <c r="C5212" s="1" t="n">
        <v>46114</v>
      </c>
      <c r="D5212" t="inlineStr">
        <is>
          <t>DALARNAS LÄN</t>
        </is>
      </c>
      <c r="E5212" t="inlineStr">
        <is>
          <t>RÄTTVIK</t>
        </is>
      </c>
      <c r="G5212" t="n">
        <v>6</v>
      </c>
      <c r="H5212" t="n">
        <v>0</v>
      </c>
      <c r="I5212" t="n">
        <v>0</v>
      </c>
      <c r="J5212" t="n">
        <v>0</v>
      </c>
      <c r="K5212" t="n">
        <v>0</v>
      </c>
      <c r="L5212" t="n">
        <v>0</v>
      </c>
      <c r="M5212" t="n">
        <v>0</v>
      </c>
      <c r="N5212" t="n">
        <v>0</v>
      </c>
      <c r="O5212" t="n">
        <v>0</v>
      </c>
      <c r="P5212" t="n">
        <v>0</v>
      </c>
      <c r="Q5212" t="n">
        <v>0</v>
      </c>
      <c r="R5212" s="2" t="inlineStr"/>
    </row>
    <row r="5213" ht="15" customHeight="1">
      <c r="A5213" t="inlineStr">
        <is>
          <t>A 51474-2025</t>
        </is>
      </c>
      <c r="B5213" s="1" t="n">
        <v>45950.61881944445</v>
      </c>
      <c r="C5213" s="1" t="n">
        <v>46114</v>
      </c>
      <c r="D5213" t="inlineStr">
        <is>
          <t>DALARNAS LÄN</t>
        </is>
      </c>
      <c r="E5213" t="inlineStr">
        <is>
          <t>BORLÄNGE</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54243-2024</t>
        </is>
      </c>
      <c r="B5214" s="1" t="n">
        <v>45616.67972222222</v>
      </c>
      <c r="C5214" s="1" t="n">
        <v>46114</v>
      </c>
      <c r="D5214" t="inlineStr">
        <is>
          <t>DALARNAS LÄN</t>
        </is>
      </c>
      <c r="E5214" t="inlineStr">
        <is>
          <t>RÄTTVIK</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54911-2024</t>
        </is>
      </c>
      <c r="B5215" s="1" t="n">
        <v>45618.68929398148</v>
      </c>
      <c r="C5215" s="1" t="n">
        <v>46114</v>
      </c>
      <c r="D5215" t="inlineStr">
        <is>
          <t>DALARNAS LÄN</t>
        </is>
      </c>
      <c r="E5215" t="inlineStr">
        <is>
          <t>LEKSAND</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48954-2023</t>
        </is>
      </c>
      <c r="B5216" s="1" t="n">
        <v>45209.58488425926</v>
      </c>
      <c r="C5216" s="1" t="n">
        <v>46114</v>
      </c>
      <c r="D5216" t="inlineStr">
        <is>
          <t>DALARNAS LÄN</t>
        </is>
      </c>
      <c r="E5216" t="inlineStr">
        <is>
          <t>ÄLVDALEN</t>
        </is>
      </c>
      <c r="G5216" t="n">
        <v>7</v>
      </c>
      <c r="H5216" t="n">
        <v>0</v>
      </c>
      <c r="I5216" t="n">
        <v>0</v>
      </c>
      <c r="J5216" t="n">
        <v>0</v>
      </c>
      <c r="K5216" t="n">
        <v>0</v>
      </c>
      <c r="L5216" t="n">
        <v>0</v>
      </c>
      <c r="M5216" t="n">
        <v>0</v>
      </c>
      <c r="N5216" t="n">
        <v>0</v>
      </c>
      <c r="O5216" t="n">
        <v>0</v>
      </c>
      <c r="P5216" t="n">
        <v>0</v>
      </c>
      <c r="Q5216" t="n">
        <v>0</v>
      </c>
      <c r="R5216" s="2" t="inlineStr"/>
    </row>
    <row r="5217" ht="15" customHeight="1">
      <c r="A5217" t="inlineStr">
        <is>
          <t>A 51399-2025</t>
        </is>
      </c>
      <c r="B5217" s="1" t="n">
        <v>45950.47741898148</v>
      </c>
      <c r="C5217" s="1" t="n">
        <v>46114</v>
      </c>
      <c r="D5217" t="inlineStr">
        <is>
          <t>DALARNAS LÄN</t>
        </is>
      </c>
      <c r="E5217" t="inlineStr">
        <is>
          <t>ÄLVDALEN</t>
        </is>
      </c>
      <c r="G5217" t="n">
        <v>5.9</v>
      </c>
      <c r="H5217" t="n">
        <v>0</v>
      </c>
      <c r="I5217" t="n">
        <v>0</v>
      </c>
      <c r="J5217" t="n">
        <v>0</v>
      </c>
      <c r="K5217" t="n">
        <v>0</v>
      </c>
      <c r="L5217" t="n">
        <v>0</v>
      </c>
      <c r="M5217" t="n">
        <v>0</v>
      </c>
      <c r="N5217" t="n">
        <v>0</v>
      </c>
      <c r="O5217" t="n">
        <v>0</v>
      </c>
      <c r="P5217" t="n">
        <v>0</v>
      </c>
      <c r="Q5217" t="n">
        <v>0</v>
      </c>
      <c r="R5217" s="2" t="inlineStr"/>
    </row>
    <row r="5218" ht="15" customHeight="1">
      <c r="A5218" t="inlineStr">
        <is>
          <t>A 42225-2022</t>
        </is>
      </c>
      <c r="B5218" s="1" t="n">
        <v>44830</v>
      </c>
      <c r="C5218" s="1" t="n">
        <v>46114</v>
      </c>
      <c r="D5218" t="inlineStr">
        <is>
          <t>DALARNAS LÄN</t>
        </is>
      </c>
      <c r="E5218" t="inlineStr">
        <is>
          <t>SÄTER</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51568-2025</t>
        </is>
      </c>
      <c r="B5219" s="1" t="n">
        <v>45951.32380787037</v>
      </c>
      <c r="C5219" s="1" t="n">
        <v>46114</v>
      </c>
      <c r="D5219" t="inlineStr">
        <is>
          <t>DALARNAS LÄN</t>
        </is>
      </c>
      <c r="E5219" t="inlineStr">
        <is>
          <t>FALUN</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51598-2025</t>
        </is>
      </c>
      <c r="B5220" s="1" t="n">
        <v>45951.37177083334</v>
      </c>
      <c r="C5220" s="1" t="n">
        <v>46114</v>
      </c>
      <c r="D5220" t="inlineStr">
        <is>
          <t>DALARNAS LÄN</t>
        </is>
      </c>
      <c r="E5220" t="inlineStr">
        <is>
          <t>MALUNG-SÄLEN</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51414-2025</t>
        </is>
      </c>
      <c r="B5221" s="1" t="n">
        <v>45950.50633101852</v>
      </c>
      <c r="C5221" s="1" t="n">
        <v>46114</v>
      </c>
      <c r="D5221" t="inlineStr">
        <is>
          <t>DALARNAS LÄN</t>
        </is>
      </c>
      <c r="E5221" t="inlineStr">
        <is>
          <t>VANSBRO</t>
        </is>
      </c>
      <c r="F5221" t="inlineStr">
        <is>
          <t>Bergvik skog väst AB</t>
        </is>
      </c>
      <c r="G5221" t="n">
        <v>5.9</v>
      </c>
      <c r="H5221" t="n">
        <v>0</v>
      </c>
      <c r="I5221" t="n">
        <v>0</v>
      </c>
      <c r="J5221" t="n">
        <v>0</v>
      </c>
      <c r="K5221" t="n">
        <v>0</v>
      </c>
      <c r="L5221" t="n">
        <v>0</v>
      </c>
      <c r="M5221" t="n">
        <v>0</v>
      </c>
      <c r="N5221" t="n">
        <v>0</v>
      </c>
      <c r="O5221" t="n">
        <v>0</v>
      </c>
      <c r="P5221" t="n">
        <v>0</v>
      </c>
      <c r="Q5221" t="n">
        <v>0</v>
      </c>
      <c r="R5221" s="2" t="inlineStr"/>
    </row>
    <row r="5222" ht="15" customHeight="1">
      <c r="A5222" t="inlineStr">
        <is>
          <t>A 40193-2024</t>
        </is>
      </c>
      <c r="B5222" s="1" t="n">
        <v>45554.5734375</v>
      </c>
      <c r="C5222" s="1" t="n">
        <v>46114</v>
      </c>
      <c r="D5222" t="inlineStr">
        <is>
          <t>DALARNAS LÄN</t>
        </is>
      </c>
      <c r="E5222" t="inlineStr">
        <is>
          <t>LEKSAND</t>
        </is>
      </c>
      <c r="F5222" t="inlineStr">
        <is>
          <t>Övriga statliga verk och myndigheter</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42292-2023</t>
        </is>
      </c>
      <c r="B5223" s="1" t="n">
        <v>45180</v>
      </c>
      <c r="C5223" s="1" t="n">
        <v>46114</v>
      </c>
      <c r="D5223" t="inlineStr">
        <is>
          <t>DALARNAS LÄN</t>
        </is>
      </c>
      <c r="E5223" t="inlineStr">
        <is>
          <t>FALUN</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43236-2024</t>
        </is>
      </c>
      <c r="B5224" s="1" t="n">
        <v>45567.93851851852</v>
      </c>
      <c r="C5224" s="1" t="n">
        <v>46114</v>
      </c>
      <c r="D5224" t="inlineStr">
        <is>
          <t>DALARNAS LÄN</t>
        </is>
      </c>
      <c r="E5224" t="inlineStr">
        <is>
          <t>FALUN</t>
        </is>
      </c>
      <c r="G5224" t="n">
        <v>3</v>
      </c>
      <c r="H5224" t="n">
        <v>0</v>
      </c>
      <c r="I5224" t="n">
        <v>0</v>
      </c>
      <c r="J5224" t="n">
        <v>0</v>
      </c>
      <c r="K5224" t="n">
        <v>0</v>
      </c>
      <c r="L5224" t="n">
        <v>0</v>
      </c>
      <c r="M5224" t="n">
        <v>0</v>
      </c>
      <c r="N5224" t="n">
        <v>0</v>
      </c>
      <c r="O5224" t="n">
        <v>0</v>
      </c>
      <c r="P5224" t="n">
        <v>0</v>
      </c>
      <c r="Q5224" t="n">
        <v>0</v>
      </c>
      <c r="R5224" s="2" t="inlineStr"/>
    </row>
    <row r="5225" ht="15" customHeight="1">
      <c r="A5225" t="inlineStr">
        <is>
          <t>A 43240-2024</t>
        </is>
      </c>
      <c r="B5225" s="1" t="n">
        <v>45568.00373842593</v>
      </c>
      <c r="C5225" s="1" t="n">
        <v>46114</v>
      </c>
      <c r="D5225" t="inlineStr">
        <is>
          <t>DALARNAS LÄN</t>
        </is>
      </c>
      <c r="E5225" t="inlineStr">
        <is>
          <t>LUDVIKA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51443-2025</t>
        </is>
      </c>
      <c r="B5226" s="1" t="n">
        <v>45950</v>
      </c>
      <c r="C5226" s="1" t="n">
        <v>46114</v>
      </c>
      <c r="D5226" t="inlineStr">
        <is>
          <t>DALARNAS LÄN</t>
        </is>
      </c>
      <c r="E5226" t="inlineStr">
        <is>
          <t>SMEDJEBACKEN</t>
        </is>
      </c>
      <c r="F5226" t="inlineStr">
        <is>
          <t>Bergvik skog väst AB</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40953-2023</t>
        </is>
      </c>
      <c r="B5227" s="1" t="n">
        <v>45173</v>
      </c>
      <c r="C5227" s="1" t="n">
        <v>46114</v>
      </c>
      <c r="D5227" t="inlineStr">
        <is>
          <t>DALARNAS LÄN</t>
        </is>
      </c>
      <c r="E5227" t="inlineStr">
        <is>
          <t>FALUN</t>
        </is>
      </c>
      <c r="G5227" t="n">
        <v>4</v>
      </c>
      <c r="H5227" t="n">
        <v>0</v>
      </c>
      <c r="I5227" t="n">
        <v>0</v>
      </c>
      <c r="J5227" t="n">
        <v>0</v>
      </c>
      <c r="K5227" t="n">
        <v>0</v>
      </c>
      <c r="L5227" t="n">
        <v>0</v>
      </c>
      <c r="M5227" t="n">
        <v>0</v>
      </c>
      <c r="N5227" t="n">
        <v>0</v>
      </c>
      <c r="O5227" t="n">
        <v>0</v>
      </c>
      <c r="P5227" t="n">
        <v>0</v>
      </c>
      <c r="Q5227" t="n">
        <v>0</v>
      </c>
      <c r="R5227" s="2" t="inlineStr"/>
    </row>
    <row r="5228" ht="15" customHeight="1">
      <c r="A5228" t="inlineStr">
        <is>
          <t>A 51456-2025</t>
        </is>
      </c>
      <c r="B5228" s="1" t="n">
        <v>45950</v>
      </c>
      <c r="C5228" s="1" t="n">
        <v>46114</v>
      </c>
      <c r="D5228" t="inlineStr">
        <is>
          <t>DALARNAS LÄN</t>
        </is>
      </c>
      <c r="E5228" t="inlineStr">
        <is>
          <t>SMEDJEBACKEN</t>
        </is>
      </c>
      <c r="F5228" t="inlineStr">
        <is>
          <t>Bergvik skog väst AB</t>
        </is>
      </c>
      <c r="G5228" t="n">
        <v>6.1</v>
      </c>
      <c r="H5228" t="n">
        <v>0</v>
      </c>
      <c r="I5228" t="n">
        <v>0</v>
      </c>
      <c r="J5228" t="n">
        <v>0</v>
      </c>
      <c r="K5228" t="n">
        <v>0</v>
      </c>
      <c r="L5228" t="n">
        <v>0</v>
      </c>
      <c r="M5228" t="n">
        <v>0</v>
      </c>
      <c r="N5228" t="n">
        <v>0</v>
      </c>
      <c r="O5228" t="n">
        <v>0</v>
      </c>
      <c r="P5228" t="n">
        <v>0</v>
      </c>
      <c r="Q5228" t="n">
        <v>0</v>
      </c>
      <c r="R5228" s="2" t="inlineStr"/>
    </row>
    <row r="5229" ht="15" customHeight="1">
      <c r="A5229" t="inlineStr">
        <is>
          <t>A 19842-2025</t>
        </is>
      </c>
      <c r="B5229" s="1" t="n">
        <v>45771.47938657407</v>
      </c>
      <c r="C5229" s="1" t="n">
        <v>46114</v>
      </c>
      <c r="D5229" t="inlineStr">
        <is>
          <t>DALARNAS LÄN</t>
        </is>
      </c>
      <c r="E5229" t="inlineStr">
        <is>
          <t>MORA</t>
        </is>
      </c>
      <c r="G5229" t="n">
        <v>1.9</v>
      </c>
      <c r="H5229" t="n">
        <v>0</v>
      </c>
      <c r="I5229" t="n">
        <v>0</v>
      </c>
      <c r="J5229" t="n">
        <v>0</v>
      </c>
      <c r="K5229" t="n">
        <v>0</v>
      </c>
      <c r="L5229" t="n">
        <v>0</v>
      </c>
      <c r="M5229" t="n">
        <v>0</v>
      </c>
      <c r="N5229" t="n">
        <v>0</v>
      </c>
      <c r="O5229" t="n">
        <v>0</v>
      </c>
      <c r="P5229" t="n">
        <v>0</v>
      </c>
      <c r="Q5229" t="n">
        <v>0</v>
      </c>
      <c r="R5229" s="2" t="inlineStr"/>
    </row>
    <row r="5230" ht="15" customHeight="1">
      <c r="A5230" t="inlineStr">
        <is>
          <t>A 39558-2023</t>
        </is>
      </c>
      <c r="B5230" s="1" t="n">
        <v>45167.38664351852</v>
      </c>
      <c r="C5230" s="1" t="n">
        <v>46114</v>
      </c>
      <c r="D5230" t="inlineStr">
        <is>
          <t>DALARNAS LÄN</t>
        </is>
      </c>
      <c r="E5230" t="inlineStr">
        <is>
          <t>LEKSAND</t>
        </is>
      </c>
      <c r="G5230" t="n">
        <v>39.9</v>
      </c>
      <c r="H5230" t="n">
        <v>0</v>
      </c>
      <c r="I5230" t="n">
        <v>0</v>
      </c>
      <c r="J5230" t="n">
        <v>0</v>
      </c>
      <c r="K5230" t="n">
        <v>0</v>
      </c>
      <c r="L5230" t="n">
        <v>0</v>
      </c>
      <c r="M5230" t="n">
        <v>0</v>
      </c>
      <c r="N5230" t="n">
        <v>0</v>
      </c>
      <c r="O5230" t="n">
        <v>0</v>
      </c>
      <c r="P5230" t="n">
        <v>0</v>
      </c>
      <c r="Q5230" t="n">
        <v>0</v>
      </c>
      <c r="R5230" s="2" t="inlineStr"/>
    </row>
    <row r="5231" ht="15" customHeight="1">
      <c r="A5231" t="inlineStr">
        <is>
          <t>A 52507-2023</t>
        </is>
      </c>
      <c r="B5231" s="1" t="n">
        <v>45225.46814814815</v>
      </c>
      <c r="C5231" s="1" t="n">
        <v>46114</v>
      </c>
      <c r="D5231" t="inlineStr">
        <is>
          <t>DALARNAS LÄN</t>
        </is>
      </c>
      <c r="E5231" t="inlineStr">
        <is>
          <t>MALUNG-SÄLEN</t>
        </is>
      </c>
      <c r="G5231" t="n">
        <v>2.5</v>
      </c>
      <c r="H5231" t="n">
        <v>0</v>
      </c>
      <c r="I5231" t="n">
        <v>0</v>
      </c>
      <c r="J5231" t="n">
        <v>0</v>
      </c>
      <c r="K5231" t="n">
        <v>0</v>
      </c>
      <c r="L5231" t="n">
        <v>0</v>
      </c>
      <c r="M5231" t="n">
        <v>0</v>
      </c>
      <c r="N5231" t="n">
        <v>0</v>
      </c>
      <c r="O5231" t="n">
        <v>0</v>
      </c>
      <c r="P5231" t="n">
        <v>0</v>
      </c>
      <c r="Q5231" t="n">
        <v>0</v>
      </c>
      <c r="R5231" s="2" t="inlineStr"/>
    </row>
    <row r="5232" ht="15" customHeight="1">
      <c r="A5232" t="inlineStr">
        <is>
          <t>A 51448-2025</t>
        </is>
      </c>
      <c r="B5232" s="1" t="n">
        <v>45950.58851851852</v>
      </c>
      <c r="C5232" s="1" t="n">
        <v>46114</v>
      </c>
      <c r="D5232" t="inlineStr">
        <is>
          <t>DALARNAS LÄN</t>
        </is>
      </c>
      <c r="E5232" t="inlineStr">
        <is>
          <t>RÄTTVIK</t>
        </is>
      </c>
      <c r="F5232" t="inlineStr">
        <is>
          <t>Bergvik skog väst AB</t>
        </is>
      </c>
      <c r="G5232" t="n">
        <v>10.3</v>
      </c>
      <c r="H5232" t="n">
        <v>0</v>
      </c>
      <c r="I5232" t="n">
        <v>0</v>
      </c>
      <c r="J5232" t="n">
        <v>0</v>
      </c>
      <c r="K5232" t="n">
        <v>0</v>
      </c>
      <c r="L5232" t="n">
        <v>0</v>
      </c>
      <c r="M5232" t="n">
        <v>0</v>
      </c>
      <c r="N5232" t="n">
        <v>0</v>
      </c>
      <c r="O5232" t="n">
        <v>0</v>
      </c>
      <c r="P5232" t="n">
        <v>0</v>
      </c>
      <c r="Q5232" t="n">
        <v>0</v>
      </c>
      <c r="R5232" s="2" t="inlineStr"/>
    </row>
    <row r="5233" ht="15" customHeight="1">
      <c r="A5233" t="inlineStr">
        <is>
          <t>A 31530-2023</t>
        </is>
      </c>
      <c r="B5233" s="1" t="n">
        <v>45116</v>
      </c>
      <c r="C5233" s="1" t="n">
        <v>46114</v>
      </c>
      <c r="D5233" t="inlineStr">
        <is>
          <t>DALARNAS LÄN</t>
        </is>
      </c>
      <c r="E5233" t="inlineStr">
        <is>
          <t>BORLÄNGE</t>
        </is>
      </c>
      <c r="G5233" t="n">
        <v>10</v>
      </c>
      <c r="H5233" t="n">
        <v>0</v>
      </c>
      <c r="I5233" t="n">
        <v>0</v>
      </c>
      <c r="J5233" t="n">
        <v>0</v>
      </c>
      <c r="K5233" t="n">
        <v>0</v>
      </c>
      <c r="L5233" t="n">
        <v>0</v>
      </c>
      <c r="M5233" t="n">
        <v>0</v>
      </c>
      <c r="N5233" t="n">
        <v>0</v>
      </c>
      <c r="O5233" t="n">
        <v>0</v>
      </c>
      <c r="P5233" t="n">
        <v>0</v>
      </c>
      <c r="Q5233" t="n">
        <v>0</v>
      </c>
      <c r="R5233" s="2" t="inlineStr"/>
    </row>
    <row r="5234" ht="15" customHeight="1">
      <c r="A5234" t="inlineStr">
        <is>
          <t>A 27104-2024</t>
        </is>
      </c>
      <c r="B5234" s="1" t="n">
        <v>45471.49597222222</v>
      </c>
      <c r="C5234" s="1" t="n">
        <v>46114</v>
      </c>
      <c r="D5234" t="inlineStr">
        <is>
          <t>DALARNAS LÄN</t>
        </is>
      </c>
      <c r="E5234" t="inlineStr">
        <is>
          <t>VANSBRO</t>
        </is>
      </c>
      <c r="G5234" t="n">
        <v>8.800000000000001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44177-2023</t>
        </is>
      </c>
      <c r="B5235" s="1" t="n">
        <v>45188.51439814815</v>
      </c>
      <c r="C5235" s="1" t="n">
        <v>46114</v>
      </c>
      <c r="D5235" t="inlineStr">
        <is>
          <t>DALARNAS LÄN</t>
        </is>
      </c>
      <c r="E5235" t="inlineStr">
        <is>
          <t>MORA</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51826-2025</t>
        </is>
      </c>
      <c r="B5236" s="1" t="n">
        <v>45951</v>
      </c>
      <c r="C5236" s="1" t="n">
        <v>46114</v>
      </c>
      <c r="D5236" t="inlineStr">
        <is>
          <t>DALARNAS LÄN</t>
        </is>
      </c>
      <c r="E5236" t="inlineStr">
        <is>
          <t>SÄTER</t>
        </is>
      </c>
      <c r="F5236" t="inlineStr">
        <is>
          <t>Bergvik skog väst AB</t>
        </is>
      </c>
      <c r="G5236" t="n">
        <v>15.1</v>
      </c>
      <c r="H5236" t="n">
        <v>0</v>
      </c>
      <c r="I5236" t="n">
        <v>0</v>
      </c>
      <c r="J5236" t="n">
        <v>0</v>
      </c>
      <c r="K5236" t="n">
        <v>0</v>
      </c>
      <c r="L5236" t="n">
        <v>0</v>
      </c>
      <c r="M5236" t="n">
        <v>0</v>
      </c>
      <c r="N5236" t="n">
        <v>0</v>
      </c>
      <c r="O5236" t="n">
        <v>0</v>
      </c>
      <c r="P5236" t="n">
        <v>0</v>
      </c>
      <c r="Q5236" t="n">
        <v>0</v>
      </c>
      <c r="R5236" s="2" t="inlineStr"/>
    </row>
    <row r="5237" ht="15" customHeight="1">
      <c r="A5237" t="inlineStr">
        <is>
          <t>A 51827-2025</t>
        </is>
      </c>
      <c r="B5237" s="1" t="n">
        <v>45951</v>
      </c>
      <c r="C5237" s="1" t="n">
        <v>46114</v>
      </c>
      <c r="D5237" t="inlineStr">
        <is>
          <t>DALARNAS LÄN</t>
        </is>
      </c>
      <c r="E5237" t="inlineStr">
        <is>
          <t>SÄTER</t>
        </is>
      </c>
      <c r="F5237" t="inlineStr">
        <is>
          <t>Bergvik skog väst AB</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51824-2025</t>
        </is>
      </c>
      <c r="B5238" s="1" t="n">
        <v>45951</v>
      </c>
      <c r="C5238" s="1" t="n">
        <v>46114</v>
      </c>
      <c r="D5238" t="inlineStr">
        <is>
          <t>DALARNAS LÄN</t>
        </is>
      </c>
      <c r="E5238" t="inlineStr">
        <is>
          <t>SÄTER</t>
        </is>
      </c>
      <c r="F5238" t="inlineStr">
        <is>
          <t>Bergvik skog väst AB</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22455-2021</t>
        </is>
      </c>
      <c r="B5239" s="1" t="n">
        <v>44321</v>
      </c>
      <c r="C5239" s="1" t="n">
        <v>46114</v>
      </c>
      <c r="D5239" t="inlineStr">
        <is>
          <t>DALARNAS LÄN</t>
        </is>
      </c>
      <c r="E5239" t="inlineStr">
        <is>
          <t>MALUNG-SÄLEN</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57390-2022</t>
        </is>
      </c>
      <c r="B5240" s="1" t="n">
        <v>44896</v>
      </c>
      <c r="C5240" s="1" t="n">
        <v>46114</v>
      </c>
      <c r="D5240" t="inlineStr">
        <is>
          <t>DALARNAS LÄN</t>
        </is>
      </c>
      <c r="E5240" t="inlineStr">
        <is>
          <t>SMEDJEBACKEN</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51555-2025</t>
        </is>
      </c>
      <c r="B5241" s="1" t="n">
        <v>45950.88679398148</v>
      </c>
      <c r="C5241" s="1" t="n">
        <v>46114</v>
      </c>
      <c r="D5241" t="inlineStr">
        <is>
          <t>DALARNAS LÄN</t>
        </is>
      </c>
      <c r="E5241" t="inlineStr">
        <is>
          <t>SMEDJEBACKEN</t>
        </is>
      </c>
      <c r="G5241" t="n">
        <v>1</v>
      </c>
      <c r="H5241" t="n">
        <v>0</v>
      </c>
      <c r="I5241" t="n">
        <v>0</v>
      </c>
      <c r="J5241" t="n">
        <v>0</v>
      </c>
      <c r="K5241" t="n">
        <v>0</v>
      </c>
      <c r="L5241" t="n">
        <v>0</v>
      </c>
      <c r="M5241" t="n">
        <v>0</v>
      </c>
      <c r="N5241" t="n">
        <v>0</v>
      </c>
      <c r="O5241" t="n">
        <v>0</v>
      </c>
      <c r="P5241" t="n">
        <v>0</v>
      </c>
      <c r="Q5241" t="n">
        <v>0</v>
      </c>
      <c r="R5241" s="2" t="inlineStr"/>
    </row>
    <row r="5242" ht="15" customHeight="1">
      <c r="A5242" t="inlineStr">
        <is>
          <t>A 51663-2025</t>
        </is>
      </c>
      <c r="B5242" s="1" t="n">
        <v>45951</v>
      </c>
      <c r="C5242" s="1" t="n">
        <v>46114</v>
      </c>
      <c r="D5242" t="inlineStr">
        <is>
          <t>DALARNAS LÄN</t>
        </is>
      </c>
      <c r="E5242" t="inlineStr">
        <is>
          <t>LEKSAND</t>
        </is>
      </c>
      <c r="F5242" t="inlineStr">
        <is>
          <t>Bergvik skog väst AB</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52279-2025</t>
        </is>
      </c>
      <c r="B5243" s="1" t="n">
        <v>45953.56828703704</v>
      </c>
      <c r="C5243" s="1" t="n">
        <v>46114</v>
      </c>
      <c r="D5243" t="inlineStr">
        <is>
          <t>DALARNAS LÄN</t>
        </is>
      </c>
      <c r="E5243" t="inlineStr">
        <is>
          <t>FALUN</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25118-2024</t>
        </is>
      </c>
      <c r="B5244" s="1" t="n">
        <v>45462</v>
      </c>
      <c r="C5244" s="1" t="n">
        <v>46114</v>
      </c>
      <c r="D5244" t="inlineStr">
        <is>
          <t>DALARNAS LÄN</t>
        </is>
      </c>
      <c r="E5244" t="inlineStr">
        <is>
          <t>SMEDJEBACKEN</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25126-2024</t>
        </is>
      </c>
      <c r="B5245" s="1" t="n">
        <v>45462</v>
      </c>
      <c r="C5245" s="1" t="n">
        <v>46114</v>
      </c>
      <c r="D5245" t="inlineStr">
        <is>
          <t>DALARNAS LÄN</t>
        </is>
      </c>
      <c r="E5245" t="inlineStr">
        <is>
          <t>SMEDJEBACKEN</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52152-2025</t>
        </is>
      </c>
      <c r="B5246" s="1" t="n">
        <v>45953.34563657407</v>
      </c>
      <c r="C5246" s="1" t="n">
        <v>46114</v>
      </c>
      <c r="D5246" t="inlineStr">
        <is>
          <t>DALARNAS LÄN</t>
        </is>
      </c>
      <c r="E5246" t="inlineStr">
        <is>
          <t>ÄLVDALEN</t>
        </is>
      </c>
      <c r="F5246" t="inlineStr">
        <is>
          <t>Allmännings- och besparingsskogar</t>
        </is>
      </c>
      <c r="G5246" t="n">
        <v>22.3</v>
      </c>
      <c r="H5246" t="n">
        <v>0</v>
      </c>
      <c r="I5246" t="n">
        <v>0</v>
      </c>
      <c r="J5246" t="n">
        <v>0</v>
      </c>
      <c r="K5246" t="n">
        <v>0</v>
      </c>
      <c r="L5246" t="n">
        <v>0</v>
      </c>
      <c r="M5246" t="n">
        <v>0</v>
      </c>
      <c r="N5246" t="n">
        <v>0</v>
      </c>
      <c r="O5246" t="n">
        <v>0</v>
      </c>
      <c r="P5246" t="n">
        <v>0</v>
      </c>
      <c r="Q5246" t="n">
        <v>0</v>
      </c>
      <c r="R5246" s="2" t="inlineStr"/>
    </row>
    <row r="5247" ht="15" customHeight="1">
      <c r="A5247" t="inlineStr">
        <is>
          <t>A 1463-2025</t>
        </is>
      </c>
      <c r="B5247" s="1" t="n">
        <v>45670</v>
      </c>
      <c r="C5247" s="1" t="n">
        <v>46114</v>
      </c>
      <c r="D5247" t="inlineStr">
        <is>
          <t>DALARNAS LÄN</t>
        </is>
      </c>
      <c r="E5247" t="inlineStr">
        <is>
          <t>MALUNG-SÄLEN</t>
        </is>
      </c>
      <c r="G5247" t="n">
        <v>4.1</v>
      </c>
      <c r="H5247" t="n">
        <v>0</v>
      </c>
      <c r="I5247" t="n">
        <v>0</v>
      </c>
      <c r="J5247" t="n">
        <v>0</v>
      </c>
      <c r="K5247" t="n">
        <v>0</v>
      </c>
      <c r="L5247" t="n">
        <v>0</v>
      </c>
      <c r="M5247" t="n">
        <v>0</v>
      </c>
      <c r="N5247" t="n">
        <v>0</v>
      </c>
      <c r="O5247" t="n">
        <v>0</v>
      </c>
      <c r="P5247" t="n">
        <v>0</v>
      </c>
      <c r="Q5247" t="n">
        <v>0</v>
      </c>
      <c r="R5247" s="2" t="inlineStr"/>
    </row>
    <row r="5248" ht="15" customHeight="1">
      <c r="A5248" t="inlineStr">
        <is>
          <t>A 54626-2024</t>
        </is>
      </c>
      <c r="B5248" s="1" t="n">
        <v>45617.81964120371</v>
      </c>
      <c r="C5248" s="1" t="n">
        <v>46114</v>
      </c>
      <c r="D5248" t="inlineStr">
        <is>
          <t>DALARNAS LÄN</t>
        </is>
      </c>
      <c r="E5248" t="inlineStr">
        <is>
          <t>FALUN</t>
        </is>
      </c>
      <c r="F5248" t="inlineStr">
        <is>
          <t>Bergvik skog väst AB</t>
        </is>
      </c>
      <c r="G5248" t="n">
        <v>5.7</v>
      </c>
      <c r="H5248" t="n">
        <v>0</v>
      </c>
      <c r="I5248" t="n">
        <v>0</v>
      </c>
      <c r="J5248" t="n">
        <v>0</v>
      </c>
      <c r="K5248" t="n">
        <v>0</v>
      </c>
      <c r="L5248" t="n">
        <v>0</v>
      </c>
      <c r="M5248" t="n">
        <v>0</v>
      </c>
      <c r="N5248" t="n">
        <v>0</v>
      </c>
      <c r="O5248" t="n">
        <v>0</v>
      </c>
      <c r="P5248" t="n">
        <v>0</v>
      </c>
      <c r="Q5248" t="n">
        <v>0</v>
      </c>
      <c r="R5248" s="2" t="inlineStr"/>
    </row>
    <row r="5249" ht="15" customHeight="1">
      <c r="A5249" t="inlineStr">
        <is>
          <t>A 9298-2023</t>
        </is>
      </c>
      <c r="B5249" s="1" t="n">
        <v>44980.64266203704</v>
      </c>
      <c r="C5249" s="1" t="n">
        <v>46114</v>
      </c>
      <c r="D5249" t="inlineStr">
        <is>
          <t>DALARNAS LÄN</t>
        </is>
      </c>
      <c r="E5249" t="inlineStr">
        <is>
          <t>VANSBRO</t>
        </is>
      </c>
      <c r="F5249" t="inlineStr">
        <is>
          <t>Bergvik skog väst AB</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20141-2021</t>
        </is>
      </c>
      <c r="B5250" s="1" t="n">
        <v>44314</v>
      </c>
      <c r="C5250" s="1" t="n">
        <v>46114</v>
      </c>
      <c r="D5250" t="inlineStr">
        <is>
          <t>DALARNAS LÄN</t>
        </is>
      </c>
      <c r="E5250" t="inlineStr">
        <is>
          <t>FALUN</t>
        </is>
      </c>
      <c r="F5250" t="inlineStr">
        <is>
          <t>Bergvik skog väst AB</t>
        </is>
      </c>
      <c r="G5250" t="n">
        <v>2.7</v>
      </c>
      <c r="H5250" t="n">
        <v>0</v>
      </c>
      <c r="I5250" t="n">
        <v>0</v>
      </c>
      <c r="J5250" t="n">
        <v>0</v>
      </c>
      <c r="K5250" t="n">
        <v>0</v>
      </c>
      <c r="L5250" t="n">
        <v>0</v>
      </c>
      <c r="M5250" t="n">
        <v>0</v>
      </c>
      <c r="N5250" t="n">
        <v>0</v>
      </c>
      <c r="O5250" t="n">
        <v>0</v>
      </c>
      <c r="P5250" t="n">
        <v>0</v>
      </c>
      <c r="Q5250" t="n">
        <v>0</v>
      </c>
      <c r="R5250" s="2" t="inlineStr"/>
    </row>
    <row r="5251" ht="15" customHeight="1">
      <c r="A5251" t="inlineStr">
        <is>
          <t>A 52271-2025</t>
        </is>
      </c>
      <c r="B5251" s="1" t="n">
        <v>45953.54445601852</v>
      </c>
      <c r="C5251" s="1" t="n">
        <v>46114</v>
      </c>
      <c r="D5251" t="inlineStr">
        <is>
          <t>DALARNAS LÄN</t>
        </is>
      </c>
      <c r="E5251" t="inlineStr">
        <is>
          <t>FALUN</t>
        </is>
      </c>
      <c r="G5251" t="n">
        <v>7.9</v>
      </c>
      <c r="H5251" t="n">
        <v>0</v>
      </c>
      <c r="I5251" t="n">
        <v>0</v>
      </c>
      <c r="J5251" t="n">
        <v>0</v>
      </c>
      <c r="K5251" t="n">
        <v>0</v>
      </c>
      <c r="L5251" t="n">
        <v>0</v>
      </c>
      <c r="M5251" t="n">
        <v>0</v>
      </c>
      <c r="N5251" t="n">
        <v>0</v>
      </c>
      <c r="O5251" t="n">
        <v>0</v>
      </c>
      <c r="P5251" t="n">
        <v>0</v>
      </c>
      <c r="Q5251" t="n">
        <v>0</v>
      </c>
      <c r="R5251" s="2" t="inlineStr"/>
    </row>
    <row r="5252" ht="15" customHeight="1">
      <c r="A5252" t="inlineStr">
        <is>
          <t>A 9138-2023</t>
        </is>
      </c>
      <c r="B5252" s="1" t="n">
        <v>44974</v>
      </c>
      <c r="C5252" s="1" t="n">
        <v>46114</v>
      </c>
      <c r="D5252" t="inlineStr">
        <is>
          <t>DALARNAS LÄN</t>
        </is>
      </c>
      <c r="E5252" t="inlineStr">
        <is>
          <t>LEKSAND</t>
        </is>
      </c>
      <c r="G5252" t="n">
        <v>4.6</v>
      </c>
      <c r="H5252" t="n">
        <v>0</v>
      </c>
      <c r="I5252" t="n">
        <v>0</v>
      </c>
      <c r="J5252" t="n">
        <v>0</v>
      </c>
      <c r="K5252" t="n">
        <v>0</v>
      </c>
      <c r="L5252" t="n">
        <v>0</v>
      </c>
      <c r="M5252" t="n">
        <v>0</v>
      </c>
      <c r="N5252" t="n">
        <v>0</v>
      </c>
      <c r="O5252" t="n">
        <v>0</v>
      </c>
      <c r="P5252" t="n">
        <v>0</v>
      </c>
      <c r="Q5252" t="n">
        <v>0</v>
      </c>
      <c r="R5252" s="2" t="inlineStr"/>
    </row>
    <row r="5253" ht="15" customHeight="1">
      <c r="A5253" t="inlineStr">
        <is>
          <t>A 9141-2023</t>
        </is>
      </c>
      <c r="B5253" s="1" t="n">
        <v>44974</v>
      </c>
      <c r="C5253" s="1" t="n">
        <v>46114</v>
      </c>
      <c r="D5253" t="inlineStr">
        <is>
          <t>DALARNAS LÄN</t>
        </is>
      </c>
      <c r="E5253" t="inlineStr">
        <is>
          <t>LEKSAND</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52086-2025</t>
        </is>
      </c>
      <c r="B5254" s="1" t="n">
        <v>45952.67065972222</v>
      </c>
      <c r="C5254" s="1" t="n">
        <v>46114</v>
      </c>
      <c r="D5254" t="inlineStr">
        <is>
          <t>DALARNAS LÄN</t>
        </is>
      </c>
      <c r="E5254" t="inlineStr">
        <is>
          <t>BORLÄNGE</t>
        </is>
      </c>
      <c r="F5254" t="inlineStr">
        <is>
          <t>Bergvik skog väst AB</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52110-2025</t>
        </is>
      </c>
      <c r="B5255" s="1" t="n">
        <v>45952.69306712963</v>
      </c>
      <c r="C5255" s="1" t="n">
        <v>46114</v>
      </c>
      <c r="D5255" t="inlineStr">
        <is>
          <t>DALARNAS LÄN</t>
        </is>
      </c>
      <c r="E5255" t="inlineStr">
        <is>
          <t>MORA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2630-2025</t>
        </is>
      </c>
      <c r="B5256" s="1" t="n">
        <v>45675.85865740741</v>
      </c>
      <c r="C5256" s="1" t="n">
        <v>46114</v>
      </c>
      <c r="D5256" t="inlineStr">
        <is>
          <t>DALARNAS LÄN</t>
        </is>
      </c>
      <c r="E5256" t="inlineStr">
        <is>
          <t>LEKSAND</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52713-2025</t>
        </is>
      </c>
      <c r="B5257" s="1" t="n">
        <v>45953</v>
      </c>
      <c r="C5257" s="1" t="n">
        <v>46114</v>
      </c>
      <c r="D5257" t="inlineStr">
        <is>
          <t>DALARNAS LÄN</t>
        </is>
      </c>
      <c r="E5257" t="inlineStr">
        <is>
          <t>SMEDJEBACKEN</t>
        </is>
      </c>
      <c r="F5257" t="inlineStr">
        <is>
          <t>Bergvik skog väst AB</t>
        </is>
      </c>
      <c r="G5257" t="n">
        <v>0.3</v>
      </c>
      <c r="H5257" t="n">
        <v>0</v>
      </c>
      <c r="I5257" t="n">
        <v>0</v>
      </c>
      <c r="J5257" t="n">
        <v>0</v>
      </c>
      <c r="K5257" t="n">
        <v>0</v>
      </c>
      <c r="L5257" t="n">
        <v>0</v>
      </c>
      <c r="M5257" t="n">
        <v>0</v>
      </c>
      <c r="N5257" t="n">
        <v>0</v>
      </c>
      <c r="O5257" t="n">
        <v>0</v>
      </c>
      <c r="P5257" t="n">
        <v>0</v>
      </c>
      <c r="Q5257" t="n">
        <v>0</v>
      </c>
      <c r="R5257" s="2" t="inlineStr"/>
    </row>
    <row r="5258" ht="15" customHeight="1">
      <c r="A5258" t="inlineStr">
        <is>
          <t>A 51855-2025</t>
        </is>
      </c>
      <c r="B5258" s="1" t="n">
        <v>45952</v>
      </c>
      <c r="C5258" s="1" t="n">
        <v>46114</v>
      </c>
      <c r="D5258" t="inlineStr">
        <is>
          <t>DALARNAS LÄN</t>
        </is>
      </c>
      <c r="E5258" t="inlineStr">
        <is>
          <t>VANSBRO</t>
        </is>
      </c>
      <c r="F5258" t="inlineStr">
        <is>
          <t>Bergvik skog väst AB</t>
        </is>
      </c>
      <c r="G5258" t="n">
        <v>10.2</v>
      </c>
      <c r="H5258" t="n">
        <v>0</v>
      </c>
      <c r="I5258" t="n">
        <v>0</v>
      </c>
      <c r="J5258" t="n">
        <v>0</v>
      </c>
      <c r="K5258" t="n">
        <v>0</v>
      </c>
      <c r="L5258" t="n">
        <v>0</v>
      </c>
      <c r="M5258" t="n">
        <v>0</v>
      </c>
      <c r="N5258" t="n">
        <v>0</v>
      </c>
      <c r="O5258" t="n">
        <v>0</v>
      </c>
      <c r="P5258" t="n">
        <v>0</v>
      </c>
      <c r="Q5258" t="n">
        <v>0</v>
      </c>
      <c r="R5258" s="2" t="inlineStr"/>
    </row>
    <row r="5259" ht="15" customHeight="1">
      <c r="A5259" t="inlineStr">
        <is>
          <t>A 52136-2025</t>
        </is>
      </c>
      <c r="B5259" s="1" t="n">
        <v>45952.86512731481</v>
      </c>
      <c r="C5259" s="1" t="n">
        <v>46114</v>
      </c>
      <c r="D5259" t="inlineStr">
        <is>
          <t>DALARNAS LÄN</t>
        </is>
      </c>
      <c r="E5259" t="inlineStr">
        <is>
          <t>GAGNEF</t>
        </is>
      </c>
      <c r="G5259" t="n">
        <v>5.8</v>
      </c>
      <c r="H5259" t="n">
        <v>0</v>
      </c>
      <c r="I5259" t="n">
        <v>0</v>
      </c>
      <c r="J5259" t="n">
        <v>0</v>
      </c>
      <c r="K5259" t="n">
        <v>0</v>
      </c>
      <c r="L5259" t="n">
        <v>0</v>
      </c>
      <c r="M5259" t="n">
        <v>0</v>
      </c>
      <c r="N5259" t="n">
        <v>0</v>
      </c>
      <c r="O5259" t="n">
        <v>0</v>
      </c>
      <c r="P5259" t="n">
        <v>0</v>
      </c>
      <c r="Q5259" t="n">
        <v>0</v>
      </c>
      <c r="R5259" s="2" t="inlineStr"/>
    </row>
    <row r="5260" ht="15" customHeight="1">
      <c r="A5260" t="inlineStr">
        <is>
          <t>A 52257-2025</t>
        </is>
      </c>
      <c r="B5260" s="1" t="n">
        <v>45953</v>
      </c>
      <c r="C5260" s="1" t="n">
        <v>46114</v>
      </c>
      <c r="D5260" t="inlineStr">
        <is>
          <t>DALARNAS LÄN</t>
        </is>
      </c>
      <c r="E5260" t="inlineStr">
        <is>
          <t>MALUNG-SÄLEN</t>
        </is>
      </c>
      <c r="F5260" t="inlineStr">
        <is>
          <t>Allmännings- och besparingsskogar</t>
        </is>
      </c>
      <c r="G5260" t="n">
        <v>22.9</v>
      </c>
      <c r="H5260" t="n">
        <v>0</v>
      </c>
      <c r="I5260" t="n">
        <v>0</v>
      </c>
      <c r="J5260" t="n">
        <v>0</v>
      </c>
      <c r="K5260" t="n">
        <v>0</v>
      </c>
      <c r="L5260" t="n">
        <v>0</v>
      </c>
      <c r="M5260" t="n">
        <v>0</v>
      </c>
      <c r="N5260" t="n">
        <v>0</v>
      </c>
      <c r="O5260" t="n">
        <v>0</v>
      </c>
      <c r="P5260" t="n">
        <v>0</v>
      </c>
      <c r="Q5260" t="n">
        <v>0</v>
      </c>
      <c r="R5260" s="2" t="inlineStr"/>
    </row>
    <row r="5261" ht="15" customHeight="1">
      <c r="A5261" t="inlineStr">
        <is>
          <t>A 15986-2025</t>
        </is>
      </c>
      <c r="B5261" s="1" t="n">
        <v>45749.57331018519</v>
      </c>
      <c r="C5261" s="1" t="n">
        <v>46114</v>
      </c>
      <c r="D5261" t="inlineStr">
        <is>
          <t>DALARNAS LÄN</t>
        </is>
      </c>
      <c r="E5261" t="inlineStr">
        <is>
          <t>LEKSAND</t>
        </is>
      </c>
      <c r="G5261" t="n">
        <v>2.7</v>
      </c>
      <c r="H5261" t="n">
        <v>0</v>
      </c>
      <c r="I5261" t="n">
        <v>0</v>
      </c>
      <c r="J5261" t="n">
        <v>0</v>
      </c>
      <c r="K5261" t="n">
        <v>0</v>
      </c>
      <c r="L5261" t="n">
        <v>0</v>
      </c>
      <c r="M5261" t="n">
        <v>0</v>
      </c>
      <c r="N5261" t="n">
        <v>0</v>
      </c>
      <c r="O5261" t="n">
        <v>0</v>
      </c>
      <c r="P5261" t="n">
        <v>0</v>
      </c>
      <c r="Q5261" t="n">
        <v>0</v>
      </c>
      <c r="R5261" s="2" t="inlineStr"/>
    </row>
    <row r="5262" ht="15" customHeight="1">
      <c r="A5262" t="inlineStr">
        <is>
          <t>A 51835-2025</t>
        </is>
      </c>
      <c r="B5262" s="1" t="n">
        <v>45952.33078703703</v>
      </c>
      <c r="C5262" s="1" t="n">
        <v>46114</v>
      </c>
      <c r="D5262" t="inlineStr">
        <is>
          <t>DALARNAS LÄN</t>
        </is>
      </c>
      <c r="E5262" t="inlineStr">
        <is>
          <t>MALUNG-SÄLEN</t>
        </is>
      </c>
      <c r="G5262" t="n">
        <v>7.4</v>
      </c>
      <c r="H5262" t="n">
        <v>0</v>
      </c>
      <c r="I5262" t="n">
        <v>0</v>
      </c>
      <c r="J5262" t="n">
        <v>0</v>
      </c>
      <c r="K5262" t="n">
        <v>0</v>
      </c>
      <c r="L5262" t="n">
        <v>0</v>
      </c>
      <c r="M5262" t="n">
        <v>0</v>
      </c>
      <c r="N5262" t="n">
        <v>0</v>
      </c>
      <c r="O5262" t="n">
        <v>0</v>
      </c>
      <c r="P5262" t="n">
        <v>0</v>
      </c>
      <c r="Q5262" t="n">
        <v>0</v>
      </c>
      <c r="R5262" s="2" t="inlineStr"/>
    </row>
    <row r="5263" ht="15" customHeight="1">
      <c r="A5263" t="inlineStr">
        <is>
          <t>A 18134-2025</t>
        </is>
      </c>
      <c r="B5263" s="1" t="n">
        <v>45761.60189814815</v>
      </c>
      <c r="C5263" s="1" t="n">
        <v>46114</v>
      </c>
      <c r="D5263" t="inlineStr">
        <is>
          <t>DALARNAS LÄN</t>
        </is>
      </c>
      <c r="E5263" t="inlineStr">
        <is>
          <t>MORA</t>
        </is>
      </c>
      <c r="F5263" t="inlineStr">
        <is>
          <t>Bergvik skog öst AB</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44570-2024</t>
        </is>
      </c>
      <c r="B5264" s="1" t="n">
        <v>45574.48221064815</v>
      </c>
      <c r="C5264" s="1" t="n">
        <v>46114</v>
      </c>
      <c r="D5264" t="inlineStr">
        <is>
          <t>DALARNAS LÄN</t>
        </is>
      </c>
      <c r="E5264" t="inlineStr">
        <is>
          <t>MALUNG-SÄLEN</t>
        </is>
      </c>
      <c r="F5264" t="inlineStr">
        <is>
          <t>Bergvik skog öst AB</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52158-2025</t>
        </is>
      </c>
      <c r="B5265" s="1" t="n">
        <v>45953.35728009259</v>
      </c>
      <c r="C5265" s="1" t="n">
        <v>46114</v>
      </c>
      <c r="D5265" t="inlineStr">
        <is>
          <t>DALARNAS LÄN</t>
        </is>
      </c>
      <c r="E5265" t="inlineStr">
        <is>
          <t>RÄTTVIK</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51833-2025</t>
        </is>
      </c>
      <c r="B5266" s="1" t="n">
        <v>45952.32971064815</v>
      </c>
      <c r="C5266" s="1" t="n">
        <v>46114</v>
      </c>
      <c r="D5266" t="inlineStr">
        <is>
          <t>DALARNAS LÄN</t>
        </is>
      </c>
      <c r="E5266" t="inlineStr">
        <is>
          <t>RÄTTVIK</t>
        </is>
      </c>
      <c r="F5266" t="inlineStr">
        <is>
          <t>Bergvik skog väst AB</t>
        </is>
      </c>
      <c r="G5266" t="n">
        <v>1.4</v>
      </c>
      <c r="H5266" t="n">
        <v>0</v>
      </c>
      <c r="I5266" t="n">
        <v>0</v>
      </c>
      <c r="J5266" t="n">
        <v>0</v>
      </c>
      <c r="K5266" t="n">
        <v>0</v>
      </c>
      <c r="L5266" t="n">
        <v>0</v>
      </c>
      <c r="M5266" t="n">
        <v>0</v>
      </c>
      <c r="N5266" t="n">
        <v>0</v>
      </c>
      <c r="O5266" t="n">
        <v>0</v>
      </c>
      <c r="P5266" t="n">
        <v>0</v>
      </c>
      <c r="Q5266" t="n">
        <v>0</v>
      </c>
      <c r="R5266" s="2" t="inlineStr"/>
    </row>
    <row r="5267" ht="15" customHeight="1">
      <c r="A5267" t="inlineStr">
        <is>
          <t>A 32237-2025</t>
        </is>
      </c>
      <c r="B5267" s="1" t="n">
        <v>45835</v>
      </c>
      <c r="C5267" s="1" t="n">
        <v>46114</v>
      </c>
      <c r="D5267" t="inlineStr">
        <is>
          <t>DALARNAS LÄN</t>
        </is>
      </c>
      <c r="E5267" t="inlineStr">
        <is>
          <t>ÄLVDALEN</t>
        </is>
      </c>
      <c r="G5267" t="n">
        <v>4.6</v>
      </c>
      <c r="H5267" t="n">
        <v>0</v>
      </c>
      <c r="I5267" t="n">
        <v>0</v>
      </c>
      <c r="J5267" t="n">
        <v>0</v>
      </c>
      <c r="K5267" t="n">
        <v>0</v>
      </c>
      <c r="L5267" t="n">
        <v>0</v>
      </c>
      <c r="M5267" t="n">
        <v>0</v>
      </c>
      <c r="N5267" t="n">
        <v>0</v>
      </c>
      <c r="O5267" t="n">
        <v>0</v>
      </c>
      <c r="P5267" t="n">
        <v>0</v>
      </c>
      <c r="Q5267" t="n">
        <v>0</v>
      </c>
      <c r="R5267" s="2" t="inlineStr"/>
    </row>
    <row r="5268" ht="15" customHeight="1">
      <c r="A5268" t="inlineStr">
        <is>
          <t>A 51845-2025</t>
        </is>
      </c>
      <c r="B5268" s="1" t="n">
        <v>45952.34672453703</v>
      </c>
      <c r="C5268" s="1" t="n">
        <v>46114</v>
      </c>
      <c r="D5268" t="inlineStr">
        <is>
          <t>DALARNAS LÄN</t>
        </is>
      </c>
      <c r="E5268" t="inlineStr">
        <is>
          <t>MALUNG-SÄLEN</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51865-2025</t>
        </is>
      </c>
      <c r="B5269" s="1" t="n">
        <v>45952.37715277778</v>
      </c>
      <c r="C5269" s="1" t="n">
        <v>46114</v>
      </c>
      <c r="D5269" t="inlineStr">
        <is>
          <t>DALARNAS LÄN</t>
        </is>
      </c>
      <c r="E5269" t="inlineStr">
        <is>
          <t>LUDVIKA</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11678-2025</t>
        </is>
      </c>
      <c r="B5270" s="1" t="n">
        <v>45726</v>
      </c>
      <c r="C5270" s="1" t="n">
        <v>46114</v>
      </c>
      <c r="D5270" t="inlineStr">
        <is>
          <t>DALARNAS LÄN</t>
        </is>
      </c>
      <c r="E5270" t="inlineStr">
        <is>
          <t>LEKSAND</t>
        </is>
      </c>
      <c r="G5270" t="n">
        <v>9.4</v>
      </c>
      <c r="H5270" t="n">
        <v>0</v>
      </c>
      <c r="I5270" t="n">
        <v>0</v>
      </c>
      <c r="J5270" t="n">
        <v>0</v>
      </c>
      <c r="K5270" t="n">
        <v>0</v>
      </c>
      <c r="L5270" t="n">
        <v>0</v>
      </c>
      <c r="M5270" t="n">
        <v>0</v>
      </c>
      <c r="N5270" t="n">
        <v>0</v>
      </c>
      <c r="O5270" t="n">
        <v>0</v>
      </c>
      <c r="P5270" t="n">
        <v>0</v>
      </c>
      <c r="Q5270" t="n">
        <v>0</v>
      </c>
      <c r="R5270" s="2" t="inlineStr"/>
    </row>
    <row r="5271" ht="15" customHeight="1">
      <c r="A5271" t="inlineStr">
        <is>
          <t>A 52295-2025</t>
        </is>
      </c>
      <c r="B5271" s="1" t="n">
        <v>45953.60679398148</v>
      </c>
      <c r="C5271" s="1" t="n">
        <v>46114</v>
      </c>
      <c r="D5271" t="inlineStr">
        <is>
          <t>DALARNAS LÄN</t>
        </is>
      </c>
      <c r="E5271" t="inlineStr">
        <is>
          <t>VANSBRO</t>
        </is>
      </c>
      <c r="G5271" t="n">
        <v>3.1</v>
      </c>
      <c r="H5271" t="n">
        <v>0</v>
      </c>
      <c r="I5271" t="n">
        <v>0</v>
      </c>
      <c r="J5271" t="n">
        <v>0</v>
      </c>
      <c r="K5271" t="n">
        <v>0</v>
      </c>
      <c r="L5271" t="n">
        <v>0</v>
      </c>
      <c r="M5271" t="n">
        <v>0</v>
      </c>
      <c r="N5271" t="n">
        <v>0</v>
      </c>
      <c r="O5271" t="n">
        <v>0</v>
      </c>
      <c r="P5271" t="n">
        <v>0</v>
      </c>
      <c r="Q5271" t="n">
        <v>0</v>
      </c>
      <c r="R5271" s="2" t="inlineStr"/>
    </row>
    <row r="5272" ht="15" customHeight="1">
      <c r="A5272" t="inlineStr">
        <is>
          <t>A 52328-2025</t>
        </is>
      </c>
      <c r="B5272" s="1" t="n">
        <v>45953.67157407408</v>
      </c>
      <c r="C5272" s="1" t="n">
        <v>46114</v>
      </c>
      <c r="D5272" t="inlineStr">
        <is>
          <t>DALARNAS LÄN</t>
        </is>
      </c>
      <c r="E5272" t="inlineStr">
        <is>
          <t>HEDEMORA</t>
        </is>
      </c>
      <c r="F5272" t="inlineStr">
        <is>
          <t>Sveaskog</t>
        </is>
      </c>
      <c r="G5272" t="n">
        <v>8.199999999999999</v>
      </c>
      <c r="H5272" t="n">
        <v>0</v>
      </c>
      <c r="I5272" t="n">
        <v>0</v>
      </c>
      <c r="J5272" t="n">
        <v>0</v>
      </c>
      <c r="K5272" t="n">
        <v>0</v>
      </c>
      <c r="L5272" t="n">
        <v>0</v>
      </c>
      <c r="M5272" t="n">
        <v>0</v>
      </c>
      <c r="N5272" t="n">
        <v>0</v>
      </c>
      <c r="O5272" t="n">
        <v>0</v>
      </c>
      <c r="P5272" t="n">
        <v>0</v>
      </c>
      <c r="Q5272" t="n">
        <v>0</v>
      </c>
      <c r="R5272" s="2" t="inlineStr"/>
    </row>
    <row r="5273" ht="15" customHeight="1">
      <c r="A5273" t="inlineStr">
        <is>
          <t>A 3583-2023</t>
        </is>
      </c>
      <c r="B5273" s="1" t="n">
        <v>44950</v>
      </c>
      <c r="C5273" s="1" t="n">
        <v>46114</v>
      </c>
      <c r="D5273" t="inlineStr">
        <is>
          <t>DALARNAS LÄN</t>
        </is>
      </c>
      <c r="E5273" t="inlineStr">
        <is>
          <t>MALUNG-SÄLEN</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52351-2025</t>
        </is>
      </c>
      <c r="B5274" s="1" t="n">
        <v>45953.73898148148</v>
      </c>
      <c r="C5274" s="1" t="n">
        <v>46114</v>
      </c>
      <c r="D5274" t="inlineStr">
        <is>
          <t>DALARNAS LÄN</t>
        </is>
      </c>
      <c r="E5274" t="inlineStr">
        <is>
          <t>AVESTA</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14688-2023</t>
        </is>
      </c>
      <c r="B5275" s="1" t="n">
        <v>45014.34444444445</v>
      </c>
      <c r="C5275" s="1" t="n">
        <v>46114</v>
      </c>
      <c r="D5275" t="inlineStr">
        <is>
          <t>DALARNAS LÄN</t>
        </is>
      </c>
      <c r="E5275" t="inlineStr">
        <is>
          <t>FALUN</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52072-2025</t>
        </is>
      </c>
      <c r="B5276" s="1" t="n">
        <v>45952.64829861111</v>
      </c>
      <c r="C5276" s="1" t="n">
        <v>46114</v>
      </c>
      <c r="D5276" t="inlineStr">
        <is>
          <t>DALARNAS LÄN</t>
        </is>
      </c>
      <c r="E5276" t="inlineStr">
        <is>
          <t>ÄLVDALEN</t>
        </is>
      </c>
      <c r="F5276" t="inlineStr">
        <is>
          <t>Allmännings- och besparingsskogar</t>
        </is>
      </c>
      <c r="G5276" t="n">
        <v>54.2</v>
      </c>
      <c r="H5276" t="n">
        <v>0</v>
      </c>
      <c r="I5276" t="n">
        <v>0</v>
      </c>
      <c r="J5276" t="n">
        <v>0</v>
      </c>
      <c r="K5276" t="n">
        <v>0</v>
      </c>
      <c r="L5276" t="n">
        <v>0</v>
      </c>
      <c r="M5276" t="n">
        <v>0</v>
      </c>
      <c r="N5276" t="n">
        <v>0</v>
      </c>
      <c r="O5276" t="n">
        <v>0</v>
      </c>
      <c r="P5276" t="n">
        <v>0</v>
      </c>
      <c r="Q5276" t="n">
        <v>0</v>
      </c>
      <c r="R5276" s="2" t="inlineStr"/>
    </row>
    <row r="5277" ht="15" customHeight="1">
      <c r="A5277" t="inlineStr">
        <is>
          <t>A 52173-2025</t>
        </is>
      </c>
      <c r="B5277" s="1" t="n">
        <v>45953.37302083334</v>
      </c>
      <c r="C5277" s="1" t="n">
        <v>46114</v>
      </c>
      <c r="D5277" t="inlineStr">
        <is>
          <t>DALARNAS LÄN</t>
        </is>
      </c>
      <c r="E5277" t="inlineStr">
        <is>
          <t>SÄTER</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52714-2025</t>
        </is>
      </c>
      <c r="B5278" s="1" t="n">
        <v>45953</v>
      </c>
      <c r="C5278" s="1" t="n">
        <v>46114</v>
      </c>
      <c r="D5278" t="inlineStr">
        <is>
          <t>DALARNAS LÄN</t>
        </is>
      </c>
      <c r="E5278" t="inlineStr">
        <is>
          <t>HEDEMORA</t>
        </is>
      </c>
      <c r="F5278" t="inlineStr">
        <is>
          <t>Bergvik skog väst AB</t>
        </is>
      </c>
      <c r="G5278" t="n">
        <v>14.7</v>
      </c>
      <c r="H5278" t="n">
        <v>0</v>
      </c>
      <c r="I5278" t="n">
        <v>0</v>
      </c>
      <c r="J5278" t="n">
        <v>0</v>
      </c>
      <c r="K5278" t="n">
        <v>0</v>
      </c>
      <c r="L5278" t="n">
        <v>0</v>
      </c>
      <c r="M5278" t="n">
        <v>0</v>
      </c>
      <c r="N5278" t="n">
        <v>0</v>
      </c>
      <c r="O5278" t="n">
        <v>0</v>
      </c>
      <c r="P5278" t="n">
        <v>0</v>
      </c>
      <c r="Q5278" t="n">
        <v>0</v>
      </c>
      <c r="R5278" s="2" t="inlineStr"/>
    </row>
    <row r="5279" ht="15" customHeight="1">
      <c r="A5279" t="inlineStr">
        <is>
          <t>A 52051-2025</t>
        </is>
      </c>
      <c r="B5279" s="1" t="n">
        <v>45952.61993055556</v>
      </c>
      <c r="C5279" s="1" t="n">
        <v>46114</v>
      </c>
      <c r="D5279" t="inlineStr">
        <is>
          <t>DALARNAS LÄN</t>
        </is>
      </c>
      <c r="E5279" t="inlineStr">
        <is>
          <t>RÄTTVIK</t>
        </is>
      </c>
      <c r="F5279" t="inlineStr">
        <is>
          <t>Bergvik skog väst AB</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973-2023</t>
        </is>
      </c>
      <c r="B5280" s="1" t="n">
        <v>44935.32741898148</v>
      </c>
      <c r="C5280" s="1" t="n">
        <v>46114</v>
      </c>
      <c r="D5280" t="inlineStr">
        <is>
          <t>DALARNAS LÄN</t>
        </is>
      </c>
      <c r="E5280" t="inlineStr">
        <is>
          <t>SÄTER</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52021-2025</t>
        </is>
      </c>
      <c r="B5281" s="1" t="n">
        <v>45952.60009259259</v>
      </c>
      <c r="C5281" s="1" t="n">
        <v>46114</v>
      </c>
      <c r="D5281" t="inlineStr">
        <is>
          <t>DALARNAS LÄN</t>
        </is>
      </c>
      <c r="E5281" t="inlineStr">
        <is>
          <t>VANSBRO</t>
        </is>
      </c>
      <c r="G5281" t="n">
        <v>2.4</v>
      </c>
      <c r="H5281" t="n">
        <v>0</v>
      </c>
      <c r="I5281" t="n">
        <v>0</v>
      </c>
      <c r="J5281" t="n">
        <v>0</v>
      </c>
      <c r="K5281" t="n">
        <v>0</v>
      </c>
      <c r="L5281" t="n">
        <v>0</v>
      </c>
      <c r="M5281" t="n">
        <v>0</v>
      </c>
      <c r="N5281" t="n">
        <v>0</v>
      </c>
      <c r="O5281" t="n">
        <v>0</v>
      </c>
      <c r="P5281" t="n">
        <v>0</v>
      </c>
      <c r="Q5281" t="n">
        <v>0</v>
      </c>
      <c r="R5281" s="2" t="inlineStr"/>
    </row>
    <row r="5282" ht="15" customHeight="1">
      <c r="A5282" t="inlineStr">
        <is>
          <t>A 51926-2025</t>
        </is>
      </c>
      <c r="B5282" s="1" t="n">
        <v>45952.49537037037</v>
      </c>
      <c r="C5282" s="1" t="n">
        <v>46114</v>
      </c>
      <c r="D5282" t="inlineStr">
        <is>
          <t>DALARNAS LÄN</t>
        </is>
      </c>
      <c r="E5282" t="inlineStr">
        <is>
          <t>LEKSAND</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51943-2025</t>
        </is>
      </c>
      <c r="B5283" s="1" t="n">
        <v>45952</v>
      </c>
      <c r="C5283" s="1" t="n">
        <v>46114</v>
      </c>
      <c r="D5283" t="inlineStr">
        <is>
          <t>DALARNAS LÄN</t>
        </is>
      </c>
      <c r="E5283" t="inlineStr">
        <is>
          <t>HEDEMORA</t>
        </is>
      </c>
      <c r="G5283" t="n">
        <v>4.5</v>
      </c>
      <c r="H5283" t="n">
        <v>0</v>
      </c>
      <c r="I5283" t="n">
        <v>0</v>
      </c>
      <c r="J5283" t="n">
        <v>0</v>
      </c>
      <c r="K5283" t="n">
        <v>0</v>
      </c>
      <c r="L5283" t="n">
        <v>0</v>
      </c>
      <c r="M5283" t="n">
        <v>0</v>
      </c>
      <c r="N5283" t="n">
        <v>0</v>
      </c>
      <c r="O5283" t="n">
        <v>0</v>
      </c>
      <c r="P5283" t="n">
        <v>0</v>
      </c>
      <c r="Q5283" t="n">
        <v>0</v>
      </c>
      <c r="R5283" s="2" t="inlineStr"/>
    </row>
    <row r="5284" ht="15" customHeight="1">
      <c r="A5284" t="inlineStr">
        <is>
          <t>A 32016-2022</t>
        </is>
      </c>
      <c r="B5284" s="1" t="n">
        <v>44778</v>
      </c>
      <c r="C5284" s="1" t="n">
        <v>46114</v>
      </c>
      <c r="D5284" t="inlineStr">
        <is>
          <t>DALARNAS LÄN</t>
        </is>
      </c>
      <c r="E5284" t="inlineStr">
        <is>
          <t>SMEDJEBACKEN</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51915-2025</t>
        </is>
      </c>
      <c r="B5285" s="1" t="n">
        <v>45952.47706018519</v>
      </c>
      <c r="C5285" s="1" t="n">
        <v>46114</v>
      </c>
      <c r="D5285" t="inlineStr">
        <is>
          <t>DALARNAS LÄN</t>
        </is>
      </c>
      <c r="E5285" t="inlineStr">
        <is>
          <t>ÄLVDALEN</t>
        </is>
      </c>
      <c r="F5285" t="inlineStr">
        <is>
          <t>Allmännings- och besparingsskogar</t>
        </is>
      </c>
      <c r="G5285" t="n">
        <v>66.7</v>
      </c>
      <c r="H5285" t="n">
        <v>0</v>
      </c>
      <c r="I5285" t="n">
        <v>0</v>
      </c>
      <c r="J5285" t="n">
        <v>0</v>
      </c>
      <c r="K5285" t="n">
        <v>0</v>
      </c>
      <c r="L5285" t="n">
        <v>0</v>
      </c>
      <c r="M5285" t="n">
        <v>0</v>
      </c>
      <c r="N5285" t="n">
        <v>0</v>
      </c>
      <c r="O5285" t="n">
        <v>0</v>
      </c>
      <c r="P5285" t="n">
        <v>0</v>
      </c>
      <c r="Q5285" t="n">
        <v>0</v>
      </c>
      <c r="R5285" s="2" t="inlineStr"/>
    </row>
    <row r="5286" ht="15" customHeight="1">
      <c r="A5286" t="inlineStr">
        <is>
          <t>A 51975-2025</t>
        </is>
      </c>
      <c r="B5286" s="1" t="n">
        <v>45952</v>
      </c>
      <c r="C5286" s="1" t="n">
        <v>46114</v>
      </c>
      <c r="D5286" t="inlineStr">
        <is>
          <t>DALARNAS LÄN</t>
        </is>
      </c>
      <c r="E5286" t="inlineStr">
        <is>
          <t>ÄLVDALEN</t>
        </is>
      </c>
      <c r="F5286" t="inlineStr">
        <is>
          <t>Allmännings- och besparingsskogar</t>
        </is>
      </c>
      <c r="G5286" t="n">
        <v>3.5</v>
      </c>
      <c r="H5286" t="n">
        <v>0</v>
      </c>
      <c r="I5286" t="n">
        <v>0</v>
      </c>
      <c r="J5286" t="n">
        <v>0</v>
      </c>
      <c r="K5286" t="n">
        <v>0</v>
      </c>
      <c r="L5286" t="n">
        <v>0</v>
      </c>
      <c r="M5286" t="n">
        <v>0</v>
      </c>
      <c r="N5286" t="n">
        <v>0</v>
      </c>
      <c r="O5286" t="n">
        <v>0</v>
      </c>
      <c r="P5286" t="n">
        <v>0</v>
      </c>
      <c r="Q5286" t="n">
        <v>0</v>
      </c>
      <c r="R5286" s="2" t="inlineStr"/>
    </row>
    <row r="5287" ht="15" customHeight="1">
      <c r="A5287" t="inlineStr">
        <is>
          <t>A 56393-2024</t>
        </is>
      </c>
      <c r="B5287" s="1" t="n">
        <v>45625</v>
      </c>
      <c r="C5287" s="1" t="n">
        <v>46114</v>
      </c>
      <c r="D5287" t="inlineStr">
        <is>
          <t>DALARNAS LÄN</t>
        </is>
      </c>
      <c r="E5287" t="inlineStr">
        <is>
          <t>SMEDJEBACKEN</t>
        </is>
      </c>
      <c r="F5287" t="inlineStr">
        <is>
          <t>Sveaskog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52000-2025</t>
        </is>
      </c>
      <c r="B5288" s="1" t="n">
        <v>45952.58974537037</v>
      </c>
      <c r="C5288" s="1" t="n">
        <v>46114</v>
      </c>
      <c r="D5288" t="inlineStr">
        <is>
          <t>DALARNAS LÄN</t>
        </is>
      </c>
      <c r="E5288" t="inlineStr">
        <is>
          <t>SMEDJEBACKEN</t>
        </is>
      </c>
      <c r="F5288" t="inlineStr">
        <is>
          <t>Sveaskog</t>
        </is>
      </c>
      <c r="G5288" t="n">
        <v>4.7</v>
      </c>
      <c r="H5288" t="n">
        <v>0</v>
      </c>
      <c r="I5288" t="n">
        <v>0</v>
      </c>
      <c r="J5288" t="n">
        <v>0</v>
      </c>
      <c r="K5288" t="n">
        <v>0</v>
      </c>
      <c r="L5288" t="n">
        <v>0</v>
      </c>
      <c r="M5288" t="n">
        <v>0</v>
      </c>
      <c r="N5288" t="n">
        <v>0</v>
      </c>
      <c r="O5288" t="n">
        <v>0</v>
      </c>
      <c r="P5288" t="n">
        <v>0</v>
      </c>
      <c r="Q5288" t="n">
        <v>0</v>
      </c>
      <c r="R5288" s="2" t="inlineStr"/>
    </row>
    <row r="5289" ht="15" customHeight="1">
      <c r="A5289" t="inlineStr">
        <is>
          <t>A 52004-2025</t>
        </is>
      </c>
      <c r="B5289" s="1" t="n">
        <v>45952.59214120371</v>
      </c>
      <c r="C5289" s="1" t="n">
        <v>46114</v>
      </c>
      <c r="D5289" t="inlineStr">
        <is>
          <t>DALARNAS LÄN</t>
        </is>
      </c>
      <c r="E5289" t="inlineStr">
        <is>
          <t>SMEDJEBACKEN</t>
        </is>
      </c>
      <c r="F5289" t="inlineStr">
        <is>
          <t>Sveaskog</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52046-2025</t>
        </is>
      </c>
      <c r="B5290" s="1" t="n">
        <v>45952.61695601852</v>
      </c>
      <c r="C5290" s="1" t="n">
        <v>46114</v>
      </c>
      <c r="D5290" t="inlineStr">
        <is>
          <t>DALARNAS LÄN</t>
        </is>
      </c>
      <c r="E5290" t="inlineStr">
        <is>
          <t>RÄTTVIK</t>
        </is>
      </c>
      <c r="F5290" t="inlineStr">
        <is>
          <t>Bergvik skog väst AB</t>
        </is>
      </c>
      <c r="G5290" t="n">
        <v>1.6</v>
      </c>
      <c r="H5290" t="n">
        <v>0</v>
      </c>
      <c r="I5290" t="n">
        <v>0</v>
      </c>
      <c r="J5290" t="n">
        <v>0</v>
      </c>
      <c r="K5290" t="n">
        <v>0</v>
      </c>
      <c r="L5290" t="n">
        <v>0</v>
      </c>
      <c r="M5290" t="n">
        <v>0</v>
      </c>
      <c r="N5290" t="n">
        <v>0</v>
      </c>
      <c r="O5290" t="n">
        <v>0</v>
      </c>
      <c r="P5290" t="n">
        <v>0</v>
      </c>
      <c r="Q5290" t="n">
        <v>0</v>
      </c>
      <c r="R5290" s="2" t="inlineStr"/>
    </row>
    <row r="5291" ht="15" customHeight="1">
      <c r="A5291" t="inlineStr">
        <is>
          <t>A 52048-2025</t>
        </is>
      </c>
      <c r="B5291" s="1" t="n">
        <v>45952.61868055556</v>
      </c>
      <c r="C5291" s="1" t="n">
        <v>46114</v>
      </c>
      <c r="D5291" t="inlineStr">
        <is>
          <t>DALARNAS LÄN</t>
        </is>
      </c>
      <c r="E5291" t="inlineStr">
        <is>
          <t>RÄTTVIK</t>
        </is>
      </c>
      <c r="F5291" t="inlineStr">
        <is>
          <t>Bergvik skog väst AB</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52296-2025</t>
        </is>
      </c>
      <c r="B5292" s="1" t="n">
        <v>45953.60881944445</v>
      </c>
      <c r="C5292" s="1" t="n">
        <v>46114</v>
      </c>
      <c r="D5292" t="inlineStr">
        <is>
          <t>DALARNAS LÄN</t>
        </is>
      </c>
      <c r="E5292" t="inlineStr">
        <is>
          <t>RÄTTVIK</t>
        </is>
      </c>
      <c r="F5292" t="inlineStr">
        <is>
          <t>Bergvik skog väst AB</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52350-2025</t>
        </is>
      </c>
      <c r="B5293" s="1" t="n">
        <v>45953.73703703703</v>
      </c>
      <c r="C5293" s="1" t="n">
        <v>46114</v>
      </c>
      <c r="D5293" t="inlineStr">
        <is>
          <t>DALARNAS LÄN</t>
        </is>
      </c>
      <c r="E5293" t="inlineStr">
        <is>
          <t>AVESTA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34334-2023</t>
        </is>
      </c>
      <c r="B5294" s="1" t="n">
        <v>45139</v>
      </c>
      <c r="C5294" s="1" t="n">
        <v>46114</v>
      </c>
      <c r="D5294" t="inlineStr">
        <is>
          <t>DALARNAS LÄN</t>
        </is>
      </c>
      <c r="E5294" t="inlineStr">
        <is>
          <t>BORLÄNGE</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52033-2025</t>
        </is>
      </c>
      <c r="B5295" s="1" t="n">
        <v>45952.6122337963</v>
      </c>
      <c r="C5295" s="1" t="n">
        <v>46114</v>
      </c>
      <c r="D5295" t="inlineStr">
        <is>
          <t>DALARNAS LÄN</t>
        </is>
      </c>
      <c r="E5295" t="inlineStr">
        <is>
          <t>ÄLVDALEN</t>
        </is>
      </c>
      <c r="F5295" t="inlineStr">
        <is>
          <t>Allmännings- och besparingsskogar</t>
        </is>
      </c>
      <c r="G5295" t="n">
        <v>3.5</v>
      </c>
      <c r="H5295" t="n">
        <v>0</v>
      </c>
      <c r="I5295" t="n">
        <v>0</v>
      </c>
      <c r="J5295" t="n">
        <v>0</v>
      </c>
      <c r="K5295" t="n">
        <v>0</v>
      </c>
      <c r="L5295" t="n">
        <v>0</v>
      </c>
      <c r="M5295" t="n">
        <v>0</v>
      </c>
      <c r="N5295" t="n">
        <v>0</v>
      </c>
      <c r="O5295" t="n">
        <v>0</v>
      </c>
      <c r="P5295" t="n">
        <v>0</v>
      </c>
      <c r="Q5295" t="n">
        <v>0</v>
      </c>
      <c r="R5295" s="2" t="inlineStr"/>
    </row>
    <row r="5296" ht="15" customHeight="1">
      <c r="A5296" t="inlineStr">
        <is>
          <t>A 62161-2024</t>
        </is>
      </c>
      <c r="B5296" s="1" t="n">
        <v>45656.86009259259</v>
      </c>
      <c r="C5296" s="1" t="n">
        <v>46114</v>
      </c>
      <c r="D5296" t="inlineStr">
        <is>
          <t>DALARNAS LÄN</t>
        </is>
      </c>
      <c r="E5296" t="inlineStr">
        <is>
          <t>LEKSAND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52316-2025</t>
        </is>
      </c>
      <c r="B5297" s="1" t="n">
        <v>45953.65537037037</v>
      </c>
      <c r="C5297" s="1" t="n">
        <v>46114</v>
      </c>
      <c r="D5297" t="inlineStr">
        <is>
          <t>DALARNAS LÄN</t>
        </is>
      </c>
      <c r="E5297" t="inlineStr">
        <is>
          <t>HEDEMORA</t>
        </is>
      </c>
      <c r="F5297" t="inlineStr">
        <is>
          <t>Sveaskog</t>
        </is>
      </c>
      <c r="G5297" t="n">
        <v>8.800000000000001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52325-2025</t>
        </is>
      </c>
      <c r="B5298" s="1" t="n">
        <v>45953.67032407408</v>
      </c>
      <c r="C5298" s="1" t="n">
        <v>46114</v>
      </c>
      <c r="D5298" t="inlineStr">
        <is>
          <t>DALARNAS LÄN</t>
        </is>
      </c>
      <c r="E5298" t="inlineStr">
        <is>
          <t>HEDEMORA</t>
        </is>
      </c>
      <c r="F5298" t="inlineStr">
        <is>
          <t>Sveaskog</t>
        </is>
      </c>
      <c r="G5298" t="n">
        <v>3.2</v>
      </c>
      <c r="H5298" t="n">
        <v>0</v>
      </c>
      <c r="I5298" t="n">
        <v>0</v>
      </c>
      <c r="J5298" t="n">
        <v>0</v>
      </c>
      <c r="K5298" t="n">
        <v>0</v>
      </c>
      <c r="L5298" t="n">
        <v>0</v>
      </c>
      <c r="M5298" t="n">
        <v>0</v>
      </c>
      <c r="N5298" t="n">
        <v>0</v>
      </c>
      <c r="O5298" t="n">
        <v>0</v>
      </c>
      <c r="P5298" t="n">
        <v>0</v>
      </c>
      <c r="Q5298" t="n">
        <v>0</v>
      </c>
      <c r="R5298" s="2" t="inlineStr"/>
    </row>
    <row r="5299" ht="15" customHeight="1">
      <c r="A5299" t="inlineStr">
        <is>
          <t>A 51823-2025</t>
        </is>
      </c>
      <c r="B5299" s="1" t="n">
        <v>45952.01278935185</v>
      </c>
      <c r="C5299" s="1" t="n">
        <v>46114</v>
      </c>
      <c r="D5299" t="inlineStr">
        <is>
          <t>DALARNAS LÄN</t>
        </is>
      </c>
      <c r="E5299" t="inlineStr">
        <is>
          <t>LUDVIKA</t>
        </is>
      </c>
      <c r="G5299" t="n">
        <v>3.9</v>
      </c>
      <c r="H5299" t="n">
        <v>0</v>
      </c>
      <c r="I5299" t="n">
        <v>0</v>
      </c>
      <c r="J5299" t="n">
        <v>0</v>
      </c>
      <c r="K5299" t="n">
        <v>0</v>
      </c>
      <c r="L5299" t="n">
        <v>0</v>
      </c>
      <c r="M5299" t="n">
        <v>0</v>
      </c>
      <c r="N5299" t="n">
        <v>0</v>
      </c>
      <c r="O5299" t="n">
        <v>0</v>
      </c>
      <c r="P5299" t="n">
        <v>0</v>
      </c>
      <c r="Q5299" t="n">
        <v>0</v>
      </c>
      <c r="R5299" s="2" t="inlineStr"/>
    </row>
    <row r="5300" ht="15" customHeight="1">
      <c r="A5300" t="inlineStr">
        <is>
          <t>A 41158-2022</t>
        </is>
      </c>
      <c r="B5300" s="1" t="n">
        <v>44825.88506944444</v>
      </c>
      <c r="C5300" s="1" t="n">
        <v>46114</v>
      </c>
      <c r="D5300" t="inlineStr">
        <is>
          <t>DALARNAS LÄN</t>
        </is>
      </c>
      <c r="E5300" t="inlineStr">
        <is>
          <t>LUDVIKA</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34835-2023</t>
        </is>
      </c>
      <c r="B5301" s="1" t="n">
        <v>45141</v>
      </c>
      <c r="C5301" s="1" t="n">
        <v>46114</v>
      </c>
      <c r="D5301" t="inlineStr">
        <is>
          <t>DALARNAS LÄN</t>
        </is>
      </c>
      <c r="E5301" t="inlineStr">
        <is>
          <t>ÄLVDALEN</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52443-2025</t>
        </is>
      </c>
      <c r="B5302" s="1" t="n">
        <v>45954.41559027778</v>
      </c>
      <c r="C5302" s="1" t="n">
        <v>46114</v>
      </c>
      <c r="D5302" t="inlineStr">
        <is>
          <t>DALARNAS LÄN</t>
        </is>
      </c>
      <c r="E5302" t="inlineStr">
        <is>
          <t>BORLÄNGE</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52452-2025</t>
        </is>
      </c>
      <c r="B5303" s="1" t="n">
        <v>45954.42386574074</v>
      </c>
      <c r="C5303" s="1" t="n">
        <v>46114</v>
      </c>
      <c r="D5303" t="inlineStr">
        <is>
          <t>DALARNAS LÄN</t>
        </is>
      </c>
      <c r="E5303" t="inlineStr">
        <is>
          <t>SÄTER</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52485-2025</t>
        </is>
      </c>
      <c r="B5304" s="1" t="n">
        <v>45954.47804398148</v>
      </c>
      <c r="C5304" s="1" t="n">
        <v>46114</v>
      </c>
      <c r="D5304" t="inlineStr">
        <is>
          <t>DALARNAS LÄN</t>
        </is>
      </c>
      <c r="E5304" t="inlineStr">
        <is>
          <t>ORSA</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52486-2025</t>
        </is>
      </c>
      <c r="B5305" s="1" t="n">
        <v>45954.47844907407</v>
      </c>
      <c r="C5305" s="1" t="n">
        <v>46114</v>
      </c>
      <c r="D5305" t="inlineStr">
        <is>
          <t>DALARNAS LÄN</t>
        </is>
      </c>
      <c r="E5305" t="inlineStr">
        <is>
          <t>ORSA</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45402-2024</t>
        </is>
      </c>
      <c r="B5306" s="1" t="n">
        <v>45576</v>
      </c>
      <c r="C5306" s="1" t="n">
        <v>46114</v>
      </c>
      <c r="D5306" t="inlineStr">
        <is>
          <t>DALARNAS LÄN</t>
        </is>
      </c>
      <c r="E5306" t="inlineStr">
        <is>
          <t>LUDVIKA</t>
        </is>
      </c>
      <c r="F5306" t="inlineStr">
        <is>
          <t>Bergvik skog väst AB</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52460-2025</t>
        </is>
      </c>
      <c r="B5307" s="1" t="n">
        <v>45954.4345949074</v>
      </c>
      <c r="C5307" s="1" t="n">
        <v>46114</v>
      </c>
      <c r="D5307" t="inlineStr">
        <is>
          <t>DALARNAS LÄN</t>
        </is>
      </c>
      <c r="E5307" t="inlineStr">
        <is>
          <t>FALUN</t>
        </is>
      </c>
      <c r="F5307" t="inlineStr">
        <is>
          <t>Bergvik skog väst AB</t>
        </is>
      </c>
      <c r="G5307" t="n">
        <v>6.1</v>
      </c>
      <c r="H5307" t="n">
        <v>0</v>
      </c>
      <c r="I5307" t="n">
        <v>0</v>
      </c>
      <c r="J5307" t="n">
        <v>0</v>
      </c>
      <c r="K5307" t="n">
        <v>0</v>
      </c>
      <c r="L5307" t="n">
        <v>0</v>
      </c>
      <c r="M5307" t="n">
        <v>0</v>
      </c>
      <c r="N5307" t="n">
        <v>0</v>
      </c>
      <c r="O5307" t="n">
        <v>0</v>
      </c>
      <c r="P5307" t="n">
        <v>0</v>
      </c>
      <c r="Q5307" t="n">
        <v>0</v>
      </c>
      <c r="R5307" s="2" t="inlineStr"/>
    </row>
    <row r="5308" ht="15" customHeight="1">
      <c r="A5308" t="inlineStr">
        <is>
          <t>A 52491-2025</t>
        </is>
      </c>
      <c r="B5308" s="1" t="n">
        <v>45954</v>
      </c>
      <c r="C5308" s="1" t="n">
        <v>46114</v>
      </c>
      <c r="D5308" t="inlineStr">
        <is>
          <t>DALARNAS LÄN</t>
        </is>
      </c>
      <c r="E5308" t="inlineStr">
        <is>
          <t>LUDVIKA</t>
        </is>
      </c>
      <c r="F5308" t="inlineStr">
        <is>
          <t>Bergvik skog väst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52500-2025</t>
        </is>
      </c>
      <c r="B5309" s="1" t="n">
        <v>45954</v>
      </c>
      <c r="C5309" s="1" t="n">
        <v>46114</v>
      </c>
      <c r="D5309" t="inlineStr">
        <is>
          <t>DALARNAS LÄN</t>
        </is>
      </c>
      <c r="E5309" t="inlineStr">
        <is>
          <t>LUDVIKA</t>
        </is>
      </c>
      <c r="F5309" t="inlineStr">
        <is>
          <t>Bergvik skog väst AB</t>
        </is>
      </c>
      <c r="G5309" t="n">
        <v>9</v>
      </c>
      <c r="H5309" t="n">
        <v>0</v>
      </c>
      <c r="I5309" t="n">
        <v>0</v>
      </c>
      <c r="J5309" t="n">
        <v>0</v>
      </c>
      <c r="K5309" t="n">
        <v>0</v>
      </c>
      <c r="L5309" t="n">
        <v>0</v>
      </c>
      <c r="M5309" t="n">
        <v>0</v>
      </c>
      <c r="N5309" t="n">
        <v>0</v>
      </c>
      <c r="O5309" t="n">
        <v>0</v>
      </c>
      <c r="P5309" t="n">
        <v>0</v>
      </c>
      <c r="Q5309" t="n">
        <v>0</v>
      </c>
      <c r="R5309" s="2" t="inlineStr"/>
    </row>
    <row r="5310" ht="15" customHeight="1">
      <c r="A5310" t="inlineStr">
        <is>
          <t>A 8447-2022</t>
        </is>
      </c>
      <c r="B5310" s="1" t="n">
        <v>44612</v>
      </c>
      <c r="C5310" s="1" t="n">
        <v>46114</v>
      </c>
      <c r="D5310" t="inlineStr">
        <is>
          <t>DALARNAS LÄN</t>
        </is>
      </c>
      <c r="E5310" t="inlineStr">
        <is>
          <t>VANSBRO</t>
        </is>
      </c>
      <c r="G5310" t="n">
        <v>0.1</v>
      </c>
      <c r="H5310" t="n">
        <v>0</v>
      </c>
      <c r="I5310" t="n">
        <v>0</v>
      </c>
      <c r="J5310" t="n">
        <v>0</v>
      </c>
      <c r="K5310" t="n">
        <v>0</v>
      </c>
      <c r="L5310" t="n">
        <v>0</v>
      </c>
      <c r="M5310" t="n">
        <v>0</v>
      </c>
      <c r="N5310" t="n">
        <v>0</v>
      </c>
      <c r="O5310" t="n">
        <v>0</v>
      </c>
      <c r="P5310" t="n">
        <v>0</v>
      </c>
      <c r="Q5310" t="n">
        <v>0</v>
      </c>
      <c r="R5310" s="2" t="inlineStr"/>
    </row>
    <row r="5311" ht="15" customHeight="1">
      <c r="A5311" t="inlineStr">
        <is>
          <t>A 52756-2025</t>
        </is>
      </c>
      <c r="B5311" s="1" t="n">
        <v>45957.39171296296</v>
      </c>
      <c r="C5311" s="1" t="n">
        <v>46114</v>
      </c>
      <c r="D5311" t="inlineStr">
        <is>
          <t>DALARNAS LÄN</t>
        </is>
      </c>
      <c r="E5311" t="inlineStr">
        <is>
          <t>MALUNG-SÄLEN</t>
        </is>
      </c>
      <c r="G5311" t="n">
        <v>7.7</v>
      </c>
      <c r="H5311" t="n">
        <v>0</v>
      </c>
      <c r="I5311" t="n">
        <v>0</v>
      </c>
      <c r="J5311" t="n">
        <v>0</v>
      </c>
      <c r="K5311" t="n">
        <v>0</v>
      </c>
      <c r="L5311" t="n">
        <v>0</v>
      </c>
      <c r="M5311" t="n">
        <v>0</v>
      </c>
      <c r="N5311" t="n">
        <v>0</v>
      </c>
      <c r="O5311" t="n">
        <v>0</v>
      </c>
      <c r="P5311" t="n">
        <v>0</v>
      </c>
      <c r="Q5311" t="n">
        <v>0</v>
      </c>
      <c r="R5311" s="2" t="inlineStr"/>
    </row>
    <row r="5312" ht="15" customHeight="1">
      <c r="A5312" t="inlineStr">
        <is>
          <t>A 52759-2025</t>
        </is>
      </c>
      <c r="B5312" s="1" t="n">
        <v>45957.39364583333</v>
      </c>
      <c r="C5312" s="1" t="n">
        <v>46114</v>
      </c>
      <c r="D5312" t="inlineStr">
        <is>
          <t>DALARNAS LÄN</t>
        </is>
      </c>
      <c r="E5312" t="inlineStr">
        <is>
          <t>HEDEMORA</t>
        </is>
      </c>
      <c r="G5312" t="n">
        <v>0.8</v>
      </c>
      <c r="H5312" t="n">
        <v>0</v>
      </c>
      <c r="I5312" t="n">
        <v>0</v>
      </c>
      <c r="J5312" t="n">
        <v>0</v>
      </c>
      <c r="K5312" t="n">
        <v>0</v>
      </c>
      <c r="L5312" t="n">
        <v>0</v>
      </c>
      <c r="M5312" t="n">
        <v>0</v>
      </c>
      <c r="N5312" t="n">
        <v>0</v>
      </c>
      <c r="O5312" t="n">
        <v>0</v>
      </c>
      <c r="P5312" t="n">
        <v>0</v>
      </c>
      <c r="Q5312" t="n">
        <v>0</v>
      </c>
      <c r="R5312" s="2" t="inlineStr"/>
    </row>
    <row r="5313" ht="15" customHeight="1">
      <c r="A5313" t="inlineStr">
        <is>
          <t>A 52792-2025</t>
        </is>
      </c>
      <c r="B5313" s="1" t="n">
        <v>45957.43186342593</v>
      </c>
      <c r="C5313" s="1" t="n">
        <v>46114</v>
      </c>
      <c r="D5313" t="inlineStr">
        <is>
          <t>DALARNAS LÄN</t>
        </is>
      </c>
      <c r="E5313" t="inlineStr">
        <is>
          <t>MALUNG-SÄLEN</t>
        </is>
      </c>
      <c r="G5313" t="n">
        <v>4.1</v>
      </c>
      <c r="H5313" t="n">
        <v>0</v>
      </c>
      <c r="I5313" t="n">
        <v>0</v>
      </c>
      <c r="J5313" t="n">
        <v>0</v>
      </c>
      <c r="K5313" t="n">
        <v>0</v>
      </c>
      <c r="L5313" t="n">
        <v>0</v>
      </c>
      <c r="M5313" t="n">
        <v>0</v>
      </c>
      <c r="N5313" t="n">
        <v>0</v>
      </c>
      <c r="O5313" t="n">
        <v>0</v>
      </c>
      <c r="P5313" t="n">
        <v>0</v>
      </c>
      <c r="Q5313" t="n">
        <v>0</v>
      </c>
      <c r="R5313" s="2" t="inlineStr"/>
    </row>
    <row r="5314" ht="15" customHeight="1">
      <c r="A5314" t="inlineStr">
        <is>
          <t>A 52794-2025</t>
        </is>
      </c>
      <c r="B5314" s="1" t="n">
        <v>45957.43469907407</v>
      </c>
      <c r="C5314" s="1" t="n">
        <v>46114</v>
      </c>
      <c r="D5314" t="inlineStr">
        <is>
          <t>DALARNAS LÄN</t>
        </is>
      </c>
      <c r="E5314" t="inlineStr">
        <is>
          <t>MALUNG-SÄLEN</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52804-2025</t>
        </is>
      </c>
      <c r="B5315" s="1" t="n">
        <v>45957.44552083333</v>
      </c>
      <c r="C5315" s="1" t="n">
        <v>46114</v>
      </c>
      <c r="D5315" t="inlineStr">
        <is>
          <t>DALARNAS LÄN</t>
        </is>
      </c>
      <c r="E5315" t="inlineStr">
        <is>
          <t>MORA</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52977-2025</t>
        </is>
      </c>
      <c r="B5316" s="1" t="n">
        <v>45957</v>
      </c>
      <c r="C5316" s="1" t="n">
        <v>46114</v>
      </c>
      <c r="D5316" t="inlineStr">
        <is>
          <t>DALARNAS LÄN</t>
        </is>
      </c>
      <c r="E5316" t="inlineStr">
        <is>
          <t>MALUNG-SÄLEN</t>
        </is>
      </c>
      <c r="F5316" t="inlineStr">
        <is>
          <t>Bergvik skog väst AB</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52967-2025</t>
        </is>
      </c>
      <c r="B5317" s="1" t="n">
        <v>45957</v>
      </c>
      <c r="C5317" s="1" t="n">
        <v>46114</v>
      </c>
      <c r="D5317" t="inlineStr">
        <is>
          <t>DALARNAS LÄN</t>
        </is>
      </c>
      <c r="E5317" t="inlineStr">
        <is>
          <t>MALUNG-SÄLEN</t>
        </is>
      </c>
      <c r="F5317" t="inlineStr">
        <is>
          <t>Bergvik skog väst AB</t>
        </is>
      </c>
      <c r="G5317" t="n">
        <v>5.5</v>
      </c>
      <c r="H5317" t="n">
        <v>0</v>
      </c>
      <c r="I5317" t="n">
        <v>0</v>
      </c>
      <c r="J5317" t="n">
        <v>0</v>
      </c>
      <c r="K5317" t="n">
        <v>0</v>
      </c>
      <c r="L5317" t="n">
        <v>0</v>
      </c>
      <c r="M5317" t="n">
        <v>0</v>
      </c>
      <c r="N5317" t="n">
        <v>0</v>
      </c>
      <c r="O5317" t="n">
        <v>0</v>
      </c>
      <c r="P5317" t="n">
        <v>0</v>
      </c>
      <c r="Q5317" t="n">
        <v>0</v>
      </c>
      <c r="R5317" s="2" t="inlineStr"/>
    </row>
    <row r="5318" ht="15" customHeight="1">
      <c r="A5318" t="inlineStr">
        <is>
          <t>A 52738-2025</t>
        </is>
      </c>
      <c r="B5318" s="1" t="n">
        <v>45957.37429398148</v>
      </c>
      <c r="C5318" s="1" t="n">
        <v>46114</v>
      </c>
      <c r="D5318" t="inlineStr">
        <is>
          <t>DALARNAS LÄN</t>
        </is>
      </c>
      <c r="E5318" t="inlineStr">
        <is>
          <t>GAGNEF</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52750-2025</t>
        </is>
      </c>
      <c r="B5319" s="1" t="n">
        <v>45957.38642361111</v>
      </c>
      <c r="C5319" s="1" t="n">
        <v>46114</v>
      </c>
      <c r="D5319" t="inlineStr">
        <is>
          <t>DALARNAS LÄN</t>
        </is>
      </c>
      <c r="E5319" t="inlineStr">
        <is>
          <t>BORLÄNGE</t>
        </is>
      </c>
      <c r="G5319" t="n">
        <v>5.2</v>
      </c>
      <c r="H5319" t="n">
        <v>0</v>
      </c>
      <c r="I5319" t="n">
        <v>0</v>
      </c>
      <c r="J5319" t="n">
        <v>0</v>
      </c>
      <c r="K5319" t="n">
        <v>0</v>
      </c>
      <c r="L5319" t="n">
        <v>0</v>
      </c>
      <c r="M5319" t="n">
        <v>0</v>
      </c>
      <c r="N5319" t="n">
        <v>0</v>
      </c>
      <c r="O5319" t="n">
        <v>0</v>
      </c>
      <c r="P5319" t="n">
        <v>0</v>
      </c>
      <c r="Q5319" t="n">
        <v>0</v>
      </c>
      <c r="R5319" s="2" t="inlineStr"/>
    </row>
    <row r="5320" ht="15" customHeight="1">
      <c r="A5320" t="inlineStr">
        <is>
          <t>A 52752-2025</t>
        </is>
      </c>
      <c r="B5320" s="1" t="n">
        <v>45957.38789351852</v>
      </c>
      <c r="C5320" s="1" t="n">
        <v>46114</v>
      </c>
      <c r="D5320" t="inlineStr">
        <is>
          <t>DALARNAS LÄN</t>
        </is>
      </c>
      <c r="E5320" t="inlineStr">
        <is>
          <t>FALUN</t>
        </is>
      </c>
      <c r="G5320" t="n">
        <v>5</v>
      </c>
      <c r="H5320" t="n">
        <v>0</v>
      </c>
      <c r="I5320" t="n">
        <v>0</v>
      </c>
      <c r="J5320" t="n">
        <v>0</v>
      </c>
      <c r="K5320" t="n">
        <v>0</v>
      </c>
      <c r="L5320" t="n">
        <v>0</v>
      </c>
      <c r="M5320" t="n">
        <v>0</v>
      </c>
      <c r="N5320" t="n">
        <v>0</v>
      </c>
      <c r="O5320" t="n">
        <v>0</v>
      </c>
      <c r="P5320" t="n">
        <v>0</v>
      </c>
      <c r="Q5320" t="n">
        <v>0</v>
      </c>
      <c r="R5320" s="2" t="inlineStr"/>
    </row>
    <row r="5321" ht="15" customHeight="1">
      <c r="A5321" t="inlineStr">
        <is>
          <t>A 1982-2025</t>
        </is>
      </c>
      <c r="B5321" s="1" t="n">
        <v>45672.40387731481</v>
      </c>
      <c r="C5321" s="1" t="n">
        <v>46114</v>
      </c>
      <c r="D5321" t="inlineStr">
        <is>
          <t>DALARNAS LÄN</t>
        </is>
      </c>
      <c r="E5321" t="inlineStr">
        <is>
          <t>MALUNG-SÄLEN</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57803-2023</t>
        </is>
      </c>
      <c r="B5322" s="1" t="n">
        <v>45246</v>
      </c>
      <c r="C5322" s="1" t="n">
        <v>46114</v>
      </c>
      <c r="D5322" t="inlineStr">
        <is>
          <t>DALARNAS LÄN</t>
        </is>
      </c>
      <c r="E5322" t="inlineStr">
        <is>
          <t>LUDVIKA</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1983-2025</t>
        </is>
      </c>
      <c r="B5323" s="1" t="n">
        <v>45670</v>
      </c>
      <c r="C5323" s="1" t="n">
        <v>46114</v>
      </c>
      <c r="D5323" t="inlineStr">
        <is>
          <t>DALARNAS LÄN</t>
        </is>
      </c>
      <c r="E5323" t="inlineStr">
        <is>
          <t>LEKSAND</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52671-2025</t>
        </is>
      </c>
      <c r="B5324" s="1" t="n">
        <v>45955.98113425926</v>
      </c>
      <c r="C5324" s="1" t="n">
        <v>46114</v>
      </c>
      <c r="D5324" t="inlineStr">
        <is>
          <t>DALARNAS LÄN</t>
        </is>
      </c>
      <c r="E5324" t="inlineStr">
        <is>
          <t>LEKSAND</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52674-2025</t>
        </is>
      </c>
      <c r="B5325" s="1" t="n">
        <v>45956.09799768519</v>
      </c>
      <c r="C5325" s="1" t="n">
        <v>46114</v>
      </c>
      <c r="D5325" t="inlineStr">
        <is>
          <t>DALARNAS LÄN</t>
        </is>
      </c>
      <c r="E5325" t="inlineStr">
        <is>
          <t>VANSBRO</t>
        </is>
      </c>
      <c r="F5325" t="inlineStr">
        <is>
          <t>Bergvik skog väst AB</t>
        </is>
      </c>
      <c r="G5325" t="n">
        <v>2.1</v>
      </c>
      <c r="H5325" t="n">
        <v>0</v>
      </c>
      <c r="I5325" t="n">
        <v>0</v>
      </c>
      <c r="J5325" t="n">
        <v>0</v>
      </c>
      <c r="K5325" t="n">
        <v>0</v>
      </c>
      <c r="L5325" t="n">
        <v>0</v>
      </c>
      <c r="M5325" t="n">
        <v>0</v>
      </c>
      <c r="N5325" t="n">
        <v>0</v>
      </c>
      <c r="O5325" t="n">
        <v>0</v>
      </c>
      <c r="P5325" t="n">
        <v>0</v>
      </c>
      <c r="Q5325" t="n">
        <v>0</v>
      </c>
      <c r="R5325" s="2" t="inlineStr"/>
    </row>
    <row r="5326" ht="15" customHeight="1">
      <c r="A5326" t="inlineStr">
        <is>
          <t>A 52676-2025</t>
        </is>
      </c>
      <c r="B5326" s="1" t="n">
        <v>45956.11425925926</v>
      </c>
      <c r="C5326" s="1" t="n">
        <v>46114</v>
      </c>
      <c r="D5326" t="inlineStr">
        <is>
          <t>DALARNAS LÄN</t>
        </is>
      </c>
      <c r="E5326" t="inlineStr">
        <is>
          <t>VANSBRO</t>
        </is>
      </c>
      <c r="F5326" t="inlineStr">
        <is>
          <t>Bergvik skog väst AB</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56668-2024</t>
        </is>
      </c>
      <c r="B5327" s="1" t="n">
        <v>45626.41185185185</v>
      </c>
      <c r="C5327" s="1" t="n">
        <v>46114</v>
      </c>
      <c r="D5327" t="inlineStr">
        <is>
          <t>DALARNAS LÄN</t>
        </is>
      </c>
      <c r="E5327" t="inlineStr">
        <is>
          <t>HEDEMORA</t>
        </is>
      </c>
      <c r="F5327" t="inlineStr">
        <is>
          <t>Sveaskog</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59799-2024</t>
        </is>
      </c>
      <c r="B5328" s="1" t="n">
        <v>45639.59391203704</v>
      </c>
      <c r="C5328" s="1" t="n">
        <v>46114</v>
      </c>
      <c r="D5328" t="inlineStr">
        <is>
          <t>DALARNAS LÄN</t>
        </is>
      </c>
      <c r="E5328" t="inlineStr">
        <is>
          <t>FALUN</t>
        </is>
      </c>
      <c r="G5328" t="n">
        <v>4.9</v>
      </c>
      <c r="H5328" t="n">
        <v>0</v>
      </c>
      <c r="I5328" t="n">
        <v>0</v>
      </c>
      <c r="J5328" t="n">
        <v>0</v>
      </c>
      <c r="K5328" t="n">
        <v>0</v>
      </c>
      <c r="L5328" t="n">
        <v>0</v>
      </c>
      <c r="M5328" t="n">
        <v>0</v>
      </c>
      <c r="N5328" t="n">
        <v>0</v>
      </c>
      <c r="O5328" t="n">
        <v>0</v>
      </c>
      <c r="P5328" t="n">
        <v>0</v>
      </c>
      <c r="Q5328" t="n">
        <v>0</v>
      </c>
      <c r="R5328" s="2" t="inlineStr"/>
    </row>
    <row r="5329" ht="15" customHeight="1">
      <c r="A5329" t="inlineStr">
        <is>
          <t>A 42924-2024</t>
        </is>
      </c>
      <c r="B5329" s="1" t="n">
        <v>45567.31128472222</v>
      </c>
      <c r="C5329" s="1" t="n">
        <v>46114</v>
      </c>
      <c r="D5329" t="inlineStr">
        <is>
          <t>DALARNAS LÄN</t>
        </is>
      </c>
      <c r="E5329" t="inlineStr">
        <is>
          <t>MALUNG-SÄLEN</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42933-2024</t>
        </is>
      </c>
      <c r="B5330" s="1" t="n">
        <v>45567.33315972222</v>
      </c>
      <c r="C5330" s="1" t="n">
        <v>46114</v>
      </c>
      <c r="D5330" t="inlineStr">
        <is>
          <t>DALARNAS LÄN</t>
        </is>
      </c>
      <c r="E5330" t="inlineStr">
        <is>
          <t>RÄTTVIK</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45245-2022</t>
        </is>
      </c>
      <c r="B5331" s="1" t="n">
        <v>44844.48002314815</v>
      </c>
      <c r="C5331" s="1" t="n">
        <v>46114</v>
      </c>
      <c r="D5331" t="inlineStr">
        <is>
          <t>DALARNAS LÄN</t>
        </is>
      </c>
      <c r="E5331" t="inlineStr">
        <is>
          <t>ÄLVDALEN</t>
        </is>
      </c>
      <c r="F5331" t="inlineStr">
        <is>
          <t>Bergvik skog väst AB</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5435-2025</t>
        </is>
      </c>
      <c r="B5332" s="1" t="n">
        <v>45692</v>
      </c>
      <c r="C5332" s="1" t="n">
        <v>46114</v>
      </c>
      <c r="D5332" t="inlineStr">
        <is>
          <t>DALARNAS LÄN</t>
        </is>
      </c>
      <c r="E5332" t="inlineStr">
        <is>
          <t>ORSA</t>
        </is>
      </c>
      <c r="G5332" t="n">
        <v>7.8</v>
      </c>
      <c r="H5332" t="n">
        <v>0</v>
      </c>
      <c r="I5332" t="n">
        <v>0</v>
      </c>
      <c r="J5332" t="n">
        <v>0</v>
      </c>
      <c r="K5332" t="n">
        <v>0</v>
      </c>
      <c r="L5332" t="n">
        <v>0</v>
      </c>
      <c r="M5332" t="n">
        <v>0</v>
      </c>
      <c r="N5332" t="n">
        <v>0</v>
      </c>
      <c r="O5332" t="n">
        <v>0</v>
      </c>
      <c r="P5332" t="n">
        <v>0</v>
      </c>
      <c r="Q5332" t="n">
        <v>0</v>
      </c>
      <c r="R5332" s="2" t="inlineStr"/>
    </row>
    <row r="5333" ht="15" customHeight="1">
      <c r="A5333" t="inlineStr">
        <is>
          <t>A 11598-2025</t>
        </is>
      </c>
      <c r="B5333" s="1" t="n">
        <v>45727</v>
      </c>
      <c r="C5333" s="1" t="n">
        <v>46114</v>
      </c>
      <c r="D5333" t="inlineStr">
        <is>
          <t>DALARNAS LÄN</t>
        </is>
      </c>
      <c r="E5333" t="inlineStr">
        <is>
          <t>VANSBRO</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52968-2025</t>
        </is>
      </c>
      <c r="B5334" s="1" t="n">
        <v>45957.67209490741</v>
      </c>
      <c r="C5334" s="1" t="n">
        <v>46114</v>
      </c>
      <c r="D5334" t="inlineStr">
        <is>
          <t>DALARNAS LÄN</t>
        </is>
      </c>
      <c r="E5334" t="inlineStr">
        <is>
          <t>SMEDJEBACKEN</t>
        </is>
      </c>
      <c r="F5334" t="inlineStr">
        <is>
          <t>Sveaskog</t>
        </is>
      </c>
      <c r="G5334" t="n">
        <v>3.6</v>
      </c>
      <c r="H5334" t="n">
        <v>0</v>
      </c>
      <c r="I5334" t="n">
        <v>0</v>
      </c>
      <c r="J5334" t="n">
        <v>0</v>
      </c>
      <c r="K5334" t="n">
        <v>0</v>
      </c>
      <c r="L5334" t="n">
        <v>0</v>
      </c>
      <c r="M5334" t="n">
        <v>0</v>
      </c>
      <c r="N5334" t="n">
        <v>0</v>
      </c>
      <c r="O5334" t="n">
        <v>0</v>
      </c>
      <c r="P5334" t="n">
        <v>0</v>
      </c>
      <c r="Q5334" t="n">
        <v>0</v>
      </c>
      <c r="R5334" s="2" t="inlineStr"/>
    </row>
    <row r="5335" ht="15" customHeight="1">
      <c r="A5335" t="inlineStr">
        <is>
          <t>A 52976-2025</t>
        </is>
      </c>
      <c r="B5335" s="1" t="n">
        <v>45957</v>
      </c>
      <c r="C5335" s="1" t="n">
        <v>46114</v>
      </c>
      <c r="D5335" t="inlineStr">
        <is>
          <t>DALARNAS LÄN</t>
        </is>
      </c>
      <c r="E5335" t="inlineStr">
        <is>
          <t>MALUNG-SÄLEN</t>
        </is>
      </c>
      <c r="F5335" t="inlineStr">
        <is>
          <t>Bergvik skog väst AB</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35327-2024</t>
        </is>
      </c>
      <c r="B5336" s="1" t="n">
        <v>45530.71334490741</v>
      </c>
      <c r="C5336" s="1" t="n">
        <v>46114</v>
      </c>
      <c r="D5336" t="inlineStr">
        <is>
          <t>DALARNAS LÄN</t>
        </is>
      </c>
      <c r="E5336" t="inlineStr">
        <is>
          <t>MORA</t>
        </is>
      </c>
      <c r="G5336" t="n">
        <v>5</v>
      </c>
      <c r="H5336" t="n">
        <v>0</v>
      </c>
      <c r="I5336" t="n">
        <v>0</v>
      </c>
      <c r="J5336" t="n">
        <v>0</v>
      </c>
      <c r="K5336" t="n">
        <v>0</v>
      </c>
      <c r="L5336" t="n">
        <v>0</v>
      </c>
      <c r="M5336" t="n">
        <v>0</v>
      </c>
      <c r="N5336" t="n">
        <v>0</v>
      </c>
      <c r="O5336" t="n">
        <v>0</v>
      </c>
      <c r="P5336" t="n">
        <v>0</v>
      </c>
      <c r="Q5336" t="n">
        <v>0</v>
      </c>
      <c r="R5336" s="2" t="inlineStr"/>
    </row>
    <row r="5337" ht="15" customHeight="1">
      <c r="A5337" t="inlineStr">
        <is>
          <t>A 52563-2025</t>
        </is>
      </c>
      <c r="B5337" s="1" t="n">
        <v>45954.57519675926</v>
      </c>
      <c r="C5337" s="1" t="n">
        <v>46114</v>
      </c>
      <c r="D5337" t="inlineStr">
        <is>
          <t>DALARNAS LÄN</t>
        </is>
      </c>
      <c r="E5337" t="inlineStr">
        <is>
          <t>BORLÄNGE</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60338-2025</t>
        </is>
      </c>
      <c r="B5338" s="1" t="n">
        <v>45993</v>
      </c>
      <c r="C5338" s="1" t="n">
        <v>46114</v>
      </c>
      <c r="D5338" t="inlineStr">
        <is>
          <t>DALARNAS LÄN</t>
        </is>
      </c>
      <c r="E5338" t="inlineStr">
        <is>
          <t>LEKSAND</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52424-2025</t>
        </is>
      </c>
      <c r="B5339" s="1" t="n">
        <v>45954</v>
      </c>
      <c r="C5339" s="1" t="n">
        <v>46114</v>
      </c>
      <c r="D5339" t="inlineStr">
        <is>
          <t>DALARNAS LÄN</t>
        </is>
      </c>
      <c r="E5339" t="inlineStr">
        <is>
          <t>RÄTTVIK</t>
        </is>
      </c>
      <c r="G5339" t="n">
        <v>5.1</v>
      </c>
      <c r="H5339" t="n">
        <v>0</v>
      </c>
      <c r="I5339" t="n">
        <v>0</v>
      </c>
      <c r="J5339" t="n">
        <v>0</v>
      </c>
      <c r="K5339" t="n">
        <v>0</v>
      </c>
      <c r="L5339" t="n">
        <v>0</v>
      </c>
      <c r="M5339" t="n">
        <v>0</v>
      </c>
      <c r="N5339" t="n">
        <v>0</v>
      </c>
      <c r="O5339" t="n">
        <v>0</v>
      </c>
      <c r="P5339" t="n">
        <v>0</v>
      </c>
      <c r="Q5339" t="n">
        <v>0</v>
      </c>
      <c r="R5339" s="2" t="inlineStr"/>
    </row>
    <row r="5340" ht="15" customHeight="1">
      <c r="A5340" t="inlineStr">
        <is>
          <t>A 52425-2025</t>
        </is>
      </c>
      <c r="B5340" s="1" t="n">
        <v>45954.3783912037</v>
      </c>
      <c r="C5340" s="1" t="n">
        <v>46114</v>
      </c>
      <c r="D5340" t="inlineStr">
        <is>
          <t>DALARNAS LÄN</t>
        </is>
      </c>
      <c r="E5340" t="inlineStr">
        <is>
          <t>GAGNEF</t>
        </is>
      </c>
      <c r="G5340" t="n">
        <v>7.5</v>
      </c>
      <c r="H5340" t="n">
        <v>0</v>
      </c>
      <c r="I5340" t="n">
        <v>0</v>
      </c>
      <c r="J5340" t="n">
        <v>0</v>
      </c>
      <c r="K5340" t="n">
        <v>0</v>
      </c>
      <c r="L5340" t="n">
        <v>0</v>
      </c>
      <c r="M5340" t="n">
        <v>0</v>
      </c>
      <c r="N5340" t="n">
        <v>0</v>
      </c>
      <c r="O5340" t="n">
        <v>0</v>
      </c>
      <c r="P5340" t="n">
        <v>0</v>
      </c>
      <c r="Q5340" t="n">
        <v>0</v>
      </c>
      <c r="R5340" s="2" t="inlineStr"/>
    </row>
    <row r="5341" ht="15" customHeight="1">
      <c r="A5341" t="inlineStr">
        <is>
          <t>A 14588-2025</t>
        </is>
      </c>
      <c r="B5341" s="1" t="n">
        <v>45742.32850694445</v>
      </c>
      <c r="C5341" s="1" t="n">
        <v>46114</v>
      </c>
      <c r="D5341" t="inlineStr">
        <is>
          <t>DALARNAS LÄN</t>
        </is>
      </c>
      <c r="E5341" t="inlineStr">
        <is>
          <t>RÄTTVIK</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5017-2025</t>
        </is>
      </c>
      <c r="B5342" s="1" t="n">
        <v>45691.39052083333</v>
      </c>
      <c r="C5342" s="1" t="n">
        <v>46114</v>
      </c>
      <c r="D5342" t="inlineStr">
        <is>
          <t>DALARNAS LÄN</t>
        </is>
      </c>
      <c r="E5342" t="inlineStr">
        <is>
          <t>VANSBRO</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52672-2025</t>
        </is>
      </c>
      <c r="B5343" s="1" t="n">
        <v>45955.9987962963</v>
      </c>
      <c r="C5343" s="1" t="n">
        <v>46114</v>
      </c>
      <c r="D5343" t="inlineStr">
        <is>
          <t>DALARNAS LÄN</t>
        </is>
      </c>
      <c r="E5343" t="inlineStr">
        <is>
          <t>VANSBRO</t>
        </is>
      </c>
      <c r="F5343" t="inlineStr">
        <is>
          <t>Bergvik skog väst AB</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52761-2025</t>
        </is>
      </c>
      <c r="B5344" s="1" t="n">
        <v>45957</v>
      </c>
      <c r="C5344" s="1" t="n">
        <v>46114</v>
      </c>
      <c r="D5344" t="inlineStr">
        <is>
          <t>DALARNAS LÄN</t>
        </is>
      </c>
      <c r="E5344" t="inlineStr">
        <is>
          <t>SMEDJEBACKEN</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691-2025</t>
        </is>
      </c>
      <c r="B5345" s="1" t="n">
        <v>45665.32039351852</v>
      </c>
      <c r="C5345" s="1" t="n">
        <v>46114</v>
      </c>
      <c r="D5345" t="inlineStr">
        <is>
          <t>DALARNAS LÄN</t>
        </is>
      </c>
      <c r="E5345" t="inlineStr">
        <is>
          <t>MALUNG-SÄLEN</t>
        </is>
      </c>
      <c r="G5345" t="n">
        <v>5</v>
      </c>
      <c r="H5345" t="n">
        <v>0</v>
      </c>
      <c r="I5345" t="n">
        <v>0</v>
      </c>
      <c r="J5345" t="n">
        <v>0</v>
      </c>
      <c r="K5345" t="n">
        <v>0</v>
      </c>
      <c r="L5345" t="n">
        <v>0</v>
      </c>
      <c r="M5345" t="n">
        <v>0</v>
      </c>
      <c r="N5345" t="n">
        <v>0</v>
      </c>
      <c r="O5345" t="n">
        <v>0</v>
      </c>
      <c r="P5345" t="n">
        <v>0</v>
      </c>
      <c r="Q5345" t="n">
        <v>0</v>
      </c>
      <c r="R5345" s="2" t="inlineStr"/>
    </row>
    <row r="5346" ht="15" customHeight="1">
      <c r="A5346" t="inlineStr">
        <is>
          <t>A 45214-2025</t>
        </is>
      </c>
      <c r="B5346" s="1" t="n">
        <v>45919</v>
      </c>
      <c r="C5346" s="1" t="n">
        <v>46114</v>
      </c>
      <c r="D5346" t="inlineStr">
        <is>
          <t>DALARNAS LÄN</t>
        </is>
      </c>
      <c r="E5346" t="inlineStr">
        <is>
          <t>SMEDJEBACKEN</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52458-2025</t>
        </is>
      </c>
      <c r="B5347" s="1" t="n">
        <v>45954.43010416667</v>
      </c>
      <c r="C5347" s="1" t="n">
        <v>46114</v>
      </c>
      <c r="D5347" t="inlineStr">
        <is>
          <t>DALARNAS LÄN</t>
        </is>
      </c>
      <c r="E5347" t="inlineStr">
        <is>
          <t>LUDVIKA</t>
        </is>
      </c>
      <c r="F5347" t="inlineStr">
        <is>
          <t>Bergvik skog väst AB</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25643-2024</t>
        </is>
      </c>
      <c r="B5348" s="1" t="n">
        <v>45463.66436342592</v>
      </c>
      <c r="C5348" s="1" t="n">
        <v>46114</v>
      </c>
      <c r="D5348" t="inlineStr">
        <is>
          <t>DALARNAS LÄN</t>
        </is>
      </c>
      <c r="E5348" t="inlineStr">
        <is>
          <t>HEDEMORA</t>
        </is>
      </c>
      <c r="F5348" t="inlineStr">
        <is>
          <t>Sveaskog</t>
        </is>
      </c>
      <c r="G5348" t="n">
        <v>8</v>
      </c>
      <c r="H5348" t="n">
        <v>0</v>
      </c>
      <c r="I5348" t="n">
        <v>0</v>
      </c>
      <c r="J5348" t="n">
        <v>0</v>
      </c>
      <c r="K5348" t="n">
        <v>0</v>
      </c>
      <c r="L5348" t="n">
        <v>0</v>
      </c>
      <c r="M5348" t="n">
        <v>0</v>
      </c>
      <c r="N5348" t="n">
        <v>0</v>
      </c>
      <c r="O5348" t="n">
        <v>0</v>
      </c>
      <c r="P5348" t="n">
        <v>0</v>
      </c>
      <c r="Q5348" t="n">
        <v>0</v>
      </c>
      <c r="R5348" s="2" t="inlineStr"/>
    </row>
    <row r="5349" ht="15" customHeight="1">
      <c r="A5349" t="inlineStr">
        <is>
          <t>A 52484-2025</t>
        </is>
      </c>
      <c r="B5349" s="1" t="n">
        <v>45954</v>
      </c>
      <c r="C5349" s="1" t="n">
        <v>46114</v>
      </c>
      <c r="D5349" t="inlineStr">
        <is>
          <t>DALARNAS LÄN</t>
        </is>
      </c>
      <c r="E5349" t="inlineStr">
        <is>
          <t>LUDVIKA</t>
        </is>
      </c>
      <c r="F5349" t="inlineStr">
        <is>
          <t>Bergvik skog väst AB</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52670-2025</t>
        </is>
      </c>
      <c r="B5350" s="1" t="n">
        <v>45955.96217592592</v>
      </c>
      <c r="C5350" s="1" t="n">
        <v>46114</v>
      </c>
      <c r="D5350" t="inlineStr">
        <is>
          <t>DALARNAS LÄN</t>
        </is>
      </c>
      <c r="E5350" t="inlineStr">
        <is>
          <t>VANSBRO</t>
        </is>
      </c>
      <c r="F5350" t="inlineStr">
        <is>
          <t>Bergvik skog väst AB</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52673-2025</t>
        </is>
      </c>
      <c r="B5351" s="1" t="n">
        <v>45956.04900462963</v>
      </c>
      <c r="C5351" s="1" t="n">
        <v>46114</v>
      </c>
      <c r="D5351" t="inlineStr">
        <is>
          <t>DALARNAS LÄN</t>
        </is>
      </c>
      <c r="E5351" t="inlineStr">
        <is>
          <t>VANSBRO</t>
        </is>
      </c>
      <c r="F5351" t="inlineStr">
        <is>
          <t>Bergvik skog väst AB</t>
        </is>
      </c>
      <c r="G5351" t="n">
        <v>2.9</v>
      </c>
      <c r="H5351" t="n">
        <v>0</v>
      </c>
      <c r="I5351" t="n">
        <v>0</v>
      </c>
      <c r="J5351" t="n">
        <v>0</v>
      </c>
      <c r="K5351" t="n">
        <v>0</v>
      </c>
      <c r="L5351" t="n">
        <v>0</v>
      </c>
      <c r="M5351" t="n">
        <v>0</v>
      </c>
      <c r="N5351" t="n">
        <v>0</v>
      </c>
      <c r="O5351" t="n">
        <v>0</v>
      </c>
      <c r="P5351" t="n">
        <v>0</v>
      </c>
      <c r="Q5351" t="n">
        <v>0</v>
      </c>
      <c r="R5351" s="2" t="inlineStr"/>
    </row>
    <row r="5352" ht="15" customHeight="1">
      <c r="A5352" t="inlineStr">
        <is>
          <t>A 52724-2025</t>
        </is>
      </c>
      <c r="B5352" s="1" t="n">
        <v>45957.34634259259</v>
      </c>
      <c r="C5352" s="1" t="n">
        <v>46114</v>
      </c>
      <c r="D5352" t="inlineStr">
        <is>
          <t>DALARNAS LÄN</t>
        </is>
      </c>
      <c r="E5352" t="inlineStr">
        <is>
          <t>LUDVIKA</t>
        </is>
      </c>
      <c r="F5352" t="inlineStr">
        <is>
          <t>Bergvik skog väst AB</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52552-2025</t>
        </is>
      </c>
      <c r="B5353" s="1" t="n">
        <v>45954.56233796296</v>
      </c>
      <c r="C5353" s="1" t="n">
        <v>46114</v>
      </c>
      <c r="D5353" t="inlineStr">
        <is>
          <t>DALARNAS LÄN</t>
        </is>
      </c>
      <c r="E5353" t="inlineStr">
        <is>
          <t>LUDVIKA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56149-2022</t>
        </is>
      </c>
      <c r="B5354" s="1" t="n">
        <v>44889</v>
      </c>
      <c r="C5354" s="1" t="n">
        <v>46114</v>
      </c>
      <c r="D5354" t="inlineStr">
        <is>
          <t>DALARNAS LÄN</t>
        </is>
      </c>
      <c r="E5354" t="inlineStr">
        <is>
          <t>FALUN</t>
        </is>
      </c>
      <c r="G5354" t="n">
        <v>2.2</v>
      </c>
      <c r="H5354" t="n">
        <v>0</v>
      </c>
      <c r="I5354" t="n">
        <v>0</v>
      </c>
      <c r="J5354" t="n">
        <v>0</v>
      </c>
      <c r="K5354" t="n">
        <v>0</v>
      </c>
      <c r="L5354" t="n">
        <v>0</v>
      </c>
      <c r="M5354" t="n">
        <v>0</v>
      </c>
      <c r="N5354" t="n">
        <v>0</v>
      </c>
      <c r="O5354" t="n">
        <v>0</v>
      </c>
      <c r="P5354" t="n">
        <v>0</v>
      </c>
      <c r="Q5354" t="n">
        <v>0</v>
      </c>
      <c r="R5354" s="2" t="inlineStr"/>
    </row>
    <row r="5355" ht="15" customHeight="1">
      <c r="A5355" t="inlineStr">
        <is>
          <t>A 52702-2025</t>
        </is>
      </c>
      <c r="B5355" s="1" t="n">
        <v>45956.86853009259</v>
      </c>
      <c r="C5355" s="1" t="n">
        <v>46114</v>
      </c>
      <c r="D5355" t="inlineStr">
        <is>
          <t>DALARNAS LÄN</t>
        </is>
      </c>
      <c r="E5355" t="inlineStr">
        <is>
          <t>ORSA</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52949-2025</t>
        </is>
      </c>
      <c r="B5356" s="1" t="n">
        <v>45954</v>
      </c>
      <c r="C5356" s="1" t="n">
        <v>46114</v>
      </c>
      <c r="D5356" t="inlineStr">
        <is>
          <t>DALARNAS LÄN</t>
        </is>
      </c>
      <c r="E5356" t="inlineStr">
        <is>
          <t>ORSA</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52860-2025</t>
        </is>
      </c>
      <c r="B5357" s="1" t="n">
        <v>45957.50334490741</v>
      </c>
      <c r="C5357" s="1" t="n">
        <v>46114</v>
      </c>
      <c r="D5357" t="inlineStr">
        <is>
          <t>DALARNAS LÄN</t>
        </is>
      </c>
      <c r="E5357" t="inlineStr">
        <is>
          <t>AVESTA</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14949-2025</t>
        </is>
      </c>
      <c r="B5358" s="1" t="n">
        <v>45743.5745949074</v>
      </c>
      <c r="C5358" s="1" t="n">
        <v>46114</v>
      </c>
      <c r="D5358" t="inlineStr">
        <is>
          <t>DALARNAS LÄN</t>
        </is>
      </c>
      <c r="E5358" t="inlineStr">
        <is>
          <t>HEDEMORA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31112-2024</t>
        </is>
      </c>
      <c r="B5359" s="1" t="n">
        <v>45502.55185185185</v>
      </c>
      <c r="C5359" s="1" t="n">
        <v>46114</v>
      </c>
      <c r="D5359" t="inlineStr">
        <is>
          <t>DALARNAS LÄN</t>
        </is>
      </c>
      <c r="E5359" t="inlineStr">
        <is>
          <t>MORA</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52530-2025</t>
        </is>
      </c>
      <c r="B5360" s="1" t="n">
        <v>45954</v>
      </c>
      <c r="C5360" s="1" t="n">
        <v>46114</v>
      </c>
      <c r="D5360" t="inlineStr">
        <is>
          <t>DALARNAS LÄN</t>
        </is>
      </c>
      <c r="E5360" t="inlineStr">
        <is>
          <t>LUDVIKA</t>
        </is>
      </c>
      <c r="F5360" t="inlineStr">
        <is>
          <t>Bergvik skog väst AB</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52969-2025</t>
        </is>
      </c>
      <c r="B5361" s="1" t="n">
        <v>45957</v>
      </c>
      <c r="C5361" s="1" t="n">
        <v>46114</v>
      </c>
      <c r="D5361" t="inlineStr">
        <is>
          <t>DALARNAS LÄN</t>
        </is>
      </c>
      <c r="E5361" t="inlineStr">
        <is>
          <t>MALUNG-SÄLEN</t>
        </is>
      </c>
      <c r="F5361" t="inlineStr">
        <is>
          <t>Bergvik skog väst AB</t>
        </is>
      </c>
      <c r="G5361" t="n">
        <v>8.6</v>
      </c>
      <c r="H5361" t="n">
        <v>0</v>
      </c>
      <c r="I5361" t="n">
        <v>0</v>
      </c>
      <c r="J5361" t="n">
        <v>0</v>
      </c>
      <c r="K5361" t="n">
        <v>0</v>
      </c>
      <c r="L5361" t="n">
        <v>0</v>
      </c>
      <c r="M5361" t="n">
        <v>0</v>
      </c>
      <c r="N5361" t="n">
        <v>0</v>
      </c>
      <c r="O5361" t="n">
        <v>0</v>
      </c>
      <c r="P5361" t="n">
        <v>0</v>
      </c>
      <c r="Q5361" t="n">
        <v>0</v>
      </c>
      <c r="R5361" s="2" t="inlineStr"/>
    </row>
    <row r="5362" ht="15" customHeight="1">
      <c r="A5362" t="inlineStr">
        <is>
          <t>A 52983-2025</t>
        </is>
      </c>
      <c r="B5362" s="1" t="n">
        <v>45957</v>
      </c>
      <c r="C5362" s="1" t="n">
        <v>46114</v>
      </c>
      <c r="D5362" t="inlineStr">
        <is>
          <t>DALARNAS LÄN</t>
        </is>
      </c>
      <c r="E5362" t="inlineStr">
        <is>
          <t>MALUNG-SÄLEN</t>
        </is>
      </c>
      <c r="F5362" t="inlineStr">
        <is>
          <t>Bergvik skog väst AB</t>
        </is>
      </c>
      <c r="G5362" t="n">
        <v>8.5</v>
      </c>
      <c r="H5362" t="n">
        <v>0</v>
      </c>
      <c r="I5362" t="n">
        <v>0</v>
      </c>
      <c r="J5362" t="n">
        <v>0</v>
      </c>
      <c r="K5362" t="n">
        <v>0</v>
      </c>
      <c r="L5362" t="n">
        <v>0</v>
      </c>
      <c r="M5362" t="n">
        <v>0</v>
      </c>
      <c r="N5362" t="n">
        <v>0</v>
      </c>
      <c r="O5362" t="n">
        <v>0</v>
      </c>
      <c r="P5362" t="n">
        <v>0</v>
      </c>
      <c r="Q5362" t="n">
        <v>0</v>
      </c>
      <c r="R5362" s="2" t="inlineStr"/>
    </row>
    <row r="5363" ht="15" customHeight="1">
      <c r="A5363" t="inlineStr">
        <is>
          <t>A 52779-2025</t>
        </is>
      </c>
      <c r="B5363" s="1" t="n">
        <v>45957</v>
      </c>
      <c r="C5363" s="1" t="n">
        <v>46114</v>
      </c>
      <c r="D5363" t="inlineStr">
        <is>
          <t>DALARNAS LÄN</t>
        </is>
      </c>
      <c r="E5363" t="inlineStr">
        <is>
          <t>LUDVIKA</t>
        </is>
      </c>
      <c r="F5363" t="inlineStr">
        <is>
          <t>Bergvik skog väst AB</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52832-2025</t>
        </is>
      </c>
      <c r="B5364" s="1" t="n">
        <v>45957</v>
      </c>
      <c r="C5364" s="1" t="n">
        <v>46114</v>
      </c>
      <c r="D5364" t="inlineStr">
        <is>
          <t>DALARNAS LÄN</t>
        </is>
      </c>
      <c r="E5364" t="inlineStr">
        <is>
          <t>LUDVIKA</t>
        </is>
      </c>
      <c r="F5364" t="inlineStr">
        <is>
          <t>Bergvik skog väst AB</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52836-2025</t>
        </is>
      </c>
      <c r="B5365" s="1" t="n">
        <v>45957.47209490741</v>
      </c>
      <c r="C5365" s="1" t="n">
        <v>46114</v>
      </c>
      <c r="D5365" t="inlineStr">
        <is>
          <t>DALARNAS LÄN</t>
        </is>
      </c>
      <c r="E5365" t="inlineStr">
        <is>
          <t>FALUN</t>
        </is>
      </c>
      <c r="G5365" t="n">
        <v>1.4</v>
      </c>
      <c r="H5365" t="n">
        <v>0</v>
      </c>
      <c r="I5365" t="n">
        <v>0</v>
      </c>
      <c r="J5365" t="n">
        <v>0</v>
      </c>
      <c r="K5365" t="n">
        <v>0</v>
      </c>
      <c r="L5365" t="n">
        <v>0</v>
      </c>
      <c r="M5365" t="n">
        <v>0</v>
      </c>
      <c r="N5365" t="n">
        <v>0</v>
      </c>
      <c r="O5365" t="n">
        <v>0</v>
      </c>
      <c r="P5365" t="n">
        <v>0</v>
      </c>
      <c r="Q5365" t="n">
        <v>0</v>
      </c>
      <c r="R5365" s="2" t="inlineStr"/>
    </row>
    <row r="5366" ht="15" customHeight="1">
      <c r="A5366" t="inlineStr">
        <is>
          <t>A 52442-2025</t>
        </is>
      </c>
      <c r="B5366" s="1" t="n">
        <v>45954.41494212963</v>
      </c>
      <c r="C5366" s="1" t="n">
        <v>46114</v>
      </c>
      <c r="D5366" t="inlineStr">
        <is>
          <t>DALARNAS LÄN</t>
        </is>
      </c>
      <c r="E5366" t="inlineStr">
        <is>
          <t>VANSBRO</t>
        </is>
      </c>
      <c r="G5366" t="n">
        <v>12.6</v>
      </c>
      <c r="H5366" t="n">
        <v>0</v>
      </c>
      <c r="I5366" t="n">
        <v>0</v>
      </c>
      <c r="J5366" t="n">
        <v>0</v>
      </c>
      <c r="K5366" t="n">
        <v>0</v>
      </c>
      <c r="L5366" t="n">
        <v>0</v>
      </c>
      <c r="M5366" t="n">
        <v>0</v>
      </c>
      <c r="N5366" t="n">
        <v>0</v>
      </c>
      <c r="O5366" t="n">
        <v>0</v>
      </c>
      <c r="P5366" t="n">
        <v>0</v>
      </c>
      <c r="Q5366" t="n">
        <v>0</v>
      </c>
      <c r="R5366" s="2" t="inlineStr"/>
    </row>
    <row r="5367" ht="15" customHeight="1">
      <c r="A5367" t="inlineStr">
        <is>
          <t>A 52556-2025</t>
        </is>
      </c>
      <c r="B5367" s="1" t="n">
        <v>45954.56762731481</v>
      </c>
      <c r="C5367" s="1" t="n">
        <v>46114</v>
      </c>
      <c r="D5367" t="inlineStr">
        <is>
          <t>DALARNAS LÄN</t>
        </is>
      </c>
      <c r="E5367" t="inlineStr">
        <is>
          <t>LUDVIKA</t>
        </is>
      </c>
      <c r="G5367" t="n">
        <v>0.3</v>
      </c>
      <c r="H5367" t="n">
        <v>0</v>
      </c>
      <c r="I5367" t="n">
        <v>0</v>
      </c>
      <c r="J5367" t="n">
        <v>0</v>
      </c>
      <c r="K5367" t="n">
        <v>0</v>
      </c>
      <c r="L5367" t="n">
        <v>0</v>
      </c>
      <c r="M5367" t="n">
        <v>0</v>
      </c>
      <c r="N5367" t="n">
        <v>0</v>
      </c>
      <c r="O5367" t="n">
        <v>0</v>
      </c>
      <c r="P5367" t="n">
        <v>0</v>
      </c>
      <c r="Q5367" t="n">
        <v>0</v>
      </c>
      <c r="R5367" s="2" t="inlineStr"/>
    </row>
    <row r="5368" ht="15" customHeight="1">
      <c r="A5368" t="inlineStr">
        <is>
          <t>A 52459-2025</t>
        </is>
      </c>
      <c r="B5368" s="1" t="n">
        <v>45954.43126157407</v>
      </c>
      <c r="C5368" s="1" t="n">
        <v>46114</v>
      </c>
      <c r="D5368" t="inlineStr">
        <is>
          <t>DALARNAS LÄN</t>
        </is>
      </c>
      <c r="E5368" t="inlineStr">
        <is>
          <t>LUDVIKA</t>
        </is>
      </c>
      <c r="F5368" t="inlineStr">
        <is>
          <t>Övriga Aktiebolag</t>
        </is>
      </c>
      <c r="G5368" t="n">
        <v>0.1</v>
      </c>
      <c r="H5368" t="n">
        <v>0</v>
      </c>
      <c r="I5368" t="n">
        <v>0</v>
      </c>
      <c r="J5368" t="n">
        <v>0</v>
      </c>
      <c r="K5368" t="n">
        <v>0</v>
      </c>
      <c r="L5368" t="n">
        <v>0</v>
      </c>
      <c r="M5368" t="n">
        <v>0</v>
      </c>
      <c r="N5368" t="n">
        <v>0</v>
      </c>
      <c r="O5368" t="n">
        <v>0</v>
      </c>
      <c r="P5368" t="n">
        <v>0</v>
      </c>
      <c r="Q5368" t="n">
        <v>0</v>
      </c>
      <c r="R5368" s="2" t="inlineStr"/>
    </row>
    <row r="5369" ht="15" customHeight="1">
      <c r="A5369" t="inlineStr">
        <is>
          <t>A 52504-2025</t>
        </is>
      </c>
      <c r="B5369" s="1" t="n">
        <v>45954</v>
      </c>
      <c r="C5369" s="1" t="n">
        <v>46114</v>
      </c>
      <c r="D5369" t="inlineStr">
        <is>
          <t>DALARNAS LÄN</t>
        </is>
      </c>
      <c r="E5369" t="inlineStr">
        <is>
          <t>LUDVIKA</t>
        </is>
      </c>
      <c r="F5369" t="inlineStr">
        <is>
          <t>Bergvik skog väst AB</t>
        </is>
      </c>
      <c r="G5369" t="n">
        <v>9.300000000000001</v>
      </c>
      <c r="H5369" t="n">
        <v>0</v>
      </c>
      <c r="I5369" t="n">
        <v>0</v>
      </c>
      <c r="J5369" t="n">
        <v>0</v>
      </c>
      <c r="K5369" t="n">
        <v>0</v>
      </c>
      <c r="L5369" t="n">
        <v>0</v>
      </c>
      <c r="M5369" t="n">
        <v>0</v>
      </c>
      <c r="N5369" t="n">
        <v>0</v>
      </c>
      <c r="O5369" t="n">
        <v>0</v>
      </c>
      <c r="P5369" t="n">
        <v>0</v>
      </c>
      <c r="Q5369" t="n">
        <v>0</v>
      </c>
      <c r="R5369" s="2" t="inlineStr"/>
    </row>
    <row r="5370" ht="15" customHeight="1">
      <c r="A5370" t="inlineStr">
        <is>
          <t>A 442-2024</t>
        </is>
      </c>
      <c r="B5370" s="1" t="n">
        <v>45296.60353009259</v>
      </c>
      <c r="C5370" s="1" t="n">
        <v>46114</v>
      </c>
      <c r="D5370" t="inlineStr">
        <is>
          <t>DALARNAS LÄN</t>
        </is>
      </c>
      <c r="E5370" t="inlineStr">
        <is>
          <t>MORA</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53226-2025</t>
        </is>
      </c>
      <c r="B5371" s="1" t="n">
        <v>45957</v>
      </c>
      <c r="C5371" s="1" t="n">
        <v>46114</v>
      </c>
      <c r="D5371" t="inlineStr">
        <is>
          <t>DALARNAS LÄN</t>
        </is>
      </c>
      <c r="E5371" t="inlineStr">
        <is>
          <t>RÄTTVIK</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53231-2025</t>
        </is>
      </c>
      <c r="B5372" s="1" t="n">
        <v>45957</v>
      </c>
      <c r="C5372" s="1" t="n">
        <v>46114</v>
      </c>
      <c r="D5372" t="inlineStr">
        <is>
          <t>DALARNAS LÄN</t>
        </is>
      </c>
      <c r="E5372" t="inlineStr">
        <is>
          <t>RÄTTVIK</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52427-2025</t>
        </is>
      </c>
      <c r="B5373" s="1" t="n">
        <v>45954.38309027778</v>
      </c>
      <c r="C5373" s="1" t="n">
        <v>46114</v>
      </c>
      <c r="D5373" t="inlineStr">
        <is>
          <t>DALARNAS LÄN</t>
        </is>
      </c>
      <c r="E5373" t="inlineStr">
        <is>
          <t>LUDVIKA</t>
        </is>
      </c>
      <c r="G5373" t="n">
        <v>1.6</v>
      </c>
      <c r="H5373" t="n">
        <v>0</v>
      </c>
      <c r="I5373" t="n">
        <v>0</v>
      </c>
      <c r="J5373" t="n">
        <v>0</v>
      </c>
      <c r="K5373" t="n">
        <v>0</v>
      </c>
      <c r="L5373" t="n">
        <v>0</v>
      </c>
      <c r="M5373" t="n">
        <v>0</v>
      </c>
      <c r="N5373" t="n">
        <v>0</v>
      </c>
      <c r="O5373" t="n">
        <v>0</v>
      </c>
      <c r="P5373" t="n">
        <v>0</v>
      </c>
      <c r="Q5373" t="n">
        <v>0</v>
      </c>
      <c r="R5373" s="2" t="inlineStr"/>
    </row>
    <row r="5374" ht="15" customHeight="1">
      <c r="A5374" t="inlineStr">
        <is>
          <t>A 501-2024</t>
        </is>
      </c>
      <c r="B5374" s="1" t="n">
        <v>45299</v>
      </c>
      <c r="C5374" s="1" t="n">
        <v>46114</v>
      </c>
      <c r="D5374" t="inlineStr">
        <is>
          <t>DALARNAS LÄN</t>
        </is>
      </c>
      <c r="E5374" t="inlineStr">
        <is>
          <t>MORA</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20625-2021</t>
        </is>
      </c>
      <c r="B5375" s="1" t="n">
        <v>44316.39207175926</v>
      </c>
      <c r="C5375" s="1" t="n">
        <v>46114</v>
      </c>
      <c r="D5375" t="inlineStr">
        <is>
          <t>DALARNAS LÄN</t>
        </is>
      </c>
      <c r="E5375" t="inlineStr">
        <is>
          <t>SMEDJEBACKEN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52838-2025</t>
        </is>
      </c>
      <c r="B5376" s="1" t="n">
        <v>45957</v>
      </c>
      <c r="C5376" s="1" t="n">
        <v>46114</v>
      </c>
      <c r="D5376" t="inlineStr">
        <is>
          <t>DALARNAS LÄN</t>
        </is>
      </c>
      <c r="E5376" t="inlineStr">
        <is>
          <t>LUDVIKA</t>
        </is>
      </c>
      <c r="F5376" t="inlineStr">
        <is>
          <t>Bergvik skog väst AB</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52383-2025</t>
        </is>
      </c>
      <c r="B5377" s="1" t="n">
        <v>45954.04571759259</v>
      </c>
      <c r="C5377" s="1" t="n">
        <v>46114</v>
      </c>
      <c r="D5377" t="inlineStr">
        <is>
          <t>DALARNAS LÄN</t>
        </is>
      </c>
      <c r="E5377" t="inlineStr">
        <is>
          <t>VANSBRO</t>
        </is>
      </c>
      <c r="F5377" t="inlineStr">
        <is>
          <t>Bergvik skog väst AB</t>
        </is>
      </c>
      <c r="G5377" t="n">
        <v>2.8</v>
      </c>
      <c r="H5377" t="n">
        <v>0</v>
      </c>
      <c r="I5377" t="n">
        <v>0</v>
      </c>
      <c r="J5377" t="n">
        <v>0</v>
      </c>
      <c r="K5377" t="n">
        <v>0</v>
      </c>
      <c r="L5377" t="n">
        <v>0</v>
      </c>
      <c r="M5377" t="n">
        <v>0</v>
      </c>
      <c r="N5377" t="n">
        <v>0</v>
      </c>
      <c r="O5377" t="n">
        <v>0</v>
      </c>
      <c r="P5377" t="n">
        <v>0</v>
      </c>
      <c r="Q5377" t="n">
        <v>0</v>
      </c>
      <c r="R5377" s="2" t="inlineStr"/>
    </row>
    <row r="5378" ht="15" customHeight="1">
      <c r="A5378" t="inlineStr">
        <is>
          <t>A 52799-2025</t>
        </is>
      </c>
      <c r="B5378" s="1" t="n">
        <v>45957.44137731481</v>
      </c>
      <c r="C5378" s="1" t="n">
        <v>46114</v>
      </c>
      <c r="D5378" t="inlineStr">
        <is>
          <t>DALARNAS LÄN</t>
        </is>
      </c>
      <c r="E5378" t="inlineStr">
        <is>
          <t>MALUNG-SÄLEN</t>
        </is>
      </c>
      <c r="F5378" t="inlineStr">
        <is>
          <t>Bergvik skog öst AB</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52853-2025</t>
        </is>
      </c>
      <c r="B5379" s="1" t="n">
        <v>45957.49408564815</v>
      </c>
      <c r="C5379" s="1" t="n">
        <v>46114</v>
      </c>
      <c r="D5379" t="inlineStr">
        <is>
          <t>DALARNAS LÄN</t>
        </is>
      </c>
      <c r="E5379" t="inlineStr">
        <is>
          <t>HEDEMORA</t>
        </is>
      </c>
      <c r="G5379" t="n">
        <v>1.5</v>
      </c>
      <c r="H5379" t="n">
        <v>0</v>
      </c>
      <c r="I5379" t="n">
        <v>0</v>
      </c>
      <c r="J5379" t="n">
        <v>0</v>
      </c>
      <c r="K5379" t="n">
        <v>0</v>
      </c>
      <c r="L5379" t="n">
        <v>0</v>
      </c>
      <c r="M5379" t="n">
        <v>0</v>
      </c>
      <c r="N5379" t="n">
        <v>0</v>
      </c>
      <c r="O5379" t="n">
        <v>0</v>
      </c>
      <c r="P5379" t="n">
        <v>0</v>
      </c>
      <c r="Q5379" t="n">
        <v>0</v>
      </c>
      <c r="R5379" s="2" t="inlineStr"/>
    </row>
    <row r="5380" ht="15" customHeight="1">
      <c r="A5380" t="inlineStr">
        <is>
          <t>A 12133-2025</t>
        </is>
      </c>
      <c r="B5380" s="1" t="n">
        <v>45729.38878472222</v>
      </c>
      <c r="C5380" s="1" t="n">
        <v>46114</v>
      </c>
      <c r="D5380" t="inlineStr">
        <is>
          <t>DALARNAS LÄN</t>
        </is>
      </c>
      <c r="E5380" t="inlineStr">
        <is>
          <t>HEDEMORA</t>
        </is>
      </c>
      <c r="G5380" t="n">
        <v>4.8</v>
      </c>
      <c r="H5380" t="n">
        <v>0</v>
      </c>
      <c r="I5380" t="n">
        <v>0</v>
      </c>
      <c r="J5380" t="n">
        <v>0</v>
      </c>
      <c r="K5380" t="n">
        <v>0</v>
      </c>
      <c r="L5380" t="n">
        <v>0</v>
      </c>
      <c r="M5380" t="n">
        <v>0</v>
      </c>
      <c r="N5380" t="n">
        <v>0</v>
      </c>
      <c r="O5380" t="n">
        <v>0</v>
      </c>
      <c r="P5380" t="n">
        <v>0</v>
      </c>
      <c r="Q5380" t="n">
        <v>0</v>
      </c>
      <c r="R5380" s="2" t="inlineStr"/>
    </row>
    <row r="5381" ht="15" customHeight="1">
      <c r="A5381" t="inlineStr">
        <is>
          <t>A 59840-2024</t>
        </is>
      </c>
      <c r="B5381" s="1" t="n">
        <v>45638</v>
      </c>
      <c r="C5381" s="1" t="n">
        <v>46114</v>
      </c>
      <c r="D5381" t="inlineStr">
        <is>
          <t>DALARNAS LÄN</t>
        </is>
      </c>
      <c r="E5381" t="inlineStr">
        <is>
          <t>LEKSAND</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52735-2025</t>
        </is>
      </c>
      <c r="B5382" s="1" t="n">
        <v>45957.37194444444</v>
      </c>
      <c r="C5382" s="1" t="n">
        <v>46114</v>
      </c>
      <c r="D5382" t="inlineStr">
        <is>
          <t>DALARNAS LÄN</t>
        </is>
      </c>
      <c r="E5382" t="inlineStr">
        <is>
          <t>MALUNG-SÄLEN</t>
        </is>
      </c>
      <c r="G5382" t="n">
        <v>11.8</v>
      </c>
      <c r="H5382" t="n">
        <v>0</v>
      </c>
      <c r="I5382" t="n">
        <v>0</v>
      </c>
      <c r="J5382" t="n">
        <v>0</v>
      </c>
      <c r="K5382" t="n">
        <v>0</v>
      </c>
      <c r="L5382" t="n">
        <v>0</v>
      </c>
      <c r="M5382" t="n">
        <v>0</v>
      </c>
      <c r="N5382" t="n">
        <v>0</v>
      </c>
      <c r="O5382" t="n">
        <v>0</v>
      </c>
      <c r="P5382" t="n">
        <v>0</v>
      </c>
      <c r="Q5382" t="n">
        <v>0</v>
      </c>
      <c r="R5382" s="2" t="inlineStr"/>
    </row>
    <row r="5383" ht="15" customHeight="1">
      <c r="A5383" t="inlineStr">
        <is>
          <t>A 52464-2025</t>
        </is>
      </c>
      <c r="B5383" s="1" t="n">
        <v>45954.44155092593</v>
      </c>
      <c r="C5383" s="1" t="n">
        <v>46114</v>
      </c>
      <c r="D5383" t="inlineStr">
        <is>
          <t>DALARNAS LÄN</t>
        </is>
      </c>
      <c r="E5383" t="inlineStr">
        <is>
          <t>BORLÄNGE</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38977-2024</t>
        </is>
      </c>
      <c r="B5384" s="1" t="n">
        <v>45548.38673611111</v>
      </c>
      <c r="C5384" s="1" t="n">
        <v>46114</v>
      </c>
      <c r="D5384" t="inlineStr">
        <is>
          <t>DALARNAS LÄN</t>
        </is>
      </c>
      <c r="E5384" t="inlineStr">
        <is>
          <t>MALUNG-SÄLEN</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52470-2025</t>
        </is>
      </c>
      <c r="B5385" s="1" t="n">
        <v>45954.45457175926</v>
      </c>
      <c r="C5385" s="1" t="n">
        <v>46114</v>
      </c>
      <c r="D5385" t="inlineStr">
        <is>
          <t>DALARNAS LÄN</t>
        </is>
      </c>
      <c r="E5385" t="inlineStr">
        <is>
          <t>AVESTA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48570-2022</t>
        </is>
      </c>
      <c r="B5386" s="1" t="n">
        <v>44859</v>
      </c>
      <c r="C5386" s="1" t="n">
        <v>46114</v>
      </c>
      <c r="D5386" t="inlineStr">
        <is>
          <t>DALARNAS LÄN</t>
        </is>
      </c>
      <c r="E5386" t="inlineStr">
        <is>
          <t>MORA</t>
        </is>
      </c>
      <c r="G5386" t="n">
        <v>6.2</v>
      </c>
      <c r="H5386" t="n">
        <v>0</v>
      </c>
      <c r="I5386" t="n">
        <v>0</v>
      </c>
      <c r="J5386" t="n">
        <v>0</v>
      </c>
      <c r="K5386" t="n">
        <v>0</v>
      </c>
      <c r="L5386" t="n">
        <v>0</v>
      </c>
      <c r="M5386" t="n">
        <v>0</v>
      </c>
      <c r="N5386" t="n">
        <v>0</v>
      </c>
      <c r="O5386" t="n">
        <v>0</v>
      </c>
      <c r="P5386" t="n">
        <v>0</v>
      </c>
      <c r="Q5386" t="n">
        <v>0</v>
      </c>
      <c r="R5386" s="2" t="inlineStr"/>
    </row>
    <row r="5387" ht="15" customHeight="1">
      <c r="A5387" t="inlineStr">
        <is>
          <t>A 52605-2025</t>
        </is>
      </c>
      <c r="B5387" s="1" t="n">
        <v>45954.65809027778</v>
      </c>
      <c r="C5387" s="1" t="n">
        <v>46114</v>
      </c>
      <c r="D5387" t="inlineStr">
        <is>
          <t>DALARNAS LÄN</t>
        </is>
      </c>
      <c r="E5387" t="inlineStr">
        <is>
          <t>FALUN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52610-2025</t>
        </is>
      </c>
      <c r="B5388" s="1" t="n">
        <v>45954.66931712963</v>
      </c>
      <c r="C5388" s="1" t="n">
        <v>46114</v>
      </c>
      <c r="D5388" t="inlineStr">
        <is>
          <t>DALARNAS LÄN</t>
        </is>
      </c>
      <c r="E5388" t="inlineStr">
        <is>
          <t>SMEDJEBACKEN</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52900-2025</t>
        </is>
      </c>
      <c r="B5389" s="1" t="n">
        <v>45954</v>
      </c>
      <c r="C5389" s="1" t="n">
        <v>46114</v>
      </c>
      <c r="D5389" t="inlineStr">
        <is>
          <t>DALARNAS LÄN</t>
        </is>
      </c>
      <c r="E5389" t="inlineStr">
        <is>
          <t>LUDVIKA</t>
        </is>
      </c>
      <c r="G5389" t="n">
        <v>8.300000000000001</v>
      </c>
      <c r="H5389" t="n">
        <v>0</v>
      </c>
      <c r="I5389" t="n">
        <v>0</v>
      </c>
      <c r="J5389" t="n">
        <v>0</v>
      </c>
      <c r="K5389" t="n">
        <v>0</v>
      </c>
      <c r="L5389" t="n">
        <v>0</v>
      </c>
      <c r="M5389" t="n">
        <v>0</v>
      </c>
      <c r="N5389" t="n">
        <v>0</v>
      </c>
      <c r="O5389" t="n">
        <v>0</v>
      </c>
      <c r="P5389" t="n">
        <v>0</v>
      </c>
      <c r="Q5389" t="n">
        <v>0</v>
      </c>
      <c r="R5389" s="2" t="inlineStr"/>
    </row>
    <row r="5390" ht="15" customHeight="1">
      <c r="A5390" t="inlineStr">
        <is>
          <t>A 52907-2025</t>
        </is>
      </c>
      <c r="B5390" s="1" t="n">
        <v>45957</v>
      </c>
      <c r="C5390" s="1" t="n">
        <v>46114</v>
      </c>
      <c r="D5390" t="inlineStr">
        <is>
          <t>DALARNAS LÄN</t>
        </is>
      </c>
      <c r="E5390" t="inlineStr">
        <is>
          <t>MALUNG-SÄLEN</t>
        </is>
      </c>
      <c r="F5390" t="inlineStr">
        <is>
          <t>Bergvik skog väst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19814-2025</t>
        </is>
      </c>
      <c r="B5391" s="1" t="n">
        <v>45771.45686342593</v>
      </c>
      <c r="C5391" s="1" t="n">
        <v>46114</v>
      </c>
      <c r="D5391" t="inlineStr">
        <is>
          <t>DALARNAS LÄN</t>
        </is>
      </c>
      <c r="E5391" t="inlineStr">
        <is>
          <t>MORA</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33566-2023</t>
        </is>
      </c>
      <c r="B5392" s="1" t="n">
        <v>45131.64390046296</v>
      </c>
      <c r="C5392" s="1" t="n">
        <v>46114</v>
      </c>
      <c r="D5392" t="inlineStr">
        <is>
          <t>DALARNAS LÄN</t>
        </is>
      </c>
      <c r="E5392" t="inlineStr">
        <is>
          <t>LEKSAND</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52912-2025</t>
        </is>
      </c>
      <c r="B5393" s="1" t="n">
        <v>45954</v>
      </c>
      <c r="C5393" s="1" t="n">
        <v>46114</v>
      </c>
      <c r="D5393" t="inlineStr">
        <is>
          <t>DALARNAS LÄN</t>
        </is>
      </c>
      <c r="E5393" t="inlineStr">
        <is>
          <t>LUDVIKA</t>
        </is>
      </c>
      <c r="G5393" t="n">
        <v>9.800000000000001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18708-2023</t>
        </is>
      </c>
      <c r="B5394" s="1" t="n">
        <v>45043</v>
      </c>
      <c r="C5394" s="1" t="n">
        <v>46114</v>
      </c>
      <c r="D5394" t="inlineStr">
        <is>
          <t>DALARNAS LÄN</t>
        </is>
      </c>
      <c r="E5394" t="inlineStr">
        <is>
          <t>LUDVIKA</t>
        </is>
      </c>
      <c r="F5394" t="inlineStr">
        <is>
          <t>Bergvik skog väst AB</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50742-2023</t>
        </is>
      </c>
      <c r="B5395" s="1" t="n">
        <v>45217.58891203703</v>
      </c>
      <c r="C5395" s="1" t="n">
        <v>46114</v>
      </c>
      <c r="D5395" t="inlineStr">
        <is>
          <t>DALARNAS LÄN</t>
        </is>
      </c>
      <c r="E5395" t="inlineStr">
        <is>
          <t>ORSA</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52686-2025</t>
        </is>
      </c>
      <c r="B5396" s="1" t="n">
        <v>45956.3562037037</v>
      </c>
      <c r="C5396" s="1" t="n">
        <v>46114</v>
      </c>
      <c r="D5396" t="inlineStr">
        <is>
          <t>DALARNAS LÄN</t>
        </is>
      </c>
      <c r="E5396" t="inlineStr">
        <is>
          <t>ORSA</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52422-2025</t>
        </is>
      </c>
      <c r="B5397" s="1" t="n">
        <v>45954.37292824074</v>
      </c>
      <c r="C5397" s="1" t="n">
        <v>46114</v>
      </c>
      <c r="D5397" t="inlineStr">
        <is>
          <t>DALARNAS LÄN</t>
        </is>
      </c>
      <c r="E5397" t="inlineStr">
        <is>
          <t>SÄTER</t>
        </is>
      </c>
      <c r="G5397" t="n">
        <v>4.5</v>
      </c>
      <c r="H5397" t="n">
        <v>0</v>
      </c>
      <c r="I5397" t="n">
        <v>0</v>
      </c>
      <c r="J5397" t="n">
        <v>0</v>
      </c>
      <c r="K5397" t="n">
        <v>0</v>
      </c>
      <c r="L5397" t="n">
        <v>0</v>
      </c>
      <c r="M5397" t="n">
        <v>0</v>
      </c>
      <c r="N5397" t="n">
        <v>0</v>
      </c>
      <c r="O5397" t="n">
        <v>0</v>
      </c>
      <c r="P5397" t="n">
        <v>0</v>
      </c>
      <c r="Q5397" t="n">
        <v>0</v>
      </c>
      <c r="R5397" s="2" t="inlineStr"/>
    </row>
    <row r="5398" ht="15" customHeight="1">
      <c r="A5398" t="inlineStr">
        <is>
          <t>A 53243-2025</t>
        </is>
      </c>
      <c r="B5398" s="1" t="n">
        <v>45958.6442824074</v>
      </c>
      <c r="C5398" s="1" t="n">
        <v>46114</v>
      </c>
      <c r="D5398" t="inlineStr">
        <is>
          <t>DALARNAS LÄN</t>
        </is>
      </c>
      <c r="E5398" t="inlineStr">
        <is>
          <t>LEKSAND</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2209-2025</t>
        </is>
      </c>
      <c r="B5399" s="1" t="n">
        <v>45673.42950231482</v>
      </c>
      <c r="C5399" s="1" t="n">
        <v>46114</v>
      </c>
      <c r="D5399" t="inlineStr">
        <is>
          <t>DALARNAS LÄN</t>
        </is>
      </c>
      <c r="E5399" t="inlineStr">
        <is>
          <t>MALUNG-SÄLEN</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4785-2025</t>
        </is>
      </c>
      <c r="B5400" s="1" t="n">
        <v>45688</v>
      </c>
      <c r="C5400" s="1" t="n">
        <v>46114</v>
      </c>
      <c r="D5400" t="inlineStr">
        <is>
          <t>DALARNAS LÄN</t>
        </is>
      </c>
      <c r="E5400" t="inlineStr">
        <is>
          <t>BORLÄNGE</t>
        </is>
      </c>
      <c r="G5400" t="n">
        <v>0.4</v>
      </c>
      <c r="H5400" t="n">
        <v>0</v>
      </c>
      <c r="I5400" t="n">
        <v>0</v>
      </c>
      <c r="J5400" t="n">
        <v>0</v>
      </c>
      <c r="K5400" t="n">
        <v>0</v>
      </c>
      <c r="L5400" t="n">
        <v>0</v>
      </c>
      <c r="M5400" t="n">
        <v>0</v>
      </c>
      <c r="N5400" t="n">
        <v>0</v>
      </c>
      <c r="O5400" t="n">
        <v>0</v>
      </c>
      <c r="P5400" t="n">
        <v>0</v>
      </c>
      <c r="Q5400" t="n">
        <v>0</v>
      </c>
      <c r="R5400" s="2" t="inlineStr"/>
    </row>
    <row r="5401" ht="15" customHeight="1">
      <c r="A5401" t="inlineStr">
        <is>
          <t>A 58419-2024</t>
        </is>
      </c>
      <c r="B5401" s="1" t="n">
        <v>45634.8659375</v>
      </c>
      <c r="C5401" s="1" t="n">
        <v>46114</v>
      </c>
      <c r="D5401" t="inlineStr">
        <is>
          <t>DALARNAS LÄN</t>
        </is>
      </c>
      <c r="E5401" t="inlineStr">
        <is>
          <t>MALUNG-SÄLEN</t>
        </is>
      </c>
      <c r="G5401" t="n">
        <v>7</v>
      </c>
      <c r="H5401" t="n">
        <v>0</v>
      </c>
      <c r="I5401" t="n">
        <v>0</v>
      </c>
      <c r="J5401" t="n">
        <v>0</v>
      </c>
      <c r="K5401" t="n">
        <v>0</v>
      </c>
      <c r="L5401" t="n">
        <v>0</v>
      </c>
      <c r="M5401" t="n">
        <v>0</v>
      </c>
      <c r="N5401" t="n">
        <v>0</v>
      </c>
      <c r="O5401" t="n">
        <v>0</v>
      </c>
      <c r="P5401" t="n">
        <v>0</v>
      </c>
      <c r="Q5401" t="n">
        <v>0</v>
      </c>
      <c r="R5401" s="2" t="inlineStr"/>
    </row>
    <row r="5402" ht="15" customHeight="1">
      <c r="A5402" t="inlineStr">
        <is>
          <t>A 53166-2025</t>
        </is>
      </c>
      <c r="B5402" s="1" t="n">
        <v>45958.50596064814</v>
      </c>
      <c r="C5402" s="1" t="n">
        <v>46114</v>
      </c>
      <c r="D5402" t="inlineStr">
        <is>
          <t>DALARNAS LÄN</t>
        </is>
      </c>
      <c r="E5402" t="inlineStr">
        <is>
          <t>BORLÄNGE</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53202-2025</t>
        </is>
      </c>
      <c r="B5403" s="1" t="n">
        <v>45958.57608796296</v>
      </c>
      <c r="C5403" s="1" t="n">
        <v>46114</v>
      </c>
      <c r="D5403" t="inlineStr">
        <is>
          <t>DALARNAS LÄN</t>
        </is>
      </c>
      <c r="E5403" t="inlineStr">
        <is>
          <t>FALUN</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60526-2023</t>
        </is>
      </c>
      <c r="B5404" s="1" t="n">
        <v>45259</v>
      </c>
      <c r="C5404" s="1" t="n">
        <v>46114</v>
      </c>
      <c r="D5404" t="inlineStr">
        <is>
          <t>DALARNAS LÄN</t>
        </is>
      </c>
      <c r="E5404" t="inlineStr">
        <is>
          <t>MORA</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8192-2025</t>
        </is>
      </c>
      <c r="B5405" s="1" t="n">
        <v>45708.41151620371</v>
      </c>
      <c r="C5405" s="1" t="n">
        <v>46114</v>
      </c>
      <c r="D5405" t="inlineStr">
        <is>
          <t>DALARNAS LÄN</t>
        </is>
      </c>
      <c r="E5405" t="inlineStr">
        <is>
          <t>ÄLVDALEN</t>
        </is>
      </c>
      <c r="F5405" t="inlineStr">
        <is>
          <t>Allmännings- och besparingsskogar</t>
        </is>
      </c>
      <c r="G5405" t="n">
        <v>15.1</v>
      </c>
      <c r="H5405" t="n">
        <v>0</v>
      </c>
      <c r="I5405" t="n">
        <v>0</v>
      </c>
      <c r="J5405" t="n">
        <v>0</v>
      </c>
      <c r="K5405" t="n">
        <v>0</v>
      </c>
      <c r="L5405" t="n">
        <v>0</v>
      </c>
      <c r="M5405" t="n">
        <v>0</v>
      </c>
      <c r="N5405" t="n">
        <v>0</v>
      </c>
      <c r="O5405" t="n">
        <v>0</v>
      </c>
      <c r="P5405" t="n">
        <v>0</v>
      </c>
      <c r="Q5405" t="n">
        <v>0</v>
      </c>
      <c r="R5405" s="2" t="inlineStr"/>
    </row>
    <row r="5406" ht="15" customHeight="1">
      <c r="A5406" t="inlineStr">
        <is>
          <t>A 48867-2024</t>
        </is>
      </c>
      <c r="B5406" s="1" t="n">
        <v>45594.25377314815</v>
      </c>
      <c r="C5406" s="1" t="n">
        <v>46114</v>
      </c>
      <c r="D5406" t="inlineStr">
        <is>
          <t>DALARNAS LÄN</t>
        </is>
      </c>
      <c r="E5406" t="inlineStr">
        <is>
          <t>GAGNEF</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30611-2023</t>
        </is>
      </c>
      <c r="B5407" s="1" t="n">
        <v>45112</v>
      </c>
      <c r="C5407" s="1" t="n">
        <v>46114</v>
      </c>
      <c r="D5407" t="inlineStr">
        <is>
          <t>DALARNAS LÄN</t>
        </is>
      </c>
      <c r="E5407" t="inlineStr">
        <is>
          <t>LEKSAND</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53229-2025</t>
        </is>
      </c>
      <c r="B5408" s="1" t="n">
        <v>45958.62193287037</v>
      </c>
      <c r="C5408" s="1" t="n">
        <v>46114</v>
      </c>
      <c r="D5408" t="inlineStr">
        <is>
          <t>DALARNAS LÄN</t>
        </is>
      </c>
      <c r="E5408" t="inlineStr">
        <is>
          <t>RÄTTVIK</t>
        </is>
      </c>
      <c r="F5408" t="inlineStr">
        <is>
          <t>Bergvik skog väst AB</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53064-2025</t>
        </is>
      </c>
      <c r="B5409" s="1" t="n">
        <v>45958.37493055555</v>
      </c>
      <c r="C5409" s="1" t="n">
        <v>46114</v>
      </c>
      <c r="D5409" t="inlineStr">
        <is>
          <t>DALARNAS LÄN</t>
        </is>
      </c>
      <c r="E5409" t="inlineStr">
        <is>
          <t>RÄTTVIK</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53151-2025</t>
        </is>
      </c>
      <c r="B5410" s="1" t="n">
        <v>45958.48611111111</v>
      </c>
      <c r="C5410" s="1" t="n">
        <v>46114</v>
      </c>
      <c r="D5410" t="inlineStr">
        <is>
          <t>DALARNAS LÄN</t>
        </is>
      </c>
      <c r="E5410" t="inlineStr">
        <is>
          <t>MORA</t>
        </is>
      </c>
      <c r="F5410" t="inlineStr">
        <is>
          <t>Bergvik skog öst AB</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53438-2025</t>
        </is>
      </c>
      <c r="B5411" s="1" t="n">
        <v>45959.63711805556</v>
      </c>
      <c r="C5411" s="1" t="n">
        <v>46114</v>
      </c>
      <c r="D5411" t="inlineStr">
        <is>
          <t>DALARNAS LÄN</t>
        </is>
      </c>
      <c r="E5411" t="inlineStr">
        <is>
          <t>LEKSAND</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53150-2025</t>
        </is>
      </c>
      <c r="B5412" s="1" t="n">
        <v>45958.48280092593</v>
      </c>
      <c r="C5412" s="1" t="n">
        <v>46114</v>
      </c>
      <c r="D5412" t="inlineStr">
        <is>
          <t>DALARNAS LÄN</t>
        </is>
      </c>
      <c r="E5412" t="inlineStr">
        <is>
          <t>MORA</t>
        </is>
      </c>
      <c r="F5412" t="inlineStr">
        <is>
          <t>Bergvik skog öst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53341-2023</t>
        </is>
      </c>
      <c r="B5413" s="1" t="n">
        <v>45229</v>
      </c>
      <c r="C5413" s="1" t="n">
        <v>46114</v>
      </c>
      <c r="D5413" t="inlineStr">
        <is>
          <t>DALARNAS LÄN</t>
        </is>
      </c>
      <c r="E5413" t="inlineStr">
        <is>
          <t>MORA</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31857-2023</t>
        </is>
      </c>
      <c r="B5414" s="1" t="n">
        <v>45106</v>
      </c>
      <c r="C5414" s="1" t="n">
        <v>46114</v>
      </c>
      <c r="D5414" t="inlineStr">
        <is>
          <t>DALARNAS LÄN</t>
        </is>
      </c>
      <c r="E5414" t="inlineStr">
        <is>
          <t>ÄLVDALEN</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53454-2025</t>
        </is>
      </c>
      <c r="B5415" s="1" t="n">
        <v>45959.66145833334</v>
      </c>
      <c r="C5415" s="1" t="n">
        <v>46114</v>
      </c>
      <c r="D5415" t="inlineStr">
        <is>
          <t>DALARNAS LÄN</t>
        </is>
      </c>
      <c r="E5415" t="inlineStr">
        <is>
          <t>FALUN</t>
        </is>
      </c>
      <c r="F5415" t="inlineStr">
        <is>
          <t>Bergvik skog väst AB</t>
        </is>
      </c>
      <c r="G5415" t="n">
        <v>10.7</v>
      </c>
      <c r="H5415" t="n">
        <v>0</v>
      </c>
      <c r="I5415" t="n">
        <v>0</v>
      </c>
      <c r="J5415" t="n">
        <v>0</v>
      </c>
      <c r="K5415" t="n">
        <v>0</v>
      </c>
      <c r="L5415" t="n">
        <v>0</v>
      </c>
      <c r="M5415" t="n">
        <v>0</v>
      </c>
      <c r="N5415" t="n">
        <v>0</v>
      </c>
      <c r="O5415" t="n">
        <v>0</v>
      </c>
      <c r="P5415" t="n">
        <v>0</v>
      </c>
      <c r="Q5415" t="n">
        <v>0</v>
      </c>
      <c r="R5415" s="2" t="inlineStr"/>
    </row>
    <row r="5416" ht="15" customHeight="1">
      <c r="A5416" t="inlineStr">
        <is>
          <t>A 431-2023</t>
        </is>
      </c>
      <c r="B5416" s="1" t="n">
        <v>44923</v>
      </c>
      <c r="C5416" s="1" t="n">
        <v>46114</v>
      </c>
      <c r="D5416" t="inlineStr">
        <is>
          <t>DALARNAS LÄN</t>
        </is>
      </c>
      <c r="E5416" t="inlineStr">
        <is>
          <t>ÄLVDALEN</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46825-2024</t>
        </is>
      </c>
      <c r="B5417" s="1" t="n">
        <v>45583.58040509259</v>
      </c>
      <c r="C5417" s="1" t="n">
        <v>46114</v>
      </c>
      <c r="D5417" t="inlineStr">
        <is>
          <t>DALARNAS LÄN</t>
        </is>
      </c>
      <c r="E5417" t="inlineStr">
        <is>
          <t>HEDEMORA</t>
        </is>
      </c>
      <c r="G5417" t="n">
        <v>1.1</v>
      </c>
      <c r="H5417" t="n">
        <v>0</v>
      </c>
      <c r="I5417" t="n">
        <v>0</v>
      </c>
      <c r="J5417" t="n">
        <v>0</v>
      </c>
      <c r="K5417" t="n">
        <v>0</v>
      </c>
      <c r="L5417" t="n">
        <v>0</v>
      </c>
      <c r="M5417" t="n">
        <v>0</v>
      </c>
      <c r="N5417" t="n">
        <v>0</v>
      </c>
      <c r="O5417" t="n">
        <v>0</v>
      </c>
      <c r="P5417" t="n">
        <v>0</v>
      </c>
      <c r="Q5417" t="n">
        <v>0</v>
      </c>
      <c r="R5417" s="2" t="inlineStr"/>
    </row>
    <row r="5418" ht="15" customHeight="1">
      <c r="A5418" t="inlineStr">
        <is>
          <t>A 53233-2025</t>
        </is>
      </c>
      <c r="B5418" s="1" t="n">
        <v>45958.62429398148</v>
      </c>
      <c r="C5418" s="1" t="n">
        <v>46114</v>
      </c>
      <c r="D5418" t="inlineStr">
        <is>
          <t>DALARNAS LÄN</t>
        </is>
      </c>
      <c r="E5418" t="inlineStr">
        <is>
          <t>SÄTER</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53279-2025</t>
        </is>
      </c>
      <c r="B5419" s="1" t="n">
        <v>45958</v>
      </c>
      <c r="C5419" s="1" t="n">
        <v>46114</v>
      </c>
      <c r="D5419" t="inlineStr">
        <is>
          <t>DALARNAS LÄN</t>
        </is>
      </c>
      <c r="E5419" t="inlineStr">
        <is>
          <t>SMEDJEBACKEN</t>
        </is>
      </c>
      <c r="G5419" t="n">
        <v>4.5</v>
      </c>
      <c r="H5419" t="n">
        <v>0</v>
      </c>
      <c r="I5419" t="n">
        <v>0</v>
      </c>
      <c r="J5419" t="n">
        <v>0</v>
      </c>
      <c r="K5419" t="n">
        <v>0</v>
      </c>
      <c r="L5419" t="n">
        <v>0</v>
      </c>
      <c r="M5419" t="n">
        <v>0</v>
      </c>
      <c r="N5419" t="n">
        <v>0</v>
      </c>
      <c r="O5419" t="n">
        <v>0</v>
      </c>
      <c r="P5419" t="n">
        <v>0</v>
      </c>
      <c r="Q5419" t="n">
        <v>0</v>
      </c>
      <c r="R5419" s="2" t="inlineStr"/>
    </row>
    <row r="5420" ht="15" customHeight="1">
      <c r="A5420" t="inlineStr">
        <is>
          <t>A 12828-2023</t>
        </is>
      </c>
      <c r="B5420" s="1" t="n">
        <v>45001</v>
      </c>
      <c r="C5420" s="1" t="n">
        <v>46114</v>
      </c>
      <c r="D5420" t="inlineStr">
        <is>
          <t>DALARNAS LÄN</t>
        </is>
      </c>
      <c r="E5420" t="inlineStr">
        <is>
          <t>MORA</t>
        </is>
      </c>
      <c r="F5420" t="inlineStr">
        <is>
          <t>Bergvik skog väst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53315-2025</t>
        </is>
      </c>
      <c r="B5421" s="1" t="n">
        <v>45959</v>
      </c>
      <c r="C5421" s="1" t="n">
        <v>46114</v>
      </c>
      <c r="D5421" t="inlineStr">
        <is>
          <t>DALARNAS LÄN</t>
        </is>
      </c>
      <c r="E5421" t="inlineStr">
        <is>
          <t>VANSBRO</t>
        </is>
      </c>
      <c r="F5421" t="inlineStr">
        <is>
          <t>Bergvik skog väst AB</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28014-2022</t>
        </is>
      </c>
      <c r="B5422" s="1" t="n">
        <v>44746</v>
      </c>
      <c r="C5422" s="1" t="n">
        <v>46114</v>
      </c>
      <c r="D5422" t="inlineStr">
        <is>
          <t>DALARNAS LÄN</t>
        </is>
      </c>
      <c r="E5422" t="inlineStr">
        <is>
          <t>RÄTTVIK</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53040-2025</t>
        </is>
      </c>
      <c r="B5423" s="1" t="n">
        <v>45958.35328703704</v>
      </c>
      <c r="C5423" s="1" t="n">
        <v>46114</v>
      </c>
      <c r="D5423" t="inlineStr">
        <is>
          <t>DALARNAS LÄN</t>
        </is>
      </c>
      <c r="E5423" t="inlineStr">
        <is>
          <t>HEDEMORA</t>
        </is>
      </c>
      <c r="F5423" t="inlineStr">
        <is>
          <t>Sveaskog</t>
        </is>
      </c>
      <c r="G5423" t="n">
        <v>1.9</v>
      </c>
      <c r="H5423" t="n">
        <v>0</v>
      </c>
      <c r="I5423" t="n">
        <v>0</v>
      </c>
      <c r="J5423" t="n">
        <v>0</v>
      </c>
      <c r="K5423" t="n">
        <v>0</v>
      </c>
      <c r="L5423" t="n">
        <v>0</v>
      </c>
      <c r="M5423" t="n">
        <v>0</v>
      </c>
      <c r="N5423" t="n">
        <v>0</v>
      </c>
      <c r="O5423" t="n">
        <v>0</v>
      </c>
      <c r="P5423" t="n">
        <v>0</v>
      </c>
      <c r="Q5423" t="n">
        <v>0</v>
      </c>
      <c r="R5423" s="2" t="inlineStr"/>
    </row>
    <row r="5424" ht="15" customHeight="1">
      <c r="A5424" t="inlineStr">
        <is>
          <t>A 22784-2024</t>
        </is>
      </c>
      <c r="B5424" s="1" t="n">
        <v>45448.48077546297</v>
      </c>
      <c r="C5424" s="1" t="n">
        <v>46114</v>
      </c>
      <c r="D5424" t="inlineStr">
        <is>
          <t>DALARNAS LÄN</t>
        </is>
      </c>
      <c r="E5424" t="inlineStr">
        <is>
          <t>FALUN</t>
        </is>
      </c>
      <c r="G5424" t="n">
        <v>1.8</v>
      </c>
      <c r="H5424" t="n">
        <v>0</v>
      </c>
      <c r="I5424" t="n">
        <v>0</v>
      </c>
      <c r="J5424" t="n">
        <v>0</v>
      </c>
      <c r="K5424" t="n">
        <v>0</v>
      </c>
      <c r="L5424" t="n">
        <v>0</v>
      </c>
      <c r="M5424" t="n">
        <v>0</v>
      </c>
      <c r="N5424" t="n">
        <v>0</v>
      </c>
      <c r="O5424" t="n">
        <v>0</v>
      </c>
      <c r="P5424" t="n">
        <v>0</v>
      </c>
      <c r="Q5424" t="n">
        <v>0</v>
      </c>
      <c r="R5424" s="2" t="inlineStr"/>
    </row>
    <row r="5425" ht="15" customHeight="1">
      <c r="A5425" t="inlineStr">
        <is>
          <t>A 53041-2025</t>
        </is>
      </c>
      <c r="B5425" s="1" t="n">
        <v>45958.35487268519</v>
      </c>
      <c r="C5425" s="1" t="n">
        <v>46114</v>
      </c>
      <c r="D5425" t="inlineStr">
        <is>
          <t>DALARNAS LÄN</t>
        </is>
      </c>
      <c r="E5425" t="inlineStr">
        <is>
          <t>LEKSAND</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53162-2025</t>
        </is>
      </c>
      <c r="B5426" s="1" t="n">
        <v>45958.49377314815</v>
      </c>
      <c r="C5426" s="1" t="n">
        <v>46114</v>
      </c>
      <c r="D5426" t="inlineStr">
        <is>
          <t>DALARNAS LÄN</t>
        </is>
      </c>
      <c r="E5426" t="inlineStr">
        <is>
          <t>BORLÄNGE</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45377-2024</t>
        </is>
      </c>
      <c r="B5427" s="1" t="n">
        <v>45576.51962962963</v>
      </c>
      <c r="C5427" s="1" t="n">
        <v>46114</v>
      </c>
      <c r="D5427" t="inlineStr">
        <is>
          <t>DALARNAS LÄN</t>
        </is>
      </c>
      <c r="E5427" t="inlineStr">
        <is>
          <t>HEDEMORA</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52440-2025</t>
        </is>
      </c>
      <c r="B5428" s="1" t="n">
        <v>45954.41153935185</v>
      </c>
      <c r="C5428" s="1" t="n">
        <v>46114</v>
      </c>
      <c r="D5428" t="inlineStr">
        <is>
          <t>DALARNAS LÄN</t>
        </is>
      </c>
      <c r="E5428" t="inlineStr">
        <is>
          <t>LUDVIKA</t>
        </is>
      </c>
      <c r="F5428" t="inlineStr">
        <is>
          <t>Naturvårdsverket</t>
        </is>
      </c>
      <c r="G5428" t="n">
        <v>4.1</v>
      </c>
      <c r="H5428" t="n">
        <v>0</v>
      </c>
      <c r="I5428" t="n">
        <v>0</v>
      </c>
      <c r="J5428" t="n">
        <v>0</v>
      </c>
      <c r="K5428" t="n">
        <v>0</v>
      </c>
      <c r="L5428" t="n">
        <v>0</v>
      </c>
      <c r="M5428" t="n">
        <v>0</v>
      </c>
      <c r="N5428" t="n">
        <v>0</v>
      </c>
      <c r="O5428" t="n">
        <v>0</v>
      </c>
      <c r="P5428" t="n">
        <v>0</v>
      </c>
      <c r="Q5428" t="n">
        <v>0</v>
      </c>
      <c r="R5428" s="2" t="inlineStr"/>
    </row>
    <row r="5429" ht="15" customHeight="1">
      <c r="A5429" t="inlineStr">
        <is>
          <t>A 36841-2024</t>
        </is>
      </c>
      <c r="B5429" s="1" t="n">
        <v>45538.53628472222</v>
      </c>
      <c r="C5429" s="1" t="n">
        <v>46114</v>
      </c>
      <c r="D5429" t="inlineStr">
        <is>
          <t>DALARNAS LÄN</t>
        </is>
      </c>
      <c r="E5429" t="inlineStr">
        <is>
          <t>MALUNG-SÄLEN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61996-2022</t>
        </is>
      </c>
      <c r="B5430" s="1" t="n">
        <v>44914</v>
      </c>
      <c r="C5430" s="1" t="n">
        <v>46114</v>
      </c>
      <c r="D5430" t="inlineStr">
        <is>
          <t>DALARNAS LÄN</t>
        </is>
      </c>
      <c r="E5430" t="inlineStr">
        <is>
          <t>RÄTTVIK</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36939-2025</t>
        </is>
      </c>
      <c r="B5431" s="1" t="n">
        <v>45874</v>
      </c>
      <c r="C5431" s="1" t="n">
        <v>46114</v>
      </c>
      <c r="D5431" t="inlineStr">
        <is>
          <t>DALARNAS LÄN</t>
        </is>
      </c>
      <c r="E5431" t="inlineStr">
        <is>
          <t>SÄTER</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5622-2023</t>
        </is>
      </c>
      <c r="B5432" s="1" t="n">
        <v>44960.57613425926</v>
      </c>
      <c r="C5432" s="1" t="n">
        <v>46114</v>
      </c>
      <c r="D5432" t="inlineStr">
        <is>
          <t>DALARNAS LÄN</t>
        </is>
      </c>
      <c r="E5432" t="inlineStr">
        <is>
          <t>RÄTTVIK</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1088-2024</t>
        </is>
      </c>
      <c r="B5433" s="1" t="n">
        <v>45302.3704050926</v>
      </c>
      <c r="C5433" s="1" t="n">
        <v>46114</v>
      </c>
      <c r="D5433" t="inlineStr">
        <is>
          <t>DALARNAS LÄN</t>
        </is>
      </c>
      <c r="E5433" t="inlineStr">
        <is>
          <t>FALUN</t>
        </is>
      </c>
      <c r="G5433" t="n">
        <v>9.699999999999999</v>
      </c>
      <c r="H5433" t="n">
        <v>0</v>
      </c>
      <c r="I5433" t="n">
        <v>0</v>
      </c>
      <c r="J5433" t="n">
        <v>0</v>
      </c>
      <c r="K5433" t="n">
        <v>0</v>
      </c>
      <c r="L5433" t="n">
        <v>0</v>
      </c>
      <c r="M5433" t="n">
        <v>0</v>
      </c>
      <c r="N5433" t="n">
        <v>0</v>
      </c>
      <c r="O5433" t="n">
        <v>0</v>
      </c>
      <c r="P5433" t="n">
        <v>0</v>
      </c>
      <c r="Q5433" t="n">
        <v>0</v>
      </c>
      <c r="R5433" s="2" t="inlineStr"/>
    </row>
    <row r="5434" ht="15" customHeight="1">
      <c r="A5434" t="inlineStr">
        <is>
          <t>A 16155-2022</t>
        </is>
      </c>
      <c r="B5434" s="1" t="n">
        <v>44666</v>
      </c>
      <c r="C5434" s="1" t="n">
        <v>46114</v>
      </c>
      <c r="D5434" t="inlineStr">
        <is>
          <t>DALARNAS LÄN</t>
        </is>
      </c>
      <c r="E5434" t="inlineStr">
        <is>
          <t>SMEDJEBACKEN</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53285-2025</t>
        </is>
      </c>
      <c r="B5435" s="1" t="n">
        <v>45958</v>
      </c>
      <c r="C5435" s="1" t="n">
        <v>46114</v>
      </c>
      <c r="D5435" t="inlineStr">
        <is>
          <t>DALARNAS LÄN</t>
        </is>
      </c>
      <c r="E5435" t="inlineStr">
        <is>
          <t>SMEDJEBACKEN</t>
        </is>
      </c>
      <c r="F5435" t="inlineStr">
        <is>
          <t>Bergvik skog väst AB</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1252-2023</t>
        </is>
      </c>
      <c r="B5436" s="1" t="n">
        <v>44936</v>
      </c>
      <c r="C5436" s="1" t="n">
        <v>46114</v>
      </c>
      <c r="D5436" t="inlineStr">
        <is>
          <t>DALARNAS LÄN</t>
        </is>
      </c>
      <c r="E5436" t="inlineStr">
        <is>
          <t>MALUNG-SÄLEN</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53200-2025</t>
        </is>
      </c>
      <c r="B5437" s="1" t="n">
        <v>45958.57474537037</v>
      </c>
      <c r="C5437" s="1" t="n">
        <v>46114</v>
      </c>
      <c r="D5437" t="inlineStr">
        <is>
          <t>DALARNAS LÄN</t>
        </is>
      </c>
      <c r="E5437" t="inlineStr">
        <is>
          <t>FALUN</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17421-2025</t>
        </is>
      </c>
      <c r="B5438" s="1" t="n">
        <v>45757.38532407407</v>
      </c>
      <c r="C5438" s="1" t="n">
        <v>46114</v>
      </c>
      <c r="D5438" t="inlineStr">
        <is>
          <t>DALARNAS LÄN</t>
        </is>
      </c>
      <c r="E5438" t="inlineStr">
        <is>
          <t>ORSA</t>
        </is>
      </c>
      <c r="F5438" t="inlineStr">
        <is>
          <t>Bergvik skog öst AB</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17424-2025</t>
        </is>
      </c>
      <c r="B5439" s="1" t="n">
        <v>45757.39393518519</v>
      </c>
      <c r="C5439" s="1" t="n">
        <v>46114</v>
      </c>
      <c r="D5439" t="inlineStr">
        <is>
          <t>DALARNAS LÄN</t>
        </is>
      </c>
      <c r="E5439" t="inlineStr">
        <is>
          <t>FALUN</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36425-2022</t>
        </is>
      </c>
      <c r="B5440" s="1" t="n">
        <v>44804</v>
      </c>
      <c r="C5440" s="1" t="n">
        <v>46114</v>
      </c>
      <c r="D5440" t="inlineStr">
        <is>
          <t>DALARNAS LÄN</t>
        </is>
      </c>
      <c r="E5440" t="inlineStr">
        <is>
          <t>FALUN</t>
        </is>
      </c>
      <c r="F5440" t="inlineStr">
        <is>
          <t>Övriga statliga verk och myndigheter</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58848-2022</t>
        </is>
      </c>
      <c r="B5441" s="1" t="n">
        <v>44896</v>
      </c>
      <c r="C5441" s="1" t="n">
        <v>46114</v>
      </c>
      <c r="D5441" t="inlineStr">
        <is>
          <t>DALARNAS LÄN</t>
        </is>
      </c>
      <c r="E5441" t="inlineStr">
        <is>
          <t>ÄLVDALEN</t>
        </is>
      </c>
      <c r="F5441" t="inlineStr">
        <is>
          <t>Övriga statliga verk och myndigheter</t>
        </is>
      </c>
      <c r="G5441" t="n">
        <v>18.1</v>
      </c>
      <c r="H5441" t="n">
        <v>0</v>
      </c>
      <c r="I5441" t="n">
        <v>0</v>
      </c>
      <c r="J5441" t="n">
        <v>0</v>
      </c>
      <c r="K5441" t="n">
        <v>0</v>
      </c>
      <c r="L5441" t="n">
        <v>0</v>
      </c>
      <c r="M5441" t="n">
        <v>0</v>
      </c>
      <c r="N5441" t="n">
        <v>0</v>
      </c>
      <c r="O5441" t="n">
        <v>0</v>
      </c>
      <c r="P5441" t="n">
        <v>0</v>
      </c>
      <c r="Q5441" t="n">
        <v>0</v>
      </c>
      <c r="R5441" s="2" t="inlineStr"/>
    </row>
    <row r="5442" ht="15" customHeight="1">
      <c r="A5442" t="inlineStr">
        <is>
          <t>A 14986-2024</t>
        </is>
      </c>
      <c r="B5442" s="1" t="n">
        <v>45399.34371527778</v>
      </c>
      <c r="C5442" s="1" t="n">
        <v>46114</v>
      </c>
      <c r="D5442" t="inlineStr">
        <is>
          <t>DALARNAS LÄN</t>
        </is>
      </c>
      <c r="E5442" t="inlineStr">
        <is>
          <t>LUDVIKA</t>
        </is>
      </c>
      <c r="F5442" t="inlineStr">
        <is>
          <t>Bergvik skog väst AB</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27445-2025</t>
        </is>
      </c>
      <c r="B5443" s="1" t="n">
        <v>45813</v>
      </c>
      <c r="C5443" s="1" t="n">
        <v>46114</v>
      </c>
      <c r="D5443" t="inlineStr">
        <is>
          <t>DALARNAS LÄN</t>
        </is>
      </c>
      <c r="E5443" t="inlineStr">
        <is>
          <t>FALUN</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15008-2024</t>
        </is>
      </c>
      <c r="B5444" s="1" t="n">
        <v>45399.42689814815</v>
      </c>
      <c r="C5444" s="1" t="n">
        <v>46114</v>
      </c>
      <c r="D5444" t="inlineStr">
        <is>
          <t>DALARNAS LÄN</t>
        </is>
      </c>
      <c r="E5444" t="inlineStr">
        <is>
          <t>LUDVIKA</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53190-2025</t>
        </is>
      </c>
      <c r="B5445" s="1" t="n">
        <v>45958.56283564815</v>
      </c>
      <c r="C5445" s="1" t="n">
        <v>46114</v>
      </c>
      <c r="D5445" t="inlineStr">
        <is>
          <t>DALARNAS LÄN</t>
        </is>
      </c>
      <c r="E5445" t="inlineStr">
        <is>
          <t>LEKSAND</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23570-2023</t>
        </is>
      </c>
      <c r="B5446" s="1" t="n">
        <v>45077</v>
      </c>
      <c r="C5446" s="1" t="n">
        <v>46114</v>
      </c>
      <c r="D5446" t="inlineStr">
        <is>
          <t>DALARNAS LÄN</t>
        </is>
      </c>
      <c r="E5446" t="inlineStr">
        <is>
          <t>ÄLVDALEN</t>
        </is>
      </c>
      <c r="G5446" t="n">
        <v>4.9</v>
      </c>
      <c r="H5446" t="n">
        <v>0</v>
      </c>
      <c r="I5446" t="n">
        <v>0</v>
      </c>
      <c r="J5446" t="n">
        <v>0</v>
      </c>
      <c r="K5446" t="n">
        <v>0</v>
      </c>
      <c r="L5446" t="n">
        <v>0</v>
      </c>
      <c r="M5446" t="n">
        <v>0</v>
      </c>
      <c r="N5446" t="n">
        <v>0</v>
      </c>
      <c r="O5446" t="n">
        <v>0</v>
      </c>
      <c r="P5446" t="n">
        <v>0</v>
      </c>
      <c r="Q5446" t="n">
        <v>0</v>
      </c>
      <c r="R5446" s="2" t="inlineStr"/>
    </row>
    <row r="5447" ht="15" customHeight="1">
      <c r="A5447" t="inlineStr">
        <is>
          <t>A 12621-2025</t>
        </is>
      </c>
      <c r="B5447" s="1" t="n">
        <v>45733.3575</v>
      </c>
      <c r="C5447" s="1" t="n">
        <v>46114</v>
      </c>
      <c r="D5447" t="inlineStr">
        <is>
          <t>DALARNAS LÄN</t>
        </is>
      </c>
      <c r="E5447" t="inlineStr">
        <is>
          <t>LEKSAND</t>
        </is>
      </c>
      <c r="F5447" t="inlineStr">
        <is>
          <t>Bergvik skog väst AB</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53044-2025</t>
        </is>
      </c>
      <c r="B5448" s="1" t="n">
        <v>45958.35663194444</v>
      </c>
      <c r="C5448" s="1" t="n">
        <v>46114</v>
      </c>
      <c r="D5448" t="inlineStr">
        <is>
          <t>DALARNAS LÄN</t>
        </is>
      </c>
      <c r="E5448" t="inlineStr">
        <is>
          <t>HEDEMORA</t>
        </is>
      </c>
      <c r="F5448" t="inlineStr">
        <is>
          <t>Sveaskog</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8524-2023</t>
        </is>
      </c>
      <c r="B5449" s="1" t="n">
        <v>44972</v>
      </c>
      <c r="C5449" s="1" t="n">
        <v>46114</v>
      </c>
      <c r="D5449" t="inlineStr">
        <is>
          <t>DALARNAS LÄN</t>
        </is>
      </c>
      <c r="E5449" t="inlineStr">
        <is>
          <t>AVESTA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13772-2025</t>
        </is>
      </c>
      <c r="B5450" s="1" t="n">
        <v>45737.44092592593</v>
      </c>
      <c r="C5450" s="1" t="n">
        <v>46114</v>
      </c>
      <c r="D5450" t="inlineStr">
        <is>
          <t>DALARNAS LÄN</t>
        </is>
      </c>
      <c r="E5450" t="inlineStr">
        <is>
          <t>RÄTTVIK</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52776-2022</t>
        </is>
      </c>
      <c r="B5451" s="1" t="n">
        <v>44875.36341435185</v>
      </c>
      <c r="C5451" s="1" t="n">
        <v>46114</v>
      </c>
      <c r="D5451" t="inlineStr">
        <is>
          <t>DALARNAS LÄN</t>
        </is>
      </c>
      <c r="E5451" t="inlineStr">
        <is>
          <t>ORSA</t>
        </is>
      </c>
      <c r="F5451" t="inlineStr">
        <is>
          <t>Allmännings- och besparingsskogar</t>
        </is>
      </c>
      <c r="G5451" t="n">
        <v>4.4</v>
      </c>
      <c r="H5451" t="n">
        <v>0</v>
      </c>
      <c r="I5451" t="n">
        <v>0</v>
      </c>
      <c r="J5451" t="n">
        <v>0</v>
      </c>
      <c r="K5451" t="n">
        <v>0</v>
      </c>
      <c r="L5451" t="n">
        <v>0</v>
      </c>
      <c r="M5451" t="n">
        <v>0</v>
      </c>
      <c r="N5451" t="n">
        <v>0</v>
      </c>
      <c r="O5451" t="n">
        <v>0</v>
      </c>
      <c r="P5451" t="n">
        <v>0</v>
      </c>
      <c r="Q5451" t="n">
        <v>0</v>
      </c>
      <c r="R5451" s="2" t="inlineStr"/>
    </row>
    <row r="5452" ht="15" customHeight="1">
      <c r="A5452" t="inlineStr">
        <is>
          <t>A 8017-2025</t>
        </is>
      </c>
      <c r="B5452" s="1" t="n">
        <v>45707.56586805556</v>
      </c>
      <c r="C5452" s="1" t="n">
        <v>46114</v>
      </c>
      <c r="D5452" t="inlineStr">
        <is>
          <t>DALARNAS LÄN</t>
        </is>
      </c>
      <c r="E5452" t="inlineStr">
        <is>
          <t>BORLÄNGE</t>
        </is>
      </c>
      <c r="F5452" t="inlineStr">
        <is>
          <t>Bergvik skog väst AB</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53982-2025</t>
        </is>
      </c>
      <c r="B5453" s="1" t="n">
        <v>45961.57019675926</v>
      </c>
      <c r="C5453" s="1" t="n">
        <v>46114</v>
      </c>
      <c r="D5453" t="inlineStr">
        <is>
          <t>DALARNAS LÄN</t>
        </is>
      </c>
      <c r="E5453" t="inlineStr">
        <is>
          <t>MORA</t>
        </is>
      </c>
      <c r="G5453" t="n">
        <v>0.8</v>
      </c>
      <c r="H5453" t="n">
        <v>0</v>
      </c>
      <c r="I5453" t="n">
        <v>0</v>
      </c>
      <c r="J5453" t="n">
        <v>0</v>
      </c>
      <c r="K5453" t="n">
        <v>0</v>
      </c>
      <c r="L5453" t="n">
        <v>0</v>
      </c>
      <c r="M5453" t="n">
        <v>0</v>
      </c>
      <c r="N5453" t="n">
        <v>0</v>
      </c>
      <c r="O5453" t="n">
        <v>0</v>
      </c>
      <c r="P5453" t="n">
        <v>0</v>
      </c>
      <c r="Q5453" t="n">
        <v>0</v>
      </c>
      <c r="R5453" s="2" t="inlineStr"/>
    </row>
    <row r="5454" ht="15" customHeight="1">
      <c r="A5454" t="inlineStr">
        <is>
          <t>A 3843-2024</t>
        </is>
      </c>
      <c r="B5454" s="1" t="n">
        <v>45322</v>
      </c>
      <c r="C5454" s="1" t="n">
        <v>46114</v>
      </c>
      <c r="D5454" t="inlineStr">
        <is>
          <t>DALARNAS LÄN</t>
        </is>
      </c>
      <c r="E5454" t="inlineStr">
        <is>
          <t>VANSBRO</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53565-2025</t>
        </is>
      </c>
      <c r="B5455" s="1" t="n">
        <v>45960.40711805555</v>
      </c>
      <c r="C5455" s="1" t="n">
        <v>46114</v>
      </c>
      <c r="D5455" t="inlineStr">
        <is>
          <t>DALARNAS LÄN</t>
        </is>
      </c>
      <c r="E5455" t="inlineStr">
        <is>
          <t>MORA</t>
        </is>
      </c>
      <c r="G5455" t="n">
        <v>5.1</v>
      </c>
      <c r="H5455" t="n">
        <v>0</v>
      </c>
      <c r="I5455" t="n">
        <v>0</v>
      </c>
      <c r="J5455" t="n">
        <v>0</v>
      </c>
      <c r="K5455" t="n">
        <v>0</v>
      </c>
      <c r="L5455" t="n">
        <v>0</v>
      </c>
      <c r="M5455" t="n">
        <v>0</v>
      </c>
      <c r="N5455" t="n">
        <v>0</v>
      </c>
      <c r="O5455" t="n">
        <v>0</v>
      </c>
      <c r="P5455" t="n">
        <v>0</v>
      </c>
      <c r="Q5455" t="n">
        <v>0</v>
      </c>
      <c r="R5455" s="2" t="inlineStr"/>
    </row>
    <row r="5456" ht="15" customHeight="1">
      <c r="A5456" t="inlineStr">
        <is>
          <t>A 36080-2024</t>
        </is>
      </c>
      <c r="B5456" s="1" t="n">
        <v>45533.66743055556</v>
      </c>
      <c r="C5456" s="1" t="n">
        <v>46114</v>
      </c>
      <c r="D5456" t="inlineStr">
        <is>
          <t>DALARNAS LÄN</t>
        </is>
      </c>
      <c r="E5456" t="inlineStr">
        <is>
          <t>FALUN</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43421-2024</t>
        </is>
      </c>
      <c r="B5457" s="1" t="n">
        <v>45568.63071759259</v>
      </c>
      <c r="C5457" s="1" t="n">
        <v>46114</v>
      </c>
      <c r="D5457" t="inlineStr">
        <is>
          <t>DALARNAS LÄN</t>
        </is>
      </c>
      <c r="E5457" t="inlineStr">
        <is>
          <t>SMEDJEBACKEN</t>
        </is>
      </c>
      <c r="F5457" t="inlineStr">
        <is>
          <t>Sveaskog</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54015-2025</t>
        </is>
      </c>
      <c r="B5458" s="1" t="n">
        <v>45961.64158564815</v>
      </c>
      <c r="C5458" s="1" t="n">
        <v>46114</v>
      </c>
      <c r="D5458" t="inlineStr">
        <is>
          <t>DALARNAS LÄN</t>
        </is>
      </c>
      <c r="E5458" t="inlineStr">
        <is>
          <t>LEKSAND</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49969-2024</t>
        </is>
      </c>
      <c r="B5459" s="1" t="n">
        <v>45597.63780092593</v>
      </c>
      <c r="C5459" s="1" t="n">
        <v>46114</v>
      </c>
      <c r="D5459" t="inlineStr">
        <is>
          <t>DALARNAS LÄN</t>
        </is>
      </c>
      <c r="E5459" t="inlineStr">
        <is>
          <t>FALUN</t>
        </is>
      </c>
      <c r="F5459" t="inlineStr">
        <is>
          <t>Bergvik skog väst AB</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53632-2025</t>
        </is>
      </c>
      <c r="B5460" s="1" t="n">
        <v>45960.49972222222</v>
      </c>
      <c r="C5460" s="1" t="n">
        <v>46114</v>
      </c>
      <c r="D5460" t="inlineStr">
        <is>
          <t>DALARNAS LÄN</t>
        </is>
      </c>
      <c r="E5460" t="inlineStr">
        <is>
          <t>MORA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53917-2025</t>
        </is>
      </c>
      <c r="B5461" s="1" t="n">
        <v>45961</v>
      </c>
      <c r="C5461" s="1" t="n">
        <v>46114</v>
      </c>
      <c r="D5461" t="inlineStr">
        <is>
          <t>DALARNAS LÄN</t>
        </is>
      </c>
      <c r="E5461" t="inlineStr">
        <is>
          <t>GAGNEF</t>
        </is>
      </c>
      <c r="F5461" t="inlineStr">
        <is>
          <t>Kommuner</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60843-2024</t>
        </is>
      </c>
      <c r="B5462" s="1" t="n">
        <v>45644.65412037037</v>
      </c>
      <c r="C5462" s="1" t="n">
        <v>46114</v>
      </c>
      <c r="D5462" t="inlineStr">
        <is>
          <t>DALARNAS LÄN</t>
        </is>
      </c>
      <c r="E5462" t="inlineStr">
        <is>
          <t>LUDVIKA</t>
        </is>
      </c>
      <c r="F5462" t="inlineStr">
        <is>
          <t>Bergvik skog väst AB</t>
        </is>
      </c>
      <c r="G5462" t="n">
        <v>3.4</v>
      </c>
      <c r="H5462" t="n">
        <v>0</v>
      </c>
      <c r="I5462" t="n">
        <v>0</v>
      </c>
      <c r="J5462" t="n">
        <v>0</v>
      </c>
      <c r="K5462" t="n">
        <v>0</v>
      </c>
      <c r="L5462" t="n">
        <v>0</v>
      </c>
      <c r="M5462" t="n">
        <v>0</v>
      </c>
      <c r="N5462" t="n">
        <v>0</v>
      </c>
      <c r="O5462" t="n">
        <v>0</v>
      </c>
      <c r="P5462" t="n">
        <v>0</v>
      </c>
      <c r="Q5462" t="n">
        <v>0</v>
      </c>
      <c r="R5462" s="2" t="inlineStr"/>
    </row>
    <row r="5463" ht="15" customHeight="1">
      <c r="A5463" t="inlineStr">
        <is>
          <t>A 53540-2025</t>
        </is>
      </c>
      <c r="B5463" s="1" t="n">
        <v>45960.37891203703</v>
      </c>
      <c r="C5463" s="1" t="n">
        <v>46114</v>
      </c>
      <c r="D5463" t="inlineStr">
        <is>
          <t>DALARNAS LÄN</t>
        </is>
      </c>
      <c r="E5463" t="inlineStr">
        <is>
          <t>SÄTER</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53548-2025</t>
        </is>
      </c>
      <c r="B5464" s="1" t="n">
        <v>45960</v>
      </c>
      <c r="C5464" s="1" t="n">
        <v>46114</v>
      </c>
      <c r="D5464" t="inlineStr">
        <is>
          <t>DALARNAS LÄN</t>
        </is>
      </c>
      <c r="E5464" t="inlineStr">
        <is>
          <t>LUDVIKA</t>
        </is>
      </c>
      <c r="F5464" t="inlineStr">
        <is>
          <t>Bergvik skog väst AB</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53551-2025</t>
        </is>
      </c>
      <c r="B5465" s="1" t="n">
        <v>45960.3875</v>
      </c>
      <c r="C5465" s="1" t="n">
        <v>46114</v>
      </c>
      <c r="D5465" t="inlineStr">
        <is>
          <t>DALARNAS LÄN</t>
        </is>
      </c>
      <c r="E5465" t="inlineStr">
        <is>
          <t>HEDEMORA</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14633-2024</t>
        </is>
      </c>
      <c r="B5466" s="1" t="n">
        <v>45397.34418981482</v>
      </c>
      <c r="C5466" s="1" t="n">
        <v>46114</v>
      </c>
      <c r="D5466" t="inlineStr">
        <is>
          <t>DALARNAS LÄN</t>
        </is>
      </c>
      <c r="E5466" t="inlineStr">
        <is>
          <t>RÄTTVIK</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12816-2025</t>
        </is>
      </c>
      <c r="B5467" s="1" t="n">
        <v>45733.62307870371</v>
      </c>
      <c r="C5467" s="1" t="n">
        <v>46114</v>
      </c>
      <c r="D5467" t="inlineStr">
        <is>
          <t>DALARNAS LÄN</t>
        </is>
      </c>
      <c r="E5467" t="inlineStr">
        <is>
          <t>GAGNEF</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53989-2025</t>
        </is>
      </c>
      <c r="B5468" s="1" t="n">
        <v>45961.57829861111</v>
      </c>
      <c r="C5468" s="1" t="n">
        <v>46114</v>
      </c>
      <c r="D5468" t="inlineStr">
        <is>
          <t>DALARNAS LÄN</t>
        </is>
      </c>
      <c r="E5468" t="inlineStr">
        <is>
          <t>VANSBRO</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53667-2025</t>
        </is>
      </c>
      <c r="B5469" s="1" t="n">
        <v>45960.54859953704</v>
      </c>
      <c r="C5469" s="1" t="n">
        <v>46114</v>
      </c>
      <c r="D5469" t="inlineStr">
        <is>
          <t>DALARNAS LÄN</t>
        </is>
      </c>
      <c r="E5469" t="inlineStr">
        <is>
          <t>RÄTTVIK</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6492-2025</t>
        </is>
      </c>
      <c r="B5470" s="1" t="n">
        <v>45699</v>
      </c>
      <c r="C5470" s="1" t="n">
        <v>46114</v>
      </c>
      <c r="D5470" t="inlineStr">
        <is>
          <t>DALARNAS LÄN</t>
        </is>
      </c>
      <c r="E5470" t="inlineStr">
        <is>
          <t>ORSA</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36294-2023</t>
        </is>
      </c>
      <c r="B5471" s="1" t="n">
        <v>45152.35784722222</v>
      </c>
      <c r="C5471" s="1" t="n">
        <v>46114</v>
      </c>
      <c r="D5471" t="inlineStr">
        <is>
          <t>DALARNAS LÄN</t>
        </is>
      </c>
      <c r="E5471" t="inlineStr">
        <is>
          <t>LUDVIKA</t>
        </is>
      </c>
      <c r="F5471" t="inlineStr">
        <is>
          <t>Bergvik skog väst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53711-2025</t>
        </is>
      </c>
      <c r="B5472" s="1" t="n">
        <v>45960.61532407408</v>
      </c>
      <c r="C5472" s="1" t="n">
        <v>46114</v>
      </c>
      <c r="D5472" t="inlineStr">
        <is>
          <t>DALARNAS LÄN</t>
        </is>
      </c>
      <c r="E5472" t="inlineStr">
        <is>
          <t>RÄTTVIK</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35379-2022</t>
        </is>
      </c>
      <c r="B5473" s="1" t="n">
        <v>44798.58018518519</v>
      </c>
      <c r="C5473" s="1" t="n">
        <v>46114</v>
      </c>
      <c r="D5473" t="inlineStr">
        <is>
          <t>DALARNAS LÄN</t>
        </is>
      </c>
      <c r="E5473" t="inlineStr">
        <is>
          <t>FALUN</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49509-2024</t>
        </is>
      </c>
      <c r="B5474" s="1" t="n">
        <v>45596.3786574074</v>
      </c>
      <c r="C5474" s="1" t="n">
        <v>46114</v>
      </c>
      <c r="D5474" t="inlineStr">
        <is>
          <t>DALARNAS LÄN</t>
        </is>
      </c>
      <c r="E5474" t="inlineStr">
        <is>
          <t>VANSBRO</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10078-2025</t>
        </is>
      </c>
      <c r="B5475" s="1" t="n">
        <v>45719.55408564815</v>
      </c>
      <c r="C5475" s="1" t="n">
        <v>46114</v>
      </c>
      <c r="D5475" t="inlineStr">
        <is>
          <t>DALARNAS LÄN</t>
        </is>
      </c>
      <c r="E5475" t="inlineStr">
        <is>
          <t>AVESTA</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53560-2025</t>
        </is>
      </c>
      <c r="B5476" s="1" t="n">
        <v>45960.39960648148</v>
      </c>
      <c r="C5476" s="1" t="n">
        <v>46114</v>
      </c>
      <c r="D5476" t="inlineStr">
        <is>
          <t>DALARNAS LÄN</t>
        </is>
      </c>
      <c r="E5476" t="inlineStr">
        <is>
          <t>MORA</t>
        </is>
      </c>
      <c r="G5476" t="n">
        <v>5.2</v>
      </c>
      <c r="H5476" t="n">
        <v>0</v>
      </c>
      <c r="I5476" t="n">
        <v>0</v>
      </c>
      <c r="J5476" t="n">
        <v>0</v>
      </c>
      <c r="K5476" t="n">
        <v>0</v>
      </c>
      <c r="L5476" t="n">
        <v>0</v>
      </c>
      <c r="M5476" t="n">
        <v>0</v>
      </c>
      <c r="N5476" t="n">
        <v>0</v>
      </c>
      <c r="O5476" t="n">
        <v>0</v>
      </c>
      <c r="P5476" t="n">
        <v>0</v>
      </c>
      <c r="Q5476" t="n">
        <v>0</v>
      </c>
      <c r="R5476" s="2" t="inlineStr"/>
    </row>
    <row r="5477" ht="15" customHeight="1">
      <c r="A5477" t="inlineStr">
        <is>
          <t>A 53558-2025</t>
        </is>
      </c>
      <c r="B5477" s="1" t="n">
        <v>45960</v>
      </c>
      <c r="C5477" s="1" t="n">
        <v>46114</v>
      </c>
      <c r="D5477" t="inlineStr">
        <is>
          <t>DALARNAS LÄN</t>
        </is>
      </c>
      <c r="E5477" t="inlineStr">
        <is>
          <t>LUDVIKA</t>
        </is>
      </c>
      <c r="F5477" t="inlineStr">
        <is>
          <t>Bergvik skog väst AB</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53838-2025</t>
        </is>
      </c>
      <c r="B5478" s="1" t="n">
        <v>45961.34895833334</v>
      </c>
      <c r="C5478" s="1" t="n">
        <v>46114</v>
      </c>
      <c r="D5478" t="inlineStr">
        <is>
          <t>DALARNAS LÄN</t>
        </is>
      </c>
      <c r="E5478" t="inlineStr">
        <is>
          <t>LEKSAND</t>
        </is>
      </c>
      <c r="G5478" t="n">
        <v>1.3</v>
      </c>
      <c r="H5478" t="n">
        <v>0</v>
      </c>
      <c r="I5478" t="n">
        <v>0</v>
      </c>
      <c r="J5478" t="n">
        <v>0</v>
      </c>
      <c r="K5478" t="n">
        <v>0</v>
      </c>
      <c r="L5478" t="n">
        <v>0</v>
      </c>
      <c r="M5478" t="n">
        <v>0</v>
      </c>
      <c r="N5478" t="n">
        <v>0</v>
      </c>
      <c r="O5478" t="n">
        <v>0</v>
      </c>
      <c r="P5478" t="n">
        <v>0</v>
      </c>
      <c r="Q5478" t="n">
        <v>0</v>
      </c>
      <c r="R5478" s="2" t="inlineStr"/>
    </row>
    <row r="5479" ht="15" customHeight="1">
      <c r="A5479" t="inlineStr">
        <is>
          <t>A 53673-2025</t>
        </is>
      </c>
      <c r="B5479" s="1" t="n">
        <v>45960.55550925926</v>
      </c>
      <c r="C5479" s="1" t="n">
        <v>46114</v>
      </c>
      <c r="D5479" t="inlineStr">
        <is>
          <t>DALARNAS LÄN</t>
        </is>
      </c>
      <c r="E5479" t="inlineStr">
        <is>
          <t>RÄTTVIK</t>
        </is>
      </c>
      <c r="F5479" t="inlineStr">
        <is>
          <t>Bergvik skog väst AB</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25894-2025</t>
        </is>
      </c>
      <c r="B5480" s="1" t="n">
        <v>45804.54371527778</v>
      </c>
      <c r="C5480" s="1" t="n">
        <v>46114</v>
      </c>
      <c r="D5480" t="inlineStr">
        <is>
          <t>DALARNAS LÄN</t>
        </is>
      </c>
      <c r="E5480" t="inlineStr">
        <is>
          <t>FALUN</t>
        </is>
      </c>
      <c r="F5480" t="inlineStr">
        <is>
          <t>Bergvik skog väst AB</t>
        </is>
      </c>
      <c r="G5480" t="n">
        <v>17.5</v>
      </c>
      <c r="H5480" t="n">
        <v>0</v>
      </c>
      <c r="I5480" t="n">
        <v>0</v>
      </c>
      <c r="J5480" t="n">
        <v>0</v>
      </c>
      <c r="K5480" t="n">
        <v>0</v>
      </c>
      <c r="L5480" t="n">
        <v>0</v>
      </c>
      <c r="M5480" t="n">
        <v>0</v>
      </c>
      <c r="N5480" t="n">
        <v>0</v>
      </c>
      <c r="O5480" t="n">
        <v>0</v>
      </c>
      <c r="P5480" t="n">
        <v>0</v>
      </c>
      <c r="Q5480" t="n">
        <v>0</v>
      </c>
      <c r="R5480" s="2" t="inlineStr"/>
    </row>
    <row r="5481" ht="15" customHeight="1">
      <c r="A5481" t="inlineStr">
        <is>
          <t>A 53944-2025</t>
        </is>
      </c>
      <c r="B5481" s="1" t="n">
        <v>45961</v>
      </c>
      <c r="C5481" s="1" t="n">
        <v>46114</v>
      </c>
      <c r="D5481" t="inlineStr">
        <is>
          <t>DALARNAS LÄN</t>
        </is>
      </c>
      <c r="E5481" t="inlineStr">
        <is>
          <t>RÄTTVIK</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53968-2025</t>
        </is>
      </c>
      <c r="B5482" s="1" t="n">
        <v>45961.54652777778</v>
      </c>
      <c r="C5482" s="1" t="n">
        <v>46114</v>
      </c>
      <c r="D5482" t="inlineStr">
        <is>
          <t>DALARNAS LÄN</t>
        </is>
      </c>
      <c r="E5482" t="inlineStr">
        <is>
          <t>RÄTTVIK</t>
        </is>
      </c>
      <c r="F5482" t="inlineStr">
        <is>
          <t>Övriga statliga verk och myndigheter</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29378-2023</t>
        </is>
      </c>
      <c r="B5483" s="1" t="n">
        <v>45106.39289351852</v>
      </c>
      <c r="C5483" s="1" t="n">
        <v>46114</v>
      </c>
      <c r="D5483" t="inlineStr">
        <is>
          <t>DALARNAS LÄN</t>
        </is>
      </c>
      <c r="E5483" t="inlineStr">
        <is>
          <t>MALUNG-SÄLEN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29449-2023</t>
        </is>
      </c>
      <c r="B5484" s="1" t="n">
        <v>45106.50915509259</v>
      </c>
      <c r="C5484" s="1" t="n">
        <v>46114</v>
      </c>
      <c r="D5484" t="inlineStr">
        <is>
          <t>DALARNAS LÄN</t>
        </is>
      </c>
      <c r="E5484" t="inlineStr">
        <is>
          <t>SMEDJEBACKEN</t>
        </is>
      </c>
      <c r="F5484" t="inlineStr">
        <is>
          <t>Sveaskog</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61338-2023</t>
        </is>
      </c>
      <c r="B5485" s="1" t="n">
        <v>45264.59304398148</v>
      </c>
      <c r="C5485" s="1" t="n">
        <v>46114</v>
      </c>
      <c r="D5485" t="inlineStr">
        <is>
          <t>DALARNAS LÄN</t>
        </is>
      </c>
      <c r="E5485" t="inlineStr">
        <is>
          <t>RÄTTVIK</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53562-2025</t>
        </is>
      </c>
      <c r="B5486" s="1" t="n">
        <v>45960.40662037037</v>
      </c>
      <c r="C5486" s="1" t="n">
        <v>46114</v>
      </c>
      <c r="D5486" t="inlineStr">
        <is>
          <t>DALARNAS LÄN</t>
        </is>
      </c>
      <c r="E5486" t="inlineStr">
        <is>
          <t>MORA</t>
        </is>
      </c>
      <c r="G5486" t="n">
        <v>5.1</v>
      </c>
      <c r="H5486" t="n">
        <v>0</v>
      </c>
      <c r="I5486" t="n">
        <v>0</v>
      </c>
      <c r="J5486" t="n">
        <v>0</v>
      </c>
      <c r="K5486" t="n">
        <v>0</v>
      </c>
      <c r="L5486" t="n">
        <v>0</v>
      </c>
      <c r="M5486" t="n">
        <v>0</v>
      </c>
      <c r="N5486" t="n">
        <v>0</v>
      </c>
      <c r="O5486" t="n">
        <v>0</v>
      </c>
      <c r="P5486" t="n">
        <v>0</v>
      </c>
      <c r="Q5486" t="n">
        <v>0</v>
      </c>
      <c r="R5486" s="2" t="inlineStr"/>
    </row>
    <row r="5487" ht="15" customHeight="1">
      <c r="A5487" t="inlineStr">
        <is>
          <t>A 53573-2025</t>
        </is>
      </c>
      <c r="B5487" s="1" t="n">
        <v>45960.41716435185</v>
      </c>
      <c r="C5487" s="1" t="n">
        <v>46114</v>
      </c>
      <c r="D5487" t="inlineStr">
        <is>
          <t>DALARNAS LÄN</t>
        </is>
      </c>
      <c r="E5487" t="inlineStr">
        <is>
          <t>ORSA</t>
        </is>
      </c>
      <c r="F5487" t="inlineStr">
        <is>
          <t>Bergvik skog öst AB</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53603-2025</t>
        </is>
      </c>
      <c r="B5488" s="1" t="n">
        <v>45960.46061342592</v>
      </c>
      <c r="C5488" s="1" t="n">
        <v>46114</v>
      </c>
      <c r="D5488" t="inlineStr">
        <is>
          <t>DALARNAS LÄN</t>
        </is>
      </c>
      <c r="E5488" t="inlineStr">
        <is>
          <t>MALUNG-SÄLEN</t>
        </is>
      </c>
      <c r="F5488" t="inlineStr">
        <is>
          <t>Bergvik skog väst AB</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53612-2025</t>
        </is>
      </c>
      <c r="B5489" s="1" t="n">
        <v>45960.47034722222</v>
      </c>
      <c r="C5489" s="1" t="n">
        <v>46114</v>
      </c>
      <c r="D5489" t="inlineStr">
        <is>
          <t>DALARNAS LÄN</t>
        </is>
      </c>
      <c r="E5489" t="inlineStr">
        <is>
          <t>MALUNG-SÄLEN</t>
        </is>
      </c>
      <c r="F5489" t="inlineStr">
        <is>
          <t>Bergvik skog väst AB</t>
        </is>
      </c>
      <c r="G5489" t="n">
        <v>6.3</v>
      </c>
      <c r="H5489" t="n">
        <v>0</v>
      </c>
      <c r="I5489" t="n">
        <v>0</v>
      </c>
      <c r="J5489" t="n">
        <v>0</v>
      </c>
      <c r="K5489" t="n">
        <v>0</v>
      </c>
      <c r="L5489" t="n">
        <v>0</v>
      </c>
      <c r="M5489" t="n">
        <v>0</v>
      </c>
      <c r="N5489" t="n">
        <v>0</v>
      </c>
      <c r="O5489" t="n">
        <v>0</v>
      </c>
      <c r="P5489" t="n">
        <v>0</v>
      </c>
      <c r="Q5489" t="n">
        <v>0</v>
      </c>
      <c r="R5489" s="2" t="inlineStr"/>
    </row>
    <row r="5490" ht="15" customHeight="1">
      <c r="A5490" t="inlineStr">
        <is>
          <t>A 53619-2025</t>
        </is>
      </c>
      <c r="B5490" s="1" t="n">
        <v>45960</v>
      </c>
      <c r="C5490" s="1" t="n">
        <v>46114</v>
      </c>
      <c r="D5490" t="inlineStr">
        <is>
          <t>DALARNAS LÄN</t>
        </is>
      </c>
      <c r="E5490" t="inlineStr">
        <is>
          <t>LEKSAND</t>
        </is>
      </c>
      <c r="F5490" t="inlineStr">
        <is>
          <t>Bergvik skog väst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53591-2025</t>
        </is>
      </c>
      <c r="B5491" s="1" t="n">
        <v>45960.43893518519</v>
      </c>
      <c r="C5491" s="1" t="n">
        <v>46114</v>
      </c>
      <c r="D5491" t="inlineStr">
        <is>
          <t>DALARNAS LÄN</t>
        </is>
      </c>
      <c r="E5491" t="inlineStr">
        <is>
          <t>MORA</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10299-2024</t>
        </is>
      </c>
      <c r="B5492" s="1" t="n">
        <v>45365.50425925926</v>
      </c>
      <c r="C5492" s="1" t="n">
        <v>46114</v>
      </c>
      <c r="D5492" t="inlineStr">
        <is>
          <t>DALARNAS LÄN</t>
        </is>
      </c>
      <c r="E5492" t="inlineStr">
        <is>
          <t>LEKSAND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54932-2022</t>
        </is>
      </c>
      <c r="B5493" s="1" t="n">
        <v>44881</v>
      </c>
      <c r="C5493" s="1" t="n">
        <v>46114</v>
      </c>
      <c r="D5493" t="inlineStr">
        <is>
          <t>DALARNAS LÄN</t>
        </is>
      </c>
      <c r="E5493" t="inlineStr">
        <is>
          <t>MALUNG-SÄLEN</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53319-2025</t>
        </is>
      </c>
      <c r="B5494" s="1" t="n">
        <v>45959.35554398148</v>
      </c>
      <c r="C5494" s="1" t="n">
        <v>46114</v>
      </c>
      <c r="D5494" t="inlineStr">
        <is>
          <t>DALARNAS LÄN</t>
        </is>
      </c>
      <c r="E5494" t="inlineStr">
        <is>
          <t>ÄLVDALEN</t>
        </is>
      </c>
      <c r="G5494" t="n">
        <v>3.8</v>
      </c>
      <c r="H5494" t="n">
        <v>0</v>
      </c>
      <c r="I5494" t="n">
        <v>0</v>
      </c>
      <c r="J5494" t="n">
        <v>0</v>
      </c>
      <c r="K5494" t="n">
        <v>0</v>
      </c>
      <c r="L5494" t="n">
        <v>0</v>
      </c>
      <c r="M5494" t="n">
        <v>0</v>
      </c>
      <c r="N5494" t="n">
        <v>0</v>
      </c>
      <c r="O5494" t="n">
        <v>0</v>
      </c>
      <c r="P5494" t="n">
        <v>0</v>
      </c>
      <c r="Q5494" t="n">
        <v>0</v>
      </c>
      <c r="R5494" s="2" t="inlineStr"/>
    </row>
    <row r="5495" ht="15" customHeight="1">
      <c r="A5495" t="inlineStr">
        <is>
          <t>A 53616-2025</t>
        </is>
      </c>
      <c r="B5495" s="1" t="n">
        <v>45960.47642361111</v>
      </c>
      <c r="C5495" s="1" t="n">
        <v>46114</v>
      </c>
      <c r="D5495" t="inlineStr">
        <is>
          <t>DALARNAS LÄN</t>
        </is>
      </c>
      <c r="E5495" t="inlineStr">
        <is>
          <t>MALUNG-SÄLEN</t>
        </is>
      </c>
      <c r="F5495" t="inlineStr">
        <is>
          <t>Bergvik skog väst AB</t>
        </is>
      </c>
      <c r="G5495" t="n">
        <v>6.5</v>
      </c>
      <c r="H5495" t="n">
        <v>0</v>
      </c>
      <c r="I5495" t="n">
        <v>0</v>
      </c>
      <c r="J5495" t="n">
        <v>0</v>
      </c>
      <c r="K5495" t="n">
        <v>0</v>
      </c>
      <c r="L5495" t="n">
        <v>0</v>
      </c>
      <c r="M5495" t="n">
        <v>0</v>
      </c>
      <c r="N5495" t="n">
        <v>0</v>
      </c>
      <c r="O5495" t="n">
        <v>0</v>
      </c>
      <c r="P5495" t="n">
        <v>0</v>
      </c>
      <c r="Q5495" t="n">
        <v>0</v>
      </c>
      <c r="R5495" s="2" t="inlineStr"/>
    </row>
    <row r="5496" ht="15" customHeight="1">
      <c r="A5496" t="inlineStr">
        <is>
          <t>A 53878-2025</t>
        </is>
      </c>
      <c r="B5496" s="1" t="n">
        <v>45961.39585648148</v>
      </c>
      <c r="C5496" s="1" t="n">
        <v>46114</v>
      </c>
      <c r="D5496" t="inlineStr">
        <is>
          <t>DALARNAS LÄN</t>
        </is>
      </c>
      <c r="E5496" t="inlineStr">
        <is>
          <t>SÄTER</t>
        </is>
      </c>
      <c r="G5496" t="n">
        <v>3.3</v>
      </c>
      <c r="H5496" t="n">
        <v>0</v>
      </c>
      <c r="I5496" t="n">
        <v>0</v>
      </c>
      <c r="J5496" t="n">
        <v>0</v>
      </c>
      <c r="K5496" t="n">
        <v>0</v>
      </c>
      <c r="L5496" t="n">
        <v>0</v>
      </c>
      <c r="M5496" t="n">
        <v>0</v>
      </c>
      <c r="N5496" t="n">
        <v>0</v>
      </c>
      <c r="O5496" t="n">
        <v>0</v>
      </c>
      <c r="P5496" t="n">
        <v>0</v>
      </c>
      <c r="Q5496" t="n">
        <v>0</v>
      </c>
      <c r="R5496" s="2" t="inlineStr"/>
    </row>
    <row r="5497" ht="15" customHeight="1">
      <c r="A5497" t="inlineStr">
        <is>
          <t>A 53418-2025</t>
        </is>
      </c>
      <c r="B5497" s="1" t="n">
        <v>45959</v>
      </c>
      <c r="C5497" s="1" t="n">
        <v>46114</v>
      </c>
      <c r="D5497" t="inlineStr">
        <is>
          <t>DALARNAS LÄN</t>
        </is>
      </c>
      <c r="E5497" t="inlineStr">
        <is>
          <t>MORA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53559-2025</t>
        </is>
      </c>
      <c r="B5498" s="1" t="n">
        <v>45960</v>
      </c>
      <c r="C5498" s="1" t="n">
        <v>46114</v>
      </c>
      <c r="D5498" t="inlineStr">
        <is>
          <t>DALARNAS LÄN</t>
        </is>
      </c>
      <c r="E5498" t="inlineStr">
        <is>
          <t>SÄTER</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53495-2025</t>
        </is>
      </c>
      <c r="B5499" s="1" t="n">
        <v>45960.32577546296</v>
      </c>
      <c r="C5499" s="1" t="n">
        <v>46114</v>
      </c>
      <c r="D5499" t="inlineStr">
        <is>
          <t>DALARNAS LÄN</t>
        </is>
      </c>
      <c r="E5499" t="inlineStr">
        <is>
          <t>ORSA</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53344-2025</t>
        </is>
      </c>
      <c r="B5500" s="1" t="n">
        <v>45959.42392361111</v>
      </c>
      <c r="C5500" s="1" t="n">
        <v>46114</v>
      </c>
      <c r="D5500" t="inlineStr">
        <is>
          <t>DALARNAS LÄN</t>
        </is>
      </c>
      <c r="E5500" t="inlineStr">
        <is>
          <t>MALUNG-SÄLEN</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53987-2025</t>
        </is>
      </c>
      <c r="B5501" s="1" t="n">
        <v>45961.57497685185</v>
      </c>
      <c r="C5501" s="1" t="n">
        <v>46114</v>
      </c>
      <c r="D5501" t="inlineStr">
        <is>
          <t>DALARNAS LÄN</t>
        </is>
      </c>
      <c r="E5501" t="inlineStr">
        <is>
          <t>RÄTTVIK</t>
        </is>
      </c>
      <c r="F5501" t="inlineStr">
        <is>
          <t>Sveaskog</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21410-2023</t>
        </is>
      </c>
      <c r="B5502" s="1" t="n">
        <v>45063</v>
      </c>
      <c r="C5502" s="1" t="n">
        <v>46114</v>
      </c>
      <c r="D5502" t="inlineStr">
        <is>
          <t>DALARNAS LÄN</t>
        </is>
      </c>
      <c r="E5502" t="inlineStr">
        <is>
          <t>MORA</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53996-2025</t>
        </is>
      </c>
      <c r="B5503" s="1" t="n">
        <v>45961.58828703704</v>
      </c>
      <c r="C5503" s="1" t="n">
        <v>46114</v>
      </c>
      <c r="D5503" t="inlineStr">
        <is>
          <t>DALARNAS LÄN</t>
        </is>
      </c>
      <c r="E5503" t="inlineStr">
        <is>
          <t>FALUN</t>
        </is>
      </c>
      <c r="F5503" t="inlineStr">
        <is>
          <t>Bergvik skog väst AB</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53572-2025</t>
        </is>
      </c>
      <c r="B5504" s="1" t="n">
        <v>45960.4140625</v>
      </c>
      <c r="C5504" s="1" t="n">
        <v>46114</v>
      </c>
      <c r="D5504" t="inlineStr">
        <is>
          <t>DALARNAS LÄN</t>
        </is>
      </c>
      <c r="E5504" t="inlineStr">
        <is>
          <t>ORSA</t>
        </is>
      </c>
      <c r="F5504" t="inlineStr">
        <is>
          <t>Bergvik skog öst AB</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53602-2025</t>
        </is>
      </c>
      <c r="B5505" s="1" t="n">
        <v>45960.46038194445</v>
      </c>
      <c r="C5505" s="1" t="n">
        <v>46114</v>
      </c>
      <c r="D5505" t="inlineStr">
        <is>
          <t>DALARNAS LÄN</t>
        </is>
      </c>
      <c r="E5505" t="inlineStr">
        <is>
          <t>RÄTTVIK</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53804-2025</t>
        </is>
      </c>
      <c r="B5506" s="1" t="n">
        <v>45960.83247685185</v>
      </c>
      <c r="C5506" s="1" t="n">
        <v>46114</v>
      </c>
      <c r="D5506" t="inlineStr">
        <is>
          <t>DALARNAS LÄN</t>
        </is>
      </c>
      <c r="E5506" t="inlineStr">
        <is>
          <t>LEKSAND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53836-2025</t>
        </is>
      </c>
      <c r="B5507" s="1" t="n">
        <v>45961.3475462963</v>
      </c>
      <c r="C5507" s="1" t="n">
        <v>46114</v>
      </c>
      <c r="D5507" t="inlineStr">
        <is>
          <t>DALARNAS LÄN</t>
        </is>
      </c>
      <c r="E5507" t="inlineStr">
        <is>
          <t>LEKSAND</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16108-2021</t>
        </is>
      </c>
      <c r="B5508" s="1" t="n">
        <v>44291</v>
      </c>
      <c r="C5508" s="1" t="n">
        <v>46114</v>
      </c>
      <c r="D5508" t="inlineStr">
        <is>
          <t>DALARNAS LÄN</t>
        </is>
      </c>
      <c r="E5508" t="inlineStr">
        <is>
          <t>LUDVIKA</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53698-2025</t>
        </is>
      </c>
      <c r="B5509" s="1" t="n">
        <v>45960.59271990741</v>
      </c>
      <c r="C5509" s="1" t="n">
        <v>46114</v>
      </c>
      <c r="D5509" t="inlineStr">
        <is>
          <t>DALARNAS LÄN</t>
        </is>
      </c>
      <c r="E5509" t="inlineStr">
        <is>
          <t>RÄTTVIK</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53855-2025</t>
        </is>
      </c>
      <c r="B5510" s="1" t="n">
        <v>45961.37528935185</v>
      </c>
      <c r="C5510" s="1" t="n">
        <v>46114</v>
      </c>
      <c r="D5510" t="inlineStr">
        <is>
          <t>DALARNAS LÄN</t>
        </is>
      </c>
      <c r="E5510" t="inlineStr">
        <is>
          <t>ORSA</t>
        </is>
      </c>
      <c r="G5510" t="n">
        <v>11.1</v>
      </c>
      <c r="H5510" t="n">
        <v>0</v>
      </c>
      <c r="I5510" t="n">
        <v>0</v>
      </c>
      <c r="J5510" t="n">
        <v>0</v>
      </c>
      <c r="K5510" t="n">
        <v>0</v>
      </c>
      <c r="L5510" t="n">
        <v>0</v>
      </c>
      <c r="M5510" t="n">
        <v>0</v>
      </c>
      <c r="N5510" t="n">
        <v>0</v>
      </c>
      <c r="O5510" t="n">
        <v>0</v>
      </c>
      <c r="P5510" t="n">
        <v>0</v>
      </c>
      <c r="Q5510" t="n">
        <v>0</v>
      </c>
      <c r="R5510" s="2" t="inlineStr"/>
    </row>
    <row r="5511" ht="15" customHeight="1">
      <c r="A5511" t="inlineStr">
        <is>
          <t>A 21368-2021</t>
        </is>
      </c>
      <c r="B5511" s="1" t="n">
        <v>44321</v>
      </c>
      <c r="C5511" s="1" t="n">
        <v>46114</v>
      </c>
      <c r="D5511" t="inlineStr">
        <is>
          <t>DALARNAS LÄN</t>
        </is>
      </c>
      <c r="E5511" t="inlineStr">
        <is>
          <t>MALUNG-SÄLEN</t>
        </is>
      </c>
      <c r="G5511" t="n">
        <v>6.2</v>
      </c>
      <c r="H5511" t="n">
        <v>0</v>
      </c>
      <c r="I5511" t="n">
        <v>0</v>
      </c>
      <c r="J5511" t="n">
        <v>0</v>
      </c>
      <c r="K5511" t="n">
        <v>0</v>
      </c>
      <c r="L5511" t="n">
        <v>0</v>
      </c>
      <c r="M5511" t="n">
        <v>0</v>
      </c>
      <c r="N5511" t="n">
        <v>0</v>
      </c>
      <c r="O5511" t="n">
        <v>0</v>
      </c>
      <c r="P5511" t="n">
        <v>0</v>
      </c>
      <c r="Q5511" t="n">
        <v>0</v>
      </c>
      <c r="R5511" s="2" t="inlineStr"/>
    </row>
    <row r="5512" ht="15" customHeight="1">
      <c r="A5512" t="inlineStr">
        <is>
          <t>A 65104-2023</t>
        </is>
      </c>
      <c r="B5512" s="1" t="n">
        <v>45288</v>
      </c>
      <c r="C5512" s="1" t="n">
        <v>46114</v>
      </c>
      <c r="D5512" t="inlineStr">
        <is>
          <t>DALARNAS LÄN</t>
        </is>
      </c>
      <c r="E5512" t="inlineStr">
        <is>
          <t>LUDVIKA</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14756-2025</t>
        </is>
      </c>
      <c r="B5513" s="1" t="n">
        <v>45742.66762731481</v>
      </c>
      <c r="C5513" s="1" t="n">
        <v>46114</v>
      </c>
      <c r="D5513" t="inlineStr">
        <is>
          <t>DALARNAS LÄN</t>
        </is>
      </c>
      <c r="E5513" t="inlineStr">
        <is>
          <t>FALUN</t>
        </is>
      </c>
      <c r="F5513" t="inlineStr">
        <is>
          <t>Bergvik skog väst AB</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53769-2025</t>
        </is>
      </c>
      <c r="B5514" s="1" t="n">
        <v>45960.68148148148</v>
      </c>
      <c r="C5514" s="1" t="n">
        <v>46114</v>
      </c>
      <c r="D5514" t="inlineStr">
        <is>
          <t>DALARNAS LÄN</t>
        </is>
      </c>
      <c r="E5514" t="inlineStr">
        <is>
          <t>SMEDJEBACKEN</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53554-2025</t>
        </is>
      </c>
      <c r="B5515" s="1" t="n">
        <v>45960</v>
      </c>
      <c r="C5515" s="1" t="n">
        <v>46114</v>
      </c>
      <c r="D5515" t="inlineStr">
        <is>
          <t>DALARNAS LÄN</t>
        </is>
      </c>
      <c r="E5515" t="inlineStr">
        <is>
          <t>LUDVIKA</t>
        </is>
      </c>
      <c r="F5515" t="inlineStr">
        <is>
          <t>Bergvik skog väst AB</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53556-2025</t>
        </is>
      </c>
      <c r="B5516" s="1" t="n">
        <v>45960.3921875</v>
      </c>
      <c r="C5516" s="1" t="n">
        <v>46114</v>
      </c>
      <c r="D5516" t="inlineStr">
        <is>
          <t>DALARNAS LÄN</t>
        </is>
      </c>
      <c r="E5516" t="inlineStr">
        <is>
          <t>MORA</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53501-2025</t>
        </is>
      </c>
      <c r="B5517" s="1" t="n">
        <v>45960.34216435185</v>
      </c>
      <c r="C5517" s="1" t="n">
        <v>46114</v>
      </c>
      <c r="D5517" t="inlineStr">
        <is>
          <t>DALARNAS LÄN</t>
        </is>
      </c>
      <c r="E5517" t="inlineStr">
        <is>
          <t>ORSA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53718-2025</t>
        </is>
      </c>
      <c r="B5518" s="1" t="n">
        <v>45960.61840277778</v>
      </c>
      <c r="C5518" s="1" t="n">
        <v>46114</v>
      </c>
      <c r="D5518" t="inlineStr">
        <is>
          <t>DALARNAS LÄN</t>
        </is>
      </c>
      <c r="E5518" t="inlineStr">
        <is>
          <t>LEKSAND</t>
        </is>
      </c>
      <c r="G5518" t="n">
        <v>7.5</v>
      </c>
      <c r="H5518" t="n">
        <v>0</v>
      </c>
      <c r="I5518" t="n">
        <v>0</v>
      </c>
      <c r="J5518" t="n">
        <v>0</v>
      </c>
      <c r="K5518" t="n">
        <v>0</v>
      </c>
      <c r="L5518" t="n">
        <v>0</v>
      </c>
      <c r="M5518" t="n">
        <v>0</v>
      </c>
      <c r="N5518" t="n">
        <v>0</v>
      </c>
      <c r="O5518" t="n">
        <v>0</v>
      </c>
      <c r="P5518" t="n">
        <v>0</v>
      </c>
      <c r="Q5518" t="n">
        <v>0</v>
      </c>
      <c r="R5518" s="2" t="inlineStr"/>
    </row>
    <row r="5519" ht="15" customHeight="1">
      <c r="A5519" t="inlineStr">
        <is>
          <t>A 2086-2024</t>
        </is>
      </c>
      <c r="B5519" s="1" t="n">
        <v>45309</v>
      </c>
      <c r="C5519" s="1" t="n">
        <v>46114</v>
      </c>
      <c r="D5519" t="inlineStr">
        <is>
          <t>DALARNAS LÄN</t>
        </is>
      </c>
      <c r="E5519" t="inlineStr">
        <is>
          <t>VANSBRO</t>
        </is>
      </c>
      <c r="G5519" t="n">
        <v>0.4</v>
      </c>
      <c r="H5519" t="n">
        <v>0</v>
      </c>
      <c r="I5519" t="n">
        <v>0</v>
      </c>
      <c r="J5519" t="n">
        <v>0</v>
      </c>
      <c r="K5519" t="n">
        <v>0</v>
      </c>
      <c r="L5519" t="n">
        <v>0</v>
      </c>
      <c r="M5519" t="n">
        <v>0</v>
      </c>
      <c r="N5519" t="n">
        <v>0</v>
      </c>
      <c r="O5519" t="n">
        <v>0</v>
      </c>
      <c r="P5519" t="n">
        <v>0</v>
      </c>
      <c r="Q5519" t="n">
        <v>0</v>
      </c>
      <c r="R5519" s="2" t="inlineStr"/>
    </row>
    <row r="5520" ht="15" customHeight="1">
      <c r="A5520" t="inlineStr">
        <is>
          <t>A 41523-2023</t>
        </is>
      </c>
      <c r="B5520" s="1" t="n">
        <v>45172</v>
      </c>
      <c r="C5520" s="1" t="n">
        <v>46114</v>
      </c>
      <c r="D5520" t="inlineStr">
        <is>
          <t>DALARNAS LÄN</t>
        </is>
      </c>
      <c r="E5520" t="inlineStr">
        <is>
          <t>HEDEMORA</t>
        </is>
      </c>
      <c r="F5520" t="inlineStr">
        <is>
          <t>Bergvik skog väst AB</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54821-2024</t>
        </is>
      </c>
      <c r="B5521" s="1" t="n">
        <v>45618</v>
      </c>
      <c r="C5521" s="1" t="n">
        <v>46114</v>
      </c>
      <c r="D5521" t="inlineStr">
        <is>
          <t>DALARNAS LÄN</t>
        </is>
      </c>
      <c r="E5521" t="inlineStr">
        <is>
          <t>RÄTTVIK</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38755-2025</t>
        </is>
      </c>
      <c r="B5522" s="1" t="n">
        <v>45887.39440972222</v>
      </c>
      <c r="C5522" s="1" t="n">
        <v>46114</v>
      </c>
      <c r="D5522" t="inlineStr">
        <is>
          <t>DALARNAS LÄN</t>
        </is>
      </c>
      <c r="E5522" t="inlineStr">
        <is>
          <t>SMEDJEBACKEN</t>
        </is>
      </c>
      <c r="F5522" t="inlineStr">
        <is>
          <t>Sveaskog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54335-2025</t>
        </is>
      </c>
      <c r="B5523" s="1" t="n">
        <v>45965.35204861111</v>
      </c>
      <c r="C5523" s="1" t="n">
        <v>46114</v>
      </c>
      <c r="D5523" t="inlineStr">
        <is>
          <t>DALARNAS LÄN</t>
        </is>
      </c>
      <c r="E5523" t="inlineStr">
        <is>
          <t>FALUN</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54340-2025</t>
        </is>
      </c>
      <c r="B5524" s="1" t="n">
        <v>45965.35895833333</v>
      </c>
      <c r="C5524" s="1" t="n">
        <v>46114</v>
      </c>
      <c r="D5524" t="inlineStr">
        <is>
          <t>DALARNAS LÄN</t>
        </is>
      </c>
      <c r="E5524" t="inlineStr">
        <is>
          <t>FALUN</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54379-2025</t>
        </is>
      </c>
      <c r="B5525" s="1" t="n">
        <v>45965.42822916667</v>
      </c>
      <c r="C5525" s="1" t="n">
        <v>46114</v>
      </c>
      <c r="D5525" t="inlineStr">
        <is>
          <t>DALARNAS LÄN</t>
        </is>
      </c>
      <c r="E5525" t="inlineStr">
        <is>
          <t>MALUNG-SÄLEN</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54388-2025</t>
        </is>
      </c>
      <c r="B5526" s="1" t="n">
        <v>45965.43789351852</v>
      </c>
      <c r="C5526" s="1" t="n">
        <v>46114</v>
      </c>
      <c r="D5526" t="inlineStr">
        <is>
          <t>DALARNAS LÄN</t>
        </is>
      </c>
      <c r="E5526" t="inlineStr">
        <is>
          <t>RÄTTVIK</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43422-2024</t>
        </is>
      </c>
      <c r="B5527" s="1" t="n">
        <v>45568.63368055555</v>
      </c>
      <c r="C5527" s="1" t="n">
        <v>46114</v>
      </c>
      <c r="D5527" t="inlineStr">
        <is>
          <t>DALARNAS LÄN</t>
        </is>
      </c>
      <c r="E5527" t="inlineStr">
        <is>
          <t>SMEDJEBACKEN</t>
        </is>
      </c>
      <c r="F5527" t="inlineStr">
        <is>
          <t>Sveaskog</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43193-2024</t>
        </is>
      </c>
      <c r="B5528" s="1" t="n">
        <v>45567.67582175926</v>
      </c>
      <c r="C5528" s="1" t="n">
        <v>46114</v>
      </c>
      <c r="D5528" t="inlineStr">
        <is>
          <t>DALARNAS LÄN</t>
        </is>
      </c>
      <c r="E5528" t="inlineStr">
        <is>
          <t>FALUN</t>
        </is>
      </c>
      <c r="G5528" t="n">
        <v>0.4</v>
      </c>
      <c r="H5528" t="n">
        <v>0</v>
      </c>
      <c r="I5528" t="n">
        <v>0</v>
      </c>
      <c r="J5528" t="n">
        <v>0</v>
      </c>
      <c r="K5528" t="n">
        <v>0</v>
      </c>
      <c r="L5528" t="n">
        <v>0</v>
      </c>
      <c r="M5528" t="n">
        <v>0</v>
      </c>
      <c r="N5528" t="n">
        <v>0</v>
      </c>
      <c r="O5528" t="n">
        <v>0</v>
      </c>
      <c r="P5528" t="n">
        <v>0</v>
      </c>
      <c r="Q5528" t="n">
        <v>0</v>
      </c>
      <c r="R5528" s="2" t="inlineStr"/>
    </row>
    <row r="5529" ht="15" customHeight="1">
      <c r="A5529" t="inlineStr">
        <is>
          <t>A 45963-2024</t>
        </is>
      </c>
      <c r="B5529" s="1" t="n">
        <v>45580.57578703704</v>
      </c>
      <c r="C5529" s="1" t="n">
        <v>46114</v>
      </c>
      <c r="D5529" t="inlineStr">
        <is>
          <t>DALARNAS LÄN</t>
        </is>
      </c>
      <c r="E5529" t="inlineStr">
        <is>
          <t>MALUNG-SÄLEN</t>
        </is>
      </c>
      <c r="G5529" t="n">
        <v>3.6</v>
      </c>
      <c r="H5529" t="n">
        <v>0</v>
      </c>
      <c r="I5529" t="n">
        <v>0</v>
      </c>
      <c r="J5529" t="n">
        <v>0</v>
      </c>
      <c r="K5529" t="n">
        <v>0</v>
      </c>
      <c r="L5529" t="n">
        <v>0</v>
      </c>
      <c r="M5529" t="n">
        <v>0</v>
      </c>
      <c r="N5529" t="n">
        <v>0</v>
      </c>
      <c r="O5529" t="n">
        <v>0</v>
      </c>
      <c r="P5529" t="n">
        <v>0</v>
      </c>
      <c r="Q5529" t="n">
        <v>0</v>
      </c>
      <c r="R5529" s="2" t="inlineStr"/>
    </row>
    <row r="5530" ht="15" customHeight="1">
      <c r="A5530" t="inlineStr">
        <is>
          <t>A 51405-2022</t>
        </is>
      </c>
      <c r="B5530" s="1" t="n">
        <v>44869</v>
      </c>
      <c r="C5530" s="1" t="n">
        <v>46114</v>
      </c>
      <c r="D5530" t="inlineStr">
        <is>
          <t>DALARNAS LÄN</t>
        </is>
      </c>
      <c r="E5530" t="inlineStr">
        <is>
          <t>SÄTER</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54040-2025</t>
        </is>
      </c>
      <c r="B5531" s="1" t="n">
        <v>45963.74130787037</v>
      </c>
      <c r="C5531" s="1" t="n">
        <v>46114</v>
      </c>
      <c r="D5531" t="inlineStr">
        <is>
          <t>DALARNAS LÄN</t>
        </is>
      </c>
      <c r="E5531" t="inlineStr">
        <is>
          <t>HEDEMORA</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54508-2025</t>
        </is>
      </c>
      <c r="B5532" s="1" t="n">
        <v>45965.61844907407</v>
      </c>
      <c r="C5532" s="1" t="n">
        <v>46114</v>
      </c>
      <c r="D5532" t="inlineStr">
        <is>
          <t>DALARNAS LÄN</t>
        </is>
      </c>
      <c r="E5532" t="inlineStr">
        <is>
          <t>MORA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54509-2025</t>
        </is>
      </c>
      <c r="B5533" s="1" t="n">
        <v>45965.61920138889</v>
      </c>
      <c r="C5533" s="1" t="n">
        <v>46114</v>
      </c>
      <c r="D5533" t="inlineStr">
        <is>
          <t>DALARNAS LÄN</t>
        </is>
      </c>
      <c r="E5533" t="inlineStr">
        <is>
          <t>ORSA</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16135-2023</t>
        </is>
      </c>
      <c r="B5534" s="1" t="n">
        <v>45027.63717592593</v>
      </c>
      <c r="C5534" s="1" t="n">
        <v>46114</v>
      </c>
      <c r="D5534" t="inlineStr">
        <is>
          <t>DALARNAS LÄN</t>
        </is>
      </c>
      <c r="E5534" t="inlineStr">
        <is>
          <t>LEKSAND</t>
        </is>
      </c>
      <c r="G5534" t="n">
        <v>4.9</v>
      </c>
      <c r="H5534" t="n">
        <v>0</v>
      </c>
      <c r="I5534" t="n">
        <v>0</v>
      </c>
      <c r="J5534" t="n">
        <v>0</v>
      </c>
      <c r="K5534" t="n">
        <v>0</v>
      </c>
      <c r="L5534" t="n">
        <v>0</v>
      </c>
      <c r="M5534" t="n">
        <v>0</v>
      </c>
      <c r="N5534" t="n">
        <v>0</v>
      </c>
      <c r="O5534" t="n">
        <v>0</v>
      </c>
      <c r="P5534" t="n">
        <v>0</v>
      </c>
      <c r="Q5534" t="n">
        <v>0</v>
      </c>
      <c r="R5534" s="2" t="inlineStr"/>
    </row>
    <row r="5535" ht="15" customHeight="1">
      <c r="A5535" t="inlineStr">
        <is>
          <t>A 54176-2025</t>
        </is>
      </c>
      <c r="B5535" s="1" t="n">
        <v>45964.5500925926</v>
      </c>
      <c r="C5535" s="1" t="n">
        <v>46114</v>
      </c>
      <c r="D5535" t="inlineStr">
        <is>
          <t>DALARNAS LÄN</t>
        </is>
      </c>
      <c r="E5535" t="inlineStr">
        <is>
          <t>ORSA</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19179-2024</t>
        </is>
      </c>
      <c r="B5536" s="1" t="n">
        <v>45428.47834490741</v>
      </c>
      <c r="C5536" s="1" t="n">
        <v>46114</v>
      </c>
      <c r="D5536" t="inlineStr">
        <is>
          <t>DALARNAS LÄN</t>
        </is>
      </c>
      <c r="E5536" t="inlineStr">
        <is>
          <t>SMEDJEBACKEN</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54414-2025</t>
        </is>
      </c>
      <c r="B5537" s="1" t="n">
        <v>45965</v>
      </c>
      <c r="C5537" s="1" t="n">
        <v>46114</v>
      </c>
      <c r="D5537" t="inlineStr">
        <is>
          <t>DALARNAS LÄN</t>
        </is>
      </c>
      <c r="E5537" t="inlineStr">
        <is>
          <t>MALUNG-SÄLEN</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54310-2021</t>
        </is>
      </c>
      <c r="B5538" s="1" t="n">
        <v>44472.54035879629</v>
      </c>
      <c r="C5538" s="1" t="n">
        <v>46114</v>
      </c>
      <c r="D5538" t="inlineStr">
        <is>
          <t>DALARNAS LÄN</t>
        </is>
      </c>
      <c r="E5538" t="inlineStr">
        <is>
          <t>HEDEMORA</t>
        </is>
      </c>
      <c r="F5538" t="inlineStr">
        <is>
          <t>Sveaskog</t>
        </is>
      </c>
      <c r="G5538" t="n">
        <v>0.9</v>
      </c>
      <c r="H5538" t="n">
        <v>0</v>
      </c>
      <c r="I5538" t="n">
        <v>0</v>
      </c>
      <c r="J5538" t="n">
        <v>0</v>
      </c>
      <c r="K5538" t="n">
        <v>0</v>
      </c>
      <c r="L5538" t="n">
        <v>0</v>
      </c>
      <c r="M5538" t="n">
        <v>0</v>
      </c>
      <c r="N5538" t="n">
        <v>0</v>
      </c>
      <c r="O5538" t="n">
        <v>0</v>
      </c>
      <c r="P5538" t="n">
        <v>0</v>
      </c>
      <c r="Q5538" t="n">
        <v>0</v>
      </c>
      <c r="R5538" s="2" t="inlineStr"/>
    </row>
    <row r="5539" ht="15" customHeight="1">
      <c r="A5539" t="inlineStr">
        <is>
          <t>A 54453-2025</t>
        </is>
      </c>
      <c r="B5539" s="1" t="n">
        <v>45965</v>
      </c>
      <c r="C5539" s="1" t="n">
        <v>46114</v>
      </c>
      <c r="D5539" t="inlineStr">
        <is>
          <t>DALARNAS LÄN</t>
        </is>
      </c>
      <c r="E5539" t="inlineStr">
        <is>
          <t>VANSBRO</t>
        </is>
      </c>
      <c r="G5539" t="n">
        <v>3.7</v>
      </c>
      <c r="H5539" t="n">
        <v>0</v>
      </c>
      <c r="I5539" t="n">
        <v>0</v>
      </c>
      <c r="J5539" t="n">
        <v>0</v>
      </c>
      <c r="K5539" t="n">
        <v>0</v>
      </c>
      <c r="L5539" t="n">
        <v>0</v>
      </c>
      <c r="M5539" t="n">
        <v>0</v>
      </c>
      <c r="N5539" t="n">
        <v>0</v>
      </c>
      <c r="O5539" t="n">
        <v>0</v>
      </c>
      <c r="P5539" t="n">
        <v>0</v>
      </c>
      <c r="Q5539" t="n">
        <v>0</v>
      </c>
      <c r="R5539" s="2" t="inlineStr"/>
    </row>
    <row r="5540" ht="15" customHeight="1">
      <c r="A5540" t="inlineStr">
        <is>
          <t>A 22813-2025</t>
        </is>
      </c>
      <c r="B5540" s="1" t="n">
        <v>45789.68653935185</v>
      </c>
      <c r="C5540" s="1" t="n">
        <v>46114</v>
      </c>
      <c r="D5540" t="inlineStr">
        <is>
          <t>DALARNAS LÄN</t>
        </is>
      </c>
      <c r="E5540" t="inlineStr">
        <is>
          <t>SMEDJEBACKEN</t>
        </is>
      </c>
      <c r="G5540" t="n">
        <v>2.9</v>
      </c>
      <c r="H5540" t="n">
        <v>0</v>
      </c>
      <c r="I5540" t="n">
        <v>0</v>
      </c>
      <c r="J5540" t="n">
        <v>0</v>
      </c>
      <c r="K5540" t="n">
        <v>0</v>
      </c>
      <c r="L5540" t="n">
        <v>0</v>
      </c>
      <c r="M5540" t="n">
        <v>0</v>
      </c>
      <c r="N5540" t="n">
        <v>0</v>
      </c>
      <c r="O5540" t="n">
        <v>0</v>
      </c>
      <c r="P5540" t="n">
        <v>0</v>
      </c>
      <c r="Q5540" t="n">
        <v>0</v>
      </c>
      <c r="R5540" s="2" t="inlineStr"/>
    </row>
    <row r="5541" ht="15" customHeight="1">
      <c r="A5541" t="inlineStr">
        <is>
          <t>A 30751-2025</t>
        </is>
      </c>
      <c r="B5541" s="1" t="n">
        <v>45831.58921296296</v>
      </c>
      <c r="C5541" s="1" t="n">
        <v>46114</v>
      </c>
      <c r="D5541" t="inlineStr">
        <is>
          <t>DALARNAS LÄN</t>
        </is>
      </c>
      <c r="E5541" t="inlineStr">
        <is>
          <t>ORSA</t>
        </is>
      </c>
      <c r="G5541" t="n">
        <v>5.2</v>
      </c>
      <c r="H5541" t="n">
        <v>0</v>
      </c>
      <c r="I5541" t="n">
        <v>0</v>
      </c>
      <c r="J5541" t="n">
        <v>0</v>
      </c>
      <c r="K5541" t="n">
        <v>0</v>
      </c>
      <c r="L5541" t="n">
        <v>0</v>
      </c>
      <c r="M5541" t="n">
        <v>0</v>
      </c>
      <c r="N5541" t="n">
        <v>0</v>
      </c>
      <c r="O5541" t="n">
        <v>0</v>
      </c>
      <c r="P5541" t="n">
        <v>0</v>
      </c>
      <c r="Q5541" t="n">
        <v>0</v>
      </c>
      <c r="R5541" s="2" t="inlineStr"/>
    </row>
    <row r="5542" ht="15" customHeight="1">
      <c r="A5542" t="inlineStr">
        <is>
          <t>A 38750-2025</t>
        </is>
      </c>
      <c r="B5542" s="1" t="n">
        <v>45887.38953703704</v>
      </c>
      <c r="C5542" s="1" t="n">
        <v>46114</v>
      </c>
      <c r="D5542" t="inlineStr">
        <is>
          <t>DALARNAS LÄN</t>
        </is>
      </c>
      <c r="E5542" t="inlineStr">
        <is>
          <t>SMEDJEBACKEN</t>
        </is>
      </c>
      <c r="F5542" t="inlineStr">
        <is>
          <t>Sveaskog</t>
        </is>
      </c>
      <c r="G5542" t="n">
        <v>4.8</v>
      </c>
      <c r="H5542" t="n">
        <v>0</v>
      </c>
      <c r="I5542" t="n">
        <v>0</v>
      </c>
      <c r="J5542" t="n">
        <v>0</v>
      </c>
      <c r="K5542" t="n">
        <v>0</v>
      </c>
      <c r="L5542" t="n">
        <v>0</v>
      </c>
      <c r="M5542" t="n">
        <v>0</v>
      </c>
      <c r="N5542" t="n">
        <v>0</v>
      </c>
      <c r="O5542" t="n">
        <v>0</v>
      </c>
      <c r="P5542" t="n">
        <v>0</v>
      </c>
      <c r="Q5542" t="n">
        <v>0</v>
      </c>
      <c r="R5542" s="2" t="inlineStr"/>
    </row>
    <row r="5543" ht="15" customHeight="1">
      <c r="A5543" t="inlineStr">
        <is>
          <t>A 54278-2025</t>
        </is>
      </c>
      <c r="B5543" s="1" t="n">
        <v>45964</v>
      </c>
      <c r="C5543" s="1" t="n">
        <v>46114</v>
      </c>
      <c r="D5543" t="inlineStr">
        <is>
          <t>DALARNAS LÄN</t>
        </is>
      </c>
      <c r="E5543" t="inlineStr">
        <is>
          <t>AVESTA</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47343-2024</t>
        </is>
      </c>
      <c r="B5544" s="1" t="n">
        <v>45587.40817129629</v>
      </c>
      <c r="C5544" s="1" t="n">
        <v>46114</v>
      </c>
      <c r="D5544" t="inlineStr">
        <is>
          <t>DALARNAS LÄN</t>
        </is>
      </c>
      <c r="E5544" t="inlineStr">
        <is>
          <t>FALUN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52142-2024</t>
        </is>
      </c>
      <c r="B5545" s="1" t="n">
        <v>45608</v>
      </c>
      <c r="C5545" s="1" t="n">
        <v>46114</v>
      </c>
      <c r="D5545" t="inlineStr">
        <is>
          <t>DALARNAS LÄN</t>
        </is>
      </c>
      <c r="E5545" t="inlineStr">
        <is>
          <t>MALUNG-SÄLEN</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44572-2024</t>
        </is>
      </c>
      <c r="B5546" s="1" t="n">
        <v>45574</v>
      </c>
      <c r="C5546" s="1" t="n">
        <v>46114</v>
      </c>
      <c r="D5546" t="inlineStr">
        <is>
          <t>DALARNAS LÄN</t>
        </is>
      </c>
      <c r="E5546" t="inlineStr">
        <is>
          <t>GAGNEF</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54089-2025</t>
        </is>
      </c>
      <c r="B5547" s="1" t="n">
        <v>45964.3933912037</v>
      </c>
      <c r="C5547" s="1" t="n">
        <v>46114</v>
      </c>
      <c r="D5547" t="inlineStr">
        <is>
          <t>DALARNAS LÄN</t>
        </is>
      </c>
      <c r="E5547" t="inlineStr">
        <is>
          <t>SMEDJEBACKEN</t>
        </is>
      </c>
      <c r="F5547" t="inlineStr">
        <is>
          <t>Sveaskog</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17569-2023</t>
        </is>
      </c>
      <c r="B5548" s="1" t="n">
        <v>45036</v>
      </c>
      <c r="C5548" s="1" t="n">
        <v>46114</v>
      </c>
      <c r="D5548" t="inlineStr">
        <is>
          <t>DALARNAS LÄN</t>
        </is>
      </c>
      <c r="E5548" t="inlineStr">
        <is>
          <t>BORLÄNGE</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54087-2025</t>
        </is>
      </c>
      <c r="B5549" s="1" t="n">
        <v>45964.39109953704</v>
      </c>
      <c r="C5549" s="1" t="n">
        <v>46114</v>
      </c>
      <c r="D5549" t="inlineStr">
        <is>
          <t>DALARNAS LÄN</t>
        </is>
      </c>
      <c r="E5549" t="inlineStr">
        <is>
          <t>SMEDJEBACKEN</t>
        </is>
      </c>
      <c r="F5549" t="inlineStr">
        <is>
          <t>Sveaskog</t>
        </is>
      </c>
      <c r="G5549" t="n">
        <v>10.4</v>
      </c>
      <c r="H5549" t="n">
        <v>0</v>
      </c>
      <c r="I5549" t="n">
        <v>0</v>
      </c>
      <c r="J5549" t="n">
        <v>0</v>
      </c>
      <c r="K5549" t="n">
        <v>0</v>
      </c>
      <c r="L5549" t="n">
        <v>0</v>
      </c>
      <c r="M5549" t="n">
        <v>0</v>
      </c>
      <c r="N5549" t="n">
        <v>0</v>
      </c>
      <c r="O5549" t="n">
        <v>0</v>
      </c>
      <c r="P5549" t="n">
        <v>0</v>
      </c>
      <c r="Q5549" t="n">
        <v>0</v>
      </c>
      <c r="R5549" s="2" t="inlineStr"/>
    </row>
    <row r="5550" ht="15" customHeight="1">
      <c r="A5550" t="inlineStr">
        <is>
          <t>A 46185-2024</t>
        </is>
      </c>
      <c r="B5550" s="1" t="n">
        <v>45581</v>
      </c>
      <c r="C5550" s="1" t="n">
        <v>46114</v>
      </c>
      <c r="D5550" t="inlineStr">
        <is>
          <t>DALARNAS LÄN</t>
        </is>
      </c>
      <c r="E5550" t="inlineStr">
        <is>
          <t>LUDVIKA</t>
        </is>
      </c>
      <c r="F5550" t="inlineStr">
        <is>
          <t>Bergvik skog väst AB</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54134-2025</t>
        </is>
      </c>
      <c r="B5551" s="1" t="n">
        <v>45964.46950231482</v>
      </c>
      <c r="C5551" s="1" t="n">
        <v>46114</v>
      </c>
      <c r="D5551" t="inlineStr">
        <is>
          <t>DALARNAS LÄN</t>
        </is>
      </c>
      <c r="E5551" t="inlineStr">
        <is>
          <t>MALUNG-SÄLEN</t>
        </is>
      </c>
      <c r="F5551" t="inlineStr">
        <is>
          <t>Bergvik skog öst AB</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13553-2025</t>
        </is>
      </c>
      <c r="B5552" s="1" t="n">
        <v>45736</v>
      </c>
      <c r="C5552" s="1" t="n">
        <v>46114</v>
      </c>
      <c r="D5552" t="inlineStr">
        <is>
          <t>DALARNAS LÄN</t>
        </is>
      </c>
      <c r="E5552" t="inlineStr">
        <is>
          <t>AVESTA</t>
        </is>
      </c>
      <c r="G5552" t="n">
        <v>2.9</v>
      </c>
      <c r="H5552" t="n">
        <v>0</v>
      </c>
      <c r="I5552" t="n">
        <v>0</v>
      </c>
      <c r="J5552" t="n">
        <v>0</v>
      </c>
      <c r="K5552" t="n">
        <v>0</v>
      </c>
      <c r="L5552" t="n">
        <v>0</v>
      </c>
      <c r="M5552" t="n">
        <v>0</v>
      </c>
      <c r="N5552" t="n">
        <v>0</v>
      </c>
      <c r="O5552" t="n">
        <v>0</v>
      </c>
      <c r="P5552" t="n">
        <v>0</v>
      </c>
      <c r="Q5552" t="n">
        <v>0</v>
      </c>
      <c r="R5552" s="2" t="inlineStr"/>
    </row>
    <row r="5553" ht="15" customHeight="1">
      <c r="A5553" t="inlineStr">
        <is>
          <t>A 50366-2023</t>
        </is>
      </c>
      <c r="B5553" s="1" t="n">
        <v>45216</v>
      </c>
      <c r="C5553" s="1" t="n">
        <v>46114</v>
      </c>
      <c r="D5553" t="inlineStr">
        <is>
          <t>DALARNAS LÄN</t>
        </is>
      </c>
      <c r="E5553" t="inlineStr">
        <is>
          <t>SÄTER</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2745-2025</t>
        </is>
      </c>
      <c r="B5554" s="1" t="n">
        <v>45677.46194444445</v>
      </c>
      <c r="C5554" s="1" t="n">
        <v>46114</v>
      </c>
      <c r="D5554" t="inlineStr">
        <is>
          <t>DALARNAS LÄN</t>
        </is>
      </c>
      <c r="E5554" t="inlineStr">
        <is>
          <t>FALUN</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32738-2022</t>
        </is>
      </c>
      <c r="B5555" s="1" t="n">
        <v>44783.68931712963</v>
      </c>
      <c r="C5555" s="1" t="n">
        <v>46114</v>
      </c>
      <c r="D5555" t="inlineStr">
        <is>
          <t>DALARNAS LÄN</t>
        </is>
      </c>
      <c r="E5555" t="inlineStr">
        <is>
          <t>HEDEMORA</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62002-2024</t>
        </is>
      </c>
      <c r="B5556" s="1" t="n">
        <v>45654.49903935185</v>
      </c>
      <c r="C5556" s="1" t="n">
        <v>46114</v>
      </c>
      <c r="D5556" t="inlineStr">
        <is>
          <t>DALARNAS LÄN</t>
        </is>
      </c>
      <c r="E5556" t="inlineStr">
        <is>
          <t>MALUNG-SÄLEN</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13550-2025</t>
        </is>
      </c>
      <c r="B5557" s="1" t="n">
        <v>45736</v>
      </c>
      <c r="C5557" s="1" t="n">
        <v>46114</v>
      </c>
      <c r="D5557" t="inlineStr">
        <is>
          <t>DALARNAS LÄN</t>
        </is>
      </c>
      <c r="E5557" t="inlineStr">
        <is>
          <t>AVESTA</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25115-2025</t>
        </is>
      </c>
      <c r="B5558" s="1" t="n">
        <v>45800.36340277778</v>
      </c>
      <c r="C5558" s="1" t="n">
        <v>46114</v>
      </c>
      <c r="D5558" t="inlineStr">
        <is>
          <t>DALARNAS LÄN</t>
        </is>
      </c>
      <c r="E5558" t="inlineStr">
        <is>
          <t>AVESTA</t>
        </is>
      </c>
      <c r="F5558" t="inlineStr">
        <is>
          <t>Sveaskog</t>
        </is>
      </c>
      <c r="G5558" t="n">
        <v>5.2</v>
      </c>
      <c r="H5558" t="n">
        <v>0</v>
      </c>
      <c r="I5558" t="n">
        <v>0</v>
      </c>
      <c r="J5558" t="n">
        <v>0</v>
      </c>
      <c r="K5558" t="n">
        <v>0</v>
      </c>
      <c r="L5558" t="n">
        <v>0</v>
      </c>
      <c r="M5558" t="n">
        <v>0</v>
      </c>
      <c r="N5558" t="n">
        <v>0</v>
      </c>
      <c r="O5558" t="n">
        <v>0</v>
      </c>
      <c r="P5558" t="n">
        <v>0</v>
      </c>
      <c r="Q5558" t="n">
        <v>0</v>
      </c>
      <c r="R5558" s="2" t="inlineStr"/>
    </row>
    <row r="5559" ht="15" customHeight="1">
      <c r="A5559" t="inlineStr">
        <is>
          <t>A 3531-2024</t>
        </is>
      </c>
      <c r="B5559" s="1" t="n">
        <v>45320</v>
      </c>
      <c r="C5559" s="1" t="n">
        <v>46114</v>
      </c>
      <c r="D5559" t="inlineStr">
        <is>
          <t>DALARNAS LÄN</t>
        </is>
      </c>
      <c r="E5559" t="inlineStr">
        <is>
          <t>MORA</t>
        </is>
      </c>
      <c r="G5559" t="n">
        <v>1.4</v>
      </c>
      <c r="H5559" t="n">
        <v>0</v>
      </c>
      <c r="I5559" t="n">
        <v>0</v>
      </c>
      <c r="J5559" t="n">
        <v>0</v>
      </c>
      <c r="K5559" t="n">
        <v>0</v>
      </c>
      <c r="L5559" t="n">
        <v>0</v>
      </c>
      <c r="M5559" t="n">
        <v>0</v>
      </c>
      <c r="N5559" t="n">
        <v>0</v>
      </c>
      <c r="O5559" t="n">
        <v>0</v>
      </c>
      <c r="P5559" t="n">
        <v>0</v>
      </c>
      <c r="Q5559" t="n">
        <v>0</v>
      </c>
      <c r="R5559" s="2" t="inlineStr"/>
      <c r="U5559">
        <f>HYPERLINK("https://klasma.github.io/Logging_2062/knärot/A 3531-2024 karta knärot.png", "A 3531-2024")</f>
        <v/>
      </c>
      <c r="V5559">
        <f>HYPERLINK("https://klasma.github.io/Logging_2062/klagomål/A 3531-2024 FSC-klagomål.docx", "A 3531-2024")</f>
        <v/>
      </c>
      <c r="W5559">
        <f>HYPERLINK("https://klasma.github.io/Logging_2062/klagomålsmail/A 3531-2024 FSC-klagomål mail.docx", "A 3531-2024")</f>
        <v/>
      </c>
      <c r="X5559">
        <f>HYPERLINK("https://klasma.github.io/Logging_2062/tillsyn/A 3531-2024 tillsynsbegäran.docx", "A 3531-2024")</f>
        <v/>
      </c>
      <c r="Y5559">
        <f>HYPERLINK("https://klasma.github.io/Logging_2062/tillsynsmail/A 3531-2024 tillsynsbegäran mail.docx", "A 3531-2024")</f>
        <v/>
      </c>
    </row>
    <row r="5560" ht="15" customHeight="1">
      <c r="A5560" t="inlineStr">
        <is>
          <t>A 54440-2025</t>
        </is>
      </c>
      <c r="B5560" s="1" t="n">
        <v>45965.50385416667</v>
      </c>
      <c r="C5560" s="1" t="n">
        <v>46114</v>
      </c>
      <c r="D5560" t="inlineStr">
        <is>
          <t>DALARNAS LÄN</t>
        </is>
      </c>
      <c r="E5560" t="inlineStr">
        <is>
          <t>LEKSAND</t>
        </is>
      </c>
      <c r="F5560" t="inlineStr">
        <is>
          <t>Bergvik skog väst AB</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45394-2023</t>
        </is>
      </c>
      <c r="B5561" s="1" t="n">
        <v>45194</v>
      </c>
      <c r="C5561" s="1" t="n">
        <v>46114</v>
      </c>
      <c r="D5561" t="inlineStr">
        <is>
          <t>DALARNAS LÄN</t>
        </is>
      </c>
      <c r="E5561" t="inlineStr">
        <is>
          <t>VANSBRO</t>
        </is>
      </c>
      <c r="G5561" t="n">
        <v>19.7</v>
      </c>
      <c r="H5561" t="n">
        <v>0</v>
      </c>
      <c r="I5561" t="n">
        <v>0</v>
      </c>
      <c r="J5561" t="n">
        <v>0</v>
      </c>
      <c r="K5561" t="n">
        <v>0</v>
      </c>
      <c r="L5561" t="n">
        <v>0</v>
      </c>
      <c r="M5561" t="n">
        <v>0</v>
      </c>
      <c r="N5561" t="n">
        <v>0</v>
      </c>
      <c r="O5561" t="n">
        <v>0</v>
      </c>
      <c r="P5561" t="n">
        <v>0</v>
      </c>
      <c r="Q5561" t="n">
        <v>0</v>
      </c>
      <c r="R5561" s="2" t="inlineStr"/>
    </row>
    <row r="5562" ht="15" customHeight="1">
      <c r="A5562" t="inlineStr">
        <is>
          <t>A 54113-2025</t>
        </is>
      </c>
      <c r="B5562" s="1" t="n">
        <v>45964.43986111111</v>
      </c>
      <c r="C5562" s="1" t="n">
        <v>46114</v>
      </c>
      <c r="D5562" t="inlineStr">
        <is>
          <t>DALARNAS LÄN</t>
        </is>
      </c>
      <c r="E5562" t="inlineStr">
        <is>
          <t>MALUNG-SÄLEN</t>
        </is>
      </c>
      <c r="F5562" t="inlineStr">
        <is>
          <t>Bergvik skog öst AB</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54120-2025</t>
        </is>
      </c>
      <c r="B5563" s="1" t="n">
        <v>45964.45040509259</v>
      </c>
      <c r="C5563" s="1" t="n">
        <v>46114</v>
      </c>
      <c r="D5563" t="inlineStr">
        <is>
          <t>DALARNAS LÄN</t>
        </is>
      </c>
      <c r="E5563" t="inlineStr">
        <is>
          <t>LEKSAND</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45475-2023</t>
        </is>
      </c>
      <c r="B5564" s="1" t="n">
        <v>45188</v>
      </c>
      <c r="C5564" s="1" t="n">
        <v>46114</v>
      </c>
      <c r="D5564" t="inlineStr">
        <is>
          <t>DALARNAS LÄN</t>
        </is>
      </c>
      <c r="E5564" t="inlineStr">
        <is>
          <t>MORA</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45488-2023</t>
        </is>
      </c>
      <c r="B5565" s="1" t="n">
        <v>45194</v>
      </c>
      <c r="C5565" s="1" t="n">
        <v>46114</v>
      </c>
      <c r="D5565" t="inlineStr">
        <is>
          <t>DALARNAS LÄN</t>
        </is>
      </c>
      <c r="E5565" t="inlineStr">
        <is>
          <t>BORLÄNGE</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14881-2025</t>
        </is>
      </c>
      <c r="B5566" s="1" t="n">
        <v>45743.4653587963</v>
      </c>
      <c r="C5566" s="1" t="n">
        <v>46114</v>
      </c>
      <c r="D5566" t="inlineStr">
        <is>
          <t>DALARNAS LÄN</t>
        </is>
      </c>
      <c r="E5566" t="inlineStr">
        <is>
          <t>LUDVIKA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54107-2025</t>
        </is>
      </c>
      <c r="B5567" s="1" t="n">
        <v>45964.43033564815</v>
      </c>
      <c r="C5567" s="1" t="n">
        <v>46114</v>
      </c>
      <c r="D5567" t="inlineStr">
        <is>
          <t>DALARNAS LÄN</t>
        </is>
      </c>
      <c r="E5567" t="inlineStr">
        <is>
          <t>SMEDJEBACKEN</t>
        </is>
      </c>
      <c r="F5567" t="inlineStr">
        <is>
          <t>Sveaskog</t>
        </is>
      </c>
      <c r="G5567" t="n">
        <v>9.9</v>
      </c>
      <c r="H5567" t="n">
        <v>0</v>
      </c>
      <c r="I5567" t="n">
        <v>0</v>
      </c>
      <c r="J5567" t="n">
        <v>0</v>
      </c>
      <c r="K5567" t="n">
        <v>0</v>
      </c>
      <c r="L5567" t="n">
        <v>0</v>
      </c>
      <c r="M5567" t="n">
        <v>0</v>
      </c>
      <c r="N5567" t="n">
        <v>0</v>
      </c>
      <c r="O5567" t="n">
        <v>0</v>
      </c>
      <c r="P5567" t="n">
        <v>0</v>
      </c>
      <c r="Q5567" t="n">
        <v>0</v>
      </c>
      <c r="R5567" s="2" t="inlineStr"/>
    </row>
    <row r="5568" ht="15" customHeight="1">
      <c r="A5568" t="inlineStr">
        <is>
          <t>A 54114-2025</t>
        </is>
      </c>
      <c r="B5568" s="1" t="n">
        <v>45964.44096064815</v>
      </c>
      <c r="C5568" s="1" t="n">
        <v>46114</v>
      </c>
      <c r="D5568" t="inlineStr">
        <is>
          <t>DALARNAS LÄN</t>
        </is>
      </c>
      <c r="E5568" t="inlineStr">
        <is>
          <t>ÄLVDALEN</t>
        </is>
      </c>
      <c r="F5568" t="inlineStr">
        <is>
          <t>Bergvik skog väst AB</t>
        </is>
      </c>
      <c r="G5568" t="n">
        <v>3.8</v>
      </c>
      <c r="H5568" t="n">
        <v>0</v>
      </c>
      <c r="I5568" t="n">
        <v>0</v>
      </c>
      <c r="J5568" t="n">
        <v>0</v>
      </c>
      <c r="K5568" t="n">
        <v>0</v>
      </c>
      <c r="L5568" t="n">
        <v>0</v>
      </c>
      <c r="M5568" t="n">
        <v>0</v>
      </c>
      <c r="N5568" t="n">
        <v>0</v>
      </c>
      <c r="O5568" t="n">
        <v>0</v>
      </c>
      <c r="P5568" t="n">
        <v>0</v>
      </c>
      <c r="Q5568" t="n">
        <v>0</v>
      </c>
      <c r="R5568" s="2" t="inlineStr"/>
    </row>
    <row r="5569" ht="15" customHeight="1">
      <c r="A5569" t="inlineStr">
        <is>
          <t>A 54125-2025</t>
        </is>
      </c>
      <c r="B5569" s="1" t="n">
        <v>45964.45671296296</v>
      </c>
      <c r="C5569" s="1" t="n">
        <v>46114</v>
      </c>
      <c r="D5569" t="inlineStr">
        <is>
          <t>DALARNAS LÄN</t>
        </is>
      </c>
      <c r="E5569" t="inlineStr">
        <is>
          <t>LEKSAND</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54152-2025</t>
        </is>
      </c>
      <c r="B5570" s="1" t="n">
        <v>45964.49159722222</v>
      </c>
      <c r="C5570" s="1" t="n">
        <v>46114</v>
      </c>
      <c r="D5570" t="inlineStr">
        <is>
          <t>DALARNAS LÄN</t>
        </is>
      </c>
      <c r="E5570" t="inlineStr">
        <is>
          <t>MALUNG-SÄLEN</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44071-2024</t>
        </is>
      </c>
      <c r="B5571" s="1" t="n">
        <v>45572.60915509259</v>
      </c>
      <c r="C5571" s="1" t="n">
        <v>46114</v>
      </c>
      <c r="D5571" t="inlineStr">
        <is>
          <t>DALARNAS LÄN</t>
        </is>
      </c>
      <c r="E5571" t="inlineStr">
        <is>
          <t>MORA</t>
        </is>
      </c>
      <c r="G5571" t="n">
        <v>4.5</v>
      </c>
      <c r="H5571" t="n">
        <v>0</v>
      </c>
      <c r="I5571" t="n">
        <v>0</v>
      </c>
      <c r="J5571" t="n">
        <v>0</v>
      </c>
      <c r="K5571" t="n">
        <v>0</v>
      </c>
      <c r="L5571" t="n">
        <v>0</v>
      </c>
      <c r="M5571" t="n">
        <v>0</v>
      </c>
      <c r="N5571" t="n">
        <v>0</v>
      </c>
      <c r="O5571" t="n">
        <v>0</v>
      </c>
      <c r="P5571" t="n">
        <v>0</v>
      </c>
      <c r="Q5571" t="n">
        <v>0</v>
      </c>
      <c r="R5571" s="2" t="inlineStr"/>
    </row>
    <row r="5572" ht="15" customHeight="1">
      <c r="A5572" t="inlineStr">
        <is>
          <t>A 54566-2025</t>
        </is>
      </c>
      <c r="B5572" s="1" t="n">
        <v>45965</v>
      </c>
      <c r="C5572" s="1" t="n">
        <v>46114</v>
      </c>
      <c r="D5572" t="inlineStr">
        <is>
          <t>DALARNAS LÄN</t>
        </is>
      </c>
      <c r="E5572" t="inlineStr">
        <is>
          <t>FALUN</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46029-2025</t>
        </is>
      </c>
      <c r="B5573" s="1" t="n">
        <v>45924.44282407407</v>
      </c>
      <c r="C5573" s="1" t="n">
        <v>46114</v>
      </c>
      <c r="D5573" t="inlineStr">
        <is>
          <t>DALARNAS LÄN</t>
        </is>
      </c>
      <c r="E5573" t="inlineStr">
        <is>
          <t>LUDVIKA</t>
        </is>
      </c>
      <c r="F5573" t="inlineStr">
        <is>
          <t>Bergvik skog väst AB</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54527-2025</t>
        </is>
      </c>
      <c r="B5574" s="1" t="n">
        <v>45965.63420138889</v>
      </c>
      <c r="C5574" s="1" t="n">
        <v>46114</v>
      </c>
      <c r="D5574" t="inlineStr">
        <is>
          <t>DALARNAS LÄN</t>
        </is>
      </c>
      <c r="E5574" t="inlineStr">
        <is>
          <t>ORSA</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54083-2025</t>
        </is>
      </c>
      <c r="B5575" s="1" t="n">
        <v>45964.38497685185</v>
      </c>
      <c r="C5575" s="1" t="n">
        <v>46114</v>
      </c>
      <c r="D5575" t="inlineStr">
        <is>
          <t>DALARNAS LÄN</t>
        </is>
      </c>
      <c r="E5575" t="inlineStr">
        <is>
          <t>SMEDJEBACKEN</t>
        </is>
      </c>
      <c r="F5575" t="inlineStr">
        <is>
          <t>Sveaskog</t>
        </is>
      </c>
      <c r="G5575" t="n">
        <v>7.1</v>
      </c>
      <c r="H5575" t="n">
        <v>0</v>
      </c>
      <c r="I5575" t="n">
        <v>0</v>
      </c>
      <c r="J5575" t="n">
        <v>0</v>
      </c>
      <c r="K5575" t="n">
        <v>0</v>
      </c>
      <c r="L5575" t="n">
        <v>0</v>
      </c>
      <c r="M5575" t="n">
        <v>0</v>
      </c>
      <c r="N5575" t="n">
        <v>0</v>
      </c>
      <c r="O5575" t="n">
        <v>0</v>
      </c>
      <c r="P5575" t="n">
        <v>0</v>
      </c>
      <c r="Q5575" t="n">
        <v>0</v>
      </c>
      <c r="R5575" s="2" t="inlineStr"/>
    </row>
    <row r="5576" ht="15" customHeight="1">
      <c r="A5576" t="inlineStr">
        <is>
          <t>A 54084-2025</t>
        </is>
      </c>
      <c r="B5576" s="1" t="n">
        <v>45964.38748842593</v>
      </c>
      <c r="C5576" s="1" t="n">
        <v>46114</v>
      </c>
      <c r="D5576" t="inlineStr">
        <is>
          <t>DALARNAS LÄN</t>
        </is>
      </c>
      <c r="E5576" t="inlineStr">
        <is>
          <t>SMEDJEBACKEN</t>
        </is>
      </c>
      <c r="F5576" t="inlineStr">
        <is>
          <t>Sveaskog</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54341-2025</t>
        </is>
      </c>
      <c r="B5577" s="1" t="n">
        <v>45965.36070601852</v>
      </c>
      <c r="C5577" s="1" t="n">
        <v>46114</v>
      </c>
      <c r="D5577" t="inlineStr">
        <is>
          <t>DALARNAS LÄN</t>
        </is>
      </c>
      <c r="E5577" t="inlineStr">
        <is>
          <t>LUDVIKA</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11463-2024</t>
        </is>
      </c>
      <c r="B5578" s="1" t="n">
        <v>45372.58969907407</v>
      </c>
      <c r="C5578" s="1" t="n">
        <v>46114</v>
      </c>
      <c r="D5578" t="inlineStr">
        <is>
          <t>DALARNAS LÄN</t>
        </is>
      </c>
      <c r="E5578" t="inlineStr">
        <is>
          <t>MORA</t>
        </is>
      </c>
      <c r="F5578" t="inlineStr">
        <is>
          <t>Bergvik skog väst AB</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54100-2025</t>
        </is>
      </c>
      <c r="B5579" s="1" t="n">
        <v>45964.41689814815</v>
      </c>
      <c r="C5579" s="1" t="n">
        <v>46114</v>
      </c>
      <c r="D5579" t="inlineStr">
        <is>
          <t>DALARNAS LÄN</t>
        </is>
      </c>
      <c r="E5579" t="inlineStr">
        <is>
          <t>VANSBRO</t>
        </is>
      </c>
      <c r="F5579" t="inlineStr">
        <is>
          <t>Bergvik skog öst AB</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59859-2023</t>
        </is>
      </c>
      <c r="B5580" s="1" t="n">
        <v>45257</v>
      </c>
      <c r="C5580" s="1" t="n">
        <v>46114</v>
      </c>
      <c r="D5580" t="inlineStr">
        <is>
          <t>DALARNAS LÄN</t>
        </is>
      </c>
      <c r="E5580" t="inlineStr">
        <is>
          <t>LEKSAND</t>
        </is>
      </c>
      <c r="F5580" t="inlineStr">
        <is>
          <t>Bergvik skog väst AB</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54285-2025</t>
        </is>
      </c>
      <c r="B5581" s="1" t="n">
        <v>45964.79503472222</v>
      </c>
      <c r="C5581" s="1" t="n">
        <v>46114</v>
      </c>
      <c r="D5581" t="inlineStr">
        <is>
          <t>DALARNAS LÄN</t>
        </is>
      </c>
      <c r="E5581" t="inlineStr">
        <is>
          <t>GAGNEF</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54293-2025</t>
        </is>
      </c>
      <c r="B5582" s="1" t="n">
        <v>45964.86651620371</v>
      </c>
      <c r="C5582" s="1" t="n">
        <v>46114</v>
      </c>
      <c r="D5582" t="inlineStr">
        <is>
          <t>DALARNAS LÄN</t>
        </is>
      </c>
      <c r="E5582" t="inlineStr">
        <is>
          <t>LEKSAND</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54220-2025</t>
        </is>
      </c>
      <c r="B5583" s="1" t="n">
        <v>45964</v>
      </c>
      <c r="C5583" s="1" t="n">
        <v>46114</v>
      </c>
      <c r="D5583" t="inlineStr">
        <is>
          <t>DALARNAS LÄN</t>
        </is>
      </c>
      <c r="E5583" t="inlineStr">
        <is>
          <t>MALUNG-SÄLEN</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21744-2021</t>
        </is>
      </c>
      <c r="B5584" s="1" t="n">
        <v>44322.54041666666</v>
      </c>
      <c r="C5584" s="1" t="n">
        <v>46114</v>
      </c>
      <c r="D5584" t="inlineStr">
        <is>
          <t>DALARNAS LÄN</t>
        </is>
      </c>
      <c r="E5584" t="inlineStr">
        <is>
          <t>FALUN</t>
        </is>
      </c>
      <c r="F5584" t="inlineStr">
        <is>
          <t>Bergvik skog väst AB</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54342-2025</t>
        </is>
      </c>
      <c r="B5585" s="1" t="n">
        <v>45965.36116898148</v>
      </c>
      <c r="C5585" s="1" t="n">
        <v>46114</v>
      </c>
      <c r="D5585" t="inlineStr">
        <is>
          <t>DALARNAS LÄN</t>
        </is>
      </c>
      <c r="E5585" t="inlineStr">
        <is>
          <t>VANSBRO</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54375-2025</t>
        </is>
      </c>
      <c r="B5586" s="1" t="n">
        <v>45965.42407407407</v>
      </c>
      <c r="C5586" s="1" t="n">
        <v>46114</v>
      </c>
      <c r="D5586" t="inlineStr">
        <is>
          <t>DALARNAS LÄN</t>
        </is>
      </c>
      <c r="E5586" t="inlineStr">
        <is>
          <t>LUDVIKA</t>
        </is>
      </c>
      <c r="F5586" t="inlineStr">
        <is>
          <t>Bergvik skog väst AB</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54518-2025</t>
        </is>
      </c>
      <c r="B5587" s="1" t="n">
        <v>45965.62608796296</v>
      </c>
      <c r="C5587" s="1" t="n">
        <v>46114</v>
      </c>
      <c r="D5587" t="inlineStr">
        <is>
          <t>DALARNAS LÄN</t>
        </is>
      </c>
      <c r="E5587" t="inlineStr">
        <is>
          <t>MORA</t>
        </is>
      </c>
      <c r="G5587" t="n">
        <v>7.1</v>
      </c>
      <c r="H5587" t="n">
        <v>0</v>
      </c>
      <c r="I5587" t="n">
        <v>0</v>
      </c>
      <c r="J5587" t="n">
        <v>0</v>
      </c>
      <c r="K5587" t="n">
        <v>0</v>
      </c>
      <c r="L5587" t="n">
        <v>0</v>
      </c>
      <c r="M5587" t="n">
        <v>0</v>
      </c>
      <c r="N5587" t="n">
        <v>0</v>
      </c>
      <c r="O5587" t="n">
        <v>0</v>
      </c>
      <c r="P5587" t="n">
        <v>0</v>
      </c>
      <c r="Q5587" t="n">
        <v>0</v>
      </c>
      <c r="R5587" s="2" t="inlineStr"/>
    </row>
    <row r="5588" ht="15" customHeight="1">
      <c r="A5588" t="inlineStr">
        <is>
          <t>A 54532-2025</t>
        </is>
      </c>
      <c r="B5588" s="1" t="n">
        <v>45965.63627314815</v>
      </c>
      <c r="C5588" s="1" t="n">
        <v>46114</v>
      </c>
      <c r="D5588" t="inlineStr">
        <is>
          <t>DALARNAS LÄN</t>
        </is>
      </c>
      <c r="E5588" t="inlineStr">
        <is>
          <t>MALUNG-SÄLEN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54536-2025</t>
        </is>
      </c>
      <c r="B5589" s="1" t="n">
        <v>45965.64197916666</v>
      </c>
      <c r="C5589" s="1" t="n">
        <v>46114</v>
      </c>
      <c r="D5589" t="inlineStr">
        <is>
          <t>DALARNAS LÄN</t>
        </is>
      </c>
      <c r="E5589" t="inlineStr">
        <is>
          <t>MALUNG-SÄLEN</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54099-2025</t>
        </is>
      </c>
      <c r="B5590" s="1" t="n">
        <v>45964.41665509259</v>
      </c>
      <c r="C5590" s="1" t="n">
        <v>46114</v>
      </c>
      <c r="D5590" t="inlineStr">
        <is>
          <t>DALARNAS LÄN</t>
        </is>
      </c>
      <c r="E5590" t="inlineStr">
        <is>
          <t>MORA</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14875-2025</t>
        </is>
      </c>
      <c r="B5591" s="1" t="n">
        <v>45743</v>
      </c>
      <c r="C5591" s="1" t="n">
        <v>46114</v>
      </c>
      <c r="D5591" t="inlineStr">
        <is>
          <t>DALARNAS LÄN</t>
        </is>
      </c>
      <c r="E5591" t="inlineStr">
        <is>
          <t>SMEDJEBACKEN</t>
        </is>
      </c>
      <c r="G5591" t="n">
        <v>2.7</v>
      </c>
      <c r="H5591" t="n">
        <v>0</v>
      </c>
      <c r="I5591" t="n">
        <v>0</v>
      </c>
      <c r="J5591" t="n">
        <v>0</v>
      </c>
      <c r="K5591" t="n">
        <v>0</v>
      </c>
      <c r="L5591" t="n">
        <v>0</v>
      </c>
      <c r="M5591" t="n">
        <v>0</v>
      </c>
      <c r="N5591" t="n">
        <v>0</v>
      </c>
      <c r="O5591" t="n">
        <v>0</v>
      </c>
      <c r="P5591" t="n">
        <v>0</v>
      </c>
      <c r="Q5591" t="n">
        <v>0</v>
      </c>
      <c r="R5591" s="2" t="inlineStr"/>
    </row>
    <row r="5592" ht="15" customHeight="1">
      <c r="A5592" t="inlineStr">
        <is>
          <t>A 29844-2022</t>
        </is>
      </c>
      <c r="B5592" s="1" t="n">
        <v>44755</v>
      </c>
      <c r="C5592" s="1" t="n">
        <v>46114</v>
      </c>
      <c r="D5592" t="inlineStr">
        <is>
          <t>DALARNAS LÄN</t>
        </is>
      </c>
      <c r="E5592" t="inlineStr">
        <is>
          <t>FALUN</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39136-2023</t>
        </is>
      </c>
      <c r="B5593" s="1" t="n">
        <v>45165</v>
      </c>
      <c r="C5593" s="1" t="n">
        <v>46114</v>
      </c>
      <c r="D5593" t="inlineStr">
        <is>
          <t>DALARNAS LÄN</t>
        </is>
      </c>
      <c r="E5593" t="inlineStr">
        <is>
          <t>LEKSAND</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54246-2025</t>
        </is>
      </c>
      <c r="B5594" s="1" t="n">
        <v>45964.64024305555</v>
      </c>
      <c r="C5594" s="1" t="n">
        <v>46114</v>
      </c>
      <c r="D5594" t="inlineStr">
        <is>
          <t>DALARNAS LÄN</t>
        </is>
      </c>
      <c r="E5594" t="inlineStr">
        <is>
          <t>SÄTER</t>
        </is>
      </c>
      <c r="F5594" t="inlineStr">
        <is>
          <t>Bergvik skog väst AB</t>
        </is>
      </c>
      <c r="G5594" t="n">
        <v>7.1</v>
      </c>
      <c r="H5594" t="n">
        <v>0</v>
      </c>
      <c r="I5594" t="n">
        <v>0</v>
      </c>
      <c r="J5594" t="n">
        <v>0</v>
      </c>
      <c r="K5594" t="n">
        <v>0</v>
      </c>
      <c r="L5594" t="n">
        <v>0</v>
      </c>
      <c r="M5594" t="n">
        <v>0</v>
      </c>
      <c r="N5594" t="n">
        <v>0</v>
      </c>
      <c r="O5594" t="n">
        <v>0</v>
      </c>
      <c r="P5594" t="n">
        <v>0</v>
      </c>
      <c r="Q5594" t="n">
        <v>0</v>
      </c>
      <c r="R5594" s="2" t="inlineStr"/>
    </row>
    <row r="5595" ht="15" customHeight="1">
      <c r="A5595" t="inlineStr">
        <is>
          <t>A 54295-2025</t>
        </is>
      </c>
      <c r="B5595" s="1" t="n">
        <v>45964.87122685185</v>
      </c>
      <c r="C5595" s="1" t="n">
        <v>46114</v>
      </c>
      <c r="D5595" t="inlineStr">
        <is>
          <t>DALARNAS LÄN</t>
        </is>
      </c>
      <c r="E5595" t="inlineStr">
        <is>
          <t>LEKSAND</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28444-2025</t>
        </is>
      </c>
      <c r="B5596" s="1" t="n">
        <v>45819.39711805555</v>
      </c>
      <c r="C5596" s="1" t="n">
        <v>46114</v>
      </c>
      <c r="D5596" t="inlineStr">
        <is>
          <t>DALARNAS LÄN</t>
        </is>
      </c>
      <c r="E5596" t="inlineStr">
        <is>
          <t>SMEDJEBACKEN</t>
        </is>
      </c>
      <c r="F5596" t="inlineStr">
        <is>
          <t>Sveaskog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33287-2025</t>
        </is>
      </c>
      <c r="B5597" s="1" t="n">
        <v>45840.81216435185</v>
      </c>
      <c r="C5597" s="1" t="n">
        <v>46114</v>
      </c>
      <c r="D5597" t="inlineStr">
        <is>
          <t>DALARNAS LÄN</t>
        </is>
      </c>
      <c r="E5597" t="inlineStr">
        <is>
          <t>HEDEMORA</t>
        </is>
      </c>
      <c r="F5597" t="inlineStr">
        <is>
          <t>Sveaskog</t>
        </is>
      </c>
      <c r="G5597" t="n">
        <v>4.1</v>
      </c>
      <c r="H5597" t="n">
        <v>0</v>
      </c>
      <c r="I5597" t="n">
        <v>0</v>
      </c>
      <c r="J5597" t="n">
        <v>0</v>
      </c>
      <c r="K5597" t="n">
        <v>0</v>
      </c>
      <c r="L5597" t="n">
        <v>0</v>
      </c>
      <c r="M5597" t="n">
        <v>0</v>
      </c>
      <c r="N5597" t="n">
        <v>0</v>
      </c>
      <c r="O5597" t="n">
        <v>0</v>
      </c>
      <c r="P5597" t="n">
        <v>0</v>
      </c>
      <c r="Q5597" t="n">
        <v>0</v>
      </c>
      <c r="R5597" s="2" t="inlineStr"/>
    </row>
    <row r="5598" ht="15" customHeight="1">
      <c r="A5598" t="inlineStr">
        <is>
          <t>A 39772-2025</t>
        </is>
      </c>
      <c r="B5598" s="1" t="n">
        <v>45891.45390046296</v>
      </c>
      <c r="C5598" s="1" t="n">
        <v>46114</v>
      </c>
      <c r="D5598" t="inlineStr">
        <is>
          <t>DALARNAS LÄN</t>
        </is>
      </c>
      <c r="E5598" t="inlineStr">
        <is>
          <t>LUDVIKA</t>
        </is>
      </c>
      <c r="F5598" t="inlineStr">
        <is>
          <t>Bergvik skog väst AB</t>
        </is>
      </c>
      <c r="G5598" t="n">
        <v>14.1</v>
      </c>
      <c r="H5598" t="n">
        <v>0</v>
      </c>
      <c r="I5598" t="n">
        <v>0</v>
      </c>
      <c r="J5598" t="n">
        <v>0</v>
      </c>
      <c r="K5598" t="n">
        <v>0</v>
      </c>
      <c r="L5598" t="n">
        <v>0</v>
      </c>
      <c r="M5598" t="n">
        <v>0</v>
      </c>
      <c r="N5598" t="n">
        <v>0</v>
      </c>
      <c r="O5598" t="n">
        <v>0</v>
      </c>
      <c r="P5598" t="n">
        <v>0</v>
      </c>
      <c r="Q5598" t="n">
        <v>0</v>
      </c>
      <c r="R5598" s="2" t="inlineStr"/>
    </row>
    <row r="5599" ht="15" customHeight="1">
      <c r="A5599" t="inlineStr">
        <is>
          <t>A 3637-2024</t>
        </is>
      </c>
      <c r="B5599" s="1" t="n">
        <v>45321</v>
      </c>
      <c r="C5599" s="1" t="n">
        <v>46114</v>
      </c>
      <c r="D5599" t="inlineStr">
        <is>
          <t>DALARNAS LÄN</t>
        </is>
      </c>
      <c r="E5599" t="inlineStr">
        <is>
          <t>SÄTER</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3640-2024</t>
        </is>
      </c>
      <c r="B5600" s="1" t="n">
        <v>45321.29981481482</v>
      </c>
      <c r="C5600" s="1" t="n">
        <v>46114</v>
      </c>
      <c r="D5600" t="inlineStr">
        <is>
          <t>DALARNAS LÄN</t>
        </is>
      </c>
      <c r="E5600" t="inlineStr">
        <is>
          <t>RÄTTVIK</t>
        </is>
      </c>
      <c r="G5600" t="n">
        <v>0.2</v>
      </c>
      <c r="H5600" t="n">
        <v>0</v>
      </c>
      <c r="I5600" t="n">
        <v>0</v>
      </c>
      <c r="J5600" t="n">
        <v>0</v>
      </c>
      <c r="K5600" t="n">
        <v>0</v>
      </c>
      <c r="L5600" t="n">
        <v>0</v>
      </c>
      <c r="M5600" t="n">
        <v>0</v>
      </c>
      <c r="N5600" t="n">
        <v>0</v>
      </c>
      <c r="O5600" t="n">
        <v>0</v>
      </c>
      <c r="P5600" t="n">
        <v>0</v>
      </c>
      <c r="Q5600" t="n">
        <v>0</v>
      </c>
      <c r="R5600" s="2" t="inlineStr"/>
    </row>
    <row r="5601" ht="15" customHeight="1">
      <c r="A5601" t="inlineStr">
        <is>
          <t>A 45478-2022</t>
        </is>
      </c>
      <c r="B5601" s="1" t="n">
        <v>44845</v>
      </c>
      <c r="C5601" s="1" t="n">
        <v>46114</v>
      </c>
      <c r="D5601" t="inlineStr">
        <is>
          <t>DALARNAS LÄN</t>
        </is>
      </c>
      <c r="E5601" t="inlineStr">
        <is>
          <t>SMEDJEBACKEN</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48719-2025</t>
        </is>
      </c>
      <c r="B5602" s="1" t="n">
        <v>45936.6453125</v>
      </c>
      <c r="C5602" s="1" t="n">
        <v>46114</v>
      </c>
      <c r="D5602" t="inlineStr">
        <is>
          <t>DALARNAS LÄN</t>
        </is>
      </c>
      <c r="E5602" t="inlineStr">
        <is>
          <t>MALUNG-SÄLEN</t>
        </is>
      </c>
      <c r="G5602" t="n">
        <v>2.5</v>
      </c>
      <c r="H5602" t="n">
        <v>0</v>
      </c>
      <c r="I5602" t="n">
        <v>0</v>
      </c>
      <c r="J5602" t="n">
        <v>0</v>
      </c>
      <c r="K5602" t="n">
        <v>0</v>
      </c>
      <c r="L5602" t="n">
        <v>0</v>
      </c>
      <c r="M5602" t="n">
        <v>0</v>
      </c>
      <c r="N5602" t="n">
        <v>0</v>
      </c>
      <c r="O5602" t="n">
        <v>0</v>
      </c>
      <c r="P5602" t="n">
        <v>0</v>
      </c>
      <c r="Q5602" t="n">
        <v>0</v>
      </c>
      <c r="R5602" s="2" t="inlineStr"/>
    </row>
    <row r="5603" ht="15" customHeight="1">
      <c r="A5603" t="inlineStr">
        <is>
          <t>A 50721-2025</t>
        </is>
      </c>
      <c r="B5603" s="1" t="n">
        <v>45946.34670138889</v>
      </c>
      <c r="C5603" s="1" t="n">
        <v>46114</v>
      </c>
      <c r="D5603" t="inlineStr">
        <is>
          <t>DALARNAS LÄN</t>
        </is>
      </c>
      <c r="E5603" t="inlineStr">
        <is>
          <t>BORLÄNGE</t>
        </is>
      </c>
      <c r="G5603" t="n">
        <v>11.1</v>
      </c>
      <c r="H5603" t="n">
        <v>0</v>
      </c>
      <c r="I5603" t="n">
        <v>0</v>
      </c>
      <c r="J5603" t="n">
        <v>0</v>
      </c>
      <c r="K5603" t="n">
        <v>0</v>
      </c>
      <c r="L5603" t="n">
        <v>0</v>
      </c>
      <c r="M5603" t="n">
        <v>0</v>
      </c>
      <c r="N5603" t="n">
        <v>0</v>
      </c>
      <c r="O5603" t="n">
        <v>0</v>
      </c>
      <c r="P5603" t="n">
        <v>0</v>
      </c>
      <c r="Q5603" t="n">
        <v>0</v>
      </c>
      <c r="R5603" s="2" t="inlineStr"/>
    </row>
    <row r="5604" ht="15" customHeight="1">
      <c r="A5604" t="inlineStr">
        <is>
          <t>A 54494-2025</t>
        </is>
      </c>
      <c r="B5604" s="1" t="n">
        <v>45965.59965277778</v>
      </c>
      <c r="C5604" s="1" t="n">
        <v>46114</v>
      </c>
      <c r="D5604" t="inlineStr">
        <is>
          <t>DALARNAS LÄN</t>
        </is>
      </c>
      <c r="E5604" t="inlineStr">
        <is>
          <t>LEKSAND</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41664-2024</t>
        </is>
      </c>
      <c r="B5605" s="1" t="n">
        <v>45560</v>
      </c>
      <c r="C5605" s="1" t="n">
        <v>46114</v>
      </c>
      <c r="D5605" t="inlineStr">
        <is>
          <t>DALARNAS LÄN</t>
        </is>
      </c>
      <c r="E5605" t="inlineStr">
        <is>
          <t>SÄTER</t>
        </is>
      </c>
      <c r="F5605" t="inlineStr">
        <is>
          <t>Bergvik skog väst AB</t>
        </is>
      </c>
      <c r="G5605" t="n">
        <v>11.8</v>
      </c>
      <c r="H5605" t="n">
        <v>0</v>
      </c>
      <c r="I5605" t="n">
        <v>0</v>
      </c>
      <c r="J5605" t="n">
        <v>0</v>
      </c>
      <c r="K5605" t="n">
        <v>0</v>
      </c>
      <c r="L5605" t="n">
        <v>0</v>
      </c>
      <c r="M5605" t="n">
        <v>0</v>
      </c>
      <c r="N5605" t="n">
        <v>0</v>
      </c>
      <c r="O5605" t="n">
        <v>0</v>
      </c>
      <c r="P5605" t="n">
        <v>0</v>
      </c>
      <c r="Q5605" t="n">
        <v>0</v>
      </c>
      <c r="R5605" s="2" t="inlineStr"/>
    </row>
    <row r="5606" ht="15" customHeight="1">
      <c r="A5606" t="inlineStr">
        <is>
          <t>A 54367-2025</t>
        </is>
      </c>
      <c r="B5606" s="1" t="n">
        <v>45965.4031712963</v>
      </c>
      <c r="C5606" s="1" t="n">
        <v>46114</v>
      </c>
      <c r="D5606" t="inlineStr">
        <is>
          <t>DALARNAS LÄN</t>
        </is>
      </c>
      <c r="E5606" t="inlineStr">
        <is>
          <t>MORA</t>
        </is>
      </c>
      <c r="G5606" t="n">
        <v>7</v>
      </c>
      <c r="H5606" t="n">
        <v>0</v>
      </c>
      <c r="I5606" t="n">
        <v>0</v>
      </c>
      <c r="J5606" t="n">
        <v>0</v>
      </c>
      <c r="K5606" t="n">
        <v>0</v>
      </c>
      <c r="L5606" t="n">
        <v>0</v>
      </c>
      <c r="M5606" t="n">
        <v>0</v>
      </c>
      <c r="N5606" t="n">
        <v>0</v>
      </c>
      <c r="O5606" t="n">
        <v>0</v>
      </c>
      <c r="P5606" t="n">
        <v>0</v>
      </c>
      <c r="Q5606" t="n">
        <v>0</v>
      </c>
      <c r="R5606" s="2" t="inlineStr"/>
    </row>
    <row r="5607" ht="15" customHeight="1">
      <c r="A5607" t="inlineStr">
        <is>
          <t>A 54386-2025</t>
        </is>
      </c>
      <c r="B5607" s="1" t="n">
        <v>45965.43679398148</v>
      </c>
      <c r="C5607" s="1" t="n">
        <v>46114</v>
      </c>
      <c r="D5607" t="inlineStr">
        <is>
          <t>DALARNAS LÄN</t>
        </is>
      </c>
      <c r="E5607" t="inlineStr">
        <is>
          <t>RÄTTVIK</t>
        </is>
      </c>
      <c r="G5607" t="n">
        <v>1.6</v>
      </c>
      <c r="H5607" t="n">
        <v>0</v>
      </c>
      <c r="I5607" t="n">
        <v>0</v>
      </c>
      <c r="J5607" t="n">
        <v>0</v>
      </c>
      <c r="K5607" t="n">
        <v>0</v>
      </c>
      <c r="L5607" t="n">
        <v>0</v>
      </c>
      <c r="M5607" t="n">
        <v>0</v>
      </c>
      <c r="N5607" t="n">
        <v>0</v>
      </c>
      <c r="O5607" t="n">
        <v>0</v>
      </c>
      <c r="P5607" t="n">
        <v>0</v>
      </c>
      <c r="Q5607" t="n">
        <v>0</v>
      </c>
      <c r="R5607" s="2" t="inlineStr"/>
    </row>
    <row r="5608" ht="15" customHeight="1">
      <c r="A5608" t="inlineStr">
        <is>
          <t>A 17346-2022</t>
        </is>
      </c>
      <c r="B5608" s="1" t="n">
        <v>44678.56600694444</v>
      </c>
      <c r="C5608" s="1" t="n">
        <v>46114</v>
      </c>
      <c r="D5608" t="inlineStr">
        <is>
          <t>DALARNAS LÄN</t>
        </is>
      </c>
      <c r="E5608" t="inlineStr">
        <is>
          <t>ÄLVDALEN</t>
        </is>
      </c>
      <c r="G5608" t="n">
        <v>4.4</v>
      </c>
      <c r="H5608" t="n">
        <v>0</v>
      </c>
      <c r="I5608" t="n">
        <v>0</v>
      </c>
      <c r="J5608" t="n">
        <v>0</v>
      </c>
      <c r="K5608" t="n">
        <v>0</v>
      </c>
      <c r="L5608" t="n">
        <v>0</v>
      </c>
      <c r="M5608" t="n">
        <v>0</v>
      </c>
      <c r="N5608" t="n">
        <v>0</v>
      </c>
      <c r="O5608" t="n">
        <v>0</v>
      </c>
      <c r="P5608" t="n">
        <v>0</v>
      </c>
      <c r="Q5608" t="n">
        <v>0</v>
      </c>
      <c r="R5608" s="2" t="inlineStr"/>
    </row>
    <row r="5609" ht="15" customHeight="1">
      <c r="A5609" t="inlineStr">
        <is>
          <t>A 23435-2025</t>
        </is>
      </c>
      <c r="B5609" s="1" t="n">
        <v>45792.37162037037</v>
      </c>
      <c r="C5609" s="1" t="n">
        <v>46114</v>
      </c>
      <c r="D5609" t="inlineStr">
        <is>
          <t>DALARNAS LÄN</t>
        </is>
      </c>
      <c r="E5609" t="inlineStr">
        <is>
          <t>HEDEMORA</t>
        </is>
      </c>
      <c r="F5609" t="inlineStr">
        <is>
          <t>Sveaskog</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8504-2025</t>
        </is>
      </c>
      <c r="B5610" s="1" t="n">
        <v>45709</v>
      </c>
      <c r="C5610" s="1" t="n">
        <v>46114</v>
      </c>
      <c r="D5610" t="inlineStr">
        <is>
          <t>DALARNAS LÄN</t>
        </is>
      </c>
      <c r="E5610" t="inlineStr">
        <is>
          <t>BORLÄNGE</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21869-2025</t>
        </is>
      </c>
      <c r="B5611" s="1" t="n">
        <v>45784.37449074074</v>
      </c>
      <c r="C5611" s="1" t="n">
        <v>46114</v>
      </c>
      <c r="D5611" t="inlineStr">
        <is>
          <t>DALARNAS LÄN</t>
        </is>
      </c>
      <c r="E5611" t="inlineStr">
        <is>
          <t>HEDEMORA</t>
        </is>
      </c>
      <c r="F5611" t="inlineStr">
        <is>
          <t>Sveaskog</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54035-2025</t>
        </is>
      </c>
      <c r="B5612" s="1" t="n">
        <v>45963.40699074074</v>
      </c>
      <c r="C5612" s="1" t="n">
        <v>46114</v>
      </c>
      <c r="D5612" t="inlineStr">
        <is>
          <t>DALARNAS LÄN</t>
        </is>
      </c>
      <c r="E5612" t="inlineStr">
        <is>
          <t>LUDVIKA</t>
        </is>
      </c>
      <c r="F5612" t="inlineStr">
        <is>
          <t>Bergvik skog väst AB</t>
        </is>
      </c>
      <c r="G5612" t="n">
        <v>2.5</v>
      </c>
      <c r="H5612" t="n">
        <v>0</v>
      </c>
      <c r="I5612" t="n">
        <v>0</v>
      </c>
      <c r="J5612" t="n">
        <v>0</v>
      </c>
      <c r="K5612" t="n">
        <v>0</v>
      </c>
      <c r="L5612" t="n">
        <v>0</v>
      </c>
      <c r="M5612" t="n">
        <v>0</v>
      </c>
      <c r="N5612" t="n">
        <v>0</v>
      </c>
      <c r="O5612" t="n">
        <v>0</v>
      </c>
      <c r="P5612" t="n">
        <v>0</v>
      </c>
      <c r="Q5612" t="n">
        <v>0</v>
      </c>
      <c r="R5612" s="2" t="inlineStr"/>
    </row>
    <row r="5613" ht="15" customHeight="1">
      <c r="A5613" t="inlineStr">
        <is>
          <t>A 53193-2024</t>
        </is>
      </c>
      <c r="B5613" s="1" t="n">
        <v>45610</v>
      </c>
      <c r="C5613" s="1" t="n">
        <v>46114</v>
      </c>
      <c r="D5613" t="inlineStr">
        <is>
          <t>DALARNAS LÄN</t>
        </is>
      </c>
      <c r="E5613" t="inlineStr">
        <is>
          <t>LEKSAND</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54579-2025</t>
        </is>
      </c>
      <c r="B5614" s="1" t="n">
        <v>45965.69846064815</v>
      </c>
      <c r="C5614" s="1" t="n">
        <v>46114</v>
      </c>
      <c r="D5614" t="inlineStr">
        <is>
          <t>DALARNAS LÄN</t>
        </is>
      </c>
      <c r="E5614" t="inlineStr">
        <is>
          <t>VANSBRO</t>
        </is>
      </c>
      <c r="F5614" t="inlineStr">
        <is>
          <t>Bergvik skog väst AB</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54504-2025</t>
        </is>
      </c>
      <c r="B5615" s="1" t="n">
        <v>45965.61686342592</v>
      </c>
      <c r="C5615" s="1" t="n">
        <v>46114</v>
      </c>
      <c r="D5615" t="inlineStr">
        <is>
          <t>DALARNAS LÄN</t>
        </is>
      </c>
      <c r="E5615" t="inlineStr">
        <is>
          <t>MORA</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57903-2022</t>
        </is>
      </c>
      <c r="B5616" s="1" t="n">
        <v>44900.3521412037</v>
      </c>
      <c r="C5616" s="1" t="n">
        <v>46114</v>
      </c>
      <c r="D5616" t="inlineStr">
        <is>
          <t>DALARNAS LÄN</t>
        </is>
      </c>
      <c r="E5616" t="inlineStr">
        <is>
          <t>MORA</t>
        </is>
      </c>
      <c r="G5616" t="n">
        <v>4.3</v>
      </c>
      <c r="H5616" t="n">
        <v>0</v>
      </c>
      <c r="I5616" t="n">
        <v>0</v>
      </c>
      <c r="J5616" t="n">
        <v>0</v>
      </c>
      <c r="K5616" t="n">
        <v>0</v>
      </c>
      <c r="L5616" t="n">
        <v>0</v>
      </c>
      <c r="M5616" t="n">
        <v>0</v>
      </c>
      <c r="N5616" t="n">
        <v>0</v>
      </c>
      <c r="O5616" t="n">
        <v>0</v>
      </c>
      <c r="P5616" t="n">
        <v>0</v>
      </c>
      <c r="Q5616" t="n">
        <v>0</v>
      </c>
      <c r="R5616" s="2" t="inlineStr"/>
    </row>
    <row r="5617" ht="15" customHeight="1">
      <c r="A5617" t="inlineStr">
        <is>
          <t>A 2795-2025</t>
        </is>
      </c>
      <c r="B5617" s="1" t="n">
        <v>45677.57335648148</v>
      </c>
      <c r="C5617" s="1" t="n">
        <v>46114</v>
      </c>
      <c r="D5617" t="inlineStr">
        <is>
          <t>DALARNAS LÄN</t>
        </is>
      </c>
      <c r="E5617" t="inlineStr">
        <is>
          <t>VANSBRO</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54543-2025</t>
        </is>
      </c>
      <c r="B5618" s="1" t="n">
        <v>45965.64862268518</v>
      </c>
      <c r="C5618" s="1" t="n">
        <v>46114</v>
      </c>
      <c r="D5618" t="inlineStr">
        <is>
          <t>DALARNAS LÄN</t>
        </is>
      </c>
      <c r="E5618" t="inlineStr">
        <is>
          <t>ORSA</t>
        </is>
      </c>
      <c r="G5618" t="n">
        <v>1.7</v>
      </c>
      <c r="H5618" t="n">
        <v>0</v>
      </c>
      <c r="I5618" t="n">
        <v>0</v>
      </c>
      <c r="J5618" t="n">
        <v>0</v>
      </c>
      <c r="K5618" t="n">
        <v>0</v>
      </c>
      <c r="L5618" t="n">
        <v>0</v>
      </c>
      <c r="M5618" t="n">
        <v>0</v>
      </c>
      <c r="N5618" t="n">
        <v>0</v>
      </c>
      <c r="O5618" t="n">
        <v>0</v>
      </c>
      <c r="P5618" t="n">
        <v>0</v>
      </c>
      <c r="Q5618" t="n">
        <v>0</v>
      </c>
      <c r="R5618" s="2" t="inlineStr"/>
    </row>
    <row r="5619" ht="15" customHeight="1">
      <c r="A5619" t="inlineStr">
        <is>
          <t>A 54591-2025</t>
        </is>
      </c>
      <c r="B5619" s="1" t="n">
        <v>45965.74467592593</v>
      </c>
      <c r="C5619" s="1" t="n">
        <v>46114</v>
      </c>
      <c r="D5619" t="inlineStr">
        <is>
          <t>DALARNAS LÄN</t>
        </is>
      </c>
      <c r="E5619" t="inlineStr">
        <is>
          <t>VANSBRO</t>
        </is>
      </c>
      <c r="F5619" t="inlineStr">
        <is>
          <t>Bergvik skog väst AB</t>
        </is>
      </c>
      <c r="G5619" t="n">
        <v>8.4</v>
      </c>
      <c r="H5619" t="n">
        <v>0</v>
      </c>
      <c r="I5619" t="n">
        <v>0</v>
      </c>
      <c r="J5619" t="n">
        <v>0</v>
      </c>
      <c r="K5619" t="n">
        <v>0</v>
      </c>
      <c r="L5619" t="n">
        <v>0</v>
      </c>
      <c r="M5619" t="n">
        <v>0</v>
      </c>
      <c r="N5619" t="n">
        <v>0</v>
      </c>
      <c r="O5619" t="n">
        <v>0</v>
      </c>
      <c r="P5619" t="n">
        <v>0</v>
      </c>
      <c r="Q5619" t="n">
        <v>0</v>
      </c>
      <c r="R5619" s="2" t="inlineStr"/>
    </row>
    <row r="5620" ht="15" customHeight="1">
      <c r="A5620" t="inlineStr">
        <is>
          <t>A 23308-2024</t>
        </is>
      </c>
      <c r="B5620" s="1" t="n">
        <v>45453.44587962963</v>
      </c>
      <c r="C5620" s="1" t="n">
        <v>46114</v>
      </c>
      <c r="D5620" t="inlineStr">
        <is>
          <t>DALARNAS LÄN</t>
        </is>
      </c>
      <c r="E5620" t="inlineStr">
        <is>
          <t>AVESTA</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23323-2024</t>
        </is>
      </c>
      <c r="B5621" s="1" t="n">
        <v>45453</v>
      </c>
      <c r="C5621" s="1" t="n">
        <v>46114</v>
      </c>
      <c r="D5621" t="inlineStr">
        <is>
          <t>DALARNAS LÄN</t>
        </is>
      </c>
      <c r="E5621" t="inlineStr">
        <is>
          <t>FALUN</t>
        </is>
      </c>
      <c r="F5621" t="inlineStr">
        <is>
          <t>Övriga statliga verk och myndigheter</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39828-2025</t>
        </is>
      </c>
      <c r="B5622" s="1" t="n">
        <v>45891.55704861111</v>
      </c>
      <c r="C5622" s="1" t="n">
        <v>46114</v>
      </c>
      <c r="D5622" t="inlineStr">
        <is>
          <t>DALARNAS LÄN</t>
        </is>
      </c>
      <c r="E5622" t="inlineStr">
        <is>
          <t>LUDVIKA</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46200-2023</t>
        </is>
      </c>
      <c r="B5623" s="1" t="n">
        <v>45196</v>
      </c>
      <c r="C5623" s="1" t="n">
        <v>46114</v>
      </c>
      <c r="D5623" t="inlineStr">
        <is>
          <t>DALARNAS LÄN</t>
        </is>
      </c>
      <c r="E5623" t="inlineStr">
        <is>
          <t>FALUN</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46217-2023</t>
        </is>
      </c>
      <c r="B5624" s="1" t="n">
        <v>45190</v>
      </c>
      <c r="C5624" s="1" t="n">
        <v>46114</v>
      </c>
      <c r="D5624" t="inlineStr">
        <is>
          <t>DALARNAS LÄN</t>
        </is>
      </c>
      <c r="E5624" t="inlineStr">
        <is>
          <t>HEDEMORA</t>
        </is>
      </c>
      <c r="F5624" t="inlineStr">
        <is>
          <t>Bergvik skog väst AB</t>
        </is>
      </c>
      <c r="G5624" t="n">
        <v>8.800000000000001</v>
      </c>
      <c r="H5624" t="n">
        <v>0</v>
      </c>
      <c r="I5624" t="n">
        <v>0</v>
      </c>
      <c r="J5624" t="n">
        <v>0</v>
      </c>
      <c r="K5624" t="n">
        <v>0</v>
      </c>
      <c r="L5624" t="n">
        <v>0</v>
      </c>
      <c r="M5624" t="n">
        <v>0</v>
      </c>
      <c r="N5624" t="n">
        <v>0</v>
      </c>
      <c r="O5624" t="n">
        <v>0</v>
      </c>
      <c r="P5624" t="n">
        <v>0</v>
      </c>
      <c r="Q5624" t="n">
        <v>0</v>
      </c>
      <c r="R5624" s="2" t="inlineStr"/>
    </row>
    <row r="5625" ht="15" customHeight="1">
      <c r="A5625" t="inlineStr">
        <is>
          <t>A 14615-2024</t>
        </is>
      </c>
      <c r="B5625" s="1" t="n">
        <v>45397.26047453703</v>
      </c>
      <c r="C5625" s="1" t="n">
        <v>46114</v>
      </c>
      <c r="D5625" t="inlineStr">
        <is>
          <t>DALARNAS LÄN</t>
        </is>
      </c>
      <c r="E5625" t="inlineStr">
        <is>
          <t>LEKSAND</t>
        </is>
      </c>
      <c r="G5625" t="n">
        <v>0.4</v>
      </c>
      <c r="H5625" t="n">
        <v>0</v>
      </c>
      <c r="I5625" t="n">
        <v>0</v>
      </c>
      <c r="J5625" t="n">
        <v>0</v>
      </c>
      <c r="K5625" t="n">
        <v>0</v>
      </c>
      <c r="L5625" t="n">
        <v>0</v>
      </c>
      <c r="M5625" t="n">
        <v>0</v>
      </c>
      <c r="N5625" t="n">
        <v>0</v>
      </c>
      <c r="O5625" t="n">
        <v>0</v>
      </c>
      <c r="P5625" t="n">
        <v>0</v>
      </c>
      <c r="Q5625" t="n">
        <v>0</v>
      </c>
      <c r="R5625" s="2" t="inlineStr"/>
    </row>
    <row r="5626" ht="15" customHeight="1">
      <c r="A5626" t="inlineStr">
        <is>
          <t>A 54752-2025</t>
        </is>
      </c>
      <c r="B5626" s="1" t="n">
        <v>45966.5916087963</v>
      </c>
      <c r="C5626" s="1" t="n">
        <v>46114</v>
      </c>
      <c r="D5626" t="inlineStr">
        <is>
          <t>DALARNAS LÄN</t>
        </is>
      </c>
      <c r="E5626" t="inlineStr">
        <is>
          <t>LEKSAND</t>
        </is>
      </c>
      <c r="G5626" t="n">
        <v>0.3</v>
      </c>
      <c r="H5626" t="n">
        <v>0</v>
      </c>
      <c r="I5626" t="n">
        <v>0</v>
      </c>
      <c r="J5626" t="n">
        <v>0</v>
      </c>
      <c r="K5626" t="n">
        <v>0</v>
      </c>
      <c r="L5626" t="n">
        <v>0</v>
      </c>
      <c r="M5626" t="n">
        <v>0</v>
      </c>
      <c r="N5626" t="n">
        <v>0</v>
      </c>
      <c r="O5626" t="n">
        <v>0</v>
      </c>
      <c r="P5626" t="n">
        <v>0</v>
      </c>
      <c r="Q5626" t="n">
        <v>0</v>
      </c>
      <c r="R5626" s="2" t="inlineStr"/>
    </row>
    <row r="5627" ht="15" customHeight="1">
      <c r="A5627" t="inlineStr">
        <is>
          <t>A 54767-2025</t>
        </is>
      </c>
      <c r="B5627" s="1" t="n">
        <v>45966.60414351852</v>
      </c>
      <c r="C5627" s="1" t="n">
        <v>46114</v>
      </c>
      <c r="D5627" t="inlineStr">
        <is>
          <t>DALARNAS LÄN</t>
        </is>
      </c>
      <c r="E5627" t="inlineStr">
        <is>
          <t>LEKSAND</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54785-2025</t>
        </is>
      </c>
      <c r="B5628" s="1" t="n">
        <v>45966.62619212963</v>
      </c>
      <c r="C5628" s="1" t="n">
        <v>46114</v>
      </c>
      <c r="D5628" t="inlineStr">
        <is>
          <t>DALARNAS LÄN</t>
        </is>
      </c>
      <c r="E5628" t="inlineStr">
        <is>
          <t>LEKSAND</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54805-2025</t>
        </is>
      </c>
      <c r="B5629" s="1" t="n">
        <v>45966.64165509259</v>
      </c>
      <c r="C5629" s="1" t="n">
        <v>46114</v>
      </c>
      <c r="D5629" t="inlineStr">
        <is>
          <t>DALARNAS LÄN</t>
        </is>
      </c>
      <c r="E5629" t="inlineStr">
        <is>
          <t>LEKSAND</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46129-2024</t>
        </is>
      </c>
      <c r="B5630" s="1" t="n">
        <v>45581.43337962963</v>
      </c>
      <c r="C5630" s="1" t="n">
        <v>46114</v>
      </c>
      <c r="D5630" t="inlineStr">
        <is>
          <t>DALARNAS LÄN</t>
        </is>
      </c>
      <c r="E5630" t="inlineStr">
        <is>
          <t>MORA</t>
        </is>
      </c>
      <c r="G5630" t="n">
        <v>8.199999999999999</v>
      </c>
      <c r="H5630" t="n">
        <v>0</v>
      </c>
      <c r="I5630" t="n">
        <v>0</v>
      </c>
      <c r="J5630" t="n">
        <v>0</v>
      </c>
      <c r="K5630" t="n">
        <v>0</v>
      </c>
      <c r="L5630" t="n">
        <v>0</v>
      </c>
      <c r="M5630" t="n">
        <v>0</v>
      </c>
      <c r="N5630" t="n">
        <v>0</v>
      </c>
      <c r="O5630" t="n">
        <v>0</v>
      </c>
      <c r="P5630" t="n">
        <v>0</v>
      </c>
      <c r="Q5630" t="n">
        <v>0</v>
      </c>
      <c r="R5630" s="2" t="inlineStr"/>
    </row>
    <row r="5631" ht="15" customHeight="1">
      <c r="A5631" t="inlineStr">
        <is>
          <t>A 17224-2025</t>
        </is>
      </c>
      <c r="B5631" s="1" t="n">
        <v>45756.45913194444</v>
      </c>
      <c r="C5631" s="1" t="n">
        <v>46114</v>
      </c>
      <c r="D5631" t="inlineStr">
        <is>
          <t>DALARNAS LÄN</t>
        </is>
      </c>
      <c r="E5631" t="inlineStr">
        <is>
          <t>FALUN</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56831-2024</t>
        </is>
      </c>
      <c r="B5632" s="1" t="n">
        <v>45628.49807870371</v>
      </c>
      <c r="C5632" s="1" t="n">
        <v>46114</v>
      </c>
      <c r="D5632" t="inlineStr">
        <is>
          <t>DALARNAS LÄN</t>
        </is>
      </c>
      <c r="E5632" t="inlineStr">
        <is>
          <t>SÄTER</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54673-2025</t>
        </is>
      </c>
      <c r="B5633" s="1" t="n">
        <v>45966.41693287037</v>
      </c>
      <c r="C5633" s="1" t="n">
        <v>46114</v>
      </c>
      <c r="D5633" t="inlineStr">
        <is>
          <t>DALARNAS LÄN</t>
        </is>
      </c>
      <c r="E5633" t="inlineStr">
        <is>
          <t>LUDVIKA</t>
        </is>
      </c>
      <c r="F5633" t="inlineStr">
        <is>
          <t>Bergvik skog väst AB</t>
        </is>
      </c>
      <c r="G5633" t="n">
        <v>5.8</v>
      </c>
      <c r="H5633" t="n">
        <v>0</v>
      </c>
      <c r="I5633" t="n">
        <v>0</v>
      </c>
      <c r="J5633" t="n">
        <v>0</v>
      </c>
      <c r="K5633" t="n">
        <v>0</v>
      </c>
      <c r="L5633" t="n">
        <v>0</v>
      </c>
      <c r="M5633" t="n">
        <v>0</v>
      </c>
      <c r="N5633" t="n">
        <v>0</v>
      </c>
      <c r="O5633" t="n">
        <v>0</v>
      </c>
      <c r="P5633" t="n">
        <v>0</v>
      </c>
      <c r="Q5633" t="n">
        <v>0</v>
      </c>
      <c r="R5633" s="2" t="inlineStr"/>
    </row>
    <row r="5634" ht="15" customHeight="1">
      <c r="A5634" t="inlineStr">
        <is>
          <t>A 59050-2022</t>
        </is>
      </c>
      <c r="B5634" s="1" t="n">
        <v>44903</v>
      </c>
      <c r="C5634" s="1" t="n">
        <v>46114</v>
      </c>
      <c r="D5634" t="inlineStr">
        <is>
          <t>DALARNAS LÄN</t>
        </is>
      </c>
      <c r="E5634" t="inlineStr">
        <is>
          <t>LUDVIKA</t>
        </is>
      </c>
      <c r="G5634" t="n">
        <v>2.8</v>
      </c>
      <c r="H5634" t="n">
        <v>0</v>
      </c>
      <c r="I5634" t="n">
        <v>0</v>
      </c>
      <c r="J5634" t="n">
        <v>0</v>
      </c>
      <c r="K5634" t="n">
        <v>0</v>
      </c>
      <c r="L5634" t="n">
        <v>0</v>
      </c>
      <c r="M5634" t="n">
        <v>0</v>
      </c>
      <c r="N5634" t="n">
        <v>0</v>
      </c>
      <c r="O5634" t="n">
        <v>0</v>
      </c>
      <c r="P5634" t="n">
        <v>0</v>
      </c>
      <c r="Q5634" t="n">
        <v>0</v>
      </c>
      <c r="R5634" s="2" t="inlineStr"/>
    </row>
    <row r="5635" ht="15" customHeight="1">
      <c r="A5635" t="inlineStr">
        <is>
          <t>A 43158-2025</t>
        </is>
      </c>
      <c r="B5635" s="1" t="n">
        <v>45910.35496527778</v>
      </c>
      <c r="C5635" s="1" t="n">
        <v>46114</v>
      </c>
      <c r="D5635" t="inlineStr">
        <is>
          <t>DALARNAS LÄN</t>
        </is>
      </c>
      <c r="E5635" t="inlineStr">
        <is>
          <t>LEKSAND</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3-2022</t>
        </is>
      </c>
      <c r="B5636" s="1" t="n">
        <v>44562</v>
      </c>
      <c r="C5636" s="1" t="n">
        <v>46114</v>
      </c>
      <c r="D5636" t="inlineStr">
        <is>
          <t>DALARNAS LÄN</t>
        </is>
      </c>
      <c r="E5636" t="inlineStr">
        <is>
          <t>RÄTTVIK</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40383-2023</t>
        </is>
      </c>
      <c r="B5637" s="1" t="n">
        <v>45169.87157407407</v>
      </c>
      <c r="C5637" s="1" t="n">
        <v>46114</v>
      </c>
      <c r="D5637" t="inlineStr">
        <is>
          <t>DALARNAS LÄN</t>
        </is>
      </c>
      <c r="E5637" t="inlineStr">
        <is>
          <t>VANSBRO</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54839-2025</t>
        </is>
      </c>
      <c r="B5638" s="1" t="n">
        <v>45966.68412037037</v>
      </c>
      <c r="C5638" s="1" t="n">
        <v>46114</v>
      </c>
      <c r="D5638" t="inlineStr">
        <is>
          <t>DALARNAS LÄN</t>
        </is>
      </c>
      <c r="E5638" t="inlineStr">
        <is>
          <t>FALUN</t>
        </is>
      </c>
      <c r="F5638" t="inlineStr">
        <is>
          <t>Bergvik skog väst AB</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54868-2025</t>
        </is>
      </c>
      <c r="B5639" s="1" t="n">
        <v>45966.85649305556</v>
      </c>
      <c r="C5639" s="1" t="n">
        <v>46114</v>
      </c>
      <c r="D5639" t="inlineStr">
        <is>
          <t>DALARNAS LÄN</t>
        </is>
      </c>
      <c r="E5639" t="inlineStr">
        <is>
          <t>MORA</t>
        </is>
      </c>
      <c r="F5639" t="inlineStr">
        <is>
          <t>Bergvik skog väst AB</t>
        </is>
      </c>
      <c r="G5639" t="n">
        <v>5.6</v>
      </c>
      <c r="H5639" t="n">
        <v>0</v>
      </c>
      <c r="I5639" t="n">
        <v>0</v>
      </c>
      <c r="J5639" t="n">
        <v>0</v>
      </c>
      <c r="K5639" t="n">
        <v>0</v>
      </c>
      <c r="L5639" t="n">
        <v>0</v>
      </c>
      <c r="M5639" t="n">
        <v>0</v>
      </c>
      <c r="N5639" t="n">
        <v>0</v>
      </c>
      <c r="O5639" t="n">
        <v>0</v>
      </c>
      <c r="P5639" t="n">
        <v>0</v>
      </c>
      <c r="Q5639" t="n">
        <v>0</v>
      </c>
      <c r="R5639" s="2" t="inlineStr"/>
    </row>
    <row r="5640" ht="15" customHeight="1">
      <c r="A5640" t="inlineStr">
        <is>
          <t>A 45543-2024</t>
        </is>
      </c>
      <c r="B5640" s="1" t="n">
        <v>45579.33577546296</v>
      </c>
      <c r="C5640" s="1" t="n">
        <v>46114</v>
      </c>
      <c r="D5640" t="inlineStr">
        <is>
          <t>DALARNAS LÄN</t>
        </is>
      </c>
      <c r="E5640" t="inlineStr">
        <is>
          <t>LUDVIKA</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45544-2024</t>
        </is>
      </c>
      <c r="B5641" s="1" t="n">
        <v>45579.33912037037</v>
      </c>
      <c r="C5641" s="1" t="n">
        <v>46114</v>
      </c>
      <c r="D5641" t="inlineStr">
        <is>
          <t>DALARNAS LÄN</t>
        </is>
      </c>
      <c r="E5641" t="inlineStr">
        <is>
          <t>LUDVIKA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45547-2024</t>
        </is>
      </c>
      <c r="B5642" s="1" t="n">
        <v>45579.34377314815</v>
      </c>
      <c r="C5642" s="1" t="n">
        <v>46114</v>
      </c>
      <c r="D5642" t="inlineStr">
        <is>
          <t>DALARNAS LÄN</t>
        </is>
      </c>
      <c r="E5642" t="inlineStr">
        <is>
          <t>LUDVIKA</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45567-2024</t>
        </is>
      </c>
      <c r="B5643" s="1" t="n">
        <v>45579.37496527778</v>
      </c>
      <c r="C5643" s="1" t="n">
        <v>46114</v>
      </c>
      <c r="D5643" t="inlineStr">
        <is>
          <t>DALARNAS LÄN</t>
        </is>
      </c>
      <c r="E5643" t="inlineStr">
        <is>
          <t>VANSBRO</t>
        </is>
      </c>
      <c r="F5643" t="inlineStr">
        <is>
          <t>Bergvik skog väst AB</t>
        </is>
      </c>
      <c r="G5643" t="n">
        <v>4.5</v>
      </c>
      <c r="H5643" t="n">
        <v>0</v>
      </c>
      <c r="I5643" t="n">
        <v>0</v>
      </c>
      <c r="J5643" t="n">
        <v>0</v>
      </c>
      <c r="K5643" t="n">
        <v>0</v>
      </c>
      <c r="L5643" t="n">
        <v>0</v>
      </c>
      <c r="M5643" t="n">
        <v>0</v>
      </c>
      <c r="N5643" t="n">
        <v>0</v>
      </c>
      <c r="O5643" t="n">
        <v>0</v>
      </c>
      <c r="P5643" t="n">
        <v>0</v>
      </c>
      <c r="Q5643" t="n">
        <v>0</v>
      </c>
      <c r="R5643" s="2" t="inlineStr"/>
    </row>
    <row r="5644" ht="15" customHeight="1">
      <c r="A5644" t="inlineStr">
        <is>
          <t>A 43039-2025</t>
        </is>
      </c>
      <c r="B5644" s="1" t="n">
        <v>45909.55166666667</v>
      </c>
      <c r="C5644" s="1" t="n">
        <v>46114</v>
      </c>
      <c r="D5644" t="inlineStr">
        <is>
          <t>DALARNAS LÄN</t>
        </is>
      </c>
      <c r="E5644" t="inlineStr">
        <is>
          <t>ÄLVDALEN</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54736-2025</t>
        </is>
      </c>
      <c r="B5645" s="1" t="n">
        <v>45966.56648148148</v>
      </c>
      <c r="C5645" s="1" t="n">
        <v>46114</v>
      </c>
      <c r="D5645" t="inlineStr">
        <is>
          <t>DALARNAS LÄN</t>
        </is>
      </c>
      <c r="E5645" t="inlineStr">
        <is>
          <t>VANSBRO</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3689-2022</t>
        </is>
      </c>
      <c r="B5646" s="1" t="n">
        <v>44586.57684027778</v>
      </c>
      <c r="C5646" s="1" t="n">
        <v>46114</v>
      </c>
      <c r="D5646" t="inlineStr">
        <is>
          <t>DALARNAS LÄN</t>
        </is>
      </c>
      <c r="E5646" t="inlineStr">
        <is>
          <t>FALUN</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23663-2024</t>
        </is>
      </c>
      <c r="B5647" s="1" t="n">
        <v>45454.57049768518</v>
      </c>
      <c r="C5647" s="1" t="n">
        <v>46114</v>
      </c>
      <c r="D5647" t="inlineStr">
        <is>
          <t>DALARNAS LÄN</t>
        </is>
      </c>
      <c r="E5647" t="inlineStr">
        <is>
          <t>LEKSAND</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54862-2025</t>
        </is>
      </c>
      <c r="B5648" s="1" t="n">
        <v>45966.76542824074</v>
      </c>
      <c r="C5648" s="1" t="n">
        <v>46114</v>
      </c>
      <c r="D5648" t="inlineStr">
        <is>
          <t>DALARNAS LÄN</t>
        </is>
      </c>
      <c r="E5648" t="inlineStr">
        <is>
          <t>MORA</t>
        </is>
      </c>
      <c r="G5648" t="n">
        <v>1.2</v>
      </c>
      <c r="H5648" t="n">
        <v>0</v>
      </c>
      <c r="I5648" t="n">
        <v>0</v>
      </c>
      <c r="J5648" t="n">
        <v>0</v>
      </c>
      <c r="K5648" t="n">
        <v>0</v>
      </c>
      <c r="L5648" t="n">
        <v>0</v>
      </c>
      <c r="M5648" t="n">
        <v>0</v>
      </c>
      <c r="N5648" t="n">
        <v>0</v>
      </c>
      <c r="O5648" t="n">
        <v>0</v>
      </c>
      <c r="P5648" t="n">
        <v>0</v>
      </c>
      <c r="Q5648" t="n">
        <v>0</v>
      </c>
      <c r="R5648" s="2" t="inlineStr"/>
    </row>
    <row r="5649" ht="15" customHeight="1">
      <c r="A5649" t="inlineStr">
        <is>
          <t>A 18908-2024</t>
        </is>
      </c>
      <c r="B5649" s="1" t="n">
        <v>45427.36732638889</v>
      </c>
      <c r="C5649" s="1" t="n">
        <v>46114</v>
      </c>
      <c r="D5649" t="inlineStr">
        <is>
          <t>DALARNAS LÄN</t>
        </is>
      </c>
      <c r="E5649" t="inlineStr">
        <is>
          <t>SMEDJEBACKEN</t>
        </is>
      </c>
      <c r="F5649" t="inlineStr">
        <is>
          <t>Sveaskog</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41643-2023</t>
        </is>
      </c>
      <c r="B5650" s="1" t="n">
        <v>45175</v>
      </c>
      <c r="C5650" s="1" t="n">
        <v>46114</v>
      </c>
      <c r="D5650" t="inlineStr">
        <is>
          <t>DALARNAS LÄN</t>
        </is>
      </c>
      <c r="E5650" t="inlineStr">
        <is>
          <t>SÄTER</t>
        </is>
      </c>
      <c r="G5650" t="n">
        <v>1.1</v>
      </c>
      <c r="H5650" t="n">
        <v>0</v>
      </c>
      <c r="I5650" t="n">
        <v>0</v>
      </c>
      <c r="J5650" t="n">
        <v>0</v>
      </c>
      <c r="K5650" t="n">
        <v>0</v>
      </c>
      <c r="L5650" t="n">
        <v>0</v>
      </c>
      <c r="M5650" t="n">
        <v>0</v>
      </c>
      <c r="N5650" t="n">
        <v>0</v>
      </c>
      <c r="O5650" t="n">
        <v>0</v>
      </c>
      <c r="P5650" t="n">
        <v>0</v>
      </c>
      <c r="Q5650" t="n">
        <v>0</v>
      </c>
      <c r="R5650" s="2" t="inlineStr"/>
    </row>
    <row r="5651" ht="15" customHeight="1">
      <c r="A5651" t="inlineStr">
        <is>
          <t>A 54726-2025</t>
        </is>
      </c>
      <c r="B5651" s="1" t="n">
        <v>45966.54658564815</v>
      </c>
      <c r="C5651" s="1" t="n">
        <v>46114</v>
      </c>
      <c r="D5651" t="inlineStr">
        <is>
          <t>DALARNAS LÄN</t>
        </is>
      </c>
      <c r="E5651" t="inlineStr">
        <is>
          <t>ORSA</t>
        </is>
      </c>
      <c r="G5651" t="n">
        <v>4.8</v>
      </c>
      <c r="H5651" t="n">
        <v>0</v>
      </c>
      <c r="I5651" t="n">
        <v>0</v>
      </c>
      <c r="J5651" t="n">
        <v>0</v>
      </c>
      <c r="K5651" t="n">
        <v>0</v>
      </c>
      <c r="L5651" t="n">
        <v>0</v>
      </c>
      <c r="M5651" t="n">
        <v>0</v>
      </c>
      <c r="N5651" t="n">
        <v>0</v>
      </c>
      <c r="O5651" t="n">
        <v>0</v>
      </c>
      <c r="P5651" t="n">
        <v>0</v>
      </c>
      <c r="Q5651" t="n">
        <v>0</v>
      </c>
      <c r="R5651" s="2" t="inlineStr"/>
    </row>
    <row r="5652" ht="15" customHeight="1">
      <c r="A5652" t="inlineStr">
        <is>
          <t>A 54773-2025</t>
        </is>
      </c>
      <c r="B5652" s="1" t="n">
        <v>45966.61081018519</v>
      </c>
      <c r="C5652" s="1" t="n">
        <v>46114</v>
      </c>
      <c r="D5652" t="inlineStr">
        <is>
          <t>DALARNAS LÄN</t>
        </is>
      </c>
      <c r="E5652" t="inlineStr">
        <is>
          <t>ORSA</t>
        </is>
      </c>
      <c r="G5652" t="n">
        <v>3.6</v>
      </c>
      <c r="H5652" t="n">
        <v>0</v>
      </c>
      <c r="I5652" t="n">
        <v>0</v>
      </c>
      <c r="J5652" t="n">
        <v>0</v>
      </c>
      <c r="K5652" t="n">
        <v>0</v>
      </c>
      <c r="L5652" t="n">
        <v>0</v>
      </c>
      <c r="M5652" t="n">
        <v>0</v>
      </c>
      <c r="N5652" t="n">
        <v>0</v>
      </c>
      <c r="O5652" t="n">
        <v>0</v>
      </c>
      <c r="P5652" t="n">
        <v>0</v>
      </c>
      <c r="Q5652" t="n">
        <v>0</v>
      </c>
      <c r="R5652" s="2" t="inlineStr"/>
    </row>
    <row r="5653" ht="15" customHeight="1">
      <c r="A5653" t="inlineStr">
        <is>
          <t>A 54789-2025</t>
        </is>
      </c>
      <c r="B5653" s="1" t="n">
        <v>45966</v>
      </c>
      <c r="C5653" s="1" t="n">
        <v>46114</v>
      </c>
      <c r="D5653" t="inlineStr">
        <is>
          <t>DALARNAS LÄN</t>
        </is>
      </c>
      <c r="E5653" t="inlineStr">
        <is>
          <t>LEKSAND</t>
        </is>
      </c>
      <c r="F5653" t="inlineStr">
        <is>
          <t>Bergvik skog väst AB</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46287-2023</t>
        </is>
      </c>
      <c r="B5654" s="1" t="n">
        <v>45197.29984953703</v>
      </c>
      <c r="C5654" s="1" t="n">
        <v>46114</v>
      </c>
      <c r="D5654" t="inlineStr">
        <is>
          <t>DALARNAS LÄN</t>
        </is>
      </c>
      <c r="E5654" t="inlineStr">
        <is>
          <t>MALUNG-SÄLEN</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55036-2025</t>
        </is>
      </c>
      <c r="B5655" s="1" t="n">
        <v>45967.64751157408</v>
      </c>
      <c r="C5655" s="1" t="n">
        <v>46114</v>
      </c>
      <c r="D5655" t="inlineStr">
        <is>
          <t>DALARNAS LÄN</t>
        </is>
      </c>
      <c r="E5655" t="inlineStr">
        <is>
          <t>MALUNG-SÄLEN</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19193-2025</t>
        </is>
      </c>
      <c r="B5656" s="1" t="n">
        <v>45769.42203703704</v>
      </c>
      <c r="C5656" s="1" t="n">
        <v>46114</v>
      </c>
      <c r="D5656" t="inlineStr">
        <is>
          <t>DALARNAS LÄN</t>
        </is>
      </c>
      <c r="E5656" t="inlineStr">
        <is>
          <t>MORA</t>
        </is>
      </c>
      <c r="F5656" t="inlineStr">
        <is>
          <t>Bergvik skog öst AB</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55055-2025</t>
        </is>
      </c>
      <c r="B5657" s="1" t="n">
        <v>45967.67859953704</v>
      </c>
      <c r="C5657" s="1" t="n">
        <v>46114</v>
      </c>
      <c r="D5657" t="inlineStr">
        <is>
          <t>DALARNAS LÄN</t>
        </is>
      </c>
      <c r="E5657" t="inlineStr">
        <is>
          <t>RÄTTVIK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55061-2025</t>
        </is>
      </c>
      <c r="B5658" s="1" t="n">
        <v>45967.69521990741</v>
      </c>
      <c r="C5658" s="1" t="n">
        <v>46114</v>
      </c>
      <c r="D5658" t="inlineStr">
        <is>
          <t>DALARNAS LÄN</t>
        </is>
      </c>
      <c r="E5658" t="inlineStr">
        <is>
          <t>MALUNG-SÄLEN</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42530-2023</t>
        </is>
      </c>
      <c r="B5659" s="1" t="n">
        <v>45176</v>
      </c>
      <c r="C5659" s="1" t="n">
        <v>46114</v>
      </c>
      <c r="D5659" t="inlineStr">
        <is>
          <t>DALARNAS LÄN</t>
        </is>
      </c>
      <c r="E5659" t="inlineStr">
        <is>
          <t>RÄTTVIK</t>
        </is>
      </c>
      <c r="G5659" t="n">
        <v>9</v>
      </c>
      <c r="H5659" t="n">
        <v>0</v>
      </c>
      <c r="I5659" t="n">
        <v>0</v>
      </c>
      <c r="J5659" t="n">
        <v>0</v>
      </c>
      <c r="K5659" t="n">
        <v>0</v>
      </c>
      <c r="L5659" t="n">
        <v>0</v>
      </c>
      <c r="M5659" t="n">
        <v>0</v>
      </c>
      <c r="N5659" t="n">
        <v>0</v>
      </c>
      <c r="O5659" t="n">
        <v>0</v>
      </c>
      <c r="P5659" t="n">
        <v>0</v>
      </c>
      <c r="Q5659" t="n">
        <v>0</v>
      </c>
      <c r="R5659" s="2" t="inlineStr"/>
    </row>
    <row r="5660" ht="15" customHeight="1">
      <c r="A5660" t="inlineStr">
        <is>
          <t>A 54829-2025</t>
        </is>
      </c>
      <c r="B5660" s="1" t="n">
        <v>45966.67506944444</v>
      </c>
      <c r="C5660" s="1" t="n">
        <v>46114</v>
      </c>
      <c r="D5660" t="inlineStr">
        <is>
          <t>DALARNAS LÄN</t>
        </is>
      </c>
      <c r="E5660" t="inlineStr">
        <is>
          <t>HEDEMORA</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54605-2025</t>
        </is>
      </c>
      <c r="B5661" s="1" t="n">
        <v>45965.90274305556</v>
      </c>
      <c r="C5661" s="1" t="n">
        <v>46114</v>
      </c>
      <c r="D5661" t="inlineStr">
        <is>
          <t>DALARNAS LÄN</t>
        </is>
      </c>
      <c r="E5661" t="inlineStr">
        <is>
          <t>MALUNG-SÄLEN</t>
        </is>
      </c>
      <c r="F5661" t="inlineStr">
        <is>
          <t>Bergvik skog väst AB</t>
        </is>
      </c>
      <c r="G5661" t="n">
        <v>0.5</v>
      </c>
      <c r="H5661" t="n">
        <v>0</v>
      </c>
      <c r="I5661" t="n">
        <v>0</v>
      </c>
      <c r="J5661" t="n">
        <v>0</v>
      </c>
      <c r="K5661" t="n">
        <v>0</v>
      </c>
      <c r="L5661" t="n">
        <v>0</v>
      </c>
      <c r="M5661" t="n">
        <v>0</v>
      </c>
      <c r="N5661" t="n">
        <v>0</v>
      </c>
      <c r="O5661" t="n">
        <v>0</v>
      </c>
      <c r="P5661" t="n">
        <v>0</v>
      </c>
      <c r="Q5661" t="n">
        <v>0</v>
      </c>
      <c r="R5661" s="2" t="inlineStr"/>
    </row>
    <row r="5662" ht="15" customHeight="1">
      <c r="A5662" t="inlineStr">
        <is>
          <t>A 27089-2024</t>
        </is>
      </c>
      <c r="B5662" s="1" t="n">
        <v>45471.48064814815</v>
      </c>
      <c r="C5662" s="1" t="n">
        <v>46114</v>
      </c>
      <c r="D5662" t="inlineStr">
        <is>
          <t>DALARNAS LÄN</t>
        </is>
      </c>
      <c r="E5662" t="inlineStr">
        <is>
          <t>VANSBRO</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54830-2025</t>
        </is>
      </c>
      <c r="B5663" s="1" t="n">
        <v>45966.67681712963</v>
      </c>
      <c r="C5663" s="1" t="n">
        <v>46114</v>
      </c>
      <c r="D5663" t="inlineStr">
        <is>
          <t>DALARNAS LÄN</t>
        </is>
      </c>
      <c r="E5663" t="inlineStr">
        <is>
          <t>HEDEMORA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54841-2025</t>
        </is>
      </c>
      <c r="B5664" s="1" t="n">
        <v>45966.68452546297</v>
      </c>
      <c r="C5664" s="1" t="n">
        <v>46114</v>
      </c>
      <c r="D5664" t="inlineStr">
        <is>
          <t>DALARNAS LÄN</t>
        </is>
      </c>
      <c r="E5664" t="inlineStr">
        <is>
          <t>BORLÄNGE</t>
        </is>
      </c>
      <c r="G5664" t="n">
        <v>4.8</v>
      </c>
      <c r="H5664" t="n">
        <v>0</v>
      </c>
      <c r="I5664" t="n">
        <v>0</v>
      </c>
      <c r="J5664" t="n">
        <v>0</v>
      </c>
      <c r="K5664" t="n">
        <v>0</v>
      </c>
      <c r="L5664" t="n">
        <v>0</v>
      </c>
      <c r="M5664" t="n">
        <v>0</v>
      </c>
      <c r="N5664" t="n">
        <v>0</v>
      </c>
      <c r="O5664" t="n">
        <v>0</v>
      </c>
      <c r="P5664" t="n">
        <v>0</v>
      </c>
      <c r="Q5664" t="n">
        <v>0</v>
      </c>
      <c r="R5664" s="2" t="inlineStr"/>
    </row>
    <row r="5665" ht="15" customHeight="1">
      <c r="A5665" t="inlineStr">
        <is>
          <t>A 54603-2025</t>
        </is>
      </c>
      <c r="B5665" s="1" t="n">
        <v>45965.85527777778</v>
      </c>
      <c r="C5665" s="1" t="n">
        <v>46114</v>
      </c>
      <c r="D5665" t="inlineStr">
        <is>
          <t>DALARNAS LÄN</t>
        </is>
      </c>
      <c r="E5665" t="inlineStr">
        <is>
          <t>MALUNG-SÄLEN</t>
        </is>
      </c>
      <c r="F5665" t="inlineStr">
        <is>
          <t>Bergvik skog väst AB</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42346-2025</t>
        </is>
      </c>
      <c r="B5666" s="1" t="n">
        <v>45904.75224537037</v>
      </c>
      <c r="C5666" s="1" t="n">
        <v>46114</v>
      </c>
      <c r="D5666" t="inlineStr">
        <is>
          <t>DALARNAS LÄN</t>
        </is>
      </c>
      <c r="E5666" t="inlineStr">
        <is>
          <t>LUDVIKA</t>
        </is>
      </c>
      <c r="G5666" t="n">
        <v>3</v>
      </c>
      <c r="H5666" t="n">
        <v>0</v>
      </c>
      <c r="I5666" t="n">
        <v>0</v>
      </c>
      <c r="J5666" t="n">
        <v>0</v>
      </c>
      <c r="K5666" t="n">
        <v>0</v>
      </c>
      <c r="L5666" t="n">
        <v>0</v>
      </c>
      <c r="M5666" t="n">
        <v>0</v>
      </c>
      <c r="N5666" t="n">
        <v>0</v>
      </c>
      <c r="O5666" t="n">
        <v>0</v>
      </c>
      <c r="P5666" t="n">
        <v>0</v>
      </c>
      <c r="Q5666" t="n">
        <v>0</v>
      </c>
      <c r="R5666" s="2" t="inlineStr"/>
    </row>
    <row r="5667" ht="15" customHeight="1">
      <c r="A5667" t="inlineStr">
        <is>
          <t>A 54909-2025</t>
        </is>
      </c>
      <c r="B5667" s="1" t="n">
        <v>45967.374375</v>
      </c>
      <c r="C5667" s="1" t="n">
        <v>46114</v>
      </c>
      <c r="D5667" t="inlineStr">
        <is>
          <t>DALARNAS LÄN</t>
        </is>
      </c>
      <c r="E5667" t="inlineStr">
        <is>
          <t>MORA</t>
        </is>
      </c>
      <c r="G5667" t="n">
        <v>1.7</v>
      </c>
      <c r="H5667" t="n">
        <v>0</v>
      </c>
      <c r="I5667" t="n">
        <v>0</v>
      </c>
      <c r="J5667" t="n">
        <v>0</v>
      </c>
      <c r="K5667" t="n">
        <v>0</v>
      </c>
      <c r="L5667" t="n">
        <v>0</v>
      </c>
      <c r="M5667" t="n">
        <v>0</v>
      </c>
      <c r="N5667" t="n">
        <v>0</v>
      </c>
      <c r="O5667" t="n">
        <v>0</v>
      </c>
      <c r="P5667" t="n">
        <v>0</v>
      </c>
      <c r="Q5667" t="n">
        <v>0</v>
      </c>
      <c r="R5667" s="2" t="inlineStr"/>
    </row>
    <row r="5668" ht="15" customHeight="1">
      <c r="A5668" t="inlineStr">
        <is>
          <t>A 54919-2025</t>
        </is>
      </c>
      <c r="B5668" s="1" t="n">
        <v>45967.38884259259</v>
      </c>
      <c r="C5668" s="1" t="n">
        <v>46114</v>
      </c>
      <c r="D5668" t="inlineStr">
        <is>
          <t>DALARNAS LÄN</t>
        </is>
      </c>
      <c r="E5668" t="inlineStr">
        <is>
          <t>MORA</t>
        </is>
      </c>
      <c r="F5668" t="inlineStr">
        <is>
          <t>Bergvik skog väst AB</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20228-2021</t>
        </is>
      </c>
      <c r="B5669" s="1" t="n">
        <v>44314.6203587963</v>
      </c>
      <c r="C5669" s="1" t="n">
        <v>46114</v>
      </c>
      <c r="D5669" t="inlineStr">
        <is>
          <t>DALARNAS LÄN</t>
        </is>
      </c>
      <c r="E5669" t="inlineStr">
        <is>
          <t>MALUNG-SÄLEN</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63816-2021</t>
        </is>
      </c>
      <c r="B5670" s="1" t="n">
        <v>44509</v>
      </c>
      <c r="C5670" s="1" t="n">
        <v>46114</v>
      </c>
      <c r="D5670" t="inlineStr">
        <is>
          <t>DALARNAS LÄN</t>
        </is>
      </c>
      <c r="E5670" t="inlineStr">
        <is>
          <t>VANSBRO</t>
        </is>
      </c>
      <c r="F5670" t="inlineStr">
        <is>
          <t>Bergvik skog väst AB</t>
        </is>
      </c>
      <c r="G5670" t="n">
        <v>17.6</v>
      </c>
      <c r="H5670" t="n">
        <v>0</v>
      </c>
      <c r="I5670" t="n">
        <v>0</v>
      </c>
      <c r="J5670" t="n">
        <v>0</v>
      </c>
      <c r="K5670" t="n">
        <v>0</v>
      </c>
      <c r="L5670" t="n">
        <v>0</v>
      </c>
      <c r="M5670" t="n">
        <v>0</v>
      </c>
      <c r="N5670" t="n">
        <v>0</v>
      </c>
      <c r="O5670" t="n">
        <v>0</v>
      </c>
      <c r="P5670" t="n">
        <v>0</v>
      </c>
      <c r="Q5670" t="n">
        <v>0</v>
      </c>
      <c r="R5670" s="2" t="inlineStr"/>
    </row>
    <row r="5671" ht="15" customHeight="1">
      <c r="A5671" t="inlineStr">
        <is>
          <t>A 54776-2025</t>
        </is>
      </c>
      <c r="B5671" s="1" t="n">
        <v>45966.61395833334</v>
      </c>
      <c r="C5671" s="1" t="n">
        <v>46114</v>
      </c>
      <c r="D5671" t="inlineStr">
        <is>
          <t>DALARNAS LÄN</t>
        </is>
      </c>
      <c r="E5671" t="inlineStr">
        <is>
          <t>ORSA</t>
        </is>
      </c>
      <c r="G5671" t="n">
        <v>4.8</v>
      </c>
      <c r="H5671" t="n">
        <v>0</v>
      </c>
      <c r="I5671" t="n">
        <v>0</v>
      </c>
      <c r="J5671" t="n">
        <v>0</v>
      </c>
      <c r="K5671" t="n">
        <v>0</v>
      </c>
      <c r="L5671" t="n">
        <v>0</v>
      </c>
      <c r="M5671" t="n">
        <v>0</v>
      </c>
      <c r="N5671" t="n">
        <v>0</v>
      </c>
      <c r="O5671" t="n">
        <v>0</v>
      </c>
      <c r="P5671" t="n">
        <v>0</v>
      </c>
      <c r="Q5671" t="n">
        <v>0</v>
      </c>
      <c r="R5671" s="2" t="inlineStr"/>
    </row>
    <row r="5672" ht="15" customHeight="1">
      <c r="A5672" t="inlineStr">
        <is>
          <t>A 54779-2025</t>
        </is>
      </c>
      <c r="B5672" s="1" t="n">
        <v>45966.61672453704</v>
      </c>
      <c r="C5672" s="1" t="n">
        <v>46114</v>
      </c>
      <c r="D5672" t="inlineStr">
        <is>
          <t>DALARNAS LÄN</t>
        </is>
      </c>
      <c r="E5672" t="inlineStr">
        <is>
          <t>LEKSAND</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37838-2024</t>
        </is>
      </c>
      <c r="B5673" s="1" t="n">
        <v>45544.36310185185</v>
      </c>
      <c r="C5673" s="1" t="n">
        <v>46114</v>
      </c>
      <c r="D5673" t="inlineStr">
        <is>
          <t>DALARNAS LÄN</t>
        </is>
      </c>
      <c r="E5673" t="inlineStr">
        <is>
          <t>ORSA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54815-2025</t>
        </is>
      </c>
      <c r="B5674" s="1" t="n">
        <v>45966.65237268519</v>
      </c>
      <c r="C5674" s="1" t="n">
        <v>46114</v>
      </c>
      <c r="D5674" t="inlineStr">
        <is>
          <t>DALARNAS LÄN</t>
        </is>
      </c>
      <c r="E5674" t="inlineStr">
        <is>
          <t>LEKSAND</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52033-2023</t>
        </is>
      </c>
      <c r="B5675" s="1" t="n">
        <v>45223.62680555556</v>
      </c>
      <c r="C5675" s="1" t="n">
        <v>46114</v>
      </c>
      <c r="D5675" t="inlineStr">
        <is>
          <t>DALARNAS LÄN</t>
        </is>
      </c>
      <c r="E5675" t="inlineStr">
        <is>
          <t>ORSA</t>
        </is>
      </c>
      <c r="G5675" t="n">
        <v>11.5</v>
      </c>
      <c r="H5675" t="n">
        <v>0</v>
      </c>
      <c r="I5675" t="n">
        <v>0</v>
      </c>
      <c r="J5675" t="n">
        <v>0</v>
      </c>
      <c r="K5675" t="n">
        <v>0</v>
      </c>
      <c r="L5675" t="n">
        <v>0</v>
      </c>
      <c r="M5675" t="n">
        <v>0</v>
      </c>
      <c r="N5675" t="n">
        <v>0</v>
      </c>
      <c r="O5675" t="n">
        <v>0</v>
      </c>
      <c r="P5675" t="n">
        <v>0</v>
      </c>
      <c r="Q5675" t="n">
        <v>0</v>
      </c>
      <c r="R5675" s="2" t="inlineStr"/>
    </row>
    <row r="5676" ht="15" customHeight="1">
      <c r="A5676" t="inlineStr">
        <is>
          <t>A 54928-2025</t>
        </is>
      </c>
      <c r="B5676" s="1" t="n">
        <v>45967.41774305556</v>
      </c>
      <c r="C5676" s="1" t="n">
        <v>46114</v>
      </c>
      <c r="D5676" t="inlineStr">
        <is>
          <t>DALARNAS LÄN</t>
        </is>
      </c>
      <c r="E5676" t="inlineStr">
        <is>
          <t>RÄTTVIK</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54905-2025</t>
        </is>
      </c>
      <c r="B5677" s="1" t="n">
        <v>45967.3700462963</v>
      </c>
      <c r="C5677" s="1" t="n">
        <v>46114</v>
      </c>
      <c r="D5677" t="inlineStr">
        <is>
          <t>DALARNAS LÄN</t>
        </is>
      </c>
      <c r="E5677" t="inlineStr">
        <is>
          <t>MORA</t>
        </is>
      </c>
      <c r="G5677" t="n">
        <v>0.4</v>
      </c>
      <c r="H5677" t="n">
        <v>0</v>
      </c>
      <c r="I5677" t="n">
        <v>0</v>
      </c>
      <c r="J5677" t="n">
        <v>0</v>
      </c>
      <c r="K5677" t="n">
        <v>0</v>
      </c>
      <c r="L5677" t="n">
        <v>0</v>
      </c>
      <c r="M5677" t="n">
        <v>0</v>
      </c>
      <c r="N5677" t="n">
        <v>0</v>
      </c>
      <c r="O5677" t="n">
        <v>0</v>
      </c>
      <c r="P5677" t="n">
        <v>0</v>
      </c>
      <c r="Q5677" t="n">
        <v>0</v>
      </c>
      <c r="R5677" s="2" t="inlineStr"/>
    </row>
    <row r="5678" ht="15" customHeight="1">
      <c r="A5678" t="inlineStr">
        <is>
          <t>A 54910-2025</t>
        </is>
      </c>
      <c r="B5678" s="1" t="n">
        <v>45967.37679398148</v>
      </c>
      <c r="C5678" s="1" t="n">
        <v>46114</v>
      </c>
      <c r="D5678" t="inlineStr">
        <is>
          <t>DALARNAS LÄN</t>
        </is>
      </c>
      <c r="E5678" t="inlineStr">
        <is>
          <t>MORA</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55047-2025</t>
        </is>
      </c>
      <c r="B5679" s="1" t="n">
        <v>45967.66421296296</v>
      </c>
      <c r="C5679" s="1" t="n">
        <v>46114</v>
      </c>
      <c r="D5679" t="inlineStr">
        <is>
          <t>DALARNAS LÄN</t>
        </is>
      </c>
      <c r="E5679" t="inlineStr">
        <is>
          <t>FALUN</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6183-2024</t>
        </is>
      </c>
      <c r="B5680" s="1" t="n">
        <v>45337.54135416666</v>
      </c>
      <c r="C5680" s="1" t="n">
        <v>46114</v>
      </c>
      <c r="D5680" t="inlineStr">
        <is>
          <t>DALARNAS LÄN</t>
        </is>
      </c>
      <c r="E5680" t="inlineStr">
        <is>
          <t>MORA</t>
        </is>
      </c>
      <c r="G5680" t="n">
        <v>7.9</v>
      </c>
      <c r="H5680" t="n">
        <v>0</v>
      </c>
      <c r="I5680" t="n">
        <v>0</v>
      </c>
      <c r="J5680" t="n">
        <v>0</v>
      </c>
      <c r="K5680" t="n">
        <v>0</v>
      </c>
      <c r="L5680" t="n">
        <v>0</v>
      </c>
      <c r="M5680" t="n">
        <v>0</v>
      </c>
      <c r="N5680" t="n">
        <v>0</v>
      </c>
      <c r="O5680" t="n">
        <v>0</v>
      </c>
      <c r="P5680" t="n">
        <v>0</v>
      </c>
      <c r="Q5680" t="n">
        <v>0</v>
      </c>
      <c r="R5680" s="2" t="inlineStr"/>
    </row>
    <row r="5681" ht="15" customHeight="1">
      <c r="A5681" t="inlineStr">
        <is>
          <t>A 54782-2025</t>
        </is>
      </c>
      <c r="B5681" s="1" t="n">
        <v>45966.61878472222</v>
      </c>
      <c r="C5681" s="1" t="n">
        <v>46114</v>
      </c>
      <c r="D5681" t="inlineStr">
        <is>
          <t>DALARNAS LÄN</t>
        </is>
      </c>
      <c r="E5681" t="inlineStr">
        <is>
          <t>ORSA</t>
        </is>
      </c>
      <c r="G5681" t="n">
        <v>3.8</v>
      </c>
      <c r="H5681" t="n">
        <v>0</v>
      </c>
      <c r="I5681" t="n">
        <v>0</v>
      </c>
      <c r="J5681" t="n">
        <v>0</v>
      </c>
      <c r="K5681" t="n">
        <v>0</v>
      </c>
      <c r="L5681" t="n">
        <v>0</v>
      </c>
      <c r="M5681" t="n">
        <v>0</v>
      </c>
      <c r="N5681" t="n">
        <v>0</v>
      </c>
      <c r="O5681" t="n">
        <v>0</v>
      </c>
      <c r="P5681" t="n">
        <v>0</v>
      </c>
      <c r="Q5681" t="n">
        <v>0</v>
      </c>
      <c r="R5681" s="2" t="inlineStr"/>
    </row>
    <row r="5682" ht="15" customHeight="1">
      <c r="A5682" t="inlineStr">
        <is>
          <t>A 55059-2025</t>
        </is>
      </c>
      <c r="B5682" s="1" t="n">
        <v>45967.68416666667</v>
      </c>
      <c r="C5682" s="1" t="n">
        <v>46114</v>
      </c>
      <c r="D5682" t="inlineStr">
        <is>
          <t>DALARNAS LÄN</t>
        </is>
      </c>
      <c r="E5682" t="inlineStr">
        <is>
          <t>RÄTTVIK</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54676-2025</t>
        </is>
      </c>
      <c r="B5683" s="1" t="n">
        <v>45966.42188657408</v>
      </c>
      <c r="C5683" s="1" t="n">
        <v>46114</v>
      </c>
      <c r="D5683" t="inlineStr">
        <is>
          <t>DALARNAS LÄN</t>
        </is>
      </c>
      <c r="E5683" t="inlineStr">
        <is>
          <t>ORSA</t>
        </is>
      </c>
      <c r="F5683" t="inlineStr">
        <is>
          <t>Allmännings- och besparingsskogar</t>
        </is>
      </c>
      <c r="G5683" t="n">
        <v>4.6</v>
      </c>
      <c r="H5683" t="n">
        <v>0</v>
      </c>
      <c r="I5683" t="n">
        <v>0</v>
      </c>
      <c r="J5683" t="n">
        <v>0</v>
      </c>
      <c r="K5683" t="n">
        <v>0</v>
      </c>
      <c r="L5683" t="n">
        <v>0</v>
      </c>
      <c r="M5683" t="n">
        <v>0</v>
      </c>
      <c r="N5683" t="n">
        <v>0</v>
      </c>
      <c r="O5683" t="n">
        <v>0</v>
      </c>
      <c r="P5683" t="n">
        <v>0</v>
      </c>
      <c r="Q5683" t="n">
        <v>0</v>
      </c>
      <c r="R5683" s="2" t="inlineStr"/>
    </row>
    <row r="5684" ht="15" customHeight="1">
      <c r="A5684" t="inlineStr">
        <is>
          <t>A 54648-2025</t>
        </is>
      </c>
      <c r="B5684" s="1" t="n">
        <v>45966.37459490741</v>
      </c>
      <c r="C5684" s="1" t="n">
        <v>46114</v>
      </c>
      <c r="D5684" t="inlineStr">
        <is>
          <t>DALARNAS LÄN</t>
        </is>
      </c>
      <c r="E5684" t="inlineStr">
        <is>
          <t>RÄTTVIK</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34708-2021</t>
        </is>
      </c>
      <c r="B5685" s="1" t="n">
        <v>44382</v>
      </c>
      <c r="C5685" s="1" t="n">
        <v>46114</v>
      </c>
      <c r="D5685" t="inlineStr">
        <is>
          <t>DALARNAS LÄN</t>
        </is>
      </c>
      <c r="E5685" t="inlineStr">
        <is>
          <t>ORSA</t>
        </is>
      </c>
      <c r="G5685" t="n">
        <v>4.3</v>
      </c>
      <c r="H5685" t="n">
        <v>0</v>
      </c>
      <c r="I5685" t="n">
        <v>0</v>
      </c>
      <c r="J5685" t="n">
        <v>0</v>
      </c>
      <c r="K5685" t="n">
        <v>0</v>
      </c>
      <c r="L5685" t="n">
        <v>0</v>
      </c>
      <c r="M5685" t="n">
        <v>0</v>
      </c>
      <c r="N5685" t="n">
        <v>0</v>
      </c>
      <c r="O5685" t="n">
        <v>0</v>
      </c>
      <c r="P5685" t="n">
        <v>0</v>
      </c>
      <c r="Q5685" t="n">
        <v>0</v>
      </c>
      <c r="R5685" s="2" t="inlineStr"/>
    </row>
    <row r="5686" ht="15" customHeight="1">
      <c r="A5686" t="inlineStr">
        <is>
          <t>A 36167-2025</t>
        </is>
      </c>
      <c r="B5686" s="1" t="n">
        <v>45867.38560185185</v>
      </c>
      <c r="C5686" s="1" t="n">
        <v>46114</v>
      </c>
      <c r="D5686" t="inlineStr">
        <is>
          <t>DALARNAS LÄN</t>
        </is>
      </c>
      <c r="E5686" t="inlineStr">
        <is>
          <t>SMEDJEBACKEN</t>
        </is>
      </c>
      <c r="F5686" t="inlineStr">
        <is>
          <t>Sveaskog</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55450-2025</t>
        </is>
      </c>
      <c r="B5687" s="1" t="n">
        <v>45971.50697916667</v>
      </c>
      <c r="C5687" s="1" t="n">
        <v>46114</v>
      </c>
      <c r="D5687" t="inlineStr">
        <is>
          <t>DALARNAS LÄN</t>
        </is>
      </c>
      <c r="E5687" t="inlineStr">
        <is>
          <t>LUDVIKA</t>
        </is>
      </c>
      <c r="F5687" t="inlineStr">
        <is>
          <t>Bergvik skog väst AB</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18037-2023</t>
        </is>
      </c>
      <c r="B5688" s="1" t="n">
        <v>45040</v>
      </c>
      <c r="C5688" s="1" t="n">
        <v>46114</v>
      </c>
      <c r="D5688" t="inlineStr">
        <is>
          <t>DALARNAS LÄN</t>
        </is>
      </c>
      <c r="E5688" t="inlineStr">
        <is>
          <t>ORSA</t>
        </is>
      </c>
      <c r="G5688" t="n">
        <v>6.6</v>
      </c>
      <c r="H5688" t="n">
        <v>0</v>
      </c>
      <c r="I5688" t="n">
        <v>0</v>
      </c>
      <c r="J5688" t="n">
        <v>0</v>
      </c>
      <c r="K5688" t="n">
        <v>0</v>
      </c>
      <c r="L5688" t="n">
        <v>0</v>
      </c>
      <c r="M5688" t="n">
        <v>0</v>
      </c>
      <c r="N5688" t="n">
        <v>0</v>
      </c>
      <c r="O5688" t="n">
        <v>0</v>
      </c>
      <c r="P5688" t="n">
        <v>0</v>
      </c>
      <c r="Q5688" t="n">
        <v>0</v>
      </c>
      <c r="R5688" s="2" t="inlineStr"/>
    </row>
    <row r="5689" ht="15" customHeight="1">
      <c r="A5689" t="inlineStr">
        <is>
          <t>A 19761-2021</t>
        </is>
      </c>
      <c r="B5689" s="1" t="n">
        <v>44309</v>
      </c>
      <c r="C5689" s="1" t="n">
        <v>46114</v>
      </c>
      <c r="D5689" t="inlineStr">
        <is>
          <t>DALARNAS LÄN</t>
        </is>
      </c>
      <c r="E5689" t="inlineStr">
        <is>
          <t>ÄLVDALEN</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19797-2021</t>
        </is>
      </c>
      <c r="B5690" s="1" t="n">
        <v>44309</v>
      </c>
      <c r="C5690" s="1" t="n">
        <v>46114</v>
      </c>
      <c r="D5690" t="inlineStr">
        <is>
          <t>DALARNAS LÄN</t>
        </is>
      </c>
      <c r="E5690" t="inlineStr">
        <is>
          <t>AVESTA</t>
        </is>
      </c>
      <c r="F5690" t="inlineStr">
        <is>
          <t>Bergvik skog väst AB</t>
        </is>
      </c>
      <c r="G5690" t="n">
        <v>2.7</v>
      </c>
      <c r="H5690" t="n">
        <v>0</v>
      </c>
      <c r="I5690" t="n">
        <v>0</v>
      </c>
      <c r="J5690" t="n">
        <v>0</v>
      </c>
      <c r="K5690" t="n">
        <v>0</v>
      </c>
      <c r="L5690" t="n">
        <v>0</v>
      </c>
      <c r="M5690" t="n">
        <v>0</v>
      </c>
      <c r="N5690" t="n">
        <v>0</v>
      </c>
      <c r="O5690" t="n">
        <v>0</v>
      </c>
      <c r="P5690" t="n">
        <v>0</v>
      </c>
      <c r="Q5690" t="n">
        <v>0</v>
      </c>
      <c r="R5690" s="2" t="inlineStr"/>
    </row>
    <row r="5691" ht="15" customHeight="1">
      <c r="A5691" t="inlineStr">
        <is>
          <t>A 18419-2022</t>
        </is>
      </c>
      <c r="B5691" s="1" t="n">
        <v>44686</v>
      </c>
      <c r="C5691" s="1" t="n">
        <v>46114</v>
      </c>
      <c r="D5691" t="inlineStr">
        <is>
          <t>DALARNAS LÄN</t>
        </is>
      </c>
      <c r="E5691" t="inlineStr">
        <is>
          <t>SMEDJEBACKEN</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55436-2025</t>
        </is>
      </c>
      <c r="B5692" s="1" t="n">
        <v>45971.483125</v>
      </c>
      <c r="C5692" s="1" t="n">
        <v>46114</v>
      </c>
      <c r="D5692" t="inlineStr">
        <is>
          <t>DALARNAS LÄN</t>
        </is>
      </c>
      <c r="E5692" t="inlineStr">
        <is>
          <t>MALUNG-SÄLEN</t>
        </is>
      </c>
      <c r="F5692" t="inlineStr">
        <is>
          <t>Allmännings- och besparingsskogar</t>
        </is>
      </c>
      <c r="G5692" t="n">
        <v>31.3</v>
      </c>
      <c r="H5692" t="n">
        <v>0</v>
      </c>
      <c r="I5692" t="n">
        <v>0</v>
      </c>
      <c r="J5692" t="n">
        <v>0</v>
      </c>
      <c r="K5692" t="n">
        <v>0</v>
      </c>
      <c r="L5692" t="n">
        <v>0</v>
      </c>
      <c r="M5692" t="n">
        <v>0</v>
      </c>
      <c r="N5692" t="n">
        <v>0</v>
      </c>
      <c r="O5692" t="n">
        <v>0</v>
      </c>
      <c r="P5692" t="n">
        <v>0</v>
      </c>
      <c r="Q5692" t="n">
        <v>0</v>
      </c>
      <c r="R5692" s="2" t="inlineStr"/>
    </row>
    <row r="5693" ht="15" customHeight="1">
      <c r="A5693" t="inlineStr">
        <is>
          <t>A 55493-2025</t>
        </is>
      </c>
      <c r="B5693" s="1" t="n">
        <v>45971.57913194445</v>
      </c>
      <c r="C5693" s="1" t="n">
        <v>46114</v>
      </c>
      <c r="D5693" t="inlineStr">
        <is>
          <t>DALARNAS LÄN</t>
        </is>
      </c>
      <c r="E5693" t="inlineStr">
        <is>
          <t>LEKSAND</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5953-2025</t>
        </is>
      </c>
      <c r="B5694" s="1" t="n">
        <v>45695.47608796296</v>
      </c>
      <c r="C5694" s="1" t="n">
        <v>46114</v>
      </c>
      <c r="D5694" t="inlineStr">
        <is>
          <t>DALARNAS LÄN</t>
        </is>
      </c>
      <c r="E5694" t="inlineStr">
        <is>
          <t>RÄTTVIK</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62380-2021</t>
        </is>
      </c>
      <c r="B5695" s="1" t="n">
        <v>44503</v>
      </c>
      <c r="C5695" s="1" t="n">
        <v>46114</v>
      </c>
      <c r="D5695" t="inlineStr">
        <is>
          <t>DALARNAS LÄN</t>
        </is>
      </c>
      <c r="E5695" t="inlineStr">
        <is>
          <t>SMEDJEBACKEN</t>
        </is>
      </c>
      <c r="G5695" t="n">
        <v>10.4</v>
      </c>
      <c r="H5695" t="n">
        <v>0</v>
      </c>
      <c r="I5695" t="n">
        <v>0</v>
      </c>
      <c r="J5695" t="n">
        <v>0</v>
      </c>
      <c r="K5695" t="n">
        <v>0</v>
      </c>
      <c r="L5695" t="n">
        <v>0</v>
      </c>
      <c r="M5695" t="n">
        <v>0</v>
      </c>
      <c r="N5695" t="n">
        <v>0</v>
      </c>
      <c r="O5695" t="n">
        <v>0</v>
      </c>
      <c r="P5695" t="n">
        <v>0</v>
      </c>
      <c r="Q5695" t="n">
        <v>0</v>
      </c>
      <c r="R5695" s="2" t="inlineStr"/>
    </row>
    <row r="5696" ht="15" customHeight="1">
      <c r="A5696" t="inlineStr">
        <is>
          <t>A 23369-2023</t>
        </is>
      </c>
      <c r="B5696" s="1" t="n">
        <v>45076</v>
      </c>
      <c r="C5696" s="1" t="n">
        <v>46114</v>
      </c>
      <c r="D5696" t="inlineStr">
        <is>
          <t>DALARNAS LÄN</t>
        </is>
      </c>
      <c r="E5696" t="inlineStr">
        <is>
          <t>ÄLVDALEN</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54089-2024</t>
        </is>
      </c>
      <c r="B5697" s="1" t="n">
        <v>45616.50763888889</v>
      </c>
      <c r="C5697" s="1" t="n">
        <v>46114</v>
      </c>
      <c r="D5697" t="inlineStr">
        <is>
          <t>DALARNAS LÄN</t>
        </is>
      </c>
      <c r="E5697" t="inlineStr">
        <is>
          <t>LUDVIKA</t>
        </is>
      </c>
      <c r="F5697" t="inlineStr">
        <is>
          <t>Bergvik skog väst AB</t>
        </is>
      </c>
      <c r="G5697" t="n">
        <v>1.5</v>
      </c>
      <c r="H5697" t="n">
        <v>0</v>
      </c>
      <c r="I5697" t="n">
        <v>0</v>
      </c>
      <c r="J5697" t="n">
        <v>0</v>
      </c>
      <c r="K5697" t="n">
        <v>0</v>
      </c>
      <c r="L5697" t="n">
        <v>0</v>
      </c>
      <c r="M5697" t="n">
        <v>0</v>
      </c>
      <c r="N5697" t="n">
        <v>0</v>
      </c>
      <c r="O5697" t="n">
        <v>0</v>
      </c>
      <c r="P5697" t="n">
        <v>0</v>
      </c>
      <c r="Q5697" t="n">
        <v>0</v>
      </c>
      <c r="R5697" s="2" t="inlineStr"/>
    </row>
    <row r="5698" ht="15" customHeight="1">
      <c r="A5698" t="inlineStr">
        <is>
          <t>A 55559-2025</t>
        </is>
      </c>
      <c r="B5698" s="1" t="n">
        <v>45971</v>
      </c>
      <c r="C5698" s="1" t="n">
        <v>46114</v>
      </c>
      <c r="D5698" t="inlineStr">
        <is>
          <t>DALARNAS LÄN</t>
        </is>
      </c>
      <c r="E5698" t="inlineStr">
        <is>
          <t>LUDVIKA</t>
        </is>
      </c>
      <c r="F5698" t="inlineStr">
        <is>
          <t>Bergvik skog väst AB</t>
        </is>
      </c>
      <c r="G5698" t="n">
        <v>9.4</v>
      </c>
      <c r="H5698" t="n">
        <v>0</v>
      </c>
      <c r="I5698" t="n">
        <v>0</v>
      </c>
      <c r="J5698" t="n">
        <v>0</v>
      </c>
      <c r="K5698" t="n">
        <v>0</v>
      </c>
      <c r="L5698" t="n">
        <v>0</v>
      </c>
      <c r="M5698" t="n">
        <v>0</v>
      </c>
      <c r="N5698" t="n">
        <v>0</v>
      </c>
      <c r="O5698" t="n">
        <v>0</v>
      </c>
      <c r="P5698" t="n">
        <v>0</v>
      </c>
      <c r="Q5698" t="n">
        <v>0</v>
      </c>
      <c r="R5698" s="2" t="inlineStr"/>
    </row>
    <row r="5699" ht="15" customHeight="1">
      <c r="A5699" t="inlineStr">
        <is>
          <t>A 55372-2025</t>
        </is>
      </c>
      <c r="B5699" s="1" t="n">
        <v>45971.41719907407</v>
      </c>
      <c r="C5699" s="1" t="n">
        <v>46114</v>
      </c>
      <c r="D5699" t="inlineStr">
        <is>
          <t>DALARNAS LÄN</t>
        </is>
      </c>
      <c r="E5699" t="inlineStr">
        <is>
          <t>LUDVIKA</t>
        </is>
      </c>
      <c r="F5699" t="inlineStr">
        <is>
          <t>Bergvik skog väst AB</t>
        </is>
      </c>
      <c r="G5699" t="n">
        <v>4.6</v>
      </c>
      <c r="H5699" t="n">
        <v>0</v>
      </c>
      <c r="I5699" t="n">
        <v>0</v>
      </c>
      <c r="J5699" t="n">
        <v>0</v>
      </c>
      <c r="K5699" t="n">
        <v>0</v>
      </c>
      <c r="L5699" t="n">
        <v>0</v>
      </c>
      <c r="M5699" t="n">
        <v>0</v>
      </c>
      <c r="N5699" t="n">
        <v>0</v>
      </c>
      <c r="O5699" t="n">
        <v>0</v>
      </c>
      <c r="P5699" t="n">
        <v>0</v>
      </c>
      <c r="Q5699" t="n">
        <v>0</v>
      </c>
      <c r="R5699" s="2" t="inlineStr"/>
    </row>
    <row r="5700" ht="15" customHeight="1">
      <c r="A5700" t="inlineStr">
        <is>
          <t>A 38143-2023</t>
        </is>
      </c>
      <c r="B5700" s="1" t="n">
        <v>45161.3783912037</v>
      </c>
      <c r="C5700" s="1" t="n">
        <v>46114</v>
      </c>
      <c r="D5700" t="inlineStr">
        <is>
          <t>DALARNAS LÄN</t>
        </is>
      </c>
      <c r="E5700" t="inlineStr">
        <is>
          <t>RÄTTVIK</t>
        </is>
      </c>
      <c r="G5700" t="n">
        <v>3.5</v>
      </c>
      <c r="H5700" t="n">
        <v>0</v>
      </c>
      <c r="I5700" t="n">
        <v>0</v>
      </c>
      <c r="J5700" t="n">
        <v>0</v>
      </c>
      <c r="K5700" t="n">
        <v>0</v>
      </c>
      <c r="L5700" t="n">
        <v>0</v>
      </c>
      <c r="M5700" t="n">
        <v>0</v>
      </c>
      <c r="N5700" t="n">
        <v>0</v>
      </c>
      <c r="O5700" t="n">
        <v>0</v>
      </c>
      <c r="P5700" t="n">
        <v>0</v>
      </c>
      <c r="Q5700" t="n">
        <v>0</v>
      </c>
      <c r="R5700" s="2" t="inlineStr"/>
    </row>
    <row r="5701" ht="15" customHeight="1">
      <c r="A5701" t="inlineStr">
        <is>
          <t>A 19622-2024</t>
        </is>
      </c>
      <c r="B5701" s="1" t="n">
        <v>45432.33592592592</v>
      </c>
      <c r="C5701" s="1" t="n">
        <v>46114</v>
      </c>
      <c r="D5701" t="inlineStr">
        <is>
          <t>DALARNAS LÄN</t>
        </is>
      </c>
      <c r="E5701" t="inlineStr">
        <is>
          <t>LEKSAND</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55105-2025</t>
        </is>
      </c>
      <c r="B5702" s="1" t="n">
        <v>45968.36422453704</v>
      </c>
      <c r="C5702" s="1" t="n">
        <v>46114</v>
      </c>
      <c r="D5702" t="inlineStr">
        <is>
          <t>DALARNAS LÄN</t>
        </is>
      </c>
      <c r="E5702" t="inlineStr">
        <is>
          <t>ORSA</t>
        </is>
      </c>
      <c r="F5702" t="inlineStr">
        <is>
          <t>Allmännings- och besparingsskogar</t>
        </is>
      </c>
      <c r="G5702" t="n">
        <v>31.5</v>
      </c>
      <c r="H5702" t="n">
        <v>0</v>
      </c>
      <c r="I5702" t="n">
        <v>0</v>
      </c>
      <c r="J5702" t="n">
        <v>0</v>
      </c>
      <c r="K5702" t="n">
        <v>0</v>
      </c>
      <c r="L5702" t="n">
        <v>0</v>
      </c>
      <c r="M5702" t="n">
        <v>0</v>
      </c>
      <c r="N5702" t="n">
        <v>0</v>
      </c>
      <c r="O5702" t="n">
        <v>0</v>
      </c>
      <c r="P5702" t="n">
        <v>0</v>
      </c>
      <c r="Q5702" t="n">
        <v>0</v>
      </c>
      <c r="R5702" s="2" t="inlineStr"/>
    </row>
    <row r="5703" ht="15" customHeight="1">
      <c r="A5703" t="inlineStr">
        <is>
          <t>A 55474-2025</t>
        </is>
      </c>
      <c r="B5703" s="1" t="n">
        <v>45971.55509259259</v>
      </c>
      <c r="C5703" s="1" t="n">
        <v>46114</v>
      </c>
      <c r="D5703" t="inlineStr">
        <is>
          <t>DALARNAS LÄN</t>
        </is>
      </c>
      <c r="E5703" t="inlineStr">
        <is>
          <t>MALUNG-SÄLEN</t>
        </is>
      </c>
      <c r="F5703" t="inlineStr">
        <is>
          <t>Allmännings- och besparingsskogar</t>
        </is>
      </c>
      <c r="G5703" t="n">
        <v>35.8</v>
      </c>
      <c r="H5703" t="n">
        <v>0</v>
      </c>
      <c r="I5703" t="n">
        <v>0</v>
      </c>
      <c r="J5703" t="n">
        <v>0</v>
      </c>
      <c r="K5703" t="n">
        <v>0</v>
      </c>
      <c r="L5703" t="n">
        <v>0</v>
      </c>
      <c r="M5703" t="n">
        <v>0</v>
      </c>
      <c r="N5703" t="n">
        <v>0</v>
      </c>
      <c r="O5703" t="n">
        <v>0</v>
      </c>
      <c r="P5703" t="n">
        <v>0</v>
      </c>
      <c r="Q5703" t="n">
        <v>0</v>
      </c>
      <c r="R5703" s="2" t="inlineStr"/>
    </row>
    <row r="5704" ht="15" customHeight="1">
      <c r="A5704" t="inlineStr">
        <is>
          <t>A 52816-2024</t>
        </is>
      </c>
      <c r="B5704" s="1" t="n">
        <v>45610.58322916667</v>
      </c>
      <c r="C5704" s="1" t="n">
        <v>46114</v>
      </c>
      <c r="D5704" t="inlineStr">
        <is>
          <t>DALARNAS LÄN</t>
        </is>
      </c>
      <c r="E5704" t="inlineStr">
        <is>
          <t>ORSA</t>
        </is>
      </c>
      <c r="F5704" t="inlineStr">
        <is>
          <t>Bergvik skog öst AB</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44190-2023</t>
        </is>
      </c>
      <c r="B5705" s="1" t="n">
        <v>45188.53271990741</v>
      </c>
      <c r="C5705" s="1" t="n">
        <v>46114</v>
      </c>
      <c r="D5705" t="inlineStr">
        <is>
          <t>DALARNAS LÄN</t>
        </is>
      </c>
      <c r="E5705" t="inlineStr">
        <is>
          <t>MALUNG-SÄLEN</t>
        </is>
      </c>
      <c r="G5705" t="n">
        <v>4.4</v>
      </c>
      <c r="H5705" t="n">
        <v>0</v>
      </c>
      <c r="I5705" t="n">
        <v>0</v>
      </c>
      <c r="J5705" t="n">
        <v>0</v>
      </c>
      <c r="K5705" t="n">
        <v>0</v>
      </c>
      <c r="L5705" t="n">
        <v>0</v>
      </c>
      <c r="M5705" t="n">
        <v>0</v>
      </c>
      <c r="N5705" t="n">
        <v>0</v>
      </c>
      <c r="O5705" t="n">
        <v>0</v>
      </c>
      <c r="P5705" t="n">
        <v>0</v>
      </c>
      <c r="Q5705" t="n">
        <v>0</v>
      </c>
      <c r="R5705" s="2" t="inlineStr"/>
    </row>
    <row r="5706" ht="15" customHeight="1">
      <c r="A5706" t="inlineStr">
        <is>
          <t>A 45596-2023</t>
        </is>
      </c>
      <c r="B5706" s="1" t="n">
        <v>45194.64077546296</v>
      </c>
      <c r="C5706" s="1" t="n">
        <v>46114</v>
      </c>
      <c r="D5706" t="inlineStr">
        <is>
          <t>DALARNAS LÄN</t>
        </is>
      </c>
      <c r="E5706" t="inlineStr">
        <is>
          <t>GAGNEF</t>
        </is>
      </c>
      <c r="G5706" t="n">
        <v>4.7</v>
      </c>
      <c r="H5706" t="n">
        <v>0</v>
      </c>
      <c r="I5706" t="n">
        <v>0</v>
      </c>
      <c r="J5706" t="n">
        <v>0</v>
      </c>
      <c r="K5706" t="n">
        <v>0</v>
      </c>
      <c r="L5706" t="n">
        <v>0</v>
      </c>
      <c r="M5706" t="n">
        <v>0</v>
      </c>
      <c r="N5706" t="n">
        <v>0</v>
      </c>
      <c r="O5706" t="n">
        <v>0</v>
      </c>
      <c r="P5706" t="n">
        <v>0</v>
      </c>
      <c r="Q5706" t="n">
        <v>0</v>
      </c>
      <c r="R5706" s="2" t="inlineStr"/>
    </row>
    <row r="5707" ht="15" customHeight="1">
      <c r="A5707" t="inlineStr">
        <is>
          <t>A 55369-2025</t>
        </is>
      </c>
      <c r="B5707" s="1" t="n">
        <v>45971.41472222222</v>
      </c>
      <c r="C5707" s="1" t="n">
        <v>46114</v>
      </c>
      <c r="D5707" t="inlineStr">
        <is>
          <t>DALARNAS LÄN</t>
        </is>
      </c>
      <c r="E5707" t="inlineStr">
        <is>
          <t>ORSA</t>
        </is>
      </c>
      <c r="F5707" t="inlineStr">
        <is>
          <t>Bergvik skog öst AB</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54052-2025</t>
        </is>
      </c>
      <c r="B5708" s="1" t="n">
        <v>45963</v>
      </c>
      <c r="C5708" s="1" t="n">
        <v>46114</v>
      </c>
      <c r="D5708" t="inlineStr">
        <is>
          <t>DALARNAS LÄN</t>
        </is>
      </c>
      <c r="E5708" t="inlineStr">
        <is>
          <t>BORLÄNGE</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55172-2025</t>
        </is>
      </c>
      <c r="B5709" s="1" t="n">
        <v>45968.49980324074</v>
      </c>
      <c r="C5709" s="1" t="n">
        <v>46114</v>
      </c>
      <c r="D5709" t="inlineStr">
        <is>
          <t>DALARNAS LÄN</t>
        </is>
      </c>
      <c r="E5709" t="inlineStr">
        <is>
          <t>RÄTTVIK</t>
        </is>
      </c>
      <c r="G5709" t="n">
        <v>3.6</v>
      </c>
      <c r="H5709" t="n">
        <v>0</v>
      </c>
      <c r="I5709" t="n">
        <v>0</v>
      </c>
      <c r="J5709" t="n">
        <v>0</v>
      </c>
      <c r="K5709" t="n">
        <v>0</v>
      </c>
      <c r="L5709" t="n">
        <v>0</v>
      </c>
      <c r="M5709" t="n">
        <v>0</v>
      </c>
      <c r="N5709" t="n">
        <v>0</v>
      </c>
      <c r="O5709" t="n">
        <v>0</v>
      </c>
      <c r="P5709" t="n">
        <v>0</v>
      </c>
      <c r="Q5709" t="n">
        <v>0</v>
      </c>
      <c r="R5709" s="2" t="inlineStr"/>
    </row>
    <row r="5710" ht="15" customHeight="1">
      <c r="A5710" t="inlineStr">
        <is>
          <t>A 51320-2024</t>
        </is>
      </c>
      <c r="B5710" s="1" t="n">
        <v>45604.33113425926</v>
      </c>
      <c r="C5710" s="1" t="n">
        <v>46114</v>
      </c>
      <c r="D5710" t="inlineStr">
        <is>
          <t>DALARNAS LÄN</t>
        </is>
      </c>
      <c r="E5710" t="inlineStr">
        <is>
          <t>SÄTER</t>
        </is>
      </c>
      <c r="G5710" t="n">
        <v>0.1</v>
      </c>
      <c r="H5710" t="n">
        <v>0</v>
      </c>
      <c r="I5710" t="n">
        <v>0</v>
      </c>
      <c r="J5710" t="n">
        <v>0</v>
      </c>
      <c r="K5710" t="n">
        <v>0</v>
      </c>
      <c r="L5710" t="n">
        <v>0</v>
      </c>
      <c r="M5710" t="n">
        <v>0</v>
      </c>
      <c r="N5710" t="n">
        <v>0</v>
      </c>
      <c r="O5710" t="n">
        <v>0</v>
      </c>
      <c r="P5710" t="n">
        <v>0</v>
      </c>
      <c r="Q5710" t="n">
        <v>0</v>
      </c>
      <c r="R5710" s="2" t="inlineStr"/>
    </row>
    <row r="5711" ht="15" customHeight="1">
      <c r="A5711" t="inlineStr">
        <is>
          <t>A 51324-2024</t>
        </is>
      </c>
      <c r="B5711" s="1" t="n">
        <v>45604.33263888889</v>
      </c>
      <c r="C5711" s="1" t="n">
        <v>46114</v>
      </c>
      <c r="D5711" t="inlineStr">
        <is>
          <t>DALARNAS LÄN</t>
        </is>
      </c>
      <c r="E5711" t="inlineStr">
        <is>
          <t>SÄTER</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57729-2022</t>
        </is>
      </c>
      <c r="B5712" s="1" t="n">
        <v>44897</v>
      </c>
      <c r="C5712" s="1" t="n">
        <v>46114</v>
      </c>
      <c r="D5712" t="inlineStr">
        <is>
          <t>DALARNAS LÄN</t>
        </is>
      </c>
      <c r="E5712" t="inlineStr">
        <is>
          <t>GAGNEF</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57744-2022</t>
        </is>
      </c>
      <c r="B5713" s="1" t="n">
        <v>44897.57861111111</v>
      </c>
      <c r="C5713" s="1" t="n">
        <v>46114</v>
      </c>
      <c r="D5713" t="inlineStr">
        <is>
          <t>DALARNAS LÄN</t>
        </is>
      </c>
      <c r="E5713" t="inlineStr">
        <is>
          <t>MALUNG-SÄLEN</t>
        </is>
      </c>
      <c r="G5713" t="n">
        <v>3.6</v>
      </c>
      <c r="H5713" t="n">
        <v>0</v>
      </c>
      <c r="I5713" t="n">
        <v>0</v>
      </c>
      <c r="J5713" t="n">
        <v>0</v>
      </c>
      <c r="K5713" t="n">
        <v>0</v>
      </c>
      <c r="L5713" t="n">
        <v>0</v>
      </c>
      <c r="M5713" t="n">
        <v>0</v>
      </c>
      <c r="N5713" t="n">
        <v>0</v>
      </c>
      <c r="O5713" t="n">
        <v>0</v>
      </c>
      <c r="P5713" t="n">
        <v>0</v>
      </c>
      <c r="Q5713" t="n">
        <v>0</v>
      </c>
      <c r="R5713" s="2" t="inlineStr"/>
    </row>
    <row r="5714" ht="15" customHeight="1">
      <c r="A5714" t="inlineStr">
        <is>
          <t>A 55359-2025</t>
        </is>
      </c>
      <c r="B5714" s="1" t="n">
        <v>45971.38480324074</v>
      </c>
      <c r="C5714" s="1" t="n">
        <v>46114</v>
      </c>
      <c r="D5714" t="inlineStr">
        <is>
          <t>DALARNAS LÄN</t>
        </is>
      </c>
      <c r="E5714" t="inlineStr">
        <is>
          <t>SMEDJEBACKEN</t>
        </is>
      </c>
      <c r="F5714" t="inlineStr">
        <is>
          <t>Sveaskog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55364-2025</t>
        </is>
      </c>
      <c r="B5715" s="1" t="n">
        <v>45971.40157407407</v>
      </c>
      <c r="C5715" s="1" t="n">
        <v>46114</v>
      </c>
      <c r="D5715" t="inlineStr">
        <is>
          <t>DALARNAS LÄN</t>
        </is>
      </c>
      <c r="E5715" t="inlineStr">
        <is>
          <t>SMEDJEBACKEN</t>
        </is>
      </c>
      <c r="F5715" t="inlineStr">
        <is>
          <t>Sveaskog</t>
        </is>
      </c>
      <c r="G5715" t="n">
        <v>7.9</v>
      </c>
      <c r="H5715" t="n">
        <v>0</v>
      </c>
      <c r="I5715" t="n">
        <v>0</v>
      </c>
      <c r="J5715" t="n">
        <v>0</v>
      </c>
      <c r="K5715" t="n">
        <v>0</v>
      </c>
      <c r="L5715" t="n">
        <v>0</v>
      </c>
      <c r="M5715" t="n">
        <v>0</v>
      </c>
      <c r="N5715" t="n">
        <v>0</v>
      </c>
      <c r="O5715" t="n">
        <v>0</v>
      </c>
      <c r="P5715" t="n">
        <v>0</v>
      </c>
      <c r="Q5715" t="n">
        <v>0</v>
      </c>
      <c r="R5715" s="2" t="inlineStr"/>
    </row>
    <row r="5716" ht="15" customHeight="1">
      <c r="A5716" t="inlineStr">
        <is>
          <t>A 40230-2023</t>
        </is>
      </c>
      <c r="B5716" s="1" t="n">
        <v>45169.46887731482</v>
      </c>
      <c r="C5716" s="1" t="n">
        <v>46114</v>
      </c>
      <c r="D5716" t="inlineStr">
        <is>
          <t>DALARNAS LÄN</t>
        </is>
      </c>
      <c r="E5716" t="inlineStr">
        <is>
          <t>LEKSAND</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55200-2025</t>
        </is>
      </c>
      <c r="B5717" s="1" t="n">
        <v>45968</v>
      </c>
      <c r="C5717" s="1" t="n">
        <v>46114</v>
      </c>
      <c r="D5717" t="inlineStr">
        <is>
          <t>DALARNAS LÄN</t>
        </is>
      </c>
      <c r="E5717" t="inlineStr">
        <is>
          <t>LUDVIKA</t>
        </is>
      </c>
      <c r="F5717" t="inlineStr">
        <is>
          <t>Bergvik skog väst AB</t>
        </is>
      </c>
      <c r="G5717" t="n">
        <v>10</v>
      </c>
      <c r="H5717" t="n">
        <v>0</v>
      </c>
      <c r="I5717" t="n">
        <v>0</v>
      </c>
      <c r="J5717" t="n">
        <v>0</v>
      </c>
      <c r="K5717" t="n">
        <v>0</v>
      </c>
      <c r="L5717" t="n">
        <v>0</v>
      </c>
      <c r="M5717" t="n">
        <v>0</v>
      </c>
      <c r="N5717" t="n">
        <v>0</v>
      </c>
      <c r="O5717" t="n">
        <v>0</v>
      </c>
      <c r="P5717" t="n">
        <v>0</v>
      </c>
      <c r="Q5717" t="n">
        <v>0</v>
      </c>
      <c r="R5717" s="2" t="inlineStr"/>
    </row>
    <row r="5718" ht="15" customHeight="1">
      <c r="A5718" t="inlineStr">
        <is>
          <t>A 55211-2025</t>
        </is>
      </c>
      <c r="B5718" s="1" t="n">
        <v>45968</v>
      </c>
      <c r="C5718" s="1" t="n">
        <v>46114</v>
      </c>
      <c r="D5718" t="inlineStr">
        <is>
          <t>DALARNAS LÄN</t>
        </is>
      </c>
      <c r="E5718" t="inlineStr">
        <is>
          <t>LUDVIKA</t>
        </is>
      </c>
      <c r="F5718" t="inlineStr">
        <is>
          <t>Bergvik skog väst AB</t>
        </is>
      </c>
      <c r="G5718" t="n">
        <v>11.5</v>
      </c>
      <c r="H5718" t="n">
        <v>0</v>
      </c>
      <c r="I5718" t="n">
        <v>0</v>
      </c>
      <c r="J5718" t="n">
        <v>0</v>
      </c>
      <c r="K5718" t="n">
        <v>0</v>
      </c>
      <c r="L5718" t="n">
        <v>0</v>
      </c>
      <c r="M5718" t="n">
        <v>0</v>
      </c>
      <c r="N5718" t="n">
        <v>0</v>
      </c>
      <c r="O5718" t="n">
        <v>0</v>
      </c>
      <c r="P5718" t="n">
        <v>0</v>
      </c>
      <c r="Q5718" t="n">
        <v>0</v>
      </c>
      <c r="R5718" s="2" t="inlineStr"/>
    </row>
    <row r="5719" ht="15" customHeight="1">
      <c r="A5719" t="inlineStr">
        <is>
          <t>A 50905-2021</t>
        </is>
      </c>
      <c r="B5719" s="1" t="n">
        <v>44460</v>
      </c>
      <c r="C5719" s="1" t="n">
        <v>46114</v>
      </c>
      <c r="D5719" t="inlineStr">
        <is>
          <t>DALARNAS LÄN</t>
        </is>
      </c>
      <c r="E5719" t="inlineStr">
        <is>
          <t>ORSA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55201-2025</t>
        </is>
      </c>
      <c r="B5720" s="1" t="n">
        <v>45968.5665625</v>
      </c>
      <c r="C5720" s="1" t="n">
        <v>46114</v>
      </c>
      <c r="D5720" t="inlineStr">
        <is>
          <t>DALARNAS LÄN</t>
        </is>
      </c>
      <c r="E5720" t="inlineStr">
        <is>
          <t>FALUN</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55206-2025</t>
        </is>
      </c>
      <c r="B5721" s="1" t="n">
        <v>45968</v>
      </c>
      <c r="C5721" s="1" t="n">
        <v>46114</v>
      </c>
      <c r="D5721" t="inlineStr">
        <is>
          <t>DALARNAS LÄN</t>
        </is>
      </c>
      <c r="E5721" t="inlineStr">
        <is>
          <t>LUDVIKA</t>
        </is>
      </c>
      <c r="F5721" t="inlineStr">
        <is>
          <t>Bergvik skog väst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15635-2022</t>
        </is>
      </c>
      <c r="B5722" s="1" t="n">
        <v>44662.84958333334</v>
      </c>
      <c r="C5722" s="1" t="n">
        <v>46114</v>
      </c>
      <c r="D5722" t="inlineStr">
        <is>
          <t>DALARNAS LÄN</t>
        </is>
      </c>
      <c r="E5722" t="inlineStr">
        <is>
          <t>HEDEMORA</t>
        </is>
      </c>
      <c r="F5722" t="inlineStr">
        <is>
          <t>Bergvik skog väst AB</t>
        </is>
      </c>
      <c r="G5722" t="n">
        <v>2.3</v>
      </c>
      <c r="H5722" t="n">
        <v>0</v>
      </c>
      <c r="I5722" t="n">
        <v>0</v>
      </c>
      <c r="J5722" t="n">
        <v>0</v>
      </c>
      <c r="K5722" t="n">
        <v>0</v>
      </c>
      <c r="L5722" t="n">
        <v>0</v>
      </c>
      <c r="M5722" t="n">
        <v>0</v>
      </c>
      <c r="N5722" t="n">
        <v>0</v>
      </c>
      <c r="O5722" t="n">
        <v>0</v>
      </c>
      <c r="P5722" t="n">
        <v>0</v>
      </c>
      <c r="Q5722" t="n">
        <v>0</v>
      </c>
      <c r="R5722" s="2" t="inlineStr"/>
    </row>
    <row r="5723" ht="15" customHeight="1">
      <c r="A5723" t="inlineStr">
        <is>
          <t>A 51041-2021</t>
        </is>
      </c>
      <c r="B5723" s="1" t="n">
        <v>44461</v>
      </c>
      <c r="C5723" s="1" t="n">
        <v>46114</v>
      </c>
      <c r="D5723" t="inlineStr">
        <is>
          <t>DALARNAS LÄN</t>
        </is>
      </c>
      <c r="E5723" t="inlineStr">
        <is>
          <t>RÄTTVIK</t>
        </is>
      </c>
      <c r="G5723" t="n">
        <v>3.7</v>
      </c>
      <c r="H5723" t="n">
        <v>0</v>
      </c>
      <c r="I5723" t="n">
        <v>0</v>
      </c>
      <c r="J5723" t="n">
        <v>0</v>
      </c>
      <c r="K5723" t="n">
        <v>0</v>
      </c>
      <c r="L5723" t="n">
        <v>0</v>
      </c>
      <c r="M5723" t="n">
        <v>0</v>
      </c>
      <c r="N5723" t="n">
        <v>0</v>
      </c>
      <c r="O5723" t="n">
        <v>0</v>
      </c>
      <c r="P5723" t="n">
        <v>0</v>
      </c>
      <c r="Q5723" t="n">
        <v>0</v>
      </c>
      <c r="R5723" s="2" t="inlineStr"/>
    </row>
    <row r="5724" ht="15" customHeight="1">
      <c r="A5724" t="inlineStr">
        <is>
          <t>A 55123-2025</t>
        </is>
      </c>
      <c r="B5724" s="1" t="n">
        <v>45968.40056712963</v>
      </c>
      <c r="C5724" s="1" t="n">
        <v>46114</v>
      </c>
      <c r="D5724" t="inlineStr">
        <is>
          <t>DALARNAS LÄN</t>
        </is>
      </c>
      <c r="E5724" t="inlineStr">
        <is>
          <t>MORA</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48147-2025</t>
        </is>
      </c>
      <c r="B5725" s="1" t="n">
        <v>45933</v>
      </c>
      <c r="C5725" s="1" t="n">
        <v>46114</v>
      </c>
      <c r="D5725" t="inlineStr">
        <is>
          <t>DALARNAS LÄN</t>
        </is>
      </c>
      <c r="E5725" t="inlineStr">
        <is>
          <t>HEDEMORA</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55554-2025</t>
        </is>
      </c>
      <c r="B5726" s="1" t="n">
        <v>45971</v>
      </c>
      <c r="C5726" s="1" t="n">
        <v>46114</v>
      </c>
      <c r="D5726" t="inlineStr">
        <is>
          <t>DALARNAS LÄN</t>
        </is>
      </c>
      <c r="E5726" t="inlineStr">
        <is>
          <t>LUDVIKA</t>
        </is>
      </c>
      <c r="F5726" t="inlineStr">
        <is>
          <t>Bergvik skog väst AB</t>
        </is>
      </c>
      <c r="G5726" t="n">
        <v>8.699999999999999</v>
      </c>
      <c r="H5726" t="n">
        <v>0</v>
      </c>
      <c r="I5726" t="n">
        <v>0</v>
      </c>
      <c r="J5726" t="n">
        <v>0</v>
      </c>
      <c r="K5726" t="n">
        <v>0</v>
      </c>
      <c r="L5726" t="n">
        <v>0</v>
      </c>
      <c r="M5726" t="n">
        <v>0</v>
      </c>
      <c r="N5726" t="n">
        <v>0</v>
      </c>
      <c r="O5726" t="n">
        <v>0</v>
      </c>
      <c r="P5726" t="n">
        <v>0</v>
      </c>
      <c r="Q5726" t="n">
        <v>0</v>
      </c>
      <c r="R5726" s="2" t="inlineStr"/>
    </row>
    <row r="5727" ht="15" customHeight="1">
      <c r="A5727" t="inlineStr">
        <is>
          <t>A 55708-2025</t>
        </is>
      </c>
      <c r="B5727" s="1" t="n">
        <v>45971</v>
      </c>
      <c r="C5727" s="1" t="n">
        <v>46114</v>
      </c>
      <c r="D5727" t="inlineStr">
        <is>
          <t>DALARNAS LÄN</t>
        </is>
      </c>
      <c r="E5727" t="inlineStr">
        <is>
          <t>RÄTTVIK</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30862-2024</t>
        </is>
      </c>
      <c r="B5728" s="1" t="n">
        <v>45497.7091087963</v>
      </c>
      <c r="C5728" s="1" t="n">
        <v>46114</v>
      </c>
      <c r="D5728" t="inlineStr">
        <is>
          <t>DALARNAS LÄN</t>
        </is>
      </c>
      <c r="E5728" t="inlineStr">
        <is>
          <t>AVESTA</t>
        </is>
      </c>
      <c r="F5728" t="inlineStr">
        <is>
          <t>Sveaskog</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55323-2025</t>
        </is>
      </c>
      <c r="B5729" s="1" t="n">
        <v>45971</v>
      </c>
      <c r="C5729" s="1" t="n">
        <v>46114</v>
      </c>
      <c r="D5729" t="inlineStr">
        <is>
          <t>DALARNAS LÄN</t>
        </is>
      </c>
      <c r="E5729" t="inlineStr">
        <is>
          <t>LUDVIKA</t>
        </is>
      </c>
      <c r="F5729" t="inlineStr">
        <is>
          <t>Bergvik skog väst AB</t>
        </is>
      </c>
      <c r="G5729" t="n">
        <v>25.7</v>
      </c>
      <c r="H5729" t="n">
        <v>0</v>
      </c>
      <c r="I5729" t="n">
        <v>0</v>
      </c>
      <c r="J5729" t="n">
        <v>0</v>
      </c>
      <c r="K5729" t="n">
        <v>0</v>
      </c>
      <c r="L5729" t="n">
        <v>0</v>
      </c>
      <c r="M5729" t="n">
        <v>0</v>
      </c>
      <c r="N5729" t="n">
        <v>0</v>
      </c>
      <c r="O5729" t="n">
        <v>0</v>
      </c>
      <c r="P5729" t="n">
        <v>0</v>
      </c>
      <c r="Q5729" t="n">
        <v>0</v>
      </c>
      <c r="R5729" s="2" t="inlineStr"/>
    </row>
    <row r="5730" ht="15" customHeight="1">
      <c r="A5730" t="inlineStr">
        <is>
          <t>A 43670-2025</t>
        </is>
      </c>
      <c r="B5730" s="1" t="n">
        <v>45912.36398148148</v>
      </c>
      <c r="C5730" s="1" t="n">
        <v>46114</v>
      </c>
      <c r="D5730" t="inlineStr">
        <is>
          <t>DALARNAS LÄN</t>
        </is>
      </c>
      <c r="E5730" t="inlineStr">
        <is>
          <t>AVESTA</t>
        </is>
      </c>
      <c r="F5730" t="inlineStr">
        <is>
          <t>Sveaskog</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57423-2024</t>
        </is>
      </c>
      <c r="B5731" s="1" t="n">
        <v>45629.81228009259</v>
      </c>
      <c r="C5731" s="1" t="n">
        <v>46114</v>
      </c>
      <c r="D5731" t="inlineStr">
        <is>
          <t>DALARNAS LÄN</t>
        </is>
      </c>
      <c r="E5731" t="inlineStr">
        <is>
          <t>MALUNG-SÄLEN</t>
        </is>
      </c>
      <c r="G5731" t="n">
        <v>5</v>
      </c>
      <c r="H5731" t="n">
        <v>0</v>
      </c>
      <c r="I5731" t="n">
        <v>0</v>
      </c>
      <c r="J5731" t="n">
        <v>0</v>
      </c>
      <c r="K5731" t="n">
        <v>0</v>
      </c>
      <c r="L5731" t="n">
        <v>0</v>
      </c>
      <c r="M5731" t="n">
        <v>0</v>
      </c>
      <c r="N5731" t="n">
        <v>0</v>
      </c>
      <c r="O5731" t="n">
        <v>0</v>
      </c>
      <c r="P5731" t="n">
        <v>0</v>
      </c>
      <c r="Q5731" t="n">
        <v>0</v>
      </c>
      <c r="R5731" s="2" t="inlineStr"/>
    </row>
    <row r="5732" ht="15" customHeight="1">
      <c r="A5732" t="inlineStr">
        <is>
          <t>A 21092-2023</t>
        </is>
      </c>
      <c r="B5732" s="1" t="n">
        <v>45061</v>
      </c>
      <c r="C5732" s="1" t="n">
        <v>46114</v>
      </c>
      <c r="D5732" t="inlineStr">
        <is>
          <t>DALARNAS LÄN</t>
        </is>
      </c>
      <c r="E5732" t="inlineStr">
        <is>
          <t>HEDEMORA</t>
        </is>
      </c>
      <c r="F5732" t="inlineStr">
        <is>
          <t>Sveaskog</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37249-2022</t>
        </is>
      </c>
      <c r="B5733" s="1" t="n">
        <v>44807.32344907407</v>
      </c>
      <c r="C5733" s="1" t="n">
        <v>46114</v>
      </c>
      <c r="D5733" t="inlineStr">
        <is>
          <t>DALARNAS LÄN</t>
        </is>
      </c>
      <c r="E5733" t="inlineStr">
        <is>
          <t>RÄTTVIK</t>
        </is>
      </c>
      <c r="G5733" t="n">
        <v>2</v>
      </c>
      <c r="H5733" t="n">
        <v>0</v>
      </c>
      <c r="I5733" t="n">
        <v>0</v>
      </c>
      <c r="J5733" t="n">
        <v>0</v>
      </c>
      <c r="K5733" t="n">
        <v>0</v>
      </c>
      <c r="L5733" t="n">
        <v>0</v>
      </c>
      <c r="M5733" t="n">
        <v>0</v>
      </c>
      <c r="N5733" t="n">
        <v>0</v>
      </c>
      <c r="O5733" t="n">
        <v>0</v>
      </c>
      <c r="P5733" t="n">
        <v>0</v>
      </c>
      <c r="Q5733" t="n">
        <v>0</v>
      </c>
      <c r="R5733" s="2" t="inlineStr"/>
    </row>
    <row r="5734" ht="15" customHeight="1">
      <c r="A5734" t="inlineStr">
        <is>
          <t>A 55262-2025</t>
        </is>
      </c>
      <c r="B5734" s="1" t="n">
        <v>45968.64847222222</v>
      </c>
      <c r="C5734" s="1" t="n">
        <v>46114</v>
      </c>
      <c r="D5734" t="inlineStr">
        <is>
          <t>DALARNAS LÄN</t>
        </is>
      </c>
      <c r="E5734" t="inlineStr">
        <is>
          <t>MORA</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55516-2025</t>
        </is>
      </c>
      <c r="B5735" s="1" t="n">
        <v>45971.60277777778</v>
      </c>
      <c r="C5735" s="1" t="n">
        <v>46114</v>
      </c>
      <c r="D5735" t="inlineStr">
        <is>
          <t>DALARNAS LÄN</t>
        </is>
      </c>
      <c r="E5735" t="inlineStr">
        <is>
          <t>FALUN</t>
        </is>
      </c>
      <c r="F5735" t="inlineStr">
        <is>
          <t>Bergvik skog väst AB</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40020-2021</t>
        </is>
      </c>
      <c r="B5736" s="1" t="n">
        <v>44418</v>
      </c>
      <c r="C5736" s="1" t="n">
        <v>46114</v>
      </c>
      <c r="D5736" t="inlineStr">
        <is>
          <t>DALARNAS LÄN</t>
        </is>
      </c>
      <c r="E5736" t="inlineStr">
        <is>
          <t>RÄTTVIK</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55422-2025</t>
        </is>
      </c>
      <c r="B5737" s="1" t="n">
        <v>45971.47175925926</v>
      </c>
      <c r="C5737" s="1" t="n">
        <v>46114</v>
      </c>
      <c r="D5737" t="inlineStr">
        <is>
          <t>DALARNAS LÄN</t>
        </is>
      </c>
      <c r="E5737" t="inlineStr">
        <is>
          <t>LUDVIKA</t>
        </is>
      </c>
      <c r="F5737" t="inlineStr">
        <is>
          <t>Bergvik skog väst AB</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55159-2025</t>
        </is>
      </c>
      <c r="B5738" s="1" t="n">
        <v>45968.46832175926</v>
      </c>
      <c r="C5738" s="1" t="n">
        <v>46114</v>
      </c>
      <c r="D5738" t="inlineStr">
        <is>
          <t>DALARNAS LÄN</t>
        </is>
      </c>
      <c r="E5738" t="inlineStr">
        <is>
          <t>HEDEMORA</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55176-2025</t>
        </is>
      </c>
      <c r="B5739" s="1" t="n">
        <v>45968.51841435185</v>
      </c>
      <c r="C5739" s="1" t="n">
        <v>46114</v>
      </c>
      <c r="D5739" t="inlineStr">
        <is>
          <t>DALARNAS LÄN</t>
        </is>
      </c>
      <c r="E5739" t="inlineStr">
        <is>
          <t>ÄLVDALEN</t>
        </is>
      </c>
      <c r="F5739" t="inlineStr">
        <is>
          <t>Bergvik skog väst AB</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39253-2025</t>
        </is>
      </c>
      <c r="B5740" s="1" t="n">
        <v>45889.36387731481</v>
      </c>
      <c r="C5740" s="1" t="n">
        <v>46114</v>
      </c>
      <c r="D5740" t="inlineStr">
        <is>
          <t>DALARNAS LÄN</t>
        </is>
      </c>
      <c r="E5740" t="inlineStr">
        <is>
          <t>AVESTA</t>
        </is>
      </c>
      <c r="F5740" t="inlineStr">
        <is>
          <t>Sveaskog</t>
        </is>
      </c>
      <c r="G5740" t="n">
        <v>10.2</v>
      </c>
      <c r="H5740" t="n">
        <v>0</v>
      </c>
      <c r="I5740" t="n">
        <v>0</v>
      </c>
      <c r="J5740" t="n">
        <v>0</v>
      </c>
      <c r="K5740" t="n">
        <v>0</v>
      </c>
      <c r="L5740" t="n">
        <v>0</v>
      </c>
      <c r="M5740" t="n">
        <v>0</v>
      </c>
      <c r="N5740" t="n">
        <v>0</v>
      </c>
      <c r="O5740" t="n">
        <v>0</v>
      </c>
      <c r="P5740" t="n">
        <v>0</v>
      </c>
      <c r="Q5740" t="n">
        <v>0</v>
      </c>
      <c r="R5740" s="2" t="inlineStr"/>
    </row>
    <row r="5741" ht="15" customHeight="1">
      <c r="A5741" t="inlineStr">
        <is>
          <t>A 8793-2025</t>
        </is>
      </c>
      <c r="B5741" s="1" t="n">
        <v>45712.64303240741</v>
      </c>
      <c r="C5741" s="1" t="n">
        <v>46114</v>
      </c>
      <c r="D5741" t="inlineStr">
        <is>
          <t>DALARNAS LÄN</t>
        </is>
      </c>
      <c r="E5741" t="inlineStr">
        <is>
          <t>VANSBRO</t>
        </is>
      </c>
      <c r="G5741" t="n">
        <v>13.8</v>
      </c>
      <c r="H5741" t="n">
        <v>0</v>
      </c>
      <c r="I5741" t="n">
        <v>0</v>
      </c>
      <c r="J5741" t="n">
        <v>0</v>
      </c>
      <c r="K5741" t="n">
        <v>0</v>
      </c>
      <c r="L5741" t="n">
        <v>0</v>
      </c>
      <c r="M5741" t="n">
        <v>0</v>
      </c>
      <c r="N5741" t="n">
        <v>0</v>
      </c>
      <c r="O5741" t="n">
        <v>0</v>
      </c>
      <c r="P5741" t="n">
        <v>0</v>
      </c>
      <c r="Q5741" t="n">
        <v>0</v>
      </c>
      <c r="R5741" s="2" t="inlineStr"/>
    </row>
    <row r="5742" ht="15" customHeight="1">
      <c r="A5742" t="inlineStr">
        <is>
          <t>A 55284-2025</t>
        </is>
      </c>
      <c r="B5742" s="1" t="n">
        <v>45968.8227662037</v>
      </c>
      <c r="C5742" s="1" t="n">
        <v>46114</v>
      </c>
      <c r="D5742" t="inlineStr">
        <is>
          <t>DALARNAS LÄN</t>
        </is>
      </c>
      <c r="E5742" t="inlineStr">
        <is>
          <t>MORA</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55140-2025</t>
        </is>
      </c>
      <c r="B5743" s="1" t="n">
        <v>45968</v>
      </c>
      <c r="C5743" s="1" t="n">
        <v>46114</v>
      </c>
      <c r="D5743" t="inlineStr">
        <is>
          <t>DALARNAS LÄN</t>
        </is>
      </c>
      <c r="E5743" t="inlineStr">
        <is>
          <t>FALUN</t>
        </is>
      </c>
      <c r="G5743" t="n">
        <v>14.8</v>
      </c>
      <c r="H5743" t="n">
        <v>0</v>
      </c>
      <c r="I5743" t="n">
        <v>0</v>
      </c>
      <c r="J5743" t="n">
        <v>0</v>
      </c>
      <c r="K5743" t="n">
        <v>0</v>
      </c>
      <c r="L5743" t="n">
        <v>0</v>
      </c>
      <c r="M5743" t="n">
        <v>0</v>
      </c>
      <c r="N5743" t="n">
        <v>0</v>
      </c>
      <c r="O5743" t="n">
        <v>0</v>
      </c>
      <c r="P5743" t="n">
        <v>0</v>
      </c>
      <c r="Q5743" t="n">
        <v>0</v>
      </c>
      <c r="R5743" s="2" t="inlineStr"/>
    </row>
    <row r="5744" ht="15" customHeight="1">
      <c r="A5744" t="inlineStr">
        <is>
          <t>A 55321-2025</t>
        </is>
      </c>
      <c r="B5744" s="1" t="n">
        <v>45971.32695601852</v>
      </c>
      <c r="C5744" s="1" t="n">
        <v>46114</v>
      </c>
      <c r="D5744" t="inlineStr">
        <is>
          <t>DALARNAS LÄN</t>
        </is>
      </c>
      <c r="E5744" t="inlineStr">
        <is>
          <t>RÄTTVIK</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33288-2025</t>
        </is>
      </c>
      <c r="B5745" s="1" t="n">
        <v>45840</v>
      </c>
      <c r="C5745" s="1" t="n">
        <v>46114</v>
      </c>
      <c r="D5745" t="inlineStr">
        <is>
          <t>DALARNAS LÄN</t>
        </is>
      </c>
      <c r="E5745" t="inlineStr">
        <is>
          <t>HEDEMORA</t>
        </is>
      </c>
      <c r="F5745" t="inlineStr">
        <is>
          <t>Sveaskog</t>
        </is>
      </c>
      <c r="G5745" t="n">
        <v>3.5</v>
      </c>
      <c r="H5745" t="n">
        <v>0</v>
      </c>
      <c r="I5745" t="n">
        <v>0</v>
      </c>
      <c r="J5745" t="n">
        <v>0</v>
      </c>
      <c r="K5745" t="n">
        <v>0</v>
      </c>
      <c r="L5745" t="n">
        <v>0</v>
      </c>
      <c r="M5745" t="n">
        <v>0</v>
      </c>
      <c r="N5745" t="n">
        <v>0</v>
      </c>
      <c r="O5745" t="n">
        <v>0</v>
      </c>
      <c r="P5745" t="n">
        <v>0</v>
      </c>
      <c r="Q5745" t="n">
        <v>0</v>
      </c>
      <c r="R5745" s="2" t="inlineStr"/>
    </row>
    <row r="5746" ht="15" customHeight="1">
      <c r="A5746" t="inlineStr">
        <is>
          <t>A 23079-2024</t>
        </is>
      </c>
      <c r="B5746" s="1" t="n">
        <v>45450</v>
      </c>
      <c r="C5746" s="1" t="n">
        <v>46114</v>
      </c>
      <c r="D5746" t="inlineStr">
        <is>
          <t>DALARNAS LÄN</t>
        </is>
      </c>
      <c r="E5746" t="inlineStr">
        <is>
          <t>MALUNG-SÄLEN</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55704-2025</t>
        </is>
      </c>
      <c r="B5747" s="1" t="n">
        <v>45971</v>
      </c>
      <c r="C5747" s="1" t="n">
        <v>46114</v>
      </c>
      <c r="D5747" t="inlineStr">
        <is>
          <t>DALARNAS LÄN</t>
        </is>
      </c>
      <c r="E5747" t="inlineStr">
        <is>
          <t>RÄTTVIK</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29819-2024</t>
        </is>
      </c>
      <c r="B5748" s="1" t="n">
        <v>45485.55760416666</v>
      </c>
      <c r="C5748" s="1" t="n">
        <v>46114</v>
      </c>
      <c r="D5748" t="inlineStr">
        <is>
          <t>DALARNAS LÄN</t>
        </is>
      </c>
      <c r="E5748" t="inlineStr">
        <is>
          <t>ÄLVDALEN</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47768-2024</t>
        </is>
      </c>
      <c r="B5749" s="1" t="n">
        <v>45588.56266203704</v>
      </c>
      <c r="C5749" s="1" t="n">
        <v>46114</v>
      </c>
      <c r="D5749" t="inlineStr">
        <is>
          <t>DALARNAS LÄN</t>
        </is>
      </c>
      <c r="E5749" t="inlineStr">
        <is>
          <t>FALUN</t>
        </is>
      </c>
      <c r="G5749" t="n">
        <v>5.1</v>
      </c>
      <c r="H5749" t="n">
        <v>0</v>
      </c>
      <c r="I5749" t="n">
        <v>0</v>
      </c>
      <c r="J5749" t="n">
        <v>0</v>
      </c>
      <c r="K5749" t="n">
        <v>0</v>
      </c>
      <c r="L5749" t="n">
        <v>0</v>
      </c>
      <c r="M5749" t="n">
        <v>0</v>
      </c>
      <c r="N5749" t="n">
        <v>0</v>
      </c>
      <c r="O5749" t="n">
        <v>0</v>
      </c>
      <c r="P5749" t="n">
        <v>0</v>
      </c>
      <c r="Q5749" t="n">
        <v>0</v>
      </c>
      <c r="R5749" s="2" t="inlineStr"/>
    </row>
    <row r="5750" ht="15" customHeight="1">
      <c r="A5750" t="inlineStr">
        <is>
          <t>A 55621-2025</t>
        </is>
      </c>
      <c r="B5750" s="1" t="n">
        <v>45971</v>
      </c>
      <c r="C5750" s="1" t="n">
        <v>46114</v>
      </c>
      <c r="D5750" t="inlineStr">
        <is>
          <t>DALARNAS LÄN</t>
        </is>
      </c>
      <c r="E5750" t="inlineStr">
        <is>
          <t>SÄTER</t>
        </is>
      </c>
      <c r="F5750" t="inlineStr">
        <is>
          <t>Bergvik skog väst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55124-2025</t>
        </is>
      </c>
      <c r="B5751" s="1" t="n">
        <v>45968.40621527778</v>
      </c>
      <c r="C5751" s="1" t="n">
        <v>46114</v>
      </c>
      <c r="D5751" t="inlineStr">
        <is>
          <t>DALARNAS LÄN</t>
        </is>
      </c>
      <c r="E5751" t="inlineStr">
        <is>
          <t>MORA</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18760-2025</t>
        </is>
      </c>
      <c r="B5752" s="1" t="n">
        <v>45763.88424768519</v>
      </c>
      <c r="C5752" s="1" t="n">
        <v>46114</v>
      </c>
      <c r="D5752" t="inlineStr">
        <is>
          <t>DALARNAS LÄN</t>
        </is>
      </c>
      <c r="E5752" t="inlineStr">
        <is>
          <t>SMEDJEBACKEN</t>
        </is>
      </c>
      <c r="F5752" t="inlineStr">
        <is>
          <t>Övriga Aktiebolag</t>
        </is>
      </c>
      <c r="G5752" t="n">
        <v>0.8</v>
      </c>
      <c r="H5752" t="n">
        <v>0</v>
      </c>
      <c r="I5752" t="n">
        <v>0</v>
      </c>
      <c r="J5752" t="n">
        <v>0</v>
      </c>
      <c r="K5752" t="n">
        <v>0</v>
      </c>
      <c r="L5752" t="n">
        <v>0</v>
      </c>
      <c r="M5752" t="n">
        <v>0</v>
      </c>
      <c r="N5752" t="n">
        <v>0</v>
      </c>
      <c r="O5752" t="n">
        <v>0</v>
      </c>
      <c r="P5752" t="n">
        <v>0</v>
      </c>
      <c r="Q5752" t="n">
        <v>0</v>
      </c>
      <c r="R5752" s="2" t="inlineStr"/>
      <c r="U5752">
        <f>HYPERLINK("https://klasma.github.io/Logging_2061/knärot/A 18760-2025 karta knärot.png", "A 18760-2025")</f>
        <v/>
      </c>
      <c r="V5752">
        <f>HYPERLINK("https://klasma.github.io/Logging_2061/klagomål/A 18760-2025 FSC-klagomål.docx", "A 18760-2025")</f>
        <v/>
      </c>
      <c r="W5752">
        <f>HYPERLINK("https://klasma.github.io/Logging_2061/klagomålsmail/A 18760-2025 FSC-klagomål mail.docx", "A 18760-2025")</f>
        <v/>
      </c>
      <c r="X5752">
        <f>HYPERLINK("https://klasma.github.io/Logging_2061/tillsyn/A 18760-2025 tillsynsbegäran.docx", "A 18760-2025")</f>
        <v/>
      </c>
      <c r="Y5752">
        <f>HYPERLINK("https://klasma.github.io/Logging_2061/tillsynsmail/A 18760-2025 tillsynsbegäran mail.docx", "A 18760-2025")</f>
        <v/>
      </c>
    </row>
    <row r="5753" ht="15" customHeight="1">
      <c r="A5753" t="inlineStr">
        <is>
          <t>A 41574-2024</t>
        </is>
      </c>
      <c r="B5753" s="1" t="n">
        <v>45560.548125</v>
      </c>
      <c r="C5753" s="1" t="n">
        <v>46114</v>
      </c>
      <c r="D5753" t="inlineStr">
        <is>
          <t>DALARNAS LÄN</t>
        </is>
      </c>
      <c r="E5753" t="inlineStr">
        <is>
          <t>MALUNG-SÄLEN</t>
        </is>
      </c>
      <c r="G5753" t="n">
        <v>3.6</v>
      </c>
      <c r="H5753" t="n">
        <v>0</v>
      </c>
      <c r="I5753" t="n">
        <v>0</v>
      </c>
      <c r="J5753" t="n">
        <v>0</v>
      </c>
      <c r="K5753" t="n">
        <v>0</v>
      </c>
      <c r="L5753" t="n">
        <v>0</v>
      </c>
      <c r="M5753" t="n">
        <v>0</v>
      </c>
      <c r="N5753" t="n">
        <v>0</v>
      </c>
      <c r="O5753" t="n">
        <v>0</v>
      </c>
      <c r="P5753" t="n">
        <v>0</v>
      </c>
      <c r="Q5753" t="n">
        <v>0</v>
      </c>
      <c r="R5753" s="2" t="inlineStr"/>
    </row>
    <row r="5754" ht="15" customHeight="1">
      <c r="A5754" t="inlineStr">
        <is>
          <t>A 55712-2025</t>
        </is>
      </c>
      <c r="B5754" s="1" t="n">
        <v>45971</v>
      </c>
      <c r="C5754" s="1" t="n">
        <v>46114</v>
      </c>
      <c r="D5754" t="inlineStr">
        <is>
          <t>DALARNAS LÄN</t>
        </is>
      </c>
      <c r="E5754" t="inlineStr">
        <is>
          <t>RÄTTVIK</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39389-2025</t>
        </is>
      </c>
      <c r="B5755" s="1" t="n">
        <v>45889.62181712963</v>
      </c>
      <c r="C5755" s="1" t="n">
        <v>46114</v>
      </c>
      <c r="D5755" t="inlineStr">
        <is>
          <t>DALARNAS LÄN</t>
        </is>
      </c>
      <c r="E5755" t="inlineStr">
        <is>
          <t>HEDEMORA</t>
        </is>
      </c>
      <c r="F5755" t="inlineStr">
        <is>
          <t>Sveaskog</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55427-2025</t>
        </is>
      </c>
      <c r="B5756" s="1" t="n">
        <v>45971</v>
      </c>
      <c r="C5756" s="1" t="n">
        <v>46114</v>
      </c>
      <c r="D5756" t="inlineStr">
        <is>
          <t>DALARNAS LÄN</t>
        </is>
      </c>
      <c r="E5756" t="inlineStr">
        <is>
          <t>LUDVIKA</t>
        </is>
      </c>
      <c r="F5756" t="inlineStr">
        <is>
          <t>Bergvik skog väst AB</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11712-2025</t>
        </is>
      </c>
      <c r="B5757" s="1" t="n">
        <v>45727</v>
      </c>
      <c r="C5757" s="1" t="n">
        <v>46114</v>
      </c>
      <c r="D5757" t="inlineStr">
        <is>
          <t>DALARNAS LÄN</t>
        </is>
      </c>
      <c r="E5757" t="inlineStr">
        <is>
          <t>LEKSAND</t>
        </is>
      </c>
      <c r="G5757" t="n">
        <v>6</v>
      </c>
      <c r="H5757" t="n">
        <v>0</v>
      </c>
      <c r="I5757" t="n">
        <v>0</v>
      </c>
      <c r="J5757" t="n">
        <v>0</v>
      </c>
      <c r="K5757" t="n">
        <v>0</v>
      </c>
      <c r="L5757" t="n">
        <v>0</v>
      </c>
      <c r="M5757" t="n">
        <v>0</v>
      </c>
      <c r="N5757" t="n">
        <v>0</v>
      </c>
      <c r="O5757" t="n">
        <v>0</v>
      </c>
      <c r="P5757" t="n">
        <v>0</v>
      </c>
      <c r="Q5757" t="n">
        <v>0</v>
      </c>
      <c r="R5757" s="2" t="inlineStr"/>
    </row>
    <row r="5758" ht="15" customHeight="1">
      <c r="A5758" t="inlineStr">
        <is>
          <t>A 5689-2025</t>
        </is>
      </c>
      <c r="B5758" s="1" t="n">
        <v>45694.36291666667</v>
      </c>
      <c r="C5758" s="1" t="n">
        <v>46114</v>
      </c>
      <c r="D5758" t="inlineStr">
        <is>
          <t>DALARNAS LÄN</t>
        </is>
      </c>
      <c r="E5758" t="inlineStr">
        <is>
          <t>AVESTA</t>
        </is>
      </c>
      <c r="G5758" t="n">
        <v>3</v>
      </c>
      <c r="H5758" t="n">
        <v>0</v>
      </c>
      <c r="I5758" t="n">
        <v>0</v>
      </c>
      <c r="J5758" t="n">
        <v>0</v>
      </c>
      <c r="K5758" t="n">
        <v>0</v>
      </c>
      <c r="L5758" t="n">
        <v>0</v>
      </c>
      <c r="M5758" t="n">
        <v>0</v>
      </c>
      <c r="N5758" t="n">
        <v>0</v>
      </c>
      <c r="O5758" t="n">
        <v>0</v>
      </c>
      <c r="P5758" t="n">
        <v>0</v>
      </c>
      <c r="Q5758" t="n">
        <v>0</v>
      </c>
      <c r="R5758" s="2" t="inlineStr"/>
    </row>
    <row r="5759" ht="15" customHeight="1">
      <c r="A5759" t="inlineStr">
        <is>
          <t>A 55405-2025</t>
        </is>
      </c>
      <c r="B5759" s="1" t="n">
        <v>45971.45525462963</v>
      </c>
      <c r="C5759" s="1" t="n">
        <v>46114</v>
      </c>
      <c r="D5759" t="inlineStr">
        <is>
          <t>DALARNAS LÄN</t>
        </is>
      </c>
      <c r="E5759" t="inlineStr">
        <is>
          <t>ORSA</t>
        </is>
      </c>
      <c r="F5759" t="inlineStr">
        <is>
          <t>Bergvik skog öst AB</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55409-2025</t>
        </is>
      </c>
      <c r="B5760" s="1" t="n">
        <v>45971</v>
      </c>
      <c r="C5760" s="1" t="n">
        <v>46114</v>
      </c>
      <c r="D5760" t="inlineStr">
        <is>
          <t>DALARNAS LÄN</t>
        </is>
      </c>
      <c r="E5760" t="inlineStr">
        <is>
          <t>LUDVIKA</t>
        </is>
      </c>
      <c r="F5760" t="inlineStr">
        <is>
          <t>Bergvik skog väst AB</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55412-2025</t>
        </is>
      </c>
      <c r="B5761" s="1" t="n">
        <v>45971.46777777778</v>
      </c>
      <c r="C5761" s="1" t="n">
        <v>46114</v>
      </c>
      <c r="D5761" t="inlineStr">
        <is>
          <t>DALARNAS LÄN</t>
        </is>
      </c>
      <c r="E5761" t="inlineStr">
        <is>
          <t>RÄTTVIK</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55420-2025</t>
        </is>
      </c>
      <c r="B5762" s="1" t="n">
        <v>45971.47046296296</v>
      </c>
      <c r="C5762" s="1" t="n">
        <v>46114</v>
      </c>
      <c r="D5762" t="inlineStr">
        <is>
          <t>DALARNAS LÄN</t>
        </is>
      </c>
      <c r="E5762" t="inlineStr">
        <is>
          <t>MALUNG-SÄLEN</t>
        </is>
      </c>
      <c r="F5762" t="inlineStr">
        <is>
          <t>Bergvik skog väst AB</t>
        </is>
      </c>
      <c r="G5762" t="n">
        <v>5.6</v>
      </c>
      <c r="H5762" t="n">
        <v>0</v>
      </c>
      <c r="I5762" t="n">
        <v>0</v>
      </c>
      <c r="J5762" t="n">
        <v>0</v>
      </c>
      <c r="K5762" t="n">
        <v>0</v>
      </c>
      <c r="L5762" t="n">
        <v>0</v>
      </c>
      <c r="M5762" t="n">
        <v>0</v>
      </c>
      <c r="N5762" t="n">
        <v>0</v>
      </c>
      <c r="O5762" t="n">
        <v>0</v>
      </c>
      <c r="P5762" t="n">
        <v>0</v>
      </c>
      <c r="Q5762" t="n">
        <v>0</v>
      </c>
      <c r="R5762" s="2" t="inlineStr"/>
    </row>
    <row r="5763" ht="15" customHeight="1">
      <c r="A5763" t="inlineStr">
        <is>
          <t>A 55426-2025</t>
        </is>
      </c>
      <c r="B5763" s="1" t="n">
        <v>45971.47452546296</v>
      </c>
      <c r="C5763" s="1" t="n">
        <v>46114</v>
      </c>
      <c r="D5763" t="inlineStr">
        <is>
          <t>DALARNAS LÄN</t>
        </is>
      </c>
      <c r="E5763" t="inlineStr">
        <is>
          <t>LUDVIKA</t>
        </is>
      </c>
      <c r="F5763" t="inlineStr">
        <is>
          <t>Bergvik skog väst AB</t>
        </is>
      </c>
      <c r="G5763" t="n">
        <v>5.3</v>
      </c>
      <c r="H5763" t="n">
        <v>0</v>
      </c>
      <c r="I5763" t="n">
        <v>0</v>
      </c>
      <c r="J5763" t="n">
        <v>0</v>
      </c>
      <c r="K5763" t="n">
        <v>0</v>
      </c>
      <c r="L5763" t="n">
        <v>0</v>
      </c>
      <c r="M5763" t="n">
        <v>0</v>
      </c>
      <c r="N5763" t="n">
        <v>0</v>
      </c>
      <c r="O5763" t="n">
        <v>0</v>
      </c>
      <c r="P5763" t="n">
        <v>0</v>
      </c>
      <c r="Q5763" t="n">
        <v>0</v>
      </c>
      <c r="R5763" s="2" t="inlineStr"/>
    </row>
    <row r="5764" ht="15" customHeight="1">
      <c r="A5764" t="inlineStr">
        <is>
          <t>A 51395-2024</t>
        </is>
      </c>
      <c r="B5764" s="1" t="n">
        <v>45604.41903935185</v>
      </c>
      <c r="C5764" s="1" t="n">
        <v>46114</v>
      </c>
      <c r="D5764" t="inlineStr">
        <is>
          <t>DALARNAS LÄN</t>
        </is>
      </c>
      <c r="E5764" t="inlineStr">
        <is>
          <t>MALUNG-SÄLEN</t>
        </is>
      </c>
      <c r="G5764" t="n">
        <v>18</v>
      </c>
      <c r="H5764" t="n">
        <v>0</v>
      </c>
      <c r="I5764" t="n">
        <v>0</v>
      </c>
      <c r="J5764" t="n">
        <v>0</v>
      </c>
      <c r="K5764" t="n">
        <v>0</v>
      </c>
      <c r="L5764" t="n">
        <v>0</v>
      </c>
      <c r="M5764" t="n">
        <v>0</v>
      </c>
      <c r="N5764" t="n">
        <v>0</v>
      </c>
      <c r="O5764" t="n">
        <v>0</v>
      </c>
      <c r="P5764" t="n">
        <v>0</v>
      </c>
      <c r="Q5764" t="n">
        <v>0</v>
      </c>
      <c r="R5764" s="2" t="inlineStr"/>
    </row>
    <row r="5765" ht="15" customHeight="1">
      <c r="A5765" t="inlineStr">
        <is>
          <t>A 51400-2024</t>
        </is>
      </c>
      <c r="B5765" s="1" t="n">
        <v>45604.42420138889</v>
      </c>
      <c r="C5765" s="1" t="n">
        <v>46114</v>
      </c>
      <c r="D5765" t="inlineStr">
        <is>
          <t>DALARNAS LÄN</t>
        </is>
      </c>
      <c r="E5765" t="inlineStr">
        <is>
          <t>VANSBRO</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55499-2025</t>
        </is>
      </c>
      <c r="B5766" s="1" t="n">
        <v>45971</v>
      </c>
      <c r="C5766" s="1" t="n">
        <v>46114</v>
      </c>
      <c r="D5766" t="inlineStr">
        <is>
          <t>DALARNAS LÄN</t>
        </is>
      </c>
      <c r="E5766" t="inlineStr">
        <is>
          <t>LUDVIKA</t>
        </is>
      </c>
      <c r="F5766" t="inlineStr">
        <is>
          <t>Bergvik skog väst AB</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6030-2025</t>
        </is>
      </c>
      <c r="B5767" s="1" t="n">
        <v>45695</v>
      </c>
      <c r="C5767" s="1" t="n">
        <v>46114</v>
      </c>
      <c r="D5767" t="inlineStr">
        <is>
          <t>DALARNAS LÄN</t>
        </is>
      </c>
      <c r="E5767" t="inlineStr">
        <is>
          <t>LEKSAND</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13583-2022</t>
        </is>
      </c>
      <c r="B5768" s="1" t="n">
        <v>44648</v>
      </c>
      <c r="C5768" s="1" t="n">
        <v>46114</v>
      </c>
      <c r="D5768" t="inlineStr">
        <is>
          <t>DALARNAS LÄN</t>
        </is>
      </c>
      <c r="E5768" t="inlineStr">
        <is>
          <t>FALUN</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55151-2025</t>
        </is>
      </c>
      <c r="B5769" s="1" t="n">
        <v>45968</v>
      </c>
      <c r="C5769" s="1" t="n">
        <v>46114</v>
      </c>
      <c r="D5769" t="inlineStr">
        <is>
          <t>DALARNAS LÄN</t>
        </is>
      </c>
      <c r="E5769" t="inlineStr">
        <is>
          <t>LUDVIKA</t>
        </is>
      </c>
      <c r="F5769" t="inlineStr">
        <is>
          <t>Bergvik skog väst AB</t>
        </is>
      </c>
      <c r="G5769" t="n">
        <v>10</v>
      </c>
      <c r="H5769" t="n">
        <v>0</v>
      </c>
      <c r="I5769" t="n">
        <v>0</v>
      </c>
      <c r="J5769" t="n">
        <v>0</v>
      </c>
      <c r="K5769" t="n">
        <v>0</v>
      </c>
      <c r="L5769" t="n">
        <v>0</v>
      </c>
      <c r="M5769" t="n">
        <v>0</v>
      </c>
      <c r="N5769" t="n">
        <v>0</v>
      </c>
      <c r="O5769" t="n">
        <v>0</v>
      </c>
      <c r="P5769" t="n">
        <v>0</v>
      </c>
      <c r="Q5769" t="n">
        <v>0</v>
      </c>
      <c r="R5769" s="2" t="inlineStr"/>
    </row>
    <row r="5770" ht="15" customHeight="1">
      <c r="A5770" t="inlineStr">
        <is>
          <t>A 55171-2025</t>
        </is>
      </c>
      <c r="B5770" s="1" t="n">
        <v>45968.49690972222</v>
      </c>
      <c r="C5770" s="1" t="n">
        <v>46114</v>
      </c>
      <c r="D5770" t="inlineStr">
        <is>
          <t>DALARNAS LÄN</t>
        </is>
      </c>
      <c r="E5770" t="inlineStr">
        <is>
          <t>RÄTTVIK</t>
        </is>
      </c>
      <c r="G5770" t="n">
        <v>1.9</v>
      </c>
      <c r="H5770" t="n">
        <v>0</v>
      </c>
      <c r="I5770" t="n">
        <v>0</v>
      </c>
      <c r="J5770" t="n">
        <v>0</v>
      </c>
      <c r="K5770" t="n">
        <v>0</v>
      </c>
      <c r="L5770" t="n">
        <v>0</v>
      </c>
      <c r="M5770" t="n">
        <v>0</v>
      </c>
      <c r="N5770" t="n">
        <v>0</v>
      </c>
      <c r="O5770" t="n">
        <v>0</v>
      </c>
      <c r="P5770" t="n">
        <v>0</v>
      </c>
      <c r="Q5770" t="n">
        <v>0</v>
      </c>
      <c r="R5770" s="2" t="inlineStr"/>
    </row>
    <row r="5771" ht="15" customHeight="1">
      <c r="A5771" t="inlineStr">
        <is>
          <t>A 55196-2025</t>
        </is>
      </c>
      <c r="B5771" s="1" t="n">
        <v>45968</v>
      </c>
      <c r="C5771" s="1" t="n">
        <v>46114</v>
      </c>
      <c r="D5771" t="inlineStr">
        <is>
          <t>DALARNAS LÄN</t>
        </is>
      </c>
      <c r="E5771" t="inlineStr">
        <is>
          <t>RÄTTVIK</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48530-2023</t>
        </is>
      </c>
      <c r="B5772" s="1" t="n">
        <v>45208.3728587963</v>
      </c>
      <c r="C5772" s="1" t="n">
        <v>46114</v>
      </c>
      <c r="D5772" t="inlineStr">
        <is>
          <t>DALARNAS LÄN</t>
        </is>
      </c>
      <c r="E5772" t="inlineStr">
        <is>
          <t>SMEDJEBACKEN</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36569-2021</t>
        </is>
      </c>
      <c r="B5773" s="1" t="n">
        <v>44391</v>
      </c>
      <c r="C5773" s="1" t="n">
        <v>46114</v>
      </c>
      <c r="D5773" t="inlineStr">
        <is>
          <t>DALARNAS LÄN</t>
        </is>
      </c>
      <c r="E5773" t="inlineStr">
        <is>
          <t>ORSA</t>
        </is>
      </c>
      <c r="G5773" t="n">
        <v>8.800000000000001</v>
      </c>
      <c r="H5773" t="n">
        <v>0</v>
      </c>
      <c r="I5773" t="n">
        <v>0</v>
      </c>
      <c r="J5773" t="n">
        <v>0</v>
      </c>
      <c r="K5773" t="n">
        <v>0</v>
      </c>
      <c r="L5773" t="n">
        <v>0</v>
      </c>
      <c r="M5773" t="n">
        <v>0</v>
      </c>
      <c r="N5773" t="n">
        <v>0</v>
      </c>
      <c r="O5773" t="n">
        <v>0</v>
      </c>
      <c r="P5773" t="n">
        <v>0</v>
      </c>
      <c r="Q5773" t="n">
        <v>0</v>
      </c>
      <c r="R5773" s="2" t="inlineStr"/>
    </row>
    <row r="5774" ht="15" customHeight="1">
      <c r="A5774" t="inlineStr">
        <is>
          <t>A 55838-2025</t>
        </is>
      </c>
      <c r="B5774" s="1" t="n">
        <v>45972.89208333333</v>
      </c>
      <c r="C5774" s="1" t="n">
        <v>46114</v>
      </c>
      <c r="D5774" t="inlineStr">
        <is>
          <t>DALARNAS LÄN</t>
        </is>
      </c>
      <c r="E5774" t="inlineStr">
        <is>
          <t>GAGNEF</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25389-2022</t>
        </is>
      </c>
      <c r="B5775" s="1" t="n">
        <v>44732.41245370371</v>
      </c>
      <c r="C5775" s="1" t="n">
        <v>46114</v>
      </c>
      <c r="D5775" t="inlineStr">
        <is>
          <t>DALARNAS LÄN</t>
        </is>
      </c>
      <c r="E5775" t="inlineStr">
        <is>
          <t>BORLÄNGE</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32571-2024</t>
        </is>
      </c>
      <c r="B5776" s="1" t="n">
        <v>45513</v>
      </c>
      <c r="C5776" s="1" t="n">
        <v>46114</v>
      </c>
      <c r="D5776" t="inlineStr">
        <is>
          <t>DALARNAS LÄN</t>
        </is>
      </c>
      <c r="E5776" t="inlineStr">
        <is>
          <t>FALUN</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12013-2024</t>
        </is>
      </c>
      <c r="B5777" s="1" t="n">
        <v>45377.34111111111</v>
      </c>
      <c r="C5777" s="1" t="n">
        <v>46114</v>
      </c>
      <c r="D5777" t="inlineStr">
        <is>
          <t>DALARNAS LÄN</t>
        </is>
      </c>
      <c r="E5777" t="inlineStr">
        <is>
          <t>VANSBRO</t>
        </is>
      </c>
      <c r="G5777" t="n">
        <v>5.7</v>
      </c>
      <c r="H5777" t="n">
        <v>0</v>
      </c>
      <c r="I5777" t="n">
        <v>0</v>
      </c>
      <c r="J5777" t="n">
        <v>0</v>
      </c>
      <c r="K5777" t="n">
        <v>0</v>
      </c>
      <c r="L5777" t="n">
        <v>0</v>
      </c>
      <c r="M5777" t="n">
        <v>0</v>
      </c>
      <c r="N5777" t="n">
        <v>0</v>
      </c>
      <c r="O5777" t="n">
        <v>0</v>
      </c>
      <c r="P5777" t="n">
        <v>0</v>
      </c>
      <c r="Q5777" t="n">
        <v>0</v>
      </c>
      <c r="R5777" s="2" t="inlineStr"/>
    </row>
    <row r="5778" ht="15" customHeight="1">
      <c r="A5778" t="inlineStr">
        <is>
          <t>A 56063-2025</t>
        </is>
      </c>
      <c r="B5778" s="1" t="n">
        <v>45973.64146990741</v>
      </c>
      <c r="C5778" s="1" t="n">
        <v>46114</v>
      </c>
      <c r="D5778" t="inlineStr">
        <is>
          <t>DALARNAS LÄN</t>
        </is>
      </c>
      <c r="E5778" t="inlineStr">
        <is>
          <t>RÄTTVIK</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46393-2025</t>
        </is>
      </c>
      <c r="B5779" s="1" t="n">
        <v>45925</v>
      </c>
      <c r="C5779" s="1" t="n">
        <v>46114</v>
      </c>
      <c r="D5779" t="inlineStr">
        <is>
          <t>DALARNAS LÄN</t>
        </is>
      </c>
      <c r="E5779" t="inlineStr">
        <is>
          <t>MALUNG-SÄLEN</t>
        </is>
      </c>
      <c r="G5779" t="n">
        <v>3</v>
      </c>
      <c r="H5779" t="n">
        <v>0</v>
      </c>
      <c r="I5779" t="n">
        <v>0</v>
      </c>
      <c r="J5779" t="n">
        <v>0</v>
      </c>
      <c r="K5779" t="n">
        <v>0</v>
      </c>
      <c r="L5779" t="n">
        <v>0</v>
      </c>
      <c r="M5779" t="n">
        <v>0</v>
      </c>
      <c r="N5779" t="n">
        <v>0</v>
      </c>
      <c r="O5779" t="n">
        <v>0</v>
      </c>
      <c r="P5779" t="n">
        <v>0</v>
      </c>
      <c r="Q5779" t="n">
        <v>0</v>
      </c>
      <c r="R5779" s="2" t="inlineStr"/>
    </row>
    <row r="5780" ht="15" customHeight="1">
      <c r="A5780" t="inlineStr">
        <is>
          <t>A 56043-2025</t>
        </is>
      </c>
      <c r="B5780" s="1" t="n">
        <v>45973.61737268518</v>
      </c>
      <c r="C5780" s="1" t="n">
        <v>46114</v>
      </c>
      <c r="D5780" t="inlineStr">
        <is>
          <t>DALARNAS LÄN</t>
        </is>
      </c>
      <c r="E5780" t="inlineStr">
        <is>
          <t>VANSBRO</t>
        </is>
      </c>
      <c r="F5780" t="inlineStr">
        <is>
          <t>Bergvik skog väst AB</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61288-2021</t>
        </is>
      </c>
      <c r="B5781" s="1" t="n">
        <v>44498.61825231482</v>
      </c>
      <c r="C5781" s="1" t="n">
        <v>46114</v>
      </c>
      <c r="D5781" t="inlineStr">
        <is>
          <t>DALARNAS LÄN</t>
        </is>
      </c>
      <c r="E5781" t="inlineStr">
        <is>
          <t>BORLÄNGE</t>
        </is>
      </c>
      <c r="G5781" t="n">
        <v>11.7</v>
      </c>
      <c r="H5781" t="n">
        <v>0</v>
      </c>
      <c r="I5781" t="n">
        <v>0</v>
      </c>
      <c r="J5781" t="n">
        <v>0</v>
      </c>
      <c r="K5781" t="n">
        <v>0</v>
      </c>
      <c r="L5781" t="n">
        <v>0</v>
      </c>
      <c r="M5781" t="n">
        <v>0</v>
      </c>
      <c r="N5781" t="n">
        <v>0</v>
      </c>
      <c r="O5781" t="n">
        <v>0</v>
      </c>
      <c r="P5781" t="n">
        <v>0</v>
      </c>
      <c r="Q5781" t="n">
        <v>0</v>
      </c>
      <c r="R5781" s="2" t="inlineStr"/>
    </row>
    <row r="5782" ht="15" customHeight="1">
      <c r="A5782" t="inlineStr">
        <is>
          <t>A 42230-2023</t>
        </is>
      </c>
      <c r="B5782" s="1" t="n">
        <v>45180</v>
      </c>
      <c r="C5782" s="1" t="n">
        <v>46114</v>
      </c>
      <c r="D5782" t="inlineStr">
        <is>
          <t>DALARNAS LÄN</t>
        </is>
      </c>
      <c r="E5782" t="inlineStr">
        <is>
          <t>LEKSAND</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55985-2025</t>
        </is>
      </c>
      <c r="B5783" s="1" t="n">
        <v>45973.54806712963</v>
      </c>
      <c r="C5783" s="1" t="n">
        <v>46114</v>
      </c>
      <c r="D5783" t="inlineStr">
        <is>
          <t>DALARNAS LÄN</t>
        </is>
      </c>
      <c r="E5783" t="inlineStr">
        <is>
          <t>FALUN</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17297-2021</t>
        </is>
      </c>
      <c r="B5784" s="1" t="n">
        <v>44298.60944444445</v>
      </c>
      <c r="C5784" s="1" t="n">
        <v>46114</v>
      </c>
      <c r="D5784" t="inlineStr">
        <is>
          <t>DALARNAS LÄN</t>
        </is>
      </c>
      <c r="E5784" t="inlineStr">
        <is>
          <t>FALUN</t>
        </is>
      </c>
      <c r="F5784" t="inlineStr">
        <is>
          <t>Bergvik skog väst AB</t>
        </is>
      </c>
      <c r="G5784" t="n">
        <v>1.5</v>
      </c>
      <c r="H5784" t="n">
        <v>0</v>
      </c>
      <c r="I5784" t="n">
        <v>0</v>
      </c>
      <c r="J5784" t="n">
        <v>0</v>
      </c>
      <c r="K5784" t="n">
        <v>0</v>
      </c>
      <c r="L5784" t="n">
        <v>0</v>
      </c>
      <c r="M5784" t="n">
        <v>0</v>
      </c>
      <c r="N5784" t="n">
        <v>0</v>
      </c>
      <c r="O5784" t="n">
        <v>0</v>
      </c>
      <c r="P5784" t="n">
        <v>0</v>
      </c>
      <c r="Q5784" t="n">
        <v>0</v>
      </c>
      <c r="R5784" s="2" t="inlineStr"/>
      <c r="U5784">
        <f>HYPERLINK("https://klasma.github.io/Logging_2080/knärot/A 17297-2021 karta knärot.png", "A 17297-2021")</f>
        <v/>
      </c>
      <c r="V5784">
        <f>HYPERLINK("https://klasma.github.io/Logging_2080/klagomål/A 17297-2021 FSC-klagomål.docx", "A 17297-2021")</f>
        <v/>
      </c>
      <c r="W5784">
        <f>HYPERLINK("https://klasma.github.io/Logging_2080/klagomålsmail/A 17297-2021 FSC-klagomål mail.docx", "A 17297-2021")</f>
        <v/>
      </c>
      <c r="X5784">
        <f>HYPERLINK("https://klasma.github.io/Logging_2080/tillsyn/A 17297-2021 tillsynsbegäran.docx", "A 17297-2021")</f>
        <v/>
      </c>
      <c r="Y5784">
        <f>HYPERLINK("https://klasma.github.io/Logging_2080/tillsynsmail/A 17297-2021 tillsynsbegäran mail.docx", "A 17297-2021")</f>
        <v/>
      </c>
    </row>
    <row r="5785" ht="15" customHeight="1">
      <c r="A5785" t="inlineStr">
        <is>
          <t>A 17303-2021</t>
        </is>
      </c>
      <c r="B5785" s="1" t="n">
        <v>44298.61732638889</v>
      </c>
      <c r="C5785" s="1" t="n">
        <v>46114</v>
      </c>
      <c r="D5785" t="inlineStr">
        <is>
          <t>DALARNAS LÄN</t>
        </is>
      </c>
      <c r="E5785" t="inlineStr">
        <is>
          <t>SÄTER</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55740-2025</t>
        </is>
      </c>
      <c r="B5786" s="1" t="n">
        <v>45972.56847222222</v>
      </c>
      <c r="C5786" s="1" t="n">
        <v>46114</v>
      </c>
      <c r="D5786" t="inlineStr">
        <is>
          <t>DALARNAS LÄN</t>
        </is>
      </c>
      <c r="E5786" t="inlineStr">
        <is>
          <t>RÄTTVIK</t>
        </is>
      </c>
      <c r="F5786" t="inlineStr">
        <is>
          <t>Bergvik skog väst AB</t>
        </is>
      </c>
      <c r="G5786" t="n">
        <v>9.9</v>
      </c>
      <c r="H5786" t="n">
        <v>0</v>
      </c>
      <c r="I5786" t="n">
        <v>0</v>
      </c>
      <c r="J5786" t="n">
        <v>0</v>
      </c>
      <c r="K5786" t="n">
        <v>0</v>
      </c>
      <c r="L5786" t="n">
        <v>0</v>
      </c>
      <c r="M5786" t="n">
        <v>0</v>
      </c>
      <c r="N5786" t="n">
        <v>0</v>
      </c>
      <c r="O5786" t="n">
        <v>0</v>
      </c>
      <c r="P5786" t="n">
        <v>0</v>
      </c>
      <c r="Q5786" t="n">
        <v>0</v>
      </c>
      <c r="R5786" s="2" t="inlineStr"/>
    </row>
    <row r="5787" ht="15" customHeight="1">
      <c r="A5787" t="inlineStr">
        <is>
          <t>A 55917-2025</t>
        </is>
      </c>
      <c r="B5787" s="1" t="n">
        <v>45973.41158564815</v>
      </c>
      <c r="C5787" s="1" t="n">
        <v>46114</v>
      </c>
      <c r="D5787" t="inlineStr">
        <is>
          <t>DALARNAS LÄN</t>
        </is>
      </c>
      <c r="E5787" t="inlineStr">
        <is>
          <t>HEDEMORA</t>
        </is>
      </c>
      <c r="G5787" t="n">
        <v>7.8</v>
      </c>
      <c r="H5787" t="n">
        <v>0</v>
      </c>
      <c r="I5787" t="n">
        <v>0</v>
      </c>
      <c r="J5787" t="n">
        <v>0</v>
      </c>
      <c r="K5787" t="n">
        <v>0</v>
      </c>
      <c r="L5787" t="n">
        <v>0</v>
      </c>
      <c r="M5787" t="n">
        <v>0</v>
      </c>
      <c r="N5787" t="n">
        <v>0</v>
      </c>
      <c r="O5787" t="n">
        <v>0</v>
      </c>
      <c r="P5787" t="n">
        <v>0</v>
      </c>
      <c r="Q5787" t="n">
        <v>0</v>
      </c>
      <c r="R5787" s="2" t="inlineStr"/>
    </row>
    <row r="5788" ht="15" customHeight="1">
      <c r="A5788" t="inlineStr">
        <is>
          <t>A 55944-2025</t>
        </is>
      </c>
      <c r="B5788" s="1" t="n">
        <v>45973</v>
      </c>
      <c r="C5788" s="1" t="n">
        <v>46114</v>
      </c>
      <c r="D5788" t="inlineStr">
        <is>
          <t>DALARNAS LÄN</t>
        </is>
      </c>
      <c r="E5788" t="inlineStr">
        <is>
          <t>LUDVIKA</t>
        </is>
      </c>
      <c r="F5788" t="inlineStr">
        <is>
          <t>Bergvik skog väst AB</t>
        </is>
      </c>
      <c r="G5788" t="n">
        <v>4.8</v>
      </c>
      <c r="H5788" t="n">
        <v>0</v>
      </c>
      <c r="I5788" t="n">
        <v>0</v>
      </c>
      <c r="J5788" t="n">
        <v>0</v>
      </c>
      <c r="K5788" t="n">
        <v>0</v>
      </c>
      <c r="L5788" t="n">
        <v>0</v>
      </c>
      <c r="M5788" t="n">
        <v>0</v>
      </c>
      <c r="N5788" t="n">
        <v>0</v>
      </c>
      <c r="O5788" t="n">
        <v>0</v>
      </c>
      <c r="P5788" t="n">
        <v>0</v>
      </c>
      <c r="Q5788" t="n">
        <v>0</v>
      </c>
      <c r="R5788" s="2" t="inlineStr"/>
    </row>
    <row r="5789" ht="15" customHeight="1">
      <c r="A5789" t="inlineStr">
        <is>
          <t>A 55989-2025</t>
        </is>
      </c>
      <c r="B5789" s="1" t="n">
        <v>45973.55604166666</v>
      </c>
      <c r="C5789" s="1" t="n">
        <v>46114</v>
      </c>
      <c r="D5789" t="inlineStr">
        <is>
          <t>DALARNAS LÄN</t>
        </is>
      </c>
      <c r="E5789" t="inlineStr">
        <is>
          <t>FALUN</t>
        </is>
      </c>
      <c r="G5789" t="n">
        <v>6.8</v>
      </c>
      <c r="H5789" t="n">
        <v>0</v>
      </c>
      <c r="I5789" t="n">
        <v>0</v>
      </c>
      <c r="J5789" t="n">
        <v>0</v>
      </c>
      <c r="K5789" t="n">
        <v>0</v>
      </c>
      <c r="L5789" t="n">
        <v>0</v>
      </c>
      <c r="M5789" t="n">
        <v>0</v>
      </c>
      <c r="N5789" t="n">
        <v>0</v>
      </c>
      <c r="O5789" t="n">
        <v>0</v>
      </c>
      <c r="P5789" t="n">
        <v>0</v>
      </c>
      <c r="Q5789" t="n">
        <v>0</v>
      </c>
      <c r="R5789" s="2" t="inlineStr"/>
    </row>
    <row r="5790" ht="15" customHeight="1">
      <c r="A5790" t="inlineStr">
        <is>
          <t>A 56002-2025</t>
        </is>
      </c>
      <c r="B5790" s="1" t="n">
        <v>45973</v>
      </c>
      <c r="C5790" s="1" t="n">
        <v>46114</v>
      </c>
      <c r="D5790" t="inlineStr">
        <is>
          <t>DALARNAS LÄN</t>
        </is>
      </c>
      <c r="E5790" t="inlineStr">
        <is>
          <t>LUDVIKA</t>
        </is>
      </c>
      <c r="F5790" t="inlineStr">
        <is>
          <t>Bergvik skog väst AB</t>
        </is>
      </c>
      <c r="G5790" t="n">
        <v>4.9</v>
      </c>
      <c r="H5790" t="n">
        <v>0</v>
      </c>
      <c r="I5790" t="n">
        <v>0</v>
      </c>
      <c r="J5790" t="n">
        <v>0</v>
      </c>
      <c r="K5790" t="n">
        <v>0</v>
      </c>
      <c r="L5790" t="n">
        <v>0</v>
      </c>
      <c r="M5790" t="n">
        <v>0</v>
      </c>
      <c r="N5790" t="n">
        <v>0</v>
      </c>
      <c r="O5790" t="n">
        <v>0</v>
      </c>
      <c r="P5790" t="n">
        <v>0</v>
      </c>
      <c r="Q5790" t="n">
        <v>0</v>
      </c>
      <c r="R5790" s="2" t="inlineStr"/>
    </row>
    <row r="5791" ht="15" customHeight="1">
      <c r="A5791" t="inlineStr">
        <is>
          <t>A 29635-2024</t>
        </is>
      </c>
      <c r="B5791" s="1" t="n">
        <v>45484.68149305556</v>
      </c>
      <c r="C5791" s="1" t="n">
        <v>46114</v>
      </c>
      <c r="D5791" t="inlineStr">
        <is>
          <t>DALARNAS LÄN</t>
        </is>
      </c>
      <c r="E5791" t="inlineStr">
        <is>
          <t>SÄTER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55882-2025</t>
        </is>
      </c>
      <c r="B5792" s="1" t="n">
        <v>45973.36538194444</v>
      </c>
      <c r="C5792" s="1" t="n">
        <v>46114</v>
      </c>
      <c r="D5792" t="inlineStr">
        <is>
          <t>DALARNAS LÄN</t>
        </is>
      </c>
      <c r="E5792" t="inlineStr">
        <is>
          <t>MALUNG-SÄLEN</t>
        </is>
      </c>
      <c r="F5792" t="inlineStr">
        <is>
          <t>Bergvik skog öst AB</t>
        </is>
      </c>
      <c r="G5792" t="n">
        <v>5.4</v>
      </c>
      <c r="H5792" t="n">
        <v>0</v>
      </c>
      <c r="I5792" t="n">
        <v>0</v>
      </c>
      <c r="J5792" t="n">
        <v>0</v>
      </c>
      <c r="K5792" t="n">
        <v>0</v>
      </c>
      <c r="L5792" t="n">
        <v>0</v>
      </c>
      <c r="M5792" t="n">
        <v>0</v>
      </c>
      <c r="N5792" t="n">
        <v>0</v>
      </c>
      <c r="O5792" t="n">
        <v>0</v>
      </c>
      <c r="P5792" t="n">
        <v>0</v>
      </c>
      <c r="Q5792" t="n">
        <v>0</v>
      </c>
      <c r="R5792" s="2" t="inlineStr"/>
    </row>
    <row r="5793" ht="15" customHeight="1">
      <c r="A5793" t="inlineStr">
        <is>
          <t>A 6632-2023</t>
        </is>
      </c>
      <c r="B5793" s="1" t="n">
        <v>44966.57096064815</v>
      </c>
      <c r="C5793" s="1" t="n">
        <v>46114</v>
      </c>
      <c r="D5793" t="inlineStr">
        <is>
          <t>DALARNAS LÄN</t>
        </is>
      </c>
      <c r="E5793" t="inlineStr">
        <is>
          <t>VANSBRO</t>
        </is>
      </c>
      <c r="G5793" t="n">
        <v>0.8</v>
      </c>
      <c r="H5793" t="n">
        <v>0</v>
      </c>
      <c r="I5793" t="n">
        <v>0</v>
      </c>
      <c r="J5793" t="n">
        <v>0</v>
      </c>
      <c r="K5793" t="n">
        <v>0</v>
      </c>
      <c r="L5793" t="n">
        <v>0</v>
      </c>
      <c r="M5793" t="n">
        <v>0</v>
      </c>
      <c r="N5793" t="n">
        <v>0</v>
      </c>
      <c r="O5793" t="n">
        <v>0</v>
      </c>
      <c r="P5793" t="n">
        <v>0</v>
      </c>
      <c r="Q5793" t="n">
        <v>0</v>
      </c>
      <c r="R5793" s="2" t="inlineStr"/>
    </row>
    <row r="5794" ht="15" customHeight="1">
      <c r="A5794" t="inlineStr">
        <is>
          <t>A 55613-2025</t>
        </is>
      </c>
      <c r="B5794" s="1" t="n">
        <v>45971.82702546296</v>
      </c>
      <c r="C5794" s="1" t="n">
        <v>46114</v>
      </c>
      <c r="D5794" t="inlineStr">
        <is>
          <t>DALARNAS LÄN</t>
        </is>
      </c>
      <c r="E5794" t="inlineStr">
        <is>
          <t>MALUNG-SÄLEN</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55601-2025</t>
        </is>
      </c>
      <c r="B5795" s="1" t="n">
        <v>45971.78122685185</v>
      </c>
      <c r="C5795" s="1" t="n">
        <v>46114</v>
      </c>
      <c r="D5795" t="inlineStr">
        <is>
          <t>DALARNAS LÄN</t>
        </is>
      </c>
      <c r="E5795" t="inlineStr">
        <is>
          <t>HEDEMORA</t>
        </is>
      </c>
      <c r="G5795" t="n">
        <v>3.2</v>
      </c>
      <c r="H5795" t="n">
        <v>0</v>
      </c>
      <c r="I5795" t="n">
        <v>0</v>
      </c>
      <c r="J5795" t="n">
        <v>0</v>
      </c>
      <c r="K5795" t="n">
        <v>0</v>
      </c>
      <c r="L5795" t="n">
        <v>0</v>
      </c>
      <c r="M5795" t="n">
        <v>0</v>
      </c>
      <c r="N5795" t="n">
        <v>0</v>
      </c>
      <c r="O5795" t="n">
        <v>0</v>
      </c>
      <c r="P5795" t="n">
        <v>0</v>
      </c>
      <c r="Q5795" t="n">
        <v>0</v>
      </c>
      <c r="R5795" s="2" t="inlineStr"/>
    </row>
    <row r="5796" ht="15" customHeight="1">
      <c r="A5796" t="inlineStr">
        <is>
          <t>A 6722-2023</t>
        </is>
      </c>
      <c r="B5796" s="1" t="n">
        <v>44966.71741898148</v>
      </c>
      <c r="C5796" s="1" t="n">
        <v>46114</v>
      </c>
      <c r="D5796" t="inlineStr">
        <is>
          <t>DALARNAS LÄN</t>
        </is>
      </c>
      <c r="E5796" t="inlineStr">
        <is>
          <t>SMEDJEBACKEN</t>
        </is>
      </c>
      <c r="G5796" t="n">
        <v>2.3</v>
      </c>
      <c r="H5796" t="n">
        <v>0</v>
      </c>
      <c r="I5796" t="n">
        <v>0</v>
      </c>
      <c r="J5796" t="n">
        <v>0</v>
      </c>
      <c r="K5796" t="n">
        <v>0</v>
      </c>
      <c r="L5796" t="n">
        <v>0</v>
      </c>
      <c r="M5796" t="n">
        <v>0</v>
      </c>
      <c r="N5796" t="n">
        <v>0</v>
      </c>
      <c r="O5796" t="n">
        <v>0</v>
      </c>
      <c r="P5796" t="n">
        <v>0</v>
      </c>
      <c r="Q5796" t="n">
        <v>0</v>
      </c>
      <c r="R5796" s="2" t="inlineStr"/>
    </row>
    <row r="5797" ht="15" customHeight="1">
      <c r="A5797" t="inlineStr">
        <is>
          <t>A 52780-2023</t>
        </is>
      </c>
      <c r="B5797" s="1" t="n">
        <v>45226.34015046297</v>
      </c>
      <c r="C5797" s="1" t="n">
        <v>46114</v>
      </c>
      <c r="D5797" t="inlineStr">
        <is>
          <t>DALARNAS LÄN</t>
        </is>
      </c>
      <c r="E5797" t="inlineStr">
        <is>
          <t>SMEDJEBACKEN</t>
        </is>
      </c>
      <c r="F5797" t="inlineStr">
        <is>
          <t>Sveaskog</t>
        </is>
      </c>
      <c r="G5797" t="n">
        <v>1.2</v>
      </c>
      <c r="H5797" t="n">
        <v>0</v>
      </c>
      <c r="I5797" t="n">
        <v>0</v>
      </c>
      <c r="J5797" t="n">
        <v>0</v>
      </c>
      <c r="K5797" t="n">
        <v>0</v>
      </c>
      <c r="L5797" t="n">
        <v>0</v>
      </c>
      <c r="M5797" t="n">
        <v>0</v>
      </c>
      <c r="N5797" t="n">
        <v>0</v>
      </c>
      <c r="O5797" t="n">
        <v>0</v>
      </c>
      <c r="P5797" t="n">
        <v>0</v>
      </c>
      <c r="Q5797" t="n">
        <v>0</v>
      </c>
      <c r="R5797" s="2" t="inlineStr"/>
    </row>
    <row r="5798" ht="15" customHeight="1">
      <c r="A5798" t="inlineStr">
        <is>
          <t>A 38444-2024</t>
        </is>
      </c>
      <c r="B5798" s="1" t="n">
        <v>45546.42988425926</v>
      </c>
      <c r="C5798" s="1" t="n">
        <v>46114</v>
      </c>
      <c r="D5798" t="inlineStr">
        <is>
          <t>DALARNAS LÄN</t>
        </is>
      </c>
      <c r="E5798" t="inlineStr">
        <is>
          <t>GAGNEF</t>
        </is>
      </c>
      <c r="F5798" t="inlineStr">
        <is>
          <t>Bergvik skog väst AB</t>
        </is>
      </c>
      <c r="G5798" t="n">
        <v>2.5</v>
      </c>
      <c r="H5798" t="n">
        <v>0</v>
      </c>
      <c r="I5798" t="n">
        <v>0</v>
      </c>
      <c r="J5798" t="n">
        <v>0</v>
      </c>
      <c r="K5798" t="n">
        <v>0</v>
      </c>
      <c r="L5798" t="n">
        <v>0</v>
      </c>
      <c r="M5798" t="n">
        <v>0</v>
      </c>
      <c r="N5798" t="n">
        <v>0</v>
      </c>
      <c r="O5798" t="n">
        <v>0</v>
      </c>
      <c r="P5798" t="n">
        <v>0</v>
      </c>
      <c r="Q5798" t="n">
        <v>0</v>
      </c>
      <c r="R5798" s="2" t="inlineStr"/>
    </row>
    <row r="5799" ht="15" customHeight="1">
      <c r="A5799" t="inlineStr">
        <is>
          <t>A 55972-2025</t>
        </is>
      </c>
      <c r="B5799" s="1" t="n">
        <v>45973.499375</v>
      </c>
      <c r="C5799" s="1" t="n">
        <v>46114</v>
      </c>
      <c r="D5799" t="inlineStr">
        <is>
          <t>DALARNAS LÄN</t>
        </is>
      </c>
      <c r="E5799" t="inlineStr">
        <is>
          <t>LUDVIKA</t>
        </is>
      </c>
      <c r="F5799" t="inlineStr">
        <is>
          <t>Bergvik skog väst AB</t>
        </is>
      </c>
      <c r="G5799" t="n">
        <v>3.9</v>
      </c>
      <c r="H5799" t="n">
        <v>0</v>
      </c>
      <c r="I5799" t="n">
        <v>0</v>
      </c>
      <c r="J5799" t="n">
        <v>0</v>
      </c>
      <c r="K5799" t="n">
        <v>0</v>
      </c>
      <c r="L5799" t="n">
        <v>0</v>
      </c>
      <c r="M5799" t="n">
        <v>0</v>
      </c>
      <c r="N5799" t="n">
        <v>0</v>
      </c>
      <c r="O5799" t="n">
        <v>0</v>
      </c>
      <c r="P5799" t="n">
        <v>0</v>
      </c>
      <c r="Q5799" t="n">
        <v>0</v>
      </c>
      <c r="R5799" s="2" t="inlineStr"/>
    </row>
    <row r="5800" ht="15" customHeight="1">
      <c r="A5800" t="inlineStr">
        <is>
          <t>A 55974-2025</t>
        </is>
      </c>
      <c r="B5800" s="1" t="n">
        <v>45973.50497685185</v>
      </c>
      <c r="C5800" s="1" t="n">
        <v>46114</v>
      </c>
      <c r="D5800" t="inlineStr">
        <is>
          <t>DALARNAS LÄN</t>
        </is>
      </c>
      <c r="E5800" t="inlineStr">
        <is>
          <t>LUDVIKA</t>
        </is>
      </c>
      <c r="F5800" t="inlineStr">
        <is>
          <t>Bergvik skog väst AB</t>
        </is>
      </c>
      <c r="G5800" t="n">
        <v>5.1</v>
      </c>
      <c r="H5800" t="n">
        <v>0</v>
      </c>
      <c r="I5800" t="n">
        <v>0</v>
      </c>
      <c r="J5800" t="n">
        <v>0</v>
      </c>
      <c r="K5800" t="n">
        <v>0</v>
      </c>
      <c r="L5800" t="n">
        <v>0</v>
      </c>
      <c r="M5800" t="n">
        <v>0</v>
      </c>
      <c r="N5800" t="n">
        <v>0</v>
      </c>
      <c r="O5800" t="n">
        <v>0</v>
      </c>
      <c r="P5800" t="n">
        <v>0</v>
      </c>
      <c r="Q5800" t="n">
        <v>0</v>
      </c>
      <c r="R5800" s="2" t="inlineStr"/>
    </row>
    <row r="5801" ht="15" customHeight="1">
      <c r="A5801" t="inlineStr">
        <is>
          <t>A 13009-2025</t>
        </is>
      </c>
      <c r="B5801" s="1" t="n">
        <v>45734.52072916667</v>
      </c>
      <c r="C5801" s="1" t="n">
        <v>46114</v>
      </c>
      <c r="D5801" t="inlineStr">
        <is>
          <t>DALARNAS LÄN</t>
        </is>
      </c>
      <c r="E5801" t="inlineStr">
        <is>
          <t>AVESTA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55975-2025</t>
        </is>
      </c>
      <c r="B5802" s="1" t="n">
        <v>45973</v>
      </c>
      <c r="C5802" s="1" t="n">
        <v>46114</v>
      </c>
      <c r="D5802" t="inlineStr">
        <is>
          <t>DALARNAS LÄN</t>
        </is>
      </c>
      <c r="E5802" t="inlineStr">
        <is>
          <t>RÄTTVIK</t>
        </is>
      </c>
      <c r="G5802" t="n">
        <v>1.9</v>
      </c>
      <c r="H5802" t="n">
        <v>0</v>
      </c>
      <c r="I5802" t="n">
        <v>0</v>
      </c>
      <c r="J5802" t="n">
        <v>0</v>
      </c>
      <c r="K5802" t="n">
        <v>0</v>
      </c>
      <c r="L5802" t="n">
        <v>0</v>
      </c>
      <c r="M5802" t="n">
        <v>0</v>
      </c>
      <c r="N5802" t="n">
        <v>0</v>
      </c>
      <c r="O5802" t="n">
        <v>0</v>
      </c>
      <c r="P5802" t="n">
        <v>0</v>
      </c>
      <c r="Q5802" t="n">
        <v>0</v>
      </c>
      <c r="R5802" s="2" t="inlineStr"/>
    </row>
    <row r="5803" ht="15" customHeight="1">
      <c r="A5803" t="inlineStr">
        <is>
          <t>A 55924-2025</t>
        </is>
      </c>
      <c r="B5803" s="1" t="n">
        <v>45973.42548611111</v>
      </c>
      <c r="C5803" s="1" t="n">
        <v>46114</v>
      </c>
      <c r="D5803" t="inlineStr">
        <is>
          <t>DALARNAS LÄN</t>
        </is>
      </c>
      <c r="E5803" t="inlineStr">
        <is>
          <t>ÄLVDALEN</t>
        </is>
      </c>
      <c r="F5803" t="inlineStr">
        <is>
          <t>Övriga statliga verk och myndigheter</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55932-2025</t>
        </is>
      </c>
      <c r="B5804" s="1" t="n">
        <v>45973</v>
      </c>
      <c r="C5804" s="1" t="n">
        <v>46114</v>
      </c>
      <c r="D5804" t="inlineStr">
        <is>
          <t>DALARNAS LÄN</t>
        </is>
      </c>
      <c r="E5804" t="inlineStr">
        <is>
          <t>LUDVIKA</t>
        </is>
      </c>
      <c r="F5804" t="inlineStr">
        <is>
          <t>Bergvik skog väst AB</t>
        </is>
      </c>
      <c r="G5804" t="n">
        <v>2.4</v>
      </c>
      <c r="H5804" t="n">
        <v>0</v>
      </c>
      <c r="I5804" t="n">
        <v>0</v>
      </c>
      <c r="J5804" t="n">
        <v>0</v>
      </c>
      <c r="K5804" t="n">
        <v>0</v>
      </c>
      <c r="L5804" t="n">
        <v>0</v>
      </c>
      <c r="M5804" t="n">
        <v>0</v>
      </c>
      <c r="N5804" t="n">
        <v>0</v>
      </c>
      <c r="O5804" t="n">
        <v>0</v>
      </c>
      <c r="P5804" t="n">
        <v>0</v>
      </c>
      <c r="Q5804" t="n">
        <v>0</v>
      </c>
      <c r="R5804" s="2" t="inlineStr"/>
    </row>
    <row r="5805" ht="15" customHeight="1">
      <c r="A5805" t="inlineStr">
        <is>
          <t>A 55606-2025</t>
        </is>
      </c>
      <c r="B5805" s="1" t="n">
        <v>45971.79564814815</v>
      </c>
      <c r="C5805" s="1" t="n">
        <v>46114</v>
      </c>
      <c r="D5805" t="inlineStr">
        <is>
          <t>DALARNAS LÄN</t>
        </is>
      </c>
      <c r="E5805" t="inlineStr">
        <is>
          <t>HEDEMORA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8588-2024</t>
        </is>
      </c>
      <c r="B5806" s="1" t="n">
        <v>45352</v>
      </c>
      <c r="C5806" s="1" t="n">
        <v>46114</v>
      </c>
      <c r="D5806" t="inlineStr">
        <is>
          <t>DALARNAS LÄN</t>
        </is>
      </c>
      <c r="E5806" t="inlineStr">
        <is>
          <t>MALUNG-SÄLEN</t>
        </is>
      </c>
      <c r="F5806" t="inlineStr">
        <is>
          <t>Allmännings- och besparingsskogar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18042-2023</t>
        </is>
      </c>
      <c r="B5807" s="1" t="n">
        <v>45040.6084837963</v>
      </c>
      <c r="C5807" s="1" t="n">
        <v>46114</v>
      </c>
      <c r="D5807" t="inlineStr">
        <is>
          <t>DALARNAS LÄN</t>
        </is>
      </c>
      <c r="E5807" t="inlineStr">
        <is>
          <t>AVESTA</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18050-2023</t>
        </is>
      </c>
      <c r="B5808" s="1" t="n">
        <v>45040</v>
      </c>
      <c r="C5808" s="1" t="n">
        <v>46114</v>
      </c>
      <c r="D5808" t="inlineStr">
        <is>
          <t>DALARNAS LÄN</t>
        </is>
      </c>
      <c r="E5808" t="inlineStr">
        <is>
          <t>FALUN</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56009-2025</t>
        </is>
      </c>
      <c r="B5809" s="1" t="n">
        <v>45973.58447916667</v>
      </c>
      <c r="C5809" s="1" t="n">
        <v>46114</v>
      </c>
      <c r="D5809" t="inlineStr">
        <is>
          <t>DALARNAS LÄN</t>
        </is>
      </c>
      <c r="E5809" t="inlineStr">
        <is>
          <t>AVESTA</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56029-2025</t>
        </is>
      </c>
      <c r="B5810" s="1" t="n">
        <v>45973.60090277778</v>
      </c>
      <c r="C5810" s="1" t="n">
        <v>46114</v>
      </c>
      <c r="D5810" t="inlineStr">
        <is>
          <t>DALARNAS LÄN</t>
        </is>
      </c>
      <c r="E5810" t="inlineStr">
        <is>
          <t>SMEDJEBACKEN</t>
        </is>
      </c>
      <c r="G5810" t="n">
        <v>3.2</v>
      </c>
      <c r="H5810" t="n">
        <v>0</v>
      </c>
      <c r="I5810" t="n">
        <v>0</v>
      </c>
      <c r="J5810" t="n">
        <v>0</v>
      </c>
      <c r="K5810" t="n">
        <v>0</v>
      </c>
      <c r="L5810" t="n">
        <v>0</v>
      </c>
      <c r="M5810" t="n">
        <v>0</v>
      </c>
      <c r="N5810" t="n">
        <v>0</v>
      </c>
      <c r="O5810" t="n">
        <v>0</v>
      </c>
      <c r="P5810" t="n">
        <v>0</v>
      </c>
      <c r="Q5810" t="n">
        <v>0</v>
      </c>
      <c r="R5810" s="2" t="inlineStr"/>
    </row>
    <row r="5811" ht="15" customHeight="1">
      <c r="A5811" t="inlineStr">
        <is>
          <t>A 56030-2025</t>
        </is>
      </c>
      <c r="B5811" s="1" t="n">
        <v>45973</v>
      </c>
      <c r="C5811" s="1" t="n">
        <v>46114</v>
      </c>
      <c r="D5811" t="inlineStr">
        <is>
          <t>DALARNAS LÄN</t>
        </is>
      </c>
      <c r="E5811" t="inlineStr">
        <is>
          <t>LUDVIKA</t>
        </is>
      </c>
      <c r="F5811" t="inlineStr">
        <is>
          <t>Bergvik skog väst AB</t>
        </is>
      </c>
      <c r="G5811" t="n">
        <v>6.3</v>
      </c>
      <c r="H5811" t="n">
        <v>0</v>
      </c>
      <c r="I5811" t="n">
        <v>0</v>
      </c>
      <c r="J5811" t="n">
        <v>0</v>
      </c>
      <c r="K5811" t="n">
        <v>0</v>
      </c>
      <c r="L5811" t="n">
        <v>0</v>
      </c>
      <c r="M5811" t="n">
        <v>0</v>
      </c>
      <c r="N5811" t="n">
        <v>0</v>
      </c>
      <c r="O5811" t="n">
        <v>0</v>
      </c>
      <c r="P5811" t="n">
        <v>0</v>
      </c>
      <c r="Q5811" t="n">
        <v>0</v>
      </c>
      <c r="R5811" s="2" t="inlineStr"/>
    </row>
    <row r="5812" ht="15" customHeight="1">
      <c r="A5812" t="inlineStr">
        <is>
          <t>A 55919-2025</t>
        </is>
      </c>
      <c r="B5812" s="1" t="n">
        <v>45973.41636574074</v>
      </c>
      <c r="C5812" s="1" t="n">
        <v>46114</v>
      </c>
      <c r="D5812" t="inlineStr">
        <is>
          <t>DALARNAS LÄN</t>
        </is>
      </c>
      <c r="E5812" t="inlineStr">
        <is>
          <t>ÄLVDALEN</t>
        </is>
      </c>
      <c r="F5812" t="inlineStr">
        <is>
          <t>Övriga statliga verk och myndigheter</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10899-2024</t>
        </is>
      </c>
      <c r="B5813" s="1" t="n">
        <v>45370.35925925926</v>
      </c>
      <c r="C5813" s="1" t="n">
        <v>46114</v>
      </c>
      <c r="D5813" t="inlineStr">
        <is>
          <t>DALARNAS LÄN</t>
        </is>
      </c>
      <c r="E5813" t="inlineStr">
        <is>
          <t>AVESTA</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56049-2025</t>
        </is>
      </c>
      <c r="B5814" s="1" t="n">
        <v>45973.62686342592</v>
      </c>
      <c r="C5814" s="1" t="n">
        <v>46114</v>
      </c>
      <c r="D5814" t="inlineStr">
        <is>
          <t>DALARNAS LÄN</t>
        </is>
      </c>
      <c r="E5814" t="inlineStr">
        <is>
          <t>RÄTTVIK</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56069-2025</t>
        </is>
      </c>
      <c r="B5815" s="1" t="n">
        <v>45973.64831018518</v>
      </c>
      <c r="C5815" s="1" t="n">
        <v>46114</v>
      </c>
      <c r="D5815" t="inlineStr">
        <is>
          <t>DALARNAS LÄN</t>
        </is>
      </c>
      <c r="E5815" t="inlineStr">
        <is>
          <t>SMEDJEBACKEN</t>
        </is>
      </c>
      <c r="F5815" t="inlineStr">
        <is>
          <t>Bergvik skog väst AB</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55646-2025</t>
        </is>
      </c>
      <c r="B5816" s="1" t="n">
        <v>45972</v>
      </c>
      <c r="C5816" s="1" t="n">
        <v>46114</v>
      </c>
      <c r="D5816" t="inlineStr">
        <is>
          <t>DALARNAS LÄN</t>
        </is>
      </c>
      <c r="E5816" t="inlineStr">
        <is>
          <t>LUDVIKA</t>
        </is>
      </c>
      <c r="F5816" t="inlineStr">
        <is>
          <t>Bergvik skog väst AB</t>
        </is>
      </c>
      <c r="G5816" t="n">
        <v>2.7</v>
      </c>
      <c r="H5816" t="n">
        <v>0</v>
      </c>
      <c r="I5816" t="n">
        <v>0</v>
      </c>
      <c r="J5816" t="n">
        <v>0</v>
      </c>
      <c r="K5816" t="n">
        <v>0</v>
      </c>
      <c r="L5816" t="n">
        <v>0</v>
      </c>
      <c r="M5816" t="n">
        <v>0</v>
      </c>
      <c r="N5816" t="n">
        <v>0</v>
      </c>
      <c r="O5816" t="n">
        <v>0</v>
      </c>
      <c r="P5816" t="n">
        <v>0</v>
      </c>
      <c r="Q5816" t="n">
        <v>0</v>
      </c>
      <c r="R5816" s="2" t="inlineStr"/>
    </row>
    <row r="5817" ht="15" customHeight="1">
      <c r="A5817" t="inlineStr">
        <is>
          <t>A 46152-2023</t>
        </is>
      </c>
      <c r="B5817" s="1" t="n">
        <v>45196.58278935185</v>
      </c>
      <c r="C5817" s="1" t="n">
        <v>46114</v>
      </c>
      <c r="D5817" t="inlineStr">
        <is>
          <t>DALARNAS LÄN</t>
        </is>
      </c>
      <c r="E5817" t="inlineStr">
        <is>
          <t>MORA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47633-2022</t>
        </is>
      </c>
      <c r="B5818" s="1" t="n">
        <v>44854.41751157407</v>
      </c>
      <c r="C5818" s="1" t="n">
        <v>46114</v>
      </c>
      <c r="D5818" t="inlineStr">
        <is>
          <t>DALARNAS LÄN</t>
        </is>
      </c>
      <c r="E5818" t="inlineStr">
        <is>
          <t>FALUN</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55813-2025</t>
        </is>
      </c>
      <c r="B5819" s="1" t="n">
        <v>45972.68134259259</v>
      </c>
      <c r="C5819" s="1" t="n">
        <v>46114</v>
      </c>
      <c r="D5819" t="inlineStr">
        <is>
          <t>DALARNAS LÄN</t>
        </is>
      </c>
      <c r="E5819" t="inlineStr">
        <is>
          <t>MALUNG-SÄLEN</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55814-2025</t>
        </is>
      </c>
      <c r="B5820" s="1" t="n">
        <v>45972</v>
      </c>
      <c r="C5820" s="1" t="n">
        <v>46114</v>
      </c>
      <c r="D5820" t="inlineStr">
        <is>
          <t>DALARNAS LÄN</t>
        </is>
      </c>
      <c r="E5820" t="inlineStr">
        <is>
          <t>MALUNG-SÄLEN</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55767-2025</t>
        </is>
      </c>
      <c r="B5821" s="1" t="n">
        <v>45972.61436342593</v>
      </c>
      <c r="C5821" s="1" t="n">
        <v>46114</v>
      </c>
      <c r="D5821" t="inlineStr">
        <is>
          <t>DALARNAS LÄN</t>
        </is>
      </c>
      <c r="E5821" t="inlineStr">
        <is>
          <t>VANSBRO</t>
        </is>
      </c>
      <c r="F5821" t="inlineStr">
        <is>
          <t>Bergvik skog väst AB</t>
        </is>
      </c>
      <c r="G5821" t="n">
        <v>2</v>
      </c>
      <c r="H5821" t="n">
        <v>0</v>
      </c>
      <c r="I5821" t="n">
        <v>0</v>
      </c>
      <c r="J5821" t="n">
        <v>0</v>
      </c>
      <c r="K5821" t="n">
        <v>0</v>
      </c>
      <c r="L5821" t="n">
        <v>0</v>
      </c>
      <c r="M5821" t="n">
        <v>0</v>
      </c>
      <c r="N5821" t="n">
        <v>0</v>
      </c>
      <c r="O5821" t="n">
        <v>0</v>
      </c>
      <c r="P5821" t="n">
        <v>0</v>
      </c>
      <c r="Q5821" t="n">
        <v>0</v>
      </c>
      <c r="R5821" s="2" t="inlineStr"/>
    </row>
    <row r="5822" ht="15" customHeight="1">
      <c r="A5822" t="inlineStr">
        <is>
          <t>A 55784-2025</t>
        </is>
      </c>
      <c r="B5822" s="1" t="n">
        <v>45972.63765046297</v>
      </c>
      <c r="C5822" s="1" t="n">
        <v>46114</v>
      </c>
      <c r="D5822" t="inlineStr">
        <is>
          <t>DALARNAS LÄN</t>
        </is>
      </c>
      <c r="E5822" t="inlineStr">
        <is>
          <t>LEKSAND</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55801-2025</t>
        </is>
      </c>
      <c r="B5823" s="1" t="n">
        <v>45972.67065972222</v>
      </c>
      <c r="C5823" s="1" t="n">
        <v>46114</v>
      </c>
      <c r="D5823" t="inlineStr">
        <is>
          <t>DALARNAS LÄN</t>
        </is>
      </c>
      <c r="E5823" t="inlineStr">
        <is>
          <t>GAGNEF</t>
        </is>
      </c>
      <c r="G5823" t="n">
        <v>2.9</v>
      </c>
      <c r="H5823" t="n">
        <v>0</v>
      </c>
      <c r="I5823" t="n">
        <v>0</v>
      </c>
      <c r="J5823" t="n">
        <v>0</v>
      </c>
      <c r="K5823" t="n">
        <v>0</v>
      </c>
      <c r="L5823" t="n">
        <v>0</v>
      </c>
      <c r="M5823" t="n">
        <v>0</v>
      </c>
      <c r="N5823" t="n">
        <v>0</v>
      </c>
      <c r="O5823" t="n">
        <v>0</v>
      </c>
      <c r="P5823" t="n">
        <v>0</v>
      </c>
      <c r="Q5823" t="n">
        <v>0</v>
      </c>
      <c r="R5823" s="2" t="inlineStr"/>
    </row>
    <row r="5824" ht="15" customHeight="1">
      <c r="A5824" t="inlineStr">
        <is>
          <t>A 55624-2025</t>
        </is>
      </c>
      <c r="B5824" s="1" t="n">
        <v>45972.31445601852</v>
      </c>
      <c r="C5824" s="1" t="n">
        <v>46114</v>
      </c>
      <c r="D5824" t="inlineStr">
        <is>
          <t>DALARNAS LÄN</t>
        </is>
      </c>
      <c r="E5824" t="inlineStr">
        <is>
          <t>RÄTTVIK</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56107-2025</t>
        </is>
      </c>
      <c r="B5825" s="1" t="n">
        <v>45973</v>
      </c>
      <c r="C5825" s="1" t="n">
        <v>46114</v>
      </c>
      <c r="D5825" t="inlineStr">
        <is>
          <t>DALARNAS LÄN</t>
        </is>
      </c>
      <c r="E5825" t="inlineStr">
        <is>
          <t>SÄTER</t>
        </is>
      </c>
      <c r="F5825" t="inlineStr">
        <is>
          <t>Övriga statliga verk och myndigheter</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7172-2025</t>
        </is>
      </c>
      <c r="B5826" s="1" t="n">
        <v>45702.41383101852</v>
      </c>
      <c r="C5826" s="1" t="n">
        <v>46114</v>
      </c>
      <c r="D5826" t="inlineStr">
        <is>
          <t>DALARNAS LÄN</t>
        </is>
      </c>
      <c r="E5826" t="inlineStr">
        <is>
          <t>HEDEMORA</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28832-2023</t>
        </is>
      </c>
      <c r="B5827" s="1" t="n">
        <v>45104.40493055555</v>
      </c>
      <c r="C5827" s="1" t="n">
        <v>46114</v>
      </c>
      <c r="D5827" t="inlineStr">
        <is>
          <t>DALARNAS LÄN</t>
        </is>
      </c>
      <c r="E5827" t="inlineStr">
        <is>
          <t>MORA</t>
        </is>
      </c>
      <c r="F5827" t="inlineStr">
        <is>
          <t>Bergvik skog öst AB</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14685-2024</t>
        </is>
      </c>
      <c r="B5828" s="1" t="n">
        <v>45397.46623842593</v>
      </c>
      <c r="C5828" s="1" t="n">
        <v>46114</v>
      </c>
      <c r="D5828" t="inlineStr">
        <is>
          <t>DALARNAS LÄN</t>
        </is>
      </c>
      <c r="E5828" t="inlineStr">
        <is>
          <t>SMEDJEBACKEN</t>
        </is>
      </c>
      <c r="F5828" t="inlineStr">
        <is>
          <t>Övriga Aktiebolag</t>
        </is>
      </c>
      <c r="G5828" t="n">
        <v>14.3</v>
      </c>
      <c r="H5828" t="n">
        <v>0</v>
      </c>
      <c r="I5828" t="n">
        <v>0</v>
      </c>
      <c r="J5828" t="n">
        <v>0</v>
      </c>
      <c r="K5828" t="n">
        <v>0</v>
      </c>
      <c r="L5828" t="n">
        <v>0</v>
      </c>
      <c r="M5828" t="n">
        <v>0</v>
      </c>
      <c r="N5828" t="n">
        <v>0</v>
      </c>
      <c r="O5828" t="n">
        <v>0</v>
      </c>
      <c r="P5828" t="n">
        <v>0</v>
      </c>
      <c r="Q5828" t="n">
        <v>0</v>
      </c>
      <c r="R5828" s="2" t="inlineStr"/>
    </row>
    <row r="5829" ht="15" customHeight="1">
      <c r="A5829" t="inlineStr">
        <is>
          <t>A 56081-2025</t>
        </is>
      </c>
      <c r="B5829" s="1" t="n">
        <v>45973.66032407407</v>
      </c>
      <c r="C5829" s="1" t="n">
        <v>46114</v>
      </c>
      <c r="D5829" t="inlineStr">
        <is>
          <t>DALARNAS LÄN</t>
        </is>
      </c>
      <c r="E5829" t="inlineStr">
        <is>
          <t>MALUNG-SÄLEN</t>
        </is>
      </c>
      <c r="F5829" t="inlineStr">
        <is>
          <t>Bergvik skog väst AB</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51901-2023</t>
        </is>
      </c>
      <c r="B5830" s="1" t="n">
        <v>45223.4309375</v>
      </c>
      <c r="C5830" s="1" t="n">
        <v>46114</v>
      </c>
      <c r="D5830" t="inlineStr">
        <is>
          <t>DALARNAS LÄN</t>
        </is>
      </c>
      <c r="E5830" t="inlineStr">
        <is>
          <t>MALUNG-SÄLEN</t>
        </is>
      </c>
      <c r="F5830" t="inlineStr">
        <is>
          <t>Bergvik skog öst AB</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56070-2025</t>
        </is>
      </c>
      <c r="B5831" s="1" t="n">
        <v>45973.65067129629</v>
      </c>
      <c r="C5831" s="1" t="n">
        <v>46114</v>
      </c>
      <c r="D5831" t="inlineStr">
        <is>
          <t>DALARNAS LÄN</t>
        </is>
      </c>
      <c r="E5831" t="inlineStr">
        <is>
          <t>HEDEMORA</t>
        </is>
      </c>
      <c r="F5831" t="inlineStr">
        <is>
          <t>Bergvik skog väst AB</t>
        </is>
      </c>
      <c r="G5831" t="n">
        <v>5.4</v>
      </c>
      <c r="H5831" t="n">
        <v>0</v>
      </c>
      <c r="I5831" t="n">
        <v>0</v>
      </c>
      <c r="J5831" t="n">
        <v>0</v>
      </c>
      <c r="K5831" t="n">
        <v>0</v>
      </c>
      <c r="L5831" t="n">
        <v>0</v>
      </c>
      <c r="M5831" t="n">
        <v>0</v>
      </c>
      <c r="N5831" t="n">
        <v>0</v>
      </c>
      <c r="O5831" t="n">
        <v>0</v>
      </c>
      <c r="P5831" t="n">
        <v>0</v>
      </c>
      <c r="Q5831" t="n">
        <v>0</v>
      </c>
      <c r="R5831" s="2" t="inlineStr"/>
    </row>
    <row r="5832" ht="15" customHeight="1">
      <c r="A5832" t="inlineStr">
        <is>
          <t>A 55416-2024</t>
        </is>
      </c>
      <c r="B5832" s="1" t="n">
        <v>45621</v>
      </c>
      <c r="C5832" s="1" t="n">
        <v>46114</v>
      </c>
      <c r="D5832" t="inlineStr">
        <is>
          <t>DALARNAS LÄN</t>
        </is>
      </c>
      <c r="E5832" t="inlineStr">
        <is>
          <t>RÄTTVIK</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60421-2021</t>
        </is>
      </c>
      <c r="B5833" s="1" t="n">
        <v>44496.40722222222</v>
      </c>
      <c r="C5833" s="1" t="n">
        <v>46114</v>
      </c>
      <c r="D5833" t="inlineStr">
        <is>
          <t>DALARNAS LÄN</t>
        </is>
      </c>
      <c r="E5833" t="inlineStr">
        <is>
          <t>SMEDJEBACKEN</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55724-2025</t>
        </is>
      </c>
      <c r="B5834" s="1" t="n">
        <v>45972.53078703704</v>
      </c>
      <c r="C5834" s="1" t="n">
        <v>46114</v>
      </c>
      <c r="D5834" t="inlineStr">
        <is>
          <t>DALARNAS LÄN</t>
        </is>
      </c>
      <c r="E5834" t="inlineStr">
        <is>
          <t>FALUN</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16698-2025</t>
        </is>
      </c>
      <c r="B5835" s="1" t="n">
        <v>45754</v>
      </c>
      <c r="C5835" s="1" t="n">
        <v>46114</v>
      </c>
      <c r="D5835" t="inlineStr">
        <is>
          <t>DALARNAS LÄN</t>
        </is>
      </c>
      <c r="E5835" t="inlineStr">
        <is>
          <t>VANSBRO</t>
        </is>
      </c>
      <c r="F5835" t="inlineStr">
        <is>
          <t>Bergvik skog väst AB</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56492-2025</t>
        </is>
      </c>
      <c r="B5836" s="1" t="n">
        <v>45974</v>
      </c>
      <c r="C5836" s="1" t="n">
        <v>46114</v>
      </c>
      <c r="D5836" t="inlineStr">
        <is>
          <t>DALARNAS LÄN</t>
        </is>
      </c>
      <c r="E5836" t="inlineStr">
        <is>
          <t>RÄTTVIK</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5377-2024</t>
        </is>
      </c>
      <c r="B5837" s="1" t="n">
        <v>45331.49379629629</v>
      </c>
      <c r="C5837" s="1" t="n">
        <v>46114</v>
      </c>
      <c r="D5837" t="inlineStr">
        <is>
          <t>DALARNAS LÄN</t>
        </is>
      </c>
      <c r="E5837" t="inlineStr">
        <is>
          <t>VANSBRO</t>
        </is>
      </c>
      <c r="G5837" t="n">
        <v>4.2</v>
      </c>
      <c r="H5837" t="n">
        <v>0</v>
      </c>
      <c r="I5837" t="n">
        <v>0</v>
      </c>
      <c r="J5837" t="n">
        <v>0</v>
      </c>
      <c r="K5837" t="n">
        <v>0</v>
      </c>
      <c r="L5837" t="n">
        <v>0</v>
      </c>
      <c r="M5837" t="n">
        <v>0</v>
      </c>
      <c r="N5837" t="n">
        <v>0</v>
      </c>
      <c r="O5837" t="n">
        <v>0</v>
      </c>
      <c r="P5837" t="n">
        <v>0</v>
      </c>
      <c r="Q5837" t="n">
        <v>0</v>
      </c>
      <c r="R5837" s="2" t="inlineStr"/>
    </row>
    <row r="5838" ht="15" customHeight="1">
      <c r="A5838" t="inlineStr">
        <is>
          <t>A 53509-2022</t>
        </is>
      </c>
      <c r="B5838" s="1" t="n">
        <v>44879</v>
      </c>
      <c r="C5838" s="1" t="n">
        <v>46114</v>
      </c>
      <c r="D5838" t="inlineStr">
        <is>
          <t>DALARNAS LÄN</t>
        </is>
      </c>
      <c r="E5838" t="inlineStr">
        <is>
          <t>LUDVIKA</t>
        </is>
      </c>
      <c r="F5838" t="inlineStr">
        <is>
          <t>Naturvårdsverket</t>
        </is>
      </c>
      <c r="G5838" t="n">
        <v>4.9</v>
      </c>
      <c r="H5838" t="n">
        <v>0</v>
      </c>
      <c r="I5838" t="n">
        <v>0</v>
      </c>
      <c r="J5838" t="n">
        <v>0</v>
      </c>
      <c r="K5838" t="n">
        <v>0</v>
      </c>
      <c r="L5838" t="n">
        <v>0</v>
      </c>
      <c r="M5838" t="n">
        <v>0</v>
      </c>
      <c r="N5838" t="n">
        <v>0</v>
      </c>
      <c r="O5838" t="n">
        <v>0</v>
      </c>
      <c r="P5838" t="n">
        <v>0</v>
      </c>
      <c r="Q5838" t="n">
        <v>0</v>
      </c>
      <c r="R5838" s="2" t="inlineStr"/>
    </row>
    <row r="5839" ht="15" customHeight="1">
      <c r="A5839" t="inlineStr">
        <is>
          <t>A 53568-2023</t>
        </is>
      </c>
      <c r="B5839" s="1" t="n">
        <v>45230.49392361111</v>
      </c>
      <c r="C5839" s="1" t="n">
        <v>46114</v>
      </c>
      <c r="D5839" t="inlineStr">
        <is>
          <t>DALARNAS LÄN</t>
        </is>
      </c>
      <c r="E5839" t="inlineStr">
        <is>
          <t>HEDEMORA</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56344-2025</t>
        </is>
      </c>
      <c r="B5840" s="1" t="n">
        <v>45974.64894675926</v>
      </c>
      <c r="C5840" s="1" t="n">
        <v>46114</v>
      </c>
      <c r="D5840" t="inlineStr">
        <is>
          <t>DALARNAS LÄN</t>
        </is>
      </c>
      <c r="E5840" t="inlineStr">
        <is>
          <t>ORSA</t>
        </is>
      </c>
      <c r="G5840" t="n">
        <v>5.5</v>
      </c>
      <c r="H5840" t="n">
        <v>0</v>
      </c>
      <c r="I5840" t="n">
        <v>0</v>
      </c>
      <c r="J5840" t="n">
        <v>0</v>
      </c>
      <c r="K5840" t="n">
        <v>0</v>
      </c>
      <c r="L5840" t="n">
        <v>0</v>
      </c>
      <c r="M5840" t="n">
        <v>0</v>
      </c>
      <c r="N5840" t="n">
        <v>0</v>
      </c>
      <c r="O5840" t="n">
        <v>0</v>
      </c>
      <c r="P5840" t="n">
        <v>0</v>
      </c>
      <c r="Q5840" t="n">
        <v>0</v>
      </c>
      <c r="R5840" s="2" t="inlineStr"/>
    </row>
    <row r="5841" ht="15" customHeight="1">
      <c r="A5841" t="inlineStr">
        <is>
          <t>A 51115-2024</t>
        </is>
      </c>
      <c r="B5841" s="1" t="n">
        <v>45603.49738425926</v>
      </c>
      <c r="C5841" s="1" t="n">
        <v>46114</v>
      </c>
      <c r="D5841" t="inlineStr">
        <is>
          <t>DALARNAS LÄN</t>
        </is>
      </c>
      <c r="E5841" t="inlineStr">
        <is>
          <t>SMEDJEBACKEN</t>
        </is>
      </c>
      <c r="F5841" t="inlineStr">
        <is>
          <t>Sveaskog</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52942-2024</t>
        </is>
      </c>
      <c r="B5842" s="1" t="n">
        <v>45610.8215625</v>
      </c>
      <c r="C5842" s="1" t="n">
        <v>46114</v>
      </c>
      <c r="D5842" t="inlineStr">
        <is>
          <t>DALARNAS LÄN</t>
        </is>
      </c>
      <c r="E5842" t="inlineStr">
        <is>
          <t>HEDEMORA</t>
        </is>
      </c>
      <c r="F5842" t="inlineStr">
        <is>
          <t>Sveaskog</t>
        </is>
      </c>
      <c r="G5842" t="n">
        <v>14.5</v>
      </c>
      <c r="H5842" t="n">
        <v>0</v>
      </c>
      <c r="I5842" t="n">
        <v>0</v>
      </c>
      <c r="J5842" t="n">
        <v>0</v>
      </c>
      <c r="K5842" t="n">
        <v>0</v>
      </c>
      <c r="L5842" t="n">
        <v>0</v>
      </c>
      <c r="M5842" t="n">
        <v>0</v>
      </c>
      <c r="N5842" t="n">
        <v>0</v>
      </c>
      <c r="O5842" t="n">
        <v>0</v>
      </c>
      <c r="P5842" t="n">
        <v>0</v>
      </c>
      <c r="Q5842" t="n">
        <v>0</v>
      </c>
      <c r="R5842" s="2" t="inlineStr"/>
    </row>
    <row r="5843" ht="15" customHeight="1">
      <c r="A5843" t="inlineStr">
        <is>
          <t>A 18009-2023</t>
        </is>
      </c>
      <c r="B5843" s="1" t="n">
        <v>45040.56190972222</v>
      </c>
      <c r="C5843" s="1" t="n">
        <v>46114</v>
      </c>
      <c r="D5843" t="inlineStr">
        <is>
          <t>DALARNAS LÄN</t>
        </is>
      </c>
      <c r="E5843" t="inlineStr">
        <is>
          <t>ORSA</t>
        </is>
      </c>
      <c r="G5843" t="n">
        <v>5.8</v>
      </c>
      <c r="H5843" t="n">
        <v>0</v>
      </c>
      <c r="I5843" t="n">
        <v>0</v>
      </c>
      <c r="J5843" t="n">
        <v>0</v>
      </c>
      <c r="K5843" t="n">
        <v>0</v>
      </c>
      <c r="L5843" t="n">
        <v>0</v>
      </c>
      <c r="M5843" t="n">
        <v>0</v>
      </c>
      <c r="N5843" t="n">
        <v>0</v>
      </c>
      <c r="O5843" t="n">
        <v>0</v>
      </c>
      <c r="P5843" t="n">
        <v>0</v>
      </c>
      <c r="Q5843" t="n">
        <v>0</v>
      </c>
      <c r="R5843" s="2" t="inlineStr"/>
    </row>
    <row r="5844" ht="15" customHeight="1">
      <c r="A5844" t="inlineStr">
        <is>
          <t>A 61357-2023</t>
        </is>
      </c>
      <c r="B5844" s="1" t="n">
        <v>45264.60821759259</v>
      </c>
      <c r="C5844" s="1" t="n">
        <v>46114</v>
      </c>
      <c r="D5844" t="inlineStr">
        <is>
          <t>DALARNAS LÄN</t>
        </is>
      </c>
      <c r="E5844" t="inlineStr">
        <is>
          <t>RÄTTVIK</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11748-2025</t>
        </is>
      </c>
      <c r="B5845" s="1" t="n">
        <v>45727</v>
      </c>
      <c r="C5845" s="1" t="n">
        <v>46114</v>
      </c>
      <c r="D5845" t="inlineStr">
        <is>
          <t>DALARNAS LÄN</t>
        </is>
      </c>
      <c r="E5845" t="inlineStr">
        <is>
          <t>FALUN</t>
        </is>
      </c>
      <c r="G5845" t="n">
        <v>0.9</v>
      </c>
      <c r="H5845" t="n">
        <v>0</v>
      </c>
      <c r="I5845" t="n">
        <v>0</v>
      </c>
      <c r="J5845" t="n">
        <v>0</v>
      </c>
      <c r="K5845" t="n">
        <v>0</v>
      </c>
      <c r="L5845" t="n">
        <v>0</v>
      </c>
      <c r="M5845" t="n">
        <v>0</v>
      </c>
      <c r="N5845" t="n">
        <v>0</v>
      </c>
      <c r="O5845" t="n">
        <v>0</v>
      </c>
      <c r="P5845" t="n">
        <v>0</v>
      </c>
      <c r="Q5845" t="n">
        <v>0</v>
      </c>
      <c r="R5845" s="2" t="inlineStr"/>
    </row>
    <row r="5846" ht="15" customHeight="1">
      <c r="A5846" t="inlineStr">
        <is>
          <t>A 8146-2025</t>
        </is>
      </c>
      <c r="B5846" s="1" t="n">
        <v>45708.30415509259</v>
      </c>
      <c r="C5846" s="1" t="n">
        <v>46114</v>
      </c>
      <c r="D5846" t="inlineStr">
        <is>
          <t>DALARNAS LÄN</t>
        </is>
      </c>
      <c r="E5846" t="inlineStr">
        <is>
          <t>ÄLVDALEN</t>
        </is>
      </c>
      <c r="F5846" t="inlineStr">
        <is>
          <t>Allmännings- och besparingsskogar</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56378-2025</t>
        </is>
      </c>
      <c r="B5847" s="1" t="n">
        <v>45974.70207175926</v>
      </c>
      <c r="C5847" s="1" t="n">
        <v>46114</v>
      </c>
      <c r="D5847" t="inlineStr">
        <is>
          <t>DALARNAS LÄN</t>
        </is>
      </c>
      <c r="E5847" t="inlineStr">
        <is>
          <t>HEDEMORA</t>
        </is>
      </c>
      <c r="G5847" t="n">
        <v>2.8</v>
      </c>
      <c r="H5847" t="n">
        <v>0</v>
      </c>
      <c r="I5847" t="n">
        <v>0</v>
      </c>
      <c r="J5847" t="n">
        <v>0</v>
      </c>
      <c r="K5847" t="n">
        <v>0</v>
      </c>
      <c r="L5847" t="n">
        <v>0</v>
      </c>
      <c r="M5847" t="n">
        <v>0</v>
      </c>
      <c r="N5847" t="n">
        <v>0</v>
      </c>
      <c r="O5847" t="n">
        <v>0</v>
      </c>
      <c r="P5847" t="n">
        <v>0</v>
      </c>
      <c r="Q5847" t="n">
        <v>0</v>
      </c>
      <c r="R5847" s="2" t="inlineStr"/>
    </row>
    <row r="5848" ht="15" customHeight="1">
      <c r="A5848" t="inlineStr">
        <is>
          <t>A 56471-2025</t>
        </is>
      </c>
      <c r="B5848" s="1" t="n">
        <v>45975.37766203703</v>
      </c>
      <c r="C5848" s="1" t="n">
        <v>46114</v>
      </c>
      <c r="D5848" t="inlineStr">
        <is>
          <t>DALARNAS LÄN</t>
        </is>
      </c>
      <c r="E5848" t="inlineStr">
        <is>
          <t>ORSA</t>
        </is>
      </c>
      <c r="G5848" t="n">
        <v>5.2</v>
      </c>
      <c r="H5848" t="n">
        <v>0</v>
      </c>
      <c r="I5848" t="n">
        <v>0</v>
      </c>
      <c r="J5848" t="n">
        <v>0</v>
      </c>
      <c r="K5848" t="n">
        <v>0</v>
      </c>
      <c r="L5848" t="n">
        <v>0</v>
      </c>
      <c r="M5848" t="n">
        <v>0</v>
      </c>
      <c r="N5848" t="n">
        <v>0</v>
      </c>
      <c r="O5848" t="n">
        <v>0</v>
      </c>
      <c r="P5848" t="n">
        <v>0</v>
      </c>
      <c r="Q5848" t="n">
        <v>0</v>
      </c>
      <c r="R5848" s="2" t="inlineStr"/>
    </row>
    <row r="5849" ht="15" customHeight="1">
      <c r="A5849" t="inlineStr">
        <is>
          <t>A 56178-2025</t>
        </is>
      </c>
      <c r="B5849" s="1" t="n">
        <v>45974</v>
      </c>
      <c r="C5849" s="1" t="n">
        <v>46114</v>
      </c>
      <c r="D5849" t="inlineStr">
        <is>
          <t>DALARNAS LÄN</t>
        </is>
      </c>
      <c r="E5849" t="inlineStr">
        <is>
          <t>LUDVIKA</t>
        </is>
      </c>
      <c r="F5849" t="inlineStr">
        <is>
          <t>Bergvik skog väst AB</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56295-2025</t>
        </is>
      </c>
      <c r="B5850" s="1" t="n">
        <v>45974.60144675926</v>
      </c>
      <c r="C5850" s="1" t="n">
        <v>46114</v>
      </c>
      <c r="D5850" t="inlineStr">
        <is>
          <t>DALARNAS LÄN</t>
        </is>
      </c>
      <c r="E5850" t="inlineStr">
        <is>
          <t>ORSA</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60021-2023</t>
        </is>
      </c>
      <c r="B5851" s="1" t="n">
        <v>45258</v>
      </c>
      <c r="C5851" s="1" t="n">
        <v>46114</v>
      </c>
      <c r="D5851" t="inlineStr">
        <is>
          <t>DALARNAS LÄN</t>
        </is>
      </c>
      <c r="E5851" t="inlineStr">
        <is>
          <t>GAGNEF</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60086-2023</t>
        </is>
      </c>
      <c r="B5852" s="1" t="n">
        <v>45258</v>
      </c>
      <c r="C5852" s="1" t="n">
        <v>46114</v>
      </c>
      <c r="D5852" t="inlineStr">
        <is>
          <t>DALARNAS LÄN</t>
        </is>
      </c>
      <c r="E5852" t="inlineStr">
        <is>
          <t>BORLÄNGE</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56473-2025</t>
        </is>
      </c>
      <c r="B5853" s="1" t="n">
        <v>45975.38001157407</v>
      </c>
      <c r="C5853" s="1" t="n">
        <v>46114</v>
      </c>
      <c r="D5853" t="inlineStr">
        <is>
          <t>DALARNAS LÄN</t>
        </is>
      </c>
      <c r="E5853" t="inlineStr">
        <is>
          <t>ORSA</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27885-2023</t>
        </is>
      </c>
      <c r="B5854" s="1" t="n">
        <v>45098.60805555555</v>
      </c>
      <c r="C5854" s="1" t="n">
        <v>46114</v>
      </c>
      <c r="D5854" t="inlineStr">
        <is>
          <t>DALARNAS LÄN</t>
        </is>
      </c>
      <c r="E5854" t="inlineStr">
        <is>
          <t>FALUN</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56501-2025</t>
        </is>
      </c>
      <c r="B5855" s="1" t="n">
        <v>45975.43454861111</v>
      </c>
      <c r="C5855" s="1" t="n">
        <v>46114</v>
      </c>
      <c r="D5855" t="inlineStr">
        <is>
          <t>DALARNAS LÄN</t>
        </is>
      </c>
      <c r="E5855" t="inlineStr">
        <is>
          <t>ÄLVDALEN</t>
        </is>
      </c>
      <c r="G5855" t="n">
        <v>14.9</v>
      </c>
      <c r="H5855" t="n">
        <v>0</v>
      </c>
      <c r="I5855" t="n">
        <v>0</v>
      </c>
      <c r="J5855" t="n">
        <v>0</v>
      </c>
      <c r="K5855" t="n">
        <v>0</v>
      </c>
      <c r="L5855" t="n">
        <v>0</v>
      </c>
      <c r="M5855" t="n">
        <v>0</v>
      </c>
      <c r="N5855" t="n">
        <v>0</v>
      </c>
      <c r="O5855" t="n">
        <v>0</v>
      </c>
      <c r="P5855" t="n">
        <v>0</v>
      </c>
      <c r="Q5855" t="n">
        <v>0</v>
      </c>
      <c r="R5855" s="2" t="inlineStr"/>
    </row>
    <row r="5856" ht="15" customHeight="1">
      <c r="A5856" t="inlineStr">
        <is>
          <t>A 56650-2025</t>
        </is>
      </c>
      <c r="B5856" s="1" t="n">
        <v>45975</v>
      </c>
      <c r="C5856" s="1" t="n">
        <v>46114</v>
      </c>
      <c r="D5856" t="inlineStr">
        <is>
          <t>DALARNAS LÄN</t>
        </is>
      </c>
      <c r="E5856" t="inlineStr">
        <is>
          <t>LUDVIKA</t>
        </is>
      </c>
      <c r="F5856" t="inlineStr">
        <is>
          <t>Bergvik skog väst AB</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57467-2023</t>
        </is>
      </c>
      <c r="B5857" s="1" t="n">
        <v>45246.36751157408</v>
      </c>
      <c r="C5857" s="1" t="n">
        <v>46114</v>
      </c>
      <c r="D5857" t="inlineStr">
        <is>
          <t>DALARNAS LÄN</t>
        </is>
      </c>
      <c r="E5857" t="inlineStr">
        <is>
          <t>ÄLVDALEN</t>
        </is>
      </c>
      <c r="G5857" t="n">
        <v>0.2</v>
      </c>
      <c r="H5857" t="n">
        <v>0</v>
      </c>
      <c r="I5857" t="n">
        <v>0</v>
      </c>
      <c r="J5857" t="n">
        <v>0</v>
      </c>
      <c r="K5857" t="n">
        <v>0</v>
      </c>
      <c r="L5857" t="n">
        <v>0</v>
      </c>
      <c r="M5857" t="n">
        <v>0</v>
      </c>
      <c r="N5857" t="n">
        <v>0</v>
      </c>
      <c r="O5857" t="n">
        <v>0</v>
      </c>
      <c r="P5857" t="n">
        <v>0</v>
      </c>
      <c r="Q5857" t="n">
        <v>0</v>
      </c>
      <c r="R5857" s="2" t="inlineStr"/>
    </row>
    <row r="5858" ht="15" customHeight="1">
      <c r="A5858" t="inlineStr">
        <is>
          <t>A 56236-2025</t>
        </is>
      </c>
      <c r="B5858" s="1" t="n">
        <v>45974.53908564815</v>
      </c>
      <c r="C5858" s="1" t="n">
        <v>46114</v>
      </c>
      <c r="D5858" t="inlineStr">
        <is>
          <t>DALARNAS LÄN</t>
        </is>
      </c>
      <c r="E5858" t="inlineStr">
        <is>
          <t>RÄTTVIK</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56517-2025</t>
        </is>
      </c>
      <c r="B5859" s="1" t="n">
        <v>45975.45777777778</v>
      </c>
      <c r="C5859" s="1" t="n">
        <v>46114</v>
      </c>
      <c r="D5859" t="inlineStr">
        <is>
          <t>DALARNAS LÄN</t>
        </is>
      </c>
      <c r="E5859" t="inlineStr">
        <is>
          <t>LEKSAND</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20962-2024</t>
        </is>
      </c>
      <c r="B5860" s="1" t="n">
        <v>45439.57542824074</v>
      </c>
      <c r="C5860" s="1" t="n">
        <v>46114</v>
      </c>
      <c r="D5860" t="inlineStr">
        <is>
          <t>DALARNAS LÄN</t>
        </is>
      </c>
      <c r="E5860" t="inlineStr">
        <is>
          <t>MALUNG-SÄLEN</t>
        </is>
      </c>
      <c r="F5860" t="inlineStr">
        <is>
          <t>Bergvik skog öst AB</t>
        </is>
      </c>
      <c r="G5860" t="n">
        <v>3.5</v>
      </c>
      <c r="H5860" t="n">
        <v>0</v>
      </c>
      <c r="I5860" t="n">
        <v>0</v>
      </c>
      <c r="J5860" t="n">
        <v>0</v>
      </c>
      <c r="K5860" t="n">
        <v>0</v>
      </c>
      <c r="L5860" t="n">
        <v>0</v>
      </c>
      <c r="M5860" t="n">
        <v>0</v>
      </c>
      <c r="N5860" t="n">
        <v>0</v>
      </c>
      <c r="O5860" t="n">
        <v>0</v>
      </c>
      <c r="P5860" t="n">
        <v>0</v>
      </c>
      <c r="Q5860" t="n">
        <v>0</v>
      </c>
      <c r="R5860" s="2" t="inlineStr"/>
    </row>
    <row r="5861" ht="15" customHeight="1">
      <c r="A5861" t="inlineStr">
        <is>
          <t>A 28924-2024</t>
        </is>
      </c>
      <c r="B5861" s="1" t="n">
        <v>45481.30422453704</v>
      </c>
      <c r="C5861" s="1" t="n">
        <v>46114</v>
      </c>
      <c r="D5861" t="inlineStr">
        <is>
          <t>DALARNAS LÄN</t>
        </is>
      </c>
      <c r="E5861" t="inlineStr">
        <is>
          <t>VANSBRO</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56377-2025</t>
        </is>
      </c>
      <c r="B5862" s="1" t="n">
        <v>45974.70085648148</v>
      </c>
      <c r="C5862" s="1" t="n">
        <v>46114</v>
      </c>
      <c r="D5862" t="inlineStr">
        <is>
          <t>DALARNAS LÄN</t>
        </is>
      </c>
      <c r="E5862" t="inlineStr">
        <is>
          <t>RÄTTVIK</t>
        </is>
      </c>
      <c r="G5862" t="n">
        <v>0.5</v>
      </c>
      <c r="H5862" t="n">
        <v>0</v>
      </c>
      <c r="I5862" t="n">
        <v>0</v>
      </c>
      <c r="J5862" t="n">
        <v>0</v>
      </c>
      <c r="K5862" t="n">
        <v>0</v>
      </c>
      <c r="L5862" t="n">
        <v>0</v>
      </c>
      <c r="M5862" t="n">
        <v>0</v>
      </c>
      <c r="N5862" t="n">
        <v>0</v>
      </c>
      <c r="O5862" t="n">
        <v>0</v>
      </c>
      <c r="P5862" t="n">
        <v>0</v>
      </c>
      <c r="Q5862" t="n">
        <v>0</v>
      </c>
      <c r="R5862" s="2" t="inlineStr"/>
    </row>
    <row r="5863" ht="15" customHeight="1">
      <c r="A5863" t="inlineStr">
        <is>
          <t>A 56200-2025</t>
        </is>
      </c>
      <c r="B5863" s="1" t="n">
        <v>45974.45929398148</v>
      </c>
      <c r="C5863" s="1" t="n">
        <v>46114</v>
      </c>
      <c r="D5863" t="inlineStr">
        <is>
          <t>DALARNAS LÄN</t>
        </is>
      </c>
      <c r="E5863" t="inlineStr">
        <is>
          <t>BORLÄNGE</t>
        </is>
      </c>
      <c r="F5863" t="inlineStr">
        <is>
          <t>Bergvik skog väst AB</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56316-2025</t>
        </is>
      </c>
      <c r="B5864" s="1" t="n">
        <v>45974</v>
      </c>
      <c r="C5864" s="1" t="n">
        <v>46114</v>
      </c>
      <c r="D5864" t="inlineStr">
        <is>
          <t>DALARNAS LÄN</t>
        </is>
      </c>
      <c r="E5864" t="inlineStr">
        <is>
          <t>LUDVIKA</t>
        </is>
      </c>
      <c r="F5864" t="inlineStr">
        <is>
          <t>Bergvik skog väst AB</t>
        </is>
      </c>
      <c r="G5864" t="n">
        <v>2.1</v>
      </c>
      <c r="H5864" t="n">
        <v>0</v>
      </c>
      <c r="I5864" t="n">
        <v>0</v>
      </c>
      <c r="J5864" t="n">
        <v>0</v>
      </c>
      <c r="K5864" t="n">
        <v>0</v>
      </c>
      <c r="L5864" t="n">
        <v>0</v>
      </c>
      <c r="M5864" t="n">
        <v>0</v>
      </c>
      <c r="N5864" t="n">
        <v>0</v>
      </c>
      <c r="O5864" t="n">
        <v>0</v>
      </c>
      <c r="P5864" t="n">
        <v>0</v>
      </c>
      <c r="Q5864" t="n">
        <v>0</v>
      </c>
      <c r="R5864" s="2" t="inlineStr"/>
    </row>
    <row r="5865" ht="15" customHeight="1">
      <c r="A5865" t="inlineStr">
        <is>
          <t>A 56219-2025</t>
        </is>
      </c>
      <c r="B5865" s="1" t="n">
        <v>45974</v>
      </c>
      <c r="C5865" s="1" t="n">
        <v>46114</v>
      </c>
      <c r="D5865" t="inlineStr">
        <is>
          <t>DALARNAS LÄN</t>
        </is>
      </c>
      <c r="E5865" t="inlineStr">
        <is>
          <t>LUDVIKA</t>
        </is>
      </c>
      <c r="F5865" t="inlineStr">
        <is>
          <t>Bergvik skog väst AB</t>
        </is>
      </c>
      <c r="G5865" t="n">
        <v>4.9</v>
      </c>
      <c r="H5865" t="n">
        <v>0</v>
      </c>
      <c r="I5865" t="n">
        <v>0</v>
      </c>
      <c r="J5865" t="n">
        <v>0</v>
      </c>
      <c r="K5865" t="n">
        <v>0</v>
      </c>
      <c r="L5865" t="n">
        <v>0</v>
      </c>
      <c r="M5865" t="n">
        <v>0</v>
      </c>
      <c r="N5865" t="n">
        <v>0</v>
      </c>
      <c r="O5865" t="n">
        <v>0</v>
      </c>
      <c r="P5865" t="n">
        <v>0</v>
      </c>
      <c r="Q5865" t="n">
        <v>0</v>
      </c>
      <c r="R5865" s="2" t="inlineStr"/>
    </row>
    <row r="5866" ht="15" customHeight="1">
      <c r="A5866" t="inlineStr">
        <is>
          <t>A 9977-2023</t>
        </is>
      </c>
      <c r="B5866" s="1" t="n">
        <v>44979</v>
      </c>
      <c r="C5866" s="1" t="n">
        <v>46114</v>
      </c>
      <c r="D5866" t="inlineStr">
        <is>
          <t>DALARNAS LÄN</t>
        </is>
      </c>
      <c r="E5866" t="inlineStr">
        <is>
          <t>MALUNG-SÄLEN</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56252-2025</t>
        </is>
      </c>
      <c r="B5867" s="1" t="n">
        <v>45974.56061342593</v>
      </c>
      <c r="C5867" s="1" t="n">
        <v>46114</v>
      </c>
      <c r="D5867" t="inlineStr">
        <is>
          <t>DALARNAS LÄN</t>
        </is>
      </c>
      <c r="E5867" t="inlineStr">
        <is>
          <t>ÄLVDALEN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56280-2025</t>
        </is>
      </c>
      <c r="B5868" s="1" t="n">
        <v>45974.59010416667</v>
      </c>
      <c r="C5868" s="1" t="n">
        <v>46114</v>
      </c>
      <c r="D5868" t="inlineStr">
        <is>
          <t>DALARNAS LÄN</t>
        </is>
      </c>
      <c r="E5868" t="inlineStr">
        <is>
          <t>VANSBRO</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9442-2023</t>
        </is>
      </c>
      <c r="B5869" s="1" t="n">
        <v>44981</v>
      </c>
      <c r="C5869" s="1" t="n">
        <v>46114</v>
      </c>
      <c r="D5869" t="inlineStr">
        <is>
          <t>DALARNAS LÄN</t>
        </is>
      </c>
      <c r="E5869" t="inlineStr">
        <is>
          <t>BORLÄNGE</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56297-2025</t>
        </is>
      </c>
      <c r="B5870" s="1" t="n">
        <v>45974.60431712963</v>
      </c>
      <c r="C5870" s="1" t="n">
        <v>46114</v>
      </c>
      <c r="D5870" t="inlineStr">
        <is>
          <t>DALARNAS LÄN</t>
        </is>
      </c>
      <c r="E5870" t="inlineStr">
        <is>
          <t>ORSA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56628-2025</t>
        </is>
      </c>
      <c r="B5871" s="1" t="n">
        <v>45975.60946759259</v>
      </c>
      <c r="C5871" s="1" t="n">
        <v>46114</v>
      </c>
      <c r="D5871" t="inlineStr">
        <is>
          <t>DALARNAS LÄN</t>
        </is>
      </c>
      <c r="E5871" t="inlineStr">
        <is>
          <t>RÄTTVIK</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34673-2023</t>
        </is>
      </c>
      <c r="B5872" s="1" t="n">
        <v>45140.84627314815</v>
      </c>
      <c r="C5872" s="1" t="n">
        <v>46114</v>
      </c>
      <c r="D5872" t="inlineStr">
        <is>
          <t>DALARNAS LÄN</t>
        </is>
      </c>
      <c r="E5872" t="inlineStr">
        <is>
          <t>SMEDJEBACKEN</t>
        </is>
      </c>
      <c r="G5872" t="n">
        <v>10</v>
      </c>
      <c r="H5872" t="n">
        <v>0</v>
      </c>
      <c r="I5872" t="n">
        <v>0</v>
      </c>
      <c r="J5872" t="n">
        <v>0</v>
      </c>
      <c r="K5872" t="n">
        <v>0</v>
      </c>
      <c r="L5872" t="n">
        <v>0</v>
      </c>
      <c r="M5872" t="n">
        <v>0</v>
      </c>
      <c r="N5872" t="n">
        <v>0</v>
      </c>
      <c r="O5872" t="n">
        <v>0</v>
      </c>
      <c r="P5872" t="n">
        <v>0</v>
      </c>
      <c r="Q5872" t="n">
        <v>0</v>
      </c>
      <c r="R5872" s="2" t="inlineStr"/>
    </row>
    <row r="5873" ht="15" customHeight="1">
      <c r="A5873" t="inlineStr">
        <is>
          <t>A 59326-2024</t>
        </is>
      </c>
      <c r="B5873" s="1" t="n">
        <v>45637.72605324074</v>
      </c>
      <c r="C5873" s="1" t="n">
        <v>46114</v>
      </c>
      <c r="D5873" t="inlineStr">
        <is>
          <t>DALARNAS LÄN</t>
        </is>
      </c>
      <c r="E5873" t="inlineStr">
        <is>
          <t>FALUN</t>
        </is>
      </c>
      <c r="G5873" t="n">
        <v>2.9</v>
      </c>
      <c r="H5873" t="n">
        <v>0</v>
      </c>
      <c r="I5873" t="n">
        <v>0</v>
      </c>
      <c r="J5873" t="n">
        <v>0</v>
      </c>
      <c r="K5873" t="n">
        <v>0</v>
      </c>
      <c r="L5873" t="n">
        <v>0</v>
      </c>
      <c r="M5873" t="n">
        <v>0</v>
      </c>
      <c r="N5873" t="n">
        <v>0</v>
      </c>
      <c r="O5873" t="n">
        <v>0</v>
      </c>
      <c r="P5873" t="n">
        <v>0</v>
      </c>
      <c r="Q5873" t="n">
        <v>0</v>
      </c>
      <c r="R5873" s="2" t="inlineStr"/>
    </row>
    <row r="5874" ht="15" customHeight="1">
      <c r="A5874" t="inlineStr">
        <is>
          <t>A 56461-2025</t>
        </is>
      </c>
      <c r="B5874" s="1" t="n">
        <v>45975.36987268519</v>
      </c>
      <c r="C5874" s="1" t="n">
        <v>46114</v>
      </c>
      <c r="D5874" t="inlineStr">
        <is>
          <t>DALARNAS LÄN</t>
        </is>
      </c>
      <c r="E5874" t="inlineStr">
        <is>
          <t>GAGNEF</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59356-2024</t>
        </is>
      </c>
      <c r="B5875" s="1" t="n">
        <v>45638.31543981482</v>
      </c>
      <c r="C5875" s="1" t="n">
        <v>46114</v>
      </c>
      <c r="D5875" t="inlineStr">
        <is>
          <t>DALARNAS LÄN</t>
        </is>
      </c>
      <c r="E5875" t="inlineStr">
        <is>
          <t>LUDVIKA</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56146-2025</t>
        </is>
      </c>
      <c r="B5876" s="1" t="n">
        <v>45974.34572916666</v>
      </c>
      <c r="C5876" s="1" t="n">
        <v>46114</v>
      </c>
      <c r="D5876" t="inlineStr">
        <is>
          <t>DALARNAS LÄN</t>
        </is>
      </c>
      <c r="E5876" t="inlineStr">
        <is>
          <t>MALUNG-SÄLEN</t>
        </is>
      </c>
      <c r="F5876" t="inlineStr">
        <is>
          <t>Bergvik skog väst AB</t>
        </is>
      </c>
      <c r="G5876" t="n">
        <v>4.7</v>
      </c>
      <c r="H5876" t="n">
        <v>0</v>
      </c>
      <c r="I5876" t="n">
        <v>0</v>
      </c>
      <c r="J5876" t="n">
        <v>0</v>
      </c>
      <c r="K5876" t="n">
        <v>0</v>
      </c>
      <c r="L5876" t="n">
        <v>0</v>
      </c>
      <c r="M5876" t="n">
        <v>0</v>
      </c>
      <c r="N5876" t="n">
        <v>0</v>
      </c>
      <c r="O5876" t="n">
        <v>0</v>
      </c>
      <c r="P5876" t="n">
        <v>0</v>
      </c>
      <c r="Q5876" t="n">
        <v>0</v>
      </c>
      <c r="R5876" s="2" t="inlineStr"/>
    </row>
    <row r="5877" ht="15" customHeight="1">
      <c r="A5877" t="inlineStr">
        <is>
          <t>A 56514-2025</t>
        </is>
      </c>
      <c r="B5877" s="1" t="n">
        <v>45975.45502314815</v>
      </c>
      <c r="C5877" s="1" t="n">
        <v>46114</v>
      </c>
      <c r="D5877" t="inlineStr">
        <is>
          <t>DALARNAS LÄN</t>
        </is>
      </c>
      <c r="E5877" t="inlineStr">
        <is>
          <t>LEKSAND</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59386-2024</t>
        </is>
      </c>
      <c r="B5878" s="1" t="n">
        <v>45638.3634375</v>
      </c>
      <c r="C5878" s="1" t="n">
        <v>46114</v>
      </c>
      <c r="D5878" t="inlineStr">
        <is>
          <t>DALARNAS LÄN</t>
        </is>
      </c>
      <c r="E5878" t="inlineStr">
        <is>
          <t>SÄTER</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56459-2025</t>
        </is>
      </c>
      <c r="B5879" s="1" t="n">
        <v>45975.36898148148</v>
      </c>
      <c r="C5879" s="1" t="n">
        <v>46114</v>
      </c>
      <c r="D5879" t="inlineStr">
        <is>
          <t>DALARNAS LÄN</t>
        </is>
      </c>
      <c r="E5879" t="inlineStr">
        <is>
          <t>ORSA</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56623-2025</t>
        </is>
      </c>
      <c r="B5880" s="1" t="n">
        <v>45975.60164351852</v>
      </c>
      <c r="C5880" s="1" t="n">
        <v>46114</v>
      </c>
      <c r="D5880" t="inlineStr">
        <is>
          <t>DALARNAS LÄN</t>
        </is>
      </c>
      <c r="E5880" t="inlineStr">
        <is>
          <t>LEKSAND</t>
        </is>
      </c>
      <c r="F5880" t="inlineStr">
        <is>
          <t>Bergvik skog väst AB</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56674-2025</t>
        </is>
      </c>
      <c r="B5881" s="1" t="n">
        <v>45975.7069675926</v>
      </c>
      <c r="C5881" s="1" t="n">
        <v>46114</v>
      </c>
      <c r="D5881" t="inlineStr">
        <is>
          <t>DALARNAS LÄN</t>
        </is>
      </c>
      <c r="E5881" t="inlineStr">
        <is>
          <t>SMEDJEBACKEN</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56676-2025</t>
        </is>
      </c>
      <c r="B5882" s="1" t="n">
        <v>45975.7162962963</v>
      </c>
      <c r="C5882" s="1" t="n">
        <v>46114</v>
      </c>
      <c r="D5882" t="inlineStr">
        <is>
          <t>DALARNAS LÄN</t>
        </is>
      </c>
      <c r="E5882" t="inlineStr">
        <is>
          <t>HEDEMORA</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51323-2024</t>
        </is>
      </c>
      <c r="B5883" s="1" t="n">
        <v>45604.33197916667</v>
      </c>
      <c r="C5883" s="1" t="n">
        <v>46114</v>
      </c>
      <c r="D5883" t="inlineStr">
        <is>
          <t>DALARNAS LÄN</t>
        </is>
      </c>
      <c r="E5883" t="inlineStr">
        <is>
          <t>SÄTER</t>
        </is>
      </c>
      <c r="G5883" t="n">
        <v>0.2</v>
      </c>
      <c r="H5883" t="n">
        <v>0</v>
      </c>
      <c r="I5883" t="n">
        <v>0</v>
      </c>
      <c r="J5883" t="n">
        <v>0</v>
      </c>
      <c r="K5883" t="n">
        <v>0</v>
      </c>
      <c r="L5883" t="n">
        <v>0</v>
      </c>
      <c r="M5883" t="n">
        <v>0</v>
      </c>
      <c r="N5883" t="n">
        <v>0</v>
      </c>
      <c r="O5883" t="n">
        <v>0</v>
      </c>
      <c r="P5883" t="n">
        <v>0</v>
      </c>
      <c r="Q5883" t="n">
        <v>0</v>
      </c>
      <c r="R5883" s="2" t="inlineStr"/>
    </row>
    <row r="5884" ht="15" customHeight="1">
      <c r="A5884" t="inlineStr">
        <is>
          <t>A 44881-2024</t>
        </is>
      </c>
      <c r="B5884" s="1" t="n">
        <v>45575.35040509259</v>
      </c>
      <c r="C5884" s="1" t="n">
        <v>46114</v>
      </c>
      <c r="D5884" t="inlineStr">
        <is>
          <t>DALARNAS LÄN</t>
        </is>
      </c>
      <c r="E5884" t="inlineStr">
        <is>
          <t>LUDVIKA</t>
        </is>
      </c>
      <c r="F5884" t="inlineStr">
        <is>
          <t>Bergvik skog väst AB</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44885-2024</t>
        </is>
      </c>
      <c r="B5885" s="1" t="n">
        <v>45575</v>
      </c>
      <c r="C5885" s="1" t="n">
        <v>46114</v>
      </c>
      <c r="D5885" t="inlineStr">
        <is>
          <t>DALARNAS LÄN</t>
        </is>
      </c>
      <c r="E5885" t="inlineStr">
        <is>
          <t>LUDVIKA</t>
        </is>
      </c>
      <c r="F5885" t="inlineStr">
        <is>
          <t>Bergvik skog väst AB</t>
        </is>
      </c>
      <c r="G5885" t="n">
        <v>7.1</v>
      </c>
      <c r="H5885" t="n">
        <v>0</v>
      </c>
      <c r="I5885" t="n">
        <v>0</v>
      </c>
      <c r="J5885" t="n">
        <v>0</v>
      </c>
      <c r="K5885" t="n">
        <v>0</v>
      </c>
      <c r="L5885" t="n">
        <v>0</v>
      </c>
      <c r="M5885" t="n">
        <v>0</v>
      </c>
      <c r="N5885" t="n">
        <v>0</v>
      </c>
      <c r="O5885" t="n">
        <v>0</v>
      </c>
      <c r="P5885" t="n">
        <v>0</v>
      </c>
      <c r="Q5885" t="n">
        <v>0</v>
      </c>
      <c r="R5885" s="2" t="inlineStr"/>
    </row>
    <row r="5886" ht="15" customHeight="1">
      <c r="A5886" t="inlineStr">
        <is>
          <t>A 44896-2024</t>
        </is>
      </c>
      <c r="B5886" s="1" t="n">
        <v>45575.36628472222</v>
      </c>
      <c r="C5886" s="1" t="n">
        <v>46114</v>
      </c>
      <c r="D5886" t="inlineStr">
        <is>
          <t>DALARNAS LÄN</t>
        </is>
      </c>
      <c r="E5886" t="inlineStr">
        <is>
          <t>BORLÄNGE</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56147-2025</t>
        </is>
      </c>
      <c r="B5887" s="1" t="n">
        <v>45974.34721064815</v>
      </c>
      <c r="C5887" s="1" t="n">
        <v>46114</v>
      </c>
      <c r="D5887" t="inlineStr">
        <is>
          <t>DALARNAS LÄN</t>
        </is>
      </c>
      <c r="E5887" t="inlineStr">
        <is>
          <t>MALUNG-SÄLEN</t>
        </is>
      </c>
      <c r="F5887" t="inlineStr">
        <is>
          <t>Bergvik skog väst AB</t>
        </is>
      </c>
      <c r="G5887" t="n">
        <v>0.4</v>
      </c>
      <c r="H5887" t="n">
        <v>0</v>
      </c>
      <c r="I5887" t="n">
        <v>0</v>
      </c>
      <c r="J5887" t="n">
        <v>0</v>
      </c>
      <c r="K5887" t="n">
        <v>0</v>
      </c>
      <c r="L5887" t="n">
        <v>0</v>
      </c>
      <c r="M5887" t="n">
        <v>0</v>
      </c>
      <c r="N5887" t="n">
        <v>0</v>
      </c>
      <c r="O5887" t="n">
        <v>0</v>
      </c>
      <c r="P5887" t="n">
        <v>0</v>
      </c>
      <c r="Q5887" t="n">
        <v>0</v>
      </c>
      <c r="R5887" s="2" t="inlineStr"/>
    </row>
    <row r="5888" ht="15" customHeight="1">
      <c r="A5888" t="inlineStr">
        <is>
          <t>A 22658-2021</t>
        </is>
      </c>
      <c r="B5888" s="1" t="n">
        <v>44327.53788194444</v>
      </c>
      <c r="C5888" s="1" t="n">
        <v>46114</v>
      </c>
      <c r="D5888" t="inlineStr">
        <is>
          <t>DALARNAS LÄN</t>
        </is>
      </c>
      <c r="E5888" t="inlineStr">
        <is>
          <t>FALUN</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51209-2024</t>
        </is>
      </c>
      <c r="B5889" s="1" t="n">
        <v>45603.63878472222</v>
      </c>
      <c r="C5889" s="1" t="n">
        <v>46114</v>
      </c>
      <c r="D5889" t="inlineStr">
        <is>
          <t>DALARNAS LÄN</t>
        </is>
      </c>
      <c r="E5889" t="inlineStr">
        <is>
          <t>RÄTTVIK</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5921-2025</t>
        </is>
      </c>
      <c r="B5890" s="1" t="n">
        <v>45695</v>
      </c>
      <c r="C5890" s="1" t="n">
        <v>46114</v>
      </c>
      <c r="D5890" t="inlineStr">
        <is>
          <t>DALARNAS LÄN</t>
        </is>
      </c>
      <c r="E5890" t="inlineStr">
        <is>
          <t>ORSA</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41295-2021</t>
        </is>
      </c>
      <c r="B5891" s="1" t="n">
        <v>44424</v>
      </c>
      <c r="C5891" s="1" t="n">
        <v>46114</v>
      </c>
      <c r="D5891" t="inlineStr">
        <is>
          <t>DALARNAS LÄN</t>
        </is>
      </c>
      <c r="E5891" t="inlineStr">
        <is>
          <t>ORSA</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19312-2025</t>
        </is>
      </c>
      <c r="B5892" s="1" t="n">
        <v>45769.57196759259</v>
      </c>
      <c r="C5892" s="1" t="n">
        <v>46114</v>
      </c>
      <c r="D5892" t="inlineStr">
        <is>
          <t>DALARNAS LÄN</t>
        </is>
      </c>
      <c r="E5892" t="inlineStr">
        <is>
          <t>MALUNG-SÄLEN</t>
        </is>
      </c>
      <c r="F5892" t="inlineStr">
        <is>
          <t>Bergvik skog öst AB</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56639-2025</t>
        </is>
      </c>
      <c r="B5893" s="1" t="n">
        <v>45975.61846064815</v>
      </c>
      <c r="C5893" s="1" t="n">
        <v>46114</v>
      </c>
      <c r="D5893" t="inlineStr">
        <is>
          <t>DALARNAS LÄN</t>
        </is>
      </c>
      <c r="E5893" t="inlineStr">
        <is>
          <t>SÄTER</t>
        </is>
      </c>
      <c r="G5893" t="n">
        <v>17.9</v>
      </c>
      <c r="H5893" t="n">
        <v>0</v>
      </c>
      <c r="I5893" t="n">
        <v>0</v>
      </c>
      <c r="J5893" t="n">
        <v>0</v>
      </c>
      <c r="K5893" t="n">
        <v>0</v>
      </c>
      <c r="L5893" t="n">
        <v>0</v>
      </c>
      <c r="M5893" t="n">
        <v>0</v>
      </c>
      <c r="N5893" t="n">
        <v>0</v>
      </c>
      <c r="O5893" t="n">
        <v>0</v>
      </c>
      <c r="P5893" t="n">
        <v>0</v>
      </c>
      <c r="Q5893" t="n">
        <v>0</v>
      </c>
      <c r="R5893" s="2" t="inlineStr"/>
    </row>
    <row r="5894" ht="15" customHeight="1">
      <c r="A5894" t="inlineStr">
        <is>
          <t>A 7526-2025</t>
        </is>
      </c>
      <c r="B5894" s="1" t="n">
        <v>45705.54684027778</v>
      </c>
      <c r="C5894" s="1" t="n">
        <v>46114</v>
      </c>
      <c r="D5894" t="inlineStr">
        <is>
          <t>DALARNAS LÄN</t>
        </is>
      </c>
      <c r="E5894" t="inlineStr">
        <is>
          <t>LUDVIKA</t>
        </is>
      </c>
      <c r="G5894" t="n">
        <v>0.3</v>
      </c>
      <c r="H5894" t="n">
        <v>0</v>
      </c>
      <c r="I5894" t="n">
        <v>0</v>
      </c>
      <c r="J5894" t="n">
        <v>0</v>
      </c>
      <c r="K5894" t="n">
        <v>0</v>
      </c>
      <c r="L5894" t="n">
        <v>0</v>
      </c>
      <c r="M5894" t="n">
        <v>0</v>
      </c>
      <c r="N5894" t="n">
        <v>0</v>
      </c>
      <c r="O5894" t="n">
        <v>0</v>
      </c>
      <c r="P5894" t="n">
        <v>0</v>
      </c>
      <c r="Q5894" t="n">
        <v>0</v>
      </c>
      <c r="R5894" s="2" t="inlineStr"/>
    </row>
    <row r="5895" ht="15" customHeight="1">
      <c r="A5895" t="inlineStr">
        <is>
          <t>A 55643-2024</t>
        </is>
      </c>
      <c r="B5895" s="1" t="n">
        <v>45621</v>
      </c>
      <c r="C5895" s="1" t="n">
        <v>46114</v>
      </c>
      <c r="D5895" t="inlineStr">
        <is>
          <t>DALARNAS LÄN</t>
        </is>
      </c>
      <c r="E5895" t="inlineStr">
        <is>
          <t>LEKSAND</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56642-2024</t>
        </is>
      </c>
      <c r="B5896" s="1" t="n">
        <v>45625.7271412037</v>
      </c>
      <c r="C5896" s="1" t="n">
        <v>46114</v>
      </c>
      <c r="D5896" t="inlineStr">
        <is>
          <t>DALARNAS LÄN</t>
        </is>
      </c>
      <c r="E5896" t="inlineStr">
        <is>
          <t>FALUN</t>
        </is>
      </c>
      <c r="G5896" t="n">
        <v>2.6</v>
      </c>
      <c r="H5896" t="n">
        <v>0</v>
      </c>
      <c r="I5896" t="n">
        <v>0</v>
      </c>
      <c r="J5896" t="n">
        <v>0</v>
      </c>
      <c r="K5896" t="n">
        <v>0</v>
      </c>
      <c r="L5896" t="n">
        <v>0</v>
      </c>
      <c r="M5896" t="n">
        <v>0</v>
      </c>
      <c r="N5896" t="n">
        <v>0</v>
      </c>
      <c r="O5896" t="n">
        <v>0</v>
      </c>
      <c r="P5896" t="n">
        <v>0</v>
      </c>
      <c r="Q5896" t="n">
        <v>0</v>
      </c>
      <c r="R5896" s="2" t="inlineStr"/>
    </row>
    <row r="5897" ht="15" customHeight="1">
      <c r="A5897" t="inlineStr">
        <is>
          <t>A 56155-2025</t>
        </is>
      </c>
      <c r="B5897" s="1" t="n">
        <v>45974</v>
      </c>
      <c r="C5897" s="1" t="n">
        <v>46114</v>
      </c>
      <c r="D5897" t="inlineStr">
        <is>
          <t>DALARNAS LÄN</t>
        </is>
      </c>
      <c r="E5897" t="inlineStr">
        <is>
          <t>LUDVIKA</t>
        </is>
      </c>
      <c r="F5897" t="inlineStr">
        <is>
          <t>Bergvik skog väst AB</t>
        </is>
      </c>
      <c r="G5897" t="n">
        <v>6.9</v>
      </c>
      <c r="H5897" t="n">
        <v>0</v>
      </c>
      <c r="I5897" t="n">
        <v>0</v>
      </c>
      <c r="J5897" t="n">
        <v>0</v>
      </c>
      <c r="K5897" t="n">
        <v>0</v>
      </c>
      <c r="L5897" t="n">
        <v>0</v>
      </c>
      <c r="M5897" t="n">
        <v>0</v>
      </c>
      <c r="N5897" t="n">
        <v>0</v>
      </c>
      <c r="O5897" t="n">
        <v>0</v>
      </c>
      <c r="P5897" t="n">
        <v>0</v>
      </c>
      <c r="Q5897" t="n">
        <v>0</v>
      </c>
      <c r="R5897" s="2" t="inlineStr"/>
    </row>
    <row r="5898" ht="15" customHeight="1">
      <c r="A5898" t="inlineStr">
        <is>
          <t>A 56641-2025</t>
        </is>
      </c>
      <c r="B5898" s="1" t="n">
        <v>45975</v>
      </c>
      <c r="C5898" s="1" t="n">
        <v>46114</v>
      </c>
      <c r="D5898" t="inlineStr">
        <is>
          <t>DALARNAS LÄN</t>
        </is>
      </c>
      <c r="E5898" t="inlineStr">
        <is>
          <t>LUDVIKA</t>
        </is>
      </c>
      <c r="F5898" t="inlineStr">
        <is>
          <t>Bergvik skog väst AB</t>
        </is>
      </c>
      <c r="G5898" t="n">
        <v>5.4</v>
      </c>
      <c r="H5898" t="n">
        <v>0</v>
      </c>
      <c r="I5898" t="n">
        <v>0</v>
      </c>
      <c r="J5898" t="n">
        <v>0</v>
      </c>
      <c r="K5898" t="n">
        <v>0</v>
      </c>
      <c r="L5898" t="n">
        <v>0</v>
      </c>
      <c r="M5898" t="n">
        <v>0</v>
      </c>
      <c r="N5898" t="n">
        <v>0</v>
      </c>
      <c r="O5898" t="n">
        <v>0</v>
      </c>
      <c r="P5898" t="n">
        <v>0</v>
      </c>
      <c r="Q5898" t="n">
        <v>0</v>
      </c>
      <c r="R5898" s="2" t="inlineStr"/>
    </row>
    <row r="5899" ht="15" customHeight="1">
      <c r="A5899" t="inlineStr">
        <is>
          <t>A 56659-2025</t>
        </is>
      </c>
      <c r="B5899" s="1" t="n">
        <v>45975.65641203704</v>
      </c>
      <c r="C5899" s="1" t="n">
        <v>46114</v>
      </c>
      <c r="D5899" t="inlineStr">
        <is>
          <t>DALARNAS LÄN</t>
        </is>
      </c>
      <c r="E5899" t="inlineStr">
        <is>
          <t>SMEDJEBACKEN</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32838-2023</t>
        </is>
      </c>
      <c r="B5900" s="1" t="n">
        <v>45124</v>
      </c>
      <c r="C5900" s="1" t="n">
        <v>46114</v>
      </c>
      <c r="D5900" t="inlineStr">
        <is>
          <t>DALARNAS LÄN</t>
        </is>
      </c>
      <c r="E5900" t="inlineStr">
        <is>
          <t>ÄLVDALEN</t>
        </is>
      </c>
      <c r="G5900" t="n">
        <v>3.7</v>
      </c>
      <c r="H5900" t="n">
        <v>0</v>
      </c>
      <c r="I5900" t="n">
        <v>0</v>
      </c>
      <c r="J5900" t="n">
        <v>0</v>
      </c>
      <c r="K5900" t="n">
        <v>0</v>
      </c>
      <c r="L5900" t="n">
        <v>0</v>
      </c>
      <c r="M5900" t="n">
        <v>0</v>
      </c>
      <c r="N5900" t="n">
        <v>0</v>
      </c>
      <c r="O5900" t="n">
        <v>0</v>
      </c>
      <c r="P5900" t="n">
        <v>0</v>
      </c>
      <c r="Q5900" t="n">
        <v>0</v>
      </c>
      <c r="R5900" s="2" t="inlineStr"/>
    </row>
    <row r="5901" ht="15" customHeight="1">
      <c r="A5901" t="inlineStr">
        <is>
          <t>A 32854-2023</t>
        </is>
      </c>
      <c r="B5901" s="1" t="n">
        <v>45112</v>
      </c>
      <c r="C5901" s="1" t="n">
        <v>46114</v>
      </c>
      <c r="D5901" t="inlineStr">
        <is>
          <t>DALARNAS LÄN</t>
        </is>
      </c>
      <c r="E5901" t="inlineStr">
        <is>
          <t>LUDVIKA</t>
        </is>
      </c>
      <c r="F5901" t="inlineStr">
        <is>
          <t>Kommuner</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56161-2025</t>
        </is>
      </c>
      <c r="B5902" s="1" t="n">
        <v>45974.37554398148</v>
      </c>
      <c r="C5902" s="1" t="n">
        <v>46114</v>
      </c>
      <c r="D5902" t="inlineStr">
        <is>
          <t>DALARNAS LÄN</t>
        </is>
      </c>
      <c r="E5902" t="inlineStr">
        <is>
          <t>LEKSAND</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4197-2024</t>
        </is>
      </c>
      <c r="B5903" s="1" t="n">
        <v>45324</v>
      </c>
      <c r="C5903" s="1" t="n">
        <v>46114</v>
      </c>
      <c r="D5903" t="inlineStr">
        <is>
          <t>DALARNAS LÄN</t>
        </is>
      </c>
      <c r="E5903" t="inlineStr">
        <is>
          <t>RÄTTVIK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31031-2023</t>
        </is>
      </c>
      <c r="B5904" s="1" t="n">
        <v>45113</v>
      </c>
      <c r="C5904" s="1" t="n">
        <v>46114</v>
      </c>
      <c r="D5904" t="inlineStr">
        <is>
          <t>DALARNAS LÄN</t>
        </is>
      </c>
      <c r="E5904" t="inlineStr">
        <is>
          <t>ORSA</t>
        </is>
      </c>
      <c r="F5904" t="inlineStr">
        <is>
          <t>Bergvik skog öst AB</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56249-2025</t>
        </is>
      </c>
      <c r="B5905" s="1" t="n">
        <v>45974</v>
      </c>
      <c r="C5905" s="1" t="n">
        <v>46114</v>
      </c>
      <c r="D5905" t="inlineStr">
        <is>
          <t>DALARNAS LÄN</t>
        </is>
      </c>
      <c r="E5905" t="inlineStr">
        <is>
          <t>LUDVIKA</t>
        </is>
      </c>
      <c r="F5905" t="inlineStr">
        <is>
          <t>Bergvik skog väst AB</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46620-2023</t>
        </is>
      </c>
      <c r="B5906" s="1" t="n">
        <v>45198.41046296297</v>
      </c>
      <c r="C5906" s="1" t="n">
        <v>46114</v>
      </c>
      <c r="D5906" t="inlineStr">
        <is>
          <t>DALARNAS LÄN</t>
        </is>
      </c>
      <c r="E5906" t="inlineStr">
        <is>
          <t>LUDVIKA</t>
        </is>
      </c>
      <c r="F5906" t="inlineStr">
        <is>
          <t>Bergvik skog väst AB</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56288-2025</t>
        </is>
      </c>
      <c r="B5907" s="1" t="n">
        <v>45974.59688657407</v>
      </c>
      <c r="C5907" s="1" t="n">
        <v>46114</v>
      </c>
      <c r="D5907" t="inlineStr">
        <is>
          <t>DALARNAS LÄN</t>
        </is>
      </c>
      <c r="E5907" t="inlineStr">
        <is>
          <t>ORSA</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20814-2024</t>
        </is>
      </c>
      <c r="B5908" s="1" t="n">
        <v>45439.35818287037</v>
      </c>
      <c r="C5908" s="1" t="n">
        <v>46114</v>
      </c>
      <c r="D5908" t="inlineStr">
        <is>
          <t>DALARNAS LÄN</t>
        </is>
      </c>
      <c r="E5908" t="inlineStr">
        <is>
          <t>BORLÄNGE</t>
        </is>
      </c>
      <c r="F5908" t="inlineStr">
        <is>
          <t>Bergvik skog väst AB</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20861-2024</t>
        </is>
      </c>
      <c r="B5909" s="1" t="n">
        <v>45439</v>
      </c>
      <c r="C5909" s="1" t="n">
        <v>46114</v>
      </c>
      <c r="D5909" t="inlineStr">
        <is>
          <t>DALARNAS LÄN</t>
        </is>
      </c>
      <c r="E5909" t="inlineStr">
        <is>
          <t>MALUNG-SÄLEN</t>
        </is>
      </c>
      <c r="F5909" t="inlineStr">
        <is>
          <t>Bergvik skog öst AB</t>
        </is>
      </c>
      <c r="G5909" t="n">
        <v>0.3</v>
      </c>
      <c r="H5909" t="n">
        <v>0</v>
      </c>
      <c r="I5909" t="n">
        <v>0</v>
      </c>
      <c r="J5909" t="n">
        <v>0</v>
      </c>
      <c r="K5909" t="n">
        <v>0</v>
      </c>
      <c r="L5909" t="n">
        <v>0</v>
      </c>
      <c r="M5909" t="n">
        <v>0</v>
      </c>
      <c r="N5909" t="n">
        <v>0</v>
      </c>
      <c r="O5909" t="n">
        <v>0</v>
      </c>
      <c r="P5909" t="n">
        <v>0</v>
      </c>
      <c r="Q5909" t="n">
        <v>0</v>
      </c>
      <c r="R5909" s="2" t="inlineStr"/>
    </row>
    <row r="5910" ht="15" customHeight="1">
      <c r="A5910" t="inlineStr">
        <is>
          <t>A 56331-2025</t>
        </is>
      </c>
      <c r="B5910" s="1" t="n">
        <v>45974.64157407408</v>
      </c>
      <c r="C5910" s="1" t="n">
        <v>46114</v>
      </c>
      <c r="D5910" t="inlineStr">
        <is>
          <t>DALARNAS LÄN</t>
        </is>
      </c>
      <c r="E5910" t="inlineStr">
        <is>
          <t>LEKSAND</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17260-2025</t>
        </is>
      </c>
      <c r="B5911" s="1" t="n">
        <v>45756</v>
      </c>
      <c r="C5911" s="1" t="n">
        <v>46114</v>
      </c>
      <c r="D5911" t="inlineStr">
        <is>
          <t>DALARNAS LÄN</t>
        </is>
      </c>
      <c r="E5911" t="inlineStr">
        <is>
          <t>AVESTA</t>
        </is>
      </c>
      <c r="G5911" t="n">
        <v>10.1</v>
      </c>
      <c r="H5911" t="n">
        <v>0</v>
      </c>
      <c r="I5911" t="n">
        <v>0</v>
      </c>
      <c r="J5911" t="n">
        <v>0</v>
      </c>
      <c r="K5911" t="n">
        <v>0</v>
      </c>
      <c r="L5911" t="n">
        <v>0</v>
      </c>
      <c r="M5911" t="n">
        <v>0</v>
      </c>
      <c r="N5911" t="n">
        <v>0</v>
      </c>
      <c r="O5911" t="n">
        <v>0</v>
      </c>
      <c r="P5911" t="n">
        <v>0</v>
      </c>
      <c r="Q5911" t="n">
        <v>0</v>
      </c>
      <c r="R5911" s="2" t="inlineStr"/>
    </row>
    <row r="5912" ht="15" customHeight="1">
      <c r="A5912" t="inlineStr">
        <is>
          <t>A 56913-2025</t>
        </is>
      </c>
      <c r="B5912" s="1" t="n">
        <v>45978.58047453704</v>
      </c>
      <c r="C5912" s="1" t="n">
        <v>46114</v>
      </c>
      <c r="D5912" t="inlineStr">
        <is>
          <t>DALARNAS LÄN</t>
        </is>
      </c>
      <c r="E5912" t="inlineStr">
        <is>
          <t>FALUN</t>
        </is>
      </c>
      <c r="G5912" t="n">
        <v>0.4</v>
      </c>
      <c r="H5912" t="n">
        <v>0</v>
      </c>
      <c r="I5912" t="n">
        <v>0</v>
      </c>
      <c r="J5912" t="n">
        <v>0</v>
      </c>
      <c r="K5912" t="n">
        <v>0</v>
      </c>
      <c r="L5912" t="n">
        <v>0</v>
      </c>
      <c r="M5912" t="n">
        <v>0</v>
      </c>
      <c r="N5912" t="n">
        <v>0</v>
      </c>
      <c r="O5912" t="n">
        <v>0</v>
      </c>
      <c r="P5912" t="n">
        <v>0</v>
      </c>
      <c r="Q5912" t="n">
        <v>0</v>
      </c>
      <c r="R5912" s="2" t="inlineStr"/>
    </row>
    <row r="5913" ht="15" customHeight="1">
      <c r="A5913" t="inlineStr">
        <is>
          <t>A 34990-2024</t>
        </is>
      </c>
      <c r="B5913" s="1" t="n">
        <v>45527.55416666667</v>
      </c>
      <c r="C5913" s="1" t="n">
        <v>46114</v>
      </c>
      <c r="D5913" t="inlineStr">
        <is>
          <t>DALARNAS LÄN</t>
        </is>
      </c>
      <c r="E5913" t="inlineStr">
        <is>
          <t>SÄTER</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34991-2024</t>
        </is>
      </c>
      <c r="B5914" s="1" t="n">
        <v>45527.55650462963</v>
      </c>
      <c r="C5914" s="1" t="n">
        <v>46114</v>
      </c>
      <c r="D5914" t="inlineStr">
        <is>
          <t>DALARNAS LÄN</t>
        </is>
      </c>
      <c r="E5914" t="inlineStr">
        <is>
          <t>SÄTER</t>
        </is>
      </c>
      <c r="G5914" t="n">
        <v>0.4</v>
      </c>
      <c r="H5914" t="n">
        <v>0</v>
      </c>
      <c r="I5914" t="n">
        <v>0</v>
      </c>
      <c r="J5914" t="n">
        <v>0</v>
      </c>
      <c r="K5914" t="n">
        <v>0</v>
      </c>
      <c r="L5914" t="n">
        <v>0</v>
      </c>
      <c r="M5914" t="n">
        <v>0</v>
      </c>
      <c r="N5914" t="n">
        <v>0</v>
      </c>
      <c r="O5914" t="n">
        <v>0</v>
      </c>
      <c r="P5914" t="n">
        <v>0</v>
      </c>
      <c r="Q5914" t="n">
        <v>0</v>
      </c>
      <c r="R5914" s="2" t="inlineStr"/>
    </row>
    <row r="5915" ht="15" customHeight="1">
      <c r="A5915" t="inlineStr">
        <is>
          <t>A 22281-2024</t>
        </is>
      </c>
      <c r="B5915" s="1" t="n">
        <v>45446.54756944445</v>
      </c>
      <c r="C5915" s="1" t="n">
        <v>46114</v>
      </c>
      <c r="D5915" t="inlineStr">
        <is>
          <t>DALARNAS LÄN</t>
        </is>
      </c>
      <c r="E5915" t="inlineStr">
        <is>
          <t>LEKSAND</t>
        </is>
      </c>
      <c r="F5915" t="inlineStr">
        <is>
          <t>Bergvik skog väst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48824-2023</t>
        </is>
      </c>
      <c r="B5916" s="1" t="n">
        <v>45203</v>
      </c>
      <c r="C5916" s="1" t="n">
        <v>46114</v>
      </c>
      <c r="D5916" t="inlineStr">
        <is>
          <t>DALARNAS LÄN</t>
        </is>
      </c>
      <c r="E5916" t="inlineStr">
        <is>
          <t>MORA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2808-2022</t>
        </is>
      </c>
      <c r="B5917" s="1" t="n">
        <v>44581</v>
      </c>
      <c r="C5917" s="1" t="n">
        <v>46114</v>
      </c>
      <c r="D5917" t="inlineStr">
        <is>
          <t>DALARNAS LÄN</t>
        </is>
      </c>
      <c r="E5917" t="inlineStr">
        <is>
          <t>AVESTA</t>
        </is>
      </c>
      <c r="G5917" t="n">
        <v>2.3</v>
      </c>
      <c r="H5917" t="n">
        <v>0</v>
      </c>
      <c r="I5917" t="n">
        <v>0</v>
      </c>
      <c r="J5917" t="n">
        <v>0</v>
      </c>
      <c r="K5917" t="n">
        <v>0</v>
      </c>
      <c r="L5917" t="n">
        <v>0</v>
      </c>
      <c r="M5917" t="n">
        <v>0</v>
      </c>
      <c r="N5917" t="n">
        <v>0</v>
      </c>
      <c r="O5917" t="n">
        <v>0</v>
      </c>
      <c r="P5917" t="n">
        <v>0</v>
      </c>
      <c r="Q5917" t="n">
        <v>0</v>
      </c>
      <c r="R5917" s="2" t="inlineStr"/>
    </row>
    <row r="5918" ht="15" customHeight="1">
      <c r="A5918" t="inlineStr">
        <is>
          <t>A 56924-2025</t>
        </is>
      </c>
      <c r="B5918" s="1" t="n">
        <v>45978.60094907408</v>
      </c>
      <c r="C5918" s="1" t="n">
        <v>46114</v>
      </c>
      <c r="D5918" t="inlineStr">
        <is>
          <t>DALARNAS LÄN</t>
        </is>
      </c>
      <c r="E5918" t="inlineStr">
        <is>
          <t>FALUN</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38817-2023</t>
        </is>
      </c>
      <c r="B5919" s="1" t="n">
        <v>45163.47275462963</v>
      </c>
      <c r="C5919" s="1" t="n">
        <v>46114</v>
      </c>
      <c r="D5919" t="inlineStr">
        <is>
          <t>DALARNAS LÄN</t>
        </is>
      </c>
      <c r="E5919" t="inlineStr">
        <is>
          <t>MALUNG-SÄLEN</t>
        </is>
      </c>
      <c r="F5919" t="inlineStr">
        <is>
          <t>Bergvik skog öst AB</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56931-2025</t>
        </is>
      </c>
      <c r="B5920" s="1" t="n">
        <v>45978.60877314815</v>
      </c>
      <c r="C5920" s="1" t="n">
        <v>46114</v>
      </c>
      <c r="D5920" t="inlineStr">
        <is>
          <t>DALARNAS LÄN</t>
        </is>
      </c>
      <c r="E5920" t="inlineStr">
        <is>
          <t>FALUN</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56702-2025</t>
        </is>
      </c>
      <c r="B5921" s="1" t="n">
        <v>45977.45586805556</v>
      </c>
      <c r="C5921" s="1" t="n">
        <v>46114</v>
      </c>
      <c r="D5921" t="inlineStr">
        <is>
          <t>DALARNAS LÄN</t>
        </is>
      </c>
      <c r="E5921" t="inlineStr">
        <is>
          <t>MORA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10367-2025</t>
        </is>
      </c>
      <c r="B5922" s="1" t="n">
        <v>45720.54729166667</v>
      </c>
      <c r="C5922" s="1" t="n">
        <v>46114</v>
      </c>
      <c r="D5922" t="inlineStr">
        <is>
          <t>DALARNAS LÄN</t>
        </is>
      </c>
      <c r="E5922" t="inlineStr">
        <is>
          <t>MALUNG-SÄLEN</t>
        </is>
      </c>
      <c r="G5922" t="n">
        <v>4.1</v>
      </c>
      <c r="H5922" t="n">
        <v>0</v>
      </c>
      <c r="I5922" t="n">
        <v>0</v>
      </c>
      <c r="J5922" t="n">
        <v>0</v>
      </c>
      <c r="K5922" t="n">
        <v>0</v>
      </c>
      <c r="L5922" t="n">
        <v>0</v>
      </c>
      <c r="M5922" t="n">
        <v>0</v>
      </c>
      <c r="N5922" t="n">
        <v>0</v>
      </c>
      <c r="O5922" t="n">
        <v>0</v>
      </c>
      <c r="P5922" t="n">
        <v>0</v>
      </c>
      <c r="Q5922" t="n">
        <v>0</v>
      </c>
      <c r="R5922" s="2" t="inlineStr"/>
    </row>
    <row r="5923" ht="15" customHeight="1">
      <c r="A5923" t="inlineStr">
        <is>
          <t>A 57259-2025</t>
        </is>
      </c>
      <c r="B5923" s="1" t="n">
        <v>45979.65329861111</v>
      </c>
      <c r="C5923" s="1" t="n">
        <v>46114</v>
      </c>
      <c r="D5923" t="inlineStr">
        <is>
          <t>DALARNAS LÄN</t>
        </is>
      </c>
      <c r="E5923" t="inlineStr">
        <is>
          <t>AVESTA</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17322-2024</t>
        </is>
      </c>
      <c r="B5924" s="1" t="n">
        <v>45414.54059027778</v>
      </c>
      <c r="C5924" s="1" t="n">
        <v>46114</v>
      </c>
      <c r="D5924" t="inlineStr">
        <is>
          <t>DALARNAS LÄN</t>
        </is>
      </c>
      <c r="E5924" t="inlineStr">
        <is>
          <t>GAGNEF</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57055-2025</t>
        </is>
      </c>
      <c r="B5925" s="1" t="n">
        <v>45979.36299768519</v>
      </c>
      <c r="C5925" s="1" t="n">
        <v>46114</v>
      </c>
      <c r="D5925" t="inlineStr">
        <is>
          <t>DALARNAS LÄN</t>
        </is>
      </c>
      <c r="E5925" t="inlineStr">
        <is>
          <t>ORSA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27542-2021</t>
        </is>
      </c>
      <c r="B5926" s="1" t="n">
        <v>44351</v>
      </c>
      <c r="C5926" s="1" t="n">
        <v>46114</v>
      </c>
      <c r="D5926" t="inlineStr">
        <is>
          <t>DALARNAS LÄN</t>
        </is>
      </c>
      <c r="E5926" t="inlineStr">
        <is>
          <t>ORSA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57059-2025</t>
        </is>
      </c>
      <c r="B5927" s="1" t="n">
        <v>45979.36890046296</v>
      </c>
      <c r="C5927" s="1" t="n">
        <v>46114</v>
      </c>
      <c r="D5927" t="inlineStr">
        <is>
          <t>DALARNAS LÄN</t>
        </is>
      </c>
      <c r="E5927" t="inlineStr">
        <is>
          <t>FALUN</t>
        </is>
      </c>
      <c r="F5927" t="inlineStr">
        <is>
          <t>Bergvik skog väst AB</t>
        </is>
      </c>
      <c r="G5927" t="n">
        <v>1.2</v>
      </c>
      <c r="H5927" t="n">
        <v>0</v>
      </c>
      <c r="I5927" t="n">
        <v>0</v>
      </c>
      <c r="J5927" t="n">
        <v>0</v>
      </c>
      <c r="K5927" t="n">
        <v>0</v>
      </c>
      <c r="L5927" t="n">
        <v>0</v>
      </c>
      <c r="M5927" t="n">
        <v>0</v>
      </c>
      <c r="N5927" t="n">
        <v>0</v>
      </c>
      <c r="O5927" t="n">
        <v>0</v>
      </c>
      <c r="P5927" t="n">
        <v>0</v>
      </c>
      <c r="Q5927" t="n">
        <v>0</v>
      </c>
      <c r="R5927" s="2" t="inlineStr"/>
    </row>
    <row r="5928" ht="15" customHeight="1">
      <c r="A5928" t="inlineStr">
        <is>
          <t>A 56891-2025</t>
        </is>
      </c>
      <c r="B5928" s="1" t="n">
        <v>45978.56524305556</v>
      </c>
      <c r="C5928" s="1" t="n">
        <v>46114</v>
      </c>
      <c r="D5928" t="inlineStr">
        <is>
          <t>DALARNAS LÄN</t>
        </is>
      </c>
      <c r="E5928" t="inlineStr">
        <is>
          <t>MALUNG-SÄLEN</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56901-2025</t>
        </is>
      </c>
      <c r="B5929" s="1" t="n">
        <v>45978.57305555556</v>
      </c>
      <c r="C5929" s="1" t="n">
        <v>46114</v>
      </c>
      <c r="D5929" t="inlineStr">
        <is>
          <t>DALARNAS LÄN</t>
        </is>
      </c>
      <c r="E5929" t="inlineStr">
        <is>
          <t>MALUNG-SÄLEN</t>
        </is>
      </c>
      <c r="G5929" t="n">
        <v>2.1</v>
      </c>
      <c r="H5929" t="n">
        <v>0</v>
      </c>
      <c r="I5929" t="n">
        <v>0</v>
      </c>
      <c r="J5929" t="n">
        <v>0</v>
      </c>
      <c r="K5929" t="n">
        <v>0</v>
      </c>
      <c r="L5929" t="n">
        <v>0</v>
      </c>
      <c r="M5929" t="n">
        <v>0</v>
      </c>
      <c r="N5929" t="n">
        <v>0</v>
      </c>
      <c r="O5929" t="n">
        <v>0</v>
      </c>
      <c r="P5929" t="n">
        <v>0</v>
      </c>
      <c r="Q5929" t="n">
        <v>0</v>
      </c>
      <c r="R5929" s="2" t="inlineStr"/>
    </row>
    <row r="5930" ht="15" customHeight="1">
      <c r="A5930" t="inlineStr">
        <is>
          <t>A 61507-2023</t>
        </is>
      </c>
      <c r="B5930" s="1" t="n">
        <v>45265</v>
      </c>
      <c r="C5930" s="1" t="n">
        <v>46114</v>
      </c>
      <c r="D5930" t="inlineStr">
        <is>
          <t>DALARNAS LÄN</t>
        </is>
      </c>
      <c r="E5930" t="inlineStr">
        <is>
          <t>LUDVIKA</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11589-2025</t>
        </is>
      </c>
      <c r="B5931" s="1" t="n">
        <v>45727.40954861111</v>
      </c>
      <c r="C5931" s="1" t="n">
        <v>46114</v>
      </c>
      <c r="D5931" t="inlineStr">
        <is>
          <t>DALARNAS LÄN</t>
        </is>
      </c>
      <c r="E5931" t="inlineStr">
        <is>
          <t>MALUNG-SÄLEN</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8824-2024</t>
        </is>
      </c>
      <c r="B5932" s="1" t="n">
        <v>45355</v>
      </c>
      <c r="C5932" s="1" t="n">
        <v>46114</v>
      </c>
      <c r="D5932" t="inlineStr">
        <is>
          <t>DALARNAS LÄN</t>
        </is>
      </c>
      <c r="E5932" t="inlineStr">
        <is>
          <t>MALUNG-SÄLEN</t>
        </is>
      </c>
      <c r="F5932" t="inlineStr">
        <is>
          <t>Allmännings- och besparingsskogar</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16395-2025</t>
        </is>
      </c>
      <c r="B5933" s="1" t="n">
        <v>45751.44054398148</v>
      </c>
      <c r="C5933" s="1" t="n">
        <v>46114</v>
      </c>
      <c r="D5933" t="inlineStr">
        <is>
          <t>DALARNAS LÄN</t>
        </is>
      </c>
      <c r="E5933" t="inlineStr">
        <is>
          <t>SMEDJEBACKEN</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34395-2024</t>
        </is>
      </c>
      <c r="B5934" s="1" t="n">
        <v>45525.44305555556</v>
      </c>
      <c r="C5934" s="1" t="n">
        <v>46114</v>
      </c>
      <c r="D5934" t="inlineStr">
        <is>
          <t>DALARNAS LÄN</t>
        </is>
      </c>
      <c r="E5934" t="inlineStr">
        <is>
          <t>MALUNG-SÄLEN</t>
        </is>
      </c>
      <c r="F5934" t="inlineStr">
        <is>
          <t>Bergvik skog väst AB</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57079-2025</t>
        </is>
      </c>
      <c r="B5935" s="1" t="n">
        <v>45979.40672453704</v>
      </c>
      <c r="C5935" s="1" t="n">
        <v>46114</v>
      </c>
      <c r="D5935" t="inlineStr">
        <is>
          <t>DALARNAS LÄN</t>
        </is>
      </c>
      <c r="E5935" t="inlineStr">
        <is>
          <t>MALUNG-SÄLEN</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57097-2025</t>
        </is>
      </c>
      <c r="B5936" s="1" t="n">
        <v>45979.43388888889</v>
      </c>
      <c r="C5936" s="1" t="n">
        <v>46114</v>
      </c>
      <c r="D5936" t="inlineStr">
        <is>
          <t>DALARNAS LÄN</t>
        </is>
      </c>
      <c r="E5936" t="inlineStr">
        <is>
          <t>MORA</t>
        </is>
      </c>
      <c r="G5936" t="n">
        <v>7.5</v>
      </c>
      <c r="H5936" t="n">
        <v>0</v>
      </c>
      <c r="I5936" t="n">
        <v>0</v>
      </c>
      <c r="J5936" t="n">
        <v>0</v>
      </c>
      <c r="K5936" t="n">
        <v>0</v>
      </c>
      <c r="L5936" t="n">
        <v>0</v>
      </c>
      <c r="M5936" t="n">
        <v>0</v>
      </c>
      <c r="N5936" t="n">
        <v>0</v>
      </c>
      <c r="O5936" t="n">
        <v>0</v>
      </c>
      <c r="P5936" t="n">
        <v>0</v>
      </c>
      <c r="Q5936" t="n">
        <v>0</v>
      </c>
      <c r="R5936" s="2" t="inlineStr"/>
    </row>
    <row r="5937" ht="15" customHeight="1">
      <c r="A5937" t="inlineStr">
        <is>
          <t>A 56906-2025</t>
        </is>
      </c>
      <c r="B5937" s="1" t="n">
        <v>45978.57512731481</v>
      </c>
      <c r="C5937" s="1" t="n">
        <v>46114</v>
      </c>
      <c r="D5937" t="inlineStr">
        <is>
          <t>DALARNAS LÄN</t>
        </is>
      </c>
      <c r="E5937" t="inlineStr">
        <is>
          <t>FALUN</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42238-2023</t>
        </is>
      </c>
      <c r="B5938" s="1" t="n">
        <v>45180.34207175926</v>
      </c>
      <c r="C5938" s="1" t="n">
        <v>46114</v>
      </c>
      <c r="D5938" t="inlineStr">
        <is>
          <t>DALARNAS LÄN</t>
        </is>
      </c>
      <c r="E5938" t="inlineStr">
        <is>
          <t>ORSA</t>
        </is>
      </c>
      <c r="F5938" t="inlineStr">
        <is>
          <t>Allmännings- och besparingsskogar</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8343-2025</t>
        </is>
      </c>
      <c r="B5939" s="1" t="n">
        <v>45708.67253472222</v>
      </c>
      <c r="C5939" s="1" t="n">
        <v>46114</v>
      </c>
      <c r="D5939" t="inlineStr">
        <is>
          <t>DALARNAS LÄN</t>
        </is>
      </c>
      <c r="E5939" t="inlineStr">
        <is>
          <t>MORA</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48849-2022</t>
        </is>
      </c>
      <c r="B5940" s="1" t="n">
        <v>44859</v>
      </c>
      <c r="C5940" s="1" t="n">
        <v>46114</v>
      </c>
      <c r="D5940" t="inlineStr">
        <is>
          <t>DALARNAS LÄN</t>
        </is>
      </c>
      <c r="E5940" t="inlineStr">
        <is>
          <t>ÄLVDALEN</t>
        </is>
      </c>
      <c r="F5940" t="inlineStr">
        <is>
          <t>Allmännings- och besparingsskogar</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60308-2024</t>
        </is>
      </c>
      <c r="B5941" s="1" t="n">
        <v>45643.34236111111</v>
      </c>
      <c r="C5941" s="1" t="n">
        <v>46114</v>
      </c>
      <c r="D5941" t="inlineStr">
        <is>
          <t>DALARNAS LÄN</t>
        </is>
      </c>
      <c r="E5941" t="inlineStr">
        <is>
          <t>GAGNEF</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17149-2025</t>
        </is>
      </c>
      <c r="B5942" s="1" t="n">
        <v>45756.31309027778</v>
      </c>
      <c r="C5942" s="1" t="n">
        <v>46114</v>
      </c>
      <c r="D5942" t="inlineStr">
        <is>
          <t>DALARNAS LÄN</t>
        </is>
      </c>
      <c r="E5942" t="inlineStr">
        <is>
          <t>FALUN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17163-2025</t>
        </is>
      </c>
      <c r="B5943" s="1" t="n">
        <v>45756.35998842592</v>
      </c>
      <c r="C5943" s="1" t="n">
        <v>46114</v>
      </c>
      <c r="D5943" t="inlineStr">
        <is>
          <t>DALARNAS LÄN</t>
        </is>
      </c>
      <c r="E5943" t="inlineStr">
        <is>
          <t>MORA</t>
        </is>
      </c>
      <c r="F5943" t="inlineStr">
        <is>
          <t>Bergvik skog öst AB</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17222-2025</t>
        </is>
      </c>
      <c r="B5944" s="1" t="n">
        <v>45756.45504629629</v>
      </c>
      <c r="C5944" s="1" t="n">
        <v>46114</v>
      </c>
      <c r="D5944" t="inlineStr">
        <is>
          <t>DALARNAS LÄN</t>
        </is>
      </c>
      <c r="E5944" t="inlineStr">
        <is>
          <t>HEDEMORA</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17227-2025</t>
        </is>
      </c>
      <c r="B5945" s="1" t="n">
        <v>45756.46278935186</v>
      </c>
      <c r="C5945" s="1" t="n">
        <v>46114</v>
      </c>
      <c r="D5945" t="inlineStr">
        <is>
          <t>DALARNAS LÄN</t>
        </is>
      </c>
      <c r="E5945" t="inlineStr">
        <is>
          <t>FALUN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57101-2025</t>
        </is>
      </c>
      <c r="B5946" s="1" t="n">
        <v>45979.44006944444</v>
      </c>
      <c r="C5946" s="1" t="n">
        <v>46114</v>
      </c>
      <c r="D5946" t="inlineStr">
        <is>
          <t>DALARNAS LÄN</t>
        </is>
      </c>
      <c r="E5946" t="inlineStr">
        <is>
          <t>MORA</t>
        </is>
      </c>
      <c r="G5946" t="n">
        <v>7.5</v>
      </c>
      <c r="H5946" t="n">
        <v>0</v>
      </c>
      <c r="I5946" t="n">
        <v>0</v>
      </c>
      <c r="J5946" t="n">
        <v>0</v>
      </c>
      <c r="K5946" t="n">
        <v>0</v>
      </c>
      <c r="L5946" t="n">
        <v>0</v>
      </c>
      <c r="M5946" t="n">
        <v>0</v>
      </c>
      <c r="N5946" t="n">
        <v>0</v>
      </c>
      <c r="O5946" t="n">
        <v>0</v>
      </c>
      <c r="P5946" t="n">
        <v>0</v>
      </c>
      <c r="Q5946" t="n">
        <v>0</v>
      </c>
      <c r="R5946" s="2" t="inlineStr"/>
    </row>
    <row r="5947" ht="15" customHeight="1">
      <c r="A5947" t="inlineStr">
        <is>
          <t>A 17282-2025</t>
        </is>
      </c>
      <c r="B5947" s="1" t="n">
        <v>45756.57114583333</v>
      </c>
      <c r="C5947" s="1" t="n">
        <v>46114</v>
      </c>
      <c r="D5947" t="inlineStr">
        <is>
          <t>DALARNAS LÄN</t>
        </is>
      </c>
      <c r="E5947" t="inlineStr">
        <is>
          <t>LEKSAND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51468-2024</t>
        </is>
      </c>
      <c r="B5948" s="1" t="n">
        <v>45604.50121527778</v>
      </c>
      <c r="C5948" s="1" t="n">
        <v>46114</v>
      </c>
      <c r="D5948" t="inlineStr">
        <is>
          <t>DALARNAS LÄN</t>
        </is>
      </c>
      <c r="E5948" t="inlineStr">
        <is>
          <t>SÄTER</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22159-2024</t>
        </is>
      </c>
      <c r="B5949" s="1" t="n">
        <v>45445.8946412037</v>
      </c>
      <c r="C5949" s="1" t="n">
        <v>46114</v>
      </c>
      <c r="D5949" t="inlineStr">
        <is>
          <t>DALARNAS LÄN</t>
        </is>
      </c>
      <c r="E5949" t="inlineStr">
        <is>
          <t>FALUN</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56679-2025</t>
        </is>
      </c>
      <c r="B5950" s="1" t="n">
        <v>45975.78238425926</v>
      </c>
      <c r="C5950" s="1" t="n">
        <v>46114</v>
      </c>
      <c r="D5950" t="inlineStr">
        <is>
          <t>DALARNAS LÄN</t>
        </is>
      </c>
      <c r="E5950" t="inlineStr">
        <is>
          <t>HEDEMORA</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56350-2024</t>
        </is>
      </c>
      <c r="B5951" s="1" t="n">
        <v>45624.90174768519</v>
      </c>
      <c r="C5951" s="1" t="n">
        <v>46114</v>
      </c>
      <c r="D5951" t="inlineStr">
        <is>
          <t>DALARNAS LÄN</t>
        </is>
      </c>
      <c r="E5951" t="inlineStr">
        <is>
          <t>BORLÄNGE</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34272-2024</t>
        </is>
      </c>
      <c r="B5952" s="1" t="n">
        <v>45524.61752314815</v>
      </c>
      <c r="C5952" s="1" t="n">
        <v>46114</v>
      </c>
      <c r="D5952" t="inlineStr">
        <is>
          <t>DALARNAS LÄN</t>
        </is>
      </c>
      <c r="E5952" t="inlineStr">
        <is>
          <t>MORA</t>
        </is>
      </c>
      <c r="G5952" t="n">
        <v>1</v>
      </c>
      <c r="H5952" t="n">
        <v>0</v>
      </c>
      <c r="I5952" t="n">
        <v>0</v>
      </c>
      <c r="J5952" t="n">
        <v>0</v>
      </c>
      <c r="K5952" t="n">
        <v>0</v>
      </c>
      <c r="L5952" t="n">
        <v>0</v>
      </c>
      <c r="M5952" t="n">
        <v>0</v>
      </c>
      <c r="N5952" t="n">
        <v>0</v>
      </c>
      <c r="O5952" t="n">
        <v>0</v>
      </c>
      <c r="P5952" t="n">
        <v>0</v>
      </c>
      <c r="Q5952" t="n">
        <v>0</v>
      </c>
      <c r="R5952" s="2" t="inlineStr"/>
    </row>
    <row r="5953" ht="15" customHeight="1">
      <c r="A5953" t="inlineStr">
        <is>
          <t>A 56960-2025</t>
        </is>
      </c>
      <c r="B5953" s="1" t="n">
        <v>45978.65903935185</v>
      </c>
      <c r="C5953" s="1" t="n">
        <v>46114</v>
      </c>
      <c r="D5953" t="inlineStr">
        <is>
          <t>DALARNAS LÄN</t>
        </is>
      </c>
      <c r="E5953" t="inlineStr">
        <is>
          <t>LEKSAND</t>
        </is>
      </c>
      <c r="G5953" t="n">
        <v>3.1</v>
      </c>
      <c r="H5953" t="n">
        <v>0</v>
      </c>
      <c r="I5953" t="n">
        <v>0</v>
      </c>
      <c r="J5953" t="n">
        <v>0</v>
      </c>
      <c r="K5953" t="n">
        <v>0</v>
      </c>
      <c r="L5953" t="n">
        <v>0</v>
      </c>
      <c r="M5953" t="n">
        <v>0</v>
      </c>
      <c r="N5953" t="n">
        <v>0</v>
      </c>
      <c r="O5953" t="n">
        <v>0</v>
      </c>
      <c r="P5953" t="n">
        <v>0</v>
      </c>
      <c r="Q5953" t="n">
        <v>0</v>
      </c>
      <c r="R5953" s="2" t="inlineStr"/>
    </row>
    <row r="5954" ht="15" customHeight="1">
      <c r="A5954" t="inlineStr">
        <is>
          <t>A 56016-2024</t>
        </is>
      </c>
      <c r="B5954" s="1" t="n">
        <v>45623.87737268519</v>
      </c>
      <c r="C5954" s="1" t="n">
        <v>46114</v>
      </c>
      <c r="D5954" t="inlineStr">
        <is>
          <t>DALARNAS LÄN</t>
        </is>
      </c>
      <c r="E5954" t="inlineStr">
        <is>
          <t>LEKSAND</t>
        </is>
      </c>
      <c r="G5954" t="n">
        <v>6.1</v>
      </c>
      <c r="H5954" t="n">
        <v>0</v>
      </c>
      <c r="I5954" t="n">
        <v>0</v>
      </c>
      <c r="J5954" t="n">
        <v>0</v>
      </c>
      <c r="K5954" t="n">
        <v>0</v>
      </c>
      <c r="L5954" t="n">
        <v>0</v>
      </c>
      <c r="M5954" t="n">
        <v>0</v>
      </c>
      <c r="N5954" t="n">
        <v>0</v>
      </c>
      <c r="O5954" t="n">
        <v>0</v>
      </c>
      <c r="P5954" t="n">
        <v>0</v>
      </c>
      <c r="Q5954" t="n">
        <v>0</v>
      </c>
      <c r="R5954" s="2" t="inlineStr"/>
    </row>
    <row r="5955" ht="15" customHeight="1">
      <c r="A5955" t="inlineStr">
        <is>
          <t>A 35005-2024</t>
        </is>
      </c>
      <c r="B5955" s="1" t="n">
        <v>45527.57577546296</v>
      </c>
      <c r="C5955" s="1" t="n">
        <v>46114</v>
      </c>
      <c r="D5955" t="inlineStr">
        <is>
          <t>DALARNAS LÄN</t>
        </is>
      </c>
      <c r="E5955" t="inlineStr">
        <is>
          <t>SÄTER</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56887-2025</t>
        </is>
      </c>
      <c r="B5956" s="1" t="n">
        <v>45978.55947916667</v>
      </c>
      <c r="C5956" s="1" t="n">
        <v>46114</v>
      </c>
      <c r="D5956" t="inlineStr">
        <is>
          <t>DALARNAS LÄN</t>
        </is>
      </c>
      <c r="E5956" t="inlineStr">
        <is>
          <t>FALUN</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56894-2025</t>
        </is>
      </c>
      <c r="B5957" s="1" t="n">
        <v>45978.56789351852</v>
      </c>
      <c r="C5957" s="1" t="n">
        <v>46114</v>
      </c>
      <c r="D5957" t="inlineStr">
        <is>
          <t>DALARNAS LÄN</t>
        </is>
      </c>
      <c r="E5957" t="inlineStr">
        <is>
          <t>FALUN</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2173-2024</t>
        </is>
      </c>
      <c r="B5958" s="1" t="n">
        <v>45309.63329861111</v>
      </c>
      <c r="C5958" s="1" t="n">
        <v>46114</v>
      </c>
      <c r="D5958" t="inlineStr">
        <is>
          <t>DALARNAS LÄN</t>
        </is>
      </c>
      <c r="E5958" t="inlineStr">
        <is>
          <t>GAGNEF</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57135-2025</t>
        </is>
      </c>
      <c r="B5959" s="1" t="n">
        <v>45979.47457175926</v>
      </c>
      <c r="C5959" s="1" t="n">
        <v>46114</v>
      </c>
      <c r="D5959" t="inlineStr">
        <is>
          <t>DALARNAS LÄN</t>
        </is>
      </c>
      <c r="E5959" t="inlineStr">
        <is>
          <t>GAGNEF</t>
        </is>
      </c>
      <c r="G5959" t="n">
        <v>1.9</v>
      </c>
      <c r="H5959" t="n">
        <v>0</v>
      </c>
      <c r="I5959" t="n">
        <v>0</v>
      </c>
      <c r="J5959" t="n">
        <v>0</v>
      </c>
      <c r="K5959" t="n">
        <v>0</v>
      </c>
      <c r="L5959" t="n">
        <v>0</v>
      </c>
      <c r="M5959" t="n">
        <v>0</v>
      </c>
      <c r="N5959" t="n">
        <v>0</v>
      </c>
      <c r="O5959" t="n">
        <v>0</v>
      </c>
      <c r="P5959" t="n">
        <v>0</v>
      </c>
      <c r="Q5959" t="n">
        <v>0</v>
      </c>
      <c r="R5959" s="2" t="inlineStr"/>
    </row>
    <row r="5960" ht="15" customHeight="1">
      <c r="A5960" t="inlineStr">
        <is>
          <t>A 10832-2022</t>
        </is>
      </c>
      <c r="B5960" s="1" t="n">
        <v>44627</v>
      </c>
      <c r="C5960" s="1" t="n">
        <v>46114</v>
      </c>
      <c r="D5960" t="inlineStr">
        <is>
          <t>DALARNAS LÄN</t>
        </is>
      </c>
      <c r="E5960" t="inlineStr">
        <is>
          <t>ORSA</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6464-2024</t>
        </is>
      </c>
      <c r="B5961" s="1" t="n">
        <v>45338</v>
      </c>
      <c r="C5961" s="1" t="n">
        <v>46114</v>
      </c>
      <c r="D5961" t="inlineStr">
        <is>
          <t>DALARNAS LÄN</t>
        </is>
      </c>
      <c r="E5961" t="inlineStr">
        <is>
          <t>SMEDJEBACKEN</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6767-2024</t>
        </is>
      </c>
      <c r="B5962" s="1" t="n">
        <v>45342</v>
      </c>
      <c r="C5962" s="1" t="n">
        <v>46114</v>
      </c>
      <c r="D5962" t="inlineStr">
        <is>
          <t>DALARNAS LÄN</t>
        </is>
      </c>
      <c r="E5962" t="inlineStr">
        <is>
          <t>SÄTER</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6803-2024</t>
        </is>
      </c>
      <c r="B5963" s="1" t="n">
        <v>45342</v>
      </c>
      <c r="C5963" s="1" t="n">
        <v>46114</v>
      </c>
      <c r="D5963" t="inlineStr">
        <is>
          <t>DALARNAS LÄN</t>
        </is>
      </c>
      <c r="E5963" t="inlineStr">
        <is>
          <t>BORLÄNGE</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56813-2025</t>
        </is>
      </c>
      <c r="B5964" s="1" t="n">
        <v>45978.45585648148</v>
      </c>
      <c r="C5964" s="1" t="n">
        <v>46114</v>
      </c>
      <c r="D5964" t="inlineStr">
        <is>
          <t>DALARNAS LÄN</t>
        </is>
      </c>
      <c r="E5964" t="inlineStr">
        <is>
          <t>ORSA</t>
        </is>
      </c>
      <c r="G5964" t="n">
        <v>2</v>
      </c>
      <c r="H5964" t="n">
        <v>0</v>
      </c>
      <c r="I5964" t="n">
        <v>0</v>
      </c>
      <c r="J5964" t="n">
        <v>0</v>
      </c>
      <c r="K5964" t="n">
        <v>0</v>
      </c>
      <c r="L5964" t="n">
        <v>0</v>
      </c>
      <c r="M5964" t="n">
        <v>0</v>
      </c>
      <c r="N5964" t="n">
        <v>0</v>
      </c>
      <c r="O5964" t="n">
        <v>0</v>
      </c>
      <c r="P5964" t="n">
        <v>0</v>
      </c>
      <c r="Q5964" t="n">
        <v>0</v>
      </c>
      <c r="R5964" s="2" t="inlineStr"/>
    </row>
    <row r="5965" ht="15" customHeight="1">
      <c r="A5965" t="inlineStr">
        <is>
          <t>A 9786-2025</t>
        </is>
      </c>
      <c r="B5965" s="1" t="n">
        <v>45715</v>
      </c>
      <c r="C5965" s="1" t="n">
        <v>46114</v>
      </c>
      <c r="D5965" t="inlineStr">
        <is>
          <t>DALARNAS LÄN</t>
        </is>
      </c>
      <c r="E5965" t="inlineStr">
        <is>
          <t>AVESTA</t>
        </is>
      </c>
      <c r="G5965" t="n">
        <v>0.4</v>
      </c>
      <c r="H5965" t="n">
        <v>0</v>
      </c>
      <c r="I5965" t="n">
        <v>0</v>
      </c>
      <c r="J5965" t="n">
        <v>0</v>
      </c>
      <c r="K5965" t="n">
        <v>0</v>
      </c>
      <c r="L5965" t="n">
        <v>0</v>
      </c>
      <c r="M5965" t="n">
        <v>0</v>
      </c>
      <c r="N5965" t="n">
        <v>0</v>
      </c>
      <c r="O5965" t="n">
        <v>0</v>
      </c>
      <c r="P5965" t="n">
        <v>0</v>
      </c>
      <c r="Q5965" t="n">
        <v>0</v>
      </c>
      <c r="R5965" s="2" t="inlineStr"/>
    </row>
    <row r="5966" ht="15" customHeight="1">
      <c r="A5966" t="inlineStr">
        <is>
          <t>A 9857-2025</t>
        </is>
      </c>
      <c r="B5966" s="1" t="n">
        <v>45716.62609953704</v>
      </c>
      <c r="C5966" s="1" t="n">
        <v>46114</v>
      </c>
      <c r="D5966" t="inlineStr">
        <is>
          <t>DALARNAS LÄN</t>
        </is>
      </c>
      <c r="E5966" t="inlineStr">
        <is>
          <t>LEKSAND</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56875-2025</t>
        </is>
      </c>
      <c r="B5967" s="1" t="n">
        <v>45978.53640046297</v>
      </c>
      <c r="C5967" s="1" t="n">
        <v>46114</v>
      </c>
      <c r="D5967" t="inlineStr">
        <is>
          <t>DALARNAS LÄN</t>
        </is>
      </c>
      <c r="E5967" t="inlineStr">
        <is>
          <t>BORLÄNGE</t>
        </is>
      </c>
      <c r="F5967" t="inlineStr">
        <is>
          <t>Bergvik skog väst AB</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47802-2024</t>
        </is>
      </c>
      <c r="B5968" s="1" t="n">
        <v>45588.6134837963</v>
      </c>
      <c r="C5968" s="1" t="n">
        <v>46114</v>
      </c>
      <c r="D5968" t="inlineStr">
        <is>
          <t>DALARNAS LÄN</t>
        </is>
      </c>
      <c r="E5968" t="inlineStr">
        <is>
          <t>RÄTTVIK</t>
        </is>
      </c>
      <c r="F5968" t="inlineStr">
        <is>
          <t>Bergvik skog väst AB</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39497-2022</t>
        </is>
      </c>
      <c r="B5969" s="1" t="n">
        <v>44817</v>
      </c>
      <c r="C5969" s="1" t="n">
        <v>46114</v>
      </c>
      <c r="D5969" t="inlineStr">
        <is>
          <t>DALARNAS LÄN</t>
        </is>
      </c>
      <c r="E5969" t="inlineStr">
        <is>
          <t>HEDEMORA</t>
        </is>
      </c>
      <c r="F5969" t="inlineStr">
        <is>
          <t>Bergvik skog väst AB</t>
        </is>
      </c>
      <c r="G5969" t="n">
        <v>2.3</v>
      </c>
      <c r="H5969" t="n">
        <v>0</v>
      </c>
      <c r="I5969" t="n">
        <v>0</v>
      </c>
      <c r="J5969" t="n">
        <v>0</v>
      </c>
      <c r="K5969" t="n">
        <v>0</v>
      </c>
      <c r="L5969" t="n">
        <v>0</v>
      </c>
      <c r="M5969" t="n">
        <v>0</v>
      </c>
      <c r="N5969" t="n">
        <v>0</v>
      </c>
      <c r="O5969" t="n">
        <v>0</v>
      </c>
      <c r="P5969" t="n">
        <v>0</v>
      </c>
      <c r="Q5969" t="n">
        <v>0</v>
      </c>
      <c r="R5969" s="2" t="inlineStr"/>
    </row>
    <row r="5970" ht="15" customHeight="1">
      <c r="A5970" t="inlineStr">
        <is>
          <t>A 2993-2025</t>
        </is>
      </c>
      <c r="B5970" s="1" t="n">
        <v>45678.53607638889</v>
      </c>
      <c r="C5970" s="1" t="n">
        <v>46114</v>
      </c>
      <c r="D5970" t="inlineStr">
        <is>
          <t>DALARNAS LÄN</t>
        </is>
      </c>
      <c r="E5970" t="inlineStr">
        <is>
          <t>FALUN</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57255-2025</t>
        </is>
      </c>
      <c r="B5971" s="1" t="n">
        <v>45979</v>
      </c>
      <c r="C5971" s="1" t="n">
        <v>46114</v>
      </c>
      <c r="D5971" t="inlineStr">
        <is>
          <t>DALARNAS LÄN</t>
        </is>
      </c>
      <c r="E5971" t="inlineStr">
        <is>
          <t>VANSBRO</t>
        </is>
      </c>
      <c r="F5971" t="inlineStr">
        <is>
          <t>Bergvik skog väst AB</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49951-2022</t>
        </is>
      </c>
      <c r="B5972" s="1" t="n">
        <v>44865.36378472222</v>
      </c>
      <c r="C5972" s="1" t="n">
        <v>46114</v>
      </c>
      <c r="D5972" t="inlineStr">
        <is>
          <t>DALARNAS LÄN</t>
        </is>
      </c>
      <c r="E5972" t="inlineStr">
        <is>
          <t>LUDVIKA</t>
        </is>
      </c>
      <c r="F5972" t="inlineStr">
        <is>
          <t>Bergvik skog väst AB</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56962-2025</t>
        </is>
      </c>
      <c r="B5973" s="1" t="n">
        <v>45978.66276620371</v>
      </c>
      <c r="C5973" s="1" t="n">
        <v>46114</v>
      </c>
      <c r="D5973" t="inlineStr">
        <is>
          <t>DALARNAS LÄN</t>
        </is>
      </c>
      <c r="E5973" t="inlineStr">
        <is>
          <t>FALUN</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21534-2024</t>
        </is>
      </c>
      <c r="B5974" s="1" t="n">
        <v>45441.59877314815</v>
      </c>
      <c r="C5974" s="1" t="n">
        <v>46114</v>
      </c>
      <c r="D5974" t="inlineStr">
        <is>
          <t>DALARNAS LÄN</t>
        </is>
      </c>
      <c r="E5974" t="inlineStr">
        <is>
          <t>AVESTA</t>
        </is>
      </c>
      <c r="G5974" t="n">
        <v>2.8</v>
      </c>
      <c r="H5974" t="n">
        <v>0</v>
      </c>
      <c r="I5974" t="n">
        <v>0</v>
      </c>
      <c r="J5974" t="n">
        <v>0</v>
      </c>
      <c r="K5974" t="n">
        <v>0</v>
      </c>
      <c r="L5974" t="n">
        <v>0</v>
      </c>
      <c r="M5974" t="n">
        <v>0</v>
      </c>
      <c r="N5974" t="n">
        <v>0</v>
      </c>
      <c r="O5974" t="n">
        <v>0</v>
      </c>
      <c r="P5974" t="n">
        <v>0</v>
      </c>
      <c r="Q5974" t="n">
        <v>0</v>
      </c>
      <c r="R5974" s="2" t="inlineStr"/>
    </row>
    <row r="5975" ht="15" customHeight="1">
      <c r="A5975" t="inlineStr">
        <is>
          <t>A 57131-2025</t>
        </is>
      </c>
      <c r="B5975" s="1" t="n">
        <v>45979.47358796297</v>
      </c>
      <c r="C5975" s="1" t="n">
        <v>46114</v>
      </c>
      <c r="D5975" t="inlineStr">
        <is>
          <t>DALARNAS LÄN</t>
        </is>
      </c>
      <c r="E5975" t="inlineStr">
        <is>
          <t>MALUNG-SÄLEN</t>
        </is>
      </c>
      <c r="F5975" t="inlineStr">
        <is>
          <t>Bergvik skog väst AB</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36652-2024</t>
        </is>
      </c>
      <c r="B5976" s="1" t="n">
        <v>45537.61153935185</v>
      </c>
      <c r="C5976" s="1" t="n">
        <v>46114</v>
      </c>
      <c r="D5976" t="inlineStr">
        <is>
          <t>DALARNAS LÄN</t>
        </is>
      </c>
      <c r="E5976" t="inlineStr">
        <is>
          <t>FALUN</t>
        </is>
      </c>
      <c r="F5976" t="inlineStr">
        <is>
          <t>Bergvik skog väst AB</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36682-2024</t>
        </is>
      </c>
      <c r="B5977" s="1" t="n">
        <v>45537.65519675926</v>
      </c>
      <c r="C5977" s="1" t="n">
        <v>46114</v>
      </c>
      <c r="D5977" t="inlineStr">
        <is>
          <t>DALARNAS LÄN</t>
        </is>
      </c>
      <c r="E5977" t="inlineStr">
        <is>
          <t>ORSA</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5873-2025</t>
        </is>
      </c>
      <c r="B5978" s="1" t="n">
        <v>45695.36715277778</v>
      </c>
      <c r="C5978" s="1" t="n">
        <v>46114</v>
      </c>
      <c r="D5978" t="inlineStr">
        <is>
          <t>DALARNAS LÄN</t>
        </is>
      </c>
      <c r="E5978" t="inlineStr">
        <is>
          <t>LEKSAND</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30994-2023</t>
        </is>
      </c>
      <c r="B5979" s="1" t="n">
        <v>45113</v>
      </c>
      <c r="C5979" s="1" t="n">
        <v>46114</v>
      </c>
      <c r="D5979" t="inlineStr">
        <is>
          <t>DALARNAS LÄN</t>
        </is>
      </c>
      <c r="E5979" t="inlineStr">
        <is>
          <t>LEKSAND</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57664-2025</t>
        </is>
      </c>
      <c r="B5980" s="1" t="n">
        <v>45981.42581018519</v>
      </c>
      <c r="C5980" s="1" t="n">
        <v>46114</v>
      </c>
      <c r="D5980" t="inlineStr">
        <is>
          <t>DALARNAS LÄN</t>
        </is>
      </c>
      <c r="E5980" t="inlineStr">
        <is>
          <t>BORLÄNGE</t>
        </is>
      </c>
      <c r="G5980" t="n">
        <v>0.2</v>
      </c>
      <c r="H5980" t="n">
        <v>0</v>
      </c>
      <c r="I5980" t="n">
        <v>0</v>
      </c>
      <c r="J5980" t="n">
        <v>0</v>
      </c>
      <c r="K5980" t="n">
        <v>0</v>
      </c>
      <c r="L5980" t="n">
        <v>0</v>
      </c>
      <c r="M5980" t="n">
        <v>0</v>
      </c>
      <c r="N5980" t="n">
        <v>0</v>
      </c>
      <c r="O5980" t="n">
        <v>0</v>
      </c>
      <c r="P5980" t="n">
        <v>0</v>
      </c>
      <c r="Q5980" t="n">
        <v>0</v>
      </c>
      <c r="R5980" s="2" t="inlineStr"/>
    </row>
    <row r="5981" ht="15" customHeight="1">
      <c r="A5981" t="inlineStr">
        <is>
          <t>A 57383-2025</t>
        </is>
      </c>
      <c r="B5981" s="1" t="n">
        <v>45980.40871527778</v>
      </c>
      <c r="C5981" s="1" t="n">
        <v>46114</v>
      </c>
      <c r="D5981" t="inlineStr">
        <is>
          <t>DALARNAS LÄN</t>
        </is>
      </c>
      <c r="E5981" t="inlineStr">
        <is>
          <t>ORSA</t>
        </is>
      </c>
      <c r="F5981" t="inlineStr">
        <is>
          <t>Kyrkan</t>
        </is>
      </c>
      <c r="G5981" t="n">
        <v>3.5</v>
      </c>
      <c r="H5981" t="n">
        <v>0</v>
      </c>
      <c r="I5981" t="n">
        <v>0</v>
      </c>
      <c r="J5981" t="n">
        <v>0</v>
      </c>
      <c r="K5981" t="n">
        <v>0</v>
      </c>
      <c r="L5981" t="n">
        <v>0</v>
      </c>
      <c r="M5981" t="n">
        <v>0</v>
      </c>
      <c r="N5981" t="n">
        <v>0</v>
      </c>
      <c r="O5981" t="n">
        <v>0</v>
      </c>
      <c r="P5981" t="n">
        <v>0</v>
      </c>
      <c r="Q5981" t="n">
        <v>0</v>
      </c>
      <c r="R5981" s="2" t="inlineStr"/>
    </row>
    <row r="5982" ht="15" customHeight="1">
      <c r="A5982" t="inlineStr">
        <is>
          <t>A 57505-2025</t>
        </is>
      </c>
      <c r="B5982" s="1" t="n">
        <v>45980.59570601852</v>
      </c>
      <c r="C5982" s="1" t="n">
        <v>46114</v>
      </c>
      <c r="D5982" t="inlineStr">
        <is>
          <t>DALARNAS LÄN</t>
        </is>
      </c>
      <c r="E5982" t="inlineStr">
        <is>
          <t>RÄTTVIK</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57520-2025</t>
        </is>
      </c>
      <c r="B5983" s="1" t="n">
        <v>45980.62126157407</v>
      </c>
      <c r="C5983" s="1" t="n">
        <v>46114</v>
      </c>
      <c r="D5983" t="inlineStr">
        <is>
          <t>DALARNAS LÄN</t>
        </is>
      </c>
      <c r="E5983" t="inlineStr">
        <is>
          <t>RÄTTVIK</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33306-2023</t>
        </is>
      </c>
      <c r="B5984" s="1" t="n">
        <v>45127</v>
      </c>
      <c r="C5984" s="1" t="n">
        <v>46114</v>
      </c>
      <c r="D5984" t="inlineStr">
        <is>
          <t>DALARNAS LÄN</t>
        </is>
      </c>
      <c r="E5984" t="inlineStr">
        <is>
          <t>LEKSAND</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33316-2023</t>
        </is>
      </c>
      <c r="B5985" s="1" t="n">
        <v>45127</v>
      </c>
      <c r="C5985" s="1" t="n">
        <v>46114</v>
      </c>
      <c r="D5985" t="inlineStr">
        <is>
          <t>DALARNAS LÄN</t>
        </is>
      </c>
      <c r="E5985" t="inlineStr">
        <is>
          <t>LEKSAND</t>
        </is>
      </c>
      <c r="G5985" t="n">
        <v>8.9</v>
      </c>
      <c r="H5985" t="n">
        <v>0</v>
      </c>
      <c r="I5985" t="n">
        <v>0</v>
      </c>
      <c r="J5985" t="n">
        <v>0</v>
      </c>
      <c r="K5985" t="n">
        <v>0</v>
      </c>
      <c r="L5985" t="n">
        <v>0</v>
      </c>
      <c r="M5985" t="n">
        <v>0</v>
      </c>
      <c r="N5985" t="n">
        <v>0</v>
      </c>
      <c r="O5985" t="n">
        <v>0</v>
      </c>
      <c r="P5985" t="n">
        <v>0</v>
      </c>
      <c r="Q5985" t="n">
        <v>0</v>
      </c>
      <c r="R5985" s="2" t="inlineStr"/>
    </row>
    <row r="5986" ht="15" customHeight="1">
      <c r="A5986" t="inlineStr">
        <is>
          <t>A 57408-2025</t>
        </is>
      </c>
      <c r="B5986" s="1" t="n">
        <v>45980.44607638889</v>
      </c>
      <c r="C5986" s="1" t="n">
        <v>46114</v>
      </c>
      <c r="D5986" t="inlineStr">
        <is>
          <t>DALARNAS LÄN</t>
        </is>
      </c>
      <c r="E5986" t="inlineStr">
        <is>
          <t>SMEDJEBACKEN</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57413-2025</t>
        </is>
      </c>
      <c r="B5987" s="1" t="n">
        <v>45980.4499074074</v>
      </c>
      <c r="C5987" s="1" t="n">
        <v>46114</v>
      </c>
      <c r="D5987" t="inlineStr">
        <is>
          <t>DALARNAS LÄN</t>
        </is>
      </c>
      <c r="E5987" t="inlineStr">
        <is>
          <t>SMEDJEBACKEN</t>
        </is>
      </c>
      <c r="F5987" t="inlineStr">
        <is>
          <t>Sveaskog</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57416-2025</t>
        </is>
      </c>
      <c r="B5988" s="1" t="n">
        <v>45980.45153935185</v>
      </c>
      <c r="C5988" s="1" t="n">
        <v>46114</v>
      </c>
      <c r="D5988" t="inlineStr">
        <is>
          <t>DALARNAS LÄN</t>
        </is>
      </c>
      <c r="E5988" t="inlineStr">
        <is>
          <t>SMEDJEBACKEN</t>
        </is>
      </c>
      <c r="F5988" t="inlineStr">
        <is>
          <t>Sveaskog</t>
        </is>
      </c>
      <c r="G5988" t="n">
        <v>2.6</v>
      </c>
      <c r="H5988" t="n">
        <v>0</v>
      </c>
      <c r="I5988" t="n">
        <v>0</v>
      </c>
      <c r="J5988" t="n">
        <v>0</v>
      </c>
      <c r="K5988" t="n">
        <v>0</v>
      </c>
      <c r="L5988" t="n">
        <v>0</v>
      </c>
      <c r="M5988" t="n">
        <v>0</v>
      </c>
      <c r="N5988" t="n">
        <v>0</v>
      </c>
      <c r="O5988" t="n">
        <v>0</v>
      </c>
      <c r="P5988" t="n">
        <v>0</v>
      </c>
      <c r="Q5988" t="n">
        <v>0</v>
      </c>
      <c r="R5988" s="2" t="inlineStr"/>
    </row>
    <row r="5989" ht="15" customHeight="1">
      <c r="A5989" t="inlineStr">
        <is>
          <t>A 57304-2025</t>
        </is>
      </c>
      <c r="B5989" s="1" t="n">
        <v>45979.93065972222</v>
      </c>
      <c r="C5989" s="1" t="n">
        <v>46114</v>
      </c>
      <c r="D5989" t="inlineStr">
        <is>
          <t>DALARNAS LÄN</t>
        </is>
      </c>
      <c r="E5989" t="inlineStr">
        <is>
          <t>FALUN</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57305-2025</t>
        </is>
      </c>
      <c r="B5990" s="1" t="n">
        <v>45979.93915509259</v>
      </c>
      <c r="C5990" s="1" t="n">
        <v>46114</v>
      </c>
      <c r="D5990" t="inlineStr">
        <is>
          <t>DALARNAS LÄN</t>
        </is>
      </c>
      <c r="E5990" t="inlineStr">
        <is>
          <t>FALUN</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42952-2023</t>
        </is>
      </c>
      <c r="B5991" s="1" t="n">
        <v>45182</v>
      </c>
      <c r="C5991" s="1" t="n">
        <v>46114</v>
      </c>
      <c r="D5991" t="inlineStr">
        <is>
          <t>DALARNAS LÄN</t>
        </is>
      </c>
      <c r="E5991" t="inlineStr">
        <is>
          <t>FALUN</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33534-2023</t>
        </is>
      </c>
      <c r="B5992" s="1" t="n">
        <v>45131.55674768519</v>
      </c>
      <c r="C5992" s="1" t="n">
        <v>46114</v>
      </c>
      <c r="D5992" t="inlineStr">
        <is>
          <t>DALARNAS LÄN</t>
        </is>
      </c>
      <c r="E5992" t="inlineStr">
        <is>
          <t>FALUN</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33539-2023</t>
        </is>
      </c>
      <c r="B5993" s="1" t="n">
        <v>45131.56550925926</v>
      </c>
      <c r="C5993" s="1" t="n">
        <v>46114</v>
      </c>
      <c r="D5993" t="inlineStr">
        <is>
          <t>DALARNAS LÄN</t>
        </is>
      </c>
      <c r="E5993" t="inlineStr">
        <is>
          <t>FALUN</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33543-2023</t>
        </is>
      </c>
      <c r="B5994" s="1" t="n">
        <v>45131.57393518519</v>
      </c>
      <c r="C5994" s="1" t="n">
        <v>46114</v>
      </c>
      <c r="D5994" t="inlineStr">
        <is>
          <t>DALARNAS LÄN</t>
        </is>
      </c>
      <c r="E5994" t="inlineStr">
        <is>
          <t>FALUN</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38932-2024</t>
        </is>
      </c>
      <c r="B5995" s="1" t="n">
        <v>45548.32189814815</v>
      </c>
      <c r="C5995" s="1" t="n">
        <v>46114</v>
      </c>
      <c r="D5995" t="inlineStr">
        <is>
          <t>DALARNAS LÄN</t>
        </is>
      </c>
      <c r="E5995" t="inlineStr">
        <is>
          <t>MALUNG-SÄLEN</t>
        </is>
      </c>
      <c r="G5995" t="n">
        <v>20.4</v>
      </c>
      <c r="H5995" t="n">
        <v>0</v>
      </c>
      <c r="I5995" t="n">
        <v>0</v>
      </c>
      <c r="J5995" t="n">
        <v>0</v>
      </c>
      <c r="K5995" t="n">
        <v>0</v>
      </c>
      <c r="L5995" t="n">
        <v>0</v>
      </c>
      <c r="M5995" t="n">
        <v>0</v>
      </c>
      <c r="N5995" t="n">
        <v>0</v>
      </c>
      <c r="O5995" t="n">
        <v>0</v>
      </c>
      <c r="P5995" t="n">
        <v>0</v>
      </c>
      <c r="Q5995" t="n">
        <v>0</v>
      </c>
      <c r="R5995" s="2" t="inlineStr"/>
    </row>
    <row r="5996" ht="15" customHeight="1">
      <c r="A5996" t="inlineStr">
        <is>
          <t>A 37832-2023</t>
        </is>
      </c>
      <c r="B5996" s="1" t="n">
        <v>45160.3479050926</v>
      </c>
      <c r="C5996" s="1" t="n">
        <v>46114</v>
      </c>
      <c r="D5996" t="inlineStr">
        <is>
          <t>DALARNAS LÄN</t>
        </is>
      </c>
      <c r="E5996" t="inlineStr">
        <is>
          <t>LEKSAND</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33864-2024</t>
        </is>
      </c>
      <c r="B5997" s="1" t="n">
        <v>45520</v>
      </c>
      <c r="C5997" s="1" t="n">
        <v>46114</v>
      </c>
      <c r="D5997" t="inlineStr">
        <is>
          <t>DALARNAS LÄN</t>
        </is>
      </c>
      <c r="E5997" t="inlineStr">
        <is>
          <t>SMEDJEBACKEN</t>
        </is>
      </c>
      <c r="F5997" t="inlineStr">
        <is>
          <t>Bergvik skog väst AB</t>
        </is>
      </c>
      <c r="G5997" t="n">
        <v>15.3</v>
      </c>
      <c r="H5997" t="n">
        <v>0</v>
      </c>
      <c r="I5997" t="n">
        <v>0</v>
      </c>
      <c r="J5997" t="n">
        <v>0</v>
      </c>
      <c r="K5997" t="n">
        <v>0</v>
      </c>
      <c r="L5997" t="n">
        <v>0</v>
      </c>
      <c r="M5997" t="n">
        <v>0</v>
      </c>
      <c r="N5997" t="n">
        <v>0</v>
      </c>
      <c r="O5997" t="n">
        <v>0</v>
      </c>
      <c r="P5997" t="n">
        <v>0</v>
      </c>
      <c r="Q5997" t="n">
        <v>0</v>
      </c>
      <c r="R5997" s="2" t="inlineStr"/>
    </row>
    <row r="5998" ht="15" customHeight="1">
      <c r="A5998" t="inlineStr">
        <is>
          <t>A 24384-2024</t>
        </is>
      </c>
      <c r="B5998" s="1" t="n">
        <v>45457.62734953704</v>
      </c>
      <c r="C5998" s="1" t="n">
        <v>46114</v>
      </c>
      <c r="D5998" t="inlineStr">
        <is>
          <t>DALARNAS LÄN</t>
        </is>
      </c>
      <c r="E5998" t="inlineStr">
        <is>
          <t>VANSBRO</t>
        </is>
      </c>
      <c r="G5998" t="n">
        <v>6.5</v>
      </c>
      <c r="H5998" t="n">
        <v>0</v>
      </c>
      <c r="I5998" t="n">
        <v>0</v>
      </c>
      <c r="J5998" t="n">
        <v>0</v>
      </c>
      <c r="K5998" t="n">
        <v>0</v>
      </c>
      <c r="L5998" t="n">
        <v>0</v>
      </c>
      <c r="M5998" t="n">
        <v>0</v>
      </c>
      <c r="N5998" t="n">
        <v>0</v>
      </c>
      <c r="O5998" t="n">
        <v>0</v>
      </c>
      <c r="P5998" t="n">
        <v>0</v>
      </c>
      <c r="Q5998" t="n">
        <v>0</v>
      </c>
      <c r="R5998" s="2" t="inlineStr"/>
    </row>
    <row r="5999" ht="15" customHeight="1">
      <c r="A5999" t="inlineStr">
        <is>
          <t>A 57659-2025</t>
        </is>
      </c>
      <c r="B5999" s="1" t="n">
        <v>45981.41228009259</v>
      </c>
      <c r="C5999" s="1" t="n">
        <v>46114</v>
      </c>
      <c r="D5999" t="inlineStr">
        <is>
          <t>DALARNAS LÄN</t>
        </is>
      </c>
      <c r="E5999" t="inlineStr">
        <is>
          <t>MORA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57662-2025</t>
        </is>
      </c>
      <c r="B6000" s="1" t="n">
        <v>45981.42233796296</v>
      </c>
      <c r="C6000" s="1" t="n">
        <v>46114</v>
      </c>
      <c r="D6000" t="inlineStr">
        <is>
          <t>DALARNAS LÄN</t>
        </is>
      </c>
      <c r="E6000" t="inlineStr">
        <is>
          <t>BORLÄNGE</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57544-2025</t>
        </is>
      </c>
      <c r="B6001" s="1" t="n">
        <v>45980.65521990741</v>
      </c>
      <c r="C6001" s="1" t="n">
        <v>46114</v>
      </c>
      <c r="D6001" t="inlineStr">
        <is>
          <t>DALARNAS LÄN</t>
        </is>
      </c>
      <c r="E6001" t="inlineStr">
        <is>
          <t>FALUN</t>
        </is>
      </c>
      <c r="G6001" t="n">
        <v>4.9</v>
      </c>
      <c r="H6001" t="n">
        <v>0</v>
      </c>
      <c r="I6001" t="n">
        <v>0</v>
      </c>
      <c r="J6001" t="n">
        <v>0</v>
      </c>
      <c r="K6001" t="n">
        <v>0</v>
      </c>
      <c r="L6001" t="n">
        <v>0</v>
      </c>
      <c r="M6001" t="n">
        <v>0</v>
      </c>
      <c r="N6001" t="n">
        <v>0</v>
      </c>
      <c r="O6001" t="n">
        <v>0</v>
      </c>
      <c r="P6001" t="n">
        <v>0</v>
      </c>
      <c r="Q6001" t="n">
        <v>0</v>
      </c>
      <c r="R6001" s="2" t="inlineStr"/>
    </row>
    <row r="6002" ht="15" customHeight="1">
      <c r="A6002" t="inlineStr">
        <is>
          <t>A 36579-2022</t>
        </is>
      </c>
      <c r="B6002" s="1" t="n">
        <v>44804.61636574074</v>
      </c>
      <c r="C6002" s="1" t="n">
        <v>46114</v>
      </c>
      <c r="D6002" t="inlineStr">
        <is>
          <t>DALARNAS LÄN</t>
        </is>
      </c>
      <c r="E6002" t="inlineStr">
        <is>
          <t>MORA</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30030-2021</t>
        </is>
      </c>
      <c r="B6003" s="1" t="n">
        <v>44363</v>
      </c>
      <c r="C6003" s="1" t="n">
        <v>46114</v>
      </c>
      <c r="D6003" t="inlineStr">
        <is>
          <t>DALARNAS LÄN</t>
        </is>
      </c>
      <c r="E6003" t="inlineStr">
        <is>
          <t>MORA</t>
        </is>
      </c>
      <c r="G6003" t="n">
        <v>7.1</v>
      </c>
      <c r="H6003" t="n">
        <v>0</v>
      </c>
      <c r="I6003" t="n">
        <v>0</v>
      </c>
      <c r="J6003" t="n">
        <v>0</v>
      </c>
      <c r="K6003" t="n">
        <v>0</v>
      </c>
      <c r="L6003" t="n">
        <v>0</v>
      </c>
      <c r="M6003" t="n">
        <v>0</v>
      </c>
      <c r="N6003" t="n">
        <v>0</v>
      </c>
      <c r="O6003" t="n">
        <v>0</v>
      </c>
      <c r="P6003" t="n">
        <v>0</v>
      </c>
      <c r="Q6003" t="n">
        <v>0</v>
      </c>
      <c r="R6003" s="2" t="inlineStr"/>
    </row>
    <row r="6004" ht="15" customHeight="1">
      <c r="A6004" t="inlineStr">
        <is>
          <t>A 57647-2025</t>
        </is>
      </c>
      <c r="B6004" s="1" t="n">
        <v>45981.37621527778</v>
      </c>
      <c r="C6004" s="1" t="n">
        <v>46114</v>
      </c>
      <c r="D6004" t="inlineStr">
        <is>
          <t>DALARNAS LÄN</t>
        </is>
      </c>
      <c r="E6004" t="inlineStr">
        <is>
          <t>MORA</t>
        </is>
      </c>
      <c r="G6004" t="n">
        <v>3.9</v>
      </c>
      <c r="H6004" t="n">
        <v>0</v>
      </c>
      <c r="I6004" t="n">
        <v>0</v>
      </c>
      <c r="J6004" t="n">
        <v>0</v>
      </c>
      <c r="K6004" t="n">
        <v>0</v>
      </c>
      <c r="L6004" t="n">
        <v>0</v>
      </c>
      <c r="M6004" t="n">
        <v>0</v>
      </c>
      <c r="N6004" t="n">
        <v>0</v>
      </c>
      <c r="O6004" t="n">
        <v>0</v>
      </c>
      <c r="P6004" t="n">
        <v>0</v>
      </c>
      <c r="Q6004" t="n">
        <v>0</v>
      </c>
      <c r="R6004" s="2" t="inlineStr"/>
    </row>
    <row r="6005" ht="15" customHeight="1">
      <c r="A6005" t="inlineStr">
        <is>
          <t>A 57660-2025</t>
        </is>
      </c>
      <c r="B6005" s="1" t="n">
        <v>45981.4140162037</v>
      </c>
      <c r="C6005" s="1" t="n">
        <v>46114</v>
      </c>
      <c r="D6005" t="inlineStr">
        <is>
          <t>DALARNAS LÄN</t>
        </is>
      </c>
      <c r="E6005" t="inlineStr">
        <is>
          <t>SMEDJEBACKEN</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57401-2025</t>
        </is>
      </c>
      <c r="B6006" s="1" t="n">
        <v>45980.43390046297</v>
      </c>
      <c r="C6006" s="1" t="n">
        <v>46114</v>
      </c>
      <c r="D6006" t="inlineStr">
        <is>
          <t>DALARNAS LÄN</t>
        </is>
      </c>
      <c r="E6006" t="inlineStr">
        <is>
          <t>MALUNG-SÄLEN</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53490-2024</t>
        </is>
      </c>
      <c r="B6007" s="1" t="n">
        <v>45614</v>
      </c>
      <c r="C6007" s="1" t="n">
        <v>46114</v>
      </c>
      <c r="D6007" t="inlineStr">
        <is>
          <t>DALARNAS LÄN</t>
        </is>
      </c>
      <c r="E6007" t="inlineStr">
        <is>
          <t>MALUNG-SÄLEN</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9143-2023</t>
        </is>
      </c>
      <c r="B6008" s="1" t="n">
        <v>44974</v>
      </c>
      <c r="C6008" s="1" t="n">
        <v>46114</v>
      </c>
      <c r="D6008" t="inlineStr">
        <is>
          <t>DALARNAS LÄN</t>
        </is>
      </c>
      <c r="E6008" t="inlineStr">
        <is>
          <t>LEKSAND</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57681-2025</t>
        </is>
      </c>
      <c r="B6009" s="1" t="n">
        <v>45980.30490740741</v>
      </c>
      <c r="C6009" s="1" t="n">
        <v>46114</v>
      </c>
      <c r="D6009" t="inlineStr">
        <is>
          <t>DALARNAS LÄN</t>
        </is>
      </c>
      <c r="E6009" t="inlineStr">
        <is>
          <t>ORSA</t>
        </is>
      </c>
      <c r="G6009" t="n">
        <v>1.7</v>
      </c>
      <c r="H6009" t="n">
        <v>0</v>
      </c>
      <c r="I6009" t="n">
        <v>0</v>
      </c>
      <c r="J6009" t="n">
        <v>0</v>
      </c>
      <c r="K6009" t="n">
        <v>0</v>
      </c>
      <c r="L6009" t="n">
        <v>0</v>
      </c>
      <c r="M6009" t="n">
        <v>0</v>
      </c>
      <c r="N6009" t="n">
        <v>0</v>
      </c>
      <c r="O6009" t="n">
        <v>0</v>
      </c>
      <c r="P6009" t="n">
        <v>0</v>
      </c>
      <c r="Q6009" t="n">
        <v>0</v>
      </c>
      <c r="R6009" s="2" t="inlineStr"/>
    </row>
    <row r="6010" ht="15" customHeight="1">
      <c r="A6010" t="inlineStr">
        <is>
          <t>A 57017-2024</t>
        </is>
      </c>
      <c r="B6010" s="1" t="n">
        <v>45628.80585648148</v>
      </c>
      <c r="C6010" s="1" t="n">
        <v>46114</v>
      </c>
      <c r="D6010" t="inlineStr">
        <is>
          <t>DALARNAS LÄN</t>
        </is>
      </c>
      <c r="E6010" t="inlineStr">
        <is>
          <t>SÄTER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57716-2025</t>
        </is>
      </c>
      <c r="B6011" s="1" t="n">
        <v>45981.48138888889</v>
      </c>
      <c r="C6011" s="1" t="n">
        <v>46114</v>
      </c>
      <c r="D6011" t="inlineStr">
        <is>
          <t>DALARNAS LÄN</t>
        </is>
      </c>
      <c r="E6011" t="inlineStr">
        <is>
          <t>VANSBRO</t>
        </is>
      </c>
      <c r="F6011" t="inlineStr">
        <is>
          <t>Bergvik skog väst AB</t>
        </is>
      </c>
      <c r="G6011" t="n">
        <v>5.1</v>
      </c>
      <c r="H6011" t="n">
        <v>0</v>
      </c>
      <c r="I6011" t="n">
        <v>0</v>
      </c>
      <c r="J6011" t="n">
        <v>0</v>
      </c>
      <c r="K6011" t="n">
        <v>0</v>
      </c>
      <c r="L6011" t="n">
        <v>0</v>
      </c>
      <c r="M6011" t="n">
        <v>0</v>
      </c>
      <c r="N6011" t="n">
        <v>0</v>
      </c>
      <c r="O6011" t="n">
        <v>0</v>
      </c>
      <c r="P6011" t="n">
        <v>0</v>
      </c>
      <c r="Q6011" t="n">
        <v>0</v>
      </c>
      <c r="R6011" s="2" t="inlineStr"/>
    </row>
    <row r="6012" ht="15" customHeight="1">
      <c r="A6012" t="inlineStr">
        <is>
          <t>A 63929-2023</t>
        </is>
      </c>
      <c r="B6012" s="1" t="n">
        <v>45278.60274305556</v>
      </c>
      <c r="C6012" s="1" t="n">
        <v>46114</v>
      </c>
      <c r="D6012" t="inlineStr">
        <is>
          <t>DALARNAS LÄN</t>
        </is>
      </c>
      <c r="E6012" t="inlineStr">
        <is>
          <t>HEDEMORA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57832-2025</t>
        </is>
      </c>
      <c r="B6013" s="1" t="n">
        <v>45981</v>
      </c>
      <c r="C6013" s="1" t="n">
        <v>46114</v>
      </c>
      <c r="D6013" t="inlineStr">
        <is>
          <t>DALARNAS LÄN</t>
        </is>
      </c>
      <c r="E6013" t="inlineStr">
        <is>
          <t>LUDVIKA</t>
        </is>
      </c>
      <c r="F6013" t="inlineStr">
        <is>
          <t>Bergvik skog väst AB</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57843-2025</t>
        </is>
      </c>
      <c r="B6014" s="1" t="n">
        <v>45981.62792824074</v>
      </c>
      <c r="C6014" s="1" t="n">
        <v>46114</v>
      </c>
      <c r="D6014" t="inlineStr">
        <is>
          <t>DALARNAS LÄN</t>
        </is>
      </c>
      <c r="E6014" t="inlineStr">
        <is>
          <t>MORA</t>
        </is>
      </c>
      <c r="G6014" t="n">
        <v>4.5</v>
      </c>
      <c r="H6014" t="n">
        <v>0</v>
      </c>
      <c r="I6014" t="n">
        <v>0</v>
      </c>
      <c r="J6014" t="n">
        <v>0</v>
      </c>
      <c r="K6014" t="n">
        <v>0</v>
      </c>
      <c r="L6014" t="n">
        <v>0</v>
      </c>
      <c r="M6014" t="n">
        <v>0</v>
      </c>
      <c r="N6014" t="n">
        <v>0</v>
      </c>
      <c r="O6014" t="n">
        <v>0</v>
      </c>
      <c r="P6014" t="n">
        <v>0</v>
      </c>
      <c r="Q6014" t="n">
        <v>0</v>
      </c>
      <c r="R6014" s="2" t="inlineStr"/>
    </row>
    <row r="6015" ht="15" customHeight="1">
      <c r="A6015" t="inlineStr">
        <is>
          <t>A 57863-2025</t>
        </is>
      </c>
      <c r="B6015" s="1" t="n">
        <v>45981.64387731482</v>
      </c>
      <c r="C6015" s="1" t="n">
        <v>46114</v>
      </c>
      <c r="D6015" t="inlineStr">
        <is>
          <t>DALARNAS LÄN</t>
        </is>
      </c>
      <c r="E6015" t="inlineStr">
        <is>
          <t>VANSBRO</t>
        </is>
      </c>
      <c r="G6015" t="n">
        <v>4.9</v>
      </c>
      <c r="H6015" t="n">
        <v>0</v>
      </c>
      <c r="I6015" t="n">
        <v>0</v>
      </c>
      <c r="J6015" t="n">
        <v>0</v>
      </c>
      <c r="K6015" t="n">
        <v>0</v>
      </c>
      <c r="L6015" t="n">
        <v>0</v>
      </c>
      <c r="M6015" t="n">
        <v>0</v>
      </c>
      <c r="N6015" t="n">
        <v>0</v>
      </c>
      <c r="O6015" t="n">
        <v>0</v>
      </c>
      <c r="P6015" t="n">
        <v>0</v>
      </c>
      <c r="Q6015" t="n">
        <v>0</v>
      </c>
      <c r="R6015" s="2" t="inlineStr"/>
    </row>
    <row r="6016" ht="15" customHeight="1">
      <c r="A6016" t="inlineStr">
        <is>
          <t>A 57869-2025</t>
        </is>
      </c>
      <c r="B6016" s="1" t="n">
        <v>45981.65211805556</v>
      </c>
      <c r="C6016" s="1" t="n">
        <v>46114</v>
      </c>
      <c r="D6016" t="inlineStr">
        <is>
          <t>DALARNAS LÄN</t>
        </is>
      </c>
      <c r="E6016" t="inlineStr">
        <is>
          <t>LEKSAND</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60652-2023</t>
        </is>
      </c>
      <c r="B6017" s="1" t="n">
        <v>45260</v>
      </c>
      <c r="C6017" s="1" t="n">
        <v>46114</v>
      </c>
      <c r="D6017" t="inlineStr">
        <is>
          <t>DALARNAS LÄN</t>
        </is>
      </c>
      <c r="E6017" t="inlineStr">
        <is>
          <t>GAGNEF</t>
        </is>
      </c>
      <c r="G6017" t="n">
        <v>3.4</v>
      </c>
      <c r="H6017" t="n">
        <v>0</v>
      </c>
      <c r="I6017" t="n">
        <v>0</v>
      </c>
      <c r="J6017" t="n">
        <v>0</v>
      </c>
      <c r="K6017" t="n">
        <v>0</v>
      </c>
      <c r="L6017" t="n">
        <v>0</v>
      </c>
      <c r="M6017" t="n">
        <v>0</v>
      </c>
      <c r="N6017" t="n">
        <v>0</v>
      </c>
      <c r="O6017" t="n">
        <v>0</v>
      </c>
      <c r="P6017" t="n">
        <v>0</v>
      </c>
      <c r="Q6017" t="n">
        <v>0</v>
      </c>
      <c r="R6017" s="2" t="inlineStr"/>
    </row>
    <row r="6018" ht="15" customHeight="1">
      <c r="A6018" t="inlineStr">
        <is>
          <t>A 54423-2023</t>
        </is>
      </c>
      <c r="B6018" s="1" t="n">
        <v>45233.41666666666</v>
      </c>
      <c r="C6018" s="1" t="n">
        <v>46114</v>
      </c>
      <c r="D6018" t="inlineStr">
        <is>
          <t>DALARNAS LÄN</t>
        </is>
      </c>
      <c r="E6018" t="inlineStr">
        <is>
          <t>HEDEMORA</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57510-2025</t>
        </is>
      </c>
      <c r="B6019" s="1" t="n">
        <v>45980.60502314815</v>
      </c>
      <c r="C6019" s="1" t="n">
        <v>46114</v>
      </c>
      <c r="D6019" t="inlineStr">
        <is>
          <t>DALARNAS LÄN</t>
        </is>
      </c>
      <c r="E6019" t="inlineStr">
        <is>
          <t>ÄLVDALEN</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13062-2023</t>
        </is>
      </c>
      <c r="B6020" s="1" t="n">
        <v>45002.38197916667</v>
      </c>
      <c r="C6020" s="1" t="n">
        <v>46114</v>
      </c>
      <c r="D6020" t="inlineStr">
        <is>
          <t>DALARNAS LÄN</t>
        </is>
      </c>
      <c r="E6020" t="inlineStr">
        <is>
          <t>VANSBRO</t>
        </is>
      </c>
      <c r="F6020" t="inlineStr">
        <is>
          <t>Övriga statliga verk och myndigheter</t>
        </is>
      </c>
      <c r="G6020" t="n">
        <v>6.1</v>
      </c>
      <c r="H6020" t="n">
        <v>0</v>
      </c>
      <c r="I6020" t="n">
        <v>0</v>
      </c>
      <c r="J6020" t="n">
        <v>0</v>
      </c>
      <c r="K6020" t="n">
        <v>0</v>
      </c>
      <c r="L6020" t="n">
        <v>0</v>
      </c>
      <c r="M6020" t="n">
        <v>0</v>
      </c>
      <c r="N6020" t="n">
        <v>0</v>
      </c>
      <c r="O6020" t="n">
        <v>0</v>
      </c>
      <c r="P6020" t="n">
        <v>0</v>
      </c>
      <c r="Q6020" t="n">
        <v>0</v>
      </c>
      <c r="R6020" s="2" t="inlineStr"/>
    </row>
    <row r="6021" ht="15" customHeight="1">
      <c r="A6021" t="inlineStr">
        <is>
          <t>A 21288-2024</t>
        </is>
      </c>
      <c r="B6021" s="1" t="n">
        <v>45440.66130787037</v>
      </c>
      <c r="C6021" s="1" t="n">
        <v>46114</v>
      </c>
      <c r="D6021" t="inlineStr">
        <is>
          <t>DALARNAS LÄN</t>
        </is>
      </c>
      <c r="E6021" t="inlineStr">
        <is>
          <t>FALUN</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61361-2024</t>
        </is>
      </c>
      <c r="B6022" s="1" t="n">
        <v>45646.38563657407</v>
      </c>
      <c r="C6022" s="1" t="n">
        <v>46114</v>
      </c>
      <c r="D6022" t="inlineStr">
        <is>
          <t>DALARNAS LÄN</t>
        </is>
      </c>
      <c r="E6022" t="inlineStr">
        <is>
          <t>MALUNG-SÄLEN</t>
        </is>
      </c>
      <c r="G6022" t="n">
        <v>9.4</v>
      </c>
      <c r="H6022" t="n">
        <v>0</v>
      </c>
      <c r="I6022" t="n">
        <v>0</v>
      </c>
      <c r="J6022" t="n">
        <v>0</v>
      </c>
      <c r="K6022" t="n">
        <v>0</v>
      </c>
      <c r="L6022" t="n">
        <v>0</v>
      </c>
      <c r="M6022" t="n">
        <v>0</v>
      </c>
      <c r="N6022" t="n">
        <v>0</v>
      </c>
      <c r="O6022" t="n">
        <v>0</v>
      </c>
      <c r="P6022" t="n">
        <v>0</v>
      </c>
      <c r="Q6022" t="n">
        <v>0</v>
      </c>
      <c r="R6022" s="2" t="inlineStr"/>
    </row>
    <row r="6023" ht="15" customHeight="1">
      <c r="A6023" t="inlineStr">
        <is>
          <t>A 61387-2024</t>
        </is>
      </c>
      <c r="B6023" s="1" t="n">
        <v>45646.41444444445</v>
      </c>
      <c r="C6023" s="1" t="n">
        <v>46114</v>
      </c>
      <c r="D6023" t="inlineStr">
        <is>
          <t>DALARNAS LÄN</t>
        </is>
      </c>
      <c r="E6023" t="inlineStr">
        <is>
          <t>FALUN</t>
        </is>
      </c>
      <c r="F6023" t="inlineStr">
        <is>
          <t>Bergvik skog väst AB</t>
        </is>
      </c>
      <c r="G6023" t="n">
        <v>16.6</v>
      </c>
      <c r="H6023" t="n">
        <v>0</v>
      </c>
      <c r="I6023" t="n">
        <v>0</v>
      </c>
      <c r="J6023" t="n">
        <v>0</v>
      </c>
      <c r="K6023" t="n">
        <v>0</v>
      </c>
      <c r="L6023" t="n">
        <v>0</v>
      </c>
      <c r="M6023" t="n">
        <v>0</v>
      </c>
      <c r="N6023" t="n">
        <v>0</v>
      </c>
      <c r="O6023" t="n">
        <v>0</v>
      </c>
      <c r="P6023" t="n">
        <v>0</v>
      </c>
      <c r="Q6023" t="n">
        <v>0</v>
      </c>
      <c r="R6023" s="2" t="inlineStr"/>
    </row>
    <row r="6024" ht="15" customHeight="1">
      <c r="A6024" t="inlineStr">
        <is>
          <t>A 33531-2024</t>
        </is>
      </c>
      <c r="B6024" s="1" t="n">
        <v>45519.67503472222</v>
      </c>
      <c r="C6024" s="1" t="n">
        <v>46114</v>
      </c>
      <c r="D6024" t="inlineStr">
        <is>
          <t>DALARNAS LÄN</t>
        </is>
      </c>
      <c r="E6024" t="inlineStr">
        <is>
          <t>MORA</t>
        </is>
      </c>
      <c r="G6024" t="n">
        <v>14.8</v>
      </c>
      <c r="H6024" t="n">
        <v>0</v>
      </c>
      <c r="I6024" t="n">
        <v>0</v>
      </c>
      <c r="J6024" t="n">
        <v>0</v>
      </c>
      <c r="K6024" t="n">
        <v>0</v>
      </c>
      <c r="L6024" t="n">
        <v>0</v>
      </c>
      <c r="M6024" t="n">
        <v>0</v>
      </c>
      <c r="N6024" t="n">
        <v>0</v>
      </c>
      <c r="O6024" t="n">
        <v>0</v>
      </c>
      <c r="P6024" t="n">
        <v>0</v>
      </c>
      <c r="Q6024" t="n">
        <v>0</v>
      </c>
      <c r="R6024" s="2" t="inlineStr"/>
    </row>
    <row r="6025" ht="15" customHeight="1">
      <c r="A6025" t="inlineStr">
        <is>
          <t>A 57712-2025</t>
        </is>
      </c>
      <c r="B6025" s="1" t="n">
        <v>45981.47236111111</v>
      </c>
      <c r="C6025" s="1" t="n">
        <v>46114</v>
      </c>
      <c r="D6025" t="inlineStr">
        <is>
          <t>DALARNAS LÄN</t>
        </is>
      </c>
      <c r="E6025" t="inlineStr">
        <is>
          <t>MALUNG-SÄLEN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57820-2025</t>
        </is>
      </c>
      <c r="B6026" s="1" t="n">
        <v>45981.60518518519</v>
      </c>
      <c r="C6026" s="1" t="n">
        <v>46114</v>
      </c>
      <c r="D6026" t="inlineStr">
        <is>
          <t>DALARNAS LÄN</t>
        </is>
      </c>
      <c r="E6026" t="inlineStr">
        <is>
          <t>RÄTTVIK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44729-2024</t>
        </is>
      </c>
      <c r="B6027" s="1" t="n">
        <v>45574</v>
      </c>
      <c r="C6027" s="1" t="n">
        <v>46114</v>
      </c>
      <c r="D6027" t="inlineStr">
        <is>
          <t>DALARNAS LÄN</t>
        </is>
      </c>
      <c r="E6027" t="inlineStr">
        <is>
          <t>SÄTER</t>
        </is>
      </c>
      <c r="F6027" t="inlineStr">
        <is>
          <t>Bergvik skog väst AB</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63952-2021</t>
        </is>
      </c>
      <c r="B6028" s="1" t="n">
        <v>44509.76625</v>
      </c>
      <c r="C6028" s="1" t="n">
        <v>46114</v>
      </c>
      <c r="D6028" t="inlineStr">
        <is>
          <t>DALARNAS LÄN</t>
        </is>
      </c>
      <c r="E6028" t="inlineStr">
        <is>
          <t>GAGNEF</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62386-2023</t>
        </is>
      </c>
      <c r="B6029" s="1" t="n">
        <v>45268</v>
      </c>
      <c r="C6029" s="1" t="n">
        <v>46114</v>
      </c>
      <c r="D6029" t="inlineStr">
        <is>
          <t>DALARNAS LÄN</t>
        </is>
      </c>
      <c r="E6029" t="inlineStr">
        <is>
          <t>HEDEMORA</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57435-2025</t>
        </is>
      </c>
      <c r="B6030" s="1" t="n">
        <v>45980</v>
      </c>
      <c r="C6030" s="1" t="n">
        <v>46114</v>
      </c>
      <c r="D6030" t="inlineStr">
        <is>
          <t>DALARNAS LÄN</t>
        </is>
      </c>
      <c r="E6030" t="inlineStr">
        <is>
          <t>LUDVIKA</t>
        </is>
      </c>
      <c r="F6030" t="inlineStr">
        <is>
          <t>Bergvik skog väst AB</t>
        </is>
      </c>
      <c r="G6030" t="n">
        <v>1.7</v>
      </c>
      <c r="H6030" t="n">
        <v>0</v>
      </c>
      <c r="I6030" t="n">
        <v>0</v>
      </c>
      <c r="J6030" t="n">
        <v>0</v>
      </c>
      <c r="K6030" t="n">
        <v>0</v>
      </c>
      <c r="L6030" t="n">
        <v>0</v>
      </c>
      <c r="M6030" t="n">
        <v>0</v>
      </c>
      <c r="N6030" t="n">
        <v>0</v>
      </c>
      <c r="O6030" t="n">
        <v>0</v>
      </c>
      <c r="P6030" t="n">
        <v>0</v>
      </c>
      <c r="Q6030" t="n">
        <v>0</v>
      </c>
      <c r="R6030" s="2" t="inlineStr"/>
    </row>
    <row r="6031" ht="15" customHeight="1">
      <c r="A6031" t="inlineStr">
        <is>
          <t>A 57495-2025</t>
        </is>
      </c>
      <c r="B6031" s="1" t="n">
        <v>45980</v>
      </c>
      <c r="C6031" s="1" t="n">
        <v>46114</v>
      </c>
      <c r="D6031" t="inlineStr">
        <is>
          <t>DALARNAS LÄN</t>
        </is>
      </c>
      <c r="E6031" t="inlineStr">
        <is>
          <t>AVESTA</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57500-2025</t>
        </is>
      </c>
      <c r="B6032" s="1" t="n">
        <v>45980.58920138889</v>
      </c>
      <c r="C6032" s="1" t="n">
        <v>46114</v>
      </c>
      <c r="D6032" t="inlineStr">
        <is>
          <t>DALARNAS LÄN</t>
        </is>
      </c>
      <c r="E6032" t="inlineStr">
        <is>
          <t>FALUN</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62398-2023</t>
        </is>
      </c>
      <c r="B6033" s="1" t="n">
        <v>45268</v>
      </c>
      <c r="C6033" s="1" t="n">
        <v>46114</v>
      </c>
      <c r="D6033" t="inlineStr">
        <is>
          <t>DALARNAS LÄN</t>
        </is>
      </c>
      <c r="E6033" t="inlineStr">
        <is>
          <t>HEDEMORA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57855-2025</t>
        </is>
      </c>
      <c r="B6034" s="1" t="n">
        <v>45981.63909722222</v>
      </c>
      <c r="C6034" s="1" t="n">
        <v>46114</v>
      </c>
      <c r="D6034" t="inlineStr">
        <is>
          <t>DALARNAS LÄN</t>
        </is>
      </c>
      <c r="E6034" t="inlineStr">
        <is>
          <t>MORA</t>
        </is>
      </c>
      <c r="G6034" t="n">
        <v>9.9</v>
      </c>
      <c r="H6034" t="n">
        <v>0</v>
      </c>
      <c r="I6034" t="n">
        <v>0</v>
      </c>
      <c r="J6034" t="n">
        <v>0</v>
      </c>
      <c r="K6034" t="n">
        <v>0</v>
      </c>
      <c r="L6034" t="n">
        <v>0</v>
      </c>
      <c r="M6034" t="n">
        <v>0</v>
      </c>
      <c r="N6034" t="n">
        <v>0</v>
      </c>
      <c r="O6034" t="n">
        <v>0</v>
      </c>
      <c r="P6034" t="n">
        <v>0</v>
      </c>
      <c r="Q6034" t="n">
        <v>0</v>
      </c>
      <c r="R6034" s="2" t="inlineStr"/>
    </row>
    <row r="6035" ht="15" customHeight="1">
      <c r="A6035" t="inlineStr">
        <is>
          <t>A 57409-2025</t>
        </is>
      </c>
      <c r="B6035" s="1" t="n">
        <v>45980.44828703703</v>
      </c>
      <c r="C6035" s="1" t="n">
        <v>46114</v>
      </c>
      <c r="D6035" t="inlineStr">
        <is>
          <t>DALARNAS LÄN</t>
        </is>
      </c>
      <c r="E6035" t="inlineStr">
        <is>
          <t>SMEDJEBACKEN</t>
        </is>
      </c>
      <c r="F6035" t="inlineStr">
        <is>
          <t>Sveaskog</t>
        </is>
      </c>
      <c r="G6035" t="n">
        <v>3.2</v>
      </c>
      <c r="H6035" t="n">
        <v>0</v>
      </c>
      <c r="I6035" t="n">
        <v>0</v>
      </c>
      <c r="J6035" t="n">
        <v>0</v>
      </c>
      <c r="K6035" t="n">
        <v>0</v>
      </c>
      <c r="L6035" t="n">
        <v>0</v>
      </c>
      <c r="M6035" t="n">
        <v>0</v>
      </c>
      <c r="N6035" t="n">
        <v>0</v>
      </c>
      <c r="O6035" t="n">
        <v>0</v>
      </c>
      <c r="P6035" t="n">
        <v>0</v>
      </c>
      <c r="Q6035" t="n">
        <v>0</v>
      </c>
      <c r="R6035" s="2" t="inlineStr"/>
    </row>
    <row r="6036" ht="15" customHeight="1">
      <c r="A6036" t="inlineStr">
        <is>
          <t>A 33310-2023</t>
        </is>
      </c>
      <c r="B6036" s="1" t="n">
        <v>45127.82231481482</v>
      </c>
      <c r="C6036" s="1" t="n">
        <v>46114</v>
      </c>
      <c r="D6036" t="inlineStr">
        <is>
          <t>DALARNAS LÄN</t>
        </is>
      </c>
      <c r="E6036" t="inlineStr">
        <is>
          <t>LEKSAND</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57867-2025</t>
        </is>
      </c>
      <c r="B6037" s="1" t="n">
        <v>45981.65017361111</v>
      </c>
      <c r="C6037" s="1" t="n">
        <v>46114</v>
      </c>
      <c r="D6037" t="inlineStr">
        <is>
          <t>DALARNAS LÄN</t>
        </is>
      </c>
      <c r="E6037" t="inlineStr">
        <is>
          <t>VANSBRO</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57870-2025</t>
        </is>
      </c>
      <c r="B6038" s="1" t="n">
        <v>45981</v>
      </c>
      <c r="C6038" s="1" t="n">
        <v>46114</v>
      </c>
      <c r="D6038" t="inlineStr">
        <is>
          <t>DALARNAS LÄN</t>
        </is>
      </c>
      <c r="E6038" t="inlineStr">
        <is>
          <t>LUDVIKA</t>
        </is>
      </c>
      <c r="F6038" t="inlineStr">
        <is>
          <t>Bergvik skog väst AB</t>
        </is>
      </c>
      <c r="G6038" t="n">
        <v>0.7</v>
      </c>
      <c r="H6038" t="n">
        <v>0</v>
      </c>
      <c r="I6038" t="n">
        <v>0</v>
      </c>
      <c r="J6038" t="n">
        <v>0</v>
      </c>
      <c r="K6038" t="n">
        <v>0</v>
      </c>
      <c r="L6038" t="n">
        <v>0</v>
      </c>
      <c r="M6038" t="n">
        <v>0</v>
      </c>
      <c r="N6038" t="n">
        <v>0</v>
      </c>
      <c r="O6038" t="n">
        <v>0</v>
      </c>
      <c r="P6038" t="n">
        <v>0</v>
      </c>
      <c r="Q6038" t="n">
        <v>0</v>
      </c>
      <c r="R6038" s="2" t="inlineStr"/>
    </row>
    <row r="6039" ht="15" customHeight="1">
      <c r="A6039" t="inlineStr">
        <is>
          <t>A 15610-2024</t>
        </is>
      </c>
      <c r="B6039" s="1" t="n">
        <v>45401.93005787037</v>
      </c>
      <c r="C6039" s="1" t="n">
        <v>46114</v>
      </c>
      <c r="D6039" t="inlineStr">
        <is>
          <t>DALARNAS LÄN</t>
        </is>
      </c>
      <c r="E6039" t="inlineStr">
        <is>
          <t>FALUN</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54844-2021</t>
        </is>
      </c>
      <c r="B6040" s="1" t="n">
        <v>44474.30614583333</v>
      </c>
      <c r="C6040" s="1" t="n">
        <v>46114</v>
      </c>
      <c r="D6040" t="inlineStr">
        <is>
          <t>DALARNAS LÄN</t>
        </is>
      </c>
      <c r="E6040" t="inlineStr">
        <is>
          <t>LEKSAND</t>
        </is>
      </c>
      <c r="G6040" t="n">
        <v>1.9</v>
      </c>
      <c r="H6040" t="n">
        <v>0</v>
      </c>
      <c r="I6040" t="n">
        <v>0</v>
      </c>
      <c r="J6040" t="n">
        <v>0</v>
      </c>
      <c r="K6040" t="n">
        <v>0</v>
      </c>
      <c r="L6040" t="n">
        <v>0</v>
      </c>
      <c r="M6040" t="n">
        <v>0</v>
      </c>
      <c r="N6040" t="n">
        <v>0</v>
      </c>
      <c r="O6040" t="n">
        <v>0</v>
      </c>
      <c r="P6040" t="n">
        <v>0</v>
      </c>
      <c r="Q6040" t="n">
        <v>0</v>
      </c>
      <c r="R6040" s="2" t="inlineStr"/>
    </row>
    <row r="6041" ht="15" customHeight="1">
      <c r="A6041" t="inlineStr">
        <is>
          <t>A 57453-2025</t>
        </is>
      </c>
      <c r="B6041" s="1" t="n">
        <v>45980.5122337963</v>
      </c>
      <c r="C6041" s="1" t="n">
        <v>46114</v>
      </c>
      <c r="D6041" t="inlineStr">
        <is>
          <t>DALARNAS LÄN</t>
        </is>
      </c>
      <c r="E6041" t="inlineStr">
        <is>
          <t>MORA</t>
        </is>
      </c>
      <c r="F6041" t="inlineStr">
        <is>
          <t>Allmännings- och besparingsskogar</t>
        </is>
      </c>
      <c r="G6041" t="n">
        <v>2.9</v>
      </c>
      <c r="H6041" t="n">
        <v>0</v>
      </c>
      <c r="I6041" t="n">
        <v>0</v>
      </c>
      <c r="J6041" t="n">
        <v>0</v>
      </c>
      <c r="K6041" t="n">
        <v>0</v>
      </c>
      <c r="L6041" t="n">
        <v>0</v>
      </c>
      <c r="M6041" t="n">
        <v>0</v>
      </c>
      <c r="N6041" t="n">
        <v>0</v>
      </c>
      <c r="O6041" t="n">
        <v>0</v>
      </c>
      <c r="P6041" t="n">
        <v>0</v>
      </c>
      <c r="Q6041" t="n">
        <v>0</v>
      </c>
      <c r="R6041" s="2" t="inlineStr"/>
    </row>
    <row r="6042" ht="15" customHeight="1">
      <c r="A6042" t="inlineStr">
        <is>
          <t>A 57688-2025</t>
        </is>
      </c>
      <c r="B6042" s="1" t="n">
        <v>45981.44429398148</v>
      </c>
      <c r="C6042" s="1" t="n">
        <v>46114</v>
      </c>
      <c r="D6042" t="inlineStr">
        <is>
          <t>DALARNAS LÄN</t>
        </is>
      </c>
      <c r="E6042" t="inlineStr">
        <is>
          <t>LEKSAND</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57442-2025</t>
        </is>
      </c>
      <c r="B6043" s="1" t="n">
        <v>45980</v>
      </c>
      <c r="C6043" s="1" t="n">
        <v>46114</v>
      </c>
      <c r="D6043" t="inlineStr">
        <is>
          <t>DALARNAS LÄN</t>
        </is>
      </c>
      <c r="E6043" t="inlineStr">
        <is>
          <t>MALUNG-SÄLEN</t>
        </is>
      </c>
      <c r="G6043" t="n">
        <v>4.4</v>
      </c>
      <c r="H6043" t="n">
        <v>0</v>
      </c>
      <c r="I6043" t="n">
        <v>0</v>
      </c>
      <c r="J6043" t="n">
        <v>0</v>
      </c>
      <c r="K6043" t="n">
        <v>0</v>
      </c>
      <c r="L6043" t="n">
        <v>0</v>
      </c>
      <c r="M6043" t="n">
        <v>0</v>
      </c>
      <c r="N6043" t="n">
        <v>0</v>
      </c>
      <c r="O6043" t="n">
        <v>0</v>
      </c>
      <c r="P6043" t="n">
        <v>0</v>
      </c>
      <c r="Q6043" t="n">
        <v>0</v>
      </c>
      <c r="R6043" s="2" t="inlineStr"/>
    </row>
    <row r="6044" ht="15" customHeight="1">
      <c r="A6044" t="inlineStr">
        <is>
          <t>A 17389-2025</t>
        </is>
      </c>
      <c r="B6044" s="1" t="n">
        <v>45757.31954861111</v>
      </c>
      <c r="C6044" s="1" t="n">
        <v>46114</v>
      </c>
      <c r="D6044" t="inlineStr">
        <is>
          <t>DALARNAS LÄN</t>
        </is>
      </c>
      <c r="E6044" t="inlineStr">
        <is>
          <t>MALUNG-SÄLEN</t>
        </is>
      </c>
      <c r="G6044" t="n">
        <v>4.9</v>
      </c>
      <c r="H6044" t="n">
        <v>0</v>
      </c>
      <c r="I6044" t="n">
        <v>0</v>
      </c>
      <c r="J6044" t="n">
        <v>0</v>
      </c>
      <c r="K6044" t="n">
        <v>0</v>
      </c>
      <c r="L6044" t="n">
        <v>0</v>
      </c>
      <c r="M6044" t="n">
        <v>0</v>
      </c>
      <c r="N6044" t="n">
        <v>0</v>
      </c>
      <c r="O6044" t="n">
        <v>0</v>
      </c>
      <c r="P6044" t="n">
        <v>0</v>
      </c>
      <c r="Q6044" t="n">
        <v>0</v>
      </c>
      <c r="R6044" s="2" t="inlineStr"/>
    </row>
    <row r="6045" ht="15" customHeight="1">
      <c r="A6045" t="inlineStr">
        <is>
          <t>A 20705-2023</t>
        </is>
      </c>
      <c r="B6045" s="1" t="n">
        <v>45058</v>
      </c>
      <c r="C6045" s="1" t="n">
        <v>46114</v>
      </c>
      <c r="D6045" t="inlineStr">
        <is>
          <t>DALARNAS LÄN</t>
        </is>
      </c>
      <c r="E6045" t="inlineStr">
        <is>
          <t>AVESTA</t>
        </is>
      </c>
      <c r="G6045" t="n">
        <v>17.6</v>
      </c>
      <c r="H6045" t="n">
        <v>0</v>
      </c>
      <c r="I6045" t="n">
        <v>0</v>
      </c>
      <c r="J6045" t="n">
        <v>0</v>
      </c>
      <c r="K6045" t="n">
        <v>0</v>
      </c>
      <c r="L6045" t="n">
        <v>0</v>
      </c>
      <c r="M6045" t="n">
        <v>0</v>
      </c>
      <c r="N6045" t="n">
        <v>0</v>
      </c>
      <c r="O6045" t="n">
        <v>0</v>
      </c>
      <c r="P6045" t="n">
        <v>0</v>
      </c>
      <c r="Q6045" t="n">
        <v>0</v>
      </c>
      <c r="R6045" s="2" t="inlineStr"/>
    </row>
    <row r="6046" ht="15" customHeight="1">
      <c r="A6046" t="inlineStr">
        <is>
          <t>A 22273-2023</t>
        </is>
      </c>
      <c r="B6046" s="1" t="n">
        <v>45070</v>
      </c>
      <c r="C6046" s="1" t="n">
        <v>46114</v>
      </c>
      <c r="D6046" t="inlineStr">
        <is>
          <t>DALARNAS LÄN</t>
        </is>
      </c>
      <c r="E6046" t="inlineStr">
        <is>
          <t>HEDEMORA</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63277-2021</t>
        </is>
      </c>
      <c r="B6047" s="1" t="n">
        <v>44508.40581018518</v>
      </c>
      <c r="C6047" s="1" t="n">
        <v>46114</v>
      </c>
      <c r="D6047" t="inlineStr">
        <is>
          <t>DALARNAS LÄN</t>
        </is>
      </c>
      <c r="E6047" t="inlineStr">
        <is>
          <t>MALUNG-SÄLEN</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471-2025</t>
        </is>
      </c>
      <c r="B6048" s="1" t="n">
        <v>45664.43394675926</v>
      </c>
      <c r="C6048" s="1" t="n">
        <v>46114</v>
      </c>
      <c r="D6048" t="inlineStr">
        <is>
          <t>DALARNAS LÄN</t>
        </is>
      </c>
      <c r="E6048" t="inlineStr">
        <is>
          <t>LEKSAND</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9386-2023</t>
        </is>
      </c>
      <c r="B6049" s="1" t="n">
        <v>44981.40171296296</v>
      </c>
      <c r="C6049" s="1" t="n">
        <v>46114</v>
      </c>
      <c r="D6049" t="inlineStr">
        <is>
          <t>DALARNAS LÄN</t>
        </is>
      </c>
      <c r="E6049" t="inlineStr">
        <is>
          <t>LUDVIKA</t>
        </is>
      </c>
      <c r="G6049" t="n">
        <v>6.2</v>
      </c>
      <c r="H6049" t="n">
        <v>0</v>
      </c>
      <c r="I6049" t="n">
        <v>0</v>
      </c>
      <c r="J6049" t="n">
        <v>0</v>
      </c>
      <c r="K6049" t="n">
        <v>0</v>
      </c>
      <c r="L6049" t="n">
        <v>0</v>
      </c>
      <c r="M6049" t="n">
        <v>0</v>
      </c>
      <c r="N6049" t="n">
        <v>0</v>
      </c>
      <c r="O6049" t="n">
        <v>0</v>
      </c>
      <c r="P6049" t="n">
        <v>0</v>
      </c>
      <c r="Q6049" t="n">
        <v>0</v>
      </c>
      <c r="R6049" s="2" t="inlineStr"/>
    </row>
    <row r="6050" ht="15" customHeight="1">
      <c r="A6050" t="inlineStr">
        <is>
          <t>A 54677-2025</t>
        </is>
      </c>
      <c r="B6050" s="1" t="n">
        <v>45966</v>
      </c>
      <c r="C6050" s="1" t="n">
        <v>46114</v>
      </c>
      <c r="D6050" t="inlineStr">
        <is>
          <t>DALARNAS LÄN</t>
        </is>
      </c>
      <c r="E6050" t="inlineStr">
        <is>
          <t>LEKSAND</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58165-2025</t>
        </is>
      </c>
      <c r="B6051" s="1" t="n">
        <v>45982.70609953703</v>
      </c>
      <c r="C6051" s="1" t="n">
        <v>46114</v>
      </c>
      <c r="D6051" t="inlineStr">
        <is>
          <t>DALARNAS LÄN</t>
        </is>
      </c>
      <c r="E6051" t="inlineStr">
        <is>
          <t>AVESTA</t>
        </is>
      </c>
      <c r="G6051" t="n">
        <v>2.6</v>
      </c>
      <c r="H6051" t="n">
        <v>0</v>
      </c>
      <c r="I6051" t="n">
        <v>0</v>
      </c>
      <c r="J6051" t="n">
        <v>0</v>
      </c>
      <c r="K6051" t="n">
        <v>0</v>
      </c>
      <c r="L6051" t="n">
        <v>0</v>
      </c>
      <c r="M6051" t="n">
        <v>0</v>
      </c>
      <c r="N6051" t="n">
        <v>0</v>
      </c>
      <c r="O6051" t="n">
        <v>0</v>
      </c>
      <c r="P6051" t="n">
        <v>0</v>
      </c>
      <c r="Q6051" t="n">
        <v>0</v>
      </c>
      <c r="R6051" s="2" t="inlineStr"/>
    </row>
    <row r="6052" ht="15" customHeight="1">
      <c r="A6052" t="inlineStr">
        <is>
          <t>A 11087-2023</t>
        </is>
      </c>
      <c r="B6052" s="1" t="n">
        <v>44992.38239583333</v>
      </c>
      <c r="C6052" s="1" t="n">
        <v>46114</v>
      </c>
      <c r="D6052" t="inlineStr">
        <is>
          <t>DALARNAS LÄN</t>
        </is>
      </c>
      <c r="E6052" t="inlineStr">
        <is>
          <t>BORLÄNGE</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58376-2025</t>
        </is>
      </c>
      <c r="B6053" s="1" t="n">
        <v>45985.53180555555</v>
      </c>
      <c r="C6053" s="1" t="n">
        <v>46114</v>
      </c>
      <c r="D6053" t="inlineStr">
        <is>
          <t>DALARNAS LÄN</t>
        </is>
      </c>
      <c r="E6053" t="inlineStr">
        <is>
          <t>LEKSAND</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18294-2023</t>
        </is>
      </c>
      <c r="B6054" s="1" t="n">
        <v>45041</v>
      </c>
      <c r="C6054" s="1" t="n">
        <v>46114</v>
      </c>
      <c r="D6054" t="inlineStr">
        <is>
          <t>DALARNAS LÄN</t>
        </is>
      </c>
      <c r="E6054" t="inlineStr">
        <is>
          <t>SMEDJEBACKEN</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58513-2025</t>
        </is>
      </c>
      <c r="B6055" s="1" t="n">
        <v>45985</v>
      </c>
      <c r="C6055" s="1" t="n">
        <v>46114</v>
      </c>
      <c r="D6055" t="inlineStr">
        <is>
          <t>DALARNAS LÄN</t>
        </is>
      </c>
      <c r="E6055" t="inlineStr">
        <is>
          <t>LUDVIKA</t>
        </is>
      </c>
      <c r="F6055" t="inlineStr">
        <is>
          <t>Övriga Aktiebolag</t>
        </is>
      </c>
      <c r="G6055" t="n">
        <v>7.2</v>
      </c>
      <c r="H6055" t="n">
        <v>0</v>
      </c>
      <c r="I6055" t="n">
        <v>0</v>
      </c>
      <c r="J6055" t="n">
        <v>0</v>
      </c>
      <c r="K6055" t="n">
        <v>0</v>
      </c>
      <c r="L6055" t="n">
        <v>0</v>
      </c>
      <c r="M6055" t="n">
        <v>0</v>
      </c>
      <c r="N6055" t="n">
        <v>0</v>
      </c>
      <c r="O6055" t="n">
        <v>0</v>
      </c>
      <c r="P6055" t="n">
        <v>0</v>
      </c>
      <c r="Q6055" t="n">
        <v>0</v>
      </c>
      <c r="R6055" s="2" t="inlineStr"/>
    </row>
    <row r="6056" ht="15" customHeight="1">
      <c r="A6056" t="inlineStr">
        <is>
          <t>A 58519-2025</t>
        </is>
      </c>
      <c r="B6056" s="1" t="n">
        <v>45985.70894675926</v>
      </c>
      <c r="C6056" s="1" t="n">
        <v>46114</v>
      </c>
      <c r="D6056" t="inlineStr">
        <is>
          <t>DALARNAS LÄN</t>
        </is>
      </c>
      <c r="E6056" t="inlineStr">
        <is>
          <t>LEKSAND</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57954-2025</t>
        </is>
      </c>
      <c r="B6057" s="1" t="n">
        <v>45982.3503587963</v>
      </c>
      <c r="C6057" s="1" t="n">
        <v>46114</v>
      </c>
      <c r="D6057" t="inlineStr">
        <is>
          <t>DALARNAS LÄN</t>
        </is>
      </c>
      <c r="E6057" t="inlineStr">
        <is>
          <t>FALUN</t>
        </is>
      </c>
      <c r="G6057" t="n">
        <v>15.1</v>
      </c>
      <c r="H6057" t="n">
        <v>0</v>
      </c>
      <c r="I6057" t="n">
        <v>0</v>
      </c>
      <c r="J6057" t="n">
        <v>0</v>
      </c>
      <c r="K6057" t="n">
        <v>0</v>
      </c>
      <c r="L6057" t="n">
        <v>0</v>
      </c>
      <c r="M6057" t="n">
        <v>0</v>
      </c>
      <c r="N6057" t="n">
        <v>0</v>
      </c>
      <c r="O6057" t="n">
        <v>0</v>
      </c>
      <c r="P6057" t="n">
        <v>0</v>
      </c>
      <c r="Q6057" t="n">
        <v>0</v>
      </c>
      <c r="R6057" s="2" t="inlineStr"/>
    </row>
    <row r="6058" ht="15" customHeight="1">
      <c r="A6058" t="inlineStr">
        <is>
          <t>A 57955-2025</t>
        </is>
      </c>
      <c r="B6058" s="1" t="n">
        <v>45982.35270833333</v>
      </c>
      <c r="C6058" s="1" t="n">
        <v>46114</v>
      </c>
      <c r="D6058" t="inlineStr">
        <is>
          <t>DALARNAS LÄN</t>
        </is>
      </c>
      <c r="E6058" t="inlineStr">
        <is>
          <t>FALUN</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58516-2025</t>
        </is>
      </c>
      <c r="B6059" s="1" t="n">
        <v>45985.70596064815</v>
      </c>
      <c r="C6059" s="1" t="n">
        <v>46114</v>
      </c>
      <c r="D6059" t="inlineStr">
        <is>
          <t>DALARNAS LÄN</t>
        </is>
      </c>
      <c r="E6059" t="inlineStr">
        <is>
          <t>LEKSAND</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15760-2024</t>
        </is>
      </c>
      <c r="B6060" s="1" t="n">
        <v>45404</v>
      </c>
      <c r="C6060" s="1" t="n">
        <v>46114</v>
      </c>
      <c r="D6060" t="inlineStr">
        <is>
          <t>DALARNAS LÄN</t>
        </is>
      </c>
      <c r="E6060" t="inlineStr">
        <is>
          <t>ÄLVDALEN</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58317-2025</t>
        </is>
      </c>
      <c r="B6061" s="1" t="n">
        <v>45985.47201388889</v>
      </c>
      <c r="C6061" s="1" t="n">
        <v>46114</v>
      </c>
      <c r="D6061" t="inlineStr">
        <is>
          <t>DALARNAS LÄN</t>
        </is>
      </c>
      <c r="E6061" t="inlineStr">
        <is>
          <t>RÄTTVIK</t>
        </is>
      </c>
      <c r="G6061" t="n">
        <v>1.6</v>
      </c>
      <c r="H6061" t="n">
        <v>0</v>
      </c>
      <c r="I6061" t="n">
        <v>0</v>
      </c>
      <c r="J6061" t="n">
        <v>0</v>
      </c>
      <c r="K6061" t="n">
        <v>0</v>
      </c>
      <c r="L6061" t="n">
        <v>0</v>
      </c>
      <c r="M6061" t="n">
        <v>0</v>
      </c>
      <c r="N6061" t="n">
        <v>0</v>
      </c>
      <c r="O6061" t="n">
        <v>0</v>
      </c>
      <c r="P6061" t="n">
        <v>0</v>
      </c>
      <c r="Q6061" t="n">
        <v>0</v>
      </c>
      <c r="R6061" s="2" t="inlineStr"/>
    </row>
    <row r="6062" ht="15" customHeight="1">
      <c r="A6062" t="inlineStr">
        <is>
          <t>A 53122-2023</t>
        </is>
      </c>
      <c r="B6062" s="1" t="n">
        <v>45228</v>
      </c>
      <c r="C6062" s="1" t="n">
        <v>46114</v>
      </c>
      <c r="D6062" t="inlineStr">
        <is>
          <t>DALARNAS LÄN</t>
        </is>
      </c>
      <c r="E6062" t="inlineStr">
        <is>
          <t>LEKSAND</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58181-2025</t>
        </is>
      </c>
      <c r="B6063" s="1" t="n">
        <v>45982</v>
      </c>
      <c r="C6063" s="1" t="n">
        <v>46114</v>
      </c>
      <c r="D6063" t="inlineStr">
        <is>
          <t>DALARNAS LÄN</t>
        </is>
      </c>
      <c r="E6063" t="inlineStr">
        <is>
          <t>FALUN</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58233-2025</t>
        </is>
      </c>
      <c r="B6064" s="1" t="n">
        <v>45985.38504629629</v>
      </c>
      <c r="C6064" s="1" t="n">
        <v>46114</v>
      </c>
      <c r="D6064" t="inlineStr">
        <is>
          <t>DALARNAS LÄN</t>
        </is>
      </c>
      <c r="E6064" t="inlineStr">
        <is>
          <t>RÄTTVIK</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58572-2024</t>
        </is>
      </c>
      <c r="B6065" s="1" t="n">
        <v>45632</v>
      </c>
      <c r="C6065" s="1" t="n">
        <v>46114</v>
      </c>
      <c r="D6065" t="inlineStr">
        <is>
          <t>DALARNAS LÄN</t>
        </is>
      </c>
      <c r="E6065" t="inlineStr">
        <is>
          <t>RÄTTVIK</t>
        </is>
      </c>
      <c r="G6065" t="n">
        <v>5.8</v>
      </c>
      <c r="H6065" t="n">
        <v>0</v>
      </c>
      <c r="I6065" t="n">
        <v>0</v>
      </c>
      <c r="J6065" t="n">
        <v>0</v>
      </c>
      <c r="K6065" t="n">
        <v>0</v>
      </c>
      <c r="L6065" t="n">
        <v>0</v>
      </c>
      <c r="M6065" t="n">
        <v>0</v>
      </c>
      <c r="N6065" t="n">
        <v>0</v>
      </c>
      <c r="O6065" t="n">
        <v>0</v>
      </c>
      <c r="P6065" t="n">
        <v>0</v>
      </c>
      <c r="Q6065" t="n">
        <v>0</v>
      </c>
      <c r="R6065" s="2" t="inlineStr"/>
    </row>
    <row r="6066" ht="15" customHeight="1">
      <c r="A6066" t="inlineStr">
        <is>
          <t>A 58449-2025</t>
        </is>
      </c>
      <c r="B6066" s="1" t="n">
        <v>45985.62520833333</v>
      </c>
      <c r="C6066" s="1" t="n">
        <v>46114</v>
      </c>
      <c r="D6066" t="inlineStr">
        <is>
          <t>DALARNAS LÄN</t>
        </is>
      </c>
      <c r="E6066" t="inlineStr">
        <is>
          <t>LEKSAND</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58002-2025</t>
        </is>
      </c>
      <c r="B6067" s="1" t="n">
        <v>45982.43648148148</v>
      </c>
      <c r="C6067" s="1" t="n">
        <v>46114</v>
      </c>
      <c r="D6067" t="inlineStr">
        <is>
          <t>DALARNAS LÄN</t>
        </is>
      </c>
      <c r="E6067" t="inlineStr">
        <is>
          <t>BORLÄNGE</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58483-2025</t>
        </is>
      </c>
      <c r="B6068" s="1" t="n">
        <v>45985.65357638889</v>
      </c>
      <c r="C6068" s="1" t="n">
        <v>46114</v>
      </c>
      <c r="D6068" t="inlineStr">
        <is>
          <t>DALARNAS LÄN</t>
        </is>
      </c>
      <c r="E6068" t="inlineStr">
        <is>
          <t>VANSBRO</t>
        </is>
      </c>
      <c r="G6068" t="n">
        <v>7</v>
      </c>
      <c r="H6068" t="n">
        <v>0</v>
      </c>
      <c r="I6068" t="n">
        <v>0</v>
      </c>
      <c r="J6068" t="n">
        <v>0</v>
      </c>
      <c r="K6068" t="n">
        <v>0</v>
      </c>
      <c r="L6068" t="n">
        <v>0</v>
      </c>
      <c r="M6068" t="n">
        <v>0</v>
      </c>
      <c r="N6068" t="n">
        <v>0</v>
      </c>
      <c r="O6068" t="n">
        <v>0</v>
      </c>
      <c r="P6068" t="n">
        <v>0</v>
      </c>
      <c r="Q6068" t="n">
        <v>0</v>
      </c>
      <c r="R6068" s="2" t="inlineStr"/>
    </row>
    <row r="6069" ht="15" customHeight="1">
      <c r="A6069" t="inlineStr">
        <is>
          <t>A 23834-2024</t>
        </is>
      </c>
      <c r="B6069" s="1" t="n">
        <v>45455</v>
      </c>
      <c r="C6069" s="1" t="n">
        <v>46114</v>
      </c>
      <c r="D6069" t="inlineStr">
        <is>
          <t>DALARNAS LÄN</t>
        </is>
      </c>
      <c r="E6069" t="inlineStr">
        <is>
          <t>AVESTA</t>
        </is>
      </c>
      <c r="F6069" t="inlineStr">
        <is>
          <t>Bergvik skog väst AB</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39227-2024</t>
        </is>
      </c>
      <c r="B6070" s="1" t="n">
        <v>45550.50548611111</v>
      </c>
      <c r="C6070" s="1" t="n">
        <v>46114</v>
      </c>
      <c r="D6070" t="inlineStr">
        <is>
          <t>DALARNAS LÄN</t>
        </is>
      </c>
      <c r="E6070" t="inlineStr">
        <is>
          <t>ÄLVDALEN</t>
        </is>
      </c>
      <c r="G6070" t="n">
        <v>0.2</v>
      </c>
      <c r="H6070" t="n">
        <v>0</v>
      </c>
      <c r="I6070" t="n">
        <v>0</v>
      </c>
      <c r="J6070" t="n">
        <v>0</v>
      </c>
      <c r="K6070" t="n">
        <v>0</v>
      </c>
      <c r="L6070" t="n">
        <v>0</v>
      </c>
      <c r="M6070" t="n">
        <v>0</v>
      </c>
      <c r="N6070" t="n">
        <v>0</v>
      </c>
      <c r="O6070" t="n">
        <v>0</v>
      </c>
      <c r="P6070" t="n">
        <v>0</v>
      </c>
      <c r="Q6070" t="n">
        <v>0</v>
      </c>
      <c r="R6070" s="2" t="inlineStr"/>
    </row>
    <row r="6071" ht="15" customHeight="1">
      <c r="A6071" t="inlineStr">
        <is>
          <t>A 58473-2025</t>
        </is>
      </c>
      <c r="B6071" s="1" t="n">
        <v>45985.63859953704</v>
      </c>
      <c r="C6071" s="1" t="n">
        <v>46114</v>
      </c>
      <c r="D6071" t="inlineStr">
        <is>
          <t>DALARNAS LÄN</t>
        </is>
      </c>
      <c r="E6071" t="inlineStr">
        <is>
          <t>MORA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42418-2021</t>
        </is>
      </c>
      <c r="B6072" s="1" t="n">
        <v>44427</v>
      </c>
      <c r="C6072" s="1" t="n">
        <v>46114</v>
      </c>
      <c r="D6072" t="inlineStr">
        <is>
          <t>DALARNAS LÄN</t>
        </is>
      </c>
      <c r="E6072" t="inlineStr">
        <is>
          <t>SMEDJEBACKEN</t>
        </is>
      </c>
      <c r="F6072" t="inlineStr">
        <is>
          <t>Bergvik skog väst AB</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57980-2025</t>
        </is>
      </c>
      <c r="B6073" s="1" t="n">
        <v>45982.40280092593</v>
      </c>
      <c r="C6073" s="1" t="n">
        <v>46114</v>
      </c>
      <c r="D6073" t="inlineStr">
        <is>
          <t>DALARNAS LÄN</t>
        </is>
      </c>
      <c r="E6073" t="inlineStr">
        <is>
          <t>ÄLVDALEN</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58001-2025</t>
        </is>
      </c>
      <c r="B6074" s="1" t="n">
        <v>45982.43615740741</v>
      </c>
      <c r="C6074" s="1" t="n">
        <v>46114</v>
      </c>
      <c r="D6074" t="inlineStr">
        <is>
          <t>DALARNAS LÄN</t>
        </is>
      </c>
      <c r="E6074" t="inlineStr">
        <is>
          <t>MORA</t>
        </is>
      </c>
      <c r="G6074" t="n">
        <v>3.2</v>
      </c>
      <c r="H6074" t="n">
        <v>0</v>
      </c>
      <c r="I6074" t="n">
        <v>0</v>
      </c>
      <c r="J6074" t="n">
        <v>0</v>
      </c>
      <c r="K6074" t="n">
        <v>0</v>
      </c>
      <c r="L6074" t="n">
        <v>0</v>
      </c>
      <c r="M6074" t="n">
        <v>0</v>
      </c>
      <c r="N6074" t="n">
        <v>0</v>
      </c>
      <c r="O6074" t="n">
        <v>0</v>
      </c>
      <c r="P6074" t="n">
        <v>0</v>
      </c>
      <c r="Q6074" t="n">
        <v>0</v>
      </c>
      <c r="R6074" s="2" t="inlineStr"/>
    </row>
    <row r="6075" ht="15" customHeight="1">
      <c r="A6075" t="inlineStr">
        <is>
          <t>A 42730-2024</t>
        </is>
      </c>
      <c r="B6075" s="1" t="n">
        <v>45566</v>
      </c>
      <c r="C6075" s="1" t="n">
        <v>46114</v>
      </c>
      <c r="D6075" t="inlineStr">
        <is>
          <t>DALARNAS LÄN</t>
        </is>
      </c>
      <c r="E6075" t="inlineStr">
        <is>
          <t>MALUNG-SÄLEN</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58381-2025</t>
        </is>
      </c>
      <c r="B6076" s="1" t="n">
        <v>45985.54118055556</v>
      </c>
      <c r="C6076" s="1" t="n">
        <v>46114</v>
      </c>
      <c r="D6076" t="inlineStr">
        <is>
          <t>DALARNAS LÄN</t>
        </is>
      </c>
      <c r="E6076" t="inlineStr">
        <is>
          <t>RÄTTVIK</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58144-2025</t>
        </is>
      </c>
      <c r="B6077" s="1" t="n">
        <v>45982.64049768518</v>
      </c>
      <c r="C6077" s="1" t="n">
        <v>46114</v>
      </c>
      <c r="D6077" t="inlineStr">
        <is>
          <t>DALARNAS LÄN</t>
        </is>
      </c>
      <c r="E6077" t="inlineStr">
        <is>
          <t>MALUNG-SÄLEN</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23248-2023</t>
        </is>
      </c>
      <c r="B6078" s="1" t="n">
        <v>45071</v>
      </c>
      <c r="C6078" s="1" t="n">
        <v>46114</v>
      </c>
      <c r="D6078" t="inlineStr">
        <is>
          <t>DALARNAS LÄN</t>
        </is>
      </c>
      <c r="E6078" t="inlineStr">
        <is>
          <t>RÄTTVIK</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58114-2025</t>
        </is>
      </c>
      <c r="B6079" s="1" t="n">
        <v>45982.60335648148</v>
      </c>
      <c r="C6079" s="1" t="n">
        <v>46114</v>
      </c>
      <c r="D6079" t="inlineStr">
        <is>
          <t>DALARNAS LÄN</t>
        </is>
      </c>
      <c r="E6079" t="inlineStr">
        <is>
          <t>LEKSAND</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57976-2025</t>
        </is>
      </c>
      <c r="B6080" s="1" t="n">
        <v>45982.39435185185</v>
      </c>
      <c r="C6080" s="1" t="n">
        <v>46114</v>
      </c>
      <c r="D6080" t="inlineStr">
        <is>
          <t>DALARNAS LÄN</t>
        </is>
      </c>
      <c r="E6080" t="inlineStr">
        <is>
          <t>MORA</t>
        </is>
      </c>
      <c r="G6080" t="n">
        <v>7.4</v>
      </c>
      <c r="H6080" t="n">
        <v>0</v>
      </c>
      <c r="I6080" t="n">
        <v>0</v>
      </c>
      <c r="J6080" t="n">
        <v>0</v>
      </c>
      <c r="K6080" t="n">
        <v>0</v>
      </c>
      <c r="L6080" t="n">
        <v>0</v>
      </c>
      <c r="M6080" t="n">
        <v>0</v>
      </c>
      <c r="N6080" t="n">
        <v>0</v>
      </c>
      <c r="O6080" t="n">
        <v>0</v>
      </c>
      <c r="P6080" t="n">
        <v>0</v>
      </c>
      <c r="Q6080" t="n">
        <v>0</v>
      </c>
      <c r="R6080" s="2" t="inlineStr"/>
    </row>
    <row r="6081" ht="15" customHeight="1">
      <c r="A6081" t="inlineStr">
        <is>
          <t>A 60455-2022</t>
        </is>
      </c>
      <c r="B6081" s="1" t="n">
        <v>44911</v>
      </c>
      <c r="C6081" s="1" t="n">
        <v>46114</v>
      </c>
      <c r="D6081" t="inlineStr">
        <is>
          <t>DALARNAS LÄN</t>
        </is>
      </c>
      <c r="E6081" t="inlineStr">
        <is>
          <t>RÄTTVIK</t>
        </is>
      </c>
      <c r="G6081" t="n">
        <v>4.7</v>
      </c>
      <c r="H6081" t="n">
        <v>0</v>
      </c>
      <c r="I6081" t="n">
        <v>0</v>
      </c>
      <c r="J6081" t="n">
        <v>0</v>
      </c>
      <c r="K6081" t="n">
        <v>0</v>
      </c>
      <c r="L6081" t="n">
        <v>0</v>
      </c>
      <c r="M6081" t="n">
        <v>0</v>
      </c>
      <c r="N6081" t="n">
        <v>0</v>
      </c>
      <c r="O6081" t="n">
        <v>0</v>
      </c>
      <c r="P6081" t="n">
        <v>0</v>
      </c>
      <c r="Q6081" t="n">
        <v>0</v>
      </c>
      <c r="R6081" s="2" t="inlineStr"/>
    </row>
    <row r="6082" ht="15" customHeight="1">
      <c r="A6082" t="inlineStr">
        <is>
          <t>A 53703-2023</t>
        </is>
      </c>
      <c r="B6082" s="1" t="n">
        <v>45224</v>
      </c>
      <c r="C6082" s="1" t="n">
        <v>46114</v>
      </c>
      <c r="D6082" t="inlineStr">
        <is>
          <t>DALARNAS LÄN</t>
        </is>
      </c>
      <c r="E6082" t="inlineStr">
        <is>
          <t>FALUN</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58275-2025</t>
        </is>
      </c>
      <c r="B6083" s="1" t="n">
        <v>45985.4344212963</v>
      </c>
      <c r="C6083" s="1" t="n">
        <v>46114</v>
      </c>
      <c r="D6083" t="inlineStr">
        <is>
          <t>DALARNAS LÄN</t>
        </is>
      </c>
      <c r="E6083" t="inlineStr">
        <is>
          <t>RÄTTVIK</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61743-2023</t>
        </is>
      </c>
      <c r="B6084" s="1" t="n">
        <v>45265</v>
      </c>
      <c r="C6084" s="1" t="n">
        <v>46114</v>
      </c>
      <c r="D6084" t="inlineStr">
        <is>
          <t>DALARNAS LÄN</t>
        </is>
      </c>
      <c r="E6084" t="inlineStr">
        <is>
          <t>SÄTER</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58260-2025</t>
        </is>
      </c>
      <c r="B6085" s="1" t="n">
        <v>45985.41136574074</v>
      </c>
      <c r="C6085" s="1" t="n">
        <v>46114</v>
      </c>
      <c r="D6085" t="inlineStr">
        <is>
          <t>DALARNAS LÄN</t>
        </is>
      </c>
      <c r="E6085" t="inlineStr">
        <is>
          <t>RÄTTVIK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58011-2025</t>
        </is>
      </c>
      <c r="B6086" s="1" t="n">
        <v>45982.46353009259</v>
      </c>
      <c r="C6086" s="1" t="n">
        <v>46114</v>
      </c>
      <c r="D6086" t="inlineStr">
        <is>
          <t>DALARNAS LÄN</t>
        </is>
      </c>
      <c r="E6086" t="inlineStr">
        <is>
          <t>FALUN</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37186-2024</t>
        </is>
      </c>
      <c r="B6087" s="1" t="n">
        <v>45539.65193287037</v>
      </c>
      <c r="C6087" s="1" t="n">
        <v>46114</v>
      </c>
      <c r="D6087" t="inlineStr">
        <is>
          <t>DALARNAS LÄN</t>
        </is>
      </c>
      <c r="E6087" t="inlineStr">
        <is>
          <t>MALUNG-SÄLEN</t>
        </is>
      </c>
      <c r="F6087" t="inlineStr">
        <is>
          <t>Kommuner</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17841-2024</t>
        </is>
      </c>
      <c r="B6088" s="1" t="n">
        <v>45418</v>
      </c>
      <c r="C6088" s="1" t="n">
        <v>46114</v>
      </c>
      <c r="D6088" t="inlineStr">
        <is>
          <t>DALARNAS LÄN</t>
        </is>
      </c>
      <c r="E6088" t="inlineStr">
        <is>
          <t>VANSBRO</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58020-2025</t>
        </is>
      </c>
      <c r="B6089" s="1" t="n">
        <v>45982.47819444445</v>
      </c>
      <c r="C6089" s="1" t="n">
        <v>46114</v>
      </c>
      <c r="D6089" t="inlineStr">
        <is>
          <t>DALARNAS LÄN</t>
        </is>
      </c>
      <c r="E6089" t="inlineStr">
        <is>
          <t>HEDEMORA</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58280-2025</t>
        </is>
      </c>
      <c r="B6090" s="1" t="n">
        <v>45985.44011574074</v>
      </c>
      <c r="C6090" s="1" t="n">
        <v>46114</v>
      </c>
      <c r="D6090" t="inlineStr">
        <is>
          <t>DALARNAS LÄN</t>
        </is>
      </c>
      <c r="E6090" t="inlineStr">
        <is>
          <t>SMEDJEBACKEN</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52293-2024</t>
        </is>
      </c>
      <c r="B6091" s="1" t="n">
        <v>45608.71297453704</v>
      </c>
      <c r="C6091" s="1" t="n">
        <v>46114</v>
      </c>
      <c r="D6091" t="inlineStr">
        <is>
          <t>DALARNAS LÄN</t>
        </is>
      </c>
      <c r="E6091" t="inlineStr">
        <is>
          <t>LEKSAND</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1182-2025</t>
        </is>
      </c>
      <c r="B6092" s="1" t="n">
        <v>45667.35712962963</v>
      </c>
      <c r="C6092" s="1" t="n">
        <v>46114</v>
      </c>
      <c r="D6092" t="inlineStr">
        <is>
          <t>DALARNAS LÄN</t>
        </is>
      </c>
      <c r="E6092" t="inlineStr">
        <is>
          <t>LEKSAND</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58273-2025</t>
        </is>
      </c>
      <c r="B6093" s="1" t="n">
        <v>45985.42835648148</v>
      </c>
      <c r="C6093" s="1" t="n">
        <v>46114</v>
      </c>
      <c r="D6093" t="inlineStr">
        <is>
          <t>DALARNAS LÄN</t>
        </is>
      </c>
      <c r="E6093" t="inlineStr">
        <is>
          <t>RÄTTVIK</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43829-2023</t>
        </is>
      </c>
      <c r="B6094" s="1" t="n">
        <v>45187.57836805555</v>
      </c>
      <c r="C6094" s="1" t="n">
        <v>46114</v>
      </c>
      <c r="D6094" t="inlineStr">
        <is>
          <t>DALARNAS LÄN</t>
        </is>
      </c>
      <c r="E6094" t="inlineStr">
        <is>
          <t>MALUNG-SÄLEN</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2443-2024</t>
        </is>
      </c>
      <c r="B6095" s="1" t="n">
        <v>45311</v>
      </c>
      <c r="C6095" s="1" t="n">
        <v>46114</v>
      </c>
      <c r="D6095" t="inlineStr">
        <is>
          <t>DALARNAS LÄN</t>
        </is>
      </c>
      <c r="E6095" t="inlineStr">
        <is>
          <t>GAGNEF</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58340-2025</t>
        </is>
      </c>
      <c r="B6096" s="1" t="n">
        <v>45985.4952662037</v>
      </c>
      <c r="C6096" s="1" t="n">
        <v>46114</v>
      </c>
      <c r="D6096" t="inlineStr">
        <is>
          <t>DALARNAS LÄN</t>
        </is>
      </c>
      <c r="E6096" t="inlineStr">
        <is>
          <t>RÄTTVIK</t>
        </is>
      </c>
      <c r="G6096" t="n">
        <v>3.5</v>
      </c>
      <c r="H6096" t="n">
        <v>0</v>
      </c>
      <c r="I6096" t="n">
        <v>0</v>
      </c>
      <c r="J6096" t="n">
        <v>0</v>
      </c>
      <c r="K6096" t="n">
        <v>0</v>
      </c>
      <c r="L6096" t="n">
        <v>0</v>
      </c>
      <c r="M6096" t="n">
        <v>0</v>
      </c>
      <c r="N6096" t="n">
        <v>0</v>
      </c>
      <c r="O6096" t="n">
        <v>0</v>
      </c>
      <c r="P6096" t="n">
        <v>0</v>
      </c>
      <c r="Q6096" t="n">
        <v>0</v>
      </c>
      <c r="R6096" s="2" t="inlineStr"/>
    </row>
    <row r="6097" ht="15" customHeight="1">
      <c r="A6097" t="inlineStr">
        <is>
          <t>A 58361-2025</t>
        </is>
      </c>
      <c r="B6097" s="1" t="n">
        <v>45985.51872685185</v>
      </c>
      <c r="C6097" s="1" t="n">
        <v>46114</v>
      </c>
      <c r="D6097" t="inlineStr">
        <is>
          <t>DALARNAS LÄN</t>
        </is>
      </c>
      <c r="E6097" t="inlineStr">
        <is>
          <t>RÄTTVIK</t>
        </is>
      </c>
      <c r="G6097" t="n">
        <v>6.7</v>
      </c>
      <c r="H6097" t="n">
        <v>0</v>
      </c>
      <c r="I6097" t="n">
        <v>0</v>
      </c>
      <c r="J6097" t="n">
        <v>0</v>
      </c>
      <c r="K6097" t="n">
        <v>0</v>
      </c>
      <c r="L6097" t="n">
        <v>0</v>
      </c>
      <c r="M6097" t="n">
        <v>0</v>
      </c>
      <c r="N6097" t="n">
        <v>0</v>
      </c>
      <c r="O6097" t="n">
        <v>0</v>
      </c>
      <c r="P6097" t="n">
        <v>0</v>
      </c>
      <c r="Q6097" t="n">
        <v>0</v>
      </c>
      <c r="R6097" s="2" t="inlineStr"/>
    </row>
    <row r="6098" ht="15" customHeight="1">
      <c r="A6098" t="inlineStr">
        <is>
          <t>A 68330-2021</t>
        </is>
      </c>
      <c r="B6098" s="1" t="n">
        <v>44527</v>
      </c>
      <c r="C6098" s="1" t="n">
        <v>46114</v>
      </c>
      <c r="D6098" t="inlineStr">
        <is>
          <t>DALARNAS LÄN</t>
        </is>
      </c>
      <c r="E6098" t="inlineStr">
        <is>
          <t>GAGNEF</t>
        </is>
      </c>
      <c r="G6098" t="n">
        <v>4.1</v>
      </c>
      <c r="H6098" t="n">
        <v>0</v>
      </c>
      <c r="I6098" t="n">
        <v>0</v>
      </c>
      <c r="J6098" t="n">
        <v>0</v>
      </c>
      <c r="K6098" t="n">
        <v>0</v>
      </c>
      <c r="L6098" t="n">
        <v>0</v>
      </c>
      <c r="M6098" t="n">
        <v>0</v>
      </c>
      <c r="N6098" t="n">
        <v>0</v>
      </c>
      <c r="O6098" t="n">
        <v>0</v>
      </c>
      <c r="P6098" t="n">
        <v>0</v>
      </c>
      <c r="Q6098" t="n">
        <v>0</v>
      </c>
      <c r="R6098" s="2" t="inlineStr"/>
    </row>
    <row r="6099" ht="15" customHeight="1">
      <c r="A6099" t="inlineStr">
        <is>
          <t>A 22816-2023</t>
        </is>
      </c>
      <c r="B6099" s="1" t="n">
        <v>45072</v>
      </c>
      <c r="C6099" s="1" t="n">
        <v>46114</v>
      </c>
      <c r="D6099" t="inlineStr">
        <is>
          <t>DALARNAS LÄN</t>
        </is>
      </c>
      <c r="E6099" t="inlineStr">
        <is>
          <t>AVESTA</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36847-2023</t>
        </is>
      </c>
      <c r="B6100" s="1" t="n">
        <v>45154.50928240741</v>
      </c>
      <c r="C6100" s="1" t="n">
        <v>46114</v>
      </c>
      <c r="D6100" t="inlineStr">
        <is>
          <t>DALARNAS LÄN</t>
        </is>
      </c>
      <c r="E6100" t="inlineStr">
        <is>
          <t>SÄTER</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58325-2025</t>
        </is>
      </c>
      <c r="B6101" s="1" t="n">
        <v>45985.47695601852</v>
      </c>
      <c r="C6101" s="1" t="n">
        <v>46114</v>
      </c>
      <c r="D6101" t="inlineStr">
        <is>
          <t>DALARNAS LÄN</t>
        </is>
      </c>
      <c r="E6101" t="inlineStr">
        <is>
          <t>SÄTER</t>
        </is>
      </c>
      <c r="F6101" t="inlineStr">
        <is>
          <t>Bergvik skog väst AB</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64708-2023</t>
        </is>
      </c>
      <c r="B6102" s="1" t="n">
        <v>45281.67271990741</v>
      </c>
      <c r="C6102" s="1" t="n">
        <v>46114</v>
      </c>
      <c r="D6102" t="inlineStr">
        <is>
          <t>DALARNAS LÄN</t>
        </is>
      </c>
      <c r="E6102" t="inlineStr">
        <is>
          <t>AVESTA</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58334-2025</t>
        </is>
      </c>
      <c r="B6103" s="1" t="n">
        <v>45985.48290509259</v>
      </c>
      <c r="C6103" s="1" t="n">
        <v>46114</v>
      </c>
      <c r="D6103" t="inlineStr">
        <is>
          <t>DALARNAS LÄN</t>
        </is>
      </c>
      <c r="E6103" t="inlineStr">
        <is>
          <t>RÄTTVIK</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58433-2025</t>
        </is>
      </c>
      <c r="B6104" s="1" t="n">
        <v>45985.6084837963</v>
      </c>
      <c r="C6104" s="1" t="n">
        <v>46114</v>
      </c>
      <c r="D6104" t="inlineStr">
        <is>
          <t>DALARNAS LÄN</t>
        </is>
      </c>
      <c r="E6104" t="inlineStr">
        <is>
          <t>RÄTTVIK</t>
        </is>
      </c>
      <c r="F6104" t="inlineStr">
        <is>
          <t>Bergvik skog väst AB</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49636-2021</t>
        </is>
      </c>
      <c r="B6105" s="1" t="n">
        <v>44455</v>
      </c>
      <c r="C6105" s="1" t="n">
        <v>46114</v>
      </c>
      <c r="D6105" t="inlineStr">
        <is>
          <t>DALARNAS LÄN</t>
        </is>
      </c>
      <c r="E6105" t="inlineStr">
        <is>
          <t>HEDEMORA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51780-2023</t>
        </is>
      </c>
      <c r="B6106" s="1" t="n">
        <v>45222</v>
      </c>
      <c r="C6106" s="1" t="n">
        <v>46114</v>
      </c>
      <c r="D6106" t="inlineStr">
        <is>
          <t>DALARNAS LÄN</t>
        </is>
      </c>
      <c r="E6106" t="inlineStr">
        <is>
          <t>MORA</t>
        </is>
      </c>
      <c r="G6106" t="n">
        <v>9.9</v>
      </c>
      <c r="H6106" t="n">
        <v>0</v>
      </c>
      <c r="I6106" t="n">
        <v>0</v>
      </c>
      <c r="J6106" t="n">
        <v>0</v>
      </c>
      <c r="K6106" t="n">
        <v>0</v>
      </c>
      <c r="L6106" t="n">
        <v>0</v>
      </c>
      <c r="M6106" t="n">
        <v>0</v>
      </c>
      <c r="N6106" t="n">
        <v>0</v>
      </c>
      <c r="O6106" t="n">
        <v>0</v>
      </c>
      <c r="P6106" t="n">
        <v>0</v>
      </c>
      <c r="Q6106" t="n">
        <v>0</v>
      </c>
      <c r="R6106" s="2" t="inlineStr"/>
    </row>
    <row r="6107" ht="15" customHeight="1">
      <c r="A6107" t="inlineStr">
        <is>
          <t>A 53498-2024</t>
        </is>
      </c>
      <c r="B6107" s="1" t="n">
        <v>45614.58354166667</v>
      </c>
      <c r="C6107" s="1" t="n">
        <v>46114</v>
      </c>
      <c r="D6107" t="inlineStr">
        <is>
          <t>DALARNAS LÄN</t>
        </is>
      </c>
      <c r="E6107" t="inlineStr">
        <is>
          <t>VANSBRO</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15818-2024</t>
        </is>
      </c>
      <c r="B6108" s="1" t="n">
        <v>45404.67442129629</v>
      </c>
      <c r="C6108" s="1" t="n">
        <v>46114</v>
      </c>
      <c r="D6108" t="inlineStr">
        <is>
          <t>DALARNAS LÄN</t>
        </is>
      </c>
      <c r="E6108" t="inlineStr">
        <is>
          <t>MORA</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29114-2024</t>
        </is>
      </c>
      <c r="B6109" s="1" t="n">
        <v>45481.9578125</v>
      </c>
      <c r="C6109" s="1" t="n">
        <v>46114</v>
      </c>
      <c r="D6109" t="inlineStr">
        <is>
          <t>DALARNAS LÄN</t>
        </is>
      </c>
      <c r="E6109" t="inlineStr">
        <is>
          <t>LUDVIKA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58564-2025</t>
        </is>
      </c>
      <c r="B6110" s="1" t="n">
        <v>45986.36297453703</v>
      </c>
      <c r="C6110" s="1" t="n">
        <v>46114</v>
      </c>
      <c r="D6110" t="inlineStr">
        <is>
          <t>DALARNAS LÄN</t>
        </is>
      </c>
      <c r="E6110" t="inlineStr">
        <is>
          <t>RÄTTVIK</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1945-2023</t>
        </is>
      </c>
      <c r="B6111" s="1" t="n">
        <v>44939.44358796296</v>
      </c>
      <c r="C6111" s="1" t="n">
        <v>46114</v>
      </c>
      <c r="D6111" t="inlineStr">
        <is>
          <t>DALARNAS LÄN</t>
        </is>
      </c>
      <c r="E6111" t="inlineStr">
        <is>
          <t>RÄTTVIK</t>
        </is>
      </c>
      <c r="G6111" t="n">
        <v>1.4</v>
      </c>
      <c r="H6111" t="n">
        <v>0</v>
      </c>
      <c r="I6111" t="n">
        <v>0</v>
      </c>
      <c r="J6111" t="n">
        <v>0</v>
      </c>
      <c r="K6111" t="n">
        <v>0</v>
      </c>
      <c r="L6111" t="n">
        <v>0</v>
      </c>
      <c r="M6111" t="n">
        <v>0</v>
      </c>
      <c r="N6111" t="n">
        <v>0</v>
      </c>
      <c r="O6111" t="n">
        <v>0</v>
      </c>
      <c r="P6111" t="n">
        <v>0</v>
      </c>
      <c r="Q6111" t="n">
        <v>0</v>
      </c>
      <c r="R6111" s="2" t="inlineStr"/>
    </row>
    <row r="6112" ht="15" customHeight="1">
      <c r="A6112" t="inlineStr">
        <is>
          <t>A 42106-2024</t>
        </is>
      </c>
      <c r="B6112" s="1" t="n">
        <v>45562.36709490741</v>
      </c>
      <c r="C6112" s="1" t="n">
        <v>46114</v>
      </c>
      <c r="D6112" t="inlineStr">
        <is>
          <t>DALARNAS LÄN</t>
        </is>
      </c>
      <c r="E6112" t="inlineStr">
        <is>
          <t>LUDVIKA</t>
        </is>
      </c>
      <c r="F6112" t="inlineStr">
        <is>
          <t>Bergvik skog väst AB</t>
        </is>
      </c>
      <c r="G6112" t="n">
        <v>6</v>
      </c>
      <c r="H6112" t="n">
        <v>0</v>
      </c>
      <c r="I6112" t="n">
        <v>0</v>
      </c>
      <c r="J6112" t="n">
        <v>0</v>
      </c>
      <c r="K6112" t="n">
        <v>0</v>
      </c>
      <c r="L6112" t="n">
        <v>0</v>
      </c>
      <c r="M6112" t="n">
        <v>0</v>
      </c>
      <c r="N6112" t="n">
        <v>0</v>
      </c>
      <c r="O6112" t="n">
        <v>0</v>
      </c>
      <c r="P6112" t="n">
        <v>0</v>
      </c>
      <c r="Q6112" t="n">
        <v>0</v>
      </c>
      <c r="R6112" s="2" t="inlineStr"/>
    </row>
    <row r="6113" ht="15" customHeight="1">
      <c r="A6113" t="inlineStr">
        <is>
          <t>A 54076-2024</t>
        </is>
      </c>
      <c r="B6113" s="1" t="n">
        <v>45616</v>
      </c>
      <c r="C6113" s="1" t="n">
        <v>46114</v>
      </c>
      <c r="D6113" t="inlineStr">
        <is>
          <t>DALARNAS LÄN</t>
        </is>
      </c>
      <c r="E6113" t="inlineStr">
        <is>
          <t>ÄLVDALEN</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58681-2025</t>
        </is>
      </c>
      <c r="B6114" s="1" t="n">
        <v>45986.56822916667</v>
      </c>
      <c r="C6114" s="1" t="n">
        <v>46114</v>
      </c>
      <c r="D6114" t="inlineStr">
        <is>
          <t>DALARNAS LÄN</t>
        </is>
      </c>
      <c r="E6114" t="inlineStr">
        <is>
          <t>ORSA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58904-2025</t>
        </is>
      </c>
      <c r="B6115" s="1" t="n">
        <v>45987.50958333333</v>
      </c>
      <c r="C6115" s="1" t="n">
        <v>46114</v>
      </c>
      <c r="D6115" t="inlineStr">
        <is>
          <t>DALARNAS LÄN</t>
        </is>
      </c>
      <c r="E6115" t="inlineStr">
        <is>
          <t>ORSA</t>
        </is>
      </c>
      <c r="G6115" t="n">
        <v>5.5</v>
      </c>
      <c r="H6115" t="n">
        <v>0</v>
      </c>
      <c r="I6115" t="n">
        <v>0</v>
      </c>
      <c r="J6115" t="n">
        <v>0</v>
      </c>
      <c r="K6115" t="n">
        <v>0</v>
      </c>
      <c r="L6115" t="n">
        <v>0</v>
      </c>
      <c r="M6115" t="n">
        <v>0</v>
      </c>
      <c r="N6115" t="n">
        <v>0</v>
      </c>
      <c r="O6115" t="n">
        <v>0</v>
      </c>
      <c r="P6115" t="n">
        <v>0</v>
      </c>
      <c r="Q6115" t="n">
        <v>0</v>
      </c>
      <c r="R6115" s="2" t="inlineStr"/>
    </row>
    <row r="6116" ht="15" customHeight="1">
      <c r="A6116" t="inlineStr">
        <is>
          <t>A 54154-2024</t>
        </is>
      </c>
      <c r="B6116" s="1" t="n">
        <v>45616.60813657408</v>
      </c>
      <c r="C6116" s="1" t="n">
        <v>46114</v>
      </c>
      <c r="D6116" t="inlineStr">
        <is>
          <t>DALARNAS LÄN</t>
        </is>
      </c>
      <c r="E6116" t="inlineStr">
        <is>
          <t>LUDVIKA</t>
        </is>
      </c>
      <c r="F6116" t="inlineStr">
        <is>
          <t>Bergvik skog väst AB</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62533-2023</t>
        </is>
      </c>
      <c r="B6117" s="1" t="n">
        <v>45268</v>
      </c>
      <c r="C6117" s="1" t="n">
        <v>46114</v>
      </c>
      <c r="D6117" t="inlineStr">
        <is>
          <t>DALARNAS LÄN</t>
        </is>
      </c>
      <c r="E6117" t="inlineStr">
        <is>
          <t>SÄTER</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58728-2025</t>
        </is>
      </c>
      <c r="B6118" s="1" t="n">
        <v>45986.62393518518</v>
      </c>
      <c r="C6118" s="1" t="n">
        <v>46114</v>
      </c>
      <c r="D6118" t="inlineStr">
        <is>
          <t>DALARNAS LÄN</t>
        </is>
      </c>
      <c r="E6118" t="inlineStr">
        <is>
          <t>MALUNG-SÄLEN</t>
        </is>
      </c>
      <c r="G6118" t="n">
        <v>3.7</v>
      </c>
      <c r="H6118" t="n">
        <v>0</v>
      </c>
      <c r="I6118" t="n">
        <v>0</v>
      </c>
      <c r="J6118" t="n">
        <v>0</v>
      </c>
      <c r="K6118" t="n">
        <v>0</v>
      </c>
      <c r="L6118" t="n">
        <v>0</v>
      </c>
      <c r="M6118" t="n">
        <v>0</v>
      </c>
      <c r="N6118" t="n">
        <v>0</v>
      </c>
      <c r="O6118" t="n">
        <v>0</v>
      </c>
      <c r="P6118" t="n">
        <v>0</v>
      </c>
      <c r="Q6118" t="n">
        <v>0</v>
      </c>
      <c r="R6118" s="2" t="inlineStr"/>
    </row>
    <row r="6119" ht="15" customHeight="1">
      <c r="A6119" t="inlineStr">
        <is>
          <t>A 9144-2025</t>
        </is>
      </c>
      <c r="B6119" s="1" t="n">
        <v>45714.32489583334</v>
      </c>
      <c r="C6119" s="1" t="n">
        <v>46114</v>
      </c>
      <c r="D6119" t="inlineStr">
        <is>
          <t>DALARNAS LÄN</t>
        </is>
      </c>
      <c r="E6119" t="inlineStr">
        <is>
          <t>SMEDJEBACKEN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9145-2025</t>
        </is>
      </c>
      <c r="B6120" s="1" t="n">
        <v>45714.32625</v>
      </c>
      <c r="C6120" s="1" t="n">
        <v>46114</v>
      </c>
      <c r="D6120" t="inlineStr">
        <is>
          <t>DALARNAS LÄN</t>
        </is>
      </c>
      <c r="E6120" t="inlineStr">
        <is>
          <t>VANSBRO</t>
        </is>
      </c>
      <c r="G6120" t="n">
        <v>4.6</v>
      </c>
      <c r="H6120" t="n">
        <v>0</v>
      </c>
      <c r="I6120" t="n">
        <v>0</v>
      </c>
      <c r="J6120" t="n">
        <v>0</v>
      </c>
      <c r="K6120" t="n">
        <v>0</v>
      </c>
      <c r="L6120" t="n">
        <v>0</v>
      </c>
      <c r="M6120" t="n">
        <v>0</v>
      </c>
      <c r="N6120" t="n">
        <v>0</v>
      </c>
      <c r="O6120" t="n">
        <v>0</v>
      </c>
      <c r="P6120" t="n">
        <v>0</v>
      </c>
      <c r="Q6120" t="n">
        <v>0</v>
      </c>
      <c r="R6120" s="2" t="inlineStr"/>
    </row>
    <row r="6121" ht="15" customHeight="1">
      <c r="A6121" t="inlineStr">
        <is>
          <t>A 58733-2025</t>
        </is>
      </c>
      <c r="B6121" s="1" t="n">
        <v>45986.62628472222</v>
      </c>
      <c r="C6121" s="1" t="n">
        <v>46114</v>
      </c>
      <c r="D6121" t="inlineStr">
        <is>
          <t>DALARNAS LÄN</t>
        </is>
      </c>
      <c r="E6121" t="inlineStr">
        <is>
          <t>VANSBRO</t>
        </is>
      </c>
      <c r="F6121" t="inlineStr">
        <is>
          <t>Bergvik skog väst AB</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60808-2024</t>
        </is>
      </c>
      <c r="B6122" s="1" t="n">
        <v>45644.61251157407</v>
      </c>
      <c r="C6122" s="1" t="n">
        <v>46114</v>
      </c>
      <c r="D6122" t="inlineStr">
        <is>
          <t>DALARNAS LÄN</t>
        </is>
      </c>
      <c r="E6122" t="inlineStr">
        <is>
          <t>HEDEMORA</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58657-2025</t>
        </is>
      </c>
      <c r="B6123" s="1" t="n">
        <v>45986.52584490741</v>
      </c>
      <c r="C6123" s="1" t="n">
        <v>46114</v>
      </c>
      <c r="D6123" t="inlineStr">
        <is>
          <t>DALARNAS LÄN</t>
        </is>
      </c>
      <c r="E6123" t="inlineStr">
        <is>
          <t>ORSA</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60668-2024</t>
        </is>
      </c>
      <c r="B6124" s="1" t="n">
        <v>45644.45210648148</v>
      </c>
      <c r="C6124" s="1" t="n">
        <v>46114</v>
      </c>
      <c r="D6124" t="inlineStr">
        <is>
          <t>DALARNAS LÄN</t>
        </is>
      </c>
      <c r="E6124" t="inlineStr">
        <is>
          <t>LUDVIKA</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58705-2025</t>
        </is>
      </c>
      <c r="B6125" s="1" t="n">
        <v>45986.60056712963</v>
      </c>
      <c r="C6125" s="1" t="n">
        <v>46114</v>
      </c>
      <c r="D6125" t="inlineStr">
        <is>
          <t>DALARNAS LÄN</t>
        </is>
      </c>
      <c r="E6125" t="inlineStr">
        <is>
          <t>HEDEMORA</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5186-2024</t>
        </is>
      </c>
      <c r="B6126" s="1" t="n">
        <v>45330.58921296296</v>
      </c>
      <c r="C6126" s="1" t="n">
        <v>46114</v>
      </c>
      <c r="D6126" t="inlineStr">
        <is>
          <t>DALARNAS LÄN</t>
        </is>
      </c>
      <c r="E6126" t="inlineStr">
        <is>
          <t>AVESTA</t>
        </is>
      </c>
      <c r="G6126" t="n">
        <v>3.8</v>
      </c>
      <c r="H6126" t="n">
        <v>0</v>
      </c>
      <c r="I6126" t="n">
        <v>0</v>
      </c>
      <c r="J6126" t="n">
        <v>0</v>
      </c>
      <c r="K6126" t="n">
        <v>0</v>
      </c>
      <c r="L6126" t="n">
        <v>0</v>
      </c>
      <c r="M6126" t="n">
        <v>0</v>
      </c>
      <c r="N6126" t="n">
        <v>0</v>
      </c>
      <c r="O6126" t="n">
        <v>0</v>
      </c>
      <c r="P6126" t="n">
        <v>0</v>
      </c>
      <c r="Q6126" t="n">
        <v>0</v>
      </c>
      <c r="R6126" s="2" t="inlineStr"/>
    </row>
    <row r="6127" ht="15" customHeight="1">
      <c r="A6127" t="inlineStr">
        <is>
          <t>A 5196-2024</t>
        </is>
      </c>
      <c r="B6127" s="1" t="n">
        <v>45330.60379629629</v>
      </c>
      <c r="C6127" s="1" t="n">
        <v>46114</v>
      </c>
      <c r="D6127" t="inlineStr">
        <is>
          <t>DALARNAS LÄN</t>
        </is>
      </c>
      <c r="E6127" t="inlineStr">
        <is>
          <t>SÄTER</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58834-2025</t>
        </is>
      </c>
      <c r="B6128" s="1" t="n">
        <v>45987.35487268519</v>
      </c>
      <c r="C6128" s="1" t="n">
        <v>46114</v>
      </c>
      <c r="D6128" t="inlineStr">
        <is>
          <t>DALARNAS LÄN</t>
        </is>
      </c>
      <c r="E6128" t="inlineStr">
        <is>
          <t>ORSA</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58847-2025</t>
        </is>
      </c>
      <c r="B6129" s="1" t="n">
        <v>45987.38755787037</v>
      </c>
      <c r="C6129" s="1" t="n">
        <v>46114</v>
      </c>
      <c r="D6129" t="inlineStr">
        <is>
          <t>DALARNAS LÄN</t>
        </is>
      </c>
      <c r="E6129" t="inlineStr">
        <is>
          <t>MALUNG-SÄLEN</t>
        </is>
      </c>
      <c r="G6129" t="n">
        <v>11.3</v>
      </c>
      <c r="H6129" t="n">
        <v>0</v>
      </c>
      <c r="I6129" t="n">
        <v>0</v>
      </c>
      <c r="J6129" t="n">
        <v>0</v>
      </c>
      <c r="K6129" t="n">
        <v>0</v>
      </c>
      <c r="L6129" t="n">
        <v>0</v>
      </c>
      <c r="M6129" t="n">
        <v>0</v>
      </c>
      <c r="N6129" t="n">
        <v>0</v>
      </c>
      <c r="O6129" t="n">
        <v>0</v>
      </c>
      <c r="P6129" t="n">
        <v>0</v>
      </c>
      <c r="Q6129" t="n">
        <v>0</v>
      </c>
      <c r="R6129" s="2" t="inlineStr"/>
    </row>
    <row r="6130" ht="15" customHeight="1">
      <c r="A6130" t="inlineStr">
        <is>
          <t>A 58679-2025</t>
        </is>
      </c>
      <c r="B6130" s="1" t="n">
        <v>45986</v>
      </c>
      <c r="C6130" s="1" t="n">
        <v>46114</v>
      </c>
      <c r="D6130" t="inlineStr">
        <is>
          <t>DALARNAS LÄN</t>
        </is>
      </c>
      <c r="E6130" t="inlineStr">
        <is>
          <t>FALUN</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58691-2025</t>
        </is>
      </c>
      <c r="B6131" s="1" t="n">
        <v>45986.58231481481</v>
      </c>
      <c r="C6131" s="1" t="n">
        <v>46114</v>
      </c>
      <c r="D6131" t="inlineStr">
        <is>
          <t>DALARNAS LÄN</t>
        </is>
      </c>
      <c r="E6131" t="inlineStr">
        <is>
          <t>ORSA</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19090-2025</t>
        </is>
      </c>
      <c r="B6132" s="1" t="n">
        <v>45767.46240740741</v>
      </c>
      <c r="C6132" s="1" t="n">
        <v>46114</v>
      </c>
      <c r="D6132" t="inlineStr">
        <is>
          <t>DALARNAS LÄN</t>
        </is>
      </c>
      <c r="E6132" t="inlineStr">
        <is>
          <t>FALUN</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19108-2025</t>
        </is>
      </c>
      <c r="B6133" s="1" t="n">
        <v>45768</v>
      </c>
      <c r="C6133" s="1" t="n">
        <v>46114</v>
      </c>
      <c r="D6133" t="inlineStr">
        <is>
          <t>DALARNAS LÄN</t>
        </is>
      </c>
      <c r="E6133" t="inlineStr">
        <is>
          <t>ORSA</t>
        </is>
      </c>
      <c r="F6133" t="inlineStr">
        <is>
          <t>Bergvik skog väst AB</t>
        </is>
      </c>
      <c r="G6133" t="n">
        <v>14.3</v>
      </c>
      <c r="H6133" t="n">
        <v>0</v>
      </c>
      <c r="I6133" t="n">
        <v>0</v>
      </c>
      <c r="J6133" t="n">
        <v>0</v>
      </c>
      <c r="K6133" t="n">
        <v>0</v>
      </c>
      <c r="L6133" t="n">
        <v>0</v>
      </c>
      <c r="M6133" t="n">
        <v>0</v>
      </c>
      <c r="N6133" t="n">
        <v>0</v>
      </c>
      <c r="O6133" t="n">
        <v>0</v>
      </c>
      <c r="P6133" t="n">
        <v>0</v>
      </c>
      <c r="Q6133" t="n">
        <v>0</v>
      </c>
      <c r="R6133" s="2" t="inlineStr"/>
    </row>
    <row r="6134" ht="15" customHeight="1">
      <c r="A6134" t="inlineStr">
        <is>
          <t>A 23684-2025</t>
        </is>
      </c>
      <c r="B6134" s="1" t="n">
        <v>45793</v>
      </c>
      <c r="C6134" s="1" t="n">
        <v>46114</v>
      </c>
      <c r="D6134" t="inlineStr">
        <is>
          <t>DALARNAS LÄN</t>
        </is>
      </c>
      <c r="E6134" t="inlineStr">
        <is>
          <t>SMEDJEBACKEN</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25645-2024</t>
        </is>
      </c>
      <c r="B6135" s="1" t="n">
        <v>45463.66520833333</v>
      </c>
      <c r="C6135" s="1" t="n">
        <v>46114</v>
      </c>
      <c r="D6135" t="inlineStr">
        <is>
          <t>DALARNAS LÄN</t>
        </is>
      </c>
      <c r="E6135" t="inlineStr">
        <is>
          <t>HEDEMORA</t>
        </is>
      </c>
      <c r="F6135" t="inlineStr">
        <is>
          <t>Sveaskog</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58923-2025</t>
        </is>
      </c>
      <c r="B6136" s="1" t="n">
        <v>45987.54099537037</v>
      </c>
      <c r="C6136" s="1" t="n">
        <v>46114</v>
      </c>
      <c r="D6136" t="inlineStr">
        <is>
          <t>DALARNAS LÄN</t>
        </is>
      </c>
      <c r="E6136" t="inlineStr">
        <is>
          <t>ORSA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59043-2025</t>
        </is>
      </c>
      <c r="B6137" s="1" t="n">
        <v>45987</v>
      </c>
      <c r="C6137" s="1" t="n">
        <v>46114</v>
      </c>
      <c r="D6137" t="inlineStr">
        <is>
          <t>DALARNAS LÄN</t>
        </is>
      </c>
      <c r="E6137" t="inlineStr">
        <is>
          <t>MALUNG-SÄLEN</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16814-2024</t>
        </is>
      </c>
      <c r="B6138" s="1" t="n">
        <v>45411.46208333333</v>
      </c>
      <c r="C6138" s="1" t="n">
        <v>46114</v>
      </c>
      <c r="D6138" t="inlineStr">
        <is>
          <t>DALARNAS LÄN</t>
        </is>
      </c>
      <c r="E6138" t="inlineStr">
        <is>
          <t>LUDVIKA</t>
        </is>
      </c>
      <c r="F6138" t="inlineStr">
        <is>
          <t>Bergvik skog väst AB</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16822-2024</t>
        </is>
      </c>
      <c r="B6139" s="1" t="n">
        <v>45411.46914351852</v>
      </c>
      <c r="C6139" s="1" t="n">
        <v>46114</v>
      </c>
      <c r="D6139" t="inlineStr">
        <is>
          <t>DALARNAS LÄN</t>
        </is>
      </c>
      <c r="E6139" t="inlineStr">
        <is>
          <t>RÄTTVIK</t>
        </is>
      </c>
      <c r="F6139" t="inlineStr">
        <is>
          <t>Sveaskog</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16836-2024</t>
        </is>
      </c>
      <c r="B6140" s="1" t="n">
        <v>45411.48761574074</v>
      </c>
      <c r="C6140" s="1" t="n">
        <v>46114</v>
      </c>
      <c r="D6140" t="inlineStr">
        <is>
          <t>DALARNAS LÄN</t>
        </is>
      </c>
      <c r="E6140" t="inlineStr">
        <is>
          <t>SÄTER</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16843-2024</t>
        </is>
      </c>
      <c r="B6141" s="1" t="n">
        <v>45411.49664351852</v>
      </c>
      <c r="C6141" s="1" t="n">
        <v>46114</v>
      </c>
      <c r="D6141" t="inlineStr">
        <is>
          <t>DALARNAS LÄN</t>
        </is>
      </c>
      <c r="E6141" t="inlineStr">
        <is>
          <t>SÄTER</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58550-2025</t>
        </is>
      </c>
      <c r="B6142" s="1" t="n">
        <v>45986.32636574074</v>
      </c>
      <c r="C6142" s="1" t="n">
        <v>46114</v>
      </c>
      <c r="D6142" t="inlineStr">
        <is>
          <t>DALARNAS LÄN</t>
        </is>
      </c>
      <c r="E6142" t="inlineStr">
        <is>
          <t>RÄTTVIK</t>
        </is>
      </c>
      <c r="F6142" t="inlineStr">
        <is>
          <t>Bergvik skog väst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52649-2024</t>
        </is>
      </c>
      <c r="B6143" s="1" t="n">
        <v>45610.3468287037</v>
      </c>
      <c r="C6143" s="1" t="n">
        <v>46114</v>
      </c>
      <c r="D6143" t="inlineStr">
        <is>
          <t>DALARNAS LÄN</t>
        </is>
      </c>
      <c r="E6143" t="inlineStr">
        <is>
          <t>ORSA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19954-2025</t>
        </is>
      </c>
      <c r="B6144" s="1" t="n">
        <v>45771.65960648148</v>
      </c>
      <c r="C6144" s="1" t="n">
        <v>46114</v>
      </c>
      <c r="D6144" t="inlineStr">
        <is>
          <t>DALARNAS LÄN</t>
        </is>
      </c>
      <c r="E6144" t="inlineStr">
        <is>
          <t>GAGNEF</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16391-2024</t>
        </is>
      </c>
      <c r="B6145" s="1" t="n">
        <v>45407.62357638889</v>
      </c>
      <c r="C6145" s="1" t="n">
        <v>46114</v>
      </c>
      <c r="D6145" t="inlineStr">
        <is>
          <t>DALARNAS LÄN</t>
        </is>
      </c>
      <c r="E6145" t="inlineStr">
        <is>
          <t>MALUNG-SÄLEN</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19956-2025</t>
        </is>
      </c>
      <c r="B6146" s="1" t="n">
        <v>45771</v>
      </c>
      <c r="C6146" s="1" t="n">
        <v>46114</v>
      </c>
      <c r="D6146" t="inlineStr">
        <is>
          <t>DALARNAS LÄN</t>
        </is>
      </c>
      <c r="E6146" t="inlineStr">
        <is>
          <t>RÄTTVIK</t>
        </is>
      </c>
      <c r="F6146" t="inlineStr">
        <is>
          <t>Bergvik skog väst AB</t>
        </is>
      </c>
      <c r="G6146" t="n">
        <v>7.7</v>
      </c>
      <c r="H6146" t="n">
        <v>0</v>
      </c>
      <c r="I6146" t="n">
        <v>0</v>
      </c>
      <c r="J6146" t="n">
        <v>0</v>
      </c>
      <c r="K6146" t="n">
        <v>0</v>
      </c>
      <c r="L6146" t="n">
        <v>0</v>
      </c>
      <c r="M6146" t="n">
        <v>0</v>
      </c>
      <c r="N6146" t="n">
        <v>0</v>
      </c>
      <c r="O6146" t="n">
        <v>0</v>
      </c>
      <c r="P6146" t="n">
        <v>0</v>
      </c>
      <c r="Q6146" t="n">
        <v>0</v>
      </c>
      <c r="R6146" s="2" t="inlineStr"/>
    </row>
    <row r="6147" ht="15" customHeight="1">
      <c r="A6147" t="inlineStr">
        <is>
          <t>A 19958-2025</t>
        </is>
      </c>
      <c r="B6147" s="1" t="n">
        <v>45771.66496527778</v>
      </c>
      <c r="C6147" s="1" t="n">
        <v>46114</v>
      </c>
      <c r="D6147" t="inlineStr">
        <is>
          <t>DALARNAS LÄN</t>
        </is>
      </c>
      <c r="E6147" t="inlineStr">
        <is>
          <t>RÄTTVIK</t>
        </is>
      </c>
      <c r="G6147" t="n">
        <v>2.5</v>
      </c>
      <c r="H6147" t="n">
        <v>0</v>
      </c>
      <c r="I6147" t="n">
        <v>0</v>
      </c>
      <c r="J6147" t="n">
        <v>0</v>
      </c>
      <c r="K6147" t="n">
        <v>0</v>
      </c>
      <c r="L6147" t="n">
        <v>0</v>
      </c>
      <c r="M6147" t="n">
        <v>0</v>
      </c>
      <c r="N6147" t="n">
        <v>0</v>
      </c>
      <c r="O6147" t="n">
        <v>0</v>
      </c>
      <c r="P6147" t="n">
        <v>0</v>
      </c>
      <c r="Q6147" t="n">
        <v>0</v>
      </c>
      <c r="R6147" s="2" t="inlineStr"/>
      <c r="U6147">
        <f>HYPERLINK("https://klasma.github.io/Logging_2031/knärot/A 19958-2025 karta knärot.png", "A 19958-2025")</f>
        <v/>
      </c>
      <c r="V6147">
        <f>HYPERLINK("https://klasma.github.io/Logging_2031/klagomål/A 19958-2025 FSC-klagomål.docx", "A 19958-2025")</f>
        <v/>
      </c>
      <c r="W6147">
        <f>HYPERLINK("https://klasma.github.io/Logging_2031/klagomålsmail/A 19958-2025 FSC-klagomål mail.docx", "A 19958-2025")</f>
        <v/>
      </c>
      <c r="X6147">
        <f>HYPERLINK("https://klasma.github.io/Logging_2031/tillsyn/A 19958-2025 tillsynsbegäran.docx", "A 19958-2025")</f>
        <v/>
      </c>
      <c r="Y6147">
        <f>HYPERLINK("https://klasma.github.io/Logging_2031/tillsynsmail/A 19958-2025 tillsynsbegäran mail.docx", "A 19958-2025")</f>
        <v/>
      </c>
    </row>
    <row r="6148" ht="15" customHeight="1">
      <c r="A6148" t="inlineStr">
        <is>
          <t>A 19969-2025</t>
        </is>
      </c>
      <c r="B6148" s="1" t="n">
        <v>45771.683125</v>
      </c>
      <c r="C6148" s="1" t="n">
        <v>46114</v>
      </c>
      <c r="D6148" t="inlineStr">
        <is>
          <t>DALARNAS LÄN</t>
        </is>
      </c>
      <c r="E6148" t="inlineStr">
        <is>
          <t>FALUN</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5992-2024</t>
        </is>
      </c>
      <c r="B6149" s="1" t="n">
        <v>45336</v>
      </c>
      <c r="C6149" s="1" t="n">
        <v>46114</v>
      </c>
      <c r="D6149" t="inlineStr">
        <is>
          <t>DALARNAS LÄN</t>
        </is>
      </c>
      <c r="E6149" t="inlineStr">
        <is>
          <t>MALUNG-SÄLEN</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58900-2025</t>
        </is>
      </c>
      <c r="B6150" s="1" t="n">
        <v>45987</v>
      </c>
      <c r="C6150" s="1" t="n">
        <v>46114</v>
      </c>
      <c r="D6150" t="inlineStr">
        <is>
          <t>DALARNAS LÄN</t>
        </is>
      </c>
      <c r="E6150" t="inlineStr">
        <is>
          <t>LEKSAND</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58910-2025</t>
        </is>
      </c>
      <c r="B6151" s="1" t="n">
        <v>45987.51534722222</v>
      </c>
      <c r="C6151" s="1" t="n">
        <v>46114</v>
      </c>
      <c r="D6151" t="inlineStr">
        <is>
          <t>DALARNAS LÄN</t>
        </is>
      </c>
      <c r="E6151" t="inlineStr">
        <is>
          <t>ORSA</t>
        </is>
      </c>
      <c r="G6151" t="n">
        <v>2.1</v>
      </c>
      <c r="H6151" t="n">
        <v>0</v>
      </c>
      <c r="I6151" t="n">
        <v>0</v>
      </c>
      <c r="J6151" t="n">
        <v>0</v>
      </c>
      <c r="K6151" t="n">
        <v>0</v>
      </c>
      <c r="L6151" t="n">
        <v>0</v>
      </c>
      <c r="M6151" t="n">
        <v>0</v>
      </c>
      <c r="N6151" t="n">
        <v>0</v>
      </c>
      <c r="O6151" t="n">
        <v>0</v>
      </c>
      <c r="P6151" t="n">
        <v>0</v>
      </c>
      <c r="Q6151" t="n">
        <v>0</v>
      </c>
      <c r="R6151" s="2" t="inlineStr"/>
    </row>
    <row r="6152" ht="15" customHeight="1">
      <c r="A6152" t="inlineStr">
        <is>
          <t>A 58686-2025</t>
        </is>
      </c>
      <c r="B6152" s="1" t="n">
        <v>45986.57303240741</v>
      </c>
      <c r="C6152" s="1" t="n">
        <v>46114</v>
      </c>
      <c r="D6152" t="inlineStr">
        <is>
          <t>DALARNAS LÄN</t>
        </is>
      </c>
      <c r="E6152" t="inlineStr">
        <is>
          <t>ORSA</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47073-2024</t>
        </is>
      </c>
      <c r="B6153" s="1" t="n">
        <v>45586.49591435185</v>
      </c>
      <c r="C6153" s="1" t="n">
        <v>46114</v>
      </c>
      <c r="D6153" t="inlineStr">
        <is>
          <t>DALARNAS LÄN</t>
        </is>
      </c>
      <c r="E6153" t="inlineStr">
        <is>
          <t>FALUN</t>
        </is>
      </c>
      <c r="F6153" t="inlineStr">
        <is>
          <t>Bergvik skog väst AB</t>
        </is>
      </c>
      <c r="G6153" t="n">
        <v>4</v>
      </c>
      <c r="H6153" t="n">
        <v>0</v>
      </c>
      <c r="I6153" t="n">
        <v>0</v>
      </c>
      <c r="J6153" t="n">
        <v>0</v>
      </c>
      <c r="K6153" t="n">
        <v>0</v>
      </c>
      <c r="L6153" t="n">
        <v>0</v>
      </c>
      <c r="M6153" t="n">
        <v>0</v>
      </c>
      <c r="N6153" t="n">
        <v>0</v>
      </c>
      <c r="O6153" t="n">
        <v>0</v>
      </c>
      <c r="P6153" t="n">
        <v>0</v>
      </c>
      <c r="Q6153" t="n">
        <v>0</v>
      </c>
      <c r="R6153" s="2" t="inlineStr"/>
    </row>
    <row r="6154" ht="15" customHeight="1">
      <c r="A6154" t="inlineStr">
        <is>
          <t>A 47664-2024</t>
        </is>
      </c>
      <c r="B6154" s="1" t="n">
        <v>45588.38876157408</v>
      </c>
      <c r="C6154" s="1" t="n">
        <v>46114</v>
      </c>
      <c r="D6154" t="inlineStr">
        <is>
          <t>DALARNAS LÄN</t>
        </is>
      </c>
      <c r="E6154" t="inlineStr">
        <is>
          <t>SMEDJEBACKEN</t>
        </is>
      </c>
      <c r="F6154" t="inlineStr">
        <is>
          <t>Sveaskog</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46665-2023</t>
        </is>
      </c>
      <c r="B6155" s="1" t="n">
        <v>45198.47399305556</v>
      </c>
      <c r="C6155" s="1" t="n">
        <v>46114</v>
      </c>
      <c r="D6155" t="inlineStr">
        <is>
          <t>DALARNAS LÄN</t>
        </is>
      </c>
      <c r="E6155" t="inlineStr">
        <is>
          <t>LEKSAND</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58626-2025</t>
        </is>
      </c>
      <c r="B6156" s="1" t="n">
        <v>45986.47667824074</v>
      </c>
      <c r="C6156" s="1" t="n">
        <v>46114</v>
      </c>
      <c r="D6156" t="inlineStr">
        <is>
          <t>DALARNAS LÄN</t>
        </is>
      </c>
      <c r="E6156" t="inlineStr">
        <is>
          <t>LEKSAND</t>
        </is>
      </c>
      <c r="G6156" t="n">
        <v>0.8</v>
      </c>
      <c r="H6156" t="n">
        <v>0</v>
      </c>
      <c r="I6156" t="n">
        <v>0</v>
      </c>
      <c r="J6156" t="n">
        <v>0</v>
      </c>
      <c r="K6156" t="n">
        <v>0</v>
      </c>
      <c r="L6156" t="n">
        <v>0</v>
      </c>
      <c r="M6156" t="n">
        <v>0</v>
      </c>
      <c r="N6156" t="n">
        <v>0</v>
      </c>
      <c r="O6156" t="n">
        <v>0</v>
      </c>
      <c r="P6156" t="n">
        <v>0</v>
      </c>
      <c r="Q6156" t="n">
        <v>0</v>
      </c>
      <c r="R6156" s="2" t="inlineStr"/>
    </row>
    <row r="6157" ht="15" customHeight="1">
      <c r="A6157" t="inlineStr">
        <is>
          <t>A 58844-2025</t>
        </is>
      </c>
      <c r="B6157" s="1" t="n">
        <v>45987.38523148148</v>
      </c>
      <c r="C6157" s="1" t="n">
        <v>46114</v>
      </c>
      <c r="D6157" t="inlineStr">
        <is>
          <t>DALARNAS LÄN</t>
        </is>
      </c>
      <c r="E6157" t="inlineStr">
        <is>
          <t>RÄTTVIK</t>
        </is>
      </c>
      <c r="F6157" t="inlineStr">
        <is>
          <t>Bergvik skog väst AB</t>
        </is>
      </c>
      <c r="G6157" t="n">
        <v>9.6</v>
      </c>
      <c r="H6157" t="n">
        <v>0</v>
      </c>
      <c r="I6157" t="n">
        <v>0</v>
      </c>
      <c r="J6157" t="n">
        <v>0</v>
      </c>
      <c r="K6157" t="n">
        <v>0</v>
      </c>
      <c r="L6157" t="n">
        <v>0</v>
      </c>
      <c r="M6157" t="n">
        <v>0</v>
      </c>
      <c r="N6157" t="n">
        <v>0</v>
      </c>
      <c r="O6157" t="n">
        <v>0</v>
      </c>
      <c r="P6157" t="n">
        <v>0</v>
      </c>
      <c r="Q6157" t="n">
        <v>0</v>
      </c>
      <c r="R6157" s="2" t="inlineStr"/>
    </row>
    <row r="6158" ht="15" customHeight="1">
      <c r="A6158" t="inlineStr">
        <is>
          <t>A 40644-2022</t>
        </is>
      </c>
      <c r="B6158" s="1" t="n">
        <v>44824</v>
      </c>
      <c r="C6158" s="1" t="n">
        <v>46114</v>
      </c>
      <c r="D6158" t="inlineStr">
        <is>
          <t>DALARNAS LÄN</t>
        </is>
      </c>
      <c r="E6158" t="inlineStr">
        <is>
          <t>SMEDJEBACKEN</t>
        </is>
      </c>
      <c r="F6158" t="inlineStr">
        <is>
          <t>Sveaskog</t>
        </is>
      </c>
      <c r="G6158" t="n">
        <v>18.7</v>
      </c>
      <c r="H6158" t="n">
        <v>0</v>
      </c>
      <c r="I6158" t="n">
        <v>0</v>
      </c>
      <c r="J6158" t="n">
        <v>0</v>
      </c>
      <c r="K6158" t="n">
        <v>0</v>
      </c>
      <c r="L6158" t="n">
        <v>0</v>
      </c>
      <c r="M6158" t="n">
        <v>0</v>
      </c>
      <c r="N6158" t="n">
        <v>0</v>
      </c>
      <c r="O6158" t="n">
        <v>0</v>
      </c>
      <c r="P6158" t="n">
        <v>0</v>
      </c>
      <c r="Q6158" t="n">
        <v>0</v>
      </c>
      <c r="R6158" s="2" t="inlineStr"/>
    </row>
    <row r="6159" ht="15" customHeight="1">
      <c r="A6159" t="inlineStr">
        <is>
          <t>A 58643-2025</t>
        </is>
      </c>
      <c r="B6159" s="1" t="n">
        <v>45986</v>
      </c>
      <c r="C6159" s="1" t="n">
        <v>46114</v>
      </c>
      <c r="D6159" t="inlineStr">
        <is>
          <t>DALARNAS LÄN</t>
        </is>
      </c>
      <c r="E6159" t="inlineStr">
        <is>
          <t>MALUNG-SÄLEN</t>
        </is>
      </c>
      <c r="G6159" t="n">
        <v>7.9</v>
      </c>
      <c r="H6159" t="n">
        <v>0</v>
      </c>
      <c r="I6159" t="n">
        <v>0</v>
      </c>
      <c r="J6159" t="n">
        <v>0</v>
      </c>
      <c r="K6159" t="n">
        <v>0</v>
      </c>
      <c r="L6159" t="n">
        <v>0</v>
      </c>
      <c r="M6159" t="n">
        <v>0</v>
      </c>
      <c r="N6159" t="n">
        <v>0</v>
      </c>
      <c r="O6159" t="n">
        <v>0</v>
      </c>
      <c r="P6159" t="n">
        <v>0</v>
      </c>
      <c r="Q6159" t="n">
        <v>0</v>
      </c>
      <c r="R6159" s="2" t="inlineStr"/>
    </row>
    <row r="6160" ht="15" customHeight="1">
      <c r="A6160" t="inlineStr">
        <is>
          <t>A 54467-2024</t>
        </is>
      </c>
      <c r="B6160" s="1" t="n">
        <v>45617.54045138889</v>
      </c>
      <c r="C6160" s="1" t="n">
        <v>46114</v>
      </c>
      <c r="D6160" t="inlineStr">
        <is>
          <t>DALARNAS LÄN</t>
        </is>
      </c>
      <c r="E6160" t="inlineStr">
        <is>
          <t>VANSBRO</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50256-2024</t>
        </is>
      </c>
      <c r="B6161" s="1" t="n">
        <v>45600.58152777778</v>
      </c>
      <c r="C6161" s="1" t="n">
        <v>46114</v>
      </c>
      <c r="D6161" t="inlineStr">
        <is>
          <t>DALARNAS LÄN</t>
        </is>
      </c>
      <c r="E6161" t="inlineStr">
        <is>
          <t>MALUNG-SÄLEN</t>
        </is>
      </c>
      <c r="F6161" t="inlineStr">
        <is>
          <t>Bergvik skog öst AB</t>
        </is>
      </c>
      <c r="G6161" t="n">
        <v>2.7</v>
      </c>
      <c r="H6161" t="n">
        <v>0</v>
      </c>
      <c r="I6161" t="n">
        <v>0</v>
      </c>
      <c r="J6161" t="n">
        <v>0</v>
      </c>
      <c r="K6161" t="n">
        <v>0</v>
      </c>
      <c r="L6161" t="n">
        <v>0</v>
      </c>
      <c r="M6161" t="n">
        <v>0</v>
      </c>
      <c r="N6161" t="n">
        <v>0</v>
      </c>
      <c r="O6161" t="n">
        <v>0</v>
      </c>
      <c r="P6161" t="n">
        <v>0</v>
      </c>
      <c r="Q6161" t="n">
        <v>0</v>
      </c>
      <c r="R6161" s="2" t="inlineStr"/>
    </row>
    <row r="6162" ht="15" customHeight="1">
      <c r="A6162" t="inlineStr">
        <is>
          <t>A 58914-2025</t>
        </is>
      </c>
      <c r="B6162" s="1" t="n">
        <v>45987.52473379629</v>
      </c>
      <c r="C6162" s="1" t="n">
        <v>46114</v>
      </c>
      <c r="D6162" t="inlineStr">
        <is>
          <t>DALARNAS LÄN</t>
        </is>
      </c>
      <c r="E6162" t="inlineStr">
        <is>
          <t>FALUN</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58921-2025</t>
        </is>
      </c>
      <c r="B6163" s="1" t="n">
        <v>45986</v>
      </c>
      <c r="C6163" s="1" t="n">
        <v>46114</v>
      </c>
      <c r="D6163" t="inlineStr">
        <is>
          <t>DALARNAS LÄN</t>
        </is>
      </c>
      <c r="E6163" t="inlineStr">
        <is>
          <t>LEKSAND</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58874-2025</t>
        </is>
      </c>
      <c r="B6164" s="1" t="n">
        <v>45987.46614583334</v>
      </c>
      <c r="C6164" s="1" t="n">
        <v>46114</v>
      </c>
      <c r="D6164" t="inlineStr">
        <is>
          <t>DALARNAS LÄN</t>
        </is>
      </c>
      <c r="E6164" t="inlineStr">
        <is>
          <t>VANSBRO</t>
        </is>
      </c>
      <c r="F6164" t="inlineStr">
        <is>
          <t>Bergvik skog väst AB</t>
        </is>
      </c>
      <c r="G6164" t="n">
        <v>6.9</v>
      </c>
      <c r="H6164" t="n">
        <v>0</v>
      </c>
      <c r="I6164" t="n">
        <v>0</v>
      </c>
      <c r="J6164" t="n">
        <v>0</v>
      </c>
      <c r="K6164" t="n">
        <v>0</v>
      </c>
      <c r="L6164" t="n">
        <v>0</v>
      </c>
      <c r="M6164" t="n">
        <v>0</v>
      </c>
      <c r="N6164" t="n">
        <v>0</v>
      </c>
      <c r="O6164" t="n">
        <v>0</v>
      </c>
      <c r="P6164" t="n">
        <v>0</v>
      </c>
      <c r="Q6164" t="n">
        <v>0</v>
      </c>
      <c r="R6164" s="2" t="inlineStr"/>
    </row>
    <row r="6165" ht="15" customHeight="1">
      <c r="A6165" t="inlineStr">
        <is>
          <t>A 53127-2025</t>
        </is>
      </c>
      <c r="B6165" s="1" t="n">
        <v>45957</v>
      </c>
      <c r="C6165" s="1" t="n">
        <v>46114</v>
      </c>
      <c r="D6165" t="inlineStr">
        <is>
          <t>DALARNAS LÄN</t>
        </is>
      </c>
      <c r="E6165" t="inlineStr">
        <is>
          <t>RÄTTVIK</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56943-2024</t>
        </is>
      </c>
      <c r="B6166" s="1" t="n">
        <v>45625</v>
      </c>
      <c r="C6166" s="1" t="n">
        <v>46114</v>
      </c>
      <c r="D6166" t="inlineStr">
        <is>
          <t>DALARNAS LÄN</t>
        </is>
      </c>
      <c r="E6166" t="inlineStr">
        <is>
          <t>LEKSAND</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58739-2025</t>
        </is>
      </c>
      <c r="B6167" s="1" t="n">
        <v>45986.63236111111</v>
      </c>
      <c r="C6167" s="1" t="n">
        <v>46114</v>
      </c>
      <c r="D6167" t="inlineStr">
        <is>
          <t>DALARNAS LÄN</t>
        </is>
      </c>
      <c r="E6167" t="inlineStr">
        <is>
          <t>ÄLVDALEN</t>
        </is>
      </c>
      <c r="F6167" t="inlineStr">
        <is>
          <t>Övriga statliga verk och myndigheter</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18412-2024</t>
        </is>
      </c>
      <c r="B6168" s="1" t="n">
        <v>45425.37940972222</v>
      </c>
      <c r="C6168" s="1" t="n">
        <v>46114</v>
      </c>
      <c r="D6168" t="inlineStr">
        <is>
          <t>DALARNAS LÄN</t>
        </is>
      </c>
      <c r="E6168" t="inlineStr">
        <is>
          <t>GAGNEF</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58549-2025</t>
        </is>
      </c>
      <c r="B6169" s="1" t="n">
        <v>45986.32357638889</v>
      </c>
      <c r="C6169" s="1" t="n">
        <v>46114</v>
      </c>
      <c r="D6169" t="inlineStr">
        <is>
          <t>DALARNAS LÄN</t>
        </is>
      </c>
      <c r="E6169" t="inlineStr">
        <is>
          <t>RÄTTVIK</t>
        </is>
      </c>
      <c r="F6169" t="inlineStr">
        <is>
          <t>Bergvik skog väst AB</t>
        </is>
      </c>
      <c r="G6169" t="n">
        <v>4.1</v>
      </c>
      <c r="H6169" t="n">
        <v>0</v>
      </c>
      <c r="I6169" t="n">
        <v>0</v>
      </c>
      <c r="J6169" t="n">
        <v>0</v>
      </c>
      <c r="K6169" t="n">
        <v>0</v>
      </c>
      <c r="L6169" t="n">
        <v>0</v>
      </c>
      <c r="M6169" t="n">
        <v>0</v>
      </c>
      <c r="N6169" t="n">
        <v>0</v>
      </c>
      <c r="O6169" t="n">
        <v>0</v>
      </c>
      <c r="P6169" t="n">
        <v>0</v>
      </c>
      <c r="Q6169" t="n">
        <v>0</v>
      </c>
      <c r="R6169" s="2" t="inlineStr"/>
    </row>
    <row r="6170" ht="15" customHeight="1">
      <c r="A6170" t="inlineStr">
        <is>
          <t>A 60715-2022</t>
        </is>
      </c>
      <c r="B6170" s="1" t="n">
        <v>44912</v>
      </c>
      <c r="C6170" s="1" t="n">
        <v>46114</v>
      </c>
      <c r="D6170" t="inlineStr">
        <is>
          <t>DALARNAS LÄN</t>
        </is>
      </c>
      <c r="E6170" t="inlineStr">
        <is>
          <t>LEKSAND</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37870-2022</t>
        </is>
      </c>
      <c r="B6171" s="1" t="n">
        <v>44811.36627314815</v>
      </c>
      <c r="C6171" s="1" t="n">
        <v>46114</v>
      </c>
      <c r="D6171" t="inlineStr">
        <is>
          <t>DALARNAS LÄN</t>
        </is>
      </c>
      <c r="E6171" t="inlineStr">
        <is>
          <t>GAGNEF</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3132-2025</t>
        </is>
      </c>
      <c r="B6172" s="1" t="n">
        <v>45678</v>
      </c>
      <c r="C6172" s="1" t="n">
        <v>46114</v>
      </c>
      <c r="D6172" t="inlineStr">
        <is>
          <t>DALARNAS LÄN</t>
        </is>
      </c>
      <c r="E6172" t="inlineStr">
        <is>
          <t>FALUN</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3167-2025</t>
        </is>
      </c>
      <c r="B6173" s="1" t="n">
        <v>45679</v>
      </c>
      <c r="C6173" s="1" t="n">
        <v>46114</v>
      </c>
      <c r="D6173" t="inlineStr">
        <is>
          <t>DALARNAS LÄN</t>
        </is>
      </c>
      <c r="E6173" t="inlineStr">
        <is>
          <t>VANSBRO</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3170-2025</t>
        </is>
      </c>
      <c r="B6174" s="1" t="n">
        <v>45679.36682870371</v>
      </c>
      <c r="C6174" s="1" t="n">
        <v>46114</v>
      </c>
      <c r="D6174" t="inlineStr">
        <is>
          <t>DALARNAS LÄN</t>
        </is>
      </c>
      <c r="E6174" t="inlineStr">
        <is>
          <t>LUDVIKA</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3172-2025</t>
        </is>
      </c>
      <c r="B6175" s="1" t="n">
        <v>45679</v>
      </c>
      <c r="C6175" s="1" t="n">
        <v>46114</v>
      </c>
      <c r="D6175" t="inlineStr">
        <is>
          <t>DALARNAS LÄN</t>
        </is>
      </c>
      <c r="E6175" t="inlineStr">
        <is>
          <t>MALUNG-SÄLEN</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33513-2024</t>
        </is>
      </c>
      <c r="B6176" s="1" t="n">
        <v>45519.644375</v>
      </c>
      <c r="C6176" s="1" t="n">
        <v>46114</v>
      </c>
      <c r="D6176" t="inlineStr">
        <is>
          <t>DALARNAS LÄN</t>
        </is>
      </c>
      <c r="E6176" t="inlineStr">
        <is>
          <t>MORA</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58979-2025</t>
        </is>
      </c>
      <c r="B6177" s="1" t="n">
        <v>45987.63214120371</v>
      </c>
      <c r="C6177" s="1" t="n">
        <v>46114</v>
      </c>
      <c r="D6177" t="inlineStr">
        <is>
          <t>DALARNAS LÄN</t>
        </is>
      </c>
      <c r="E6177" t="inlineStr">
        <is>
          <t>SMEDJEBACKEN</t>
        </is>
      </c>
      <c r="F6177" t="inlineStr">
        <is>
          <t>Sveaskog</t>
        </is>
      </c>
      <c r="G6177" t="n">
        <v>5.9</v>
      </c>
      <c r="H6177" t="n">
        <v>0</v>
      </c>
      <c r="I6177" t="n">
        <v>0</v>
      </c>
      <c r="J6177" t="n">
        <v>0</v>
      </c>
      <c r="K6177" t="n">
        <v>0</v>
      </c>
      <c r="L6177" t="n">
        <v>0</v>
      </c>
      <c r="M6177" t="n">
        <v>0</v>
      </c>
      <c r="N6177" t="n">
        <v>0</v>
      </c>
      <c r="O6177" t="n">
        <v>0</v>
      </c>
      <c r="P6177" t="n">
        <v>0</v>
      </c>
      <c r="Q6177" t="n">
        <v>0</v>
      </c>
      <c r="R6177" s="2" t="inlineStr"/>
    </row>
    <row r="6178" ht="15" customHeight="1">
      <c r="A6178" t="inlineStr">
        <is>
          <t>A 59048-2025</t>
        </is>
      </c>
      <c r="B6178" s="1" t="n">
        <v>45987</v>
      </c>
      <c r="C6178" s="1" t="n">
        <v>46114</v>
      </c>
      <c r="D6178" t="inlineStr">
        <is>
          <t>DALARNAS LÄN</t>
        </is>
      </c>
      <c r="E6178" t="inlineStr">
        <is>
          <t>MALUNG-SÄLEN</t>
        </is>
      </c>
      <c r="G6178" t="n">
        <v>9.300000000000001</v>
      </c>
      <c r="H6178" t="n">
        <v>0</v>
      </c>
      <c r="I6178" t="n">
        <v>0</v>
      </c>
      <c r="J6178" t="n">
        <v>0</v>
      </c>
      <c r="K6178" t="n">
        <v>0</v>
      </c>
      <c r="L6178" t="n">
        <v>0</v>
      </c>
      <c r="M6178" t="n">
        <v>0</v>
      </c>
      <c r="N6178" t="n">
        <v>0</v>
      </c>
      <c r="O6178" t="n">
        <v>0</v>
      </c>
      <c r="P6178" t="n">
        <v>0</v>
      </c>
      <c r="Q6178" t="n">
        <v>0</v>
      </c>
      <c r="R6178" s="2" t="inlineStr"/>
    </row>
    <row r="6179" ht="15" customHeight="1">
      <c r="A6179" t="inlineStr">
        <is>
          <t>A 58647-2025</t>
        </is>
      </c>
      <c r="B6179" s="1" t="n">
        <v>45986.50476851852</v>
      </c>
      <c r="C6179" s="1" t="n">
        <v>46114</v>
      </c>
      <c r="D6179" t="inlineStr">
        <is>
          <t>DALARNAS LÄN</t>
        </is>
      </c>
      <c r="E6179" t="inlineStr">
        <is>
          <t>ORSA</t>
        </is>
      </c>
      <c r="G6179" t="n">
        <v>2.8</v>
      </c>
      <c r="H6179" t="n">
        <v>0</v>
      </c>
      <c r="I6179" t="n">
        <v>0</v>
      </c>
      <c r="J6179" t="n">
        <v>0</v>
      </c>
      <c r="K6179" t="n">
        <v>0</v>
      </c>
      <c r="L6179" t="n">
        <v>0</v>
      </c>
      <c r="M6179" t="n">
        <v>0</v>
      </c>
      <c r="N6179" t="n">
        <v>0</v>
      </c>
      <c r="O6179" t="n">
        <v>0</v>
      </c>
      <c r="P6179" t="n">
        <v>0</v>
      </c>
      <c r="Q6179" t="n">
        <v>0</v>
      </c>
      <c r="R6179" s="2" t="inlineStr"/>
    </row>
    <row r="6180" ht="15" customHeight="1">
      <c r="A6180" t="inlineStr">
        <is>
          <t>A 58886-2025</t>
        </is>
      </c>
      <c r="B6180" s="1" t="n">
        <v>45987.48171296297</v>
      </c>
      <c r="C6180" s="1" t="n">
        <v>46114</v>
      </c>
      <c r="D6180" t="inlineStr">
        <is>
          <t>DALARNAS LÄN</t>
        </is>
      </c>
      <c r="E6180" t="inlineStr">
        <is>
          <t>ORSA</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58706-2025</t>
        </is>
      </c>
      <c r="B6181" s="1" t="n">
        <v>45986.60123842592</v>
      </c>
      <c r="C6181" s="1" t="n">
        <v>46114</v>
      </c>
      <c r="D6181" t="inlineStr">
        <is>
          <t>DALARNAS LÄN</t>
        </is>
      </c>
      <c r="E6181" t="inlineStr">
        <is>
          <t>BORLÄNGE</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58714-2025</t>
        </is>
      </c>
      <c r="B6182" s="1" t="n">
        <v>45986.61253472222</v>
      </c>
      <c r="C6182" s="1" t="n">
        <v>46114</v>
      </c>
      <c r="D6182" t="inlineStr">
        <is>
          <t>DALARNAS LÄN</t>
        </is>
      </c>
      <c r="E6182" t="inlineStr">
        <is>
          <t>RÄTTVIK</t>
        </is>
      </c>
      <c r="G6182" t="n">
        <v>7.3</v>
      </c>
      <c r="H6182" t="n">
        <v>0</v>
      </c>
      <c r="I6182" t="n">
        <v>0</v>
      </c>
      <c r="J6182" t="n">
        <v>0</v>
      </c>
      <c r="K6182" t="n">
        <v>0</v>
      </c>
      <c r="L6182" t="n">
        <v>0</v>
      </c>
      <c r="M6182" t="n">
        <v>0</v>
      </c>
      <c r="N6182" t="n">
        <v>0</v>
      </c>
      <c r="O6182" t="n">
        <v>0</v>
      </c>
      <c r="P6182" t="n">
        <v>0</v>
      </c>
      <c r="Q6182" t="n">
        <v>0</v>
      </c>
      <c r="R6182" s="2" t="inlineStr"/>
    </row>
    <row r="6183" ht="15" customHeight="1">
      <c r="A6183" t="inlineStr">
        <is>
          <t>A 53119-2022</t>
        </is>
      </c>
      <c r="B6183" s="1" t="n">
        <v>44876</v>
      </c>
      <c r="C6183" s="1" t="n">
        <v>46114</v>
      </c>
      <c r="D6183" t="inlineStr">
        <is>
          <t>DALARNAS LÄN</t>
        </is>
      </c>
      <c r="E6183" t="inlineStr">
        <is>
          <t>AVESTA</t>
        </is>
      </c>
      <c r="F6183" t="inlineStr">
        <is>
          <t>Kyrkan</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58683-2025</t>
        </is>
      </c>
      <c r="B6184" s="1" t="n">
        <v>45986.56949074074</v>
      </c>
      <c r="C6184" s="1" t="n">
        <v>46114</v>
      </c>
      <c r="D6184" t="inlineStr">
        <is>
          <t>DALARNAS LÄN</t>
        </is>
      </c>
      <c r="E6184" t="inlineStr">
        <is>
          <t>ORSA</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54548-2025</t>
        </is>
      </c>
      <c r="B6185" s="1" t="n">
        <v>45965.6534837963</v>
      </c>
      <c r="C6185" s="1" t="n">
        <v>46114</v>
      </c>
      <c r="D6185" t="inlineStr">
        <is>
          <t>DALARNAS LÄN</t>
        </is>
      </c>
      <c r="E6185" t="inlineStr">
        <is>
          <t>MORA</t>
        </is>
      </c>
      <c r="G6185" t="n">
        <v>2.3</v>
      </c>
      <c r="H6185" t="n">
        <v>0</v>
      </c>
      <c r="I6185" t="n">
        <v>0</v>
      </c>
      <c r="J6185" t="n">
        <v>0</v>
      </c>
      <c r="K6185" t="n">
        <v>0</v>
      </c>
      <c r="L6185" t="n">
        <v>0</v>
      </c>
      <c r="M6185" t="n">
        <v>0</v>
      </c>
      <c r="N6185" t="n">
        <v>0</v>
      </c>
      <c r="O6185" t="n">
        <v>0</v>
      </c>
      <c r="P6185" t="n">
        <v>0</v>
      </c>
      <c r="Q6185" t="n">
        <v>0</v>
      </c>
      <c r="R6185" s="2" t="inlineStr"/>
    </row>
    <row r="6186" ht="15" customHeight="1">
      <c r="A6186" t="inlineStr">
        <is>
          <t>A 39377-2024</t>
        </is>
      </c>
      <c r="B6186" s="1" t="n">
        <v>45551.4868287037</v>
      </c>
      <c r="C6186" s="1" t="n">
        <v>46114</v>
      </c>
      <c r="D6186" t="inlineStr">
        <is>
          <t>DALARNAS LÄN</t>
        </is>
      </c>
      <c r="E6186" t="inlineStr">
        <is>
          <t>BORLÄNGE</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35040-2023</t>
        </is>
      </c>
      <c r="B6187" s="1" t="n">
        <v>45145.36853009259</v>
      </c>
      <c r="C6187" s="1" t="n">
        <v>46114</v>
      </c>
      <c r="D6187" t="inlineStr">
        <is>
          <t>DALARNAS LÄN</t>
        </is>
      </c>
      <c r="E6187" t="inlineStr">
        <is>
          <t>MORA</t>
        </is>
      </c>
      <c r="G6187" t="n">
        <v>2.1</v>
      </c>
      <c r="H6187" t="n">
        <v>0</v>
      </c>
      <c r="I6187" t="n">
        <v>0</v>
      </c>
      <c r="J6187" t="n">
        <v>0</v>
      </c>
      <c r="K6187" t="n">
        <v>0</v>
      </c>
      <c r="L6187" t="n">
        <v>0</v>
      </c>
      <c r="M6187" t="n">
        <v>0</v>
      </c>
      <c r="N6187" t="n">
        <v>0</v>
      </c>
      <c r="O6187" t="n">
        <v>0</v>
      </c>
      <c r="P6187" t="n">
        <v>0</v>
      </c>
      <c r="Q6187" t="n">
        <v>0</v>
      </c>
      <c r="R6187" s="2" t="inlineStr"/>
    </row>
    <row r="6188" ht="15" customHeight="1">
      <c r="A6188" t="inlineStr">
        <is>
          <t>A 54420-2024</t>
        </is>
      </c>
      <c r="B6188" s="1" t="n">
        <v>45617.48462962963</v>
      </c>
      <c r="C6188" s="1" t="n">
        <v>46114</v>
      </c>
      <c r="D6188" t="inlineStr">
        <is>
          <t>DALARNAS LÄN</t>
        </is>
      </c>
      <c r="E6188" t="inlineStr">
        <is>
          <t>BORLÄNGE</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59372-2025</t>
        </is>
      </c>
      <c r="B6189" s="1" t="n">
        <v>45989.44923611111</v>
      </c>
      <c r="C6189" s="1" t="n">
        <v>46114</v>
      </c>
      <c r="D6189" t="inlineStr">
        <is>
          <t>DALARNAS LÄN</t>
        </is>
      </c>
      <c r="E6189" t="inlineStr">
        <is>
          <t>MALUNG-SÄLEN</t>
        </is>
      </c>
      <c r="F6189" t="inlineStr">
        <is>
          <t>Bergvik skog väst AB</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59190-2025</t>
        </is>
      </c>
      <c r="B6190" s="1" t="n">
        <v>45988.58940972222</v>
      </c>
      <c r="C6190" s="1" t="n">
        <v>46114</v>
      </c>
      <c r="D6190" t="inlineStr">
        <is>
          <t>DALARNAS LÄN</t>
        </is>
      </c>
      <c r="E6190" t="inlineStr">
        <is>
          <t>FALUN</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5260-2025</t>
        </is>
      </c>
      <c r="B6191" s="1" t="n">
        <v>45692.36865740741</v>
      </c>
      <c r="C6191" s="1" t="n">
        <v>46114</v>
      </c>
      <c r="D6191" t="inlineStr">
        <is>
          <t>DALARNAS LÄN</t>
        </is>
      </c>
      <c r="E6191" t="inlineStr">
        <is>
          <t>BORLÄNGE</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59204-2025</t>
        </is>
      </c>
      <c r="B6192" s="1" t="n">
        <v>45988.6047800926</v>
      </c>
      <c r="C6192" s="1" t="n">
        <v>46114</v>
      </c>
      <c r="D6192" t="inlineStr">
        <is>
          <t>DALARNAS LÄN</t>
        </is>
      </c>
      <c r="E6192" t="inlineStr">
        <is>
          <t>VANSBRO</t>
        </is>
      </c>
      <c r="F6192" t="inlineStr">
        <is>
          <t>Bergvik skog öst AB</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59223-2025</t>
        </is>
      </c>
      <c r="B6193" s="1" t="n">
        <v>45988.61914351852</v>
      </c>
      <c r="C6193" s="1" t="n">
        <v>46114</v>
      </c>
      <c r="D6193" t="inlineStr">
        <is>
          <t>DALARNAS LÄN</t>
        </is>
      </c>
      <c r="E6193" t="inlineStr">
        <is>
          <t>FALUN</t>
        </is>
      </c>
      <c r="G6193" t="n">
        <v>8.800000000000001</v>
      </c>
      <c r="H6193" t="n">
        <v>0</v>
      </c>
      <c r="I6193" t="n">
        <v>0</v>
      </c>
      <c r="J6193" t="n">
        <v>0</v>
      </c>
      <c r="K6193" t="n">
        <v>0</v>
      </c>
      <c r="L6193" t="n">
        <v>0</v>
      </c>
      <c r="M6193" t="n">
        <v>0</v>
      </c>
      <c r="N6193" t="n">
        <v>0</v>
      </c>
      <c r="O6193" t="n">
        <v>0</v>
      </c>
      <c r="P6193" t="n">
        <v>0</v>
      </c>
      <c r="Q6193" t="n">
        <v>0</v>
      </c>
      <c r="R6193" s="2" t="inlineStr"/>
    </row>
    <row r="6194" ht="15" customHeight="1">
      <c r="A6194" t="inlineStr">
        <is>
          <t>A 15619-2025</t>
        </is>
      </c>
      <c r="B6194" s="1" t="n">
        <v>45747</v>
      </c>
      <c r="C6194" s="1" t="n">
        <v>46114</v>
      </c>
      <c r="D6194" t="inlineStr">
        <is>
          <t>DALARNAS LÄN</t>
        </is>
      </c>
      <c r="E6194" t="inlineStr">
        <is>
          <t>LEKSAND</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59153-2025</t>
        </is>
      </c>
      <c r="B6195" s="1" t="n">
        <v>45988.53334490741</v>
      </c>
      <c r="C6195" s="1" t="n">
        <v>46114</v>
      </c>
      <c r="D6195" t="inlineStr">
        <is>
          <t>DALARNAS LÄN</t>
        </is>
      </c>
      <c r="E6195" t="inlineStr">
        <is>
          <t>VANSBRO</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31270-2022</t>
        </is>
      </c>
      <c r="B6196" s="1" t="n">
        <v>44771.61702546296</v>
      </c>
      <c r="C6196" s="1" t="n">
        <v>46114</v>
      </c>
      <c r="D6196" t="inlineStr">
        <is>
          <t>DALARNAS LÄN</t>
        </is>
      </c>
      <c r="E6196" t="inlineStr">
        <is>
          <t>LUDVIKA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31326-2022</t>
        </is>
      </c>
      <c r="B6197" s="1" t="n">
        <v>44774</v>
      </c>
      <c r="C6197" s="1" t="n">
        <v>46114</v>
      </c>
      <c r="D6197" t="inlineStr">
        <is>
          <t>DALARNAS LÄN</t>
        </is>
      </c>
      <c r="E6197" t="inlineStr">
        <is>
          <t>SMEDJEBACKEN</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42985-2025</t>
        </is>
      </c>
      <c r="B6198" s="1" t="n">
        <v>45909.44322916667</v>
      </c>
      <c r="C6198" s="1" t="n">
        <v>46114</v>
      </c>
      <c r="D6198" t="inlineStr">
        <is>
          <t>DALARNAS LÄN</t>
        </is>
      </c>
      <c r="E6198" t="inlineStr">
        <is>
          <t>LUDVIKA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16880-2025</t>
        </is>
      </c>
      <c r="B6199" s="1" t="n">
        <v>45755.29549768518</v>
      </c>
      <c r="C6199" s="1" t="n">
        <v>46114</v>
      </c>
      <c r="D6199" t="inlineStr">
        <is>
          <t>DALARNAS LÄN</t>
        </is>
      </c>
      <c r="E6199" t="inlineStr">
        <is>
          <t>RÄTTVIK</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59439-2025</t>
        </is>
      </c>
      <c r="B6200" s="1" t="n">
        <v>45989</v>
      </c>
      <c r="C6200" s="1" t="n">
        <v>46114</v>
      </c>
      <c r="D6200" t="inlineStr">
        <is>
          <t>DALARNAS LÄN</t>
        </is>
      </c>
      <c r="E6200" t="inlineStr">
        <is>
          <t>LUDVIKA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16540-2025</t>
        </is>
      </c>
      <c r="B6201" s="1" t="n">
        <v>45751.66671296296</v>
      </c>
      <c r="C6201" s="1" t="n">
        <v>46114</v>
      </c>
      <c r="D6201" t="inlineStr">
        <is>
          <t>DALARNAS LÄN</t>
        </is>
      </c>
      <c r="E6201" t="inlineStr">
        <is>
          <t>FALUN</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55579-2024</t>
        </is>
      </c>
      <c r="B6202" s="1" t="n">
        <v>45621</v>
      </c>
      <c r="C6202" s="1" t="n">
        <v>46114</v>
      </c>
      <c r="D6202" t="inlineStr">
        <is>
          <t>DALARNAS LÄN</t>
        </is>
      </c>
      <c r="E6202" t="inlineStr">
        <is>
          <t>MALUNG-SÄLEN</t>
        </is>
      </c>
      <c r="F6202" t="inlineStr">
        <is>
          <t>Allmännings- och besparingsskogar</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55135-2025</t>
        </is>
      </c>
      <c r="B6203" s="1" t="n">
        <v>45968.42591435185</v>
      </c>
      <c r="C6203" s="1" t="n">
        <v>46114</v>
      </c>
      <c r="D6203" t="inlineStr">
        <is>
          <t>DALARNAS LÄN</t>
        </is>
      </c>
      <c r="E6203" t="inlineStr">
        <is>
          <t>MORA</t>
        </is>
      </c>
      <c r="G6203" t="n">
        <v>5.1</v>
      </c>
      <c r="H6203" t="n">
        <v>0</v>
      </c>
      <c r="I6203" t="n">
        <v>0</v>
      </c>
      <c r="J6203" t="n">
        <v>0</v>
      </c>
      <c r="K6203" t="n">
        <v>0</v>
      </c>
      <c r="L6203" t="n">
        <v>0</v>
      </c>
      <c r="M6203" t="n">
        <v>0</v>
      </c>
      <c r="N6203" t="n">
        <v>0</v>
      </c>
      <c r="O6203" t="n">
        <v>0</v>
      </c>
      <c r="P6203" t="n">
        <v>0</v>
      </c>
      <c r="Q6203" t="n">
        <v>0</v>
      </c>
      <c r="R6203" s="2" t="inlineStr"/>
    </row>
    <row r="6204" ht="15" customHeight="1">
      <c r="A6204" t="inlineStr">
        <is>
          <t>A 59171-2025</t>
        </is>
      </c>
      <c r="B6204" s="1" t="n">
        <v>45988</v>
      </c>
      <c r="C6204" s="1" t="n">
        <v>46114</v>
      </c>
      <c r="D6204" t="inlineStr">
        <is>
          <t>DALARNAS LÄN</t>
        </is>
      </c>
      <c r="E6204" t="inlineStr">
        <is>
          <t>LUDVIKA</t>
        </is>
      </c>
      <c r="F6204" t="inlineStr">
        <is>
          <t>Bergvik skog väst AB</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47086-2025</t>
        </is>
      </c>
      <c r="B6205" s="1" t="n">
        <v>45929.6437962963</v>
      </c>
      <c r="C6205" s="1" t="n">
        <v>46114</v>
      </c>
      <c r="D6205" t="inlineStr">
        <is>
          <t>DALARNAS LÄN</t>
        </is>
      </c>
      <c r="E6205" t="inlineStr">
        <is>
          <t>LUDVIKA</t>
        </is>
      </c>
      <c r="F6205" t="inlineStr">
        <is>
          <t>Bergvik skog väst AB</t>
        </is>
      </c>
      <c r="G6205" t="n">
        <v>1.6</v>
      </c>
      <c r="H6205" t="n">
        <v>0</v>
      </c>
      <c r="I6205" t="n">
        <v>0</v>
      </c>
      <c r="J6205" t="n">
        <v>0</v>
      </c>
      <c r="K6205" t="n">
        <v>0</v>
      </c>
      <c r="L6205" t="n">
        <v>0</v>
      </c>
      <c r="M6205" t="n">
        <v>0</v>
      </c>
      <c r="N6205" t="n">
        <v>0</v>
      </c>
      <c r="O6205" t="n">
        <v>0</v>
      </c>
      <c r="P6205" t="n">
        <v>0</v>
      </c>
      <c r="Q6205" t="n">
        <v>0</v>
      </c>
      <c r="R6205" s="2" t="inlineStr"/>
    </row>
    <row r="6206" ht="15" customHeight="1">
      <c r="A6206" t="inlineStr">
        <is>
          <t>A 49241-2025</t>
        </is>
      </c>
      <c r="B6206" s="1" t="n">
        <v>45938</v>
      </c>
      <c r="C6206" s="1" t="n">
        <v>46114</v>
      </c>
      <c r="D6206" t="inlineStr">
        <is>
          <t>DALARNAS LÄN</t>
        </is>
      </c>
      <c r="E6206" t="inlineStr">
        <is>
          <t>MALUNG-SÄLEN</t>
        </is>
      </c>
      <c r="F6206" t="inlineStr">
        <is>
          <t>Bergvik skog väst AB</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47032-2025</t>
        </is>
      </c>
      <c r="B6207" s="1" t="n">
        <v>45929.59041666667</v>
      </c>
      <c r="C6207" s="1" t="n">
        <v>46114</v>
      </c>
      <c r="D6207" t="inlineStr">
        <is>
          <t>DALARNAS LÄN</t>
        </is>
      </c>
      <c r="E6207" t="inlineStr">
        <is>
          <t>LUDVIKA</t>
        </is>
      </c>
      <c r="F6207" t="inlineStr">
        <is>
          <t>Bergvik skog väst AB</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55708-2024</t>
        </is>
      </c>
      <c r="B6208" s="1" t="n">
        <v>45622.69833333333</v>
      </c>
      <c r="C6208" s="1" t="n">
        <v>46114</v>
      </c>
      <c r="D6208" t="inlineStr">
        <is>
          <t>DALARNAS LÄN</t>
        </is>
      </c>
      <c r="E6208" t="inlineStr">
        <is>
          <t>RÄTTVIK</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37574-2025</t>
        </is>
      </c>
      <c r="B6209" s="1" t="n">
        <v>45880.37949074074</v>
      </c>
      <c r="C6209" s="1" t="n">
        <v>46114</v>
      </c>
      <c r="D6209" t="inlineStr">
        <is>
          <t>DALARNAS LÄN</t>
        </is>
      </c>
      <c r="E6209" t="inlineStr">
        <is>
          <t>HEDEMORA</t>
        </is>
      </c>
      <c r="F6209" t="inlineStr">
        <is>
          <t>Sveaskog</t>
        </is>
      </c>
      <c r="G6209" t="n">
        <v>5.7</v>
      </c>
      <c r="H6209" t="n">
        <v>0</v>
      </c>
      <c r="I6209" t="n">
        <v>0</v>
      </c>
      <c r="J6209" t="n">
        <v>0</v>
      </c>
      <c r="K6209" t="n">
        <v>0</v>
      </c>
      <c r="L6209" t="n">
        <v>0</v>
      </c>
      <c r="M6209" t="n">
        <v>0</v>
      </c>
      <c r="N6209" t="n">
        <v>0</v>
      </c>
      <c r="O6209" t="n">
        <v>0</v>
      </c>
      <c r="P6209" t="n">
        <v>0</v>
      </c>
      <c r="Q6209" t="n">
        <v>0</v>
      </c>
      <c r="R6209" s="2" t="inlineStr"/>
    </row>
    <row r="6210" ht="15" customHeight="1">
      <c r="A6210" t="inlineStr">
        <is>
          <t>A 21954-2023</t>
        </is>
      </c>
      <c r="B6210" s="1" t="n">
        <v>45068</v>
      </c>
      <c r="C6210" s="1" t="n">
        <v>46114</v>
      </c>
      <c r="D6210" t="inlineStr">
        <is>
          <t>DALARNAS LÄN</t>
        </is>
      </c>
      <c r="E6210" t="inlineStr">
        <is>
          <t>LEKSAND</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59413-2025</t>
        </is>
      </c>
      <c r="B6211" s="1" t="n">
        <v>45989.49912037037</v>
      </c>
      <c r="C6211" s="1" t="n">
        <v>46114</v>
      </c>
      <c r="D6211" t="inlineStr">
        <is>
          <t>DALARNAS LÄN</t>
        </is>
      </c>
      <c r="E6211" t="inlineStr">
        <is>
          <t>RÄTTVIK</t>
        </is>
      </c>
      <c r="G6211" t="n">
        <v>3.6</v>
      </c>
      <c r="H6211" t="n">
        <v>0</v>
      </c>
      <c r="I6211" t="n">
        <v>0</v>
      </c>
      <c r="J6211" t="n">
        <v>0</v>
      </c>
      <c r="K6211" t="n">
        <v>0</v>
      </c>
      <c r="L6211" t="n">
        <v>0</v>
      </c>
      <c r="M6211" t="n">
        <v>0</v>
      </c>
      <c r="N6211" t="n">
        <v>0</v>
      </c>
      <c r="O6211" t="n">
        <v>0</v>
      </c>
      <c r="P6211" t="n">
        <v>0</v>
      </c>
      <c r="Q6211" t="n">
        <v>0</v>
      </c>
      <c r="R6211" s="2" t="inlineStr"/>
    </row>
    <row r="6212" ht="15" customHeight="1">
      <c r="A6212" t="inlineStr">
        <is>
          <t>A 59518-2025</t>
        </is>
      </c>
      <c r="B6212" s="1" t="n">
        <v>45989</v>
      </c>
      <c r="C6212" s="1" t="n">
        <v>46114</v>
      </c>
      <c r="D6212" t="inlineStr">
        <is>
          <t>DALARNAS LÄN</t>
        </is>
      </c>
      <c r="E6212" t="inlineStr">
        <is>
          <t>LUDVIKA</t>
        </is>
      </c>
      <c r="F6212" t="inlineStr">
        <is>
          <t>Bergvik skog väst AB</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59528-2025</t>
        </is>
      </c>
      <c r="B6213" s="1" t="n">
        <v>45989</v>
      </c>
      <c r="C6213" s="1" t="n">
        <v>46114</v>
      </c>
      <c r="D6213" t="inlineStr">
        <is>
          <t>DALARNAS LÄN</t>
        </is>
      </c>
      <c r="E6213" t="inlineStr">
        <is>
          <t>LUDVIKA</t>
        </is>
      </c>
      <c r="F6213" t="inlineStr">
        <is>
          <t>Bergvik skog väst AB</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59378-2025</t>
        </is>
      </c>
      <c r="B6214" s="1" t="n">
        <v>45989.45113425926</v>
      </c>
      <c r="C6214" s="1" t="n">
        <v>46114</v>
      </c>
      <c r="D6214" t="inlineStr">
        <is>
          <t>DALARNAS LÄN</t>
        </is>
      </c>
      <c r="E6214" t="inlineStr">
        <is>
          <t>MALUNG-SÄLEN</t>
        </is>
      </c>
      <c r="F6214" t="inlineStr">
        <is>
          <t>Bergvik skog väst AB</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37573-2025</t>
        </is>
      </c>
      <c r="B6215" s="1" t="n">
        <v>45880.37711805556</v>
      </c>
      <c r="C6215" s="1" t="n">
        <v>46114</v>
      </c>
      <c r="D6215" t="inlineStr">
        <is>
          <t>DALARNAS LÄN</t>
        </is>
      </c>
      <c r="E6215" t="inlineStr">
        <is>
          <t>HEDEMORA</t>
        </is>
      </c>
      <c r="F6215" t="inlineStr">
        <is>
          <t>Sveaskog</t>
        </is>
      </c>
      <c r="G6215" t="n">
        <v>7</v>
      </c>
      <c r="H6215" t="n">
        <v>0</v>
      </c>
      <c r="I6215" t="n">
        <v>0</v>
      </c>
      <c r="J6215" t="n">
        <v>0</v>
      </c>
      <c r="K6215" t="n">
        <v>0</v>
      </c>
      <c r="L6215" t="n">
        <v>0</v>
      </c>
      <c r="M6215" t="n">
        <v>0</v>
      </c>
      <c r="N6215" t="n">
        <v>0</v>
      </c>
      <c r="O6215" t="n">
        <v>0</v>
      </c>
      <c r="P6215" t="n">
        <v>0</v>
      </c>
      <c r="Q6215" t="n">
        <v>0</v>
      </c>
      <c r="R6215" s="2" t="inlineStr"/>
    </row>
    <row r="6216" ht="15" customHeight="1">
      <c r="A6216" t="inlineStr">
        <is>
          <t>A 53029-2024</t>
        </is>
      </c>
      <c r="B6216" s="1" t="n">
        <v>45611</v>
      </c>
      <c r="C6216" s="1" t="n">
        <v>46114</v>
      </c>
      <c r="D6216" t="inlineStr">
        <is>
          <t>DALARNAS LÄN</t>
        </is>
      </c>
      <c r="E6216" t="inlineStr">
        <is>
          <t>FALUN</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59483-2025</t>
        </is>
      </c>
      <c r="B6217" s="1" t="n">
        <v>45989.59152777777</v>
      </c>
      <c r="C6217" s="1" t="n">
        <v>46114</v>
      </c>
      <c r="D6217" t="inlineStr">
        <is>
          <t>DALARNAS LÄN</t>
        </is>
      </c>
      <c r="E6217" t="inlineStr">
        <is>
          <t>FALUN</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59106-2025</t>
        </is>
      </c>
      <c r="B6218" s="1" t="n">
        <v>45988.46891203704</v>
      </c>
      <c r="C6218" s="1" t="n">
        <v>46114</v>
      </c>
      <c r="D6218" t="inlineStr">
        <is>
          <t>DALARNAS LÄN</t>
        </is>
      </c>
      <c r="E6218" t="inlineStr">
        <is>
          <t>LEKSAND</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59060-2025</t>
        </is>
      </c>
      <c r="B6219" s="1" t="n">
        <v>45988.40418981481</v>
      </c>
      <c r="C6219" s="1" t="n">
        <v>46114</v>
      </c>
      <c r="D6219" t="inlineStr">
        <is>
          <t>DALARNAS LÄN</t>
        </is>
      </c>
      <c r="E6219" t="inlineStr">
        <is>
          <t>RÄTTVIK</t>
        </is>
      </c>
      <c r="F6219" t="inlineStr">
        <is>
          <t>Bergvik skog väst AB</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46871-2023</t>
        </is>
      </c>
      <c r="B6220" s="1" t="n">
        <v>45200.8262962963</v>
      </c>
      <c r="C6220" s="1" t="n">
        <v>46114</v>
      </c>
      <c r="D6220" t="inlineStr">
        <is>
          <t>DALARNAS LÄN</t>
        </is>
      </c>
      <c r="E6220" t="inlineStr">
        <is>
          <t>FALUN</t>
        </is>
      </c>
      <c r="G6220" t="n">
        <v>2.8</v>
      </c>
      <c r="H6220" t="n">
        <v>0</v>
      </c>
      <c r="I6220" t="n">
        <v>0</v>
      </c>
      <c r="J6220" t="n">
        <v>0</v>
      </c>
      <c r="K6220" t="n">
        <v>0</v>
      </c>
      <c r="L6220" t="n">
        <v>0</v>
      </c>
      <c r="M6220" t="n">
        <v>0</v>
      </c>
      <c r="N6220" t="n">
        <v>0</v>
      </c>
      <c r="O6220" t="n">
        <v>0</v>
      </c>
      <c r="P6220" t="n">
        <v>0</v>
      </c>
      <c r="Q6220" t="n">
        <v>0</v>
      </c>
      <c r="R6220" s="2" t="inlineStr"/>
    </row>
    <row r="6221" ht="15" customHeight="1">
      <c r="A6221" t="inlineStr">
        <is>
          <t>A 38921-2025</t>
        </is>
      </c>
      <c r="B6221" s="1" t="n">
        <v>45887.62774305556</v>
      </c>
      <c r="C6221" s="1" t="n">
        <v>46114</v>
      </c>
      <c r="D6221" t="inlineStr">
        <is>
          <t>DALARNAS LÄN</t>
        </is>
      </c>
      <c r="E6221" t="inlineStr">
        <is>
          <t>LUDVIKA</t>
        </is>
      </c>
      <c r="F6221" t="inlineStr">
        <is>
          <t>Bergvik skog väst AB</t>
        </is>
      </c>
      <c r="G6221" t="n">
        <v>3.2</v>
      </c>
      <c r="H6221" t="n">
        <v>0</v>
      </c>
      <c r="I6221" t="n">
        <v>0</v>
      </c>
      <c r="J6221" t="n">
        <v>0</v>
      </c>
      <c r="K6221" t="n">
        <v>0</v>
      </c>
      <c r="L6221" t="n">
        <v>0</v>
      </c>
      <c r="M6221" t="n">
        <v>0</v>
      </c>
      <c r="N6221" t="n">
        <v>0</v>
      </c>
      <c r="O6221" t="n">
        <v>0</v>
      </c>
      <c r="P6221" t="n">
        <v>0</v>
      </c>
      <c r="Q6221" t="n">
        <v>0</v>
      </c>
      <c r="R6221" s="2" t="inlineStr"/>
    </row>
    <row r="6222" ht="15" customHeight="1">
      <c r="A6222" t="inlineStr">
        <is>
          <t>A 39833-2025</t>
        </is>
      </c>
      <c r="B6222" s="1" t="n">
        <v>45891.56180555555</v>
      </c>
      <c r="C6222" s="1" t="n">
        <v>46114</v>
      </c>
      <c r="D6222" t="inlineStr">
        <is>
          <t>DALARNAS LÄN</t>
        </is>
      </c>
      <c r="E6222" t="inlineStr">
        <is>
          <t>LUDVIKA</t>
        </is>
      </c>
      <c r="F6222" t="inlineStr">
        <is>
          <t>Bergvik skog väst AB</t>
        </is>
      </c>
      <c r="G6222" t="n">
        <v>1.7</v>
      </c>
      <c r="H6222" t="n">
        <v>0</v>
      </c>
      <c r="I6222" t="n">
        <v>0</v>
      </c>
      <c r="J6222" t="n">
        <v>0</v>
      </c>
      <c r="K6222" t="n">
        <v>0</v>
      </c>
      <c r="L6222" t="n">
        <v>0</v>
      </c>
      <c r="M6222" t="n">
        <v>0</v>
      </c>
      <c r="N6222" t="n">
        <v>0</v>
      </c>
      <c r="O6222" t="n">
        <v>0</v>
      </c>
      <c r="P6222" t="n">
        <v>0</v>
      </c>
      <c r="Q6222" t="n">
        <v>0</v>
      </c>
      <c r="R6222" s="2" t="inlineStr"/>
    </row>
    <row r="6223" ht="15" customHeight="1">
      <c r="A6223" t="inlineStr">
        <is>
          <t>A 41934-2025</t>
        </is>
      </c>
      <c r="B6223" s="1" t="n">
        <v>45903</v>
      </c>
      <c r="C6223" s="1" t="n">
        <v>46114</v>
      </c>
      <c r="D6223" t="inlineStr">
        <is>
          <t>DALARNAS LÄN</t>
        </is>
      </c>
      <c r="E6223" t="inlineStr">
        <is>
          <t>LEKSAND</t>
        </is>
      </c>
      <c r="F6223" t="inlineStr">
        <is>
          <t>Bergvik skog väst AB</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59176-2025</t>
        </is>
      </c>
      <c r="B6224" s="1" t="n">
        <v>45988</v>
      </c>
      <c r="C6224" s="1" t="n">
        <v>46114</v>
      </c>
      <c r="D6224" t="inlineStr">
        <is>
          <t>DALARNAS LÄN</t>
        </is>
      </c>
      <c r="E6224" t="inlineStr">
        <is>
          <t>LUDVIKA</t>
        </is>
      </c>
      <c r="F6224" t="inlineStr">
        <is>
          <t>Bergvik skog väst AB</t>
        </is>
      </c>
      <c r="G6224" t="n">
        <v>10</v>
      </c>
      <c r="H6224" t="n">
        <v>0</v>
      </c>
      <c r="I6224" t="n">
        <v>0</v>
      </c>
      <c r="J6224" t="n">
        <v>0</v>
      </c>
      <c r="K6224" t="n">
        <v>0</v>
      </c>
      <c r="L6224" t="n">
        <v>0</v>
      </c>
      <c r="M6224" t="n">
        <v>0</v>
      </c>
      <c r="N6224" t="n">
        <v>0</v>
      </c>
      <c r="O6224" t="n">
        <v>0</v>
      </c>
      <c r="P6224" t="n">
        <v>0</v>
      </c>
      <c r="Q6224" t="n">
        <v>0</v>
      </c>
      <c r="R6224" s="2" t="inlineStr"/>
    </row>
    <row r="6225" ht="15" customHeight="1">
      <c r="A6225" t="inlineStr">
        <is>
          <t>A 59193-2025</t>
        </is>
      </c>
      <c r="B6225" s="1" t="n">
        <v>45988.59164351852</v>
      </c>
      <c r="C6225" s="1" t="n">
        <v>46114</v>
      </c>
      <c r="D6225" t="inlineStr">
        <is>
          <t>DALARNAS LÄN</t>
        </is>
      </c>
      <c r="E6225" t="inlineStr">
        <is>
          <t>FALUN</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42668-2024</t>
        </is>
      </c>
      <c r="B6226" s="1" t="n">
        <v>45566.36052083333</v>
      </c>
      <c r="C6226" s="1" t="n">
        <v>46114</v>
      </c>
      <c r="D6226" t="inlineStr">
        <is>
          <t>DALARNAS LÄN</t>
        </is>
      </c>
      <c r="E6226" t="inlineStr">
        <is>
          <t>BORLÄNGE</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42677-2024</t>
        </is>
      </c>
      <c r="B6227" s="1" t="n">
        <v>45566.37476851852</v>
      </c>
      <c r="C6227" s="1" t="n">
        <v>46114</v>
      </c>
      <c r="D6227" t="inlineStr">
        <is>
          <t>DALARNAS LÄN</t>
        </is>
      </c>
      <c r="E6227" t="inlineStr">
        <is>
          <t>GAGNEF</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60908-2023</t>
        </is>
      </c>
      <c r="B6228" s="1" t="n">
        <v>45261</v>
      </c>
      <c r="C6228" s="1" t="n">
        <v>46114</v>
      </c>
      <c r="D6228" t="inlineStr">
        <is>
          <t>DALARNAS LÄN</t>
        </is>
      </c>
      <c r="E6228" t="inlineStr">
        <is>
          <t>BORLÄNGE</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59186-2025</t>
        </is>
      </c>
      <c r="B6229" s="1" t="n">
        <v>45988</v>
      </c>
      <c r="C6229" s="1" t="n">
        <v>46114</v>
      </c>
      <c r="D6229" t="inlineStr">
        <is>
          <t>DALARNAS LÄN</t>
        </is>
      </c>
      <c r="E6229" t="inlineStr">
        <is>
          <t>LUDVIKA</t>
        </is>
      </c>
      <c r="F6229" t="inlineStr">
        <is>
          <t>Bergvik skog väst AB</t>
        </is>
      </c>
      <c r="G6229" t="n">
        <v>20.5</v>
      </c>
      <c r="H6229" t="n">
        <v>0</v>
      </c>
      <c r="I6229" t="n">
        <v>0</v>
      </c>
      <c r="J6229" t="n">
        <v>0</v>
      </c>
      <c r="K6229" t="n">
        <v>0</v>
      </c>
      <c r="L6229" t="n">
        <v>0</v>
      </c>
      <c r="M6229" t="n">
        <v>0</v>
      </c>
      <c r="N6229" t="n">
        <v>0</v>
      </c>
      <c r="O6229" t="n">
        <v>0</v>
      </c>
      <c r="P6229" t="n">
        <v>0</v>
      </c>
      <c r="Q6229" t="n">
        <v>0</v>
      </c>
      <c r="R6229" s="2" t="inlineStr"/>
    </row>
    <row r="6230" ht="15" customHeight="1">
      <c r="A6230" t="inlineStr">
        <is>
          <t>A 59229-2025</t>
        </is>
      </c>
      <c r="B6230" s="1" t="n">
        <v>45988.62331018518</v>
      </c>
      <c r="C6230" s="1" t="n">
        <v>46114</v>
      </c>
      <c r="D6230" t="inlineStr">
        <is>
          <t>DALARNAS LÄN</t>
        </is>
      </c>
      <c r="E6230" t="inlineStr">
        <is>
          <t>FALUN</t>
        </is>
      </c>
      <c r="G6230" t="n">
        <v>3.8</v>
      </c>
      <c r="H6230" t="n">
        <v>0</v>
      </c>
      <c r="I6230" t="n">
        <v>0</v>
      </c>
      <c r="J6230" t="n">
        <v>0</v>
      </c>
      <c r="K6230" t="n">
        <v>0</v>
      </c>
      <c r="L6230" t="n">
        <v>0</v>
      </c>
      <c r="M6230" t="n">
        <v>0</v>
      </c>
      <c r="N6230" t="n">
        <v>0</v>
      </c>
      <c r="O6230" t="n">
        <v>0</v>
      </c>
      <c r="P6230" t="n">
        <v>0</v>
      </c>
      <c r="Q6230" t="n">
        <v>0</v>
      </c>
      <c r="R6230" s="2" t="inlineStr"/>
    </row>
    <row r="6231" ht="15" customHeight="1">
      <c r="A6231" t="inlineStr">
        <is>
          <t>A 53706-2025</t>
        </is>
      </c>
      <c r="B6231" s="1" t="n">
        <v>45960.60587962963</v>
      </c>
      <c r="C6231" s="1" t="n">
        <v>46114</v>
      </c>
      <c r="D6231" t="inlineStr">
        <is>
          <t>DALARNAS LÄN</t>
        </is>
      </c>
      <c r="E6231" t="inlineStr">
        <is>
          <t>SÄTER</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43139-2023</t>
        </is>
      </c>
      <c r="B6232" s="1" t="n">
        <v>45183.26203703704</v>
      </c>
      <c r="C6232" s="1" t="n">
        <v>46114</v>
      </c>
      <c r="D6232" t="inlineStr">
        <is>
          <t>DALARNAS LÄN</t>
        </is>
      </c>
      <c r="E6232" t="inlineStr">
        <is>
          <t>VANSBRO</t>
        </is>
      </c>
      <c r="G6232" t="n">
        <v>6.4</v>
      </c>
      <c r="H6232" t="n">
        <v>0</v>
      </c>
      <c r="I6232" t="n">
        <v>0</v>
      </c>
      <c r="J6232" t="n">
        <v>0</v>
      </c>
      <c r="K6232" t="n">
        <v>0</v>
      </c>
      <c r="L6232" t="n">
        <v>0</v>
      </c>
      <c r="M6232" t="n">
        <v>0</v>
      </c>
      <c r="N6232" t="n">
        <v>0</v>
      </c>
      <c r="O6232" t="n">
        <v>0</v>
      </c>
      <c r="P6232" t="n">
        <v>0</v>
      </c>
      <c r="Q6232" t="n">
        <v>0</v>
      </c>
      <c r="R6232" s="2" t="inlineStr"/>
    </row>
    <row r="6233" ht="15" customHeight="1">
      <c r="A6233" t="inlineStr">
        <is>
          <t>A 59500-2025</t>
        </is>
      </c>
      <c r="B6233" s="1" t="n">
        <v>45989.61996527778</v>
      </c>
      <c r="C6233" s="1" t="n">
        <v>46114</v>
      </c>
      <c r="D6233" t="inlineStr">
        <is>
          <t>DALARNAS LÄN</t>
        </is>
      </c>
      <c r="E6233" t="inlineStr">
        <is>
          <t>RÄTTVIK</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40828-2025</t>
        </is>
      </c>
      <c r="B6234" s="1" t="n">
        <v>45897.50747685185</v>
      </c>
      <c r="C6234" s="1" t="n">
        <v>46114</v>
      </c>
      <c r="D6234" t="inlineStr">
        <is>
          <t>DALARNAS LÄN</t>
        </is>
      </c>
      <c r="E6234" t="inlineStr">
        <is>
          <t>FALUN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41851-2025</t>
        </is>
      </c>
      <c r="B6235" s="1" t="n">
        <v>45902.84958333334</v>
      </c>
      <c r="C6235" s="1" t="n">
        <v>46114</v>
      </c>
      <c r="D6235" t="inlineStr">
        <is>
          <t>DALARNAS LÄN</t>
        </is>
      </c>
      <c r="E6235" t="inlineStr">
        <is>
          <t>AVESTA</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18579-2025</t>
        </is>
      </c>
      <c r="B6236" s="1" t="n">
        <v>45763</v>
      </c>
      <c r="C6236" s="1" t="n">
        <v>46114</v>
      </c>
      <c r="D6236" t="inlineStr">
        <is>
          <t>DALARNAS LÄN</t>
        </is>
      </c>
      <c r="E6236" t="inlineStr">
        <is>
          <t>HEDEMORA</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59083-2025</t>
        </is>
      </c>
      <c r="B6237" s="1" t="n">
        <v>45988</v>
      </c>
      <c r="C6237" s="1" t="n">
        <v>46114</v>
      </c>
      <c r="D6237" t="inlineStr">
        <is>
          <t>DALARNAS LÄN</t>
        </is>
      </c>
      <c r="E6237" t="inlineStr">
        <is>
          <t>LEKSAND</t>
        </is>
      </c>
      <c r="F6237" t="inlineStr">
        <is>
          <t>Bergvik skog väst AB</t>
        </is>
      </c>
      <c r="G6237" t="n">
        <v>2.7</v>
      </c>
      <c r="H6237" t="n">
        <v>0</v>
      </c>
      <c r="I6237" t="n">
        <v>0</v>
      </c>
      <c r="J6237" t="n">
        <v>0</v>
      </c>
      <c r="K6237" t="n">
        <v>0</v>
      </c>
      <c r="L6237" t="n">
        <v>0</v>
      </c>
      <c r="M6237" t="n">
        <v>0</v>
      </c>
      <c r="N6237" t="n">
        <v>0</v>
      </c>
      <c r="O6237" t="n">
        <v>0</v>
      </c>
      <c r="P6237" t="n">
        <v>0</v>
      </c>
      <c r="Q6237" t="n">
        <v>0</v>
      </c>
      <c r="R6237" s="2" t="inlineStr"/>
      <c r="U6237">
        <f>HYPERLINK("https://klasma.github.io/Logging_2029/knärot/A 59083-2025 karta knärot.png", "A 59083-2025")</f>
        <v/>
      </c>
      <c r="V6237">
        <f>HYPERLINK("https://klasma.github.io/Logging_2029/klagomål/A 59083-2025 FSC-klagomål.docx", "A 59083-2025")</f>
        <v/>
      </c>
      <c r="W6237">
        <f>HYPERLINK("https://klasma.github.io/Logging_2029/klagomålsmail/A 59083-2025 FSC-klagomål mail.docx", "A 59083-2025")</f>
        <v/>
      </c>
      <c r="X6237">
        <f>HYPERLINK("https://klasma.github.io/Logging_2029/tillsyn/A 59083-2025 tillsynsbegäran.docx", "A 59083-2025")</f>
        <v/>
      </c>
      <c r="Y6237">
        <f>HYPERLINK("https://klasma.github.io/Logging_2029/tillsynsmail/A 59083-2025 tillsynsbegäran mail.docx", "A 59083-2025")</f>
        <v/>
      </c>
    </row>
    <row r="6238" ht="15" customHeight="1">
      <c r="A6238" t="inlineStr">
        <is>
          <t>A 59444-2025</t>
        </is>
      </c>
      <c r="B6238" s="1" t="n">
        <v>45989</v>
      </c>
      <c r="C6238" s="1" t="n">
        <v>46114</v>
      </c>
      <c r="D6238" t="inlineStr">
        <is>
          <t>DALARNAS LÄN</t>
        </is>
      </c>
      <c r="E6238" t="inlineStr">
        <is>
          <t>LUDVIKA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56203-2024</t>
        </is>
      </c>
      <c r="B6239" s="1" t="n">
        <v>45624.59535879629</v>
      </c>
      <c r="C6239" s="1" t="n">
        <v>46114</v>
      </c>
      <c r="D6239" t="inlineStr">
        <is>
          <t>DALARNAS LÄN</t>
        </is>
      </c>
      <c r="E6239" t="inlineStr">
        <is>
          <t>LUDVIKA</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59250-2025</t>
        </is>
      </c>
      <c r="B6240" s="1" t="n">
        <v>45988.65004629629</v>
      </c>
      <c r="C6240" s="1" t="n">
        <v>46114</v>
      </c>
      <c r="D6240" t="inlineStr">
        <is>
          <t>DALARNAS LÄN</t>
        </is>
      </c>
      <c r="E6240" t="inlineStr">
        <is>
          <t>ÄLVDALEN</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59148-2025</t>
        </is>
      </c>
      <c r="B6241" s="1" t="n">
        <v>45988.52559027778</v>
      </c>
      <c r="C6241" s="1" t="n">
        <v>46114</v>
      </c>
      <c r="D6241" t="inlineStr">
        <is>
          <t>DALARNAS LÄN</t>
        </is>
      </c>
      <c r="E6241" t="inlineStr">
        <is>
          <t>VANSBRO</t>
        </is>
      </c>
      <c r="G6241" t="n">
        <v>4.9</v>
      </c>
      <c r="H6241" t="n">
        <v>0</v>
      </c>
      <c r="I6241" t="n">
        <v>0</v>
      </c>
      <c r="J6241" t="n">
        <v>0</v>
      </c>
      <c r="K6241" t="n">
        <v>0</v>
      </c>
      <c r="L6241" t="n">
        <v>0</v>
      </c>
      <c r="M6241" t="n">
        <v>0</v>
      </c>
      <c r="N6241" t="n">
        <v>0</v>
      </c>
      <c r="O6241" t="n">
        <v>0</v>
      </c>
      <c r="P6241" t="n">
        <v>0</v>
      </c>
      <c r="Q6241" t="n">
        <v>0</v>
      </c>
      <c r="R6241" s="2" t="inlineStr"/>
    </row>
    <row r="6242" ht="15" customHeight="1">
      <c r="A6242" t="inlineStr">
        <is>
          <t>A 59149-2025</t>
        </is>
      </c>
      <c r="B6242" s="1" t="n">
        <v>45988.52844907407</v>
      </c>
      <c r="C6242" s="1" t="n">
        <v>46114</v>
      </c>
      <c r="D6242" t="inlineStr">
        <is>
          <t>DALARNAS LÄN</t>
        </is>
      </c>
      <c r="E6242" t="inlineStr">
        <is>
          <t>ORSA</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54609-2025</t>
        </is>
      </c>
      <c r="B6243" s="1" t="n">
        <v>45966.31795138889</v>
      </c>
      <c r="C6243" s="1" t="n">
        <v>46114</v>
      </c>
      <c r="D6243" t="inlineStr">
        <is>
          <t>DALARNAS LÄN</t>
        </is>
      </c>
      <c r="E6243" t="inlineStr">
        <is>
          <t>FALUN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29492-2023</t>
        </is>
      </c>
      <c r="B6244" s="1" t="n">
        <v>45106.58868055556</v>
      </c>
      <c r="C6244" s="1" t="n">
        <v>46114</v>
      </c>
      <c r="D6244" t="inlineStr">
        <is>
          <t>DALARNAS LÄN</t>
        </is>
      </c>
      <c r="E6244" t="inlineStr">
        <is>
          <t>VANSBRO</t>
        </is>
      </c>
      <c r="F6244" t="inlineStr">
        <is>
          <t>Bergvik skog väst AB</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17472-2023</t>
        </is>
      </c>
      <c r="B6245" s="1" t="n">
        <v>45034</v>
      </c>
      <c r="C6245" s="1" t="n">
        <v>46114</v>
      </c>
      <c r="D6245" t="inlineStr">
        <is>
          <t>DALARNAS LÄN</t>
        </is>
      </c>
      <c r="E6245" t="inlineStr">
        <is>
          <t>SMEDJEBACKEN</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62043-2023</t>
        </is>
      </c>
      <c r="B6246" s="1" t="n">
        <v>45265</v>
      </c>
      <c r="C6246" s="1" t="n">
        <v>46114</v>
      </c>
      <c r="D6246" t="inlineStr">
        <is>
          <t>DALARNAS LÄN</t>
        </is>
      </c>
      <c r="E6246" t="inlineStr">
        <is>
          <t>RÄTTVIK</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59504-2025</t>
        </is>
      </c>
      <c r="B6247" s="1" t="n">
        <v>45989.62903935185</v>
      </c>
      <c r="C6247" s="1" t="n">
        <v>46114</v>
      </c>
      <c r="D6247" t="inlineStr">
        <is>
          <t>DALARNAS LÄN</t>
        </is>
      </c>
      <c r="E6247" t="inlineStr">
        <is>
          <t>RÄTTVIK</t>
        </is>
      </c>
      <c r="G6247" t="n">
        <v>5</v>
      </c>
      <c r="H6247" t="n">
        <v>0</v>
      </c>
      <c r="I6247" t="n">
        <v>0</v>
      </c>
      <c r="J6247" t="n">
        <v>0</v>
      </c>
      <c r="K6247" t="n">
        <v>0</v>
      </c>
      <c r="L6247" t="n">
        <v>0</v>
      </c>
      <c r="M6247" t="n">
        <v>0</v>
      </c>
      <c r="N6247" t="n">
        <v>0</v>
      </c>
      <c r="O6247" t="n">
        <v>0</v>
      </c>
      <c r="P6247" t="n">
        <v>0</v>
      </c>
      <c r="Q6247" t="n">
        <v>0</v>
      </c>
      <c r="R6247" s="2" t="inlineStr"/>
    </row>
    <row r="6248" ht="15" customHeight="1">
      <c r="A6248" t="inlineStr">
        <is>
          <t>A 59435-2025</t>
        </is>
      </c>
      <c r="B6248" s="1" t="n">
        <v>45989</v>
      </c>
      <c r="C6248" s="1" t="n">
        <v>46114</v>
      </c>
      <c r="D6248" t="inlineStr">
        <is>
          <t>DALARNAS LÄN</t>
        </is>
      </c>
      <c r="E6248" t="inlineStr">
        <is>
          <t>LUDVIKA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58731-2025</t>
        </is>
      </c>
      <c r="B6249" s="1" t="n">
        <v>45986.62600694445</v>
      </c>
      <c r="C6249" s="1" t="n">
        <v>46114</v>
      </c>
      <c r="D6249" t="inlineStr">
        <is>
          <t>DALARNAS LÄN</t>
        </is>
      </c>
      <c r="E6249" t="inlineStr">
        <is>
          <t>SMEDJEBACKEN</t>
        </is>
      </c>
      <c r="G6249" t="n">
        <v>2.1</v>
      </c>
      <c r="H6249" t="n">
        <v>0</v>
      </c>
      <c r="I6249" t="n">
        <v>0</v>
      </c>
      <c r="J6249" t="n">
        <v>0</v>
      </c>
      <c r="K6249" t="n">
        <v>0</v>
      </c>
      <c r="L6249" t="n">
        <v>0</v>
      </c>
      <c r="M6249" t="n">
        <v>0</v>
      </c>
      <c r="N6249" t="n">
        <v>0</v>
      </c>
      <c r="O6249" t="n">
        <v>0</v>
      </c>
      <c r="P6249" t="n">
        <v>0</v>
      </c>
      <c r="Q6249" t="n">
        <v>0</v>
      </c>
      <c r="R6249" s="2" t="inlineStr"/>
    </row>
    <row r="6250" ht="15" customHeight="1">
      <c r="A6250" t="inlineStr">
        <is>
          <t>A 59114-2025</t>
        </is>
      </c>
      <c r="B6250" s="1" t="n">
        <v>45988.4884375</v>
      </c>
      <c r="C6250" s="1" t="n">
        <v>46114</v>
      </c>
      <c r="D6250" t="inlineStr">
        <is>
          <t>DALARNAS LÄN</t>
        </is>
      </c>
      <c r="E6250" t="inlineStr">
        <is>
          <t>ORSA</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59124-2025</t>
        </is>
      </c>
      <c r="B6251" s="1" t="n">
        <v>45988.4934375</v>
      </c>
      <c r="C6251" s="1" t="n">
        <v>46114</v>
      </c>
      <c r="D6251" t="inlineStr">
        <is>
          <t>DALARNAS LÄN</t>
        </is>
      </c>
      <c r="E6251" t="inlineStr">
        <is>
          <t>ORSA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55549-2023</t>
        </is>
      </c>
      <c r="B6252" s="1" t="n">
        <v>45232</v>
      </c>
      <c r="C6252" s="1" t="n">
        <v>46114</v>
      </c>
      <c r="D6252" t="inlineStr">
        <is>
          <t>DALARNAS LÄN</t>
        </is>
      </c>
      <c r="E6252" t="inlineStr">
        <is>
          <t>AVESTA</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54300-2024</t>
        </is>
      </c>
      <c r="B6253" s="1" t="n">
        <v>45617.32957175926</v>
      </c>
      <c r="C6253" s="1" t="n">
        <v>46114</v>
      </c>
      <c r="D6253" t="inlineStr">
        <is>
          <t>DALARNAS LÄN</t>
        </is>
      </c>
      <c r="E6253" t="inlineStr">
        <is>
          <t>RÄTTVIK</t>
        </is>
      </c>
      <c r="G6253" t="n">
        <v>0.4</v>
      </c>
      <c r="H6253" t="n">
        <v>0</v>
      </c>
      <c r="I6253" t="n">
        <v>0</v>
      </c>
      <c r="J6253" t="n">
        <v>0</v>
      </c>
      <c r="K6253" t="n">
        <v>0</v>
      </c>
      <c r="L6253" t="n">
        <v>0</v>
      </c>
      <c r="M6253" t="n">
        <v>0</v>
      </c>
      <c r="N6253" t="n">
        <v>0</v>
      </c>
      <c r="O6253" t="n">
        <v>0</v>
      </c>
      <c r="P6253" t="n">
        <v>0</v>
      </c>
      <c r="Q6253" t="n">
        <v>0</v>
      </c>
      <c r="R6253" s="2" t="inlineStr"/>
    </row>
    <row r="6254" ht="15" customHeight="1">
      <c r="A6254" t="inlineStr">
        <is>
          <t>A 59530-2025</t>
        </is>
      </c>
      <c r="B6254" s="1" t="n">
        <v>45989</v>
      </c>
      <c r="C6254" s="1" t="n">
        <v>46114</v>
      </c>
      <c r="D6254" t="inlineStr">
        <is>
          <t>DALARNAS LÄN</t>
        </is>
      </c>
      <c r="E6254" t="inlineStr">
        <is>
          <t>LUDVIKA</t>
        </is>
      </c>
      <c r="F6254" t="inlineStr">
        <is>
          <t>Bergvik skog väst AB</t>
        </is>
      </c>
      <c r="G6254" t="n">
        <v>7.8</v>
      </c>
      <c r="H6254" t="n">
        <v>0</v>
      </c>
      <c r="I6254" t="n">
        <v>0</v>
      </c>
      <c r="J6254" t="n">
        <v>0</v>
      </c>
      <c r="K6254" t="n">
        <v>0</v>
      </c>
      <c r="L6254" t="n">
        <v>0</v>
      </c>
      <c r="M6254" t="n">
        <v>0</v>
      </c>
      <c r="N6254" t="n">
        <v>0</v>
      </c>
      <c r="O6254" t="n">
        <v>0</v>
      </c>
      <c r="P6254" t="n">
        <v>0</v>
      </c>
      <c r="Q6254" t="n">
        <v>0</v>
      </c>
      <c r="R6254" s="2" t="inlineStr"/>
    </row>
    <row r="6255" ht="15" customHeight="1">
      <c r="A6255" t="inlineStr">
        <is>
          <t>A 59718-2024</t>
        </is>
      </c>
      <c r="B6255" s="1" t="n">
        <v>45639</v>
      </c>
      <c r="C6255" s="1" t="n">
        <v>46114</v>
      </c>
      <c r="D6255" t="inlineStr">
        <is>
          <t>DALARNAS LÄN</t>
        </is>
      </c>
      <c r="E6255" t="inlineStr">
        <is>
          <t>RÄTTVIK</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28507-2023</t>
        </is>
      </c>
      <c r="B6256" s="1" t="n">
        <v>45103.46510416667</v>
      </c>
      <c r="C6256" s="1" t="n">
        <v>46114</v>
      </c>
      <c r="D6256" t="inlineStr">
        <is>
          <t>DALARNAS LÄN</t>
        </is>
      </c>
      <c r="E6256" t="inlineStr">
        <is>
          <t>LUDVIKA</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59089-2025</t>
        </is>
      </c>
      <c r="B6257" s="1" t="n">
        <v>45988.44615740741</v>
      </c>
      <c r="C6257" s="1" t="n">
        <v>46114</v>
      </c>
      <c r="D6257" t="inlineStr">
        <is>
          <t>DALARNAS LÄN</t>
        </is>
      </c>
      <c r="E6257" t="inlineStr">
        <is>
          <t>LUDVIKA</t>
        </is>
      </c>
      <c r="G6257" t="n">
        <v>3.6</v>
      </c>
      <c r="H6257" t="n">
        <v>0</v>
      </c>
      <c r="I6257" t="n">
        <v>0</v>
      </c>
      <c r="J6257" t="n">
        <v>0</v>
      </c>
      <c r="K6257" t="n">
        <v>0</v>
      </c>
      <c r="L6257" t="n">
        <v>0</v>
      </c>
      <c r="M6257" t="n">
        <v>0</v>
      </c>
      <c r="N6257" t="n">
        <v>0</v>
      </c>
      <c r="O6257" t="n">
        <v>0</v>
      </c>
      <c r="P6257" t="n">
        <v>0</v>
      </c>
      <c r="Q6257" t="n">
        <v>0</v>
      </c>
      <c r="R6257" s="2" t="inlineStr"/>
      <c r="U6257">
        <f>HYPERLINK("https://klasma.github.io/Logging_2085/knärot/A 59089-2025 karta knärot.png", "A 59089-2025")</f>
        <v/>
      </c>
      <c r="V6257">
        <f>HYPERLINK("https://klasma.github.io/Logging_2085/klagomål/A 59089-2025 FSC-klagomål.docx", "A 59089-2025")</f>
        <v/>
      </c>
      <c r="W6257">
        <f>HYPERLINK("https://klasma.github.io/Logging_2085/klagomålsmail/A 59089-2025 FSC-klagomål mail.docx", "A 59089-2025")</f>
        <v/>
      </c>
      <c r="X6257">
        <f>HYPERLINK("https://klasma.github.io/Logging_2085/tillsyn/A 59089-2025 tillsynsbegäran.docx", "A 59089-2025")</f>
        <v/>
      </c>
      <c r="Y6257">
        <f>HYPERLINK("https://klasma.github.io/Logging_2085/tillsynsmail/A 59089-2025 tillsynsbegäran mail.docx", "A 59089-2025")</f>
        <v/>
      </c>
    </row>
    <row r="6258" ht="15" customHeight="1">
      <c r="A6258" t="inlineStr">
        <is>
          <t>A 59094-2025</t>
        </is>
      </c>
      <c r="B6258" s="1" t="n">
        <v>45988.45105324074</v>
      </c>
      <c r="C6258" s="1" t="n">
        <v>46114</v>
      </c>
      <c r="D6258" t="inlineStr">
        <is>
          <t>DALARNAS LÄN</t>
        </is>
      </c>
      <c r="E6258" t="inlineStr">
        <is>
          <t>MORA</t>
        </is>
      </c>
      <c r="G6258" t="n">
        <v>10</v>
      </c>
      <c r="H6258" t="n">
        <v>0</v>
      </c>
      <c r="I6258" t="n">
        <v>0</v>
      </c>
      <c r="J6258" t="n">
        <v>0</v>
      </c>
      <c r="K6258" t="n">
        <v>0</v>
      </c>
      <c r="L6258" t="n">
        <v>0</v>
      </c>
      <c r="M6258" t="n">
        <v>0</v>
      </c>
      <c r="N6258" t="n">
        <v>0</v>
      </c>
      <c r="O6258" t="n">
        <v>0</v>
      </c>
      <c r="P6258" t="n">
        <v>0</v>
      </c>
      <c r="Q6258" t="n">
        <v>0</v>
      </c>
      <c r="R6258" s="2" t="inlineStr"/>
    </row>
    <row r="6259" ht="15" customHeight="1">
      <c r="A6259" t="inlineStr">
        <is>
          <t>A 10340-2022</t>
        </is>
      </c>
      <c r="B6259" s="1" t="n">
        <v>44623</v>
      </c>
      <c r="C6259" s="1" t="n">
        <v>46114</v>
      </c>
      <c r="D6259" t="inlineStr">
        <is>
          <t>DALARNAS LÄN</t>
        </is>
      </c>
      <c r="E6259" t="inlineStr">
        <is>
          <t>SMEDJEBACKEN</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59200-2025</t>
        </is>
      </c>
      <c r="B6260" s="1" t="n">
        <v>45988</v>
      </c>
      <c r="C6260" s="1" t="n">
        <v>46114</v>
      </c>
      <c r="D6260" t="inlineStr">
        <is>
          <t>DALARNAS LÄN</t>
        </is>
      </c>
      <c r="E6260" t="inlineStr">
        <is>
          <t>FALUN</t>
        </is>
      </c>
      <c r="G6260" t="n">
        <v>3.6</v>
      </c>
      <c r="H6260" t="n">
        <v>0</v>
      </c>
      <c r="I6260" t="n">
        <v>0</v>
      </c>
      <c r="J6260" t="n">
        <v>0</v>
      </c>
      <c r="K6260" t="n">
        <v>0</v>
      </c>
      <c r="L6260" t="n">
        <v>0</v>
      </c>
      <c r="M6260" t="n">
        <v>0</v>
      </c>
      <c r="N6260" t="n">
        <v>0</v>
      </c>
      <c r="O6260" t="n">
        <v>0</v>
      </c>
      <c r="P6260" t="n">
        <v>0</v>
      </c>
      <c r="Q6260" t="n">
        <v>0</v>
      </c>
      <c r="R6260" s="2" t="inlineStr"/>
    </row>
    <row r="6261" ht="15" customHeight="1">
      <c r="A6261" t="inlineStr">
        <is>
          <t>A 56585-2024</t>
        </is>
      </c>
      <c r="B6261" s="1" t="n">
        <v>45625.60799768518</v>
      </c>
      <c r="C6261" s="1" t="n">
        <v>46114</v>
      </c>
      <c r="D6261" t="inlineStr">
        <is>
          <t>DALARNAS LÄN</t>
        </is>
      </c>
      <c r="E6261" t="inlineStr">
        <is>
          <t>FALUN</t>
        </is>
      </c>
      <c r="F6261" t="inlineStr">
        <is>
          <t>Bergvik skog väst AB</t>
        </is>
      </c>
      <c r="G6261" t="n">
        <v>6.3</v>
      </c>
      <c r="H6261" t="n">
        <v>0</v>
      </c>
      <c r="I6261" t="n">
        <v>0</v>
      </c>
      <c r="J6261" t="n">
        <v>0</v>
      </c>
      <c r="K6261" t="n">
        <v>0</v>
      </c>
      <c r="L6261" t="n">
        <v>0</v>
      </c>
      <c r="M6261" t="n">
        <v>0</v>
      </c>
      <c r="N6261" t="n">
        <v>0</v>
      </c>
      <c r="O6261" t="n">
        <v>0</v>
      </c>
      <c r="P6261" t="n">
        <v>0</v>
      </c>
      <c r="Q6261" t="n">
        <v>0</v>
      </c>
      <c r="R6261" s="2" t="inlineStr"/>
    </row>
    <row r="6262" ht="15" customHeight="1">
      <c r="A6262" t="inlineStr">
        <is>
          <t>A 59234-2025</t>
        </is>
      </c>
      <c r="B6262" s="1" t="n">
        <v>45988.62946759259</v>
      </c>
      <c r="C6262" s="1" t="n">
        <v>46114</v>
      </c>
      <c r="D6262" t="inlineStr">
        <is>
          <t>DALARNAS LÄN</t>
        </is>
      </c>
      <c r="E6262" t="inlineStr">
        <is>
          <t>ÄLVDALEN</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59350-2025</t>
        </is>
      </c>
      <c r="B6263" s="1" t="n">
        <v>45989.40451388889</v>
      </c>
      <c r="C6263" s="1" t="n">
        <v>46114</v>
      </c>
      <c r="D6263" t="inlineStr">
        <is>
          <t>DALARNAS LÄN</t>
        </is>
      </c>
      <c r="E6263" t="inlineStr">
        <is>
          <t>HEDEMORA</t>
        </is>
      </c>
      <c r="F6263" t="inlineStr">
        <is>
          <t>Sveaskog</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20427-2025</t>
        </is>
      </c>
      <c r="B6264" s="1" t="n">
        <v>45775</v>
      </c>
      <c r="C6264" s="1" t="n">
        <v>46114</v>
      </c>
      <c r="D6264" t="inlineStr">
        <is>
          <t>DALARNAS LÄN</t>
        </is>
      </c>
      <c r="E6264" t="inlineStr">
        <is>
          <t>LUDVIKA</t>
        </is>
      </c>
      <c r="F6264" t="inlineStr">
        <is>
          <t>Bergvik skog väst AB</t>
        </is>
      </c>
      <c r="G6264" t="n">
        <v>4.2</v>
      </c>
      <c r="H6264" t="n">
        <v>0</v>
      </c>
      <c r="I6264" t="n">
        <v>0</v>
      </c>
      <c r="J6264" t="n">
        <v>0</v>
      </c>
      <c r="K6264" t="n">
        <v>0</v>
      </c>
      <c r="L6264" t="n">
        <v>0</v>
      </c>
      <c r="M6264" t="n">
        <v>0</v>
      </c>
      <c r="N6264" t="n">
        <v>0</v>
      </c>
      <c r="O6264" t="n">
        <v>0</v>
      </c>
      <c r="P6264" t="n">
        <v>0</v>
      </c>
      <c r="Q6264" t="n">
        <v>0</v>
      </c>
      <c r="R6264" s="2" t="inlineStr"/>
    </row>
    <row r="6265" ht="15" customHeight="1">
      <c r="A6265" t="inlineStr">
        <is>
          <t>A 14753-2025</t>
        </is>
      </c>
      <c r="B6265" s="1" t="n">
        <v>45742.66197916667</v>
      </c>
      <c r="C6265" s="1" t="n">
        <v>46114</v>
      </c>
      <c r="D6265" t="inlineStr">
        <is>
          <t>DALARNAS LÄN</t>
        </is>
      </c>
      <c r="E6265" t="inlineStr">
        <is>
          <t>BORLÄNGE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14797-2025</t>
        </is>
      </c>
      <c r="B6266" s="1" t="n">
        <v>45742.90363425926</v>
      </c>
      <c r="C6266" s="1" t="n">
        <v>46114</v>
      </c>
      <c r="D6266" t="inlineStr">
        <is>
          <t>DALARNAS LÄN</t>
        </is>
      </c>
      <c r="E6266" t="inlineStr">
        <is>
          <t>LEKSAND</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59256-2025</t>
        </is>
      </c>
      <c r="B6267" s="1" t="n">
        <v>45988.65612268518</v>
      </c>
      <c r="C6267" s="1" t="n">
        <v>46114</v>
      </c>
      <c r="D6267" t="inlineStr">
        <is>
          <t>DALARNAS LÄN</t>
        </is>
      </c>
      <c r="E6267" t="inlineStr">
        <is>
          <t>ÄLVDALEN</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54951-2024</t>
        </is>
      </c>
      <c r="B6268" s="1" t="n">
        <v>45619.49099537037</v>
      </c>
      <c r="C6268" s="1" t="n">
        <v>46114</v>
      </c>
      <c r="D6268" t="inlineStr">
        <is>
          <t>DALARNAS LÄN</t>
        </is>
      </c>
      <c r="E6268" t="inlineStr">
        <is>
          <t>FALUN</t>
        </is>
      </c>
      <c r="G6268" t="n">
        <v>3.1</v>
      </c>
      <c r="H6268" t="n">
        <v>0</v>
      </c>
      <c r="I6268" t="n">
        <v>0</v>
      </c>
      <c r="J6268" t="n">
        <v>0</v>
      </c>
      <c r="K6268" t="n">
        <v>0</v>
      </c>
      <c r="L6268" t="n">
        <v>0</v>
      </c>
      <c r="M6268" t="n">
        <v>0</v>
      </c>
      <c r="N6268" t="n">
        <v>0</v>
      </c>
      <c r="O6268" t="n">
        <v>0</v>
      </c>
      <c r="P6268" t="n">
        <v>0</v>
      </c>
      <c r="Q6268" t="n">
        <v>0</v>
      </c>
      <c r="R6268" s="2" t="inlineStr"/>
    </row>
    <row r="6269" ht="15" customHeight="1">
      <c r="A6269" t="inlineStr">
        <is>
          <t>A 39010-2024</t>
        </is>
      </c>
      <c r="B6269" s="1" t="n">
        <v>45548</v>
      </c>
      <c r="C6269" s="1" t="n">
        <v>46114</v>
      </c>
      <c r="D6269" t="inlineStr">
        <is>
          <t>DALARNAS LÄN</t>
        </is>
      </c>
      <c r="E6269" t="inlineStr">
        <is>
          <t>ÄLVDALEN</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32428-2024</t>
        </is>
      </c>
      <c r="B6270" s="1" t="n">
        <v>45512.80895833333</v>
      </c>
      <c r="C6270" s="1" t="n">
        <v>46114</v>
      </c>
      <c r="D6270" t="inlineStr">
        <is>
          <t>DALARNAS LÄN</t>
        </is>
      </c>
      <c r="E6270" t="inlineStr">
        <is>
          <t>BORLÄNGE</t>
        </is>
      </c>
      <c r="F6270" t="inlineStr">
        <is>
          <t>Bergvik skog väst AB</t>
        </is>
      </c>
      <c r="G6270" t="n">
        <v>2.4</v>
      </c>
      <c r="H6270" t="n">
        <v>0</v>
      </c>
      <c r="I6270" t="n">
        <v>0</v>
      </c>
      <c r="J6270" t="n">
        <v>0</v>
      </c>
      <c r="K6270" t="n">
        <v>0</v>
      </c>
      <c r="L6270" t="n">
        <v>0</v>
      </c>
      <c r="M6270" t="n">
        <v>0</v>
      </c>
      <c r="N6270" t="n">
        <v>0</v>
      </c>
      <c r="O6270" t="n">
        <v>0</v>
      </c>
      <c r="P6270" t="n">
        <v>0</v>
      </c>
      <c r="Q6270" t="n">
        <v>0</v>
      </c>
      <c r="R6270" s="2" t="inlineStr"/>
    </row>
    <row r="6271" ht="15" customHeight="1">
      <c r="A6271" t="inlineStr">
        <is>
          <t>A 59018-2025</t>
        </is>
      </c>
      <c r="B6271" s="1" t="n">
        <v>45988</v>
      </c>
      <c r="C6271" s="1" t="n">
        <v>46114</v>
      </c>
      <c r="D6271" t="inlineStr">
        <is>
          <t>DALARNAS LÄN</t>
        </is>
      </c>
      <c r="E6271" t="inlineStr">
        <is>
          <t>VANSBRO</t>
        </is>
      </c>
      <c r="F6271" t="inlineStr">
        <is>
          <t>Bergvik skog öst AB</t>
        </is>
      </c>
      <c r="G6271" t="n">
        <v>0.6</v>
      </c>
      <c r="H6271" t="n">
        <v>0</v>
      </c>
      <c r="I6271" t="n">
        <v>0</v>
      </c>
      <c r="J6271" t="n">
        <v>0</v>
      </c>
      <c r="K6271" t="n">
        <v>0</v>
      </c>
      <c r="L6271" t="n">
        <v>0</v>
      </c>
      <c r="M6271" t="n">
        <v>0</v>
      </c>
      <c r="N6271" t="n">
        <v>0</v>
      </c>
      <c r="O6271" t="n">
        <v>0</v>
      </c>
      <c r="P6271" t="n">
        <v>0</v>
      </c>
      <c r="Q6271" t="n">
        <v>0</v>
      </c>
      <c r="R6271" s="2" t="inlineStr"/>
    </row>
    <row r="6272" ht="15" customHeight="1">
      <c r="A6272" t="inlineStr">
        <is>
          <t>A 59067-2025</t>
        </is>
      </c>
      <c r="B6272" s="1" t="n">
        <v>45988.41490740741</v>
      </c>
      <c r="C6272" s="1" t="n">
        <v>46114</v>
      </c>
      <c r="D6272" t="inlineStr">
        <is>
          <t>DALARNAS LÄN</t>
        </is>
      </c>
      <c r="E6272" t="inlineStr">
        <is>
          <t>MALUNG-SÄLEN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59751-2024</t>
        </is>
      </c>
      <c r="B6273" s="1" t="n">
        <v>45638</v>
      </c>
      <c r="C6273" s="1" t="n">
        <v>46114</v>
      </c>
      <c r="D6273" t="inlineStr">
        <is>
          <t>DALARNAS LÄN</t>
        </is>
      </c>
      <c r="E6273" t="inlineStr">
        <is>
          <t>LEKSAND</t>
        </is>
      </c>
      <c r="G6273" t="n">
        <v>5.2</v>
      </c>
      <c r="H6273" t="n">
        <v>0</v>
      </c>
      <c r="I6273" t="n">
        <v>0</v>
      </c>
      <c r="J6273" t="n">
        <v>0</v>
      </c>
      <c r="K6273" t="n">
        <v>0</v>
      </c>
      <c r="L6273" t="n">
        <v>0</v>
      </c>
      <c r="M6273" t="n">
        <v>0</v>
      </c>
      <c r="N6273" t="n">
        <v>0</v>
      </c>
      <c r="O6273" t="n">
        <v>0</v>
      </c>
      <c r="P6273" t="n">
        <v>0</v>
      </c>
      <c r="Q6273" t="n">
        <v>0</v>
      </c>
      <c r="R6273" s="2" t="inlineStr"/>
    </row>
    <row r="6274" ht="15" customHeight="1">
      <c r="A6274" t="inlineStr">
        <is>
          <t>A 74322-2021</t>
        </is>
      </c>
      <c r="B6274" s="1" t="n">
        <v>44558</v>
      </c>
      <c r="C6274" s="1" t="n">
        <v>46114</v>
      </c>
      <c r="D6274" t="inlineStr">
        <is>
          <t>DALARNAS LÄN</t>
        </is>
      </c>
      <c r="E6274" t="inlineStr">
        <is>
          <t>ÄLVDALEN</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39367-2023</t>
        </is>
      </c>
      <c r="B6275" s="1" t="n">
        <v>45166</v>
      </c>
      <c r="C6275" s="1" t="n">
        <v>46114</v>
      </c>
      <c r="D6275" t="inlineStr">
        <is>
          <t>DALARNAS LÄN</t>
        </is>
      </c>
      <c r="E6275" t="inlineStr">
        <is>
          <t>GAGNEF</t>
        </is>
      </c>
      <c r="F6275" t="inlineStr">
        <is>
          <t>Bergvik skog väst AB</t>
        </is>
      </c>
      <c r="G6275" t="n">
        <v>2.4</v>
      </c>
      <c r="H6275" t="n">
        <v>0</v>
      </c>
      <c r="I6275" t="n">
        <v>0</v>
      </c>
      <c r="J6275" t="n">
        <v>0</v>
      </c>
      <c r="K6275" t="n">
        <v>0</v>
      </c>
      <c r="L6275" t="n">
        <v>0</v>
      </c>
      <c r="M6275" t="n">
        <v>0</v>
      </c>
      <c r="N6275" t="n">
        <v>0</v>
      </c>
      <c r="O6275" t="n">
        <v>0</v>
      </c>
      <c r="P6275" t="n">
        <v>0</v>
      </c>
      <c r="Q6275" t="n">
        <v>0</v>
      </c>
      <c r="R6275" s="2" t="inlineStr"/>
    </row>
    <row r="6276" ht="15" customHeight="1">
      <c r="A6276" t="inlineStr">
        <is>
          <t>A 59295-2025</t>
        </is>
      </c>
      <c r="B6276" s="1" t="n">
        <v>45988.77284722222</v>
      </c>
      <c r="C6276" s="1" t="n">
        <v>46114</v>
      </c>
      <c r="D6276" t="inlineStr">
        <is>
          <t>DALARNAS LÄN</t>
        </is>
      </c>
      <c r="E6276" t="inlineStr">
        <is>
          <t>HEDEMORA</t>
        </is>
      </c>
      <c r="F6276" t="inlineStr">
        <is>
          <t>Sveaskog</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60265-2021</t>
        </is>
      </c>
      <c r="B6277" s="1" t="n">
        <v>44495.68053240741</v>
      </c>
      <c r="C6277" s="1" t="n">
        <v>46114</v>
      </c>
      <c r="D6277" t="inlineStr">
        <is>
          <t>DALARNAS LÄN</t>
        </is>
      </c>
      <c r="E6277" t="inlineStr">
        <is>
          <t>ÄLVDALEN</t>
        </is>
      </c>
      <c r="F6277" t="inlineStr">
        <is>
          <t>Allmännings- och besparingsskogar</t>
        </is>
      </c>
      <c r="G6277" t="n">
        <v>10</v>
      </c>
      <c r="H6277" t="n">
        <v>0</v>
      </c>
      <c r="I6277" t="n">
        <v>0</v>
      </c>
      <c r="J6277" t="n">
        <v>0</v>
      </c>
      <c r="K6277" t="n">
        <v>0</v>
      </c>
      <c r="L6277" t="n">
        <v>0</v>
      </c>
      <c r="M6277" t="n">
        <v>0</v>
      </c>
      <c r="N6277" t="n">
        <v>0</v>
      </c>
      <c r="O6277" t="n">
        <v>0</v>
      </c>
      <c r="P6277" t="n">
        <v>0</v>
      </c>
      <c r="Q6277" t="n">
        <v>0</v>
      </c>
      <c r="R6277" s="2" t="inlineStr"/>
    </row>
    <row r="6278" ht="15" customHeight="1">
      <c r="A6278" t="inlineStr">
        <is>
          <t>A 39437-2023</t>
        </is>
      </c>
      <c r="B6278" s="1" t="n">
        <v>45166.70038194444</v>
      </c>
      <c r="C6278" s="1" t="n">
        <v>46114</v>
      </c>
      <c r="D6278" t="inlineStr">
        <is>
          <t>DALARNAS LÄN</t>
        </is>
      </c>
      <c r="E6278" t="inlineStr">
        <is>
          <t>LUDVIKA</t>
        </is>
      </c>
      <c r="F6278" t="inlineStr">
        <is>
          <t>Bergvik skog väst AB</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31996-2024</t>
        </is>
      </c>
      <c r="B6279" s="1" t="n">
        <v>45510.59875</v>
      </c>
      <c r="C6279" s="1" t="n">
        <v>46114</v>
      </c>
      <c r="D6279" t="inlineStr">
        <is>
          <t>DALARNAS LÄN</t>
        </is>
      </c>
      <c r="E6279" t="inlineStr">
        <is>
          <t>MALUNG-SÄLEN</t>
        </is>
      </c>
      <c r="F6279" t="inlineStr">
        <is>
          <t>Bergvik skog väst AB</t>
        </is>
      </c>
      <c r="G6279" t="n">
        <v>0.3</v>
      </c>
      <c r="H6279" t="n">
        <v>0</v>
      </c>
      <c r="I6279" t="n">
        <v>0</v>
      </c>
      <c r="J6279" t="n">
        <v>0</v>
      </c>
      <c r="K6279" t="n">
        <v>0</v>
      </c>
      <c r="L6279" t="n">
        <v>0</v>
      </c>
      <c r="M6279" t="n">
        <v>0</v>
      </c>
      <c r="N6279" t="n">
        <v>0</v>
      </c>
      <c r="O6279" t="n">
        <v>0</v>
      </c>
      <c r="P6279" t="n">
        <v>0</v>
      </c>
      <c r="Q6279" t="n">
        <v>0</v>
      </c>
      <c r="R6279" s="2" t="inlineStr"/>
    </row>
    <row r="6280" ht="15" customHeight="1">
      <c r="A6280" t="inlineStr">
        <is>
          <t>A 19415-2024</t>
        </is>
      </c>
      <c r="B6280" s="1" t="n">
        <v>45429.42030092593</v>
      </c>
      <c r="C6280" s="1" t="n">
        <v>46114</v>
      </c>
      <c r="D6280" t="inlineStr">
        <is>
          <t>DALARNAS LÄN</t>
        </is>
      </c>
      <c r="E6280" t="inlineStr">
        <is>
          <t>MALUNG-SÄLEN</t>
        </is>
      </c>
      <c r="F6280" t="inlineStr">
        <is>
          <t>Bergvik skog öst AB</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1304-2024</t>
        </is>
      </c>
      <c r="B6281" s="1" t="n">
        <v>45303</v>
      </c>
      <c r="C6281" s="1" t="n">
        <v>46114</v>
      </c>
      <c r="D6281" t="inlineStr">
        <is>
          <t>DALARNAS LÄN</t>
        </is>
      </c>
      <c r="E6281" t="inlineStr">
        <is>
          <t>ORSA</t>
        </is>
      </c>
      <c r="G6281" t="n">
        <v>3.8</v>
      </c>
      <c r="H6281" t="n">
        <v>0</v>
      </c>
      <c r="I6281" t="n">
        <v>0</v>
      </c>
      <c r="J6281" t="n">
        <v>0</v>
      </c>
      <c r="K6281" t="n">
        <v>0</v>
      </c>
      <c r="L6281" t="n">
        <v>0</v>
      </c>
      <c r="M6281" t="n">
        <v>0</v>
      </c>
      <c r="N6281" t="n">
        <v>0</v>
      </c>
      <c r="O6281" t="n">
        <v>0</v>
      </c>
      <c r="P6281" t="n">
        <v>0</v>
      </c>
      <c r="Q6281" t="n">
        <v>0</v>
      </c>
      <c r="R6281" s="2" t="inlineStr"/>
    </row>
    <row r="6282" ht="15" customHeight="1">
      <c r="A6282" t="inlineStr">
        <is>
          <t>A 59952-2025</t>
        </is>
      </c>
      <c r="B6282" s="1" t="n">
        <v>45993</v>
      </c>
      <c r="C6282" s="1" t="n">
        <v>46114</v>
      </c>
      <c r="D6282" t="inlineStr">
        <is>
          <t>DALARNAS LÄN</t>
        </is>
      </c>
      <c r="E6282" t="inlineStr">
        <is>
          <t>MALUNG-SÄLEN</t>
        </is>
      </c>
      <c r="F6282" t="inlineStr">
        <is>
          <t>Allmännings- och besparingsskogar</t>
        </is>
      </c>
      <c r="G6282" t="n">
        <v>4.6</v>
      </c>
      <c r="H6282" t="n">
        <v>0</v>
      </c>
      <c r="I6282" t="n">
        <v>0</v>
      </c>
      <c r="J6282" t="n">
        <v>0</v>
      </c>
      <c r="K6282" t="n">
        <v>0</v>
      </c>
      <c r="L6282" t="n">
        <v>0</v>
      </c>
      <c r="M6282" t="n">
        <v>0</v>
      </c>
      <c r="N6282" t="n">
        <v>0</v>
      </c>
      <c r="O6282" t="n">
        <v>0</v>
      </c>
      <c r="P6282" t="n">
        <v>0</v>
      </c>
      <c r="Q6282" t="n">
        <v>0</v>
      </c>
      <c r="R6282" s="2" t="inlineStr"/>
    </row>
    <row r="6283" ht="15" customHeight="1">
      <c r="A6283" t="inlineStr">
        <is>
          <t>A 59748-2025</t>
        </is>
      </c>
      <c r="B6283" s="1" t="n">
        <v>45992.58369212963</v>
      </c>
      <c r="C6283" s="1" t="n">
        <v>46114</v>
      </c>
      <c r="D6283" t="inlineStr">
        <is>
          <t>DALARNAS LÄN</t>
        </is>
      </c>
      <c r="E6283" t="inlineStr">
        <is>
          <t>FALUN</t>
        </is>
      </c>
      <c r="G6283" t="n">
        <v>7.4</v>
      </c>
      <c r="H6283" t="n">
        <v>0</v>
      </c>
      <c r="I6283" t="n">
        <v>0</v>
      </c>
      <c r="J6283" t="n">
        <v>0</v>
      </c>
      <c r="K6283" t="n">
        <v>0</v>
      </c>
      <c r="L6283" t="n">
        <v>0</v>
      </c>
      <c r="M6283" t="n">
        <v>0</v>
      </c>
      <c r="N6283" t="n">
        <v>0</v>
      </c>
      <c r="O6283" t="n">
        <v>0</v>
      </c>
      <c r="P6283" t="n">
        <v>0</v>
      </c>
      <c r="Q6283" t="n">
        <v>0</v>
      </c>
      <c r="R6283" s="2" t="inlineStr"/>
    </row>
    <row r="6284" ht="15" customHeight="1">
      <c r="A6284" t="inlineStr">
        <is>
          <t>A 28128-2022</t>
        </is>
      </c>
      <c r="B6284" s="1" t="n">
        <v>44746.50628472222</v>
      </c>
      <c r="C6284" s="1" t="n">
        <v>46114</v>
      </c>
      <c r="D6284" t="inlineStr">
        <is>
          <t>DALARNAS LÄN</t>
        </is>
      </c>
      <c r="E6284" t="inlineStr">
        <is>
          <t>LEKSAND</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60002-2025</t>
        </is>
      </c>
      <c r="B6285" s="1" t="n">
        <v>45993</v>
      </c>
      <c r="C6285" s="1" t="n">
        <v>46114</v>
      </c>
      <c r="D6285" t="inlineStr">
        <is>
          <t>DALARNAS LÄN</t>
        </is>
      </c>
      <c r="E6285" t="inlineStr">
        <is>
          <t>LUDVIKA</t>
        </is>
      </c>
      <c r="F6285" t="inlineStr">
        <is>
          <t>Bergvik skog väst AB</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61787-2022</t>
        </is>
      </c>
      <c r="B6286" s="1" t="n">
        <v>44917</v>
      </c>
      <c r="C6286" s="1" t="n">
        <v>46114</v>
      </c>
      <c r="D6286" t="inlineStr">
        <is>
          <t>DALARNAS LÄN</t>
        </is>
      </c>
      <c r="E6286" t="inlineStr">
        <is>
          <t>LEKSAND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59832-2025</t>
        </is>
      </c>
      <c r="B6287" s="1" t="n">
        <v>45992.66231481481</v>
      </c>
      <c r="C6287" s="1" t="n">
        <v>46114</v>
      </c>
      <c r="D6287" t="inlineStr">
        <is>
          <t>DALARNAS LÄN</t>
        </is>
      </c>
      <c r="E6287" t="inlineStr">
        <is>
          <t>FALUN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59805-2025</t>
        </is>
      </c>
      <c r="B6288" s="1" t="n">
        <v>45992.62635416666</v>
      </c>
      <c r="C6288" s="1" t="n">
        <v>46114</v>
      </c>
      <c r="D6288" t="inlineStr">
        <is>
          <t>DALARNAS LÄN</t>
        </is>
      </c>
      <c r="E6288" t="inlineStr">
        <is>
          <t>MORA</t>
        </is>
      </c>
      <c r="G6288" t="n">
        <v>4.2</v>
      </c>
      <c r="H6288" t="n">
        <v>0</v>
      </c>
      <c r="I6288" t="n">
        <v>0</v>
      </c>
      <c r="J6288" t="n">
        <v>0</v>
      </c>
      <c r="K6288" t="n">
        <v>0</v>
      </c>
      <c r="L6288" t="n">
        <v>0</v>
      </c>
      <c r="M6288" t="n">
        <v>0</v>
      </c>
      <c r="N6288" t="n">
        <v>0</v>
      </c>
      <c r="O6288" t="n">
        <v>0</v>
      </c>
      <c r="P6288" t="n">
        <v>0</v>
      </c>
      <c r="Q6288" t="n">
        <v>0</v>
      </c>
      <c r="R6288" s="2" t="inlineStr"/>
    </row>
    <row r="6289" ht="15" customHeight="1">
      <c r="A6289" t="inlineStr">
        <is>
          <t>A 66673-2021</t>
        </is>
      </c>
      <c r="B6289" s="1" t="n">
        <v>44519</v>
      </c>
      <c r="C6289" s="1" t="n">
        <v>46114</v>
      </c>
      <c r="D6289" t="inlineStr">
        <is>
          <t>DALARNAS LÄN</t>
        </is>
      </c>
      <c r="E6289" t="inlineStr">
        <is>
          <t>RÄTTVIK</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51289-2023</t>
        </is>
      </c>
      <c r="B6290" s="1" t="n">
        <v>45219.54077546296</v>
      </c>
      <c r="C6290" s="1" t="n">
        <v>46114</v>
      </c>
      <c r="D6290" t="inlineStr">
        <is>
          <t>DALARNAS LÄN</t>
        </is>
      </c>
      <c r="E6290" t="inlineStr">
        <is>
          <t>ORSA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8425-2025</t>
        </is>
      </c>
      <c r="B6291" s="1" t="n">
        <v>45709.41050925926</v>
      </c>
      <c r="C6291" s="1" t="n">
        <v>46114</v>
      </c>
      <c r="D6291" t="inlineStr">
        <is>
          <t>DALARNAS LÄN</t>
        </is>
      </c>
      <c r="E6291" t="inlineStr">
        <is>
          <t>MALUNG-SÄLEN</t>
        </is>
      </c>
      <c r="G6291" t="n">
        <v>6.2</v>
      </c>
      <c r="H6291" t="n">
        <v>0</v>
      </c>
      <c r="I6291" t="n">
        <v>0</v>
      </c>
      <c r="J6291" t="n">
        <v>0</v>
      </c>
      <c r="K6291" t="n">
        <v>0</v>
      </c>
      <c r="L6291" t="n">
        <v>0</v>
      </c>
      <c r="M6291" t="n">
        <v>0</v>
      </c>
      <c r="N6291" t="n">
        <v>0</v>
      </c>
      <c r="O6291" t="n">
        <v>0</v>
      </c>
      <c r="P6291" t="n">
        <v>0</v>
      </c>
      <c r="Q6291" t="n">
        <v>0</v>
      </c>
      <c r="R6291" s="2" t="inlineStr"/>
    </row>
    <row r="6292" ht="15" customHeight="1">
      <c r="A6292" t="inlineStr">
        <is>
          <t>A 8435-2025</t>
        </is>
      </c>
      <c r="B6292" s="1" t="n">
        <v>45709.43188657407</v>
      </c>
      <c r="C6292" s="1" t="n">
        <v>46114</v>
      </c>
      <c r="D6292" t="inlineStr">
        <is>
          <t>DALARNAS LÄN</t>
        </is>
      </c>
      <c r="E6292" t="inlineStr">
        <is>
          <t>FALUN</t>
        </is>
      </c>
      <c r="G6292" t="n">
        <v>4.1</v>
      </c>
      <c r="H6292" t="n">
        <v>0</v>
      </c>
      <c r="I6292" t="n">
        <v>0</v>
      </c>
      <c r="J6292" t="n">
        <v>0</v>
      </c>
      <c r="K6292" t="n">
        <v>0</v>
      </c>
      <c r="L6292" t="n">
        <v>0</v>
      </c>
      <c r="M6292" t="n">
        <v>0</v>
      </c>
      <c r="N6292" t="n">
        <v>0</v>
      </c>
      <c r="O6292" t="n">
        <v>0</v>
      </c>
      <c r="P6292" t="n">
        <v>0</v>
      </c>
      <c r="Q6292" t="n">
        <v>0</v>
      </c>
      <c r="R6292" s="2" t="inlineStr"/>
    </row>
    <row r="6293" ht="15" customHeight="1">
      <c r="A6293" t="inlineStr">
        <is>
          <t>A 60769-2023</t>
        </is>
      </c>
      <c r="B6293" s="1" t="n">
        <v>45260</v>
      </c>
      <c r="C6293" s="1" t="n">
        <v>46114</v>
      </c>
      <c r="D6293" t="inlineStr">
        <is>
          <t>DALARNAS LÄN</t>
        </is>
      </c>
      <c r="E6293" t="inlineStr">
        <is>
          <t>MALUNG-SÄLEN</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63434-2023</t>
        </is>
      </c>
      <c r="B6294" s="1" t="n">
        <v>45274</v>
      </c>
      <c r="C6294" s="1" t="n">
        <v>46114</v>
      </c>
      <c r="D6294" t="inlineStr">
        <is>
          <t>DALARNAS LÄN</t>
        </is>
      </c>
      <c r="E6294" t="inlineStr">
        <is>
          <t>AVESTA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63499-2023</t>
        </is>
      </c>
      <c r="B6295" s="1" t="n">
        <v>45274.67877314815</v>
      </c>
      <c r="C6295" s="1" t="n">
        <v>46114</v>
      </c>
      <c r="D6295" t="inlineStr">
        <is>
          <t>DALARNAS LÄN</t>
        </is>
      </c>
      <c r="E6295" t="inlineStr">
        <is>
          <t>FALUN</t>
        </is>
      </c>
      <c r="G6295" t="n">
        <v>8.5</v>
      </c>
      <c r="H6295" t="n">
        <v>0</v>
      </c>
      <c r="I6295" t="n">
        <v>0</v>
      </c>
      <c r="J6295" t="n">
        <v>0</v>
      </c>
      <c r="K6295" t="n">
        <v>0</v>
      </c>
      <c r="L6295" t="n">
        <v>0</v>
      </c>
      <c r="M6295" t="n">
        <v>0</v>
      </c>
      <c r="N6295" t="n">
        <v>0</v>
      </c>
      <c r="O6295" t="n">
        <v>0</v>
      </c>
      <c r="P6295" t="n">
        <v>0</v>
      </c>
      <c r="Q6295" t="n">
        <v>0</v>
      </c>
      <c r="R6295" s="2" t="inlineStr"/>
    </row>
    <row r="6296" ht="15" customHeight="1">
      <c r="A6296" t="inlineStr">
        <is>
          <t>A 59721-2025</t>
        </is>
      </c>
      <c r="B6296" s="1" t="n">
        <v>45992.546875</v>
      </c>
      <c r="C6296" s="1" t="n">
        <v>46114</v>
      </c>
      <c r="D6296" t="inlineStr">
        <is>
          <t>DALARNAS LÄN</t>
        </is>
      </c>
      <c r="E6296" t="inlineStr">
        <is>
          <t>RÄTTVIK</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32383-2022</t>
        </is>
      </c>
      <c r="B6297" s="1" t="n">
        <v>44781</v>
      </c>
      <c r="C6297" s="1" t="n">
        <v>46114</v>
      </c>
      <c r="D6297" t="inlineStr">
        <is>
          <t>DALARNAS LÄN</t>
        </is>
      </c>
      <c r="E6297" t="inlineStr">
        <is>
          <t>SÄTER</t>
        </is>
      </c>
      <c r="F6297" t="inlineStr">
        <is>
          <t>Bergvik skog väst AB</t>
        </is>
      </c>
      <c r="G6297" t="n">
        <v>4.1</v>
      </c>
      <c r="H6297" t="n">
        <v>0</v>
      </c>
      <c r="I6297" t="n">
        <v>0</v>
      </c>
      <c r="J6297" t="n">
        <v>0</v>
      </c>
      <c r="K6297" t="n">
        <v>0</v>
      </c>
      <c r="L6297" t="n">
        <v>0</v>
      </c>
      <c r="M6297" t="n">
        <v>0</v>
      </c>
      <c r="N6297" t="n">
        <v>0</v>
      </c>
      <c r="O6297" t="n">
        <v>0</v>
      </c>
      <c r="P6297" t="n">
        <v>0</v>
      </c>
      <c r="Q6297" t="n">
        <v>0</v>
      </c>
      <c r="R6297" s="2" t="inlineStr"/>
      <c r="U6297">
        <f>HYPERLINK("https://klasma.github.io/Logging_2082/knärot/A 32383-2022 karta knärot.png", "A 32383-2022")</f>
        <v/>
      </c>
      <c r="V6297">
        <f>HYPERLINK("https://klasma.github.io/Logging_2082/klagomål/A 32383-2022 FSC-klagomål.docx", "A 32383-2022")</f>
        <v/>
      </c>
      <c r="W6297">
        <f>HYPERLINK("https://klasma.github.io/Logging_2082/klagomålsmail/A 32383-2022 FSC-klagomål mail.docx", "A 32383-2022")</f>
        <v/>
      </c>
      <c r="X6297">
        <f>HYPERLINK("https://klasma.github.io/Logging_2082/tillsyn/A 32383-2022 tillsynsbegäran.docx", "A 32383-2022")</f>
        <v/>
      </c>
      <c r="Y6297">
        <f>HYPERLINK("https://klasma.github.io/Logging_2082/tillsynsmail/A 32383-2022 tillsynsbegäran mail.docx", "A 32383-2022")</f>
        <v/>
      </c>
    </row>
    <row r="6298" ht="15" customHeight="1">
      <c r="A6298" t="inlineStr">
        <is>
          <t>A 62398-2021</t>
        </is>
      </c>
      <c r="B6298" s="1" t="n">
        <v>44503</v>
      </c>
      <c r="C6298" s="1" t="n">
        <v>46114</v>
      </c>
      <c r="D6298" t="inlineStr">
        <is>
          <t>DALARNAS LÄN</t>
        </is>
      </c>
      <c r="E6298" t="inlineStr">
        <is>
          <t>VANSBRO</t>
        </is>
      </c>
      <c r="F6298" t="inlineStr">
        <is>
          <t>Bergvik skog öst AB</t>
        </is>
      </c>
      <c r="G6298" t="n">
        <v>22.1</v>
      </c>
      <c r="H6298" t="n">
        <v>0</v>
      </c>
      <c r="I6298" t="n">
        <v>0</v>
      </c>
      <c r="J6298" t="n">
        <v>0</v>
      </c>
      <c r="K6298" t="n">
        <v>0</v>
      </c>
      <c r="L6298" t="n">
        <v>0</v>
      </c>
      <c r="M6298" t="n">
        <v>0</v>
      </c>
      <c r="N6298" t="n">
        <v>0</v>
      </c>
      <c r="O6298" t="n">
        <v>0</v>
      </c>
      <c r="P6298" t="n">
        <v>0</v>
      </c>
      <c r="Q6298" t="n">
        <v>0</v>
      </c>
      <c r="R6298" s="2" t="inlineStr"/>
    </row>
    <row r="6299" ht="15" customHeight="1">
      <c r="A6299" t="inlineStr">
        <is>
          <t>A 57230-2024</t>
        </is>
      </c>
      <c r="B6299" s="1" t="n">
        <v>45629.54122685185</v>
      </c>
      <c r="C6299" s="1" t="n">
        <v>46114</v>
      </c>
      <c r="D6299" t="inlineStr">
        <is>
          <t>DALARNAS LÄN</t>
        </is>
      </c>
      <c r="E6299" t="inlineStr">
        <is>
          <t>LUDVIKA</t>
        </is>
      </c>
      <c r="F6299" t="inlineStr">
        <is>
          <t>Bergvik skog väst AB</t>
        </is>
      </c>
      <c r="G6299" t="n">
        <v>3.9</v>
      </c>
      <c r="H6299" t="n">
        <v>0</v>
      </c>
      <c r="I6299" t="n">
        <v>0</v>
      </c>
      <c r="J6299" t="n">
        <v>0</v>
      </c>
      <c r="K6299" t="n">
        <v>0</v>
      </c>
      <c r="L6299" t="n">
        <v>0</v>
      </c>
      <c r="M6299" t="n">
        <v>0</v>
      </c>
      <c r="N6299" t="n">
        <v>0</v>
      </c>
      <c r="O6299" t="n">
        <v>0</v>
      </c>
      <c r="P6299" t="n">
        <v>0</v>
      </c>
      <c r="Q6299" t="n">
        <v>0</v>
      </c>
      <c r="R6299" s="2" t="inlineStr"/>
    </row>
    <row r="6300" ht="15" customHeight="1">
      <c r="A6300" t="inlineStr">
        <is>
          <t>A 36398-2024</t>
        </is>
      </c>
      <c r="B6300" s="1" t="n">
        <v>45535.42527777778</v>
      </c>
      <c r="C6300" s="1" t="n">
        <v>46114</v>
      </c>
      <c r="D6300" t="inlineStr">
        <is>
          <t>DALARNAS LÄN</t>
        </is>
      </c>
      <c r="E6300" t="inlineStr">
        <is>
          <t>FALUN</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36415-2024</t>
        </is>
      </c>
      <c r="B6301" s="1" t="n">
        <v>45536.37116898148</v>
      </c>
      <c r="C6301" s="1" t="n">
        <v>46114</v>
      </c>
      <c r="D6301" t="inlineStr">
        <is>
          <t>DALARNAS LÄN</t>
        </is>
      </c>
      <c r="E6301" t="inlineStr">
        <is>
          <t>RÄTTVIK</t>
        </is>
      </c>
      <c r="G6301" t="n">
        <v>3</v>
      </c>
      <c r="H6301" t="n">
        <v>0</v>
      </c>
      <c r="I6301" t="n">
        <v>0</v>
      </c>
      <c r="J6301" t="n">
        <v>0</v>
      </c>
      <c r="K6301" t="n">
        <v>0</v>
      </c>
      <c r="L6301" t="n">
        <v>0</v>
      </c>
      <c r="M6301" t="n">
        <v>0</v>
      </c>
      <c r="N6301" t="n">
        <v>0</v>
      </c>
      <c r="O6301" t="n">
        <v>0</v>
      </c>
      <c r="P6301" t="n">
        <v>0</v>
      </c>
      <c r="Q6301" t="n">
        <v>0</v>
      </c>
      <c r="R6301" s="2" t="inlineStr"/>
    </row>
    <row r="6302" ht="15" customHeight="1">
      <c r="A6302" t="inlineStr">
        <is>
          <t>A 59854-2025</t>
        </is>
      </c>
      <c r="B6302" s="1" t="n">
        <v>45992.73412037037</v>
      </c>
      <c r="C6302" s="1" t="n">
        <v>46114</v>
      </c>
      <c r="D6302" t="inlineStr">
        <is>
          <t>DALARNAS LÄN</t>
        </is>
      </c>
      <c r="E6302" t="inlineStr">
        <is>
          <t>SÄTER</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61758-2024</t>
        </is>
      </c>
      <c r="B6303" s="1" t="n">
        <v>45649.41373842592</v>
      </c>
      <c r="C6303" s="1" t="n">
        <v>46114</v>
      </c>
      <c r="D6303" t="inlineStr">
        <is>
          <t>DALARNAS LÄN</t>
        </is>
      </c>
      <c r="E6303" t="inlineStr">
        <is>
          <t>AVESTA</t>
        </is>
      </c>
      <c r="G6303" t="n">
        <v>7.1</v>
      </c>
      <c r="H6303" t="n">
        <v>0</v>
      </c>
      <c r="I6303" t="n">
        <v>0</v>
      </c>
      <c r="J6303" t="n">
        <v>0</v>
      </c>
      <c r="K6303" t="n">
        <v>0</v>
      </c>
      <c r="L6303" t="n">
        <v>0</v>
      </c>
      <c r="M6303" t="n">
        <v>0</v>
      </c>
      <c r="N6303" t="n">
        <v>0</v>
      </c>
      <c r="O6303" t="n">
        <v>0</v>
      </c>
      <c r="P6303" t="n">
        <v>0</v>
      </c>
      <c r="Q6303" t="n">
        <v>0</v>
      </c>
      <c r="R6303" s="2" t="inlineStr"/>
    </row>
    <row r="6304" ht="15" customHeight="1">
      <c r="A6304" t="inlineStr">
        <is>
          <t>A 59909-2025</t>
        </is>
      </c>
      <c r="B6304" s="1" t="n">
        <v>45993.35644675926</v>
      </c>
      <c r="C6304" s="1" t="n">
        <v>46114</v>
      </c>
      <c r="D6304" t="inlineStr">
        <is>
          <t>DALARNAS LÄN</t>
        </is>
      </c>
      <c r="E6304" t="inlineStr">
        <is>
          <t>ORSA</t>
        </is>
      </c>
      <c r="G6304" t="n">
        <v>3.5</v>
      </c>
      <c r="H6304" t="n">
        <v>0</v>
      </c>
      <c r="I6304" t="n">
        <v>0</v>
      </c>
      <c r="J6304" t="n">
        <v>0</v>
      </c>
      <c r="K6304" t="n">
        <v>0</v>
      </c>
      <c r="L6304" t="n">
        <v>0</v>
      </c>
      <c r="M6304" t="n">
        <v>0</v>
      </c>
      <c r="N6304" t="n">
        <v>0</v>
      </c>
      <c r="O6304" t="n">
        <v>0</v>
      </c>
      <c r="P6304" t="n">
        <v>0</v>
      </c>
      <c r="Q6304" t="n">
        <v>0</v>
      </c>
      <c r="R6304" s="2" t="inlineStr"/>
    </row>
    <row r="6305" ht="15" customHeight="1">
      <c r="A6305" t="inlineStr">
        <is>
          <t>A 26431-2024</t>
        </is>
      </c>
      <c r="B6305" s="1" t="n">
        <v>45469.48282407408</v>
      </c>
      <c r="C6305" s="1" t="n">
        <v>46114</v>
      </c>
      <c r="D6305" t="inlineStr">
        <is>
          <t>DALARNAS LÄN</t>
        </is>
      </c>
      <c r="E6305" t="inlineStr">
        <is>
          <t>HEDEMORA</t>
        </is>
      </c>
      <c r="G6305" t="n">
        <v>1.6</v>
      </c>
      <c r="H6305" t="n">
        <v>0</v>
      </c>
      <c r="I6305" t="n">
        <v>0</v>
      </c>
      <c r="J6305" t="n">
        <v>0</v>
      </c>
      <c r="K6305" t="n">
        <v>0</v>
      </c>
      <c r="L6305" t="n">
        <v>0</v>
      </c>
      <c r="M6305" t="n">
        <v>0</v>
      </c>
      <c r="N6305" t="n">
        <v>0</v>
      </c>
      <c r="O6305" t="n">
        <v>0</v>
      </c>
      <c r="P6305" t="n">
        <v>0</v>
      </c>
      <c r="Q6305" t="n">
        <v>0</v>
      </c>
      <c r="R6305" s="2" t="inlineStr"/>
      <c r="U6305">
        <f>HYPERLINK("https://klasma.github.io/Logging_2083/knärot/A 26431-2024 karta knärot.png", "A 26431-2024")</f>
        <v/>
      </c>
      <c r="V6305">
        <f>HYPERLINK("https://klasma.github.io/Logging_2083/klagomål/A 26431-2024 FSC-klagomål.docx", "A 26431-2024")</f>
        <v/>
      </c>
      <c r="W6305">
        <f>HYPERLINK("https://klasma.github.io/Logging_2083/klagomålsmail/A 26431-2024 FSC-klagomål mail.docx", "A 26431-2024")</f>
        <v/>
      </c>
      <c r="X6305">
        <f>HYPERLINK("https://klasma.github.io/Logging_2083/tillsyn/A 26431-2024 tillsynsbegäran.docx", "A 26431-2024")</f>
        <v/>
      </c>
      <c r="Y6305">
        <f>HYPERLINK("https://klasma.github.io/Logging_2083/tillsynsmail/A 26431-2024 tillsynsbegäran mail.docx", "A 26431-2024")</f>
        <v/>
      </c>
    </row>
    <row r="6306" ht="15" customHeight="1">
      <c r="A6306" t="inlineStr">
        <is>
          <t>A 59582-2025</t>
        </is>
      </c>
      <c r="B6306" s="1" t="n">
        <v>45992.31405092592</v>
      </c>
      <c r="C6306" s="1" t="n">
        <v>46114</v>
      </c>
      <c r="D6306" t="inlineStr">
        <is>
          <t>DALARNAS LÄN</t>
        </is>
      </c>
      <c r="E6306" t="inlineStr">
        <is>
          <t>HEDEMORA</t>
        </is>
      </c>
      <c r="G6306" t="n">
        <v>3.9</v>
      </c>
      <c r="H6306" t="n">
        <v>0</v>
      </c>
      <c r="I6306" t="n">
        <v>0</v>
      </c>
      <c r="J6306" t="n">
        <v>0</v>
      </c>
      <c r="K6306" t="n">
        <v>0</v>
      </c>
      <c r="L6306" t="n">
        <v>0</v>
      </c>
      <c r="M6306" t="n">
        <v>0</v>
      </c>
      <c r="N6306" t="n">
        <v>0</v>
      </c>
      <c r="O6306" t="n">
        <v>0</v>
      </c>
      <c r="P6306" t="n">
        <v>0</v>
      </c>
      <c r="Q6306" t="n">
        <v>0</v>
      </c>
      <c r="R6306" s="2" t="inlineStr"/>
    </row>
    <row r="6307" ht="15" customHeight="1">
      <c r="A6307" t="inlineStr">
        <is>
          <t>A 59585-2025</t>
        </is>
      </c>
      <c r="B6307" s="1" t="n">
        <v>45992.33203703703</v>
      </c>
      <c r="C6307" s="1" t="n">
        <v>46114</v>
      </c>
      <c r="D6307" t="inlineStr">
        <is>
          <t>DALARNAS LÄN</t>
        </is>
      </c>
      <c r="E6307" t="inlineStr">
        <is>
          <t>MALUNG-SÄLEN</t>
        </is>
      </c>
      <c r="G6307" t="n">
        <v>5</v>
      </c>
      <c r="H6307" t="n">
        <v>0</v>
      </c>
      <c r="I6307" t="n">
        <v>0</v>
      </c>
      <c r="J6307" t="n">
        <v>0</v>
      </c>
      <c r="K6307" t="n">
        <v>0</v>
      </c>
      <c r="L6307" t="n">
        <v>0</v>
      </c>
      <c r="M6307" t="n">
        <v>0</v>
      </c>
      <c r="N6307" t="n">
        <v>0</v>
      </c>
      <c r="O6307" t="n">
        <v>0</v>
      </c>
      <c r="P6307" t="n">
        <v>0</v>
      </c>
      <c r="Q6307" t="n">
        <v>0</v>
      </c>
      <c r="R6307" s="2" t="inlineStr"/>
    </row>
    <row r="6308" ht="15" customHeight="1">
      <c r="A6308" t="inlineStr">
        <is>
          <t>A 59638-2025</t>
        </is>
      </c>
      <c r="B6308" s="1" t="n">
        <v>45992.41105324074</v>
      </c>
      <c r="C6308" s="1" t="n">
        <v>46114</v>
      </c>
      <c r="D6308" t="inlineStr">
        <is>
          <t>DALARNAS LÄN</t>
        </is>
      </c>
      <c r="E6308" t="inlineStr">
        <is>
          <t>LEKSAND</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59571-2025</t>
        </is>
      </c>
      <c r="B6309" s="1" t="n">
        <v>45992.00342592593</v>
      </c>
      <c r="C6309" s="1" t="n">
        <v>46114</v>
      </c>
      <c r="D6309" t="inlineStr">
        <is>
          <t>DALARNAS LÄN</t>
        </is>
      </c>
      <c r="E6309" t="inlineStr">
        <is>
          <t>FALUN</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59580-2025</t>
        </is>
      </c>
      <c r="B6310" s="1" t="n">
        <v>45992.30768518519</v>
      </c>
      <c r="C6310" s="1" t="n">
        <v>46114</v>
      </c>
      <c r="D6310" t="inlineStr">
        <is>
          <t>DALARNAS LÄN</t>
        </is>
      </c>
      <c r="E6310" t="inlineStr">
        <is>
          <t>GAGNEF</t>
        </is>
      </c>
      <c r="G6310" t="n">
        <v>4.5</v>
      </c>
      <c r="H6310" t="n">
        <v>0</v>
      </c>
      <c r="I6310" t="n">
        <v>0</v>
      </c>
      <c r="J6310" t="n">
        <v>0</v>
      </c>
      <c r="K6310" t="n">
        <v>0</v>
      </c>
      <c r="L6310" t="n">
        <v>0</v>
      </c>
      <c r="M6310" t="n">
        <v>0</v>
      </c>
      <c r="N6310" t="n">
        <v>0</v>
      </c>
      <c r="O6310" t="n">
        <v>0</v>
      </c>
      <c r="P6310" t="n">
        <v>0</v>
      </c>
      <c r="Q6310" t="n">
        <v>0</v>
      </c>
      <c r="R6310" s="2" t="inlineStr"/>
    </row>
    <row r="6311" ht="15" customHeight="1">
      <c r="A6311" t="inlineStr">
        <is>
          <t>A 14089-2022</t>
        </is>
      </c>
      <c r="B6311" s="1" t="n">
        <v>44651</v>
      </c>
      <c r="C6311" s="1" t="n">
        <v>46114</v>
      </c>
      <c r="D6311" t="inlineStr">
        <is>
          <t>DALARNAS LÄN</t>
        </is>
      </c>
      <c r="E6311" t="inlineStr">
        <is>
          <t>ÄLVDALEN</t>
        </is>
      </c>
      <c r="F6311" t="inlineStr">
        <is>
          <t>Kommuner</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59772-2025</t>
        </is>
      </c>
      <c r="B6312" s="1" t="n">
        <v>45992.60519675926</v>
      </c>
      <c r="C6312" s="1" t="n">
        <v>46114</v>
      </c>
      <c r="D6312" t="inlineStr">
        <is>
          <t>DALARNAS LÄN</t>
        </is>
      </c>
      <c r="E6312" t="inlineStr">
        <is>
          <t>MALUNG-SÄLEN</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7321-2025</t>
        </is>
      </c>
      <c r="B6313" s="1" t="n">
        <v>45702.85523148148</v>
      </c>
      <c r="C6313" s="1" t="n">
        <v>46114</v>
      </c>
      <c r="D6313" t="inlineStr">
        <is>
          <t>DALARNAS LÄN</t>
        </is>
      </c>
      <c r="E6313" t="inlineStr">
        <is>
          <t>AVESTA</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60023-2025</t>
        </is>
      </c>
      <c r="B6314" s="1" t="n">
        <v>45993.60201388889</v>
      </c>
      <c r="C6314" s="1" t="n">
        <v>46114</v>
      </c>
      <c r="D6314" t="inlineStr">
        <is>
          <t>DALARNAS LÄN</t>
        </is>
      </c>
      <c r="E6314" t="inlineStr">
        <is>
          <t>LEKSAND</t>
        </is>
      </c>
      <c r="G6314" t="n">
        <v>6.5</v>
      </c>
      <c r="H6314" t="n">
        <v>0</v>
      </c>
      <c r="I6314" t="n">
        <v>0</v>
      </c>
      <c r="J6314" t="n">
        <v>0</v>
      </c>
      <c r="K6314" t="n">
        <v>0</v>
      </c>
      <c r="L6314" t="n">
        <v>0</v>
      </c>
      <c r="M6314" t="n">
        <v>0</v>
      </c>
      <c r="N6314" t="n">
        <v>0</v>
      </c>
      <c r="O6314" t="n">
        <v>0</v>
      </c>
      <c r="P6314" t="n">
        <v>0</v>
      </c>
      <c r="Q6314" t="n">
        <v>0</v>
      </c>
      <c r="R6314" s="2" t="inlineStr"/>
    </row>
    <row r="6315" ht="15" customHeight="1">
      <c r="A6315" t="inlineStr">
        <is>
          <t>A 44141-2022</t>
        </is>
      </c>
      <c r="B6315" s="1" t="n">
        <v>44839</v>
      </c>
      <c r="C6315" s="1" t="n">
        <v>46114</v>
      </c>
      <c r="D6315" t="inlineStr">
        <is>
          <t>DALARNAS LÄN</t>
        </is>
      </c>
      <c r="E6315" t="inlineStr">
        <is>
          <t>AVESTA</t>
        </is>
      </c>
      <c r="G6315" t="n">
        <v>6.6</v>
      </c>
      <c r="H6315" t="n">
        <v>0</v>
      </c>
      <c r="I6315" t="n">
        <v>0</v>
      </c>
      <c r="J6315" t="n">
        <v>0</v>
      </c>
      <c r="K6315" t="n">
        <v>0</v>
      </c>
      <c r="L6315" t="n">
        <v>0</v>
      </c>
      <c r="M6315" t="n">
        <v>0</v>
      </c>
      <c r="N6315" t="n">
        <v>0</v>
      </c>
      <c r="O6315" t="n">
        <v>0</v>
      </c>
      <c r="P6315" t="n">
        <v>0</v>
      </c>
      <c r="Q6315" t="n">
        <v>0</v>
      </c>
      <c r="R6315" s="2" t="inlineStr"/>
    </row>
    <row r="6316" ht="15" customHeight="1">
      <c r="A6316" t="inlineStr">
        <is>
          <t>A 44576-2024</t>
        </is>
      </c>
      <c r="B6316" s="1" t="n">
        <v>45574.48467592592</v>
      </c>
      <c r="C6316" s="1" t="n">
        <v>46114</v>
      </c>
      <c r="D6316" t="inlineStr">
        <is>
          <t>DALARNAS LÄN</t>
        </is>
      </c>
      <c r="E6316" t="inlineStr">
        <is>
          <t>MALUNG-SÄLEN</t>
        </is>
      </c>
      <c r="F6316" t="inlineStr">
        <is>
          <t>Bergvik skog öst AB</t>
        </is>
      </c>
      <c r="G6316" t="n">
        <v>4.5</v>
      </c>
      <c r="H6316" t="n">
        <v>0</v>
      </c>
      <c r="I6316" t="n">
        <v>0</v>
      </c>
      <c r="J6316" t="n">
        <v>0</v>
      </c>
      <c r="K6316" t="n">
        <v>0</v>
      </c>
      <c r="L6316" t="n">
        <v>0</v>
      </c>
      <c r="M6316" t="n">
        <v>0</v>
      </c>
      <c r="N6316" t="n">
        <v>0</v>
      </c>
      <c r="O6316" t="n">
        <v>0</v>
      </c>
      <c r="P6316" t="n">
        <v>0</v>
      </c>
      <c r="Q6316" t="n">
        <v>0</v>
      </c>
      <c r="R6316" s="2" t="inlineStr"/>
    </row>
    <row r="6317" ht="15" customHeight="1">
      <c r="A6317" t="inlineStr">
        <is>
          <t>A 60067-2025</t>
        </is>
      </c>
      <c r="B6317" s="1" t="n">
        <v>45993.66039351852</v>
      </c>
      <c r="C6317" s="1" t="n">
        <v>46114</v>
      </c>
      <c r="D6317" t="inlineStr">
        <is>
          <t>DALARNAS LÄN</t>
        </is>
      </c>
      <c r="E6317" t="inlineStr">
        <is>
          <t>LEKSAND</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44595-2024</t>
        </is>
      </c>
      <c r="B6318" s="1" t="n">
        <v>45574.51053240741</v>
      </c>
      <c r="C6318" s="1" t="n">
        <v>46114</v>
      </c>
      <c r="D6318" t="inlineStr">
        <is>
          <t>DALARNAS LÄN</t>
        </is>
      </c>
      <c r="E6318" t="inlineStr">
        <is>
          <t>MORA</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60085-2025</t>
        </is>
      </c>
      <c r="B6319" s="1" t="n">
        <v>45993.71023148148</v>
      </c>
      <c r="C6319" s="1" t="n">
        <v>46114</v>
      </c>
      <c r="D6319" t="inlineStr">
        <is>
          <t>DALARNAS LÄN</t>
        </is>
      </c>
      <c r="E6319" t="inlineStr">
        <is>
          <t>FALUN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60086-2025</t>
        </is>
      </c>
      <c r="B6320" s="1" t="n">
        <v>45993.71630787037</v>
      </c>
      <c r="C6320" s="1" t="n">
        <v>46114</v>
      </c>
      <c r="D6320" t="inlineStr">
        <is>
          <t>DALARNAS LÄN</t>
        </is>
      </c>
      <c r="E6320" t="inlineStr">
        <is>
          <t>FALUN</t>
        </is>
      </c>
      <c r="G6320" t="n">
        <v>4.5</v>
      </c>
      <c r="H6320" t="n">
        <v>0</v>
      </c>
      <c r="I6320" t="n">
        <v>0</v>
      </c>
      <c r="J6320" t="n">
        <v>0</v>
      </c>
      <c r="K6320" t="n">
        <v>0</v>
      </c>
      <c r="L6320" t="n">
        <v>0</v>
      </c>
      <c r="M6320" t="n">
        <v>0</v>
      </c>
      <c r="N6320" t="n">
        <v>0</v>
      </c>
      <c r="O6320" t="n">
        <v>0</v>
      </c>
      <c r="P6320" t="n">
        <v>0</v>
      </c>
      <c r="Q6320" t="n">
        <v>0</v>
      </c>
      <c r="R6320" s="2" t="inlineStr"/>
    </row>
    <row r="6321" ht="15" customHeight="1">
      <c r="A6321" t="inlineStr">
        <is>
          <t>A 37-2025</t>
        </is>
      </c>
      <c r="B6321" s="1" t="n">
        <v>45659.32552083334</v>
      </c>
      <c r="C6321" s="1" t="n">
        <v>46114</v>
      </c>
      <c r="D6321" t="inlineStr">
        <is>
          <t>DALARNAS LÄN</t>
        </is>
      </c>
      <c r="E6321" t="inlineStr">
        <is>
          <t>MALUNG-SÄLEN</t>
        </is>
      </c>
      <c r="G6321" t="n">
        <v>1.6</v>
      </c>
      <c r="H6321" t="n">
        <v>0</v>
      </c>
      <c r="I6321" t="n">
        <v>0</v>
      </c>
      <c r="J6321" t="n">
        <v>0</v>
      </c>
      <c r="K6321" t="n">
        <v>0</v>
      </c>
      <c r="L6321" t="n">
        <v>0</v>
      </c>
      <c r="M6321" t="n">
        <v>0</v>
      </c>
      <c r="N6321" t="n">
        <v>0</v>
      </c>
      <c r="O6321" t="n">
        <v>0</v>
      </c>
      <c r="P6321" t="n">
        <v>0</v>
      </c>
      <c r="Q6321" t="n">
        <v>0</v>
      </c>
      <c r="R6321" s="2" t="inlineStr"/>
    </row>
    <row r="6322" ht="15" customHeight="1">
      <c r="A6322" t="inlineStr">
        <is>
          <t>A 40707-2023</t>
        </is>
      </c>
      <c r="B6322" s="1" t="n">
        <v>45170.62489583333</v>
      </c>
      <c r="C6322" s="1" t="n">
        <v>46114</v>
      </c>
      <c r="D6322" t="inlineStr">
        <is>
          <t>DALARNAS LÄN</t>
        </is>
      </c>
      <c r="E6322" t="inlineStr">
        <is>
          <t>HEDEMORA</t>
        </is>
      </c>
      <c r="F6322" t="inlineStr">
        <is>
          <t>Sveaskog</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59768-2025</t>
        </is>
      </c>
      <c r="B6323" s="1" t="n">
        <v>45992</v>
      </c>
      <c r="C6323" s="1" t="n">
        <v>46114</v>
      </c>
      <c r="D6323" t="inlineStr">
        <is>
          <t>DALARNAS LÄN</t>
        </is>
      </c>
      <c r="E6323" t="inlineStr">
        <is>
          <t>MORA</t>
        </is>
      </c>
      <c r="G6323" t="n">
        <v>4</v>
      </c>
      <c r="H6323" t="n">
        <v>0</v>
      </c>
      <c r="I6323" t="n">
        <v>0</v>
      </c>
      <c r="J6323" t="n">
        <v>0</v>
      </c>
      <c r="K6323" t="n">
        <v>0</v>
      </c>
      <c r="L6323" t="n">
        <v>0</v>
      </c>
      <c r="M6323" t="n">
        <v>0</v>
      </c>
      <c r="N6323" t="n">
        <v>0</v>
      </c>
      <c r="O6323" t="n">
        <v>0</v>
      </c>
      <c r="P6323" t="n">
        <v>0</v>
      </c>
      <c r="Q6323" t="n">
        <v>0</v>
      </c>
      <c r="R6323" s="2" t="inlineStr"/>
    </row>
    <row r="6324" ht="15" customHeight="1">
      <c r="A6324" t="inlineStr">
        <is>
          <t>A 52483-2023</t>
        </is>
      </c>
      <c r="B6324" s="1" t="n">
        <v>45225</v>
      </c>
      <c r="C6324" s="1" t="n">
        <v>46114</v>
      </c>
      <c r="D6324" t="inlineStr">
        <is>
          <t>DALARNAS LÄN</t>
        </is>
      </c>
      <c r="E6324" t="inlineStr">
        <is>
          <t>ÄLVDALEN</t>
        </is>
      </c>
      <c r="F6324" t="inlineStr">
        <is>
          <t>Allmännings- och besparingsskogar</t>
        </is>
      </c>
      <c r="G6324" t="n">
        <v>30.9</v>
      </c>
      <c r="H6324" t="n">
        <v>0</v>
      </c>
      <c r="I6324" t="n">
        <v>0</v>
      </c>
      <c r="J6324" t="n">
        <v>0</v>
      </c>
      <c r="K6324" t="n">
        <v>0</v>
      </c>
      <c r="L6324" t="n">
        <v>0</v>
      </c>
      <c r="M6324" t="n">
        <v>0</v>
      </c>
      <c r="N6324" t="n">
        <v>0</v>
      </c>
      <c r="O6324" t="n">
        <v>0</v>
      </c>
      <c r="P6324" t="n">
        <v>0</v>
      </c>
      <c r="Q6324" t="n">
        <v>0</v>
      </c>
      <c r="R6324" s="2" t="inlineStr"/>
      <c r="U6324">
        <f>HYPERLINK("https://klasma.github.io/Logging_2039/knärot/A 52483-2023 karta knärot.png", "A 52483-2023")</f>
        <v/>
      </c>
      <c r="V6324">
        <f>HYPERLINK("https://klasma.github.io/Logging_2039/klagomål/A 52483-2023 FSC-klagomål.docx", "A 52483-2023")</f>
        <v/>
      </c>
      <c r="W6324">
        <f>HYPERLINK("https://klasma.github.io/Logging_2039/klagomålsmail/A 52483-2023 FSC-klagomål mail.docx", "A 52483-2023")</f>
        <v/>
      </c>
      <c r="X6324">
        <f>HYPERLINK("https://klasma.github.io/Logging_2039/tillsyn/A 52483-2023 tillsynsbegäran.docx", "A 52483-2023")</f>
        <v/>
      </c>
      <c r="Y6324">
        <f>HYPERLINK("https://klasma.github.io/Logging_2039/tillsynsmail/A 52483-2023 tillsynsbegäran mail.docx", "A 52483-2023")</f>
        <v/>
      </c>
    </row>
    <row r="6325" ht="15" customHeight="1">
      <c r="A6325" t="inlineStr">
        <is>
          <t>A 59669-2025</t>
        </is>
      </c>
      <c r="B6325" s="1" t="n">
        <v>45992.45640046296</v>
      </c>
      <c r="C6325" s="1" t="n">
        <v>46114</v>
      </c>
      <c r="D6325" t="inlineStr">
        <is>
          <t>DALARNAS LÄN</t>
        </is>
      </c>
      <c r="E6325" t="inlineStr">
        <is>
          <t>MORA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59974-2025</t>
        </is>
      </c>
      <c r="B6326" s="1" t="n">
        <v>45993.50063657408</v>
      </c>
      <c r="C6326" s="1" t="n">
        <v>46114</v>
      </c>
      <c r="D6326" t="inlineStr">
        <is>
          <t>DALARNAS LÄN</t>
        </is>
      </c>
      <c r="E6326" t="inlineStr">
        <is>
          <t>SÄTER</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59996-2025</t>
        </is>
      </c>
      <c r="B6327" s="1" t="n">
        <v>45993.57144675926</v>
      </c>
      <c r="C6327" s="1" t="n">
        <v>46114</v>
      </c>
      <c r="D6327" t="inlineStr">
        <is>
          <t>DALARNAS LÄN</t>
        </is>
      </c>
      <c r="E6327" t="inlineStr">
        <is>
          <t>VANSBRO</t>
        </is>
      </c>
      <c r="G6327" t="n">
        <v>3.3</v>
      </c>
      <c r="H6327" t="n">
        <v>0</v>
      </c>
      <c r="I6327" t="n">
        <v>0</v>
      </c>
      <c r="J6327" t="n">
        <v>0</v>
      </c>
      <c r="K6327" t="n">
        <v>0</v>
      </c>
      <c r="L6327" t="n">
        <v>0</v>
      </c>
      <c r="M6327" t="n">
        <v>0</v>
      </c>
      <c r="N6327" t="n">
        <v>0</v>
      </c>
      <c r="O6327" t="n">
        <v>0</v>
      </c>
      <c r="P6327" t="n">
        <v>0</v>
      </c>
      <c r="Q6327" t="n">
        <v>0</v>
      </c>
      <c r="R6327" s="2" t="inlineStr"/>
    </row>
    <row r="6328" ht="15" customHeight="1">
      <c r="A6328" t="inlineStr">
        <is>
          <t>A 60005-2025</t>
        </is>
      </c>
      <c r="B6328" s="1" t="n">
        <v>45993</v>
      </c>
      <c r="C6328" s="1" t="n">
        <v>46114</v>
      </c>
      <c r="D6328" t="inlineStr">
        <is>
          <t>DALARNAS LÄN</t>
        </is>
      </c>
      <c r="E6328" t="inlineStr">
        <is>
          <t>LUDVIKA</t>
        </is>
      </c>
      <c r="F6328" t="inlineStr">
        <is>
          <t>Bergvik skog väst AB</t>
        </is>
      </c>
      <c r="G6328" t="n">
        <v>1.5</v>
      </c>
      <c r="H6328" t="n">
        <v>0</v>
      </c>
      <c r="I6328" t="n">
        <v>0</v>
      </c>
      <c r="J6328" t="n">
        <v>0</v>
      </c>
      <c r="K6328" t="n">
        <v>0</v>
      </c>
      <c r="L6328" t="n">
        <v>0</v>
      </c>
      <c r="M6328" t="n">
        <v>0</v>
      </c>
      <c r="N6328" t="n">
        <v>0</v>
      </c>
      <c r="O6328" t="n">
        <v>0</v>
      </c>
      <c r="P6328" t="n">
        <v>0</v>
      </c>
      <c r="Q6328" t="n">
        <v>0</v>
      </c>
      <c r="R6328" s="2" t="inlineStr"/>
    </row>
    <row r="6329" ht="15" customHeight="1">
      <c r="A6329" t="inlineStr">
        <is>
          <t>A 46561-2023</t>
        </is>
      </c>
      <c r="B6329" s="1" t="n">
        <v>45198</v>
      </c>
      <c r="C6329" s="1" t="n">
        <v>46114</v>
      </c>
      <c r="D6329" t="inlineStr">
        <is>
          <t>DALARNAS LÄN</t>
        </is>
      </c>
      <c r="E6329" t="inlineStr">
        <is>
          <t>FALUN</t>
        </is>
      </c>
      <c r="G6329" t="n">
        <v>1.8</v>
      </c>
      <c r="H6329" t="n">
        <v>0</v>
      </c>
      <c r="I6329" t="n">
        <v>0</v>
      </c>
      <c r="J6329" t="n">
        <v>0</v>
      </c>
      <c r="K6329" t="n">
        <v>0</v>
      </c>
      <c r="L6329" t="n">
        <v>0</v>
      </c>
      <c r="M6329" t="n">
        <v>0</v>
      </c>
      <c r="N6329" t="n">
        <v>0</v>
      </c>
      <c r="O6329" t="n">
        <v>0</v>
      </c>
      <c r="P6329" t="n">
        <v>0</v>
      </c>
      <c r="Q6329" t="n">
        <v>0</v>
      </c>
      <c r="R6329" s="2" t="inlineStr"/>
    </row>
    <row r="6330" ht="15" customHeight="1">
      <c r="A6330" t="inlineStr">
        <is>
          <t>A 63648-2023</t>
        </is>
      </c>
      <c r="B6330" s="1" t="n">
        <v>45275</v>
      </c>
      <c r="C6330" s="1" t="n">
        <v>46114</v>
      </c>
      <c r="D6330" t="inlineStr">
        <is>
          <t>DALARNAS LÄN</t>
        </is>
      </c>
      <c r="E6330" t="inlineStr">
        <is>
          <t>GAGNEF</t>
        </is>
      </c>
      <c r="G6330" t="n">
        <v>0.3</v>
      </c>
      <c r="H6330" t="n">
        <v>0</v>
      </c>
      <c r="I6330" t="n">
        <v>0</v>
      </c>
      <c r="J6330" t="n">
        <v>0</v>
      </c>
      <c r="K6330" t="n">
        <v>0</v>
      </c>
      <c r="L6330" t="n">
        <v>0</v>
      </c>
      <c r="M6330" t="n">
        <v>0</v>
      </c>
      <c r="N6330" t="n">
        <v>0</v>
      </c>
      <c r="O6330" t="n">
        <v>0</v>
      </c>
      <c r="P6330" t="n">
        <v>0</v>
      </c>
      <c r="Q6330" t="n">
        <v>0</v>
      </c>
      <c r="R6330" s="2" t="inlineStr"/>
    </row>
    <row r="6331" ht="15" customHeight="1">
      <c r="A6331" t="inlineStr">
        <is>
          <t>A 60078-2025</t>
        </is>
      </c>
      <c r="B6331" s="1" t="n">
        <v>45993.68112268519</v>
      </c>
      <c r="C6331" s="1" t="n">
        <v>46114</v>
      </c>
      <c r="D6331" t="inlineStr">
        <is>
          <t>DALARNAS LÄN</t>
        </is>
      </c>
      <c r="E6331" t="inlineStr">
        <is>
          <t>MALUNG-SÄLEN</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59581-2025</t>
        </is>
      </c>
      <c r="B6332" s="1" t="n">
        <v>45992.31182870371</v>
      </c>
      <c r="C6332" s="1" t="n">
        <v>46114</v>
      </c>
      <c r="D6332" t="inlineStr">
        <is>
          <t>DALARNAS LÄN</t>
        </is>
      </c>
      <c r="E6332" t="inlineStr">
        <is>
          <t>HEDEMORA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59590-2025</t>
        </is>
      </c>
      <c r="B6333" s="1" t="n">
        <v>45992.34043981481</v>
      </c>
      <c r="C6333" s="1" t="n">
        <v>46114</v>
      </c>
      <c r="D6333" t="inlineStr">
        <is>
          <t>DALARNAS LÄN</t>
        </is>
      </c>
      <c r="E6333" t="inlineStr">
        <is>
          <t>ÄLVDALEN</t>
        </is>
      </c>
      <c r="F6333" t="inlineStr">
        <is>
          <t>Sveaskog</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33839-2024</t>
        </is>
      </c>
      <c r="B6334" s="1" t="n">
        <v>45520.63197916667</v>
      </c>
      <c r="C6334" s="1" t="n">
        <v>46114</v>
      </c>
      <c r="D6334" t="inlineStr">
        <is>
          <t>DALARNAS LÄN</t>
        </is>
      </c>
      <c r="E6334" t="inlineStr">
        <is>
          <t>LUDVIKA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61269-2022</t>
        </is>
      </c>
      <c r="B6335" s="1" t="n">
        <v>44909</v>
      </c>
      <c r="C6335" s="1" t="n">
        <v>46114</v>
      </c>
      <c r="D6335" t="inlineStr">
        <is>
          <t>DALARNAS LÄN</t>
        </is>
      </c>
      <c r="E6335" t="inlineStr">
        <is>
          <t>LEKSAND</t>
        </is>
      </c>
      <c r="G6335" t="n">
        <v>4.2</v>
      </c>
      <c r="H6335" t="n">
        <v>0</v>
      </c>
      <c r="I6335" t="n">
        <v>0</v>
      </c>
      <c r="J6335" t="n">
        <v>0</v>
      </c>
      <c r="K6335" t="n">
        <v>0</v>
      </c>
      <c r="L6335" t="n">
        <v>0</v>
      </c>
      <c r="M6335" t="n">
        <v>0</v>
      </c>
      <c r="N6335" t="n">
        <v>0</v>
      </c>
      <c r="O6335" t="n">
        <v>0</v>
      </c>
      <c r="P6335" t="n">
        <v>0</v>
      </c>
      <c r="Q6335" t="n">
        <v>0</v>
      </c>
      <c r="R6335" s="2" t="inlineStr"/>
    </row>
    <row r="6336" ht="15" customHeight="1">
      <c r="A6336" t="inlineStr">
        <is>
          <t>A 61293-2022</t>
        </is>
      </c>
      <c r="B6336" s="1" t="n">
        <v>44915.62751157407</v>
      </c>
      <c r="C6336" s="1" t="n">
        <v>46114</v>
      </c>
      <c r="D6336" t="inlineStr">
        <is>
          <t>DALARNAS LÄN</t>
        </is>
      </c>
      <c r="E6336" t="inlineStr">
        <is>
          <t>MORA</t>
        </is>
      </c>
      <c r="G6336" t="n">
        <v>0.3</v>
      </c>
      <c r="H6336" t="n">
        <v>0</v>
      </c>
      <c r="I6336" t="n">
        <v>0</v>
      </c>
      <c r="J6336" t="n">
        <v>0</v>
      </c>
      <c r="K6336" t="n">
        <v>0</v>
      </c>
      <c r="L6336" t="n">
        <v>0</v>
      </c>
      <c r="M6336" t="n">
        <v>0</v>
      </c>
      <c r="N6336" t="n">
        <v>0</v>
      </c>
      <c r="O6336" t="n">
        <v>0</v>
      </c>
      <c r="P6336" t="n">
        <v>0</v>
      </c>
      <c r="Q6336" t="n">
        <v>0</v>
      </c>
      <c r="R6336" s="2" t="inlineStr"/>
    </row>
    <row r="6337" ht="15" customHeight="1">
      <c r="A6337" t="inlineStr">
        <is>
          <t>A 59916-2025</t>
        </is>
      </c>
      <c r="B6337" s="1" t="n">
        <v>45993.37241898148</v>
      </c>
      <c r="C6337" s="1" t="n">
        <v>46114</v>
      </c>
      <c r="D6337" t="inlineStr">
        <is>
          <t>DALARNAS LÄN</t>
        </is>
      </c>
      <c r="E6337" t="inlineStr">
        <is>
          <t>MALUNG-SÄLEN</t>
        </is>
      </c>
      <c r="F6337" t="inlineStr">
        <is>
          <t>Allmännings- och besparingsskogar</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34890-2021</t>
        </is>
      </c>
      <c r="B6338" s="1" t="n">
        <v>44383</v>
      </c>
      <c r="C6338" s="1" t="n">
        <v>46114</v>
      </c>
      <c r="D6338" t="inlineStr">
        <is>
          <t>DALARNAS LÄN</t>
        </is>
      </c>
      <c r="E6338" t="inlineStr">
        <is>
          <t>FALUN</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59588-2025</t>
        </is>
      </c>
      <c r="B6339" s="1" t="n">
        <v>45992.33900462963</v>
      </c>
      <c r="C6339" s="1" t="n">
        <v>46114</v>
      </c>
      <c r="D6339" t="inlineStr">
        <is>
          <t>DALARNAS LÄN</t>
        </is>
      </c>
      <c r="E6339" t="inlineStr">
        <is>
          <t>ÄLVDALEN</t>
        </is>
      </c>
      <c r="F6339" t="inlineStr">
        <is>
          <t>Sveaskog</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59591-2025</t>
        </is>
      </c>
      <c r="B6340" s="1" t="n">
        <v>45992</v>
      </c>
      <c r="C6340" s="1" t="n">
        <v>46114</v>
      </c>
      <c r="D6340" t="inlineStr">
        <is>
          <t>DALARNAS LÄN</t>
        </is>
      </c>
      <c r="E6340" t="inlineStr">
        <is>
          <t>ÄLVDALEN</t>
        </is>
      </c>
      <c r="F6340" t="inlineStr">
        <is>
          <t>Sveaskog</t>
        </is>
      </c>
      <c r="G6340" t="n">
        <v>1.6</v>
      </c>
      <c r="H6340" t="n">
        <v>0</v>
      </c>
      <c r="I6340" t="n">
        <v>0</v>
      </c>
      <c r="J6340" t="n">
        <v>0</v>
      </c>
      <c r="K6340" t="n">
        <v>0</v>
      </c>
      <c r="L6340" t="n">
        <v>0</v>
      </c>
      <c r="M6340" t="n">
        <v>0</v>
      </c>
      <c r="N6340" t="n">
        <v>0</v>
      </c>
      <c r="O6340" t="n">
        <v>0</v>
      </c>
      <c r="P6340" t="n">
        <v>0</v>
      </c>
      <c r="Q6340" t="n">
        <v>0</v>
      </c>
      <c r="R6340" s="2" t="inlineStr"/>
    </row>
    <row r="6341" ht="15" customHeight="1">
      <c r="A6341" t="inlineStr">
        <is>
          <t>A 60009-2025</t>
        </is>
      </c>
      <c r="B6341" s="1" t="n">
        <v>45993.59385416667</v>
      </c>
      <c r="C6341" s="1" t="n">
        <v>46114</v>
      </c>
      <c r="D6341" t="inlineStr">
        <is>
          <t>DALARNAS LÄN</t>
        </is>
      </c>
      <c r="E6341" t="inlineStr">
        <is>
          <t>VANSBRO</t>
        </is>
      </c>
      <c r="G6341" t="n">
        <v>2</v>
      </c>
      <c r="H6341" t="n">
        <v>0</v>
      </c>
      <c r="I6341" t="n">
        <v>0</v>
      </c>
      <c r="J6341" t="n">
        <v>0</v>
      </c>
      <c r="K6341" t="n">
        <v>0</v>
      </c>
      <c r="L6341" t="n">
        <v>0</v>
      </c>
      <c r="M6341" t="n">
        <v>0</v>
      </c>
      <c r="N6341" t="n">
        <v>0</v>
      </c>
      <c r="O6341" t="n">
        <v>0</v>
      </c>
      <c r="P6341" t="n">
        <v>0</v>
      </c>
      <c r="Q6341" t="n">
        <v>0</v>
      </c>
      <c r="R6341" s="2" t="inlineStr"/>
    </row>
    <row r="6342" ht="15" customHeight="1">
      <c r="A6342" t="inlineStr">
        <is>
          <t>A 46011-2023</t>
        </is>
      </c>
      <c r="B6342" s="1" t="n">
        <v>45196.38245370371</v>
      </c>
      <c r="C6342" s="1" t="n">
        <v>46114</v>
      </c>
      <c r="D6342" t="inlineStr">
        <is>
          <t>DALARNAS LÄN</t>
        </is>
      </c>
      <c r="E6342" t="inlineStr">
        <is>
          <t>ÄLVDALEN</t>
        </is>
      </c>
      <c r="F6342" t="inlineStr">
        <is>
          <t>Bergvik skog väst AB</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64933-2023</t>
        </is>
      </c>
      <c r="B6343" s="1" t="n">
        <v>45282</v>
      </c>
      <c r="C6343" s="1" t="n">
        <v>46114</v>
      </c>
      <c r="D6343" t="inlineStr">
        <is>
          <t>DALARNAS LÄN</t>
        </is>
      </c>
      <c r="E6343" t="inlineStr">
        <is>
          <t>LEKSAND</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60114-2025</t>
        </is>
      </c>
      <c r="B6344" s="1" t="n">
        <v>45994.31027777777</v>
      </c>
      <c r="C6344" s="1" t="n">
        <v>46114</v>
      </c>
      <c r="D6344" t="inlineStr">
        <is>
          <t>DALARNAS LÄN</t>
        </is>
      </c>
      <c r="E6344" t="inlineStr">
        <is>
          <t>RÄTTVIK</t>
        </is>
      </c>
      <c r="G6344" t="n">
        <v>2.9</v>
      </c>
      <c r="H6344" t="n">
        <v>0</v>
      </c>
      <c r="I6344" t="n">
        <v>0</v>
      </c>
      <c r="J6344" t="n">
        <v>0</v>
      </c>
      <c r="K6344" t="n">
        <v>0</v>
      </c>
      <c r="L6344" t="n">
        <v>0</v>
      </c>
      <c r="M6344" t="n">
        <v>0</v>
      </c>
      <c r="N6344" t="n">
        <v>0</v>
      </c>
      <c r="O6344" t="n">
        <v>0</v>
      </c>
      <c r="P6344" t="n">
        <v>0</v>
      </c>
      <c r="Q6344" t="n">
        <v>0</v>
      </c>
      <c r="R6344" s="2" t="inlineStr"/>
    </row>
    <row r="6345" ht="15" customHeight="1">
      <c r="A6345" t="inlineStr">
        <is>
          <t>A 2938-2024</t>
        </is>
      </c>
      <c r="B6345" s="1" t="n">
        <v>45315.61605324074</v>
      </c>
      <c r="C6345" s="1" t="n">
        <v>46114</v>
      </c>
      <c r="D6345" t="inlineStr">
        <is>
          <t>DALARNAS LÄN</t>
        </is>
      </c>
      <c r="E6345" t="inlineStr">
        <is>
          <t>VANSBRO</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18992-2025</t>
        </is>
      </c>
      <c r="B6346" s="1" t="n">
        <v>45764.57153935185</v>
      </c>
      <c r="C6346" s="1" t="n">
        <v>46114</v>
      </c>
      <c r="D6346" t="inlineStr">
        <is>
          <t>DALARNAS LÄN</t>
        </is>
      </c>
      <c r="E6346" t="inlineStr">
        <is>
          <t>MALUNG-SÄLEN</t>
        </is>
      </c>
      <c r="F6346" t="inlineStr">
        <is>
          <t>Bergvik skog öst AB</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52437-2024</t>
        </is>
      </c>
      <c r="B6347" s="1" t="n">
        <v>45608</v>
      </c>
      <c r="C6347" s="1" t="n">
        <v>46114</v>
      </c>
      <c r="D6347" t="inlineStr">
        <is>
          <t>DALARNAS LÄN</t>
        </is>
      </c>
      <c r="E6347" t="inlineStr">
        <is>
          <t>GAGNEF</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60229-2025</t>
        </is>
      </c>
      <c r="B6348" s="1" t="n">
        <v>45994.56637731481</v>
      </c>
      <c r="C6348" s="1" t="n">
        <v>46114</v>
      </c>
      <c r="D6348" t="inlineStr">
        <is>
          <t>DALARNAS LÄN</t>
        </is>
      </c>
      <c r="E6348" t="inlineStr">
        <is>
          <t>VANSBRO</t>
        </is>
      </c>
      <c r="G6348" t="n">
        <v>4.9</v>
      </c>
      <c r="H6348" t="n">
        <v>0</v>
      </c>
      <c r="I6348" t="n">
        <v>0</v>
      </c>
      <c r="J6348" t="n">
        <v>0</v>
      </c>
      <c r="K6348" t="n">
        <v>0</v>
      </c>
      <c r="L6348" t="n">
        <v>0</v>
      </c>
      <c r="M6348" t="n">
        <v>0</v>
      </c>
      <c r="N6348" t="n">
        <v>0</v>
      </c>
      <c r="O6348" t="n">
        <v>0</v>
      </c>
      <c r="P6348" t="n">
        <v>0</v>
      </c>
      <c r="Q6348" t="n">
        <v>0</v>
      </c>
      <c r="R6348" s="2" t="inlineStr"/>
    </row>
    <row r="6349" ht="15" customHeight="1">
      <c r="A6349" t="inlineStr">
        <is>
          <t>A 20019-2024</t>
        </is>
      </c>
      <c r="B6349" s="1" t="n">
        <v>45433.99373842592</v>
      </c>
      <c r="C6349" s="1" t="n">
        <v>46114</v>
      </c>
      <c r="D6349" t="inlineStr">
        <is>
          <t>DALARNAS LÄN</t>
        </is>
      </c>
      <c r="E6349" t="inlineStr">
        <is>
          <t>SMEDJEBACKEN</t>
        </is>
      </c>
      <c r="F6349" t="inlineStr">
        <is>
          <t>Övriga Aktiebolag</t>
        </is>
      </c>
      <c r="G6349" t="n">
        <v>3.3</v>
      </c>
      <c r="H6349" t="n">
        <v>0</v>
      </c>
      <c r="I6349" t="n">
        <v>0</v>
      </c>
      <c r="J6349" t="n">
        <v>0</v>
      </c>
      <c r="K6349" t="n">
        <v>0</v>
      </c>
      <c r="L6349" t="n">
        <v>0</v>
      </c>
      <c r="M6349" t="n">
        <v>0</v>
      </c>
      <c r="N6349" t="n">
        <v>0</v>
      </c>
      <c r="O6349" t="n">
        <v>0</v>
      </c>
      <c r="P6349" t="n">
        <v>0</v>
      </c>
      <c r="Q6349" t="n">
        <v>0</v>
      </c>
      <c r="R6349" s="2" t="inlineStr"/>
    </row>
    <row r="6350" ht="15" customHeight="1">
      <c r="A6350" t="inlineStr">
        <is>
          <t>A 60445-2025</t>
        </is>
      </c>
      <c r="B6350" s="1" t="n">
        <v>45995.4909837963</v>
      </c>
      <c r="C6350" s="1" t="n">
        <v>46114</v>
      </c>
      <c r="D6350" t="inlineStr">
        <is>
          <t>DALARNAS LÄN</t>
        </is>
      </c>
      <c r="E6350" t="inlineStr">
        <is>
          <t>HEDEMORA</t>
        </is>
      </c>
      <c r="F6350" t="inlineStr">
        <is>
          <t>Sveaskog</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60544-2025</t>
        </is>
      </c>
      <c r="B6351" s="1" t="n">
        <v>45995.68694444445</v>
      </c>
      <c r="C6351" s="1" t="n">
        <v>46114</v>
      </c>
      <c r="D6351" t="inlineStr">
        <is>
          <t>DALARNAS LÄN</t>
        </is>
      </c>
      <c r="E6351" t="inlineStr">
        <is>
          <t>LEKSAND</t>
        </is>
      </c>
      <c r="G6351" t="n">
        <v>4.4</v>
      </c>
      <c r="H6351" t="n">
        <v>0</v>
      </c>
      <c r="I6351" t="n">
        <v>0</v>
      </c>
      <c r="J6351" t="n">
        <v>0</v>
      </c>
      <c r="K6351" t="n">
        <v>0</v>
      </c>
      <c r="L6351" t="n">
        <v>0</v>
      </c>
      <c r="M6351" t="n">
        <v>0</v>
      </c>
      <c r="N6351" t="n">
        <v>0</v>
      </c>
      <c r="O6351" t="n">
        <v>0</v>
      </c>
      <c r="P6351" t="n">
        <v>0</v>
      </c>
      <c r="Q6351" t="n">
        <v>0</v>
      </c>
      <c r="R6351" s="2" t="inlineStr"/>
    </row>
    <row r="6352" ht="15" customHeight="1">
      <c r="A6352" t="inlineStr">
        <is>
          <t>A 46412-2024</t>
        </is>
      </c>
      <c r="B6352" s="1" t="n">
        <v>45582.44894675926</v>
      </c>
      <c r="C6352" s="1" t="n">
        <v>46114</v>
      </c>
      <c r="D6352" t="inlineStr">
        <is>
          <t>DALARNAS LÄN</t>
        </is>
      </c>
      <c r="E6352" t="inlineStr">
        <is>
          <t>MORA</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60162-2025</t>
        </is>
      </c>
      <c r="B6353" s="1" t="n">
        <v>45994.43018518519</v>
      </c>
      <c r="C6353" s="1" t="n">
        <v>46114</v>
      </c>
      <c r="D6353" t="inlineStr">
        <is>
          <t>DALARNAS LÄN</t>
        </is>
      </c>
      <c r="E6353" t="inlineStr">
        <is>
          <t>ORSA</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23339-2024</t>
        </is>
      </c>
      <c r="B6354" s="1" t="n">
        <v>45453.48988425926</v>
      </c>
      <c r="C6354" s="1" t="n">
        <v>46114</v>
      </c>
      <c r="D6354" t="inlineStr">
        <is>
          <t>DALARNAS LÄN</t>
        </is>
      </c>
      <c r="E6354" t="inlineStr">
        <is>
          <t>ORSA</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23999-2024</t>
        </is>
      </c>
      <c r="B6355" s="1" t="n">
        <v>45456.37555555555</v>
      </c>
      <c r="C6355" s="1" t="n">
        <v>46114</v>
      </c>
      <c r="D6355" t="inlineStr">
        <is>
          <t>DALARNAS LÄN</t>
        </is>
      </c>
      <c r="E6355" t="inlineStr">
        <is>
          <t>ÄLVDALEN</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24002-2024</t>
        </is>
      </c>
      <c r="B6356" s="1" t="n">
        <v>45456.3827662037</v>
      </c>
      <c r="C6356" s="1" t="n">
        <v>46114</v>
      </c>
      <c r="D6356" t="inlineStr">
        <is>
          <t>DALARNAS LÄN</t>
        </is>
      </c>
      <c r="E6356" t="inlineStr">
        <is>
          <t>ÄLVDALEN</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24003-2024</t>
        </is>
      </c>
      <c r="B6357" s="1" t="n">
        <v>45456.39003472222</v>
      </c>
      <c r="C6357" s="1" t="n">
        <v>46114</v>
      </c>
      <c r="D6357" t="inlineStr">
        <is>
          <t>DALARNAS LÄN</t>
        </is>
      </c>
      <c r="E6357" t="inlineStr">
        <is>
          <t>LEKSAND</t>
        </is>
      </c>
      <c r="F6357" t="inlineStr">
        <is>
          <t>Bergvik skog väst AB</t>
        </is>
      </c>
      <c r="G6357" t="n">
        <v>3.2</v>
      </c>
      <c r="H6357" t="n">
        <v>0</v>
      </c>
      <c r="I6357" t="n">
        <v>0</v>
      </c>
      <c r="J6357" t="n">
        <v>0</v>
      </c>
      <c r="K6357" t="n">
        <v>0</v>
      </c>
      <c r="L6357" t="n">
        <v>0</v>
      </c>
      <c r="M6357" t="n">
        <v>0</v>
      </c>
      <c r="N6357" t="n">
        <v>0</v>
      </c>
      <c r="O6357" t="n">
        <v>0</v>
      </c>
      <c r="P6357" t="n">
        <v>0</v>
      </c>
      <c r="Q6357" t="n">
        <v>0</v>
      </c>
      <c r="R6357" s="2" t="inlineStr"/>
    </row>
    <row r="6358" ht="15" customHeight="1">
      <c r="A6358" t="inlineStr">
        <is>
          <t>A 37647-2023</t>
        </is>
      </c>
      <c r="B6358" s="1" t="n">
        <v>45159</v>
      </c>
      <c r="C6358" s="1" t="n">
        <v>46114</v>
      </c>
      <c r="D6358" t="inlineStr">
        <is>
          <t>DALARNAS LÄN</t>
        </is>
      </c>
      <c r="E6358" t="inlineStr">
        <is>
          <t>ORSA</t>
        </is>
      </c>
      <c r="F6358" t="inlineStr">
        <is>
          <t>Allmännings- och besparingsskogar</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60407-2025</t>
        </is>
      </c>
      <c r="B6359" s="1" t="n">
        <v>45995.44162037037</v>
      </c>
      <c r="C6359" s="1" t="n">
        <v>46114</v>
      </c>
      <c r="D6359" t="inlineStr">
        <is>
          <t>DALARNAS LÄN</t>
        </is>
      </c>
      <c r="E6359" t="inlineStr">
        <is>
          <t>MALUNG-SÄLEN</t>
        </is>
      </c>
      <c r="F6359" t="inlineStr">
        <is>
          <t>Bergvik skog öst AB</t>
        </is>
      </c>
      <c r="G6359" t="n">
        <v>5.1</v>
      </c>
      <c r="H6359" t="n">
        <v>0</v>
      </c>
      <c r="I6359" t="n">
        <v>0</v>
      </c>
      <c r="J6359" t="n">
        <v>0</v>
      </c>
      <c r="K6359" t="n">
        <v>0</v>
      </c>
      <c r="L6359" t="n">
        <v>0</v>
      </c>
      <c r="M6359" t="n">
        <v>0</v>
      </c>
      <c r="N6359" t="n">
        <v>0</v>
      </c>
      <c r="O6359" t="n">
        <v>0</v>
      </c>
      <c r="P6359" t="n">
        <v>0</v>
      </c>
      <c r="Q6359" t="n">
        <v>0</v>
      </c>
      <c r="R6359" s="2" t="inlineStr"/>
    </row>
    <row r="6360" ht="15" customHeight="1">
      <c r="A6360" t="inlineStr">
        <is>
          <t>A 37659-2023</t>
        </is>
      </c>
      <c r="B6360" s="1" t="n">
        <v>45159</v>
      </c>
      <c r="C6360" s="1" t="n">
        <v>46114</v>
      </c>
      <c r="D6360" t="inlineStr">
        <is>
          <t>DALARNAS LÄN</t>
        </is>
      </c>
      <c r="E6360" t="inlineStr">
        <is>
          <t>RÄTTVIK</t>
        </is>
      </c>
      <c r="F6360" t="inlineStr">
        <is>
          <t>Sveaskog</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57091-2021</t>
        </is>
      </c>
      <c r="B6361" s="1" t="n">
        <v>44482</v>
      </c>
      <c r="C6361" s="1" t="n">
        <v>46114</v>
      </c>
      <c r="D6361" t="inlineStr">
        <is>
          <t>DALARNAS LÄN</t>
        </is>
      </c>
      <c r="E6361" t="inlineStr">
        <is>
          <t>MORA</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60288-2025</t>
        </is>
      </c>
      <c r="B6362" s="1" t="n">
        <v>45994.65038194445</v>
      </c>
      <c r="C6362" s="1" t="n">
        <v>46114</v>
      </c>
      <c r="D6362" t="inlineStr">
        <is>
          <t>DALARNAS LÄN</t>
        </is>
      </c>
      <c r="E6362" t="inlineStr">
        <is>
          <t>RÄTTVIK</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50685-2023</t>
        </is>
      </c>
      <c r="B6363" s="1" t="n">
        <v>45210</v>
      </c>
      <c r="C6363" s="1" t="n">
        <v>46114</v>
      </c>
      <c r="D6363" t="inlineStr">
        <is>
          <t>DALARNAS LÄN</t>
        </is>
      </c>
      <c r="E6363" t="inlineStr">
        <is>
          <t>MORA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36740-2023</t>
        </is>
      </c>
      <c r="B6364" s="1" t="n">
        <v>45153</v>
      </c>
      <c r="C6364" s="1" t="n">
        <v>46114</v>
      </c>
      <c r="D6364" t="inlineStr">
        <is>
          <t>DALARNAS LÄN</t>
        </is>
      </c>
      <c r="E6364" t="inlineStr">
        <is>
          <t>MORA</t>
        </is>
      </c>
      <c r="G6364" t="n">
        <v>0.2</v>
      </c>
      <c r="H6364" t="n">
        <v>0</v>
      </c>
      <c r="I6364" t="n">
        <v>0</v>
      </c>
      <c r="J6364" t="n">
        <v>0</v>
      </c>
      <c r="K6364" t="n">
        <v>0</v>
      </c>
      <c r="L6364" t="n">
        <v>0</v>
      </c>
      <c r="M6364" t="n">
        <v>0</v>
      </c>
      <c r="N6364" t="n">
        <v>0</v>
      </c>
      <c r="O6364" t="n">
        <v>0</v>
      </c>
      <c r="P6364" t="n">
        <v>0</v>
      </c>
      <c r="Q6364" t="n">
        <v>0</v>
      </c>
      <c r="R6364" s="2" t="inlineStr"/>
    </row>
    <row r="6365" ht="15" customHeight="1">
      <c r="A6365" t="inlineStr">
        <is>
          <t>A 60170-2025</t>
        </is>
      </c>
      <c r="B6365" s="1" t="n">
        <v>45994.44629629629</v>
      </c>
      <c r="C6365" s="1" t="n">
        <v>46114</v>
      </c>
      <c r="D6365" t="inlineStr">
        <is>
          <t>DALARNAS LÄN</t>
        </is>
      </c>
      <c r="E6365" t="inlineStr">
        <is>
          <t>LEKSAND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60182-2025</t>
        </is>
      </c>
      <c r="B6366" s="1" t="n">
        <v>45994.47056712963</v>
      </c>
      <c r="C6366" s="1" t="n">
        <v>46114</v>
      </c>
      <c r="D6366" t="inlineStr">
        <is>
          <t>DALARNAS LÄN</t>
        </is>
      </c>
      <c r="E6366" t="inlineStr">
        <is>
          <t>AVESTA</t>
        </is>
      </c>
      <c r="G6366" t="n">
        <v>4.4</v>
      </c>
      <c r="H6366" t="n">
        <v>0</v>
      </c>
      <c r="I6366" t="n">
        <v>0</v>
      </c>
      <c r="J6366" t="n">
        <v>0</v>
      </c>
      <c r="K6366" t="n">
        <v>0</v>
      </c>
      <c r="L6366" t="n">
        <v>0</v>
      </c>
      <c r="M6366" t="n">
        <v>0</v>
      </c>
      <c r="N6366" t="n">
        <v>0</v>
      </c>
      <c r="O6366" t="n">
        <v>0</v>
      </c>
      <c r="P6366" t="n">
        <v>0</v>
      </c>
      <c r="Q6366" t="n">
        <v>0</v>
      </c>
      <c r="R6366" s="2" t="inlineStr"/>
    </row>
    <row r="6367" ht="15" customHeight="1">
      <c r="A6367" t="inlineStr">
        <is>
          <t>A 35526-2024</t>
        </is>
      </c>
      <c r="B6367" s="1" t="n">
        <v>45531.58143518519</v>
      </c>
      <c r="C6367" s="1" t="n">
        <v>46114</v>
      </c>
      <c r="D6367" t="inlineStr">
        <is>
          <t>DALARNAS LÄN</t>
        </is>
      </c>
      <c r="E6367" t="inlineStr">
        <is>
          <t>GAGNEF</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7754-2024</t>
        </is>
      </c>
      <c r="B6368" s="1" t="n">
        <v>45349.52979166667</v>
      </c>
      <c r="C6368" s="1" t="n">
        <v>46114</v>
      </c>
      <c r="D6368" t="inlineStr">
        <is>
          <t>DALARNAS LÄN</t>
        </is>
      </c>
      <c r="E6368" t="inlineStr">
        <is>
          <t>FALUN</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16598-2024</t>
        </is>
      </c>
      <c r="B6369" s="1" t="n">
        <v>45408.52369212963</v>
      </c>
      <c r="C6369" s="1" t="n">
        <v>46114</v>
      </c>
      <c r="D6369" t="inlineStr">
        <is>
          <t>DALARNAS LÄN</t>
        </is>
      </c>
      <c r="E6369" t="inlineStr">
        <is>
          <t>SMEDJEBACKEN</t>
        </is>
      </c>
      <c r="F6369" t="inlineStr">
        <is>
          <t>Sveaskog</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48111-2024</t>
        </is>
      </c>
      <c r="B6370" s="1" t="n">
        <v>45589.62921296297</v>
      </c>
      <c r="C6370" s="1" t="n">
        <v>46114</v>
      </c>
      <c r="D6370" t="inlineStr">
        <is>
          <t>DALARNAS LÄN</t>
        </is>
      </c>
      <c r="E6370" t="inlineStr">
        <is>
          <t>VANSBRO</t>
        </is>
      </c>
      <c r="G6370" t="n">
        <v>0.2</v>
      </c>
      <c r="H6370" t="n">
        <v>0</v>
      </c>
      <c r="I6370" t="n">
        <v>0</v>
      </c>
      <c r="J6370" t="n">
        <v>0</v>
      </c>
      <c r="K6370" t="n">
        <v>0</v>
      </c>
      <c r="L6370" t="n">
        <v>0</v>
      </c>
      <c r="M6370" t="n">
        <v>0</v>
      </c>
      <c r="N6370" t="n">
        <v>0</v>
      </c>
      <c r="O6370" t="n">
        <v>0</v>
      </c>
      <c r="P6370" t="n">
        <v>0</v>
      </c>
      <c r="Q6370" t="n">
        <v>0</v>
      </c>
      <c r="R6370" s="2" t="inlineStr"/>
    </row>
    <row r="6371" ht="15" customHeight="1">
      <c r="A6371" t="inlineStr">
        <is>
          <t>A 60292-2025</t>
        </is>
      </c>
      <c r="B6371" s="1" t="n">
        <v>45994.65491898148</v>
      </c>
      <c r="C6371" s="1" t="n">
        <v>46114</v>
      </c>
      <c r="D6371" t="inlineStr">
        <is>
          <t>DALARNAS LÄN</t>
        </is>
      </c>
      <c r="E6371" t="inlineStr">
        <is>
          <t>ÄLVDALEN</t>
        </is>
      </c>
      <c r="F6371" t="inlineStr">
        <is>
          <t>Allmännings- och besparingsskogar</t>
        </is>
      </c>
      <c r="G6371" t="n">
        <v>11.8</v>
      </c>
      <c r="H6371" t="n">
        <v>0</v>
      </c>
      <c r="I6371" t="n">
        <v>0</v>
      </c>
      <c r="J6371" t="n">
        <v>0</v>
      </c>
      <c r="K6371" t="n">
        <v>0</v>
      </c>
      <c r="L6371" t="n">
        <v>0</v>
      </c>
      <c r="M6371" t="n">
        <v>0</v>
      </c>
      <c r="N6371" t="n">
        <v>0</v>
      </c>
      <c r="O6371" t="n">
        <v>0</v>
      </c>
      <c r="P6371" t="n">
        <v>0</v>
      </c>
      <c r="Q6371" t="n">
        <v>0</v>
      </c>
      <c r="R6371" s="2" t="inlineStr"/>
    </row>
    <row r="6372" ht="15" customHeight="1">
      <c r="A6372" t="inlineStr">
        <is>
          <t>A 60302-2025</t>
        </is>
      </c>
      <c r="B6372" s="1" t="n">
        <v>45994.6740162037</v>
      </c>
      <c r="C6372" s="1" t="n">
        <v>46114</v>
      </c>
      <c r="D6372" t="inlineStr">
        <is>
          <t>DALARNAS LÄN</t>
        </is>
      </c>
      <c r="E6372" t="inlineStr">
        <is>
          <t>RÄTTVIK</t>
        </is>
      </c>
      <c r="F6372" t="inlineStr">
        <is>
          <t>Övriga statliga verk och myndigheter</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45476-2024</t>
        </is>
      </c>
      <c r="B6373" s="1" t="n">
        <v>45576</v>
      </c>
      <c r="C6373" s="1" t="n">
        <v>46114</v>
      </c>
      <c r="D6373" t="inlineStr">
        <is>
          <t>DALARNAS LÄN</t>
        </is>
      </c>
      <c r="E6373" t="inlineStr">
        <is>
          <t>SÄTER</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16832-2024</t>
        </is>
      </c>
      <c r="B6374" s="1" t="n">
        <v>45411.48168981481</v>
      </c>
      <c r="C6374" s="1" t="n">
        <v>46114</v>
      </c>
      <c r="D6374" t="inlineStr">
        <is>
          <t>DALARNAS LÄN</t>
        </is>
      </c>
      <c r="E6374" t="inlineStr">
        <is>
          <t>SÄTER</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16840-2024</t>
        </is>
      </c>
      <c r="B6375" s="1" t="n">
        <v>45411.49284722222</v>
      </c>
      <c r="C6375" s="1" t="n">
        <v>46114</v>
      </c>
      <c r="D6375" t="inlineStr">
        <is>
          <t>DALARNAS LÄN</t>
        </is>
      </c>
      <c r="E6375" t="inlineStr">
        <is>
          <t>SÄTER</t>
        </is>
      </c>
      <c r="G6375" t="n">
        <v>4.6</v>
      </c>
      <c r="H6375" t="n">
        <v>0</v>
      </c>
      <c r="I6375" t="n">
        <v>0</v>
      </c>
      <c r="J6375" t="n">
        <v>0</v>
      </c>
      <c r="K6375" t="n">
        <v>0</v>
      </c>
      <c r="L6375" t="n">
        <v>0</v>
      </c>
      <c r="M6375" t="n">
        <v>0</v>
      </c>
      <c r="N6375" t="n">
        <v>0</v>
      </c>
      <c r="O6375" t="n">
        <v>0</v>
      </c>
      <c r="P6375" t="n">
        <v>0</v>
      </c>
      <c r="Q6375" t="n">
        <v>0</v>
      </c>
      <c r="R6375" s="2" t="inlineStr"/>
    </row>
    <row r="6376" ht="15" customHeight="1">
      <c r="A6376" t="inlineStr">
        <is>
          <t>A 60454-2025</t>
        </is>
      </c>
      <c r="B6376" s="1" t="n">
        <v>45995.51628472222</v>
      </c>
      <c r="C6376" s="1" t="n">
        <v>46114</v>
      </c>
      <c r="D6376" t="inlineStr">
        <is>
          <t>DALARNAS LÄN</t>
        </is>
      </c>
      <c r="E6376" t="inlineStr">
        <is>
          <t>LUDVIKA</t>
        </is>
      </c>
      <c r="G6376" t="n">
        <v>7.2</v>
      </c>
      <c r="H6376" t="n">
        <v>0</v>
      </c>
      <c r="I6376" t="n">
        <v>0</v>
      </c>
      <c r="J6376" t="n">
        <v>0</v>
      </c>
      <c r="K6376" t="n">
        <v>0</v>
      </c>
      <c r="L6376" t="n">
        <v>0</v>
      </c>
      <c r="M6376" t="n">
        <v>0</v>
      </c>
      <c r="N6376" t="n">
        <v>0</v>
      </c>
      <c r="O6376" t="n">
        <v>0</v>
      </c>
      <c r="P6376" t="n">
        <v>0</v>
      </c>
      <c r="Q6376" t="n">
        <v>0</v>
      </c>
      <c r="R6376" s="2" t="inlineStr"/>
    </row>
    <row r="6377" ht="15" customHeight="1">
      <c r="A6377" t="inlineStr">
        <is>
          <t>A 60455-2025</t>
        </is>
      </c>
      <c r="B6377" s="1" t="n">
        <v>45995.51954861111</v>
      </c>
      <c r="C6377" s="1" t="n">
        <v>46114</v>
      </c>
      <c r="D6377" t="inlineStr">
        <is>
          <t>DALARNAS LÄN</t>
        </is>
      </c>
      <c r="E6377" t="inlineStr">
        <is>
          <t>LUDVIKA</t>
        </is>
      </c>
      <c r="F6377" t="inlineStr">
        <is>
          <t>Bergvik skog väst AB</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43351-2022</t>
        </is>
      </c>
      <c r="B6378" s="1" t="n">
        <v>44834.62738425926</v>
      </c>
      <c r="C6378" s="1" t="n">
        <v>46114</v>
      </c>
      <c r="D6378" t="inlineStr">
        <is>
          <t>DALARNAS LÄN</t>
        </is>
      </c>
      <c r="E6378" t="inlineStr">
        <is>
          <t>SMEDJEBACKEN</t>
        </is>
      </c>
      <c r="F6378" t="inlineStr">
        <is>
          <t>Sveaskog</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60452-2025</t>
        </is>
      </c>
      <c r="B6379" s="1" t="n">
        <v>45995.50630787037</v>
      </c>
      <c r="C6379" s="1" t="n">
        <v>46114</v>
      </c>
      <c r="D6379" t="inlineStr">
        <is>
          <t>DALARNAS LÄN</t>
        </is>
      </c>
      <c r="E6379" t="inlineStr">
        <is>
          <t>LUDVIKA</t>
        </is>
      </c>
      <c r="F6379" t="inlineStr">
        <is>
          <t>Bergvik skog väst AB</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4721-2025</t>
        </is>
      </c>
      <c r="B6380" s="1" t="n">
        <v>45688.41621527778</v>
      </c>
      <c r="C6380" s="1" t="n">
        <v>46114</v>
      </c>
      <c r="D6380" t="inlineStr">
        <is>
          <t>DALARNAS LÄN</t>
        </is>
      </c>
      <c r="E6380" t="inlineStr">
        <is>
          <t>SMEDJEBACKEN</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53922-2024</t>
        </is>
      </c>
      <c r="B6381" s="1" t="n">
        <v>45615.78459490741</v>
      </c>
      <c r="C6381" s="1" t="n">
        <v>46114</v>
      </c>
      <c r="D6381" t="inlineStr">
        <is>
          <t>DALARNAS LÄN</t>
        </is>
      </c>
      <c r="E6381" t="inlineStr">
        <is>
          <t>HEDEMORA</t>
        </is>
      </c>
      <c r="F6381" t="inlineStr">
        <is>
          <t>Sveaskog</t>
        </is>
      </c>
      <c r="G6381" t="n">
        <v>2.6</v>
      </c>
      <c r="H6381" t="n">
        <v>0</v>
      </c>
      <c r="I6381" t="n">
        <v>0</v>
      </c>
      <c r="J6381" t="n">
        <v>0</v>
      </c>
      <c r="K6381" t="n">
        <v>0</v>
      </c>
      <c r="L6381" t="n">
        <v>0</v>
      </c>
      <c r="M6381" t="n">
        <v>0</v>
      </c>
      <c r="N6381" t="n">
        <v>0</v>
      </c>
      <c r="O6381" t="n">
        <v>0</v>
      </c>
      <c r="P6381" t="n">
        <v>0</v>
      </c>
      <c r="Q6381" t="n">
        <v>0</v>
      </c>
      <c r="R6381" s="2" t="inlineStr"/>
    </row>
    <row r="6382" ht="15" customHeight="1">
      <c r="A6382" t="inlineStr">
        <is>
          <t>A 60562-2025</t>
        </is>
      </c>
      <c r="B6382" s="1" t="n">
        <v>45994</v>
      </c>
      <c r="C6382" s="1" t="n">
        <v>46114</v>
      </c>
      <c r="D6382" t="inlineStr">
        <is>
          <t>DALARNAS LÄN</t>
        </is>
      </c>
      <c r="E6382" t="inlineStr">
        <is>
          <t>FALUN</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41950-2021</t>
        </is>
      </c>
      <c r="B6383" s="1" t="n">
        <v>44426</v>
      </c>
      <c r="C6383" s="1" t="n">
        <v>46114</v>
      </c>
      <c r="D6383" t="inlineStr">
        <is>
          <t>DALARNAS LÄN</t>
        </is>
      </c>
      <c r="E6383" t="inlineStr">
        <is>
          <t>MALUNG-SÄLEN</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4380-2024</t>
        </is>
      </c>
      <c r="B6384" s="1" t="n">
        <v>45327</v>
      </c>
      <c r="C6384" s="1" t="n">
        <v>46114</v>
      </c>
      <c r="D6384" t="inlineStr">
        <is>
          <t>DALARNAS LÄN</t>
        </is>
      </c>
      <c r="E6384" t="inlineStr">
        <is>
          <t>ÄLVDALEN</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60477-2025</t>
        </is>
      </c>
      <c r="B6385" s="1" t="n">
        <v>45995.58725694445</v>
      </c>
      <c r="C6385" s="1" t="n">
        <v>46114</v>
      </c>
      <c r="D6385" t="inlineStr">
        <is>
          <t>DALARNAS LÄN</t>
        </is>
      </c>
      <c r="E6385" t="inlineStr">
        <is>
          <t>VANSBRO</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60145-2025</t>
        </is>
      </c>
      <c r="B6386" s="1" t="n">
        <v>45994.38174768518</v>
      </c>
      <c r="C6386" s="1" t="n">
        <v>46114</v>
      </c>
      <c r="D6386" t="inlineStr">
        <is>
          <t>DALARNAS LÄN</t>
        </is>
      </c>
      <c r="E6386" t="inlineStr">
        <is>
          <t>VANSBRO</t>
        </is>
      </c>
      <c r="G6386" t="n">
        <v>9.1</v>
      </c>
      <c r="H6386" t="n">
        <v>0</v>
      </c>
      <c r="I6386" t="n">
        <v>0</v>
      </c>
      <c r="J6386" t="n">
        <v>0</v>
      </c>
      <c r="K6386" t="n">
        <v>0</v>
      </c>
      <c r="L6386" t="n">
        <v>0</v>
      </c>
      <c r="M6386" t="n">
        <v>0</v>
      </c>
      <c r="N6386" t="n">
        <v>0</v>
      </c>
      <c r="O6386" t="n">
        <v>0</v>
      </c>
      <c r="P6386" t="n">
        <v>0</v>
      </c>
      <c r="Q6386" t="n">
        <v>0</v>
      </c>
      <c r="R6386" s="2" t="inlineStr"/>
    </row>
    <row r="6387" ht="15" customHeight="1">
      <c r="A6387" t="inlineStr">
        <is>
          <t>A 60528-2025</t>
        </is>
      </c>
      <c r="B6387" s="1" t="n">
        <v>45995.65111111111</v>
      </c>
      <c r="C6387" s="1" t="n">
        <v>46114</v>
      </c>
      <c r="D6387" t="inlineStr">
        <is>
          <t>DALARNAS LÄN</t>
        </is>
      </c>
      <c r="E6387" t="inlineStr">
        <is>
          <t>SMEDJEBACKEN</t>
        </is>
      </c>
      <c r="F6387" t="inlineStr">
        <is>
          <t>Bergvik skog väst AB</t>
        </is>
      </c>
      <c r="G6387" t="n">
        <v>5.1</v>
      </c>
      <c r="H6387" t="n">
        <v>0</v>
      </c>
      <c r="I6387" t="n">
        <v>0</v>
      </c>
      <c r="J6387" t="n">
        <v>0</v>
      </c>
      <c r="K6387" t="n">
        <v>0</v>
      </c>
      <c r="L6387" t="n">
        <v>0</v>
      </c>
      <c r="M6387" t="n">
        <v>0</v>
      </c>
      <c r="N6387" t="n">
        <v>0</v>
      </c>
      <c r="O6387" t="n">
        <v>0</v>
      </c>
      <c r="P6387" t="n">
        <v>0</v>
      </c>
      <c r="Q6387" t="n">
        <v>0</v>
      </c>
      <c r="R6387" s="2" t="inlineStr"/>
    </row>
    <row r="6388" ht="15" customHeight="1">
      <c r="A6388" t="inlineStr">
        <is>
          <t>A 60358-2025</t>
        </is>
      </c>
      <c r="B6388" s="1" t="n">
        <v>45995.31949074074</v>
      </c>
      <c r="C6388" s="1" t="n">
        <v>46114</v>
      </c>
      <c r="D6388" t="inlineStr">
        <is>
          <t>DALARNAS LÄN</t>
        </is>
      </c>
      <c r="E6388" t="inlineStr">
        <is>
          <t>LEKSAND</t>
        </is>
      </c>
      <c r="G6388" t="n">
        <v>2.9</v>
      </c>
      <c r="H6388" t="n">
        <v>0</v>
      </c>
      <c r="I6388" t="n">
        <v>0</v>
      </c>
      <c r="J6388" t="n">
        <v>0</v>
      </c>
      <c r="K6388" t="n">
        <v>0</v>
      </c>
      <c r="L6388" t="n">
        <v>0</v>
      </c>
      <c r="M6388" t="n">
        <v>0</v>
      </c>
      <c r="N6388" t="n">
        <v>0</v>
      </c>
      <c r="O6388" t="n">
        <v>0</v>
      </c>
      <c r="P6388" t="n">
        <v>0</v>
      </c>
      <c r="Q6388" t="n">
        <v>0</v>
      </c>
      <c r="R6388" s="2" t="inlineStr"/>
    </row>
    <row r="6389" ht="15" customHeight="1">
      <c r="A6389" t="inlineStr">
        <is>
          <t>A 34585-2024</t>
        </is>
      </c>
      <c r="B6389" s="1" t="n">
        <v>45526.37697916666</v>
      </c>
      <c r="C6389" s="1" t="n">
        <v>46114</v>
      </c>
      <c r="D6389" t="inlineStr">
        <is>
          <t>DALARNAS LÄN</t>
        </is>
      </c>
      <c r="E6389" t="inlineStr">
        <is>
          <t>LEKSAND</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48522-2024</t>
        </is>
      </c>
      <c r="B6390" s="1" t="n">
        <v>45593.32924768519</v>
      </c>
      <c r="C6390" s="1" t="n">
        <v>46114</v>
      </c>
      <c r="D6390" t="inlineStr">
        <is>
          <t>DALARNAS LÄN</t>
        </is>
      </c>
      <c r="E6390" t="inlineStr">
        <is>
          <t>MORA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48525-2024</t>
        </is>
      </c>
      <c r="B6391" s="1" t="n">
        <v>45593.33947916667</v>
      </c>
      <c r="C6391" s="1" t="n">
        <v>46114</v>
      </c>
      <c r="D6391" t="inlineStr">
        <is>
          <t>DALARNAS LÄN</t>
        </is>
      </c>
      <c r="E6391" t="inlineStr">
        <is>
          <t>ORSA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48516-2024</t>
        </is>
      </c>
      <c r="B6392" s="1" t="n">
        <v>45593.31292824074</v>
      </c>
      <c r="C6392" s="1" t="n">
        <v>46114</v>
      </c>
      <c r="D6392" t="inlineStr">
        <is>
          <t>DALARNAS LÄN</t>
        </is>
      </c>
      <c r="E6392" t="inlineStr">
        <is>
          <t>ORSA</t>
        </is>
      </c>
      <c r="G6392" t="n">
        <v>3.3</v>
      </c>
      <c r="H6392" t="n">
        <v>0</v>
      </c>
      <c r="I6392" t="n">
        <v>0</v>
      </c>
      <c r="J6392" t="n">
        <v>0</v>
      </c>
      <c r="K6392" t="n">
        <v>0</v>
      </c>
      <c r="L6392" t="n">
        <v>0</v>
      </c>
      <c r="M6392" t="n">
        <v>0</v>
      </c>
      <c r="N6392" t="n">
        <v>0</v>
      </c>
      <c r="O6392" t="n">
        <v>0</v>
      </c>
      <c r="P6392" t="n">
        <v>0</v>
      </c>
      <c r="Q6392" t="n">
        <v>0</v>
      </c>
      <c r="R6392" s="2" t="inlineStr"/>
    </row>
    <row r="6393" ht="15" customHeight="1">
      <c r="A6393" t="inlineStr">
        <is>
          <t>A 48342-2023</t>
        </is>
      </c>
      <c r="B6393" s="1" t="n">
        <v>45205</v>
      </c>
      <c r="C6393" s="1" t="n">
        <v>46114</v>
      </c>
      <c r="D6393" t="inlineStr">
        <is>
          <t>DALARNAS LÄN</t>
        </is>
      </c>
      <c r="E6393" t="inlineStr">
        <is>
          <t>MORA</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55701-2023</t>
        </is>
      </c>
      <c r="B6394" s="1" t="n">
        <v>45239.37113425926</v>
      </c>
      <c r="C6394" s="1" t="n">
        <v>46114</v>
      </c>
      <c r="D6394" t="inlineStr">
        <is>
          <t>DALARNAS LÄN</t>
        </is>
      </c>
      <c r="E6394" t="inlineStr">
        <is>
          <t>ORSA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36231-2022</t>
        </is>
      </c>
      <c r="B6395" s="1" t="n">
        <v>44803.5662962963</v>
      </c>
      <c r="C6395" s="1" t="n">
        <v>46114</v>
      </c>
      <c r="D6395" t="inlineStr">
        <is>
          <t>DALARNAS LÄN</t>
        </is>
      </c>
      <c r="E6395" t="inlineStr">
        <is>
          <t>SMEDJEBACKEN</t>
        </is>
      </c>
      <c r="G6395" t="n">
        <v>5.7</v>
      </c>
      <c r="H6395" t="n">
        <v>0</v>
      </c>
      <c r="I6395" t="n">
        <v>0</v>
      </c>
      <c r="J6395" t="n">
        <v>0</v>
      </c>
      <c r="K6395" t="n">
        <v>0</v>
      </c>
      <c r="L6395" t="n">
        <v>0</v>
      </c>
      <c r="M6395" t="n">
        <v>0</v>
      </c>
      <c r="N6395" t="n">
        <v>0</v>
      </c>
      <c r="O6395" t="n">
        <v>0</v>
      </c>
      <c r="P6395" t="n">
        <v>0</v>
      </c>
      <c r="Q6395" t="n">
        <v>0</v>
      </c>
      <c r="R6395" s="2" t="inlineStr"/>
    </row>
    <row r="6396" ht="15" customHeight="1">
      <c r="A6396" t="inlineStr">
        <is>
          <t>A 60837-2025</t>
        </is>
      </c>
      <c r="B6396" s="1" t="n">
        <v>45999.47630787037</v>
      </c>
      <c r="C6396" s="1" t="n">
        <v>46114</v>
      </c>
      <c r="D6396" t="inlineStr">
        <is>
          <t>DALARNAS LÄN</t>
        </is>
      </c>
      <c r="E6396" t="inlineStr">
        <is>
          <t>ORSA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31634-2025</t>
        </is>
      </c>
      <c r="B6397" s="1" t="n">
        <v>45834</v>
      </c>
      <c r="C6397" s="1" t="n">
        <v>46114</v>
      </c>
      <c r="D6397" t="inlineStr">
        <is>
          <t>DALARNAS LÄN</t>
        </is>
      </c>
      <c r="E6397" t="inlineStr">
        <is>
          <t>ORSA</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11784-2024</t>
        </is>
      </c>
      <c r="B6398" s="1" t="n">
        <v>45374.67886574074</v>
      </c>
      <c r="C6398" s="1" t="n">
        <v>46114</v>
      </c>
      <c r="D6398" t="inlineStr">
        <is>
          <t>DALARNAS LÄN</t>
        </is>
      </c>
      <c r="E6398" t="inlineStr">
        <is>
          <t>ORSA</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31177-2021</t>
        </is>
      </c>
      <c r="B6399" s="1" t="n">
        <v>44368</v>
      </c>
      <c r="C6399" s="1" t="n">
        <v>46114</v>
      </c>
      <c r="D6399" t="inlineStr">
        <is>
          <t>DALARNAS LÄN</t>
        </is>
      </c>
      <c r="E6399" t="inlineStr">
        <is>
          <t>MORA</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35757-2024</t>
        </is>
      </c>
      <c r="B6400" s="1" t="n">
        <v>45532</v>
      </c>
      <c r="C6400" s="1" t="n">
        <v>46114</v>
      </c>
      <c r="D6400" t="inlineStr">
        <is>
          <t>DALARNAS LÄN</t>
        </is>
      </c>
      <c r="E6400" t="inlineStr">
        <is>
          <t>VANSBRO</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60944-2025</t>
        </is>
      </c>
      <c r="B6401" s="1" t="n">
        <v>45999.64630787037</v>
      </c>
      <c r="C6401" s="1" t="n">
        <v>46114</v>
      </c>
      <c r="D6401" t="inlineStr">
        <is>
          <t>DALARNAS LÄN</t>
        </is>
      </c>
      <c r="E6401" t="inlineStr">
        <is>
          <t>MALUNG-SÄLEN</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65186-2021</t>
        </is>
      </c>
      <c r="B6402" s="1" t="n">
        <v>44515</v>
      </c>
      <c r="C6402" s="1" t="n">
        <v>46114</v>
      </c>
      <c r="D6402" t="inlineStr">
        <is>
          <t>DALARNAS LÄN</t>
        </is>
      </c>
      <c r="E6402" t="inlineStr">
        <is>
          <t>MORA</t>
        </is>
      </c>
      <c r="G6402" t="n">
        <v>1.4</v>
      </c>
      <c r="H6402" t="n">
        <v>0</v>
      </c>
      <c r="I6402" t="n">
        <v>0</v>
      </c>
      <c r="J6402" t="n">
        <v>0</v>
      </c>
      <c r="K6402" t="n">
        <v>0</v>
      </c>
      <c r="L6402" t="n">
        <v>0</v>
      </c>
      <c r="M6402" t="n">
        <v>0</v>
      </c>
      <c r="N6402" t="n">
        <v>0</v>
      </c>
      <c r="O6402" t="n">
        <v>0</v>
      </c>
      <c r="P6402" t="n">
        <v>0</v>
      </c>
      <c r="Q6402" t="n">
        <v>0</v>
      </c>
      <c r="R6402" s="2" t="inlineStr"/>
    </row>
    <row r="6403" ht="15" customHeight="1">
      <c r="A6403" t="inlineStr">
        <is>
          <t>A 22888-2024</t>
        </is>
      </c>
      <c r="B6403" s="1" t="n">
        <v>45448.67425925926</v>
      </c>
      <c r="C6403" s="1" t="n">
        <v>46114</v>
      </c>
      <c r="D6403" t="inlineStr">
        <is>
          <t>DALARNAS LÄN</t>
        </is>
      </c>
      <c r="E6403" t="inlineStr">
        <is>
          <t>MALUNG-SÄLEN</t>
        </is>
      </c>
      <c r="F6403" t="inlineStr">
        <is>
          <t>Allmännings- och besparingsskogar</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60945-2025</t>
        </is>
      </c>
      <c r="B6404" s="1" t="n">
        <v>45999.64672453704</v>
      </c>
      <c r="C6404" s="1" t="n">
        <v>46114</v>
      </c>
      <c r="D6404" t="inlineStr">
        <is>
          <t>DALARNAS LÄN</t>
        </is>
      </c>
      <c r="E6404" t="inlineStr">
        <is>
          <t>ORSA</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60957-2025</t>
        </is>
      </c>
      <c r="B6405" s="1" t="n">
        <v>45999.65799768519</v>
      </c>
      <c r="C6405" s="1" t="n">
        <v>46114</v>
      </c>
      <c r="D6405" t="inlineStr">
        <is>
          <t>DALARNAS LÄN</t>
        </is>
      </c>
      <c r="E6405" t="inlineStr">
        <is>
          <t>MORA</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22957-2024</t>
        </is>
      </c>
      <c r="B6406" s="1" t="n">
        <v>45449.44204861111</v>
      </c>
      <c r="C6406" s="1" t="n">
        <v>46114</v>
      </c>
      <c r="D6406" t="inlineStr">
        <is>
          <t>DALARNAS LÄN</t>
        </is>
      </c>
      <c r="E6406" t="inlineStr">
        <is>
          <t>MALUNG-SÄLEN</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60672-2025</t>
        </is>
      </c>
      <c r="B6407" s="1" t="n">
        <v>45996.53233796296</v>
      </c>
      <c r="C6407" s="1" t="n">
        <v>46114</v>
      </c>
      <c r="D6407" t="inlineStr">
        <is>
          <t>DALARNAS LÄN</t>
        </is>
      </c>
      <c r="E6407" t="inlineStr">
        <is>
          <t>ÄLVDALEN</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60683-2025</t>
        </is>
      </c>
      <c r="B6408" s="1" t="n">
        <v>45996</v>
      </c>
      <c r="C6408" s="1" t="n">
        <v>46114</v>
      </c>
      <c r="D6408" t="inlineStr">
        <is>
          <t>DALARNAS LÄN</t>
        </is>
      </c>
      <c r="E6408" t="inlineStr">
        <is>
          <t>FALUN</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41852-2025</t>
        </is>
      </c>
      <c r="B6409" s="1" t="n">
        <v>45902.85230324074</v>
      </c>
      <c r="C6409" s="1" t="n">
        <v>46114</v>
      </c>
      <c r="D6409" t="inlineStr">
        <is>
          <t>DALARNAS LÄN</t>
        </is>
      </c>
      <c r="E6409" t="inlineStr">
        <is>
          <t>AVESTA</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2182-2023</t>
        </is>
      </c>
      <c r="B6410" s="1" t="n">
        <v>44942.31047453704</v>
      </c>
      <c r="C6410" s="1" t="n">
        <v>46114</v>
      </c>
      <c r="D6410" t="inlineStr">
        <is>
          <t>DALARNAS LÄN</t>
        </is>
      </c>
      <c r="E6410" t="inlineStr">
        <is>
          <t>BORLÄNGE</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47134-2024</t>
        </is>
      </c>
      <c r="B6411" s="1" t="n">
        <v>45586.58081018519</v>
      </c>
      <c r="C6411" s="1" t="n">
        <v>46114</v>
      </c>
      <c r="D6411" t="inlineStr">
        <is>
          <t>DALARNAS LÄN</t>
        </is>
      </c>
      <c r="E6411" t="inlineStr">
        <is>
          <t>ORSA</t>
        </is>
      </c>
      <c r="G6411" t="n">
        <v>0.3</v>
      </c>
      <c r="H6411" t="n">
        <v>0</v>
      </c>
      <c r="I6411" t="n">
        <v>0</v>
      </c>
      <c r="J6411" t="n">
        <v>0</v>
      </c>
      <c r="K6411" t="n">
        <v>0</v>
      </c>
      <c r="L6411" t="n">
        <v>0</v>
      </c>
      <c r="M6411" t="n">
        <v>0</v>
      </c>
      <c r="N6411" t="n">
        <v>0</v>
      </c>
      <c r="O6411" t="n">
        <v>0</v>
      </c>
      <c r="P6411" t="n">
        <v>0</v>
      </c>
      <c r="Q6411" t="n">
        <v>0</v>
      </c>
      <c r="R6411" s="2" t="inlineStr"/>
    </row>
    <row r="6412" ht="15" customHeight="1">
      <c r="A6412" t="inlineStr">
        <is>
          <t>A 61053-2024</t>
        </is>
      </c>
      <c r="B6412" s="1" t="n">
        <v>45645.48501157408</v>
      </c>
      <c r="C6412" s="1" t="n">
        <v>46114</v>
      </c>
      <c r="D6412" t="inlineStr">
        <is>
          <t>DALARNAS LÄN</t>
        </is>
      </c>
      <c r="E6412" t="inlineStr">
        <is>
          <t>ORSA</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55843-2023</t>
        </is>
      </c>
      <c r="B6413" s="1" t="n">
        <v>45239</v>
      </c>
      <c r="C6413" s="1" t="n">
        <v>46114</v>
      </c>
      <c r="D6413" t="inlineStr">
        <is>
          <t>DALARNAS LÄN</t>
        </is>
      </c>
      <c r="E6413" t="inlineStr">
        <is>
          <t>ORSA</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22911-2023</t>
        </is>
      </c>
      <c r="B6414" s="1" t="n">
        <v>45072</v>
      </c>
      <c r="C6414" s="1" t="n">
        <v>46114</v>
      </c>
      <c r="D6414" t="inlineStr">
        <is>
          <t>DALARNAS LÄN</t>
        </is>
      </c>
      <c r="E6414" t="inlineStr">
        <is>
          <t>ORSA</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35477-2023</t>
        </is>
      </c>
      <c r="B6415" s="1" t="n">
        <v>45146</v>
      </c>
      <c r="C6415" s="1" t="n">
        <v>46114</v>
      </c>
      <c r="D6415" t="inlineStr">
        <is>
          <t>DALARNAS LÄN</t>
        </is>
      </c>
      <c r="E6415" t="inlineStr">
        <is>
          <t>ORSA</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55691-2023</t>
        </is>
      </c>
      <c r="B6416" s="1" t="n">
        <v>45239.36509259259</v>
      </c>
      <c r="C6416" s="1" t="n">
        <v>46114</v>
      </c>
      <c r="D6416" t="inlineStr">
        <is>
          <t>DALARNAS LÄN</t>
        </is>
      </c>
      <c r="E6416" t="inlineStr">
        <is>
          <t>MORA</t>
        </is>
      </c>
      <c r="G6416" t="n">
        <v>2.2</v>
      </c>
      <c r="H6416" t="n">
        <v>0</v>
      </c>
      <c r="I6416" t="n">
        <v>0</v>
      </c>
      <c r="J6416" t="n">
        <v>0</v>
      </c>
      <c r="K6416" t="n">
        <v>0</v>
      </c>
      <c r="L6416" t="n">
        <v>0</v>
      </c>
      <c r="M6416" t="n">
        <v>0</v>
      </c>
      <c r="N6416" t="n">
        <v>0</v>
      </c>
      <c r="O6416" t="n">
        <v>0</v>
      </c>
      <c r="P6416" t="n">
        <v>0</v>
      </c>
      <c r="Q6416" t="n">
        <v>0</v>
      </c>
      <c r="R6416" s="2" t="inlineStr"/>
    </row>
    <row r="6417" ht="15" customHeight="1">
      <c r="A6417" t="inlineStr">
        <is>
          <t>A 63958-2023</t>
        </is>
      </c>
      <c r="B6417" s="1" t="n">
        <v>45278</v>
      </c>
      <c r="C6417" s="1" t="n">
        <v>46114</v>
      </c>
      <c r="D6417" t="inlineStr">
        <is>
          <t>DALARNAS LÄN</t>
        </is>
      </c>
      <c r="E6417" t="inlineStr">
        <is>
          <t>MORA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47579-2023</t>
        </is>
      </c>
      <c r="B6418" s="1" t="n">
        <v>45203.42181712963</v>
      </c>
      <c r="C6418" s="1" t="n">
        <v>46114</v>
      </c>
      <c r="D6418" t="inlineStr">
        <is>
          <t>DALARNAS LÄN</t>
        </is>
      </c>
      <c r="E6418" t="inlineStr">
        <is>
          <t>ORSA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60614-2025</t>
        </is>
      </c>
      <c r="B6419" s="1" t="n">
        <v>45996.36671296296</v>
      </c>
      <c r="C6419" s="1" t="n">
        <v>46114</v>
      </c>
      <c r="D6419" t="inlineStr">
        <is>
          <t>DALARNAS LÄN</t>
        </is>
      </c>
      <c r="E6419" t="inlineStr">
        <is>
          <t>LEKSAND</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48819-2024</t>
        </is>
      </c>
      <c r="B6420" s="1" t="n">
        <v>45593.67824074074</v>
      </c>
      <c r="C6420" s="1" t="n">
        <v>46114</v>
      </c>
      <c r="D6420" t="inlineStr">
        <is>
          <t>DALARNAS LÄN</t>
        </is>
      </c>
      <c r="E6420" t="inlineStr">
        <is>
          <t>ORSA</t>
        </is>
      </c>
      <c r="G6420" t="n">
        <v>5</v>
      </c>
      <c r="H6420" t="n">
        <v>0</v>
      </c>
      <c r="I6420" t="n">
        <v>0</v>
      </c>
      <c r="J6420" t="n">
        <v>0</v>
      </c>
      <c r="K6420" t="n">
        <v>0</v>
      </c>
      <c r="L6420" t="n">
        <v>0</v>
      </c>
      <c r="M6420" t="n">
        <v>0</v>
      </c>
      <c r="N6420" t="n">
        <v>0</v>
      </c>
      <c r="O6420" t="n">
        <v>0</v>
      </c>
      <c r="P6420" t="n">
        <v>0</v>
      </c>
      <c r="Q6420" t="n">
        <v>0</v>
      </c>
      <c r="R6420" s="2" t="inlineStr"/>
    </row>
    <row r="6421" ht="15" customHeight="1">
      <c r="A6421" t="inlineStr">
        <is>
          <t>A 23350-2024</t>
        </is>
      </c>
      <c r="B6421" s="1" t="n">
        <v>45453</v>
      </c>
      <c r="C6421" s="1" t="n">
        <v>46114</v>
      </c>
      <c r="D6421" t="inlineStr">
        <is>
          <t>DALARNAS LÄN</t>
        </is>
      </c>
      <c r="E6421" t="inlineStr">
        <is>
          <t>ORSA</t>
        </is>
      </c>
      <c r="G6421" t="n">
        <v>18.7</v>
      </c>
      <c r="H6421" t="n">
        <v>0</v>
      </c>
      <c r="I6421" t="n">
        <v>0</v>
      </c>
      <c r="J6421" t="n">
        <v>0</v>
      </c>
      <c r="K6421" t="n">
        <v>0</v>
      </c>
      <c r="L6421" t="n">
        <v>0</v>
      </c>
      <c r="M6421" t="n">
        <v>0</v>
      </c>
      <c r="N6421" t="n">
        <v>0</v>
      </c>
      <c r="O6421" t="n">
        <v>0</v>
      </c>
      <c r="P6421" t="n">
        <v>0</v>
      </c>
      <c r="Q6421" t="n">
        <v>0</v>
      </c>
      <c r="R6421" s="2" t="inlineStr"/>
    </row>
    <row r="6422" ht="15" customHeight="1">
      <c r="A6422" t="inlineStr">
        <is>
          <t>A 60784-2025</t>
        </is>
      </c>
      <c r="B6422" s="1" t="n">
        <v>45999.40050925926</v>
      </c>
      <c r="C6422" s="1" t="n">
        <v>46114</v>
      </c>
      <c r="D6422" t="inlineStr">
        <is>
          <t>DALARNAS LÄN</t>
        </is>
      </c>
      <c r="E6422" t="inlineStr">
        <is>
          <t>BORLÄNGE</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60823-2025</t>
        </is>
      </c>
      <c r="B6423" s="1" t="n">
        <v>45999.45813657407</v>
      </c>
      <c r="C6423" s="1" t="n">
        <v>46114</v>
      </c>
      <c r="D6423" t="inlineStr">
        <is>
          <t>DALARNAS LÄN</t>
        </is>
      </c>
      <c r="E6423" t="inlineStr">
        <is>
          <t>RÄTTVIK</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48447-2023</t>
        </is>
      </c>
      <c r="B6424" s="1" t="n">
        <v>45206.39274305556</v>
      </c>
      <c r="C6424" s="1" t="n">
        <v>46114</v>
      </c>
      <c r="D6424" t="inlineStr">
        <is>
          <t>DALARNAS LÄN</t>
        </is>
      </c>
      <c r="E6424" t="inlineStr">
        <is>
          <t>ORSA</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60943-2025</t>
        </is>
      </c>
      <c r="B6425" s="1" t="n">
        <v>45999.64569444444</v>
      </c>
      <c r="C6425" s="1" t="n">
        <v>46114</v>
      </c>
      <c r="D6425" t="inlineStr">
        <is>
          <t>DALARNAS LÄN</t>
        </is>
      </c>
      <c r="E6425" t="inlineStr">
        <is>
          <t>MALUNG-SÄLEN</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30225-2023</t>
        </is>
      </c>
      <c r="B6426" s="1" t="n">
        <v>45110.64971064815</v>
      </c>
      <c r="C6426" s="1" t="n">
        <v>46114</v>
      </c>
      <c r="D6426" t="inlineStr">
        <is>
          <t>DALARNAS LÄN</t>
        </is>
      </c>
      <c r="E6426" t="inlineStr">
        <is>
          <t>ÄLVDALEN</t>
        </is>
      </c>
      <c r="F6426" t="inlineStr">
        <is>
          <t>Allmännings- och besparingsskogar</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2563-2025</t>
        </is>
      </c>
      <c r="B6427" s="1" t="n">
        <v>45674.65692129629</v>
      </c>
      <c r="C6427" s="1" t="n">
        <v>46114</v>
      </c>
      <c r="D6427" t="inlineStr">
        <is>
          <t>DALARNAS LÄN</t>
        </is>
      </c>
      <c r="E6427" t="inlineStr">
        <is>
          <t>ORSA</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31170-2023</t>
        </is>
      </c>
      <c r="B6428" s="1" t="n">
        <v>45113.84923611111</v>
      </c>
      <c r="C6428" s="1" t="n">
        <v>46114</v>
      </c>
      <c r="D6428" t="inlineStr">
        <is>
          <t>DALARNAS LÄN</t>
        </is>
      </c>
      <c r="E6428" t="inlineStr">
        <is>
          <t>ORSA</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31172-2023</t>
        </is>
      </c>
      <c r="B6429" s="1" t="n">
        <v>45113.8637037037</v>
      </c>
      <c r="C6429" s="1" t="n">
        <v>46114</v>
      </c>
      <c r="D6429" t="inlineStr">
        <is>
          <t>DALARNAS LÄN</t>
        </is>
      </c>
      <c r="E6429" t="inlineStr">
        <is>
          <t>ORSA</t>
        </is>
      </c>
      <c r="G6429" t="n">
        <v>2.9</v>
      </c>
      <c r="H6429" t="n">
        <v>0</v>
      </c>
      <c r="I6429" t="n">
        <v>0</v>
      </c>
      <c r="J6429" t="n">
        <v>0</v>
      </c>
      <c r="K6429" t="n">
        <v>0</v>
      </c>
      <c r="L6429" t="n">
        <v>0</v>
      </c>
      <c r="M6429" t="n">
        <v>0</v>
      </c>
      <c r="N6429" t="n">
        <v>0</v>
      </c>
      <c r="O6429" t="n">
        <v>0</v>
      </c>
      <c r="P6429" t="n">
        <v>0</v>
      </c>
      <c r="Q6429" t="n">
        <v>0</v>
      </c>
      <c r="R6429" s="2" t="inlineStr"/>
    </row>
    <row r="6430" ht="15" customHeight="1">
      <c r="A6430" t="inlineStr">
        <is>
          <t>A 47408-2025</t>
        </is>
      </c>
      <c r="B6430" s="1" t="n">
        <v>45930</v>
      </c>
      <c r="C6430" s="1" t="n">
        <v>46114</v>
      </c>
      <c r="D6430" t="inlineStr">
        <is>
          <t>DALARNAS LÄN</t>
        </is>
      </c>
      <c r="E6430" t="inlineStr">
        <is>
          <t>AVESTA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54730-2022</t>
        </is>
      </c>
      <c r="B6431" s="1" t="n">
        <v>44883</v>
      </c>
      <c r="C6431" s="1" t="n">
        <v>46114</v>
      </c>
      <c r="D6431" t="inlineStr">
        <is>
          <t>DALARNAS LÄN</t>
        </is>
      </c>
      <c r="E6431" t="inlineStr">
        <is>
          <t>LUDVIKA</t>
        </is>
      </c>
      <c r="F6431" t="inlineStr">
        <is>
          <t>Bergvik skog väst AB</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25494-2024</t>
        </is>
      </c>
      <c r="B6432" s="1" t="n">
        <v>45463</v>
      </c>
      <c r="C6432" s="1" t="n">
        <v>46114</v>
      </c>
      <c r="D6432" t="inlineStr">
        <is>
          <t>DALARNAS LÄN</t>
        </is>
      </c>
      <c r="E6432" t="inlineStr">
        <is>
          <t>MORA</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31171-2023</t>
        </is>
      </c>
      <c r="B6433" s="1" t="n">
        <v>45113.85704861111</v>
      </c>
      <c r="C6433" s="1" t="n">
        <v>46114</v>
      </c>
      <c r="D6433" t="inlineStr">
        <is>
          <t>DALARNAS LÄN</t>
        </is>
      </c>
      <c r="E6433" t="inlineStr">
        <is>
          <t>ORSA</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54121-2025</t>
        </is>
      </c>
      <c r="B6434" s="1" t="n">
        <v>45964.45186342593</v>
      </c>
      <c r="C6434" s="1" t="n">
        <v>46114</v>
      </c>
      <c r="D6434" t="inlineStr">
        <is>
          <t>DALARNAS LÄN</t>
        </is>
      </c>
      <c r="E6434" t="inlineStr">
        <is>
          <t>ORSA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61034-2024</t>
        </is>
      </c>
      <c r="B6435" s="1" t="n">
        <v>45645.46608796297</v>
      </c>
      <c r="C6435" s="1" t="n">
        <v>46114</v>
      </c>
      <c r="D6435" t="inlineStr">
        <is>
          <t>DALARNAS LÄN</t>
        </is>
      </c>
      <c r="E6435" t="inlineStr">
        <is>
          <t>ORSA</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58007-2025</t>
        </is>
      </c>
      <c r="B6436" s="1" t="n">
        <v>45982.44907407407</v>
      </c>
      <c r="C6436" s="1" t="n">
        <v>46114</v>
      </c>
      <c r="D6436" t="inlineStr">
        <is>
          <t>DALARNAS LÄN</t>
        </is>
      </c>
      <c r="E6436" t="inlineStr">
        <is>
          <t>ORSA</t>
        </is>
      </c>
      <c r="G6436" t="n">
        <v>1.8</v>
      </c>
      <c r="H6436" t="n">
        <v>0</v>
      </c>
      <c r="I6436" t="n">
        <v>0</v>
      </c>
      <c r="J6436" t="n">
        <v>0</v>
      </c>
      <c r="K6436" t="n">
        <v>0</v>
      </c>
      <c r="L6436" t="n">
        <v>0</v>
      </c>
      <c r="M6436" t="n">
        <v>0</v>
      </c>
      <c r="N6436" t="n">
        <v>0</v>
      </c>
      <c r="O6436" t="n">
        <v>0</v>
      </c>
      <c r="P6436" t="n">
        <v>0</v>
      </c>
      <c r="Q6436" t="n">
        <v>0</v>
      </c>
      <c r="R6436" s="2" t="inlineStr"/>
    </row>
    <row r="6437" ht="15" customHeight="1">
      <c r="A6437" t="inlineStr">
        <is>
          <t>A 60828-2025</t>
        </is>
      </c>
      <c r="B6437" s="1" t="n">
        <v>45999.46466435185</v>
      </c>
      <c r="C6437" s="1" t="n">
        <v>46114</v>
      </c>
      <c r="D6437" t="inlineStr">
        <is>
          <t>DALARNAS LÄN</t>
        </is>
      </c>
      <c r="E6437" t="inlineStr">
        <is>
          <t>RÄTTVIK</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60844-2025</t>
        </is>
      </c>
      <c r="B6438" s="1" t="n">
        <v>45999.4887037037</v>
      </c>
      <c r="C6438" s="1" t="n">
        <v>46114</v>
      </c>
      <c r="D6438" t="inlineStr">
        <is>
          <t>DALARNAS LÄN</t>
        </is>
      </c>
      <c r="E6438" t="inlineStr">
        <is>
          <t>ORSA</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18829-2021</t>
        </is>
      </c>
      <c r="B6439" s="1" t="n">
        <v>44307</v>
      </c>
      <c r="C6439" s="1" t="n">
        <v>46114</v>
      </c>
      <c r="D6439" t="inlineStr">
        <is>
          <t>DALARNAS LÄN</t>
        </is>
      </c>
      <c r="E6439" t="inlineStr">
        <is>
          <t>VANSBRO</t>
        </is>
      </c>
      <c r="F6439" t="inlineStr">
        <is>
          <t>Kyrkan</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33898-2024</t>
        </is>
      </c>
      <c r="B6440" s="1" t="n">
        <v>45523.35789351852</v>
      </c>
      <c r="C6440" s="1" t="n">
        <v>46114</v>
      </c>
      <c r="D6440" t="inlineStr">
        <is>
          <t>DALARNAS LÄN</t>
        </is>
      </c>
      <c r="E6440" t="inlineStr">
        <is>
          <t>FALUN</t>
        </is>
      </c>
      <c r="F6440" t="inlineStr">
        <is>
          <t>Allmännings- och besparingsskogar</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29025-2023</t>
        </is>
      </c>
      <c r="B6441" s="1" t="n">
        <v>45104.70399305555</v>
      </c>
      <c r="C6441" s="1" t="n">
        <v>46114</v>
      </c>
      <c r="D6441" t="inlineStr">
        <is>
          <t>DALARNAS LÄN</t>
        </is>
      </c>
      <c r="E6441" t="inlineStr">
        <is>
          <t>ORSA</t>
        </is>
      </c>
      <c r="G6441" t="n">
        <v>6.6</v>
      </c>
      <c r="H6441" t="n">
        <v>0</v>
      </c>
      <c r="I6441" t="n">
        <v>0</v>
      </c>
      <c r="J6441" t="n">
        <v>0</v>
      </c>
      <c r="K6441" t="n">
        <v>0</v>
      </c>
      <c r="L6441" t="n">
        <v>0</v>
      </c>
      <c r="M6441" t="n">
        <v>0</v>
      </c>
      <c r="N6441" t="n">
        <v>0</v>
      </c>
      <c r="O6441" t="n">
        <v>0</v>
      </c>
      <c r="P6441" t="n">
        <v>0</v>
      </c>
      <c r="Q6441" t="n">
        <v>0</v>
      </c>
      <c r="R6441" s="2" t="inlineStr"/>
    </row>
    <row r="6442" ht="15" customHeight="1">
      <c r="A6442" t="inlineStr">
        <is>
          <t>A 60676-2025</t>
        </is>
      </c>
      <c r="B6442" s="1" t="n">
        <v>45996.55976851852</v>
      </c>
      <c r="C6442" s="1" t="n">
        <v>46114</v>
      </c>
      <c r="D6442" t="inlineStr">
        <is>
          <t>DALARNAS LÄN</t>
        </is>
      </c>
      <c r="E6442" t="inlineStr">
        <is>
          <t>FALUN</t>
        </is>
      </c>
      <c r="G6442" t="n">
        <v>5.9</v>
      </c>
      <c r="H6442" t="n">
        <v>0</v>
      </c>
      <c r="I6442" t="n">
        <v>0</v>
      </c>
      <c r="J6442" t="n">
        <v>0</v>
      </c>
      <c r="K6442" t="n">
        <v>0</v>
      </c>
      <c r="L6442" t="n">
        <v>0</v>
      </c>
      <c r="M6442" t="n">
        <v>0</v>
      </c>
      <c r="N6442" t="n">
        <v>0</v>
      </c>
      <c r="O6442" t="n">
        <v>0</v>
      </c>
      <c r="P6442" t="n">
        <v>0</v>
      </c>
      <c r="Q6442" t="n">
        <v>0</v>
      </c>
      <c r="R6442" s="2" t="inlineStr"/>
    </row>
    <row r="6443" ht="15" customHeight="1">
      <c r="A6443" t="inlineStr">
        <is>
          <t>A 60692-2025</t>
        </is>
      </c>
      <c r="B6443" s="1" t="n">
        <v>45996</v>
      </c>
      <c r="C6443" s="1" t="n">
        <v>46114</v>
      </c>
      <c r="D6443" t="inlineStr">
        <is>
          <t>DALARNAS LÄN</t>
        </is>
      </c>
      <c r="E6443" t="inlineStr">
        <is>
          <t>AVESTA</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14931-2024</t>
        </is>
      </c>
      <c r="B6444" s="1" t="n">
        <v>45398.64800925926</v>
      </c>
      <c r="C6444" s="1" t="n">
        <v>46114</v>
      </c>
      <c r="D6444" t="inlineStr">
        <is>
          <t>DALARNAS LÄN</t>
        </is>
      </c>
      <c r="E6444" t="inlineStr">
        <is>
          <t>SÄTER</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10743-2024</t>
        </is>
      </c>
      <c r="B6445" s="1" t="n">
        <v>45369.52167824074</v>
      </c>
      <c r="C6445" s="1" t="n">
        <v>46114</v>
      </c>
      <c r="D6445" t="inlineStr">
        <is>
          <t>DALARNAS LÄN</t>
        </is>
      </c>
      <c r="E6445" t="inlineStr">
        <is>
          <t>LEKSAND</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60618-2025</t>
        </is>
      </c>
      <c r="B6446" s="1" t="n">
        <v>45996.38019675926</v>
      </c>
      <c r="C6446" s="1" t="n">
        <v>46114</v>
      </c>
      <c r="D6446" t="inlineStr">
        <is>
          <t>DALARNAS LÄN</t>
        </is>
      </c>
      <c r="E6446" t="inlineStr">
        <is>
          <t>VANSBRO</t>
        </is>
      </c>
      <c r="F6446" t="inlineStr">
        <is>
          <t>Bergvik skog väst AB</t>
        </is>
      </c>
      <c r="G6446" t="n">
        <v>6</v>
      </c>
      <c r="H6446" t="n">
        <v>0</v>
      </c>
      <c r="I6446" t="n">
        <v>0</v>
      </c>
      <c r="J6446" t="n">
        <v>0</v>
      </c>
      <c r="K6446" t="n">
        <v>0</v>
      </c>
      <c r="L6446" t="n">
        <v>0</v>
      </c>
      <c r="M6446" t="n">
        <v>0</v>
      </c>
      <c r="N6446" t="n">
        <v>0</v>
      </c>
      <c r="O6446" t="n">
        <v>0</v>
      </c>
      <c r="P6446" t="n">
        <v>0</v>
      </c>
      <c r="Q6446" t="n">
        <v>0</v>
      </c>
      <c r="R6446" s="2" t="inlineStr"/>
    </row>
    <row r="6447" ht="15" customHeight="1">
      <c r="A6447" t="inlineStr">
        <is>
          <t>A 10771-2024</t>
        </is>
      </c>
      <c r="B6447" s="1" t="n">
        <v>45369.57342592593</v>
      </c>
      <c r="C6447" s="1" t="n">
        <v>46114</v>
      </c>
      <c r="D6447" t="inlineStr">
        <is>
          <t>DALARNAS LÄN</t>
        </is>
      </c>
      <c r="E6447" t="inlineStr">
        <is>
          <t>LEKSAND</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5477-2023</t>
        </is>
      </c>
      <c r="B6448" s="1" t="n">
        <v>44960</v>
      </c>
      <c r="C6448" s="1" t="n">
        <v>46114</v>
      </c>
      <c r="D6448" t="inlineStr">
        <is>
          <t>DALARNAS LÄN</t>
        </is>
      </c>
      <c r="E6448" t="inlineStr">
        <is>
          <t>VANSBRO</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48518-2024</t>
        </is>
      </c>
      <c r="B6449" s="1" t="n">
        <v>45593.31915509259</v>
      </c>
      <c r="C6449" s="1" t="n">
        <v>46114</v>
      </c>
      <c r="D6449" t="inlineStr">
        <is>
          <t>DALARNAS LÄN</t>
        </is>
      </c>
      <c r="E6449" t="inlineStr">
        <is>
          <t>ORSA</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60572-2025</t>
        </is>
      </c>
      <c r="B6450" s="1" t="n">
        <v>45995.94155092593</v>
      </c>
      <c r="C6450" s="1" t="n">
        <v>46114</v>
      </c>
      <c r="D6450" t="inlineStr">
        <is>
          <t>DALARNAS LÄN</t>
        </is>
      </c>
      <c r="E6450" t="inlineStr">
        <is>
          <t>GAGNEF</t>
        </is>
      </c>
      <c r="G6450" t="n">
        <v>2.3</v>
      </c>
      <c r="H6450" t="n">
        <v>0</v>
      </c>
      <c r="I6450" t="n">
        <v>0</v>
      </c>
      <c r="J6450" t="n">
        <v>0</v>
      </c>
      <c r="K6450" t="n">
        <v>0</v>
      </c>
      <c r="L6450" t="n">
        <v>0</v>
      </c>
      <c r="M6450" t="n">
        <v>0</v>
      </c>
      <c r="N6450" t="n">
        <v>0</v>
      </c>
      <c r="O6450" t="n">
        <v>0</v>
      </c>
      <c r="P6450" t="n">
        <v>0</v>
      </c>
      <c r="Q6450" t="n">
        <v>0</v>
      </c>
      <c r="R6450" s="2" t="inlineStr"/>
    </row>
    <row r="6451" ht="15" customHeight="1">
      <c r="A6451" t="inlineStr">
        <is>
          <t>A 58793-2023</t>
        </is>
      </c>
      <c r="B6451" s="1" t="n">
        <v>45252.34607638889</v>
      </c>
      <c r="C6451" s="1" t="n">
        <v>46114</v>
      </c>
      <c r="D6451" t="inlineStr">
        <is>
          <t>DALARNAS LÄN</t>
        </is>
      </c>
      <c r="E6451" t="inlineStr">
        <is>
          <t>ORSA</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51551-2025</t>
        </is>
      </c>
      <c r="B6452" s="1" t="n">
        <v>45950.84275462963</v>
      </c>
      <c r="C6452" s="1" t="n">
        <v>46114</v>
      </c>
      <c r="D6452" t="inlineStr">
        <is>
          <t>DALARNAS LÄN</t>
        </is>
      </c>
      <c r="E6452" t="inlineStr">
        <is>
          <t>ORSA</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8756-2024</t>
        </is>
      </c>
      <c r="B6453" s="1" t="n">
        <v>45356</v>
      </c>
      <c r="C6453" s="1" t="n">
        <v>46114</v>
      </c>
      <c r="D6453" t="inlineStr">
        <is>
          <t>DALARNAS LÄN</t>
        </is>
      </c>
      <c r="E6453" t="inlineStr">
        <is>
          <t>FALUN</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48634-2024</t>
        </is>
      </c>
      <c r="B6454" s="1" t="n">
        <v>45593</v>
      </c>
      <c r="C6454" s="1" t="n">
        <v>46114</v>
      </c>
      <c r="D6454" t="inlineStr">
        <is>
          <t>DALARNAS LÄN</t>
        </is>
      </c>
      <c r="E6454" t="inlineStr">
        <is>
          <t>SMEDJEBACKEN</t>
        </is>
      </c>
      <c r="F6454" t="inlineStr">
        <is>
          <t>Bergvik skog väst AB</t>
        </is>
      </c>
      <c r="G6454" t="n">
        <v>8.699999999999999</v>
      </c>
      <c r="H6454" t="n">
        <v>0</v>
      </c>
      <c r="I6454" t="n">
        <v>0</v>
      </c>
      <c r="J6454" t="n">
        <v>0</v>
      </c>
      <c r="K6454" t="n">
        <v>0</v>
      </c>
      <c r="L6454" t="n">
        <v>0</v>
      </c>
      <c r="M6454" t="n">
        <v>0</v>
      </c>
      <c r="N6454" t="n">
        <v>0</v>
      </c>
      <c r="O6454" t="n">
        <v>0</v>
      </c>
      <c r="P6454" t="n">
        <v>0</v>
      </c>
      <c r="Q6454" t="n">
        <v>0</v>
      </c>
      <c r="R6454" s="2" t="inlineStr"/>
    </row>
    <row r="6455" ht="15" customHeight="1">
      <c r="A6455" t="inlineStr">
        <is>
          <t>A 7188-2023</t>
        </is>
      </c>
      <c r="B6455" s="1" t="n">
        <v>44965</v>
      </c>
      <c r="C6455" s="1" t="n">
        <v>46114</v>
      </c>
      <c r="D6455" t="inlineStr">
        <is>
          <t>DALARNAS LÄN</t>
        </is>
      </c>
      <c r="E6455" t="inlineStr">
        <is>
          <t>SÄTER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17572-2021</t>
        </is>
      </c>
      <c r="B6456" s="1" t="n">
        <v>44299</v>
      </c>
      <c r="C6456" s="1" t="n">
        <v>46114</v>
      </c>
      <c r="D6456" t="inlineStr">
        <is>
          <t>DALARNAS LÄN</t>
        </is>
      </c>
      <c r="E6456" t="inlineStr">
        <is>
          <t>BORLÄNGE</t>
        </is>
      </c>
      <c r="G6456" t="n">
        <v>4.5</v>
      </c>
      <c r="H6456" t="n">
        <v>0</v>
      </c>
      <c r="I6456" t="n">
        <v>0</v>
      </c>
      <c r="J6456" t="n">
        <v>0</v>
      </c>
      <c r="K6456" t="n">
        <v>0</v>
      </c>
      <c r="L6456" t="n">
        <v>0</v>
      </c>
      <c r="M6456" t="n">
        <v>0</v>
      </c>
      <c r="N6456" t="n">
        <v>0</v>
      </c>
      <c r="O6456" t="n">
        <v>0</v>
      </c>
      <c r="P6456" t="n">
        <v>0</v>
      </c>
      <c r="Q6456" t="n">
        <v>0</v>
      </c>
      <c r="R6456" s="2" t="inlineStr"/>
    </row>
    <row r="6457" ht="15" customHeight="1">
      <c r="A6457" t="inlineStr">
        <is>
          <t>A 31026-2023</t>
        </is>
      </c>
      <c r="B6457" s="1" t="n">
        <v>45113.5812962963</v>
      </c>
      <c r="C6457" s="1" t="n">
        <v>46114</v>
      </c>
      <c r="D6457" t="inlineStr">
        <is>
          <t>DALARNAS LÄN</t>
        </is>
      </c>
      <c r="E6457" t="inlineStr">
        <is>
          <t>ORSA</t>
        </is>
      </c>
      <c r="F6457" t="inlineStr">
        <is>
          <t>Bergvik skog öst AB</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39262-2021</t>
        </is>
      </c>
      <c r="B6458" s="1" t="n">
        <v>44413</v>
      </c>
      <c r="C6458" s="1" t="n">
        <v>46114</v>
      </c>
      <c r="D6458" t="inlineStr">
        <is>
          <t>DALARNAS LÄN</t>
        </is>
      </c>
      <c r="E6458" t="inlineStr">
        <is>
          <t>SÄTER</t>
        </is>
      </c>
      <c r="G6458" t="n">
        <v>3.5</v>
      </c>
      <c r="H6458" t="n">
        <v>0</v>
      </c>
      <c r="I6458" t="n">
        <v>0</v>
      </c>
      <c r="J6458" t="n">
        <v>0</v>
      </c>
      <c r="K6458" t="n">
        <v>0</v>
      </c>
      <c r="L6458" t="n">
        <v>0</v>
      </c>
      <c r="M6458" t="n">
        <v>0</v>
      </c>
      <c r="N6458" t="n">
        <v>0</v>
      </c>
      <c r="O6458" t="n">
        <v>0</v>
      </c>
      <c r="P6458" t="n">
        <v>0</v>
      </c>
      <c r="Q6458" t="n">
        <v>0</v>
      </c>
      <c r="R6458" s="2" t="inlineStr"/>
    </row>
    <row r="6459" ht="15" customHeight="1">
      <c r="A6459" t="inlineStr">
        <is>
          <t>A 61064-2025</t>
        </is>
      </c>
      <c r="B6459" s="1" t="n">
        <v>46000</v>
      </c>
      <c r="C6459" s="1" t="n">
        <v>46114</v>
      </c>
      <c r="D6459" t="inlineStr">
        <is>
          <t>DALARNAS LÄN</t>
        </is>
      </c>
      <c r="E6459" t="inlineStr">
        <is>
          <t>FALUN</t>
        </is>
      </c>
      <c r="G6459" t="n">
        <v>2.4</v>
      </c>
      <c r="H6459" t="n">
        <v>0</v>
      </c>
      <c r="I6459" t="n">
        <v>0</v>
      </c>
      <c r="J6459" t="n">
        <v>0</v>
      </c>
      <c r="K6459" t="n">
        <v>0</v>
      </c>
      <c r="L6459" t="n">
        <v>0</v>
      </c>
      <c r="M6459" t="n">
        <v>0</v>
      </c>
      <c r="N6459" t="n">
        <v>0</v>
      </c>
      <c r="O6459" t="n">
        <v>0</v>
      </c>
      <c r="P6459" t="n">
        <v>0</v>
      </c>
      <c r="Q6459" t="n">
        <v>0</v>
      </c>
      <c r="R6459" s="2" t="inlineStr"/>
    </row>
    <row r="6460" ht="15" customHeight="1">
      <c r="A6460" t="inlineStr">
        <is>
          <t>A 61136-2025</t>
        </is>
      </c>
      <c r="B6460" s="1" t="n">
        <v>46000.50141203704</v>
      </c>
      <c r="C6460" s="1" t="n">
        <v>46114</v>
      </c>
      <c r="D6460" t="inlineStr">
        <is>
          <t>DALARNAS LÄN</t>
        </is>
      </c>
      <c r="E6460" t="inlineStr">
        <is>
          <t>HEDEMORA</t>
        </is>
      </c>
      <c r="F6460" t="inlineStr">
        <is>
          <t>Bergvik skog väst AB</t>
        </is>
      </c>
      <c r="G6460" t="n">
        <v>6.2</v>
      </c>
      <c r="H6460" t="n">
        <v>0</v>
      </c>
      <c r="I6460" t="n">
        <v>0</v>
      </c>
      <c r="J6460" t="n">
        <v>0</v>
      </c>
      <c r="K6460" t="n">
        <v>0</v>
      </c>
      <c r="L6460" t="n">
        <v>0</v>
      </c>
      <c r="M6460" t="n">
        <v>0</v>
      </c>
      <c r="N6460" t="n">
        <v>0</v>
      </c>
      <c r="O6460" t="n">
        <v>0</v>
      </c>
      <c r="P6460" t="n">
        <v>0</v>
      </c>
      <c r="Q6460" t="n">
        <v>0</v>
      </c>
      <c r="R6460" s="2" t="inlineStr"/>
    </row>
    <row r="6461" ht="15" customHeight="1">
      <c r="A6461" t="inlineStr">
        <is>
          <t>A 61466-2025</t>
        </is>
      </c>
      <c r="B6461" s="1" t="n">
        <v>46001.60390046296</v>
      </c>
      <c r="C6461" s="1" t="n">
        <v>46114</v>
      </c>
      <c r="D6461" t="inlineStr">
        <is>
          <t>DALARNAS LÄN</t>
        </is>
      </c>
      <c r="E6461" t="inlineStr">
        <is>
          <t>MALUNG-SÄLEN</t>
        </is>
      </c>
      <c r="F6461" t="inlineStr">
        <is>
          <t>Bergvik skog väst AB</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61502-2025</t>
        </is>
      </c>
      <c r="B6462" s="1" t="n">
        <v>46001.66116898148</v>
      </c>
      <c r="C6462" s="1" t="n">
        <v>46114</v>
      </c>
      <c r="D6462" t="inlineStr">
        <is>
          <t>DALARNAS LÄN</t>
        </is>
      </c>
      <c r="E6462" t="inlineStr">
        <is>
          <t>LUDVIKA</t>
        </is>
      </c>
      <c r="F6462" t="inlineStr">
        <is>
          <t>Bergvik skog väst AB</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50677-2024</t>
        </is>
      </c>
      <c r="B6463" s="1" t="n">
        <v>45601.88305555555</v>
      </c>
      <c r="C6463" s="1" t="n">
        <v>46114</v>
      </c>
      <c r="D6463" t="inlineStr">
        <is>
          <t>DALARNAS LÄN</t>
        </is>
      </c>
      <c r="E6463" t="inlineStr">
        <is>
          <t>SÄTER</t>
        </is>
      </c>
      <c r="G6463" t="n">
        <v>2.1</v>
      </c>
      <c r="H6463" t="n">
        <v>0</v>
      </c>
      <c r="I6463" t="n">
        <v>0</v>
      </c>
      <c r="J6463" t="n">
        <v>0</v>
      </c>
      <c r="K6463" t="n">
        <v>0</v>
      </c>
      <c r="L6463" t="n">
        <v>0</v>
      </c>
      <c r="M6463" t="n">
        <v>0</v>
      </c>
      <c r="N6463" t="n">
        <v>0</v>
      </c>
      <c r="O6463" t="n">
        <v>0</v>
      </c>
      <c r="P6463" t="n">
        <v>0</v>
      </c>
      <c r="Q6463" t="n">
        <v>0</v>
      </c>
      <c r="R6463" s="2" t="inlineStr"/>
    </row>
    <row r="6464" ht="15" customHeight="1">
      <c r="A6464" t="inlineStr">
        <is>
          <t>A 27627-2021</t>
        </is>
      </c>
      <c r="B6464" s="1" t="n">
        <v>44354.35270833333</v>
      </c>
      <c r="C6464" s="1" t="n">
        <v>46114</v>
      </c>
      <c r="D6464" t="inlineStr">
        <is>
          <t>DALARNAS LÄN</t>
        </is>
      </c>
      <c r="E6464" t="inlineStr">
        <is>
          <t>FALUN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13744-2025</t>
        </is>
      </c>
      <c r="B6465" s="1" t="n">
        <v>45737.40759259259</v>
      </c>
      <c r="C6465" s="1" t="n">
        <v>46114</v>
      </c>
      <c r="D6465" t="inlineStr">
        <is>
          <t>DALARNAS LÄN</t>
        </is>
      </c>
      <c r="E6465" t="inlineStr">
        <is>
          <t>RÄTTVIK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29364-2024</t>
        </is>
      </c>
      <c r="B6466" s="1" t="n">
        <v>45483.54578703704</v>
      </c>
      <c r="C6466" s="1" t="n">
        <v>46114</v>
      </c>
      <c r="D6466" t="inlineStr">
        <is>
          <t>DALARNAS LÄN</t>
        </is>
      </c>
      <c r="E6466" t="inlineStr">
        <is>
          <t>MALUNG-SÄLEN</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61529-2025</t>
        </is>
      </c>
      <c r="B6467" s="1" t="n">
        <v>46001.7033912037</v>
      </c>
      <c r="C6467" s="1" t="n">
        <v>46114</v>
      </c>
      <c r="D6467" t="inlineStr">
        <is>
          <t>DALARNAS LÄN</t>
        </is>
      </c>
      <c r="E6467" t="inlineStr">
        <is>
          <t>ÄLVDALEN</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41433-2024</t>
        </is>
      </c>
      <c r="B6468" s="1" t="n">
        <v>45560.36578703704</v>
      </c>
      <c r="C6468" s="1" t="n">
        <v>46114</v>
      </c>
      <c r="D6468" t="inlineStr">
        <is>
          <t>DALARNAS LÄN</t>
        </is>
      </c>
      <c r="E6468" t="inlineStr">
        <is>
          <t>MALUNG-SÄLEN</t>
        </is>
      </c>
      <c r="F6468" t="inlineStr">
        <is>
          <t>Bergvik skog öst AB</t>
        </is>
      </c>
      <c r="G6468" t="n">
        <v>2.1</v>
      </c>
      <c r="H6468" t="n">
        <v>0</v>
      </c>
      <c r="I6468" t="n">
        <v>0</v>
      </c>
      <c r="J6468" t="n">
        <v>0</v>
      </c>
      <c r="K6468" t="n">
        <v>0</v>
      </c>
      <c r="L6468" t="n">
        <v>0</v>
      </c>
      <c r="M6468" t="n">
        <v>0</v>
      </c>
      <c r="N6468" t="n">
        <v>0</v>
      </c>
      <c r="O6468" t="n">
        <v>0</v>
      </c>
      <c r="P6468" t="n">
        <v>0</v>
      </c>
      <c r="Q6468" t="n">
        <v>0</v>
      </c>
      <c r="R6468" s="2" t="inlineStr"/>
    </row>
    <row r="6469" ht="15" customHeight="1">
      <c r="A6469" t="inlineStr">
        <is>
          <t>A 61207-2025</t>
        </is>
      </c>
      <c r="B6469" s="1" t="n">
        <v>46000.61453703704</v>
      </c>
      <c r="C6469" s="1" t="n">
        <v>46114</v>
      </c>
      <c r="D6469" t="inlineStr">
        <is>
          <t>DALARNAS LÄN</t>
        </is>
      </c>
      <c r="E6469" t="inlineStr">
        <is>
          <t>MALUNG-SÄLEN</t>
        </is>
      </c>
      <c r="G6469" t="n">
        <v>5.1</v>
      </c>
      <c r="H6469" t="n">
        <v>0</v>
      </c>
      <c r="I6469" t="n">
        <v>0</v>
      </c>
      <c r="J6469" t="n">
        <v>0</v>
      </c>
      <c r="K6469" t="n">
        <v>0</v>
      </c>
      <c r="L6469" t="n">
        <v>0</v>
      </c>
      <c r="M6469" t="n">
        <v>0</v>
      </c>
      <c r="N6469" t="n">
        <v>0</v>
      </c>
      <c r="O6469" t="n">
        <v>0</v>
      </c>
      <c r="P6469" t="n">
        <v>0</v>
      </c>
      <c r="Q6469" t="n">
        <v>0</v>
      </c>
      <c r="R6469" s="2" t="inlineStr"/>
    </row>
    <row r="6470" ht="15" customHeight="1">
      <c r="A6470" t="inlineStr">
        <is>
          <t>A 61213-2025</t>
        </is>
      </c>
      <c r="B6470" s="1" t="n">
        <v>46000.61697916667</v>
      </c>
      <c r="C6470" s="1" t="n">
        <v>46114</v>
      </c>
      <c r="D6470" t="inlineStr">
        <is>
          <t>DALARNAS LÄN</t>
        </is>
      </c>
      <c r="E6470" t="inlineStr">
        <is>
          <t>RÄTTVIK</t>
        </is>
      </c>
      <c r="G6470" t="n">
        <v>1.4</v>
      </c>
      <c r="H6470" t="n">
        <v>0</v>
      </c>
      <c r="I6470" t="n">
        <v>0</v>
      </c>
      <c r="J6470" t="n">
        <v>0</v>
      </c>
      <c r="K6470" t="n">
        <v>0</v>
      </c>
      <c r="L6470" t="n">
        <v>0</v>
      </c>
      <c r="M6470" t="n">
        <v>0</v>
      </c>
      <c r="N6470" t="n">
        <v>0</v>
      </c>
      <c r="O6470" t="n">
        <v>0</v>
      </c>
      <c r="P6470" t="n">
        <v>0</v>
      </c>
      <c r="Q6470" t="n">
        <v>0</v>
      </c>
      <c r="R6470" s="2" t="inlineStr"/>
    </row>
    <row r="6471" ht="15" customHeight="1">
      <c r="A6471" t="inlineStr">
        <is>
          <t>A 60858-2025</t>
        </is>
      </c>
      <c r="B6471" s="1" t="n">
        <v>45999.52246527778</v>
      </c>
      <c r="C6471" s="1" t="n">
        <v>46114</v>
      </c>
      <c r="D6471" t="inlineStr">
        <is>
          <t>DALARNAS LÄN</t>
        </is>
      </c>
      <c r="E6471" t="inlineStr">
        <is>
          <t>HEDEMORA</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61397-2025</t>
        </is>
      </c>
      <c r="B6472" s="1" t="n">
        <v>46001.47554398148</v>
      </c>
      <c r="C6472" s="1" t="n">
        <v>46114</v>
      </c>
      <c r="D6472" t="inlineStr">
        <is>
          <t>DALARNAS LÄN</t>
        </is>
      </c>
      <c r="E6472" t="inlineStr">
        <is>
          <t>VANSBRO</t>
        </is>
      </c>
      <c r="F6472" t="inlineStr">
        <is>
          <t>Bergvik skog väst AB</t>
        </is>
      </c>
      <c r="G6472" t="n">
        <v>2.9</v>
      </c>
      <c r="H6472" t="n">
        <v>0</v>
      </c>
      <c r="I6472" t="n">
        <v>0</v>
      </c>
      <c r="J6472" t="n">
        <v>0</v>
      </c>
      <c r="K6472" t="n">
        <v>0</v>
      </c>
      <c r="L6472" t="n">
        <v>0</v>
      </c>
      <c r="M6472" t="n">
        <v>0</v>
      </c>
      <c r="N6472" t="n">
        <v>0</v>
      </c>
      <c r="O6472" t="n">
        <v>0</v>
      </c>
      <c r="P6472" t="n">
        <v>0</v>
      </c>
      <c r="Q6472" t="n">
        <v>0</v>
      </c>
      <c r="R6472" s="2" t="inlineStr"/>
    </row>
    <row r="6473" ht="15" customHeight="1">
      <c r="A6473" t="inlineStr">
        <is>
          <t>A 30458-2023</t>
        </is>
      </c>
      <c r="B6473" s="1" t="n">
        <v>45111</v>
      </c>
      <c r="C6473" s="1" t="n">
        <v>46114</v>
      </c>
      <c r="D6473" t="inlineStr">
        <is>
          <t>DALARNAS LÄN</t>
        </is>
      </c>
      <c r="E6473" t="inlineStr">
        <is>
          <t>ORSA</t>
        </is>
      </c>
      <c r="F6473" t="inlineStr">
        <is>
          <t>Bergvik skog öst AB</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58171-2024</t>
        </is>
      </c>
      <c r="B6474" s="1" t="n">
        <v>45632.46545138889</v>
      </c>
      <c r="C6474" s="1" t="n">
        <v>46114</v>
      </c>
      <c r="D6474" t="inlineStr">
        <is>
          <t>DALARNAS LÄN</t>
        </is>
      </c>
      <c r="E6474" t="inlineStr">
        <is>
          <t>MORA</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14680-2023</t>
        </is>
      </c>
      <c r="B6475" s="1" t="n">
        <v>45014.30054398148</v>
      </c>
      <c r="C6475" s="1" t="n">
        <v>46114</v>
      </c>
      <c r="D6475" t="inlineStr">
        <is>
          <t>DALARNAS LÄN</t>
        </is>
      </c>
      <c r="E6475" t="inlineStr">
        <is>
          <t>ORSA</t>
        </is>
      </c>
      <c r="G6475" t="n">
        <v>4.2</v>
      </c>
      <c r="H6475" t="n">
        <v>0</v>
      </c>
      <c r="I6475" t="n">
        <v>0</v>
      </c>
      <c r="J6475" t="n">
        <v>0</v>
      </c>
      <c r="K6475" t="n">
        <v>0</v>
      </c>
      <c r="L6475" t="n">
        <v>0</v>
      </c>
      <c r="M6475" t="n">
        <v>0</v>
      </c>
      <c r="N6475" t="n">
        <v>0</v>
      </c>
      <c r="O6475" t="n">
        <v>0</v>
      </c>
      <c r="P6475" t="n">
        <v>0</v>
      </c>
      <c r="Q6475" t="n">
        <v>0</v>
      </c>
      <c r="R6475" s="2" t="inlineStr"/>
    </row>
    <row r="6476" ht="15" customHeight="1">
      <c r="A6476" t="inlineStr">
        <is>
          <t>A 56823-2024</t>
        </is>
      </c>
      <c r="B6476" s="1" t="n">
        <v>45628.49032407408</v>
      </c>
      <c r="C6476" s="1" t="n">
        <v>46114</v>
      </c>
      <c r="D6476" t="inlineStr">
        <is>
          <t>DALARNAS LÄN</t>
        </is>
      </c>
      <c r="E6476" t="inlineStr">
        <is>
          <t>SÄTER</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54887-2024</t>
        </is>
      </c>
      <c r="B6477" s="1" t="n">
        <v>45618.6262037037</v>
      </c>
      <c r="C6477" s="1" t="n">
        <v>46114</v>
      </c>
      <c r="D6477" t="inlineStr">
        <is>
          <t>DALARNAS LÄN</t>
        </is>
      </c>
      <c r="E6477" t="inlineStr">
        <is>
          <t>MALUNG-SÄLEN</t>
        </is>
      </c>
      <c r="G6477" t="n">
        <v>6</v>
      </c>
      <c r="H6477" t="n">
        <v>0</v>
      </c>
      <c r="I6477" t="n">
        <v>0</v>
      </c>
      <c r="J6477" t="n">
        <v>0</v>
      </c>
      <c r="K6477" t="n">
        <v>0</v>
      </c>
      <c r="L6477" t="n">
        <v>0</v>
      </c>
      <c r="M6477" t="n">
        <v>0</v>
      </c>
      <c r="N6477" t="n">
        <v>0</v>
      </c>
      <c r="O6477" t="n">
        <v>0</v>
      </c>
      <c r="P6477" t="n">
        <v>0</v>
      </c>
      <c r="Q6477" t="n">
        <v>0</v>
      </c>
      <c r="R6477" s="2" t="inlineStr"/>
    </row>
    <row r="6478" ht="15" customHeight="1">
      <c r="A6478" t="inlineStr">
        <is>
          <t>A 56941-2024</t>
        </is>
      </c>
      <c r="B6478" s="1" t="n">
        <v>45625</v>
      </c>
      <c r="C6478" s="1" t="n">
        <v>46114</v>
      </c>
      <c r="D6478" t="inlineStr">
        <is>
          <t>DALARNAS LÄN</t>
        </is>
      </c>
      <c r="E6478" t="inlineStr">
        <is>
          <t>LEKSAND</t>
        </is>
      </c>
      <c r="G6478" t="n">
        <v>1.8</v>
      </c>
      <c r="H6478" t="n">
        <v>0</v>
      </c>
      <c r="I6478" t="n">
        <v>0</v>
      </c>
      <c r="J6478" t="n">
        <v>0</v>
      </c>
      <c r="K6478" t="n">
        <v>0</v>
      </c>
      <c r="L6478" t="n">
        <v>0</v>
      </c>
      <c r="M6478" t="n">
        <v>0</v>
      </c>
      <c r="N6478" t="n">
        <v>0</v>
      </c>
      <c r="O6478" t="n">
        <v>0</v>
      </c>
      <c r="P6478" t="n">
        <v>0</v>
      </c>
      <c r="Q6478" t="n">
        <v>0</v>
      </c>
      <c r="R6478" s="2" t="inlineStr"/>
    </row>
    <row r="6479" ht="15" customHeight="1">
      <c r="A6479" t="inlineStr">
        <is>
          <t>A 61491-2025</t>
        </is>
      </c>
      <c r="B6479" s="1" t="n">
        <v>46001.63854166667</v>
      </c>
      <c r="C6479" s="1" t="n">
        <v>46114</v>
      </c>
      <c r="D6479" t="inlineStr">
        <is>
          <t>DALARNAS LÄN</t>
        </is>
      </c>
      <c r="E6479" t="inlineStr">
        <is>
          <t>LEKSAND</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61412-2025</t>
        </is>
      </c>
      <c r="B6480" s="1" t="n">
        <v>46001.5266087963</v>
      </c>
      <c r="C6480" s="1" t="n">
        <v>46114</v>
      </c>
      <c r="D6480" t="inlineStr">
        <is>
          <t>DALARNAS LÄN</t>
        </is>
      </c>
      <c r="E6480" t="inlineStr">
        <is>
          <t>MORA</t>
        </is>
      </c>
      <c r="G6480" t="n">
        <v>2.9</v>
      </c>
      <c r="H6480" t="n">
        <v>0</v>
      </c>
      <c r="I6480" t="n">
        <v>0</v>
      </c>
      <c r="J6480" t="n">
        <v>0</v>
      </c>
      <c r="K6480" t="n">
        <v>0</v>
      </c>
      <c r="L6480" t="n">
        <v>0</v>
      </c>
      <c r="M6480" t="n">
        <v>0</v>
      </c>
      <c r="N6480" t="n">
        <v>0</v>
      </c>
      <c r="O6480" t="n">
        <v>0</v>
      </c>
      <c r="P6480" t="n">
        <v>0</v>
      </c>
      <c r="Q6480" t="n">
        <v>0</v>
      </c>
      <c r="R6480" s="2" t="inlineStr"/>
    </row>
    <row r="6481" ht="15" customHeight="1">
      <c r="A6481" t="inlineStr">
        <is>
          <t>A 61013-2025</t>
        </is>
      </c>
      <c r="B6481" s="1" t="n">
        <v>45999.83986111111</v>
      </c>
      <c r="C6481" s="1" t="n">
        <v>46114</v>
      </c>
      <c r="D6481" t="inlineStr">
        <is>
          <t>DALARNAS LÄN</t>
        </is>
      </c>
      <c r="E6481" t="inlineStr">
        <is>
          <t>AVESTA</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34652-2024</t>
        </is>
      </c>
      <c r="B6482" s="1" t="n">
        <v>45526.48674768519</v>
      </c>
      <c r="C6482" s="1" t="n">
        <v>46114</v>
      </c>
      <c r="D6482" t="inlineStr">
        <is>
          <t>DALARNAS LÄN</t>
        </is>
      </c>
      <c r="E6482" t="inlineStr">
        <is>
          <t>SÄTER</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4738-2025</t>
        </is>
      </c>
      <c r="B6483" s="1" t="n">
        <v>45688</v>
      </c>
      <c r="C6483" s="1" t="n">
        <v>46114</v>
      </c>
      <c r="D6483" t="inlineStr">
        <is>
          <t>DALARNAS LÄN</t>
        </is>
      </c>
      <c r="E6483" t="inlineStr">
        <is>
          <t>ORSA</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16051-2023</t>
        </is>
      </c>
      <c r="B6484" s="1" t="n">
        <v>45027</v>
      </c>
      <c r="C6484" s="1" t="n">
        <v>46114</v>
      </c>
      <c r="D6484" t="inlineStr">
        <is>
          <t>DALARNAS LÄN</t>
        </is>
      </c>
      <c r="E6484" t="inlineStr">
        <is>
          <t>LEKSAND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63514-2023</t>
        </is>
      </c>
      <c r="B6485" s="1" t="n">
        <v>45274</v>
      </c>
      <c r="C6485" s="1" t="n">
        <v>46114</v>
      </c>
      <c r="D6485" t="inlineStr">
        <is>
          <t>DALARNAS LÄN</t>
        </is>
      </c>
      <c r="E6485" t="inlineStr">
        <is>
          <t>LEKSAND</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42369-2025</t>
        </is>
      </c>
      <c r="B6486" s="1" t="n">
        <v>45905.33054398148</v>
      </c>
      <c r="C6486" s="1" t="n">
        <v>46114</v>
      </c>
      <c r="D6486" t="inlineStr">
        <is>
          <t>DALARNAS LÄN</t>
        </is>
      </c>
      <c r="E6486" t="inlineStr">
        <is>
          <t>FALUN</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19917-2023</t>
        </is>
      </c>
      <c r="B6487" s="1" t="n">
        <v>45054.44313657407</v>
      </c>
      <c r="C6487" s="1" t="n">
        <v>46114</v>
      </c>
      <c r="D6487" t="inlineStr">
        <is>
          <t>DALARNAS LÄN</t>
        </is>
      </c>
      <c r="E6487" t="inlineStr">
        <is>
          <t>FALUN</t>
        </is>
      </c>
      <c r="G6487" t="n">
        <v>0.4</v>
      </c>
      <c r="H6487" t="n">
        <v>0</v>
      </c>
      <c r="I6487" t="n">
        <v>0</v>
      </c>
      <c r="J6487" t="n">
        <v>0</v>
      </c>
      <c r="K6487" t="n">
        <v>0</v>
      </c>
      <c r="L6487" t="n">
        <v>0</v>
      </c>
      <c r="M6487" t="n">
        <v>0</v>
      </c>
      <c r="N6487" t="n">
        <v>0</v>
      </c>
      <c r="O6487" t="n">
        <v>0</v>
      </c>
      <c r="P6487" t="n">
        <v>0</v>
      </c>
      <c r="Q6487" t="n">
        <v>0</v>
      </c>
      <c r="R6487" s="2" t="inlineStr"/>
    </row>
    <row r="6488" ht="15" customHeight="1">
      <c r="A6488" t="inlineStr">
        <is>
          <t>A 52238-2024</t>
        </is>
      </c>
      <c r="B6488" s="1" t="n">
        <v>45608.61690972222</v>
      </c>
      <c r="C6488" s="1" t="n">
        <v>46114</v>
      </c>
      <c r="D6488" t="inlineStr">
        <is>
          <t>DALARNAS LÄN</t>
        </is>
      </c>
      <c r="E6488" t="inlineStr">
        <is>
          <t>MALUNG-SÄLEN</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61059-2025</t>
        </is>
      </c>
      <c r="B6489" s="1" t="n">
        <v>46000.36319444444</v>
      </c>
      <c r="C6489" s="1" t="n">
        <v>46114</v>
      </c>
      <c r="D6489" t="inlineStr">
        <is>
          <t>DALARNAS LÄN</t>
        </is>
      </c>
      <c r="E6489" t="inlineStr">
        <is>
          <t>FALUN</t>
        </is>
      </c>
      <c r="G6489" t="n">
        <v>8.199999999999999</v>
      </c>
      <c r="H6489" t="n">
        <v>0</v>
      </c>
      <c r="I6489" t="n">
        <v>0</v>
      </c>
      <c r="J6489" t="n">
        <v>0</v>
      </c>
      <c r="K6489" t="n">
        <v>0</v>
      </c>
      <c r="L6489" t="n">
        <v>0</v>
      </c>
      <c r="M6489" t="n">
        <v>0</v>
      </c>
      <c r="N6489" t="n">
        <v>0</v>
      </c>
      <c r="O6489" t="n">
        <v>0</v>
      </c>
      <c r="P6489" t="n">
        <v>0</v>
      </c>
      <c r="Q6489" t="n">
        <v>0</v>
      </c>
      <c r="R6489" s="2" t="inlineStr"/>
    </row>
    <row r="6490" ht="15" customHeight="1">
      <c r="A6490" t="inlineStr">
        <is>
          <t>A 61057-2025</t>
        </is>
      </c>
      <c r="B6490" s="1" t="n">
        <v>46000</v>
      </c>
      <c r="C6490" s="1" t="n">
        <v>46114</v>
      </c>
      <c r="D6490" t="inlineStr">
        <is>
          <t>DALARNAS LÄN</t>
        </is>
      </c>
      <c r="E6490" t="inlineStr">
        <is>
          <t>RÄTTVIK</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19707-2025</t>
        </is>
      </c>
      <c r="B6491" s="1" t="n">
        <v>45771</v>
      </c>
      <c r="C6491" s="1" t="n">
        <v>46114</v>
      </c>
      <c r="D6491" t="inlineStr">
        <is>
          <t>DALARNAS LÄN</t>
        </is>
      </c>
      <c r="E6491" t="inlineStr">
        <is>
          <t>FALUN</t>
        </is>
      </c>
      <c r="F6491" t="inlineStr">
        <is>
          <t>Bergvik skog väst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55717-2022</t>
        </is>
      </c>
      <c r="B6492" s="1" t="n">
        <v>44888</v>
      </c>
      <c r="C6492" s="1" t="n">
        <v>46114</v>
      </c>
      <c r="D6492" t="inlineStr">
        <is>
          <t>DALARNAS LÄN</t>
        </is>
      </c>
      <c r="E6492" t="inlineStr">
        <is>
          <t>SMEDJEBACKEN</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42737-2023</t>
        </is>
      </c>
      <c r="B6493" s="1" t="n">
        <v>45177</v>
      </c>
      <c r="C6493" s="1" t="n">
        <v>46114</v>
      </c>
      <c r="D6493" t="inlineStr">
        <is>
          <t>DALARNAS LÄN</t>
        </is>
      </c>
      <c r="E6493" t="inlineStr">
        <is>
          <t>MALUNG-SÄLEN</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21152-2023</t>
        </is>
      </c>
      <c r="B6494" s="1" t="n">
        <v>45062.39581018518</v>
      </c>
      <c r="C6494" s="1" t="n">
        <v>46114</v>
      </c>
      <c r="D6494" t="inlineStr">
        <is>
          <t>DALARNAS LÄN</t>
        </is>
      </c>
      <c r="E6494" t="inlineStr">
        <is>
          <t>LUDVIKA</t>
        </is>
      </c>
      <c r="F6494" t="inlineStr">
        <is>
          <t>Bergvik skog väst AB</t>
        </is>
      </c>
      <c r="G6494" t="n">
        <v>13.6</v>
      </c>
      <c r="H6494" t="n">
        <v>0</v>
      </c>
      <c r="I6494" t="n">
        <v>0</v>
      </c>
      <c r="J6494" t="n">
        <v>0</v>
      </c>
      <c r="K6494" t="n">
        <v>0</v>
      </c>
      <c r="L6494" t="n">
        <v>0</v>
      </c>
      <c r="M6494" t="n">
        <v>0</v>
      </c>
      <c r="N6494" t="n">
        <v>0</v>
      </c>
      <c r="O6494" t="n">
        <v>0</v>
      </c>
      <c r="P6494" t="n">
        <v>0</v>
      </c>
      <c r="Q6494" t="n">
        <v>0</v>
      </c>
      <c r="R6494" s="2" t="inlineStr"/>
    </row>
    <row r="6495" ht="15" customHeight="1">
      <c r="A6495" t="inlineStr">
        <is>
          <t>A 19801-2025</t>
        </is>
      </c>
      <c r="B6495" s="1" t="n">
        <v>45771.449375</v>
      </c>
      <c r="C6495" s="1" t="n">
        <v>46114</v>
      </c>
      <c r="D6495" t="inlineStr">
        <is>
          <t>DALARNAS LÄN</t>
        </is>
      </c>
      <c r="E6495" t="inlineStr">
        <is>
          <t>SMEDJEBACKEN</t>
        </is>
      </c>
      <c r="F6495" t="inlineStr">
        <is>
          <t>Övriga Aktiebolag</t>
        </is>
      </c>
      <c r="G6495" t="n">
        <v>1.9</v>
      </c>
      <c r="H6495" t="n">
        <v>0</v>
      </c>
      <c r="I6495" t="n">
        <v>0</v>
      </c>
      <c r="J6495" t="n">
        <v>0</v>
      </c>
      <c r="K6495" t="n">
        <v>0</v>
      </c>
      <c r="L6495" t="n">
        <v>0</v>
      </c>
      <c r="M6495" t="n">
        <v>0</v>
      </c>
      <c r="N6495" t="n">
        <v>0</v>
      </c>
      <c r="O6495" t="n">
        <v>0</v>
      </c>
      <c r="P6495" t="n">
        <v>0</v>
      </c>
      <c r="Q6495" t="n">
        <v>0</v>
      </c>
      <c r="R6495" s="2" t="inlineStr"/>
    </row>
    <row r="6496" ht="15" customHeight="1">
      <c r="A6496" t="inlineStr">
        <is>
          <t>A 46800-2025</t>
        </is>
      </c>
      <c r="B6496" s="1" t="n">
        <v>45926</v>
      </c>
      <c r="C6496" s="1" t="n">
        <v>46114</v>
      </c>
      <c r="D6496" t="inlineStr">
        <is>
          <t>DALARNAS LÄN</t>
        </is>
      </c>
      <c r="E6496" t="inlineStr">
        <is>
          <t>ÄLVDALEN</t>
        </is>
      </c>
      <c r="F6496" t="inlineStr">
        <is>
          <t>Allmännings- och besparingsskogar</t>
        </is>
      </c>
      <c r="G6496" t="n">
        <v>0.8</v>
      </c>
      <c r="H6496" t="n">
        <v>0</v>
      </c>
      <c r="I6496" t="n">
        <v>0</v>
      </c>
      <c r="J6496" t="n">
        <v>0</v>
      </c>
      <c r="K6496" t="n">
        <v>0</v>
      </c>
      <c r="L6496" t="n">
        <v>0</v>
      </c>
      <c r="M6496" t="n">
        <v>0</v>
      </c>
      <c r="N6496" t="n">
        <v>0</v>
      </c>
      <c r="O6496" t="n">
        <v>0</v>
      </c>
      <c r="P6496" t="n">
        <v>0</v>
      </c>
      <c r="Q6496" t="n">
        <v>0</v>
      </c>
      <c r="R6496" s="2" t="inlineStr"/>
      <c r="T6496">
        <f>HYPERLINK("https://klasma.github.io/Logging_2039/kartor/A 46800-2025 karta.png", "A 46800-2025")</f>
        <v/>
      </c>
      <c r="V6496">
        <f>HYPERLINK("https://klasma.github.io/Logging_2039/klagomål/A 46800-2025 FSC-klagomål.docx", "A 46800-2025")</f>
        <v/>
      </c>
      <c r="W6496">
        <f>HYPERLINK("https://klasma.github.io/Logging_2039/klagomålsmail/A 46800-2025 FSC-klagomål mail.docx", "A 46800-2025")</f>
        <v/>
      </c>
      <c r="X6496">
        <f>HYPERLINK("https://klasma.github.io/Logging_2039/tillsyn/A 46800-2025 tillsynsbegäran.docx", "A 46800-2025")</f>
        <v/>
      </c>
      <c r="Y6496">
        <f>HYPERLINK("https://klasma.github.io/Logging_2039/tillsynsmail/A 46800-2025 tillsynsbegäran mail.docx", "A 46800-2025")</f>
        <v/>
      </c>
      <c r="Z6496">
        <f>HYPERLINK("https://klasma.github.io/Logging_2039/fåglar/A 46800-2025 prioriterade fågelarter.docx", "A 46800-2025")</f>
        <v/>
      </c>
    </row>
    <row r="6497" ht="15" customHeight="1">
      <c r="A6497" t="inlineStr">
        <is>
          <t>A 61228-2025</t>
        </is>
      </c>
      <c r="B6497" s="1" t="n">
        <v>46000.6309375</v>
      </c>
      <c r="C6497" s="1" t="n">
        <v>46114</v>
      </c>
      <c r="D6497" t="inlineStr">
        <is>
          <t>DALARNAS LÄN</t>
        </is>
      </c>
      <c r="E6497" t="inlineStr">
        <is>
          <t>SÄTER</t>
        </is>
      </c>
      <c r="G6497" t="n">
        <v>3.3</v>
      </c>
      <c r="H6497" t="n">
        <v>0</v>
      </c>
      <c r="I6497" t="n">
        <v>0</v>
      </c>
      <c r="J6497" t="n">
        <v>0</v>
      </c>
      <c r="K6497" t="n">
        <v>0</v>
      </c>
      <c r="L6497" t="n">
        <v>0</v>
      </c>
      <c r="M6497" t="n">
        <v>0</v>
      </c>
      <c r="N6497" t="n">
        <v>0</v>
      </c>
      <c r="O6497" t="n">
        <v>0</v>
      </c>
      <c r="P6497" t="n">
        <v>0</v>
      </c>
      <c r="Q6497" t="n">
        <v>0</v>
      </c>
      <c r="R6497" s="2" t="inlineStr"/>
    </row>
    <row r="6498" ht="15" customHeight="1">
      <c r="A6498" t="inlineStr">
        <is>
          <t>A 31430-2024</t>
        </is>
      </c>
      <c r="B6498" s="1" t="n">
        <v>45505.66716435185</v>
      </c>
      <c r="C6498" s="1" t="n">
        <v>46114</v>
      </c>
      <c r="D6498" t="inlineStr">
        <is>
          <t>DALARNAS LÄN</t>
        </is>
      </c>
      <c r="E6498" t="inlineStr">
        <is>
          <t>AVESTA</t>
        </is>
      </c>
      <c r="G6498" t="n">
        <v>3</v>
      </c>
      <c r="H6498" t="n">
        <v>0</v>
      </c>
      <c r="I6498" t="n">
        <v>0</v>
      </c>
      <c r="J6498" t="n">
        <v>0</v>
      </c>
      <c r="K6498" t="n">
        <v>0</v>
      </c>
      <c r="L6498" t="n">
        <v>0</v>
      </c>
      <c r="M6498" t="n">
        <v>0</v>
      </c>
      <c r="N6498" t="n">
        <v>0</v>
      </c>
      <c r="O6498" t="n">
        <v>0</v>
      </c>
      <c r="P6498" t="n">
        <v>0</v>
      </c>
      <c r="Q6498" t="n">
        <v>0</v>
      </c>
      <c r="R6498" s="2" t="inlineStr"/>
    </row>
    <row r="6499" ht="15" customHeight="1">
      <c r="A6499" t="inlineStr">
        <is>
          <t>A 39849-2023</t>
        </is>
      </c>
      <c r="B6499" s="1" t="n">
        <v>45168.36769675926</v>
      </c>
      <c r="C6499" s="1" t="n">
        <v>46114</v>
      </c>
      <c r="D6499" t="inlineStr">
        <is>
          <t>DALARNAS LÄN</t>
        </is>
      </c>
      <c r="E6499" t="inlineStr">
        <is>
          <t>LUDVIKA</t>
        </is>
      </c>
      <c r="F6499" t="inlineStr">
        <is>
          <t>Bergvik skog väst AB</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38384-2024</t>
        </is>
      </c>
      <c r="B6500" s="1" t="n">
        <v>45546.30100694444</v>
      </c>
      <c r="C6500" s="1" t="n">
        <v>46114</v>
      </c>
      <c r="D6500" t="inlineStr">
        <is>
          <t>DALARNAS LÄN</t>
        </is>
      </c>
      <c r="E6500" t="inlineStr">
        <is>
          <t>RÄTTVIK</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38385-2024</t>
        </is>
      </c>
      <c r="B6501" s="1" t="n">
        <v>45546.3049537037</v>
      </c>
      <c r="C6501" s="1" t="n">
        <v>46114</v>
      </c>
      <c r="D6501" t="inlineStr">
        <is>
          <t>DALARNAS LÄN</t>
        </is>
      </c>
      <c r="E6501" t="inlineStr">
        <is>
          <t>RÄTTVIK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61117-2025</t>
        </is>
      </c>
      <c r="B6502" s="1" t="n">
        <v>46000.46266203704</v>
      </c>
      <c r="C6502" s="1" t="n">
        <v>46114</v>
      </c>
      <c r="D6502" t="inlineStr">
        <is>
          <t>DALARNAS LÄN</t>
        </is>
      </c>
      <c r="E6502" t="inlineStr">
        <is>
          <t>RÄTTVIK</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61119-2025</t>
        </is>
      </c>
      <c r="B6503" s="1" t="n">
        <v>46000</v>
      </c>
      <c r="C6503" s="1" t="n">
        <v>46114</v>
      </c>
      <c r="D6503" t="inlineStr">
        <is>
          <t>DALARNAS LÄN</t>
        </is>
      </c>
      <c r="E6503" t="inlineStr">
        <is>
          <t>AVESTA</t>
        </is>
      </c>
      <c r="G6503" t="n">
        <v>2.1</v>
      </c>
      <c r="H6503" t="n">
        <v>0</v>
      </c>
      <c r="I6503" t="n">
        <v>0</v>
      </c>
      <c r="J6503" t="n">
        <v>0</v>
      </c>
      <c r="K6503" t="n">
        <v>0</v>
      </c>
      <c r="L6503" t="n">
        <v>0</v>
      </c>
      <c r="M6503" t="n">
        <v>0</v>
      </c>
      <c r="N6503" t="n">
        <v>0</v>
      </c>
      <c r="O6503" t="n">
        <v>0</v>
      </c>
      <c r="P6503" t="n">
        <v>0</v>
      </c>
      <c r="Q6503" t="n">
        <v>0</v>
      </c>
      <c r="R6503" s="2" t="inlineStr"/>
    </row>
    <row r="6504" ht="15" customHeight="1">
      <c r="A6504" t="inlineStr">
        <is>
          <t>A 73377-2021</t>
        </is>
      </c>
      <c r="B6504" s="1" t="n">
        <v>44551</v>
      </c>
      <c r="C6504" s="1" t="n">
        <v>46114</v>
      </c>
      <c r="D6504" t="inlineStr">
        <is>
          <t>DALARNAS LÄN</t>
        </is>
      </c>
      <c r="E6504" t="inlineStr">
        <is>
          <t>AVESTA</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2948-2025</t>
        </is>
      </c>
      <c r="B6505" s="1" t="n">
        <v>45678.42868055555</v>
      </c>
      <c r="C6505" s="1" t="n">
        <v>46114</v>
      </c>
      <c r="D6505" t="inlineStr">
        <is>
          <t>DALARNAS LÄN</t>
        </is>
      </c>
      <c r="E6505" t="inlineStr">
        <is>
          <t>ORSA</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61495-2025</t>
        </is>
      </c>
      <c r="B6506" s="1" t="n">
        <v>46001.64834490741</v>
      </c>
      <c r="C6506" s="1" t="n">
        <v>46114</v>
      </c>
      <c r="D6506" t="inlineStr">
        <is>
          <t>DALARNAS LÄN</t>
        </is>
      </c>
      <c r="E6506" t="inlineStr">
        <is>
          <t>ÄLVDALEN</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61505-2025</t>
        </is>
      </c>
      <c r="B6507" s="1" t="n">
        <v>46001.66863425926</v>
      </c>
      <c r="C6507" s="1" t="n">
        <v>46114</v>
      </c>
      <c r="D6507" t="inlineStr">
        <is>
          <t>DALARNAS LÄN</t>
        </is>
      </c>
      <c r="E6507" t="inlineStr">
        <is>
          <t>LUDVIKA</t>
        </is>
      </c>
      <c r="F6507" t="inlineStr">
        <is>
          <t>Bergvik skog väst AB</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62193-2023</t>
        </is>
      </c>
      <c r="B6508" s="1" t="n">
        <v>45267.46137731482</v>
      </c>
      <c r="C6508" s="1" t="n">
        <v>46114</v>
      </c>
      <c r="D6508" t="inlineStr">
        <is>
          <t>DALARNAS LÄN</t>
        </is>
      </c>
      <c r="E6508" t="inlineStr">
        <is>
          <t>RÄTTVIK</t>
        </is>
      </c>
      <c r="G6508" t="n">
        <v>0.8</v>
      </c>
      <c r="H6508" t="n">
        <v>0</v>
      </c>
      <c r="I6508" t="n">
        <v>0</v>
      </c>
      <c r="J6508" t="n">
        <v>0</v>
      </c>
      <c r="K6508" t="n">
        <v>0</v>
      </c>
      <c r="L6508" t="n">
        <v>0</v>
      </c>
      <c r="M6508" t="n">
        <v>0</v>
      </c>
      <c r="N6508" t="n">
        <v>0</v>
      </c>
      <c r="O6508" t="n">
        <v>0</v>
      </c>
      <c r="P6508" t="n">
        <v>0</v>
      </c>
      <c r="Q6508" t="n">
        <v>0</v>
      </c>
      <c r="R6508" s="2" t="inlineStr"/>
    </row>
    <row r="6509" ht="15" customHeight="1">
      <c r="A6509" t="inlineStr">
        <is>
          <t>A 61441-2025</t>
        </is>
      </c>
      <c r="B6509" s="1" t="n">
        <v>46001.57108796296</v>
      </c>
      <c r="C6509" s="1" t="n">
        <v>46114</v>
      </c>
      <c r="D6509" t="inlineStr">
        <is>
          <t>DALARNAS LÄN</t>
        </is>
      </c>
      <c r="E6509" t="inlineStr">
        <is>
          <t>MALUNG-SÄLEN</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61455-2025</t>
        </is>
      </c>
      <c r="B6510" s="1" t="n">
        <v>46001.58590277778</v>
      </c>
      <c r="C6510" s="1" t="n">
        <v>46114</v>
      </c>
      <c r="D6510" t="inlineStr">
        <is>
          <t>DALARNAS LÄN</t>
        </is>
      </c>
      <c r="E6510" t="inlineStr">
        <is>
          <t>MORA</t>
        </is>
      </c>
      <c r="G6510" t="n">
        <v>3.4</v>
      </c>
      <c r="H6510" t="n">
        <v>0</v>
      </c>
      <c r="I6510" t="n">
        <v>0</v>
      </c>
      <c r="J6510" t="n">
        <v>0</v>
      </c>
      <c r="K6510" t="n">
        <v>0</v>
      </c>
      <c r="L6510" t="n">
        <v>0</v>
      </c>
      <c r="M6510" t="n">
        <v>0</v>
      </c>
      <c r="N6510" t="n">
        <v>0</v>
      </c>
      <c r="O6510" t="n">
        <v>0</v>
      </c>
      <c r="P6510" t="n">
        <v>0</v>
      </c>
      <c r="Q6510" t="n">
        <v>0</v>
      </c>
      <c r="R6510" s="2" t="inlineStr"/>
    </row>
    <row r="6511" ht="15" customHeight="1">
      <c r="A6511" t="inlineStr">
        <is>
          <t>A 61473-2025</t>
        </is>
      </c>
      <c r="B6511" s="1" t="n">
        <v>46001.61622685185</v>
      </c>
      <c r="C6511" s="1" t="n">
        <v>46114</v>
      </c>
      <c r="D6511" t="inlineStr">
        <is>
          <t>DALARNAS LÄN</t>
        </is>
      </c>
      <c r="E6511" t="inlineStr">
        <is>
          <t>LUDVIKA</t>
        </is>
      </c>
      <c r="F6511" t="inlineStr">
        <is>
          <t>Bergvik skog väst AB</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61477-2025</t>
        </is>
      </c>
      <c r="B6512" s="1" t="n">
        <v>46001.62087962963</v>
      </c>
      <c r="C6512" s="1" t="n">
        <v>46114</v>
      </c>
      <c r="D6512" t="inlineStr">
        <is>
          <t>DALARNAS LÄN</t>
        </is>
      </c>
      <c r="E6512" t="inlineStr">
        <is>
          <t>ÄLVDALEN</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46446-2023</t>
        </is>
      </c>
      <c r="B6513" s="1" t="n">
        <v>45197.59344907408</v>
      </c>
      <c r="C6513" s="1" t="n">
        <v>46114</v>
      </c>
      <c r="D6513" t="inlineStr">
        <is>
          <t>DALARNAS LÄN</t>
        </is>
      </c>
      <c r="E6513" t="inlineStr">
        <is>
          <t>LEKSAND</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17167-2025</t>
        </is>
      </c>
      <c r="B6514" s="1" t="n">
        <v>45756.36844907407</v>
      </c>
      <c r="C6514" s="1" t="n">
        <v>46114</v>
      </c>
      <c r="D6514" t="inlineStr">
        <is>
          <t>DALARNAS LÄN</t>
        </is>
      </c>
      <c r="E6514" t="inlineStr">
        <is>
          <t>MORA</t>
        </is>
      </c>
      <c r="F6514" t="inlineStr">
        <is>
          <t>Bergvik skog öst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17225-2025</t>
        </is>
      </c>
      <c r="B6515" s="1" t="n">
        <v>45756.46113425926</v>
      </c>
      <c r="C6515" s="1" t="n">
        <v>46114</v>
      </c>
      <c r="D6515" t="inlineStr">
        <is>
          <t>DALARNAS LÄN</t>
        </is>
      </c>
      <c r="E6515" t="inlineStr">
        <is>
          <t>FALUN</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52100-2024</t>
        </is>
      </c>
      <c r="B6516" s="1" t="n">
        <v>45608.41634259259</v>
      </c>
      <c r="C6516" s="1" t="n">
        <v>46114</v>
      </c>
      <c r="D6516" t="inlineStr">
        <is>
          <t>DALARNAS LÄN</t>
        </is>
      </c>
      <c r="E6516" t="inlineStr">
        <is>
          <t>LEKSAND</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20504-2023</t>
        </is>
      </c>
      <c r="B6517" s="1" t="n">
        <v>45057</v>
      </c>
      <c r="C6517" s="1" t="n">
        <v>46114</v>
      </c>
      <c r="D6517" t="inlineStr">
        <is>
          <t>DALARNAS LÄN</t>
        </is>
      </c>
      <c r="E6517" t="inlineStr">
        <is>
          <t>MORA</t>
        </is>
      </c>
      <c r="F6517" t="inlineStr">
        <is>
          <t>Bergvik skog väst AB</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61877-2025</t>
        </is>
      </c>
      <c r="B6518" s="1" t="n">
        <v>46003.41165509259</v>
      </c>
      <c r="C6518" s="1" t="n">
        <v>46114</v>
      </c>
      <c r="D6518" t="inlineStr">
        <is>
          <t>DALARNAS LÄN</t>
        </is>
      </c>
      <c r="E6518" t="inlineStr">
        <is>
          <t>FALUN</t>
        </is>
      </c>
      <c r="F6518" t="inlineStr">
        <is>
          <t>Bergvik skog väst AB</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3133-2025</t>
        </is>
      </c>
      <c r="B6519" s="1" t="n">
        <v>45678</v>
      </c>
      <c r="C6519" s="1" t="n">
        <v>46114</v>
      </c>
      <c r="D6519" t="inlineStr">
        <is>
          <t>DALARNAS LÄN</t>
        </is>
      </c>
      <c r="E6519" t="inlineStr">
        <is>
          <t>FALUN</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53932-2024</t>
        </is>
      </c>
      <c r="B6520" s="1" t="n">
        <v>45615.84907407407</v>
      </c>
      <c r="C6520" s="1" t="n">
        <v>46114</v>
      </c>
      <c r="D6520" t="inlineStr">
        <is>
          <t>DALARNAS LÄN</t>
        </is>
      </c>
      <c r="E6520" t="inlineStr">
        <is>
          <t>RÄTTVIK</t>
        </is>
      </c>
      <c r="G6520" t="n">
        <v>12.7</v>
      </c>
      <c r="H6520" t="n">
        <v>0</v>
      </c>
      <c r="I6520" t="n">
        <v>0</v>
      </c>
      <c r="J6520" t="n">
        <v>0</v>
      </c>
      <c r="K6520" t="n">
        <v>0</v>
      </c>
      <c r="L6520" t="n">
        <v>0</v>
      </c>
      <c r="M6520" t="n">
        <v>0</v>
      </c>
      <c r="N6520" t="n">
        <v>0</v>
      </c>
      <c r="O6520" t="n">
        <v>0</v>
      </c>
      <c r="P6520" t="n">
        <v>0</v>
      </c>
      <c r="Q6520" t="n">
        <v>0</v>
      </c>
      <c r="R6520" s="2" t="inlineStr"/>
    </row>
    <row r="6521" ht="15" customHeight="1">
      <c r="A6521" t="inlineStr">
        <is>
          <t>A 61820-2025</t>
        </is>
      </c>
      <c r="B6521" s="1" t="n">
        <v>46003.32678240741</v>
      </c>
      <c r="C6521" s="1" t="n">
        <v>46114</v>
      </c>
      <c r="D6521" t="inlineStr">
        <is>
          <t>DALARNAS LÄN</t>
        </is>
      </c>
      <c r="E6521" t="inlineStr">
        <is>
          <t>RÄTTVIK</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53981-2024</t>
        </is>
      </c>
      <c r="B6522" s="1" t="n">
        <v>45615</v>
      </c>
      <c r="C6522" s="1" t="n">
        <v>46114</v>
      </c>
      <c r="D6522" t="inlineStr">
        <is>
          <t>DALARNAS LÄN</t>
        </is>
      </c>
      <c r="E6522" t="inlineStr">
        <is>
          <t>LEKSAND</t>
        </is>
      </c>
      <c r="G6522" t="n">
        <v>5.4</v>
      </c>
      <c r="H6522" t="n">
        <v>0</v>
      </c>
      <c r="I6522" t="n">
        <v>0</v>
      </c>
      <c r="J6522" t="n">
        <v>0</v>
      </c>
      <c r="K6522" t="n">
        <v>0</v>
      </c>
      <c r="L6522" t="n">
        <v>0</v>
      </c>
      <c r="M6522" t="n">
        <v>0</v>
      </c>
      <c r="N6522" t="n">
        <v>0</v>
      </c>
      <c r="O6522" t="n">
        <v>0</v>
      </c>
      <c r="P6522" t="n">
        <v>0</v>
      </c>
      <c r="Q6522" t="n">
        <v>0</v>
      </c>
      <c r="R6522" s="2" t="inlineStr"/>
    </row>
    <row r="6523" ht="15" customHeight="1">
      <c r="A6523" t="inlineStr">
        <is>
          <t>A 53996-2024</t>
        </is>
      </c>
      <c r="B6523" s="1" t="n">
        <v>45616.35984953704</v>
      </c>
      <c r="C6523" s="1" t="n">
        <v>46114</v>
      </c>
      <c r="D6523" t="inlineStr">
        <is>
          <t>DALARNAS LÄN</t>
        </is>
      </c>
      <c r="E6523" t="inlineStr">
        <is>
          <t>LUDVIKA</t>
        </is>
      </c>
      <c r="F6523" t="inlineStr">
        <is>
          <t>Bergvik skog väst AB</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61866-2025</t>
        </is>
      </c>
      <c r="B6524" s="1" t="n">
        <v>46003.38805555556</v>
      </c>
      <c r="C6524" s="1" t="n">
        <v>46114</v>
      </c>
      <c r="D6524" t="inlineStr">
        <is>
          <t>DALARNAS LÄN</t>
        </is>
      </c>
      <c r="E6524" t="inlineStr">
        <is>
          <t>MALUNG-SÄLEN</t>
        </is>
      </c>
      <c r="F6524" t="inlineStr">
        <is>
          <t>Bergvik skog öst AB</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34033-2024</t>
        </is>
      </c>
      <c r="B6525" s="1" t="n">
        <v>45523.59265046296</v>
      </c>
      <c r="C6525" s="1" t="n">
        <v>46114</v>
      </c>
      <c r="D6525" t="inlineStr">
        <is>
          <t>DALARNAS LÄN</t>
        </is>
      </c>
      <c r="E6525" t="inlineStr">
        <is>
          <t>LEKSAND</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19071-2025</t>
        </is>
      </c>
      <c r="B6526" s="1" t="n">
        <v>45765.67115740741</v>
      </c>
      <c r="C6526" s="1" t="n">
        <v>46114</v>
      </c>
      <c r="D6526" t="inlineStr">
        <is>
          <t>DALARNAS LÄN</t>
        </is>
      </c>
      <c r="E6526" t="inlineStr">
        <is>
          <t>LUDVIKA</t>
        </is>
      </c>
      <c r="G6526" t="n">
        <v>4.6</v>
      </c>
      <c r="H6526" t="n">
        <v>0</v>
      </c>
      <c r="I6526" t="n">
        <v>0</v>
      </c>
      <c r="J6526" t="n">
        <v>0</v>
      </c>
      <c r="K6526" t="n">
        <v>0</v>
      </c>
      <c r="L6526" t="n">
        <v>0</v>
      </c>
      <c r="M6526" t="n">
        <v>0</v>
      </c>
      <c r="N6526" t="n">
        <v>0</v>
      </c>
      <c r="O6526" t="n">
        <v>0</v>
      </c>
      <c r="P6526" t="n">
        <v>0</v>
      </c>
      <c r="Q6526" t="n">
        <v>0</v>
      </c>
      <c r="R6526" s="2" t="inlineStr"/>
    </row>
    <row r="6527" ht="15" customHeight="1">
      <c r="A6527" t="inlineStr">
        <is>
          <t>A 61924-2025</t>
        </is>
      </c>
      <c r="B6527" s="1" t="n">
        <v>46003.51332175926</v>
      </c>
      <c r="C6527" s="1" t="n">
        <v>46114</v>
      </c>
      <c r="D6527" t="inlineStr">
        <is>
          <t>DALARNAS LÄN</t>
        </is>
      </c>
      <c r="E6527" t="inlineStr">
        <is>
          <t>MALUNG-SÄLEN</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18956-2025</t>
        </is>
      </c>
      <c r="B6528" s="1" t="n">
        <v>45764.51827546296</v>
      </c>
      <c r="C6528" s="1" t="n">
        <v>46114</v>
      </c>
      <c r="D6528" t="inlineStr">
        <is>
          <t>DALARNAS LÄN</t>
        </is>
      </c>
      <c r="E6528" t="inlineStr">
        <is>
          <t>GAGNEF</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17202-2023</t>
        </is>
      </c>
      <c r="B6529" s="1" t="n">
        <v>45034</v>
      </c>
      <c r="C6529" s="1" t="n">
        <v>46114</v>
      </c>
      <c r="D6529" t="inlineStr">
        <is>
          <t>DALARNAS LÄN</t>
        </is>
      </c>
      <c r="E6529" t="inlineStr">
        <is>
          <t>FALUN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49045-2024</t>
        </is>
      </c>
      <c r="B6530" s="1" t="n">
        <v>45594.57032407408</v>
      </c>
      <c r="C6530" s="1" t="n">
        <v>46114</v>
      </c>
      <c r="D6530" t="inlineStr">
        <is>
          <t>DALARNAS LÄN</t>
        </is>
      </c>
      <c r="E6530" t="inlineStr">
        <is>
          <t>LUDVIKA</t>
        </is>
      </c>
      <c r="F6530" t="inlineStr">
        <is>
          <t>Naturvårdsverket</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44520-2025</t>
        </is>
      </c>
      <c r="B6531" s="1" t="n">
        <v>45916.7175462963</v>
      </c>
      <c r="C6531" s="1" t="n">
        <v>46114</v>
      </c>
      <c r="D6531" t="inlineStr">
        <is>
          <t>DALARNAS LÄN</t>
        </is>
      </c>
      <c r="E6531" t="inlineStr">
        <is>
          <t>FALUN</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20446-2025</t>
        </is>
      </c>
      <c r="B6532" s="1" t="n">
        <v>45775.49010416667</v>
      </c>
      <c r="C6532" s="1" t="n">
        <v>46114</v>
      </c>
      <c r="D6532" t="inlineStr">
        <is>
          <t>DALARNAS LÄN</t>
        </is>
      </c>
      <c r="E6532" t="inlineStr">
        <is>
          <t>MALUNG-SÄLEN</t>
        </is>
      </c>
      <c r="F6532" t="inlineStr">
        <is>
          <t>Bergvik skog öst AB</t>
        </is>
      </c>
      <c r="G6532" t="n">
        <v>18.3</v>
      </c>
      <c r="H6532" t="n">
        <v>0</v>
      </c>
      <c r="I6532" t="n">
        <v>0</v>
      </c>
      <c r="J6532" t="n">
        <v>0</v>
      </c>
      <c r="K6532" t="n">
        <v>0</v>
      </c>
      <c r="L6532" t="n">
        <v>0</v>
      </c>
      <c r="M6532" t="n">
        <v>0</v>
      </c>
      <c r="N6532" t="n">
        <v>0</v>
      </c>
      <c r="O6532" t="n">
        <v>0</v>
      </c>
      <c r="P6532" t="n">
        <v>0</v>
      </c>
      <c r="Q6532" t="n">
        <v>0</v>
      </c>
      <c r="R6532" s="2" t="inlineStr"/>
    </row>
    <row r="6533" ht="15" customHeight="1">
      <c r="A6533" t="inlineStr">
        <is>
          <t>A 16066-2025</t>
        </is>
      </c>
      <c r="B6533" s="1" t="n">
        <v>45749.66427083333</v>
      </c>
      <c r="C6533" s="1" t="n">
        <v>46114</v>
      </c>
      <c r="D6533" t="inlineStr">
        <is>
          <t>DALARNAS LÄN</t>
        </is>
      </c>
      <c r="E6533" t="inlineStr">
        <is>
          <t>GAGNEF</t>
        </is>
      </c>
      <c r="G6533" t="n">
        <v>6.7</v>
      </c>
      <c r="H6533" t="n">
        <v>0</v>
      </c>
      <c r="I6533" t="n">
        <v>0</v>
      </c>
      <c r="J6533" t="n">
        <v>0</v>
      </c>
      <c r="K6533" t="n">
        <v>0</v>
      </c>
      <c r="L6533" t="n">
        <v>0</v>
      </c>
      <c r="M6533" t="n">
        <v>0</v>
      </c>
      <c r="N6533" t="n">
        <v>0</v>
      </c>
      <c r="O6533" t="n">
        <v>0</v>
      </c>
      <c r="P6533" t="n">
        <v>0</v>
      </c>
      <c r="Q6533" t="n">
        <v>0</v>
      </c>
      <c r="R6533" s="2" t="inlineStr"/>
    </row>
    <row r="6534" ht="15" customHeight="1">
      <c r="A6534" t="inlineStr">
        <is>
          <t>A 6521-2023</t>
        </is>
      </c>
      <c r="B6534" s="1" t="n">
        <v>44966</v>
      </c>
      <c r="C6534" s="1" t="n">
        <v>46114</v>
      </c>
      <c r="D6534" t="inlineStr">
        <is>
          <t>DALARNAS LÄN</t>
        </is>
      </c>
      <c r="E6534" t="inlineStr">
        <is>
          <t>AVESTA</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29744-2023</t>
        </is>
      </c>
      <c r="B6535" s="1" t="n">
        <v>45107</v>
      </c>
      <c r="C6535" s="1" t="n">
        <v>46114</v>
      </c>
      <c r="D6535" t="inlineStr">
        <is>
          <t>DALARNAS LÄN</t>
        </is>
      </c>
      <c r="E6535" t="inlineStr">
        <is>
          <t>RÄTTVIK</t>
        </is>
      </c>
      <c r="G6535" t="n">
        <v>2.6</v>
      </c>
      <c r="H6535" t="n">
        <v>0</v>
      </c>
      <c r="I6535" t="n">
        <v>0</v>
      </c>
      <c r="J6535" t="n">
        <v>0</v>
      </c>
      <c r="K6535" t="n">
        <v>0</v>
      </c>
      <c r="L6535" t="n">
        <v>0</v>
      </c>
      <c r="M6535" t="n">
        <v>0</v>
      </c>
      <c r="N6535" t="n">
        <v>0</v>
      </c>
      <c r="O6535" t="n">
        <v>0</v>
      </c>
      <c r="P6535" t="n">
        <v>0</v>
      </c>
      <c r="Q6535" t="n">
        <v>0</v>
      </c>
      <c r="R6535" s="2" t="inlineStr"/>
    </row>
    <row r="6536" ht="15" customHeight="1">
      <c r="A6536" t="inlineStr">
        <is>
          <t>A 29758-2023</t>
        </is>
      </c>
      <c r="B6536" s="1" t="n">
        <v>45107</v>
      </c>
      <c r="C6536" s="1" t="n">
        <v>46114</v>
      </c>
      <c r="D6536" t="inlineStr">
        <is>
          <t>DALARNAS LÄN</t>
        </is>
      </c>
      <c r="E6536" t="inlineStr">
        <is>
          <t>RÄTTVIK</t>
        </is>
      </c>
      <c r="G6536" t="n">
        <v>1.8</v>
      </c>
      <c r="H6536" t="n">
        <v>0</v>
      </c>
      <c r="I6536" t="n">
        <v>0</v>
      </c>
      <c r="J6536" t="n">
        <v>0</v>
      </c>
      <c r="K6536" t="n">
        <v>0</v>
      </c>
      <c r="L6536" t="n">
        <v>0</v>
      </c>
      <c r="M6536" t="n">
        <v>0</v>
      </c>
      <c r="N6536" t="n">
        <v>0</v>
      </c>
      <c r="O6536" t="n">
        <v>0</v>
      </c>
      <c r="P6536" t="n">
        <v>0</v>
      </c>
      <c r="Q6536" t="n">
        <v>0</v>
      </c>
      <c r="R6536" s="2" t="inlineStr"/>
    </row>
    <row r="6537" ht="15" customHeight="1">
      <c r="A6537" t="inlineStr">
        <is>
          <t>A 47824-2023</t>
        </is>
      </c>
      <c r="B6537" s="1" t="n">
        <v>45204.35577546297</v>
      </c>
      <c r="C6537" s="1" t="n">
        <v>46114</v>
      </c>
      <c r="D6537" t="inlineStr">
        <is>
          <t>DALARNAS LÄN</t>
        </is>
      </c>
      <c r="E6537" t="inlineStr">
        <is>
          <t>VANSBRO</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56557-2024</t>
        </is>
      </c>
      <c r="B6538" s="1" t="n">
        <v>45625.57991898148</v>
      </c>
      <c r="C6538" s="1" t="n">
        <v>46114</v>
      </c>
      <c r="D6538" t="inlineStr">
        <is>
          <t>DALARNAS LÄN</t>
        </is>
      </c>
      <c r="E6538" t="inlineStr">
        <is>
          <t>FALUN</t>
        </is>
      </c>
      <c r="F6538" t="inlineStr">
        <is>
          <t>Bergvik skog väst AB</t>
        </is>
      </c>
      <c r="G6538" t="n">
        <v>15.8</v>
      </c>
      <c r="H6538" t="n">
        <v>0</v>
      </c>
      <c r="I6538" t="n">
        <v>0</v>
      </c>
      <c r="J6538" t="n">
        <v>0</v>
      </c>
      <c r="K6538" t="n">
        <v>0</v>
      </c>
      <c r="L6538" t="n">
        <v>0</v>
      </c>
      <c r="M6538" t="n">
        <v>0</v>
      </c>
      <c r="N6538" t="n">
        <v>0</v>
      </c>
      <c r="O6538" t="n">
        <v>0</v>
      </c>
      <c r="P6538" t="n">
        <v>0</v>
      </c>
      <c r="Q6538" t="n">
        <v>0</v>
      </c>
      <c r="R6538" s="2" t="inlineStr"/>
    </row>
    <row r="6539" ht="15" customHeight="1">
      <c r="A6539" t="inlineStr">
        <is>
          <t>A 61751-2025</t>
        </is>
      </c>
      <c r="B6539" s="1" t="n">
        <v>46002.61444444444</v>
      </c>
      <c r="C6539" s="1" t="n">
        <v>46114</v>
      </c>
      <c r="D6539" t="inlineStr">
        <is>
          <t>DALARNAS LÄN</t>
        </is>
      </c>
      <c r="E6539" t="inlineStr">
        <is>
          <t>BORLÄNGE</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24982-2023</t>
        </is>
      </c>
      <c r="B6540" s="1" t="n">
        <v>45085</v>
      </c>
      <c r="C6540" s="1" t="n">
        <v>46114</v>
      </c>
      <c r="D6540" t="inlineStr">
        <is>
          <t>DALARNAS LÄN</t>
        </is>
      </c>
      <c r="E6540" t="inlineStr">
        <is>
          <t>VANSBRO</t>
        </is>
      </c>
      <c r="G6540" t="n">
        <v>1.1</v>
      </c>
      <c r="H6540" t="n">
        <v>0</v>
      </c>
      <c r="I6540" t="n">
        <v>0</v>
      </c>
      <c r="J6540" t="n">
        <v>0</v>
      </c>
      <c r="K6540" t="n">
        <v>0</v>
      </c>
      <c r="L6540" t="n">
        <v>0</v>
      </c>
      <c r="M6540" t="n">
        <v>0</v>
      </c>
      <c r="N6540" t="n">
        <v>0</v>
      </c>
      <c r="O6540" t="n">
        <v>0</v>
      </c>
      <c r="P6540" t="n">
        <v>0</v>
      </c>
      <c r="Q6540" t="n">
        <v>0</v>
      </c>
      <c r="R6540" s="2" t="inlineStr"/>
    </row>
    <row r="6541" ht="15" customHeight="1">
      <c r="A6541" t="inlineStr">
        <is>
          <t>A 47940-2023</t>
        </is>
      </c>
      <c r="B6541" s="1" t="n">
        <v>45204</v>
      </c>
      <c r="C6541" s="1" t="n">
        <v>46114</v>
      </c>
      <c r="D6541" t="inlineStr">
        <is>
          <t>DALARNAS LÄN</t>
        </is>
      </c>
      <c r="E6541" t="inlineStr">
        <is>
          <t>LUDVIKA</t>
        </is>
      </c>
      <c r="F6541" t="inlineStr">
        <is>
          <t>Bergvik skog väst AB</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25783-2023</t>
        </is>
      </c>
      <c r="B6542" s="1" t="n">
        <v>45090.476875</v>
      </c>
      <c r="C6542" s="1" t="n">
        <v>46114</v>
      </c>
      <c r="D6542" t="inlineStr">
        <is>
          <t>DALARNAS LÄN</t>
        </is>
      </c>
      <c r="E6542" t="inlineStr">
        <is>
          <t>RÄTTVIK</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36184-2021</t>
        </is>
      </c>
      <c r="B6543" s="1" t="n">
        <v>44389</v>
      </c>
      <c r="C6543" s="1" t="n">
        <v>46114</v>
      </c>
      <c r="D6543" t="inlineStr">
        <is>
          <t>DALARNAS LÄN</t>
        </is>
      </c>
      <c r="E6543" t="inlineStr">
        <is>
          <t>MORA</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49286-2023</t>
        </is>
      </c>
      <c r="B6544" s="1" t="n">
        <v>45210.72341435185</v>
      </c>
      <c r="C6544" s="1" t="n">
        <v>46114</v>
      </c>
      <c r="D6544" t="inlineStr">
        <is>
          <t>DALARNAS LÄN</t>
        </is>
      </c>
      <c r="E6544" t="inlineStr">
        <is>
          <t>AVESTA</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61692-2025</t>
        </is>
      </c>
      <c r="B6545" s="1" t="n">
        <v>46002.51989583333</v>
      </c>
      <c r="C6545" s="1" t="n">
        <v>46114</v>
      </c>
      <c r="D6545" t="inlineStr">
        <is>
          <t>DALARNAS LÄN</t>
        </is>
      </c>
      <c r="E6545" t="inlineStr">
        <is>
          <t>MALUNG-SÄLEN</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61344-2023</t>
        </is>
      </c>
      <c r="B6546" s="1" t="n">
        <v>45264</v>
      </c>
      <c r="C6546" s="1" t="n">
        <v>46114</v>
      </c>
      <c r="D6546" t="inlineStr">
        <is>
          <t>DALARNAS LÄN</t>
        </is>
      </c>
      <c r="E6546" t="inlineStr">
        <is>
          <t>SÄTER</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7493-2023</t>
        </is>
      </c>
      <c r="B6547" s="1" t="n">
        <v>44971.70265046296</v>
      </c>
      <c r="C6547" s="1" t="n">
        <v>46114</v>
      </c>
      <c r="D6547" t="inlineStr">
        <is>
          <t>DALARNAS LÄN</t>
        </is>
      </c>
      <c r="E6547" t="inlineStr">
        <is>
          <t>AVESTA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43086-2023</t>
        </is>
      </c>
      <c r="B6548" s="1" t="n">
        <v>45182</v>
      </c>
      <c r="C6548" s="1" t="n">
        <v>46114</v>
      </c>
      <c r="D6548" t="inlineStr">
        <is>
          <t>DALARNAS LÄN</t>
        </is>
      </c>
      <c r="E6548" t="inlineStr">
        <is>
          <t>AVESTA</t>
        </is>
      </c>
      <c r="G6548" t="n">
        <v>3.4</v>
      </c>
      <c r="H6548" t="n">
        <v>0</v>
      </c>
      <c r="I6548" t="n">
        <v>0</v>
      </c>
      <c r="J6548" t="n">
        <v>0</v>
      </c>
      <c r="K6548" t="n">
        <v>0</v>
      </c>
      <c r="L6548" t="n">
        <v>0</v>
      </c>
      <c r="M6548" t="n">
        <v>0</v>
      </c>
      <c r="N6548" t="n">
        <v>0</v>
      </c>
      <c r="O6548" t="n">
        <v>0</v>
      </c>
      <c r="P6548" t="n">
        <v>0</v>
      </c>
      <c r="Q6548" t="n">
        <v>0</v>
      </c>
      <c r="R6548" s="2" t="inlineStr"/>
    </row>
    <row r="6549" ht="15" customHeight="1">
      <c r="A6549" t="inlineStr">
        <is>
          <t>A 14046-2025</t>
        </is>
      </c>
      <c r="B6549" s="1" t="n">
        <v>45740.37754629629</v>
      </c>
      <c r="C6549" s="1" t="n">
        <v>46114</v>
      </c>
      <c r="D6549" t="inlineStr">
        <is>
          <t>DALARNAS LÄN</t>
        </is>
      </c>
      <c r="E6549" t="inlineStr">
        <is>
          <t>LUDVIKA</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18974-2024</t>
        </is>
      </c>
      <c r="B6550" s="1" t="n">
        <v>45427.56964120371</v>
      </c>
      <c r="C6550" s="1" t="n">
        <v>46114</v>
      </c>
      <c r="D6550" t="inlineStr">
        <is>
          <t>DALARNAS LÄN</t>
        </is>
      </c>
      <c r="E6550" t="inlineStr">
        <is>
          <t>SÄTER</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61974-2021</t>
        </is>
      </c>
      <c r="B6551" s="1" t="n">
        <v>44501</v>
      </c>
      <c r="C6551" s="1" t="n">
        <v>46114</v>
      </c>
      <c r="D6551" t="inlineStr">
        <is>
          <t>DALARNAS LÄN</t>
        </is>
      </c>
      <c r="E6551" t="inlineStr">
        <is>
          <t>MALUNG-SÄLEN</t>
        </is>
      </c>
      <c r="F6551" t="inlineStr">
        <is>
          <t>Allmännings- och besparingsskogar</t>
        </is>
      </c>
      <c r="G6551" t="n">
        <v>12.5</v>
      </c>
      <c r="H6551" t="n">
        <v>0</v>
      </c>
      <c r="I6551" t="n">
        <v>0</v>
      </c>
      <c r="J6551" t="n">
        <v>0</v>
      </c>
      <c r="K6551" t="n">
        <v>0</v>
      </c>
      <c r="L6551" t="n">
        <v>0</v>
      </c>
      <c r="M6551" t="n">
        <v>0</v>
      </c>
      <c r="N6551" t="n">
        <v>0</v>
      </c>
      <c r="O6551" t="n">
        <v>0</v>
      </c>
      <c r="P6551" t="n">
        <v>0</v>
      </c>
      <c r="Q6551" t="n">
        <v>0</v>
      </c>
      <c r="R6551" s="2" t="inlineStr"/>
    </row>
    <row r="6552" ht="15" customHeight="1">
      <c r="A6552" t="inlineStr">
        <is>
          <t>A 40570-2022</t>
        </is>
      </c>
      <c r="B6552" s="1" t="n">
        <v>44823</v>
      </c>
      <c r="C6552" s="1" t="n">
        <v>46114</v>
      </c>
      <c r="D6552" t="inlineStr">
        <is>
          <t>DALARNAS LÄN</t>
        </is>
      </c>
      <c r="E6552" t="inlineStr">
        <is>
          <t>RÄTTVIK</t>
        </is>
      </c>
      <c r="G6552" t="n">
        <v>5.1</v>
      </c>
      <c r="H6552" t="n">
        <v>0</v>
      </c>
      <c r="I6552" t="n">
        <v>0</v>
      </c>
      <c r="J6552" t="n">
        <v>0</v>
      </c>
      <c r="K6552" t="n">
        <v>0</v>
      </c>
      <c r="L6552" t="n">
        <v>0</v>
      </c>
      <c r="M6552" t="n">
        <v>0</v>
      </c>
      <c r="N6552" t="n">
        <v>0</v>
      </c>
      <c r="O6552" t="n">
        <v>0</v>
      </c>
      <c r="P6552" t="n">
        <v>0</v>
      </c>
      <c r="Q6552" t="n">
        <v>0</v>
      </c>
      <c r="R6552" s="2" t="inlineStr"/>
    </row>
    <row r="6553" ht="15" customHeight="1">
      <c r="A6553" t="inlineStr">
        <is>
          <t>A 39435-2024</t>
        </is>
      </c>
      <c r="B6553" s="1" t="n">
        <v>45551.60734953704</v>
      </c>
      <c r="C6553" s="1" t="n">
        <v>46114</v>
      </c>
      <c r="D6553" t="inlineStr">
        <is>
          <t>DALARNAS LÄN</t>
        </is>
      </c>
      <c r="E6553" t="inlineStr">
        <is>
          <t>MALUNG-SÄLEN</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61662-2025</t>
        </is>
      </c>
      <c r="B6554" s="1" t="n">
        <v>46002.46839120371</v>
      </c>
      <c r="C6554" s="1" t="n">
        <v>46114</v>
      </c>
      <c r="D6554" t="inlineStr">
        <is>
          <t>DALARNAS LÄN</t>
        </is>
      </c>
      <c r="E6554" t="inlineStr">
        <is>
          <t>RÄTTVIK</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11860-2024</t>
        </is>
      </c>
      <c r="B6555" s="1" t="n">
        <v>45376.44659722222</v>
      </c>
      <c r="C6555" s="1" t="n">
        <v>46114</v>
      </c>
      <c r="D6555" t="inlineStr">
        <is>
          <t>DALARNAS LÄN</t>
        </is>
      </c>
      <c r="E6555" t="inlineStr">
        <is>
          <t>VANSBRO</t>
        </is>
      </c>
      <c r="G6555" t="n">
        <v>5</v>
      </c>
      <c r="H6555" t="n">
        <v>0</v>
      </c>
      <c r="I6555" t="n">
        <v>0</v>
      </c>
      <c r="J6555" t="n">
        <v>0</v>
      </c>
      <c r="K6555" t="n">
        <v>0</v>
      </c>
      <c r="L6555" t="n">
        <v>0</v>
      </c>
      <c r="M6555" t="n">
        <v>0</v>
      </c>
      <c r="N6555" t="n">
        <v>0</v>
      </c>
      <c r="O6555" t="n">
        <v>0</v>
      </c>
      <c r="P6555" t="n">
        <v>0</v>
      </c>
      <c r="Q6555" t="n">
        <v>0</v>
      </c>
      <c r="R6555" s="2" t="inlineStr"/>
    </row>
    <row r="6556" ht="15" customHeight="1">
      <c r="A6556" t="inlineStr">
        <is>
          <t>A 38633-2022</t>
        </is>
      </c>
      <c r="B6556" s="1" t="n">
        <v>44813.64364583333</v>
      </c>
      <c r="C6556" s="1" t="n">
        <v>46114</v>
      </c>
      <c r="D6556" t="inlineStr">
        <is>
          <t>DALARNAS LÄN</t>
        </is>
      </c>
      <c r="E6556" t="inlineStr">
        <is>
          <t>RÄTTVIK</t>
        </is>
      </c>
      <c r="F6556" t="inlineStr">
        <is>
          <t>Sveaskog</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13823-2023</t>
        </is>
      </c>
      <c r="B6557" s="1" t="n">
        <v>45007</v>
      </c>
      <c r="C6557" s="1" t="n">
        <v>46114</v>
      </c>
      <c r="D6557" t="inlineStr">
        <is>
          <t>DALARNAS LÄN</t>
        </is>
      </c>
      <c r="E6557" t="inlineStr">
        <is>
          <t>MALUNG-SÄLEN</t>
        </is>
      </c>
      <c r="G6557" t="n">
        <v>19.5</v>
      </c>
      <c r="H6557" t="n">
        <v>0</v>
      </c>
      <c r="I6557" t="n">
        <v>0</v>
      </c>
      <c r="J6557" t="n">
        <v>0</v>
      </c>
      <c r="K6557" t="n">
        <v>0</v>
      </c>
      <c r="L6557" t="n">
        <v>0</v>
      </c>
      <c r="M6557" t="n">
        <v>0</v>
      </c>
      <c r="N6557" t="n">
        <v>0</v>
      </c>
      <c r="O6557" t="n">
        <v>0</v>
      </c>
      <c r="P6557" t="n">
        <v>0</v>
      </c>
      <c r="Q6557" t="n">
        <v>0</v>
      </c>
      <c r="R6557" s="2" t="inlineStr"/>
    </row>
    <row r="6558" ht="15" customHeight="1">
      <c r="A6558" t="inlineStr">
        <is>
          <t>A 61589-2025</t>
        </is>
      </c>
      <c r="B6558" s="1" t="n">
        <v>46002.34538194445</v>
      </c>
      <c r="C6558" s="1" t="n">
        <v>46114</v>
      </c>
      <c r="D6558" t="inlineStr">
        <is>
          <t>DALARNAS LÄN</t>
        </is>
      </c>
      <c r="E6558" t="inlineStr">
        <is>
          <t>ÄLVDALEN</t>
        </is>
      </c>
      <c r="F6558" t="inlineStr">
        <is>
          <t>Sveaskog</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61951-2025</t>
        </is>
      </c>
      <c r="B6559" s="1" t="n">
        <v>46003.57143518519</v>
      </c>
      <c r="C6559" s="1" t="n">
        <v>46114</v>
      </c>
      <c r="D6559" t="inlineStr">
        <is>
          <t>DALARNAS LÄN</t>
        </is>
      </c>
      <c r="E6559" t="inlineStr">
        <is>
          <t>MALUNG-SÄLEN</t>
        </is>
      </c>
      <c r="G6559" t="n">
        <v>2</v>
      </c>
      <c r="H6559" t="n">
        <v>0</v>
      </c>
      <c r="I6559" t="n">
        <v>0</v>
      </c>
      <c r="J6559" t="n">
        <v>0</v>
      </c>
      <c r="K6559" t="n">
        <v>0</v>
      </c>
      <c r="L6559" t="n">
        <v>0</v>
      </c>
      <c r="M6559" t="n">
        <v>0</v>
      </c>
      <c r="N6559" t="n">
        <v>0</v>
      </c>
      <c r="O6559" t="n">
        <v>0</v>
      </c>
      <c r="P6559" t="n">
        <v>0</v>
      </c>
      <c r="Q6559" t="n">
        <v>0</v>
      </c>
      <c r="R6559" s="2" t="inlineStr"/>
    </row>
    <row r="6560" ht="15" customHeight="1">
      <c r="A6560" t="inlineStr">
        <is>
          <t>A 61973-2025</t>
        </is>
      </c>
      <c r="B6560" s="1" t="n">
        <v>46003.60017361111</v>
      </c>
      <c r="C6560" s="1" t="n">
        <v>46114</v>
      </c>
      <c r="D6560" t="inlineStr">
        <is>
          <t>DALARNAS LÄN</t>
        </is>
      </c>
      <c r="E6560" t="inlineStr">
        <is>
          <t>ÄLVDALEN</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17529-2023</t>
        </is>
      </c>
      <c r="B6561" s="1" t="n">
        <v>45036.46804398148</v>
      </c>
      <c r="C6561" s="1" t="n">
        <v>46114</v>
      </c>
      <c r="D6561" t="inlineStr">
        <is>
          <t>DALARNAS LÄN</t>
        </is>
      </c>
      <c r="E6561" t="inlineStr">
        <is>
          <t>MORA</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44201-2023</t>
        </is>
      </c>
      <c r="B6562" s="1" t="n">
        <v>45188</v>
      </c>
      <c r="C6562" s="1" t="n">
        <v>46114</v>
      </c>
      <c r="D6562" t="inlineStr">
        <is>
          <t>DALARNAS LÄN</t>
        </is>
      </c>
      <c r="E6562" t="inlineStr">
        <is>
          <t>MORA</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56464-2022</t>
        </is>
      </c>
      <c r="B6563" s="1" t="n">
        <v>44893</v>
      </c>
      <c r="C6563" s="1" t="n">
        <v>46114</v>
      </c>
      <c r="D6563" t="inlineStr">
        <is>
          <t>DALARNAS LÄN</t>
        </is>
      </c>
      <c r="E6563" t="inlineStr">
        <is>
          <t>AVESTA</t>
        </is>
      </c>
      <c r="G6563" t="n">
        <v>6.4</v>
      </c>
      <c r="H6563" t="n">
        <v>0</v>
      </c>
      <c r="I6563" t="n">
        <v>0</v>
      </c>
      <c r="J6563" t="n">
        <v>0</v>
      </c>
      <c r="K6563" t="n">
        <v>0</v>
      </c>
      <c r="L6563" t="n">
        <v>0</v>
      </c>
      <c r="M6563" t="n">
        <v>0</v>
      </c>
      <c r="N6563" t="n">
        <v>0</v>
      </c>
      <c r="O6563" t="n">
        <v>0</v>
      </c>
      <c r="P6563" t="n">
        <v>0</v>
      </c>
      <c r="Q6563" t="n">
        <v>0</v>
      </c>
      <c r="R6563" s="2" t="inlineStr"/>
    </row>
    <row r="6564" ht="15" customHeight="1">
      <c r="A6564" t="inlineStr">
        <is>
          <t>A 21697-2023</t>
        </is>
      </c>
      <c r="B6564" s="1" t="n">
        <v>45063</v>
      </c>
      <c r="C6564" s="1" t="n">
        <v>46114</v>
      </c>
      <c r="D6564" t="inlineStr">
        <is>
          <t>DALARNAS LÄN</t>
        </is>
      </c>
      <c r="E6564" t="inlineStr">
        <is>
          <t>SÄTER</t>
        </is>
      </c>
      <c r="F6564" t="inlineStr">
        <is>
          <t>Kommuner</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16522-2024</t>
        </is>
      </c>
      <c r="B6565" s="1" t="n">
        <v>45408.41166666667</v>
      </c>
      <c r="C6565" s="1" t="n">
        <v>46114</v>
      </c>
      <c r="D6565" t="inlineStr">
        <is>
          <t>DALARNAS LÄN</t>
        </is>
      </c>
      <c r="E6565" t="inlineStr">
        <is>
          <t>MORA</t>
        </is>
      </c>
      <c r="G6565" t="n">
        <v>11.2</v>
      </c>
      <c r="H6565" t="n">
        <v>0</v>
      </c>
      <c r="I6565" t="n">
        <v>0</v>
      </c>
      <c r="J6565" t="n">
        <v>0</v>
      </c>
      <c r="K6565" t="n">
        <v>0</v>
      </c>
      <c r="L6565" t="n">
        <v>0</v>
      </c>
      <c r="M6565" t="n">
        <v>0</v>
      </c>
      <c r="N6565" t="n">
        <v>0</v>
      </c>
      <c r="O6565" t="n">
        <v>0</v>
      </c>
      <c r="P6565" t="n">
        <v>0</v>
      </c>
      <c r="Q6565" t="n">
        <v>0</v>
      </c>
      <c r="R6565" s="2" t="inlineStr"/>
    </row>
    <row r="6566" ht="15" customHeight="1">
      <c r="A6566" t="inlineStr">
        <is>
          <t>A 61606-2025</t>
        </is>
      </c>
      <c r="B6566" s="1" t="n">
        <v>46002.37662037037</v>
      </c>
      <c r="C6566" s="1" t="n">
        <v>46114</v>
      </c>
      <c r="D6566" t="inlineStr">
        <is>
          <t>DALARNAS LÄN</t>
        </is>
      </c>
      <c r="E6566" t="inlineStr">
        <is>
          <t>MORA</t>
        </is>
      </c>
      <c r="G6566" t="n">
        <v>6.1</v>
      </c>
      <c r="H6566" t="n">
        <v>0</v>
      </c>
      <c r="I6566" t="n">
        <v>0</v>
      </c>
      <c r="J6566" t="n">
        <v>0</v>
      </c>
      <c r="K6566" t="n">
        <v>0</v>
      </c>
      <c r="L6566" t="n">
        <v>0</v>
      </c>
      <c r="M6566" t="n">
        <v>0</v>
      </c>
      <c r="N6566" t="n">
        <v>0</v>
      </c>
      <c r="O6566" t="n">
        <v>0</v>
      </c>
      <c r="P6566" t="n">
        <v>0</v>
      </c>
      <c r="Q6566" t="n">
        <v>0</v>
      </c>
      <c r="R6566" s="2" t="inlineStr"/>
    </row>
    <row r="6567" ht="15" customHeight="1">
      <c r="A6567" t="inlineStr">
        <is>
          <t>A 61624-2025</t>
        </is>
      </c>
      <c r="B6567" s="1" t="n">
        <v>46002.39755787037</v>
      </c>
      <c r="C6567" s="1" t="n">
        <v>46114</v>
      </c>
      <c r="D6567" t="inlineStr">
        <is>
          <t>DALARNAS LÄN</t>
        </is>
      </c>
      <c r="E6567" t="inlineStr">
        <is>
          <t>MORA</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61684-2025</t>
        </is>
      </c>
      <c r="B6568" s="1" t="n">
        <v>46002.49790509259</v>
      </c>
      <c r="C6568" s="1" t="n">
        <v>46114</v>
      </c>
      <c r="D6568" t="inlineStr">
        <is>
          <t>DALARNAS LÄN</t>
        </is>
      </c>
      <c r="E6568" t="inlineStr">
        <is>
          <t>LEKSAND</t>
        </is>
      </c>
      <c r="G6568" t="n">
        <v>2.4</v>
      </c>
      <c r="H6568" t="n">
        <v>0</v>
      </c>
      <c r="I6568" t="n">
        <v>0</v>
      </c>
      <c r="J6568" t="n">
        <v>0</v>
      </c>
      <c r="K6568" t="n">
        <v>0</v>
      </c>
      <c r="L6568" t="n">
        <v>0</v>
      </c>
      <c r="M6568" t="n">
        <v>0</v>
      </c>
      <c r="N6568" t="n">
        <v>0</v>
      </c>
      <c r="O6568" t="n">
        <v>0</v>
      </c>
      <c r="P6568" t="n">
        <v>0</v>
      </c>
      <c r="Q6568" t="n">
        <v>0</v>
      </c>
      <c r="R6568" s="2" t="inlineStr"/>
    </row>
    <row r="6569" ht="15" customHeight="1">
      <c r="A6569" t="inlineStr">
        <is>
          <t>A 61698-2025</t>
        </is>
      </c>
      <c r="B6569" s="1" t="n">
        <v>46002.52988425926</v>
      </c>
      <c r="C6569" s="1" t="n">
        <v>46114</v>
      </c>
      <c r="D6569" t="inlineStr">
        <is>
          <t>DALARNAS LÄN</t>
        </is>
      </c>
      <c r="E6569" t="inlineStr">
        <is>
          <t>MALUNG-SÄLEN</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36038-2024</t>
        </is>
      </c>
      <c r="B6570" s="1" t="n">
        <v>45533</v>
      </c>
      <c r="C6570" s="1" t="n">
        <v>46114</v>
      </c>
      <c r="D6570" t="inlineStr">
        <is>
          <t>DALARNAS LÄN</t>
        </is>
      </c>
      <c r="E6570" t="inlineStr">
        <is>
          <t>MORA</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61971-2025</t>
        </is>
      </c>
      <c r="B6571" s="1" t="n">
        <v>46003.59724537037</v>
      </c>
      <c r="C6571" s="1" t="n">
        <v>46114</v>
      </c>
      <c r="D6571" t="inlineStr">
        <is>
          <t>DALARNAS LÄN</t>
        </is>
      </c>
      <c r="E6571" t="inlineStr">
        <is>
          <t>ÄLVDALEN</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61620-2025</t>
        </is>
      </c>
      <c r="B6572" s="1" t="n">
        <v>46002.39347222223</v>
      </c>
      <c r="C6572" s="1" t="n">
        <v>46114</v>
      </c>
      <c r="D6572" t="inlineStr">
        <is>
          <t>DALARNAS LÄN</t>
        </is>
      </c>
      <c r="E6572" t="inlineStr">
        <is>
          <t>MORA</t>
        </is>
      </c>
      <c r="G6572" t="n">
        <v>3</v>
      </c>
      <c r="H6572" t="n">
        <v>0</v>
      </c>
      <c r="I6572" t="n">
        <v>0</v>
      </c>
      <c r="J6572" t="n">
        <v>0</v>
      </c>
      <c r="K6572" t="n">
        <v>0</v>
      </c>
      <c r="L6572" t="n">
        <v>0</v>
      </c>
      <c r="M6572" t="n">
        <v>0</v>
      </c>
      <c r="N6572" t="n">
        <v>0</v>
      </c>
      <c r="O6572" t="n">
        <v>0</v>
      </c>
      <c r="P6572" t="n">
        <v>0</v>
      </c>
      <c r="Q6572" t="n">
        <v>0</v>
      </c>
      <c r="R6572" s="2" t="inlineStr"/>
    </row>
    <row r="6573" ht="15" customHeight="1">
      <c r="A6573" t="inlineStr">
        <is>
          <t>A 2270-2024</t>
        </is>
      </c>
      <c r="B6573" s="1" t="n">
        <v>45310</v>
      </c>
      <c r="C6573" s="1" t="n">
        <v>46114</v>
      </c>
      <c r="D6573" t="inlineStr">
        <is>
          <t>DALARNAS LÄN</t>
        </is>
      </c>
      <c r="E6573" t="inlineStr">
        <is>
          <t>RÄTTVIK</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61653-2025</t>
        </is>
      </c>
      <c r="B6574" s="1" t="n">
        <v>46002.4481712963</v>
      </c>
      <c r="C6574" s="1" t="n">
        <v>46114</v>
      </c>
      <c r="D6574" t="inlineStr">
        <is>
          <t>DALARNAS LÄN</t>
        </is>
      </c>
      <c r="E6574" t="inlineStr">
        <is>
          <t>VANSBRO</t>
        </is>
      </c>
      <c r="G6574" t="n">
        <v>10.4</v>
      </c>
      <c r="H6574" t="n">
        <v>0</v>
      </c>
      <c r="I6574" t="n">
        <v>0</v>
      </c>
      <c r="J6574" t="n">
        <v>0</v>
      </c>
      <c r="K6574" t="n">
        <v>0</v>
      </c>
      <c r="L6574" t="n">
        <v>0</v>
      </c>
      <c r="M6574" t="n">
        <v>0</v>
      </c>
      <c r="N6574" t="n">
        <v>0</v>
      </c>
      <c r="O6574" t="n">
        <v>0</v>
      </c>
      <c r="P6574" t="n">
        <v>0</v>
      </c>
      <c r="Q6574" t="n">
        <v>0</v>
      </c>
      <c r="R6574" s="2" t="inlineStr"/>
    </row>
    <row r="6575" ht="15" customHeight="1">
      <c r="A6575" t="inlineStr">
        <is>
          <t>A 2865-2022</t>
        </is>
      </c>
      <c r="B6575" s="1" t="n">
        <v>44581</v>
      </c>
      <c r="C6575" s="1" t="n">
        <v>46114</v>
      </c>
      <c r="D6575" t="inlineStr">
        <is>
          <t>DALARNAS LÄN</t>
        </is>
      </c>
      <c r="E6575" t="inlineStr">
        <is>
          <t>MORA</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53668-2025</t>
        </is>
      </c>
      <c r="B6576" s="1" t="n">
        <v>45960</v>
      </c>
      <c r="C6576" s="1" t="n">
        <v>46114</v>
      </c>
      <c r="D6576" t="inlineStr">
        <is>
          <t>DALARNAS LÄN</t>
        </is>
      </c>
      <c r="E6576" t="inlineStr">
        <is>
          <t>MALUNG-SÄLEN</t>
        </is>
      </c>
      <c r="F6576" t="inlineStr">
        <is>
          <t>Kommuner</t>
        </is>
      </c>
      <c r="G6576" t="n">
        <v>2</v>
      </c>
      <c r="H6576" t="n">
        <v>0</v>
      </c>
      <c r="I6576" t="n">
        <v>0</v>
      </c>
      <c r="J6576" t="n">
        <v>0</v>
      </c>
      <c r="K6576" t="n">
        <v>0</v>
      </c>
      <c r="L6576" t="n">
        <v>0</v>
      </c>
      <c r="M6576" t="n">
        <v>0</v>
      </c>
      <c r="N6576" t="n">
        <v>0</v>
      </c>
      <c r="O6576" t="n">
        <v>0</v>
      </c>
      <c r="P6576" t="n">
        <v>0</v>
      </c>
      <c r="Q6576" t="n">
        <v>0</v>
      </c>
      <c r="R6576" s="2" t="inlineStr"/>
    </row>
    <row r="6577" ht="15" customHeight="1">
      <c r="A6577" t="inlineStr">
        <is>
          <t>A 61995-2025</t>
        </is>
      </c>
      <c r="B6577" s="1" t="n">
        <v>46003.63954861111</v>
      </c>
      <c r="C6577" s="1" t="n">
        <v>46114</v>
      </c>
      <c r="D6577" t="inlineStr">
        <is>
          <t>DALARNAS LÄN</t>
        </is>
      </c>
      <c r="E6577" t="inlineStr">
        <is>
          <t>MORA</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61598-2025</t>
        </is>
      </c>
      <c r="B6578" s="1" t="n">
        <v>46002.35988425926</v>
      </c>
      <c r="C6578" s="1" t="n">
        <v>46114</v>
      </c>
      <c r="D6578" t="inlineStr">
        <is>
          <t>DALARNAS LÄN</t>
        </is>
      </c>
      <c r="E6578" t="inlineStr">
        <is>
          <t>VANSBRO</t>
        </is>
      </c>
      <c r="G6578" t="n">
        <v>4.7</v>
      </c>
      <c r="H6578" t="n">
        <v>0</v>
      </c>
      <c r="I6578" t="n">
        <v>0</v>
      </c>
      <c r="J6578" t="n">
        <v>0</v>
      </c>
      <c r="K6578" t="n">
        <v>0</v>
      </c>
      <c r="L6578" t="n">
        <v>0</v>
      </c>
      <c r="M6578" t="n">
        <v>0</v>
      </c>
      <c r="N6578" t="n">
        <v>0</v>
      </c>
      <c r="O6578" t="n">
        <v>0</v>
      </c>
      <c r="P6578" t="n">
        <v>0</v>
      </c>
      <c r="Q6578" t="n">
        <v>0</v>
      </c>
      <c r="R6578" s="2" t="inlineStr"/>
    </row>
    <row r="6579" ht="15" customHeight="1">
      <c r="A6579" t="inlineStr">
        <is>
          <t>A 48702-2022</t>
        </is>
      </c>
      <c r="B6579" s="1" t="n">
        <v>44859.48425925926</v>
      </c>
      <c r="C6579" s="1" t="n">
        <v>46114</v>
      </c>
      <c r="D6579" t="inlineStr">
        <is>
          <t>DALARNAS LÄN</t>
        </is>
      </c>
      <c r="E6579" t="inlineStr">
        <is>
          <t>FALUN</t>
        </is>
      </c>
      <c r="G6579" t="n">
        <v>11.6</v>
      </c>
      <c r="H6579" t="n">
        <v>0</v>
      </c>
      <c r="I6579" t="n">
        <v>0</v>
      </c>
      <c r="J6579" t="n">
        <v>0</v>
      </c>
      <c r="K6579" t="n">
        <v>0</v>
      </c>
      <c r="L6579" t="n">
        <v>0</v>
      </c>
      <c r="M6579" t="n">
        <v>0</v>
      </c>
      <c r="N6579" t="n">
        <v>0</v>
      </c>
      <c r="O6579" t="n">
        <v>0</v>
      </c>
      <c r="P6579" t="n">
        <v>0</v>
      </c>
      <c r="Q6579" t="n">
        <v>0</v>
      </c>
      <c r="R6579" s="2" t="inlineStr"/>
    </row>
    <row r="6580" ht="15" customHeight="1">
      <c r="A6580" t="inlineStr">
        <is>
          <t>A 52347-2024</t>
        </is>
      </c>
      <c r="B6580" s="1" t="n">
        <v>45609</v>
      </c>
      <c r="C6580" s="1" t="n">
        <v>46114</v>
      </c>
      <c r="D6580" t="inlineStr">
        <is>
          <t>DALARNAS LÄN</t>
        </is>
      </c>
      <c r="E6580" t="inlineStr">
        <is>
          <t>LUDVIKA</t>
        </is>
      </c>
      <c r="F6580" t="inlineStr">
        <is>
          <t>Bergvik skog väst AB</t>
        </is>
      </c>
      <c r="G6580" t="n">
        <v>4.5</v>
      </c>
      <c r="H6580" t="n">
        <v>0</v>
      </c>
      <c r="I6580" t="n">
        <v>0</v>
      </c>
      <c r="J6580" t="n">
        <v>0</v>
      </c>
      <c r="K6580" t="n">
        <v>0</v>
      </c>
      <c r="L6580" t="n">
        <v>0</v>
      </c>
      <c r="M6580" t="n">
        <v>0</v>
      </c>
      <c r="N6580" t="n">
        <v>0</v>
      </c>
      <c r="O6580" t="n">
        <v>0</v>
      </c>
      <c r="P6580" t="n">
        <v>0</v>
      </c>
      <c r="Q6580" t="n">
        <v>0</v>
      </c>
      <c r="R6580" s="2" t="inlineStr"/>
    </row>
    <row r="6581" ht="15" customHeight="1">
      <c r="A6581" t="inlineStr">
        <is>
          <t>A 56834-2024</t>
        </is>
      </c>
      <c r="B6581" s="1" t="n">
        <v>45628.49931712963</v>
      </c>
      <c r="C6581" s="1" t="n">
        <v>46114</v>
      </c>
      <c r="D6581" t="inlineStr">
        <is>
          <t>DALARNAS LÄN</t>
        </is>
      </c>
      <c r="E6581" t="inlineStr">
        <is>
          <t>MORA</t>
        </is>
      </c>
      <c r="G6581" t="n">
        <v>0.4</v>
      </c>
      <c r="H6581" t="n">
        <v>0</v>
      </c>
      <c r="I6581" t="n">
        <v>0</v>
      </c>
      <c r="J6581" t="n">
        <v>0</v>
      </c>
      <c r="K6581" t="n">
        <v>0</v>
      </c>
      <c r="L6581" t="n">
        <v>0</v>
      </c>
      <c r="M6581" t="n">
        <v>0</v>
      </c>
      <c r="N6581" t="n">
        <v>0</v>
      </c>
      <c r="O6581" t="n">
        <v>0</v>
      </c>
      <c r="P6581" t="n">
        <v>0</v>
      </c>
      <c r="Q6581" t="n">
        <v>0</v>
      </c>
      <c r="R6581" s="2" t="inlineStr"/>
    </row>
    <row r="6582" ht="15" customHeight="1">
      <c r="A6582" t="inlineStr">
        <is>
          <t>A 56842-2024</t>
        </is>
      </c>
      <c r="B6582" s="1" t="n">
        <v>45628.52410879629</v>
      </c>
      <c r="C6582" s="1" t="n">
        <v>46114</v>
      </c>
      <c r="D6582" t="inlineStr">
        <is>
          <t>DALARNAS LÄN</t>
        </is>
      </c>
      <c r="E6582" t="inlineStr">
        <is>
          <t>GAGNEF</t>
        </is>
      </c>
      <c r="G6582" t="n">
        <v>9.6</v>
      </c>
      <c r="H6582" t="n">
        <v>0</v>
      </c>
      <c r="I6582" t="n">
        <v>0</v>
      </c>
      <c r="J6582" t="n">
        <v>0</v>
      </c>
      <c r="K6582" t="n">
        <v>0</v>
      </c>
      <c r="L6582" t="n">
        <v>0</v>
      </c>
      <c r="M6582" t="n">
        <v>0</v>
      </c>
      <c r="N6582" t="n">
        <v>0</v>
      </c>
      <c r="O6582" t="n">
        <v>0</v>
      </c>
      <c r="P6582" t="n">
        <v>0</v>
      </c>
      <c r="Q6582" t="n">
        <v>0</v>
      </c>
      <c r="R6582" s="2" t="inlineStr"/>
    </row>
    <row r="6583" ht="15" customHeight="1">
      <c r="A6583" t="inlineStr">
        <is>
          <t>A 22847-2023</t>
        </is>
      </c>
      <c r="B6583" s="1" t="n">
        <v>45072</v>
      </c>
      <c r="C6583" s="1" t="n">
        <v>46114</v>
      </c>
      <c r="D6583" t="inlineStr">
        <is>
          <t>DALARNAS LÄN</t>
        </is>
      </c>
      <c r="E6583" t="inlineStr">
        <is>
          <t>ÄLVDALEN</t>
        </is>
      </c>
      <c r="F6583" t="inlineStr">
        <is>
          <t>Bergvik skog väst AB</t>
        </is>
      </c>
      <c r="G6583" t="n">
        <v>8.1</v>
      </c>
      <c r="H6583" t="n">
        <v>0</v>
      </c>
      <c r="I6583" t="n">
        <v>0</v>
      </c>
      <c r="J6583" t="n">
        <v>0</v>
      </c>
      <c r="K6583" t="n">
        <v>0</v>
      </c>
      <c r="L6583" t="n">
        <v>0</v>
      </c>
      <c r="M6583" t="n">
        <v>0</v>
      </c>
      <c r="N6583" t="n">
        <v>0</v>
      </c>
      <c r="O6583" t="n">
        <v>0</v>
      </c>
      <c r="P6583" t="n">
        <v>0</v>
      </c>
      <c r="Q6583" t="n">
        <v>0</v>
      </c>
      <c r="R6583" s="2" t="inlineStr"/>
    </row>
    <row r="6584" ht="15" customHeight="1">
      <c r="A6584" t="inlineStr">
        <is>
          <t>A 62407-2025</t>
        </is>
      </c>
      <c r="B6584" s="1" t="n">
        <v>46007.43217592593</v>
      </c>
      <c r="C6584" s="1" t="n">
        <v>46114</v>
      </c>
      <c r="D6584" t="inlineStr">
        <is>
          <t>DALARNAS LÄN</t>
        </is>
      </c>
      <c r="E6584" t="inlineStr">
        <is>
          <t>HEDEMORA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17710-2023</t>
        </is>
      </c>
      <c r="B6585" s="1" t="n">
        <v>45037.38356481482</v>
      </c>
      <c r="C6585" s="1" t="n">
        <v>46114</v>
      </c>
      <c r="D6585" t="inlineStr">
        <is>
          <t>DALARNAS LÄN</t>
        </is>
      </c>
      <c r="E6585" t="inlineStr">
        <is>
          <t>GAGNEF</t>
        </is>
      </c>
      <c r="G6585" t="n">
        <v>10.7</v>
      </c>
      <c r="H6585" t="n">
        <v>0</v>
      </c>
      <c r="I6585" t="n">
        <v>0</v>
      </c>
      <c r="J6585" t="n">
        <v>0</v>
      </c>
      <c r="K6585" t="n">
        <v>0</v>
      </c>
      <c r="L6585" t="n">
        <v>0</v>
      </c>
      <c r="M6585" t="n">
        <v>0</v>
      </c>
      <c r="N6585" t="n">
        <v>0</v>
      </c>
      <c r="O6585" t="n">
        <v>0</v>
      </c>
      <c r="P6585" t="n">
        <v>0</v>
      </c>
      <c r="Q6585" t="n">
        <v>0</v>
      </c>
      <c r="R6585" s="2" t="inlineStr"/>
    </row>
    <row r="6586" ht="15" customHeight="1">
      <c r="A6586" t="inlineStr">
        <is>
          <t>A 45091-2022</t>
        </is>
      </c>
      <c r="B6586" s="1" t="n">
        <v>44842</v>
      </c>
      <c r="C6586" s="1" t="n">
        <v>46114</v>
      </c>
      <c r="D6586" t="inlineStr">
        <is>
          <t>DALARNAS LÄN</t>
        </is>
      </c>
      <c r="E6586" t="inlineStr">
        <is>
          <t>SMEDJEBACKEN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62358-2025</t>
        </is>
      </c>
      <c r="B6587" s="1" t="n">
        <v>46007.32116898148</v>
      </c>
      <c r="C6587" s="1" t="n">
        <v>46114</v>
      </c>
      <c r="D6587" t="inlineStr">
        <is>
          <t>DALARNAS LÄN</t>
        </is>
      </c>
      <c r="E6587" t="inlineStr">
        <is>
          <t>FALUN</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62367-2025</t>
        </is>
      </c>
      <c r="B6588" s="1" t="n">
        <v>46007</v>
      </c>
      <c r="C6588" s="1" t="n">
        <v>46114</v>
      </c>
      <c r="D6588" t="inlineStr">
        <is>
          <t>DALARNAS LÄN</t>
        </is>
      </c>
      <c r="E6588" t="inlineStr">
        <is>
          <t>LUDVIKA</t>
        </is>
      </c>
      <c r="F6588" t="inlineStr">
        <is>
          <t>Bergvik skog väst AB</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1857-2025</t>
        </is>
      </c>
      <c r="B6589" s="1" t="n">
        <v>45671.59969907408</v>
      </c>
      <c r="C6589" s="1" t="n">
        <v>46114</v>
      </c>
      <c r="D6589" t="inlineStr">
        <is>
          <t>DALARNAS LÄN</t>
        </is>
      </c>
      <c r="E6589" t="inlineStr">
        <is>
          <t>AVESTA</t>
        </is>
      </c>
      <c r="G6589" t="n">
        <v>3.9</v>
      </c>
      <c r="H6589" t="n">
        <v>0</v>
      </c>
      <c r="I6589" t="n">
        <v>0</v>
      </c>
      <c r="J6589" t="n">
        <v>0</v>
      </c>
      <c r="K6589" t="n">
        <v>0</v>
      </c>
      <c r="L6589" t="n">
        <v>0</v>
      </c>
      <c r="M6589" t="n">
        <v>0</v>
      </c>
      <c r="N6589" t="n">
        <v>0</v>
      </c>
      <c r="O6589" t="n">
        <v>0</v>
      </c>
      <c r="P6589" t="n">
        <v>0</v>
      </c>
      <c r="Q6589" t="n">
        <v>0</v>
      </c>
      <c r="R6589" s="2" t="inlineStr"/>
    </row>
    <row r="6590" ht="15" customHeight="1">
      <c r="A6590" t="inlineStr">
        <is>
          <t>A 46959-2023</t>
        </is>
      </c>
      <c r="B6590" s="1" t="n">
        <v>45201</v>
      </c>
      <c r="C6590" s="1" t="n">
        <v>46114</v>
      </c>
      <c r="D6590" t="inlineStr">
        <is>
          <t>DALARNAS LÄN</t>
        </is>
      </c>
      <c r="E6590" t="inlineStr">
        <is>
          <t>FALUN</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47036-2023</t>
        </is>
      </c>
      <c r="B6591" s="1" t="n">
        <v>45196</v>
      </c>
      <c r="C6591" s="1" t="n">
        <v>46114</v>
      </c>
      <c r="D6591" t="inlineStr">
        <is>
          <t>DALARNAS LÄN</t>
        </is>
      </c>
      <c r="E6591" t="inlineStr">
        <is>
          <t>MORA</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45097-2025</t>
        </is>
      </c>
      <c r="B6592" s="1" t="n">
        <v>45919.38918981481</v>
      </c>
      <c r="C6592" s="1" t="n">
        <v>46114</v>
      </c>
      <c r="D6592" t="inlineStr">
        <is>
          <t>DALARNAS LÄN</t>
        </is>
      </c>
      <c r="E6592" t="inlineStr">
        <is>
          <t>HEDEMORA</t>
        </is>
      </c>
      <c r="F6592" t="inlineStr">
        <is>
          <t>Sveaskog</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13805-2025</t>
        </is>
      </c>
      <c r="B6593" s="1" t="n">
        <v>45737.48921296297</v>
      </c>
      <c r="C6593" s="1" t="n">
        <v>46114</v>
      </c>
      <c r="D6593" t="inlineStr">
        <is>
          <t>DALARNAS LÄN</t>
        </is>
      </c>
      <c r="E6593" t="inlineStr">
        <is>
          <t>VANSBRO</t>
        </is>
      </c>
      <c r="F6593" t="inlineStr">
        <is>
          <t>Bergvik skog väst AB</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19353-2024</t>
        </is>
      </c>
      <c r="B6594" s="1" t="n">
        <v>45429.29666666667</v>
      </c>
      <c r="C6594" s="1" t="n">
        <v>46114</v>
      </c>
      <c r="D6594" t="inlineStr">
        <is>
          <t>DALARNAS LÄN</t>
        </is>
      </c>
      <c r="E6594" t="inlineStr">
        <is>
          <t>HEDEMORA</t>
        </is>
      </c>
      <c r="F6594" t="inlineStr">
        <is>
          <t>Sveaskog</t>
        </is>
      </c>
      <c r="G6594" t="n">
        <v>16.3</v>
      </c>
      <c r="H6594" t="n">
        <v>0</v>
      </c>
      <c r="I6594" t="n">
        <v>0</v>
      </c>
      <c r="J6594" t="n">
        <v>0</v>
      </c>
      <c r="K6594" t="n">
        <v>0</v>
      </c>
      <c r="L6594" t="n">
        <v>0</v>
      </c>
      <c r="M6594" t="n">
        <v>0</v>
      </c>
      <c r="N6594" t="n">
        <v>0</v>
      </c>
      <c r="O6594" t="n">
        <v>0</v>
      </c>
      <c r="P6594" t="n">
        <v>0</v>
      </c>
      <c r="Q6594" t="n">
        <v>0</v>
      </c>
      <c r="R6594" s="2" t="inlineStr"/>
    </row>
    <row r="6595" ht="15" customHeight="1">
      <c r="A6595" t="inlineStr">
        <is>
          <t>A 24729-2023</t>
        </is>
      </c>
      <c r="B6595" s="1" t="n">
        <v>45084.57733796296</v>
      </c>
      <c r="C6595" s="1" t="n">
        <v>46114</v>
      </c>
      <c r="D6595" t="inlineStr">
        <is>
          <t>DALARNAS LÄN</t>
        </is>
      </c>
      <c r="E6595" t="inlineStr">
        <is>
          <t>FALUN</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54148-2023</t>
        </is>
      </c>
      <c r="B6596" s="1" t="n">
        <v>45232.45122685185</v>
      </c>
      <c r="C6596" s="1" t="n">
        <v>46114</v>
      </c>
      <c r="D6596" t="inlineStr">
        <is>
          <t>DALARNAS LÄN</t>
        </is>
      </c>
      <c r="E6596" t="inlineStr">
        <is>
          <t>BORLÄNGE</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62301-2025</t>
        </is>
      </c>
      <c r="B6597" s="1" t="n">
        <v>46006.65743055556</v>
      </c>
      <c r="C6597" s="1" t="n">
        <v>46114</v>
      </c>
      <c r="D6597" t="inlineStr">
        <is>
          <t>DALARNAS LÄN</t>
        </is>
      </c>
      <c r="E6597" t="inlineStr">
        <is>
          <t>LEKSAND</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62306-2025</t>
        </is>
      </c>
      <c r="B6598" s="1" t="n">
        <v>46006.66878472222</v>
      </c>
      <c r="C6598" s="1" t="n">
        <v>46114</v>
      </c>
      <c r="D6598" t="inlineStr">
        <is>
          <t>DALARNAS LÄN</t>
        </is>
      </c>
      <c r="E6598" t="inlineStr">
        <is>
          <t>LEKSAND</t>
        </is>
      </c>
      <c r="G6598" t="n">
        <v>1.1</v>
      </c>
      <c r="H6598" t="n">
        <v>0</v>
      </c>
      <c r="I6598" t="n">
        <v>0</v>
      </c>
      <c r="J6598" t="n">
        <v>0</v>
      </c>
      <c r="K6598" t="n">
        <v>0</v>
      </c>
      <c r="L6598" t="n">
        <v>0</v>
      </c>
      <c r="M6598" t="n">
        <v>0</v>
      </c>
      <c r="N6598" t="n">
        <v>0</v>
      </c>
      <c r="O6598" t="n">
        <v>0</v>
      </c>
      <c r="P6598" t="n">
        <v>0</v>
      </c>
      <c r="Q6598" t="n">
        <v>0</v>
      </c>
      <c r="R6598" s="2" t="inlineStr"/>
    </row>
    <row r="6599" ht="15" customHeight="1">
      <c r="A6599" t="inlineStr">
        <is>
          <t>A 62337-2025</t>
        </is>
      </c>
      <c r="B6599" s="1" t="n">
        <v>46006</v>
      </c>
      <c r="C6599" s="1" t="n">
        <v>46114</v>
      </c>
      <c r="D6599" t="inlineStr">
        <is>
          <t>DALARNAS LÄN</t>
        </is>
      </c>
      <c r="E6599" t="inlineStr">
        <is>
          <t>LEKSAND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62362-2025</t>
        </is>
      </c>
      <c r="B6600" s="1" t="n">
        <v>46007.32331018519</v>
      </c>
      <c r="C6600" s="1" t="n">
        <v>46114</v>
      </c>
      <c r="D6600" t="inlineStr">
        <is>
          <t>DALARNAS LÄN</t>
        </is>
      </c>
      <c r="E6600" t="inlineStr">
        <is>
          <t>FALUN</t>
        </is>
      </c>
      <c r="G6600" t="n">
        <v>0.5</v>
      </c>
      <c r="H6600" t="n">
        <v>0</v>
      </c>
      <c r="I6600" t="n">
        <v>0</v>
      </c>
      <c r="J6600" t="n">
        <v>0</v>
      </c>
      <c r="K6600" t="n">
        <v>0</v>
      </c>
      <c r="L6600" t="n">
        <v>0</v>
      </c>
      <c r="M6600" t="n">
        <v>0</v>
      </c>
      <c r="N6600" t="n">
        <v>0</v>
      </c>
      <c r="O6600" t="n">
        <v>0</v>
      </c>
      <c r="P6600" t="n">
        <v>0</v>
      </c>
      <c r="Q6600" t="n">
        <v>0</v>
      </c>
      <c r="R6600" s="2" t="inlineStr"/>
    </row>
    <row r="6601" ht="15" customHeight="1">
      <c r="A6601" t="inlineStr">
        <is>
          <t>A 45690-2025</t>
        </is>
      </c>
      <c r="B6601" s="1" t="n">
        <v>45923.38413194445</v>
      </c>
      <c r="C6601" s="1" t="n">
        <v>46114</v>
      </c>
      <c r="D6601" t="inlineStr">
        <is>
          <t>DALARNAS LÄN</t>
        </is>
      </c>
      <c r="E6601" t="inlineStr">
        <is>
          <t>FALUN</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27610-2024</t>
        </is>
      </c>
      <c r="B6602" s="1" t="n">
        <v>45474.73221064815</v>
      </c>
      <c r="C6602" s="1" t="n">
        <v>46114</v>
      </c>
      <c r="D6602" t="inlineStr">
        <is>
          <t>DALARNAS LÄN</t>
        </is>
      </c>
      <c r="E6602" t="inlineStr">
        <is>
          <t>HEDEMORA</t>
        </is>
      </c>
      <c r="F6602" t="inlineStr">
        <is>
          <t>Sveaskog</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62055-2025</t>
        </is>
      </c>
      <c r="B6603" s="1" t="n">
        <v>46006.3365625</v>
      </c>
      <c r="C6603" s="1" t="n">
        <v>46114</v>
      </c>
      <c r="D6603" t="inlineStr">
        <is>
          <t>DALARNAS LÄN</t>
        </is>
      </c>
      <c r="E6603" t="inlineStr">
        <is>
          <t>MORA</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27679-2024</t>
        </is>
      </c>
      <c r="B6604" s="1" t="n">
        <v>45475.26847222223</v>
      </c>
      <c r="C6604" s="1" t="n">
        <v>46114</v>
      </c>
      <c r="D6604" t="inlineStr">
        <is>
          <t>DALARNAS LÄN</t>
        </is>
      </c>
      <c r="E6604" t="inlineStr">
        <is>
          <t>FALUN</t>
        </is>
      </c>
      <c r="F6604" t="inlineStr">
        <is>
          <t>Bergvik skog väst AB</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62106-2025</t>
        </is>
      </c>
      <c r="B6605" s="1" t="n">
        <v>46006.42576388889</v>
      </c>
      <c r="C6605" s="1" t="n">
        <v>46114</v>
      </c>
      <c r="D6605" t="inlineStr">
        <is>
          <t>DALARNAS LÄN</t>
        </is>
      </c>
      <c r="E6605" t="inlineStr">
        <is>
          <t>ÄLVDALEN</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61698-2022</t>
        </is>
      </c>
      <c r="B6606" s="1" t="n">
        <v>44917.40038194445</v>
      </c>
      <c r="C6606" s="1" t="n">
        <v>46114</v>
      </c>
      <c r="D6606" t="inlineStr">
        <is>
          <t>DALARNAS LÄN</t>
        </is>
      </c>
      <c r="E6606" t="inlineStr">
        <is>
          <t>ORSA</t>
        </is>
      </c>
      <c r="F6606" t="inlineStr">
        <is>
          <t>Bergvik skog öst AB</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62374-2025</t>
        </is>
      </c>
      <c r="B6607" s="1" t="n">
        <v>46007.34461805555</v>
      </c>
      <c r="C6607" s="1" t="n">
        <v>46114</v>
      </c>
      <c r="D6607" t="inlineStr">
        <is>
          <t>DALARNAS LÄN</t>
        </is>
      </c>
      <c r="E6607" t="inlineStr">
        <is>
          <t>MALUNG-SÄLEN</t>
        </is>
      </c>
      <c r="G6607" t="n">
        <v>2.6</v>
      </c>
      <c r="H6607" t="n">
        <v>0</v>
      </c>
      <c r="I6607" t="n">
        <v>0</v>
      </c>
      <c r="J6607" t="n">
        <v>0</v>
      </c>
      <c r="K6607" t="n">
        <v>0</v>
      </c>
      <c r="L6607" t="n">
        <v>0</v>
      </c>
      <c r="M6607" t="n">
        <v>0</v>
      </c>
      <c r="N6607" t="n">
        <v>0</v>
      </c>
      <c r="O6607" t="n">
        <v>0</v>
      </c>
      <c r="P6607" t="n">
        <v>0</v>
      </c>
      <c r="Q6607" t="n">
        <v>0</v>
      </c>
      <c r="R6607" s="2" t="inlineStr"/>
    </row>
    <row r="6608" ht="15" customHeight="1">
      <c r="A6608" t="inlineStr">
        <is>
          <t>A 62386-2025</t>
        </is>
      </c>
      <c r="B6608" s="1" t="n">
        <v>46007</v>
      </c>
      <c r="C6608" s="1" t="n">
        <v>46114</v>
      </c>
      <c r="D6608" t="inlineStr">
        <is>
          <t>DALARNAS LÄN</t>
        </is>
      </c>
      <c r="E6608" t="inlineStr">
        <is>
          <t>SMEDJEBACKEN</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62322-2025</t>
        </is>
      </c>
      <c r="B6609" s="1" t="n">
        <v>46006</v>
      </c>
      <c r="C6609" s="1" t="n">
        <v>46114</v>
      </c>
      <c r="D6609" t="inlineStr">
        <is>
          <t>DALARNAS LÄN</t>
        </is>
      </c>
      <c r="E6609" t="inlineStr">
        <is>
          <t>LEKSAND</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20544-2025</t>
        </is>
      </c>
      <c r="B6610" s="1" t="n">
        <v>45775.63119212963</v>
      </c>
      <c r="C6610" s="1" t="n">
        <v>46114</v>
      </c>
      <c r="D6610" t="inlineStr">
        <is>
          <t>DALARNAS LÄN</t>
        </is>
      </c>
      <c r="E6610" t="inlineStr">
        <is>
          <t>MORA</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20555-2025</t>
        </is>
      </c>
      <c r="B6611" s="1" t="n">
        <v>45775.64297453704</v>
      </c>
      <c r="C6611" s="1" t="n">
        <v>46114</v>
      </c>
      <c r="D6611" t="inlineStr">
        <is>
          <t>DALARNAS LÄN</t>
        </is>
      </c>
      <c r="E6611" t="inlineStr">
        <is>
          <t>RÄTTVIK</t>
        </is>
      </c>
      <c r="G6611" t="n">
        <v>3.9</v>
      </c>
      <c r="H6611" t="n">
        <v>0</v>
      </c>
      <c r="I6611" t="n">
        <v>0</v>
      </c>
      <c r="J6611" t="n">
        <v>0</v>
      </c>
      <c r="K6611" t="n">
        <v>0</v>
      </c>
      <c r="L6611" t="n">
        <v>0</v>
      </c>
      <c r="M6611" t="n">
        <v>0</v>
      </c>
      <c r="N6611" t="n">
        <v>0</v>
      </c>
      <c r="O6611" t="n">
        <v>0</v>
      </c>
      <c r="P6611" t="n">
        <v>0</v>
      </c>
      <c r="Q6611" t="n">
        <v>0</v>
      </c>
      <c r="R6611" s="2" t="inlineStr"/>
    </row>
    <row r="6612" ht="15" customHeight="1">
      <c r="A6612" t="inlineStr">
        <is>
          <t>A 62310-2025</t>
        </is>
      </c>
      <c r="B6612" s="1" t="n">
        <v>46006.67381944445</v>
      </c>
      <c r="C6612" s="1" t="n">
        <v>46114</v>
      </c>
      <c r="D6612" t="inlineStr">
        <is>
          <t>DALARNAS LÄN</t>
        </is>
      </c>
      <c r="E6612" t="inlineStr">
        <is>
          <t>MALUNG-SÄLEN</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14504-2025</t>
        </is>
      </c>
      <c r="B6613" s="1" t="n">
        <v>45741</v>
      </c>
      <c r="C6613" s="1" t="n">
        <v>46114</v>
      </c>
      <c r="D6613" t="inlineStr">
        <is>
          <t>DALARNAS LÄN</t>
        </is>
      </c>
      <c r="E6613" t="inlineStr">
        <is>
          <t>LEKSAND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31556-2022</t>
        </is>
      </c>
      <c r="B6614" s="1" t="n">
        <v>44775.41023148148</v>
      </c>
      <c r="C6614" s="1" t="n">
        <v>46114</v>
      </c>
      <c r="D6614" t="inlineStr">
        <is>
          <t>DALARNAS LÄN</t>
        </is>
      </c>
      <c r="E6614" t="inlineStr">
        <is>
          <t>RÄTTVIK</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52461-2023</t>
        </is>
      </c>
      <c r="B6615" s="1" t="n">
        <v>45225.40709490741</v>
      </c>
      <c r="C6615" s="1" t="n">
        <v>46114</v>
      </c>
      <c r="D6615" t="inlineStr">
        <is>
          <t>DALARNAS LÄN</t>
        </is>
      </c>
      <c r="E6615" t="inlineStr">
        <is>
          <t>LUDVIKA</t>
        </is>
      </c>
      <c r="F6615" t="inlineStr">
        <is>
          <t>Bergvik skog väst AB</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52466-2023</t>
        </is>
      </c>
      <c r="B6616" s="1" t="n">
        <v>45225.41042824074</v>
      </c>
      <c r="C6616" s="1" t="n">
        <v>46114</v>
      </c>
      <c r="D6616" t="inlineStr">
        <is>
          <t>DALARNAS LÄN</t>
        </is>
      </c>
      <c r="E6616" t="inlineStr">
        <is>
          <t>LUDVIKA</t>
        </is>
      </c>
      <c r="F6616" t="inlineStr">
        <is>
          <t>Bergvik skog väst AB</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14553-2025</t>
        </is>
      </c>
      <c r="B6617" s="1" t="n">
        <v>45741</v>
      </c>
      <c r="C6617" s="1" t="n">
        <v>46114</v>
      </c>
      <c r="D6617" t="inlineStr">
        <is>
          <t>DALARNAS LÄN</t>
        </is>
      </c>
      <c r="E6617" t="inlineStr">
        <is>
          <t>FALUN</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46481-2025</t>
        </is>
      </c>
      <c r="B6618" s="1" t="n">
        <v>45925.70106481481</v>
      </c>
      <c r="C6618" s="1" t="n">
        <v>46114</v>
      </c>
      <c r="D6618" t="inlineStr">
        <is>
          <t>DALARNAS LÄN</t>
        </is>
      </c>
      <c r="E6618" t="inlineStr">
        <is>
          <t>RÄTTVIK</t>
        </is>
      </c>
      <c r="F6618" t="inlineStr">
        <is>
          <t>Sveaskog</t>
        </is>
      </c>
      <c r="G6618" t="n">
        <v>2.9</v>
      </c>
      <c r="H6618" t="n">
        <v>0</v>
      </c>
      <c r="I6618" t="n">
        <v>0</v>
      </c>
      <c r="J6618" t="n">
        <v>0</v>
      </c>
      <c r="K6618" t="n">
        <v>0</v>
      </c>
      <c r="L6618" t="n">
        <v>0</v>
      </c>
      <c r="M6618" t="n">
        <v>0</v>
      </c>
      <c r="N6618" t="n">
        <v>0</v>
      </c>
      <c r="O6618" t="n">
        <v>0</v>
      </c>
      <c r="P6618" t="n">
        <v>0</v>
      </c>
      <c r="Q6618" t="n">
        <v>0</v>
      </c>
      <c r="R6618" s="2" t="inlineStr"/>
    </row>
    <row r="6619" ht="15" customHeight="1">
      <c r="A6619" t="inlineStr">
        <is>
          <t>A 53455-2021</t>
        </is>
      </c>
      <c r="B6619" s="1" t="n">
        <v>44468</v>
      </c>
      <c r="C6619" s="1" t="n">
        <v>46114</v>
      </c>
      <c r="D6619" t="inlineStr">
        <is>
          <t>DALARNAS LÄN</t>
        </is>
      </c>
      <c r="E6619" t="inlineStr">
        <is>
          <t>BORLÄNGE</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42510-2025</t>
        </is>
      </c>
      <c r="B6620" s="1" t="n">
        <v>45905.54068287037</v>
      </c>
      <c r="C6620" s="1" t="n">
        <v>46114</v>
      </c>
      <c r="D6620" t="inlineStr">
        <is>
          <t>DALARNAS LÄN</t>
        </is>
      </c>
      <c r="E6620" t="inlineStr">
        <is>
          <t>HEDEMORA</t>
        </is>
      </c>
      <c r="F6620" t="inlineStr">
        <is>
          <t>Sveaskog</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49166-2025</t>
        </is>
      </c>
      <c r="B6621" s="1" t="n">
        <v>45938.36746527778</v>
      </c>
      <c r="C6621" s="1" t="n">
        <v>46114</v>
      </c>
      <c r="D6621" t="inlineStr">
        <is>
          <t>DALARNAS LÄN</t>
        </is>
      </c>
      <c r="E6621" t="inlineStr">
        <is>
          <t>LUDVIKA</t>
        </is>
      </c>
      <c r="F6621" t="inlineStr">
        <is>
          <t>Bergvik skog väst AB</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62054-2025</t>
        </is>
      </c>
      <c r="B6622" s="1" t="n">
        <v>46006.33462962963</v>
      </c>
      <c r="C6622" s="1" t="n">
        <v>46114</v>
      </c>
      <c r="D6622" t="inlineStr">
        <is>
          <t>DALARNAS LÄN</t>
        </is>
      </c>
      <c r="E6622" t="inlineStr">
        <is>
          <t>MORA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62087-2025</t>
        </is>
      </c>
      <c r="B6623" s="1" t="n">
        <v>46006.37575231482</v>
      </c>
      <c r="C6623" s="1" t="n">
        <v>46114</v>
      </c>
      <c r="D6623" t="inlineStr">
        <is>
          <t>DALARNAS LÄN</t>
        </is>
      </c>
      <c r="E6623" t="inlineStr">
        <is>
          <t>MALUNG-SÄLEN</t>
        </is>
      </c>
      <c r="G6623" t="n">
        <v>5.1</v>
      </c>
      <c r="H6623" t="n">
        <v>0</v>
      </c>
      <c r="I6623" t="n">
        <v>0</v>
      </c>
      <c r="J6623" t="n">
        <v>0</v>
      </c>
      <c r="K6623" t="n">
        <v>0</v>
      </c>
      <c r="L6623" t="n">
        <v>0</v>
      </c>
      <c r="M6623" t="n">
        <v>0</v>
      </c>
      <c r="N6623" t="n">
        <v>0</v>
      </c>
      <c r="O6623" t="n">
        <v>0</v>
      </c>
      <c r="P6623" t="n">
        <v>0</v>
      </c>
      <c r="Q6623" t="n">
        <v>0</v>
      </c>
      <c r="R6623" s="2" t="inlineStr"/>
    </row>
    <row r="6624" ht="15" customHeight="1">
      <c r="A6624" t="inlineStr">
        <is>
          <t>A 39291-2024</t>
        </is>
      </c>
      <c r="B6624" s="1" t="n">
        <v>45551.36931712963</v>
      </c>
      <c r="C6624" s="1" t="n">
        <v>46114</v>
      </c>
      <c r="D6624" t="inlineStr">
        <is>
          <t>DALARNAS LÄN</t>
        </is>
      </c>
      <c r="E6624" t="inlineStr">
        <is>
          <t>RÄTTVIK</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18995-2025</t>
        </is>
      </c>
      <c r="B6625" s="1" t="n">
        <v>45764.57375</v>
      </c>
      <c r="C6625" s="1" t="n">
        <v>46114</v>
      </c>
      <c r="D6625" t="inlineStr">
        <is>
          <t>DALARNAS LÄN</t>
        </is>
      </c>
      <c r="E6625" t="inlineStr">
        <is>
          <t>RÄTTVIK</t>
        </is>
      </c>
      <c r="F6625" t="inlineStr">
        <is>
          <t>Sveaskog</t>
        </is>
      </c>
      <c r="G6625" t="n">
        <v>5.9</v>
      </c>
      <c r="H6625" t="n">
        <v>0</v>
      </c>
      <c r="I6625" t="n">
        <v>0</v>
      </c>
      <c r="J6625" t="n">
        <v>0</v>
      </c>
      <c r="K6625" t="n">
        <v>0</v>
      </c>
      <c r="L6625" t="n">
        <v>0</v>
      </c>
      <c r="M6625" t="n">
        <v>0</v>
      </c>
      <c r="N6625" t="n">
        <v>0</v>
      </c>
      <c r="O6625" t="n">
        <v>0</v>
      </c>
      <c r="P6625" t="n">
        <v>0</v>
      </c>
      <c r="Q6625" t="n">
        <v>0</v>
      </c>
      <c r="R6625" s="2" t="inlineStr"/>
    </row>
    <row r="6626" ht="15" customHeight="1">
      <c r="A6626" t="inlineStr">
        <is>
          <t>A 62574-2025</t>
        </is>
      </c>
      <c r="B6626" s="1" t="n">
        <v>46007.73261574074</v>
      </c>
      <c r="C6626" s="1" t="n">
        <v>46114</v>
      </c>
      <c r="D6626" t="inlineStr">
        <is>
          <t>DALARNAS LÄN</t>
        </is>
      </c>
      <c r="E6626" t="inlineStr">
        <is>
          <t>LEKSAND</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21882-2024</t>
        </is>
      </c>
      <c r="B6627" s="1" t="n">
        <v>45443.35310185186</v>
      </c>
      <c r="C6627" s="1" t="n">
        <v>46114</v>
      </c>
      <c r="D6627" t="inlineStr">
        <is>
          <t>DALARNAS LÄN</t>
        </is>
      </c>
      <c r="E6627" t="inlineStr">
        <is>
          <t>RÄTTVIK</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62540-2025</t>
        </is>
      </c>
      <c r="B6628" s="1" t="n">
        <v>46007.64381944444</v>
      </c>
      <c r="C6628" s="1" t="n">
        <v>46114</v>
      </c>
      <c r="D6628" t="inlineStr">
        <is>
          <t>DALARNAS LÄN</t>
        </is>
      </c>
      <c r="E6628" t="inlineStr">
        <is>
          <t>RÄTTVIK</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33618-2022</t>
        </is>
      </c>
      <c r="B6629" s="1" t="n">
        <v>44789</v>
      </c>
      <c r="C6629" s="1" t="n">
        <v>46114</v>
      </c>
      <c r="D6629" t="inlineStr">
        <is>
          <t>DALARNAS LÄN</t>
        </is>
      </c>
      <c r="E6629" t="inlineStr">
        <is>
          <t>MALUNG-SÄLEN</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59271-2025</t>
        </is>
      </c>
      <c r="B6630" s="1" t="n">
        <v>45988.68571759259</v>
      </c>
      <c r="C6630" s="1" t="n">
        <v>46114</v>
      </c>
      <c r="D6630" t="inlineStr">
        <is>
          <t>DALARNAS LÄN</t>
        </is>
      </c>
      <c r="E6630" t="inlineStr">
        <is>
          <t>LEKSAND</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1797-2024</t>
        </is>
      </c>
      <c r="B6631" s="1" t="n">
        <v>45307.58229166667</v>
      </c>
      <c r="C6631" s="1" t="n">
        <v>46114</v>
      </c>
      <c r="D6631" t="inlineStr">
        <is>
          <t>DALARNAS LÄN</t>
        </is>
      </c>
      <c r="E6631" t="inlineStr">
        <is>
          <t>RÄTTVIK</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62549-2025</t>
        </is>
      </c>
      <c r="B6632" s="1" t="n">
        <v>46007.66886574074</v>
      </c>
      <c r="C6632" s="1" t="n">
        <v>46114</v>
      </c>
      <c r="D6632" t="inlineStr">
        <is>
          <t>DALARNAS LÄN</t>
        </is>
      </c>
      <c r="E6632" t="inlineStr">
        <is>
          <t>LEKSAND</t>
        </is>
      </c>
      <c r="G6632" t="n">
        <v>1.2</v>
      </c>
      <c r="H6632" t="n">
        <v>0</v>
      </c>
      <c r="I6632" t="n">
        <v>0</v>
      </c>
      <c r="J6632" t="n">
        <v>0</v>
      </c>
      <c r="K6632" t="n">
        <v>0</v>
      </c>
      <c r="L6632" t="n">
        <v>0</v>
      </c>
      <c r="M6632" t="n">
        <v>0</v>
      </c>
      <c r="N6632" t="n">
        <v>0</v>
      </c>
      <c r="O6632" t="n">
        <v>0</v>
      </c>
      <c r="P6632" t="n">
        <v>0</v>
      </c>
      <c r="Q6632" t="n">
        <v>0</v>
      </c>
      <c r="R6632" s="2" t="inlineStr"/>
    </row>
    <row r="6633" ht="15" customHeight="1">
      <c r="A6633" t="inlineStr">
        <is>
          <t>A 114-2024</t>
        </is>
      </c>
      <c r="B6633" s="1" t="n">
        <v>45294</v>
      </c>
      <c r="C6633" s="1" t="n">
        <v>46114</v>
      </c>
      <c r="D6633" t="inlineStr">
        <is>
          <t>DALARNAS LÄN</t>
        </is>
      </c>
      <c r="E6633" t="inlineStr">
        <is>
          <t>MALUNG-SÄLEN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62556-2025</t>
        </is>
      </c>
      <c r="B6634" s="1" t="n">
        <v>46007.68230324074</v>
      </c>
      <c r="C6634" s="1" t="n">
        <v>46114</v>
      </c>
      <c r="D6634" t="inlineStr">
        <is>
          <t>DALARNAS LÄN</t>
        </is>
      </c>
      <c r="E6634" t="inlineStr">
        <is>
          <t>LEKSAND</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25168-2024</t>
        </is>
      </c>
      <c r="B6635" s="1" t="n">
        <v>45462.54217592593</v>
      </c>
      <c r="C6635" s="1" t="n">
        <v>46114</v>
      </c>
      <c r="D6635" t="inlineStr">
        <is>
          <t>DALARNAS LÄN</t>
        </is>
      </c>
      <c r="E6635" t="inlineStr">
        <is>
          <t>MALUNG-SÄLEN</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62560-2025</t>
        </is>
      </c>
      <c r="B6636" s="1" t="n">
        <v>46007.68733796296</v>
      </c>
      <c r="C6636" s="1" t="n">
        <v>46114</v>
      </c>
      <c r="D6636" t="inlineStr">
        <is>
          <t>DALARNAS LÄN</t>
        </is>
      </c>
      <c r="E6636" t="inlineStr">
        <is>
          <t>LEKSAND</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400-2023</t>
        </is>
      </c>
      <c r="B6637" s="1" t="n">
        <v>44929.61017361111</v>
      </c>
      <c r="C6637" s="1" t="n">
        <v>46114</v>
      </c>
      <c r="D6637" t="inlineStr">
        <is>
          <t>DALARNAS LÄN</t>
        </is>
      </c>
      <c r="E6637" t="inlineStr">
        <is>
          <t>LUDVIKA</t>
        </is>
      </c>
      <c r="G6637" t="n">
        <v>3.6</v>
      </c>
      <c r="H6637" t="n">
        <v>0</v>
      </c>
      <c r="I6637" t="n">
        <v>0</v>
      </c>
      <c r="J6637" t="n">
        <v>0</v>
      </c>
      <c r="K6637" t="n">
        <v>0</v>
      </c>
      <c r="L6637" t="n">
        <v>0</v>
      </c>
      <c r="M6637" t="n">
        <v>0</v>
      </c>
      <c r="N6637" t="n">
        <v>0</v>
      </c>
      <c r="O6637" t="n">
        <v>0</v>
      </c>
      <c r="P6637" t="n">
        <v>0</v>
      </c>
      <c r="Q6637" t="n">
        <v>0</v>
      </c>
      <c r="R6637" s="2" t="inlineStr"/>
    </row>
    <row r="6638" ht="15" customHeight="1">
      <c r="A6638" t="inlineStr">
        <is>
          <t>A 62548-2025</t>
        </is>
      </c>
      <c r="B6638" s="1" t="n">
        <v>46007.66275462963</v>
      </c>
      <c r="C6638" s="1" t="n">
        <v>46114</v>
      </c>
      <c r="D6638" t="inlineStr">
        <is>
          <t>DALARNAS LÄN</t>
        </is>
      </c>
      <c r="E6638" t="inlineStr">
        <is>
          <t>MORA</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62557-2025</t>
        </is>
      </c>
      <c r="B6639" s="1" t="n">
        <v>46007.68412037037</v>
      </c>
      <c r="C6639" s="1" t="n">
        <v>46114</v>
      </c>
      <c r="D6639" t="inlineStr">
        <is>
          <t>DALARNAS LÄN</t>
        </is>
      </c>
      <c r="E6639" t="inlineStr">
        <is>
          <t>LEKSAND</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62561-2025</t>
        </is>
      </c>
      <c r="B6640" s="1" t="n">
        <v>46007.69107638889</v>
      </c>
      <c r="C6640" s="1" t="n">
        <v>46114</v>
      </c>
      <c r="D6640" t="inlineStr">
        <is>
          <t>DALARNAS LÄN</t>
        </is>
      </c>
      <c r="E6640" t="inlineStr">
        <is>
          <t>LUDVIKA</t>
        </is>
      </c>
      <c r="F6640" t="inlineStr">
        <is>
          <t>Bergvik skog väst AB</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36579-2024</t>
        </is>
      </c>
      <c r="B6641" s="1" t="n">
        <v>45537.50268518519</v>
      </c>
      <c r="C6641" s="1" t="n">
        <v>46114</v>
      </c>
      <c r="D6641" t="inlineStr">
        <is>
          <t>DALARNAS LÄN</t>
        </is>
      </c>
      <c r="E6641" t="inlineStr">
        <is>
          <t>FALUN</t>
        </is>
      </c>
      <c r="F6641" t="inlineStr">
        <is>
          <t>Bergvik skog väst AB</t>
        </is>
      </c>
      <c r="G6641" t="n">
        <v>7</v>
      </c>
      <c r="H6641" t="n">
        <v>0</v>
      </c>
      <c r="I6641" t="n">
        <v>0</v>
      </c>
      <c r="J6641" t="n">
        <v>0</v>
      </c>
      <c r="K6641" t="n">
        <v>0</v>
      </c>
      <c r="L6641" t="n">
        <v>0</v>
      </c>
      <c r="M6641" t="n">
        <v>0</v>
      </c>
      <c r="N6641" t="n">
        <v>0</v>
      </c>
      <c r="O6641" t="n">
        <v>0</v>
      </c>
      <c r="P6641" t="n">
        <v>0</v>
      </c>
      <c r="Q6641" t="n">
        <v>0</v>
      </c>
      <c r="R6641" s="2" t="inlineStr"/>
    </row>
    <row r="6642" ht="15" customHeight="1">
      <c r="A6642" t="inlineStr">
        <is>
          <t>A 62110-2025</t>
        </is>
      </c>
      <c r="B6642" s="1" t="n">
        <v>46006.43310185185</v>
      </c>
      <c r="C6642" s="1" t="n">
        <v>46114</v>
      </c>
      <c r="D6642" t="inlineStr">
        <is>
          <t>DALARNAS LÄN</t>
        </is>
      </c>
      <c r="E6642" t="inlineStr">
        <is>
          <t>SMEDJEBACKEN</t>
        </is>
      </c>
      <c r="F6642" t="inlineStr">
        <is>
          <t>Bergvik skog väst AB</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27609-2024</t>
        </is>
      </c>
      <c r="B6643" s="1" t="n">
        <v>45474.73076388889</v>
      </c>
      <c r="C6643" s="1" t="n">
        <v>46114</v>
      </c>
      <c r="D6643" t="inlineStr">
        <is>
          <t>DALARNAS LÄN</t>
        </is>
      </c>
      <c r="E6643" t="inlineStr">
        <is>
          <t>HEDEMORA</t>
        </is>
      </c>
      <c r="F6643" t="inlineStr">
        <is>
          <t>Sveaskog</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17834-2023</t>
        </is>
      </c>
      <c r="B6644" s="1" t="n">
        <v>45037</v>
      </c>
      <c r="C6644" s="1" t="n">
        <v>46114</v>
      </c>
      <c r="D6644" t="inlineStr">
        <is>
          <t>DALARNAS LÄN</t>
        </is>
      </c>
      <c r="E6644" t="inlineStr">
        <is>
          <t>SMEDJEBACKEN</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62953-2025</t>
        </is>
      </c>
      <c r="B6645" s="1" t="n">
        <v>46009.45252314815</v>
      </c>
      <c r="C6645" s="1" t="n">
        <v>46114</v>
      </c>
      <c r="D6645" t="inlineStr">
        <is>
          <t>DALARNAS LÄN</t>
        </is>
      </c>
      <c r="E6645" t="inlineStr">
        <is>
          <t>VANSBRO</t>
        </is>
      </c>
      <c r="G6645" t="n">
        <v>4.5</v>
      </c>
      <c r="H6645" t="n">
        <v>0</v>
      </c>
      <c r="I6645" t="n">
        <v>0</v>
      </c>
      <c r="J6645" t="n">
        <v>0</v>
      </c>
      <c r="K6645" t="n">
        <v>0</v>
      </c>
      <c r="L6645" t="n">
        <v>0</v>
      </c>
      <c r="M6645" t="n">
        <v>0</v>
      </c>
      <c r="N6645" t="n">
        <v>0</v>
      </c>
      <c r="O6645" t="n">
        <v>0</v>
      </c>
      <c r="P6645" t="n">
        <v>0</v>
      </c>
      <c r="Q6645" t="n">
        <v>0</v>
      </c>
      <c r="R6645" s="2" t="inlineStr"/>
    </row>
    <row r="6646" ht="15" customHeight="1">
      <c r="A6646" t="inlineStr">
        <is>
          <t>A 62971-2025</t>
        </is>
      </c>
      <c r="B6646" s="1" t="n">
        <v>46009.46511574074</v>
      </c>
      <c r="C6646" s="1" t="n">
        <v>46114</v>
      </c>
      <c r="D6646" t="inlineStr">
        <is>
          <t>DALARNAS LÄN</t>
        </is>
      </c>
      <c r="E6646" t="inlineStr">
        <is>
          <t>ORSA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62863-2025</t>
        </is>
      </c>
      <c r="B6647" s="1" t="n">
        <v>46008.78130787037</v>
      </c>
      <c r="C6647" s="1" t="n">
        <v>46114</v>
      </c>
      <c r="D6647" t="inlineStr">
        <is>
          <t>DALARNAS LÄN</t>
        </is>
      </c>
      <c r="E6647" t="inlineStr">
        <is>
          <t>LEKSAND</t>
        </is>
      </c>
      <c r="F6647" t="inlineStr">
        <is>
          <t>Bergvik skog väst AB</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62695-2025</t>
        </is>
      </c>
      <c r="B6648" s="1" t="n">
        <v>46008</v>
      </c>
      <c r="C6648" s="1" t="n">
        <v>46114</v>
      </c>
      <c r="D6648" t="inlineStr">
        <is>
          <t>DALARNAS LÄN</t>
        </is>
      </c>
      <c r="E6648" t="inlineStr">
        <is>
          <t>LUDVIKA</t>
        </is>
      </c>
      <c r="F6648" t="inlineStr">
        <is>
          <t>Bergvik skog väst AB</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63082-2025</t>
        </is>
      </c>
      <c r="B6649" s="1" t="n">
        <v>46009.67033564814</v>
      </c>
      <c r="C6649" s="1" t="n">
        <v>46114</v>
      </c>
      <c r="D6649" t="inlineStr">
        <is>
          <t>DALARNAS LÄN</t>
        </is>
      </c>
      <c r="E6649" t="inlineStr">
        <is>
          <t>SMEDJEBACKEN</t>
        </is>
      </c>
      <c r="G6649" t="n">
        <v>8.300000000000001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44880-2024</t>
        </is>
      </c>
      <c r="B6650" s="1" t="n">
        <v>45575.34820601852</v>
      </c>
      <c r="C6650" s="1" t="n">
        <v>46114</v>
      </c>
      <c r="D6650" t="inlineStr">
        <is>
          <t>DALARNAS LÄN</t>
        </is>
      </c>
      <c r="E6650" t="inlineStr">
        <is>
          <t>LUDVIKA</t>
        </is>
      </c>
      <c r="F6650" t="inlineStr">
        <is>
          <t>Bergvik skog väst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62693-2025</t>
        </is>
      </c>
      <c r="B6651" s="1" t="n">
        <v>46008.4846412037</v>
      </c>
      <c r="C6651" s="1" t="n">
        <v>46114</v>
      </c>
      <c r="D6651" t="inlineStr">
        <is>
          <t>DALARNAS LÄN</t>
        </is>
      </c>
      <c r="E6651" t="inlineStr">
        <is>
          <t>SMEDJEBACKEN</t>
        </is>
      </c>
      <c r="F6651" t="inlineStr">
        <is>
          <t>Bergvik skog väst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62706-2025</t>
        </is>
      </c>
      <c r="B6652" s="1" t="n">
        <v>46008</v>
      </c>
      <c r="C6652" s="1" t="n">
        <v>46114</v>
      </c>
      <c r="D6652" t="inlineStr">
        <is>
          <t>DALARNAS LÄN</t>
        </is>
      </c>
      <c r="E6652" t="inlineStr">
        <is>
          <t>LUDVIKA</t>
        </is>
      </c>
      <c r="F6652" t="inlineStr">
        <is>
          <t>Bergvik skog väst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62713-2025</t>
        </is>
      </c>
      <c r="B6653" s="1" t="n">
        <v>46008.51363425926</v>
      </c>
      <c r="C6653" s="1" t="n">
        <v>46114</v>
      </c>
      <c r="D6653" t="inlineStr">
        <is>
          <t>DALARNAS LÄN</t>
        </is>
      </c>
      <c r="E6653" t="inlineStr">
        <is>
          <t>SMEDJEBACKEN</t>
        </is>
      </c>
      <c r="F6653" t="inlineStr">
        <is>
          <t>Bergvik skog väst AB</t>
        </is>
      </c>
      <c r="G6653" t="n">
        <v>5</v>
      </c>
      <c r="H6653" t="n">
        <v>0</v>
      </c>
      <c r="I6653" t="n">
        <v>0</v>
      </c>
      <c r="J6653" t="n">
        <v>0</v>
      </c>
      <c r="K6653" t="n">
        <v>0</v>
      </c>
      <c r="L6653" t="n">
        <v>0</v>
      </c>
      <c r="M6653" t="n">
        <v>0</v>
      </c>
      <c r="N6653" t="n">
        <v>0</v>
      </c>
      <c r="O6653" t="n">
        <v>0</v>
      </c>
      <c r="P6653" t="n">
        <v>0</v>
      </c>
      <c r="Q6653" t="n">
        <v>0</v>
      </c>
      <c r="R6653" s="2" t="inlineStr"/>
    </row>
    <row r="6654" ht="15" customHeight="1">
      <c r="A6654" t="inlineStr">
        <is>
          <t>A 51920-2024</t>
        </is>
      </c>
      <c r="B6654" s="1" t="n">
        <v>45607.60989583333</v>
      </c>
      <c r="C6654" s="1" t="n">
        <v>46114</v>
      </c>
      <c r="D6654" t="inlineStr">
        <is>
          <t>DALARNAS LÄN</t>
        </is>
      </c>
      <c r="E6654" t="inlineStr">
        <is>
          <t>FALUN</t>
        </is>
      </c>
      <c r="F6654" t="inlineStr">
        <is>
          <t>Bergvik skog väst AB</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63107-2025</t>
        </is>
      </c>
      <c r="B6655" s="1" t="n">
        <v>46009.72113425926</v>
      </c>
      <c r="C6655" s="1" t="n">
        <v>46114</v>
      </c>
      <c r="D6655" t="inlineStr">
        <is>
          <t>DALARNAS LÄN</t>
        </is>
      </c>
      <c r="E6655" t="inlineStr">
        <is>
          <t>ÄLVDALEN</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47465-2025</t>
        </is>
      </c>
      <c r="B6656" s="1" t="n">
        <v>45930.66545138889</v>
      </c>
      <c r="C6656" s="1" t="n">
        <v>46114</v>
      </c>
      <c r="D6656" t="inlineStr">
        <is>
          <t>DALARNAS LÄN</t>
        </is>
      </c>
      <c r="E6656" t="inlineStr">
        <is>
          <t>SÄTER</t>
        </is>
      </c>
      <c r="G6656" t="n">
        <v>9.800000000000001</v>
      </c>
      <c r="H6656" t="n">
        <v>0</v>
      </c>
      <c r="I6656" t="n">
        <v>0</v>
      </c>
      <c r="J6656" t="n">
        <v>0</v>
      </c>
      <c r="K6656" t="n">
        <v>0</v>
      </c>
      <c r="L6656" t="n">
        <v>0</v>
      </c>
      <c r="M6656" t="n">
        <v>0</v>
      </c>
      <c r="N6656" t="n">
        <v>0</v>
      </c>
      <c r="O6656" t="n">
        <v>0</v>
      </c>
      <c r="P6656" t="n">
        <v>0</v>
      </c>
      <c r="Q6656" t="n">
        <v>0</v>
      </c>
      <c r="R6656" s="2" t="inlineStr"/>
    </row>
    <row r="6657" ht="15" customHeight="1">
      <c r="A6657" t="inlineStr">
        <is>
          <t>A 51965-2024</t>
        </is>
      </c>
      <c r="B6657" s="1" t="n">
        <v>45607.65123842593</v>
      </c>
      <c r="C6657" s="1" t="n">
        <v>46114</v>
      </c>
      <c r="D6657" t="inlineStr">
        <is>
          <t>DALARNAS LÄN</t>
        </is>
      </c>
      <c r="E6657" t="inlineStr">
        <is>
          <t>MORA</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59478-2024</t>
        </is>
      </c>
      <c r="B6658" s="1" t="n">
        <v>45638.52181712963</v>
      </c>
      <c r="C6658" s="1" t="n">
        <v>46114</v>
      </c>
      <c r="D6658" t="inlineStr">
        <is>
          <t>DALARNAS LÄN</t>
        </is>
      </c>
      <c r="E6658" t="inlineStr">
        <is>
          <t>ÄLVDALEN</t>
        </is>
      </c>
      <c r="F6658" t="inlineStr">
        <is>
          <t>Allmännings- och besparingsskogar</t>
        </is>
      </c>
      <c r="G6658" t="n">
        <v>6.9</v>
      </c>
      <c r="H6658" t="n">
        <v>0</v>
      </c>
      <c r="I6658" t="n">
        <v>0</v>
      </c>
      <c r="J6658" t="n">
        <v>0</v>
      </c>
      <c r="K6658" t="n">
        <v>0</v>
      </c>
      <c r="L6658" t="n">
        <v>0</v>
      </c>
      <c r="M6658" t="n">
        <v>0</v>
      </c>
      <c r="N6658" t="n">
        <v>0</v>
      </c>
      <c r="O6658" t="n">
        <v>0</v>
      </c>
      <c r="P6658" t="n">
        <v>0</v>
      </c>
      <c r="Q6658" t="n">
        <v>0</v>
      </c>
      <c r="R6658" s="2" t="inlineStr"/>
    </row>
    <row r="6659" ht="15" customHeight="1">
      <c r="A6659" t="inlineStr">
        <is>
          <t>A 62778-2025</t>
        </is>
      </c>
      <c r="B6659" s="1" t="n">
        <v>46008.61351851852</v>
      </c>
      <c r="C6659" s="1" t="n">
        <v>46114</v>
      </c>
      <c r="D6659" t="inlineStr">
        <is>
          <t>DALARNAS LÄN</t>
        </is>
      </c>
      <c r="E6659" t="inlineStr">
        <is>
          <t>ORSA</t>
        </is>
      </c>
      <c r="G6659" t="n">
        <v>4.2</v>
      </c>
      <c r="H6659" t="n">
        <v>0</v>
      </c>
      <c r="I6659" t="n">
        <v>0</v>
      </c>
      <c r="J6659" t="n">
        <v>0</v>
      </c>
      <c r="K6659" t="n">
        <v>0</v>
      </c>
      <c r="L6659" t="n">
        <v>0</v>
      </c>
      <c r="M6659" t="n">
        <v>0</v>
      </c>
      <c r="N6659" t="n">
        <v>0</v>
      </c>
      <c r="O6659" t="n">
        <v>0</v>
      </c>
      <c r="P6659" t="n">
        <v>0</v>
      </c>
      <c r="Q6659" t="n">
        <v>0</v>
      </c>
      <c r="R6659" s="2" t="inlineStr"/>
    </row>
    <row r="6660" ht="15" customHeight="1">
      <c r="A6660" t="inlineStr">
        <is>
          <t>A 62875-2025</t>
        </is>
      </c>
      <c r="B6660" s="1" t="n">
        <v>46008.87181712963</v>
      </c>
      <c r="C6660" s="1" t="n">
        <v>46114</v>
      </c>
      <c r="D6660" t="inlineStr">
        <is>
          <t>DALARNAS LÄN</t>
        </is>
      </c>
      <c r="E6660" t="inlineStr">
        <is>
          <t>SMEDJEBACKEN</t>
        </is>
      </c>
      <c r="F6660" t="inlineStr">
        <is>
          <t>Övriga Aktiebolag</t>
        </is>
      </c>
      <c r="G6660" t="n">
        <v>4.6</v>
      </c>
      <c r="H6660" t="n">
        <v>0</v>
      </c>
      <c r="I6660" t="n">
        <v>0</v>
      </c>
      <c r="J6660" t="n">
        <v>0</v>
      </c>
      <c r="K6660" t="n">
        <v>0</v>
      </c>
      <c r="L6660" t="n">
        <v>0</v>
      </c>
      <c r="M6660" t="n">
        <v>0</v>
      </c>
      <c r="N6660" t="n">
        <v>0</v>
      </c>
      <c r="O6660" t="n">
        <v>0</v>
      </c>
      <c r="P6660" t="n">
        <v>0</v>
      </c>
      <c r="Q6660" t="n">
        <v>0</v>
      </c>
      <c r="R6660" s="2" t="inlineStr"/>
    </row>
    <row r="6661" ht="15" customHeight="1">
      <c r="A6661" t="inlineStr">
        <is>
          <t>A 62930-2025</t>
        </is>
      </c>
      <c r="B6661" s="1" t="n">
        <v>46009</v>
      </c>
      <c r="C6661" s="1" t="n">
        <v>46114</v>
      </c>
      <c r="D6661" t="inlineStr">
        <is>
          <t>DALARNAS LÄN</t>
        </is>
      </c>
      <c r="E6661" t="inlineStr">
        <is>
          <t>LUDVIKA</t>
        </is>
      </c>
      <c r="F6661" t="inlineStr">
        <is>
          <t>Bergvik skog väst AB</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36891-2024</t>
        </is>
      </c>
      <c r="B6662" s="1" t="n">
        <v>45538.61</v>
      </c>
      <c r="C6662" s="1" t="n">
        <v>46114</v>
      </c>
      <c r="D6662" t="inlineStr">
        <is>
          <t>DALARNAS LÄN</t>
        </is>
      </c>
      <c r="E6662" t="inlineStr">
        <is>
          <t>GAGNEF</t>
        </is>
      </c>
      <c r="F6662" t="inlineStr">
        <is>
          <t>Bergvik skog väst AB</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62808-2025</t>
        </is>
      </c>
      <c r="B6663" s="1" t="n">
        <v>46008.64555555556</v>
      </c>
      <c r="C6663" s="1" t="n">
        <v>46114</v>
      </c>
      <c r="D6663" t="inlineStr">
        <is>
          <t>DALARNAS LÄN</t>
        </is>
      </c>
      <c r="E6663" t="inlineStr">
        <is>
          <t>ORSA</t>
        </is>
      </c>
      <c r="G6663" t="n">
        <v>4.4</v>
      </c>
      <c r="H6663" t="n">
        <v>0</v>
      </c>
      <c r="I6663" t="n">
        <v>0</v>
      </c>
      <c r="J6663" t="n">
        <v>0</v>
      </c>
      <c r="K6663" t="n">
        <v>0</v>
      </c>
      <c r="L6663" t="n">
        <v>0</v>
      </c>
      <c r="M6663" t="n">
        <v>0</v>
      </c>
      <c r="N6663" t="n">
        <v>0</v>
      </c>
      <c r="O6663" t="n">
        <v>0</v>
      </c>
      <c r="P6663" t="n">
        <v>0</v>
      </c>
      <c r="Q6663" t="n">
        <v>0</v>
      </c>
      <c r="R6663" s="2" t="inlineStr"/>
    </row>
    <row r="6664" ht="15" customHeight="1">
      <c r="A6664" t="inlineStr">
        <is>
          <t>A 37408-2024</t>
        </is>
      </c>
      <c r="B6664" s="1" t="n">
        <v>45540.61754629629</v>
      </c>
      <c r="C6664" s="1" t="n">
        <v>46114</v>
      </c>
      <c r="D6664" t="inlineStr">
        <is>
          <t>DALARNAS LÄN</t>
        </is>
      </c>
      <c r="E6664" t="inlineStr">
        <is>
          <t>SMEDJEBACKEN</t>
        </is>
      </c>
      <c r="G6664" t="n">
        <v>7.6</v>
      </c>
      <c r="H6664" t="n">
        <v>0</v>
      </c>
      <c r="I6664" t="n">
        <v>0</v>
      </c>
      <c r="J6664" t="n">
        <v>0</v>
      </c>
      <c r="K6664" t="n">
        <v>0</v>
      </c>
      <c r="L6664" t="n">
        <v>0</v>
      </c>
      <c r="M6664" t="n">
        <v>0</v>
      </c>
      <c r="N6664" t="n">
        <v>0</v>
      </c>
      <c r="O6664" t="n">
        <v>0</v>
      </c>
      <c r="P6664" t="n">
        <v>0</v>
      </c>
      <c r="Q6664" t="n">
        <v>0</v>
      </c>
      <c r="R6664" s="2" t="inlineStr"/>
    </row>
    <row r="6665" ht="15" customHeight="1">
      <c r="A6665" t="inlineStr">
        <is>
          <t>A 55633-2021</t>
        </is>
      </c>
      <c r="B6665" s="1" t="n">
        <v>44476</v>
      </c>
      <c r="C6665" s="1" t="n">
        <v>46114</v>
      </c>
      <c r="D6665" t="inlineStr">
        <is>
          <t>DALARNAS LÄN</t>
        </is>
      </c>
      <c r="E6665" t="inlineStr">
        <is>
          <t>LUDVIKA</t>
        </is>
      </c>
      <c r="F6665" t="inlineStr">
        <is>
          <t>Övriga Aktiebolag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62830-2025</t>
        </is>
      </c>
      <c r="B6666" s="1" t="n">
        <v>46008.67211805555</v>
      </c>
      <c r="C6666" s="1" t="n">
        <v>46114</v>
      </c>
      <c r="D6666" t="inlineStr">
        <is>
          <t>DALARNAS LÄN</t>
        </is>
      </c>
      <c r="E6666" t="inlineStr">
        <is>
          <t>ORSA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37449-2024</t>
        </is>
      </c>
      <c r="B6667" s="1" t="n">
        <v>45540</v>
      </c>
      <c r="C6667" s="1" t="n">
        <v>46114</v>
      </c>
      <c r="D6667" t="inlineStr">
        <is>
          <t>DALARNAS LÄN</t>
        </is>
      </c>
      <c r="E6667" t="inlineStr">
        <is>
          <t>HEDEMORA</t>
        </is>
      </c>
      <c r="F6667" t="inlineStr">
        <is>
          <t>Bergvik skog väst AB</t>
        </is>
      </c>
      <c r="G6667" t="n">
        <v>10.1</v>
      </c>
      <c r="H6667" t="n">
        <v>0</v>
      </c>
      <c r="I6667" t="n">
        <v>0</v>
      </c>
      <c r="J6667" t="n">
        <v>0</v>
      </c>
      <c r="K6667" t="n">
        <v>0</v>
      </c>
      <c r="L6667" t="n">
        <v>0</v>
      </c>
      <c r="M6667" t="n">
        <v>0</v>
      </c>
      <c r="N6667" t="n">
        <v>0</v>
      </c>
      <c r="O6667" t="n">
        <v>0</v>
      </c>
      <c r="P6667" t="n">
        <v>0</v>
      </c>
      <c r="Q6667" t="n">
        <v>0</v>
      </c>
      <c r="R6667" s="2" t="inlineStr"/>
    </row>
    <row r="6668" ht="15" customHeight="1">
      <c r="A6668" t="inlineStr">
        <is>
          <t>A 62945-2025</t>
        </is>
      </c>
      <c r="B6668" s="1" t="n">
        <v>46009.44271990741</v>
      </c>
      <c r="C6668" s="1" t="n">
        <v>46114</v>
      </c>
      <c r="D6668" t="inlineStr">
        <is>
          <t>DALARNAS LÄN</t>
        </is>
      </c>
      <c r="E6668" t="inlineStr">
        <is>
          <t>LUDVIKA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771-2025</t>
        </is>
      </c>
      <c r="B6669" s="1" t="n">
        <v>45665.46518518519</v>
      </c>
      <c r="C6669" s="1" t="n">
        <v>46114</v>
      </c>
      <c r="D6669" t="inlineStr">
        <is>
          <t>DALARNAS LÄN</t>
        </is>
      </c>
      <c r="E6669" t="inlineStr">
        <is>
          <t>ÄLVDALEN</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54834-2024</t>
        </is>
      </c>
      <c r="B6670" s="1" t="n">
        <v>45618.55950231481</v>
      </c>
      <c r="C6670" s="1" t="n">
        <v>46114</v>
      </c>
      <c r="D6670" t="inlineStr">
        <is>
          <t>DALARNAS LÄN</t>
        </is>
      </c>
      <c r="E6670" t="inlineStr">
        <is>
          <t>FALUN</t>
        </is>
      </c>
      <c r="F6670" t="inlineStr">
        <is>
          <t>Bergvik skog väst AB</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62959-2025</t>
        </is>
      </c>
      <c r="B6671" s="1" t="n">
        <v>46009.45792824074</v>
      </c>
      <c r="C6671" s="1" t="n">
        <v>46114</v>
      </c>
      <c r="D6671" t="inlineStr">
        <is>
          <t>DALARNAS LÄN</t>
        </is>
      </c>
      <c r="E6671" t="inlineStr">
        <is>
          <t>MORA</t>
        </is>
      </c>
      <c r="G6671" t="n">
        <v>2.6</v>
      </c>
      <c r="H6671" t="n">
        <v>0</v>
      </c>
      <c r="I6671" t="n">
        <v>0</v>
      </c>
      <c r="J6671" t="n">
        <v>0</v>
      </c>
      <c r="K6671" t="n">
        <v>0</v>
      </c>
      <c r="L6671" t="n">
        <v>0</v>
      </c>
      <c r="M6671" t="n">
        <v>0</v>
      </c>
      <c r="N6671" t="n">
        <v>0</v>
      </c>
      <c r="O6671" t="n">
        <v>0</v>
      </c>
      <c r="P6671" t="n">
        <v>0</v>
      </c>
      <c r="Q6671" t="n">
        <v>0</v>
      </c>
      <c r="R6671" s="2" t="inlineStr"/>
    </row>
    <row r="6672" ht="15" customHeight="1">
      <c r="A6672" t="inlineStr">
        <is>
          <t>A 54842-2024</t>
        </is>
      </c>
      <c r="B6672" s="1" t="n">
        <v>45618.57092592592</v>
      </c>
      <c r="C6672" s="1" t="n">
        <v>46114</v>
      </c>
      <c r="D6672" t="inlineStr">
        <is>
          <t>DALARNAS LÄN</t>
        </is>
      </c>
      <c r="E6672" t="inlineStr">
        <is>
          <t>MALUNG-SÄLEN</t>
        </is>
      </c>
      <c r="G6672" t="n">
        <v>2.7</v>
      </c>
      <c r="H6672" t="n">
        <v>0</v>
      </c>
      <c r="I6672" t="n">
        <v>0</v>
      </c>
      <c r="J6672" t="n">
        <v>0</v>
      </c>
      <c r="K6672" t="n">
        <v>0</v>
      </c>
      <c r="L6672" t="n">
        <v>0</v>
      </c>
      <c r="M6672" t="n">
        <v>0</v>
      </c>
      <c r="N6672" t="n">
        <v>0</v>
      </c>
      <c r="O6672" t="n">
        <v>0</v>
      </c>
      <c r="P6672" t="n">
        <v>0</v>
      </c>
      <c r="Q6672" t="n">
        <v>0</v>
      </c>
      <c r="R6672" s="2" t="inlineStr"/>
    </row>
    <row r="6673" ht="15" customHeight="1">
      <c r="A6673" t="inlineStr">
        <is>
          <t>A 62965-2025</t>
        </is>
      </c>
      <c r="B6673" s="1" t="n">
        <v>46009.46129629629</v>
      </c>
      <c r="C6673" s="1" t="n">
        <v>46114</v>
      </c>
      <c r="D6673" t="inlineStr">
        <is>
          <t>DALARNAS LÄN</t>
        </is>
      </c>
      <c r="E6673" t="inlineStr">
        <is>
          <t>MORA</t>
        </is>
      </c>
      <c r="G6673" t="n">
        <v>9.1</v>
      </c>
      <c r="H6673" t="n">
        <v>0</v>
      </c>
      <c r="I6673" t="n">
        <v>0</v>
      </c>
      <c r="J6673" t="n">
        <v>0</v>
      </c>
      <c r="K6673" t="n">
        <v>0</v>
      </c>
      <c r="L6673" t="n">
        <v>0</v>
      </c>
      <c r="M6673" t="n">
        <v>0</v>
      </c>
      <c r="N6673" t="n">
        <v>0</v>
      </c>
      <c r="O6673" t="n">
        <v>0</v>
      </c>
      <c r="P6673" t="n">
        <v>0</v>
      </c>
      <c r="Q6673" t="n">
        <v>0</v>
      </c>
      <c r="R6673" s="2" t="inlineStr"/>
    </row>
    <row r="6674" ht="15" customHeight="1">
      <c r="A6674" t="inlineStr">
        <is>
          <t>A 63111-2025</t>
        </is>
      </c>
      <c r="B6674" s="1" t="n">
        <v>46009</v>
      </c>
      <c r="C6674" s="1" t="n">
        <v>46114</v>
      </c>
      <c r="D6674" t="inlineStr">
        <is>
          <t>DALARNAS LÄN</t>
        </is>
      </c>
      <c r="E6674" t="inlineStr">
        <is>
          <t>RÄTTVIK</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62773-2025</t>
        </is>
      </c>
      <c r="B6675" s="1" t="n">
        <v>46008.60548611111</v>
      </c>
      <c r="C6675" s="1" t="n">
        <v>46114</v>
      </c>
      <c r="D6675" t="inlineStr">
        <is>
          <t>DALARNAS LÄN</t>
        </is>
      </c>
      <c r="E6675" t="inlineStr">
        <is>
          <t>ORSA</t>
        </is>
      </c>
      <c r="G6675" t="n">
        <v>3.9</v>
      </c>
      <c r="H6675" t="n">
        <v>0</v>
      </c>
      <c r="I6675" t="n">
        <v>0</v>
      </c>
      <c r="J6675" t="n">
        <v>0</v>
      </c>
      <c r="K6675" t="n">
        <v>0</v>
      </c>
      <c r="L6675" t="n">
        <v>0</v>
      </c>
      <c r="M6675" t="n">
        <v>0</v>
      </c>
      <c r="N6675" t="n">
        <v>0</v>
      </c>
      <c r="O6675" t="n">
        <v>0</v>
      </c>
      <c r="P6675" t="n">
        <v>0</v>
      </c>
      <c r="Q6675" t="n">
        <v>0</v>
      </c>
      <c r="R6675" s="2" t="inlineStr"/>
    </row>
    <row r="6676" ht="15" customHeight="1">
      <c r="A6676" t="inlineStr">
        <is>
          <t>A 6791-2025</t>
        </is>
      </c>
      <c r="B6676" s="1" t="n">
        <v>45700.66315972222</v>
      </c>
      <c r="C6676" s="1" t="n">
        <v>46114</v>
      </c>
      <c r="D6676" t="inlineStr">
        <is>
          <t>DALARNAS LÄN</t>
        </is>
      </c>
      <c r="E6676" t="inlineStr">
        <is>
          <t>ÄLVDALEN</t>
        </is>
      </c>
      <c r="G6676" t="n">
        <v>30.2</v>
      </c>
      <c r="H6676" t="n">
        <v>0</v>
      </c>
      <c r="I6676" t="n">
        <v>0</v>
      </c>
      <c r="J6676" t="n">
        <v>0</v>
      </c>
      <c r="K6676" t="n">
        <v>0</v>
      </c>
      <c r="L6676" t="n">
        <v>0</v>
      </c>
      <c r="M6676" t="n">
        <v>0</v>
      </c>
      <c r="N6676" t="n">
        <v>0</v>
      </c>
      <c r="O6676" t="n">
        <v>0</v>
      </c>
      <c r="P6676" t="n">
        <v>0</v>
      </c>
      <c r="Q6676" t="n">
        <v>0</v>
      </c>
      <c r="R6676" s="2" t="inlineStr"/>
    </row>
    <row r="6677" ht="15" customHeight="1">
      <c r="A6677" t="inlineStr">
        <is>
          <t>A 19309-2024</t>
        </is>
      </c>
      <c r="B6677" s="1" t="n">
        <v>45428</v>
      </c>
      <c r="C6677" s="1" t="n">
        <v>46114</v>
      </c>
      <c r="D6677" t="inlineStr">
        <is>
          <t>DALARNAS LÄN</t>
        </is>
      </c>
      <c r="E6677" t="inlineStr">
        <is>
          <t>FALUN</t>
        </is>
      </c>
      <c r="F6677" t="inlineStr">
        <is>
          <t>Bergvik skog väst AB</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19310-2024</t>
        </is>
      </c>
      <c r="B6678" s="1" t="n">
        <v>45428</v>
      </c>
      <c r="C6678" s="1" t="n">
        <v>46114</v>
      </c>
      <c r="D6678" t="inlineStr">
        <is>
          <t>DALARNAS LÄN</t>
        </is>
      </c>
      <c r="E6678" t="inlineStr">
        <is>
          <t>FALUN</t>
        </is>
      </c>
      <c r="F6678" t="inlineStr">
        <is>
          <t>Bergvik skog väst AB</t>
        </is>
      </c>
      <c r="G6678" t="n">
        <v>1.3</v>
      </c>
      <c r="H6678" t="n">
        <v>0</v>
      </c>
      <c r="I6678" t="n">
        <v>0</v>
      </c>
      <c r="J6678" t="n">
        <v>0</v>
      </c>
      <c r="K6678" t="n">
        <v>0</v>
      </c>
      <c r="L6678" t="n">
        <v>0</v>
      </c>
      <c r="M6678" t="n">
        <v>0</v>
      </c>
      <c r="N6678" t="n">
        <v>0</v>
      </c>
      <c r="O6678" t="n">
        <v>0</v>
      </c>
      <c r="P6678" t="n">
        <v>0</v>
      </c>
      <c r="Q6678" t="n">
        <v>0</v>
      </c>
      <c r="R6678" s="2" t="inlineStr"/>
    </row>
    <row r="6679" ht="15" customHeight="1">
      <c r="A6679" t="inlineStr">
        <is>
          <t>A 19315-2024</t>
        </is>
      </c>
      <c r="B6679" s="1" t="n">
        <v>45428</v>
      </c>
      <c r="C6679" s="1" t="n">
        <v>46114</v>
      </c>
      <c r="D6679" t="inlineStr">
        <is>
          <t>DALARNAS LÄN</t>
        </is>
      </c>
      <c r="E6679" t="inlineStr">
        <is>
          <t>MALUNG-SÄLEN</t>
        </is>
      </c>
      <c r="G6679" t="n">
        <v>7.8</v>
      </c>
      <c r="H6679" t="n">
        <v>0</v>
      </c>
      <c r="I6679" t="n">
        <v>0</v>
      </c>
      <c r="J6679" t="n">
        <v>0</v>
      </c>
      <c r="K6679" t="n">
        <v>0</v>
      </c>
      <c r="L6679" t="n">
        <v>0</v>
      </c>
      <c r="M6679" t="n">
        <v>0</v>
      </c>
      <c r="N6679" t="n">
        <v>0</v>
      </c>
      <c r="O6679" t="n">
        <v>0</v>
      </c>
      <c r="P6679" t="n">
        <v>0</v>
      </c>
      <c r="Q6679" t="n">
        <v>0</v>
      </c>
      <c r="R6679" s="2" t="inlineStr"/>
    </row>
    <row r="6680" ht="15" customHeight="1">
      <c r="A6680" t="inlineStr">
        <is>
          <t>A 63030-2025</t>
        </is>
      </c>
      <c r="B6680" s="1" t="n">
        <v>46009.60133101852</v>
      </c>
      <c r="C6680" s="1" t="n">
        <v>46114</v>
      </c>
      <c r="D6680" t="inlineStr">
        <is>
          <t>DALARNAS LÄN</t>
        </is>
      </c>
      <c r="E6680" t="inlineStr">
        <is>
          <t>MORA</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62845-2025</t>
        </is>
      </c>
      <c r="B6681" s="1" t="n">
        <v>46008.69476851852</v>
      </c>
      <c r="C6681" s="1" t="n">
        <v>46114</v>
      </c>
      <c r="D6681" t="inlineStr">
        <is>
          <t>DALARNAS LÄN</t>
        </is>
      </c>
      <c r="E6681" t="inlineStr">
        <is>
          <t>LUDVIKA</t>
        </is>
      </c>
      <c r="F6681" t="inlineStr">
        <is>
          <t>Bergvik skog väst AB</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64516-2023</t>
        </is>
      </c>
      <c r="B6682" s="1" t="n">
        <v>45280</v>
      </c>
      <c r="C6682" s="1" t="n">
        <v>46114</v>
      </c>
      <c r="D6682" t="inlineStr">
        <is>
          <t>DALARNAS LÄN</t>
        </is>
      </c>
      <c r="E6682" t="inlineStr">
        <is>
          <t>LEKSAND</t>
        </is>
      </c>
      <c r="G6682" t="n">
        <v>4.4</v>
      </c>
      <c r="H6682" t="n">
        <v>0</v>
      </c>
      <c r="I6682" t="n">
        <v>0</v>
      </c>
      <c r="J6682" t="n">
        <v>0</v>
      </c>
      <c r="K6682" t="n">
        <v>0</v>
      </c>
      <c r="L6682" t="n">
        <v>0</v>
      </c>
      <c r="M6682" t="n">
        <v>0</v>
      </c>
      <c r="N6682" t="n">
        <v>0</v>
      </c>
      <c r="O6682" t="n">
        <v>0</v>
      </c>
      <c r="P6682" t="n">
        <v>0</v>
      </c>
      <c r="Q6682" t="n">
        <v>0</v>
      </c>
      <c r="R6682" s="2" t="inlineStr"/>
    </row>
    <row r="6683" ht="15" customHeight="1">
      <c r="A6683" t="inlineStr">
        <is>
          <t>A 62688-2025</t>
        </is>
      </c>
      <c r="B6683" s="1" t="n">
        <v>46008</v>
      </c>
      <c r="C6683" s="1" t="n">
        <v>46114</v>
      </c>
      <c r="D6683" t="inlineStr">
        <is>
          <t>DALARNAS LÄN</t>
        </is>
      </c>
      <c r="E6683" t="inlineStr">
        <is>
          <t>LUDVIKA</t>
        </is>
      </c>
      <c r="F6683" t="inlineStr">
        <is>
          <t>Bergvik skog väst AB</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5763-2026</t>
        </is>
      </c>
      <c r="B6684" s="1" t="n">
        <v>46051.63380787037</v>
      </c>
      <c r="C6684" s="1" t="n">
        <v>46114</v>
      </c>
      <c r="D6684" t="inlineStr">
        <is>
          <t>DALARNAS LÄN</t>
        </is>
      </c>
      <c r="E6684" t="inlineStr">
        <is>
          <t>MORA</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5760-2026</t>
        </is>
      </c>
      <c r="B6685" s="1" t="n">
        <v>46051.62545138889</v>
      </c>
      <c r="C6685" s="1" t="n">
        <v>46114</v>
      </c>
      <c r="D6685" t="inlineStr">
        <is>
          <t>DALARNAS LÄN</t>
        </is>
      </c>
      <c r="E6685" t="inlineStr">
        <is>
          <t>FALUN</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19851-2023</t>
        </is>
      </c>
      <c r="B6686" s="1" t="n">
        <v>45053</v>
      </c>
      <c r="C6686" s="1" t="n">
        <v>46114</v>
      </c>
      <c r="D6686" t="inlineStr">
        <is>
          <t>DALARNAS LÄN</t>
        </is>
      </c>
      <c r="E6686" t="inlineStr">
        <is>
          <t>MALUNG-SÄLEN</t>
        </is>
      </c>
      <c r="G6686" t="n">
        <v>12.6</v>
      </c>
      <c r="H6686" t="n">
        <v>0</v>
      </c>
      <c r="I6686" t="n">
        <v>0</v>
      </c>
      <c r="J6686" t="n">
        <v>0</v>
      </c>
      <c r="K6686" t="n">
        <v>0</v>
      </c>
      <c r="L6686" t="n">
        <v>0</v>
      </c>
      <c r="M6686" t="n">
        <v>0</v>
      </c>
      <c r="N6686" t="n">
        <v>0</v>
      </c>
      <c r="O6686" t="n">
        <v>0</v>
      </c>
      <c r="P6686" t="n">
        <v>0</v>
      </c>
      <c r="Q6686" t="n">
        <v>0</v>
      </c>
      <c r="R6686" s="2" t="inlineStr"/>
    </row>
    <row r="6687" ht="15" customHeight="1">
      <c r="A6687" t="inlineStr">
        <is>
          <t>A 62619-2025</t>
        </is>
      </c>
      <c r="B6687" s="1" t="n">
        <v>46008.33967592593</v>
      </c>
      <c r="C6687" s="1" t="n">
        <v>46114</v>
      </c>
      <c r="D6687" t="inlineStr">
        <is>
          <t>DALARNAS LÄN</t>
        </is>
      </c>
      <c r="E6687" t="inlineStr">
        <is>
          <t>MORA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19974-2023</t>
        </is>
      </c>
      <c r="B6688" s="1" t="n">
        <v>45054</v>
      </c>
      <c r="C6688" s="1" t="n">
        <v>46114</v>
      </c>
      <c r="D6688" t="inlineStr">
        <is>
          <t>DALARNAS LÄN</t>
        </is>
      </c>
      <c r="E6688" t="inlineStr">
        <is>
          <t>MALUNG-SÄLEN</t>
        </is>
      </c>
      <c r="F6688" t="inlineStr">
        <is>
          <t>Bergvik skog öst AB</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54874-2023</t>
        </is>
      </c>
      <c r="B6689" s="1" t="n">
        <v>45236</v>
      </c>
      <c r="C6689" s="1" t="n">
        <v>46114</v>
      </c>
      <c r="D6689" t="inlineStr">
        <is>
          <t>DALARNAS LÄN</t>
        </is>
      </c>
      <c r="E6689" t="inlineStr">
        <is>
          <t>MALUNG-SÄLEN</t>
        </is>
      </c>
      <c r="F6689" t="inlineStr">
        <is>
          <t>Kommuner</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44034-2023</t>
        </is>
      </c>
      <c r="B6690" s="1" t="n">
        <v>45188</v>
      </c>
      <c r="C6690" s="1" t="n">
        <v>46114</v>
      </c>
      <c r="D6690" t="inlineStr">
        <is>
          <t>DALARNAS LÄN</t>
        </is>
      </c>
      <c r="E6690" t="inlineStr">
        <is>
          <t>SMEDJEBACKEN</t>
        </is>
      </c>
      <c r="F6690" t="inlineStr">
        <is>
          <t>Sveaskog</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62777-2025</t>
        </is>
      </c>
      <c r="B6691" s="1" t="n">
        <v>46008.60934027778</v>
      </c>
      <c r="C6691" s="1" t="n">
        <v>46114</v>
      </c>
      <c r="D6691" t="inlineStr">
        <is>
          <t>DALARNAS LÄN</t>
        </is>
      </c>
      <c r="E6691" t="inlineStr">
        <is>
          <t>MALUNG-SÄLEN</t>
        </is>
      </c>
      <c r="F6691" t="inlineStr">
        <is>
          <t>Allmännings- och besparingsskogar</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45788-2021</t>
        </is>
      </c>
      <c r="B6692" s="1" t="n">
        <v>44441</v>
      </c>
      <c r="C6692" s="1" t="n">
        <v>46114</v>
      </c>
      <c r="D6692" t="inlineStr">
        <is>
          <t>DALARNAS LÄN</t>
        </is>
      </c>
      <c r="E6692" t="inlineStr">
        <is>
          <t>LEKSAND</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36661-2023</t>
        </is>
      </c>
      <c r="B6693" s="1" t="n">
        <v>45153</v>
      </c>
      <c r="C6693" s="1" t="n">
        <v>46114</v>
      </c>
      <c r="D6693" t="inlineStr">
        <is>
          <t>DALARNAS LÄN</t>
        </is>
      </c>
      <c r="E6693" t="inlineStr">
        <is>
          <t>SMEDJEBACKEN</t>
        </is>
      </c>
      <c r="F6693" t="inlineStr">
        <is>
          <t>Sveaskog</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62838-2025</t>
        </is>
      </c>
      <c r="B6694" s="1" t="n">
        <v>46008</v>
      </c>
      <c r="C6694" s="1" t="n">
        <v>46114</v>
      </c>
      <c r="D6694" t="inlineStr">
        <is>
          <t>DALARNAS LÄN</t>
        </is>
      </c>
      <c r="E6694" t="inlineStr">
        <is>
          <t>LUDVIKA</t>
        </is>
      </c>
      <c r="F6694" t="inlineStr">
        <is>
          <t>Bergvik skog väst AB</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62853-2025</t>
        </is>
      </c>
      <c r="B6695" s="1" t="n">
        <v>46008.72493055555</v>
      </c>
      <c r="C6695" s="1" t="n">
        <v>46114</v>
      </c>
      <c r="D6695" t="inlineStr">
        <is>
          <t>DALARNAS LÄN</t>
        </is>
      </c>
      <c r="E6695" t="inlineStr">
        <is>
          <t>MORA</t>
        </is>
      </c>
      <c r="G6695" t="n">
        <v>9.300000000000001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46927-2024</t>
        </is>
      </c>
      <c r="B6696" s="1" t="n">
        <v>45584.69063657407</v>
      </c>
      <c r="C6696" s="1" t="n">
        <v>46114</v>
      </c>
      <c r="D6696" t="inlineStr">
        <is>
          <t>DALARNAS LÄN</t>
        </is>
      </c>
      <c r="E6696" t="inlineStr">
        <is>
          <t>ÄLVDALEN</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54181-2025</t>
        </is>
      </c>
      <c r="B6697" s="1" t="n">
        <v>45964</v>
      </c>
      <c r="C6697" s="1" t="n">
        <v>46114</v>
      </c>
      <c r="D6697" t="inlineStr">
        <is>
          <t>DALARNAS LÄN</t>
        </is>
      </c>
      <c r="E6697" t="inlineStr">
        <is>
          <t>GAGNEF</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63029-2025</t>
        </is>
      </c>
      <c r="B6698" s="1" t="n">
        <v>46009.59729166667</v>
      </c>
      <c r="C6698" s="1" t="n">
        <v>46114</v>
      </c>
      <c r="D6698" t="inlineStr">
        <is>
          <t>DALARNAS LÄN</t>
        </is>
      </c>
      <c r="E6698" t="inlineStr">
        <is>
          <t>MALUNG-SÄLEN</t>
        </is>
      </c>
      <c r="G6698" t="n">
        <v>6.8</v>
      </c>
      <c r="H6698" t="n">
        <v>0</v>
      </c>
      <c r="I6698" t="n">
        <v>0</v>
      </c>
      <c r="J6698" t="n">
        <v>0</v>
      </c>
      <c r="K6698" t="n">
        <v>0</v>
      </c>
      <c r="L6698" t="n">
        <v>0</v>
      </c>
      <c r="M6698" t="n">
        <v>0</v>
      </c>
      <c r="N6698" t="n">
        <v>0</v>
      </c>
      <c r="O6698" t="n">
        <v>0</v>
      </c>
      <c r="P6698" t="n">
        <v>0</v>
      </c>
      <c r="Q6698" t="n">
        <v>0</v>
      </c>
      <c r="R6698" s="2" t="inlineStr"/>
    </row>
    <row r="6699" ht="15" customHeight="1">
      <c r="A6699" t="inlineStr">
        <is>
          <t>A 70046-2021</t>
        </is>
      </c>
      <c r="B6699" s="1" t="n">
        <v>44533</v>
      </c>
      <c r="C6699" s="1" t="n">
        <v>46114</v>
      </c>
      <c r="D6699" t="inlineStr">
        <is>
          <t>DALARNAS LÄN</t>
        </is>
      </c>
      <c r="E6699" t="inlineStr">
        <is>
          <t>LUDVIKA</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54178-2025</t>
        </is>
      </c>
      <c r="B6700" s="1" t="n">
        <v>45964</v>
      </c>
      <c r="C6700" s="1" t="n">
        <v>46114</v>
      </c>
      <c r="D6700" t="inlineStr">
        <is>
          <t>DALARNAS LÄN</t>
        </is>
      </c>
      <c r="E6700" t="inlineStr">
        <is>
          <t>GAGNEF</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62799-2025</t>
        </is>
      </c>
      <c r="B6701" s="1" t="n">
        <v>46008.63861111111</v>
      </c>
      <c r="C6701" s="1" t="n">
        <v>46114</v>
      </c>
      <c r="D6701" t="inlineStr">
        <is>
          <t>DALARNAS LÄN</t>
        </is>
      </c>
      <c r="E6701" t="inlineStr">
        <is>
          <t>MALUNG-SÄLEN</t>
        </is>
      </c>
      <c r="F6701" t="inlineStr">
        <is>
          <t>Allmännings- och besparingsskogar</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62628-2025</t>
        </is>
      </c>
      <c r="B6702" s="1" t="n">
        <v>46008.35011574074</v>
      </c>
      <c r="C6702" s="1" t="n">
        <v>46114</v>
      </c>
      <c r="D6702" t="inlineStr">
        <is>
          <t>DALARNAS LÄN</t>
        </is>
      </c>
      <c r="E6702" t="inlineStr">
        <is>
          <t>MORA</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62792-2023</t>
        </is>
      </c>
      <c r="B6703" s="1" t="n">
        <v>45271</v>
      </c>
      <c r="C6703" s="1" t="n">
        <v>46114</v>
      </c>
      <c r="D6703" t="inlineStr">
        <is>
          <t>DALARNAS LÄN</t>
        </is>
      </c>
      <c r="E6703" t="inlineStr">
        <is>
          <t>MALUNG-SÄLEN</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62810-2025</t>
        </is>
      </c>
      <c r="B6704" s="1" t="n">
        <v>46008.64875</v>
      </c>
      <c r="C6704" s="1" t="n">
        <v>46114</v>
      </c>
      <c r="D6704" t="inlineStr">
        <is>
          <t>DALARNAS LÄN</t>
        </is>
      </c>
      <c r="E6704" t="inlineStr">
        <is>
          <t>ORSA</t>
        </is>
      </c>
      <c r="G6704" t="n">
        <v>0.9</v>
      </c>
      <c r="H6704" t="n">
        <v>0</v>
      </c>
      <c r="I6704" t="n">
        <v>0</v>
      </c>
      <c r="J6704" t="n">
        <v>0</v>
      </c>
      <c r="K6704" t="n">
        <v>0</v>
      </c>
      <c r="L6704" t="n">
        <v>0</v>
      </c>
      <c r="M6704" t="n">
        <v>0</v>
      </c>
      <c r="N6704" t="n">
        <v>0</v>
      </c>
      <c r="O6704" t="n">
        <v>0</v>
      </c>
      <c r="P6704" t="n">
        <v>0</v>
      </c>
      <c r="Q6704" t="n">
        <v>0</v>
      </c>
      <c r="R6704" s="2" t="inlineStr"/>
    </row>
    <row r="6705" ht="15" customHeight="1">
      <c r="A6705" t="inlineStr">
        <is>
          <t>A 62824-2025</t>
        </is>
      </c>
      <c r="B6705" s="1" t="n">
        <v>46008</v>
      </c>
      <c r="C6705" s="1" t="n">
        <v>46114</v>
      </c>
      <c r="D6705" t="inlineStr">
        <is>
          <t>DALARNAS LÄN</t>
        </is>
      </c>
      <c r="E6705" t="inlineStr">
        <is>
          <t>LUDVIKA</t>
        </is>
      </c>
      <c r="F6705" t="inlineStr">
        <is>
          <t>Bergvik skog väst AB</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62832-2025</t>
        </is>
      </c>
      <c r="B6706" s="1" t="n">
        <v>46008.67696759259</v>
      </c>
      <c r="C6706" s="1" t="n">
        <v>46114</v>
      </c>
      <c r="D6706" t="inlineStr">
        <is>
          <t>DALARNAS LÄN</t>
        </is>
      </c>
      <c r="E6706" t="inlineStr">
        <is>
          <t>ORSA</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62842-2025</t>
        </is>
      </c>
      <c r="B6707" s="1" t="n">
        <v>46008.69097222222</v>
      </c>
      <c r="C6707" s="1" t="n">
        <v>46114</v>
      </c>
      <c r="D6707" t="inlineStr">
        <is>
          <t>DALARNAS LÄN</t>
        </is>
      </c>
      <c r="E6707" t="inlineStr">
        <is>
          <t>LUDVIKA</t>
        </is>
      </c>
      <c r="F6707" t="inlineStr">
        <is>
          <t>Bergvik skog väst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26899-2024</t>
        </is>
      </c>
      <c r="B6708" s="1" t="n">
        <v>45470.68664351852</v>
      </c>
      <c r="C6708" s="1" t="n">
        <v>46114</v>
      </c>
      <c r="D6708" t="inlineStr">
        <is>
          <t>DALARNAS LÄN</t>
        </is>
      </c>
      <c r="E6708" t="inlineStr">
        <is>
          <t>SMEDJEBACKEN</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62626-2025</t>
        </is>
      </c>
      <c r="B6709" s="1" t="n">
        <v>46008.34541666666</v>
      </c>
      <c r="C6709" s="1" t="n">
        <v>46114</v>
      </c>
      <c r="D6709" t="inlineStr">
        <is>
          <t>DALARNAS LÄN</t>
        </is>
      </c>
      <c r="E6709" t="inlineStr">
        <is>
          <t>MORA</t>
        </is>
      </c>
      <c r="G6709" t="n">
        <v>6.7</v>
      </c>
      <c r="H6709" t="n">
        <v>0</v>
      </c>
      <c r="I6709" t="n">
        <v>0</v>
      </c>
      <c r="J6709" t="n">
        <v>0</v>
      </c>
      <c r="K6709" t="n">
        <v>0</v>
      </c>
      <c r="L6709" t="n">
        <v>0</v>
      </c>
      <c r="M6709" t="n">
        <v>0</v>
      </c>
      <c r="N6709" t="n">
        <v>0</v>
      </c>
      <c r="O6709" t="n">
        <v>0</v>
      </c>
      <c r="P6709" t="n">
        <v>0</v>
      </c>
      <c r="Q6709" t="n">
        <v>0</v>
      </c>
      <c r="R6709" s="2" t="inlineStr"/>
    </row>
    <row r="6710" ht="15" customHeight="1">
      <c r="A6710" t="inlineStr">
        <is>
          <t>A 62704-2025</t>
        </is>
      </c>
      <c r="B6710" s="1" t="n">
        <v>46008</v>
      </c>
      <c r="C6710" s="1" t="n">
        <v>46114</v>
      </c>
      <c r="D6710" t="inlineStr">
        <is>
          <t>DALARNAS LÄN</t>
        </is>
      </c>
      <c r="E6710" t="inlineStr">
        <is>
          <t>LUDVIKA</t>
        </is>
      </c>
      <c r="F6710" t="inlineStr">
        <is>
          <t>Bergvik skog väst AB</t>
        </is>
      </c>
      <c r="G6710" t="n">
        <v>0.5</v>
      </c>
      <c r="H6710" t="n">
        <v>0</v>
      </c>
      <c r="I6710" t="n">
        <v>0</v>
      </c>
      <c r="J6710" t="n">
        <v>0</v>
      </c>
      <c r="K6710" t="n">
        <v>0</v>
      </c>
      <c r="L6710" t="n">
        <v>0</v>
      </c>
      <c r="M6710" t="n">
        <v>0</v>
      </c>
      <c r="N6710" t="n">
        <v>0</v>
      </c>
      <c r="O6710" t="n">
        <v>0</v>
      </c>
      <c r="P6710" t="n">
        <v>0</v>
      </c>
      <c r="Q6710" t="n">
        <v>0</v>
      </c>
      <c r="R6710" s="2" t="inlineStr"/>
    </row>
    <row r="6711" ht="15" customHeight="1">
      <c r="A6711" t="inlineStr">
        <is>
          <t>A 52977-2022</t>
        </is>
      </c>
      <c r="B6711" s="1" t="n">
        <v>44875</v>
      </c>
      <c r="C6711" s="1" t="n">
        <v>46114</v>
      </c>
      <c r="D6711" t="inlineStr">
        <is>
          <t>DALARNAS LÄN</t>
        </is>
      </c>
      <c r="E6711" t="inlineStr">
        <is>
          <t>LEKSAND</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62964-2025</t>
        </is>
      </c>
      <c r="B6712" s="1" t="n">
        <v>46009.45956018518</v>
      </c>
      <c r="C6712" s="1" t="n">
        <v>46114</v>
      </c>
      <c r="D6712" t="inlineStr">
        <is>
          <t>DALARNAS LÄN</t>
        </is>
      </c>
      <c r="E6712" t="inlineStr">
        <is>
          <t>MALUNG-SÄLEN</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63058-2025</t>
        </is>
      </c>
      <c r="B6713" s="1" t="n">
        <v>46009.63863425926</v>
      </c>
      <c r="C6713" s="1" t="n">
        <v>46114</v>
      </c>
      <c r="D6713" t="inlineStr">
        <is>
          <t>DALARNAS LÄN</t>
        </is>
      </c>
      <c r="E6713" t="inlineStr">
        <is>
          <t>SMEDJEBACKEN</t>
        </is>
      </c>
      <c r="F6713" t="inlineStr">
        <is>
          <t>Övriga Aktiebolag</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41153-2021</t>
        </is>
      </c>
      <c r="B6714" s="1" t="n">
        <v>44424.28652777777</v>
      </c>
      <c r="C6714" s="1" t="n">
        <v>46114</v>
      </c>
      <c r="D6714" t="inlineStr">
        <is>
          <t>DALARNAS LÄN</t>
        </is>
      </c>
      <c r="E6714" t="inlineStr">
        <is>
          <t>RÄTTVIK</t>
        </is>
      </c>
      <c r="F6714" t="inlineStr">
        <is>
          <t>Sveaskog</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62858-2025</t>
        </is>
      </c>
      <c r="B6715" s="1" t="n">
        <v>46008.74334490741</v>
      </c>
      <c r="C6715" s="1" t="n">
        <v>46114</v>
      </c>
      <c r="D6715" t="inlineStr">
        <is>
          <t>DALARNAS LÄN</t>
        </is>
      </c>
      <c r="E6715" t="inlineStr">
        <is>
          <t>ORSA</t>
        </is>
      </c>
      <c r="G6715" t="n">
        <v>5</v>
      </c>
      <c r="H6715" t="n">
        <v>0</v>
      </c>
      <c r="I6715" t="n">
        <v>0</v>
      </c>
      <c r="J6715" t="n">
        <v>0</v>
      </c>
      <c r="K6715" t="n">
        <v>0</v>
      </c>
      <c r="L6715" t="n">
        <v>0</v>
      </c>
      <c r="M6715" t="n">
        <v>0</v>
      </c>
      <c r="N6715" t="n">
        <v>0</v>
      </c>
      <c r="O6715" t="n">
        <v>0</v>
      </c>
      <c r="P6715" t="n">
        <v>0</v>
      </c>
      <c r="Q6715" t="n">
        <v>0</v>
      </c>
      <c r="R6715" s="2" t="inlineStr"/>
    </row>
    <row r="6716" ht="15" customHeight="1">
      <c r="A6716" t="inlineStr">
        <is>
          <t>A 5978-2026</t>
        </is>
      </c>
      <c r="B6716" s="1" t="n">
        <v>46052.55123842593</v>
      </c>
      <c r="C6716" s="1" t="n">
        <v>46114</v>
      </c>
      <c r="D6716" t="inlineStr">
        <is>
          <t>DALARNAS LÄN</t>
        </is>
      </c>
      <c r="E6716" t="inlineStr">
        <is>
          <t>RÄTTVIK</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43704-2024</t>
        </is>
      </c>
      <c r="B6717" s="1" t="n">
        <v>45569.59278935185</v>
      </c>
      <c r="C6717" s="1" t="n">
        <v>46114</v>
      </c>
      <c r="D6717" t="inlineStr">
        <is>
          <t>DALARNAS LÄN</t>
        </is>
      </c>
      <c r="E6717" t="inlineStr">
        <is>
          <t>LUDVIKA</t>
        </is>
      </c>
      <c r="F6717" t="inlineStr">
        <is>
          <t>Bergvik skog väst AB</t>
        </is>
      </c>
      <c r="G6717" t="n">
        <v>4.4</v>
      </c>
      <c r="H6717" t="n">
        <v>0</v>
      </c>
      <c r="I6717" t="n">
        <v>0</v>
      </c>
      <c r="J6717" t="n">
        <v>0</v>
      </c>
      <c r="K6717" t="n">
        <v>0</v>
      </c>
      <c r="L6717" t="n">
        <v>0</v>
      </c>
      <c r="M6717" t="n">
        <v>0</v>
      </c>
      <c r="N6717" t="n">
        <v>0</v>
      </c>
      <c r="O6717" t="n">
        <v>0</v>
      </c>
      <c r="P6717" t="n">
        <v>0</v>
      </c>
      <c r="Q6717" t="n">
        <v>0</v>
      </c>
      <c r="R6717" s="2" t="inlineStr"/>
    </row>
    <row r="6718" ht="15" customHeight="1">
      <c r="A6718" t="inlineStr">
        <is>
          <t>A 63118-2025</t>
        </is>
      </c>
      <c r="B6718" s="1" t="n">
        <v>46009.85609953704</v>
      </c>
      <c r="C6718" s="1" t="n">
        <v>46114</v>
      </c>
      <c r="D6718" t="inlineStr">
        <is>
          <t>DALARNAS LÄN</t>
        </is>
      </c>
      <c r="E6718" t="inlineStr">
        <is>
          <t>ORSA</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63460-2025</t>
        </is>
      </c>
      <c r="B6719" s="1" t="n">
        <v>46013.42413194444</v>
      </c>
      <c r="C6719" s="1" t="n">
        <v>46114</v>
      </c>
      <c r="D6719" t="inlineStr">
        <is>
          <t>DALARNAS LÄN</t>
        </is>
      </c>
      <c r="E6719" t="inlineStr">
        <is>
          <t>AVESTA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64068-2025</t>
        </is>
      </c>
      <c r="B6720" s="1" t="n">
        <v>46010</v>
      </c>
      <c r="C6720" s="1" t="n">
        <v>46114</v>
      </c>
      <c r="D6720" t="inlineStr">
        <is>
          <t>DALARNAS LÄN</t>
        </is>
      </c>
      <c r="E6720" t="inlineStr">
        <is>
          <t>MALUNG-SÄLEN</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63307-2025</t>
        </is>
      </c>
      <c r="B6721" s="1" t="n">
        <v>46010.61465277777</v>
      </c>
      <c r="C6721" s="1" t="n">
        <v>46114</v>
      </c>
      <c r="D6721" t="inlineStr">
        <is>
          <t>DALARNAS LÄN</t>
        </is>
      </c>
      <c r="E6721" t="inlineStr">
        <is>
          <t>FALUN</t>
        </is>
      </c>
      <c r="G6721" t="n">
        <v>5.1</v>
      </c>
      <c r="H6721" t="n">
        <v>0</v>
      </c>
      <c r="I6721" t="n">
        <v>0</v>
      </c>
      <c r="J6721" t="n">
        <v>0</v>
      </c>
      <c r="K6721" t="n">
        <v>0</v>
      </c>
      <c r="L6721" t="n">
        <v>0</v>
      </c>
      <c r="M6721" t="n">
        <v>0</v>
      </c>
      <c r="N6721" t="n">
        <v>0</v>
      </c>
      <c r="O6721" t="n">
        <v>0</v>
      </c>
      <c r="P6721" t="n">
        <v>0</v>
      </c>
      <c r="Q6721" t="n">
        <v>0</v>
      </c>
      <c r="R6721" s="2" t="inlineStr"/>
    </row>
    <row r="6722" ht="15" customHeight="1">
      <c r="A6722" t="inlineStr">
        <is>
          <t>A 63291-2025</t>
        </is>
      </c>
      <c r="B6722" s="1" t="n">
        <v>46010</v>
      </c>
      <c r="C6722" s="1" t="n">
        <v>46114</v>
      </c>
      <c r="D6722" t="inlineStr">
        <is>
          <t>DALARNAS LÄN</t>
        </is>
      </c>
      <c r="E6722" t="inlineStr">
        <is>
          <t>FALUN</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17998-2025</t>
        </is>
      </c>
      <c r="B6723" s="1" t="n">
        <v>45761</v>
      </c>
      <c r="C6723" s="1" t="n">
        <v>46114</v>
      </c>
      <c r="D6723" t="inlineStr">
        <is>
          <t>DALARNAS LÄN</t>
        </is>
      </c>
      <c r="E6723" t="inlineStr">
        <is>
          <t>LUDVIKA</t>
        </is>
      </c>
      <c r="F6723" t="inlineStr">
        <is>
          <t>Naturvårdsverket</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43187-2024</t>
        </is>
      </c>
      <c r="B6724" s="1" t="n">
        <v>45567.67040509259</v>
      </c>
      <c r="C6724" s="1" t="n">
        <v>46114</v>
      </c>
      <c r="D6724" t="inlineStr">
        <is>
          <t>DALARNAS LÄN</t>
        </is>
      </c>
      <c r="E6724" t="inlineStr">
        <is>
          <t>FALUN</t>
        </is>
      </c>
      <c r="G6724" t="n">
        <v>0.2</v>
      </c>
      <c r="H6724" t="n">
        <v>0</v>
      </c>
      <c r="I6724" t="n">
        <v>0</v>
      </c>
      <c r="J6724" t="n">
        <v>0</v>
      </c>
      <c r="K6724" t="n">
        <v>0</v>
      </c>
      <c r="L6724" t="n">
        <v>0</v>
      </c>
      <c r="M6724" t="n">
        <v>0</v>
      </c>
      <c r="N6724" t="n">
        <v>0</v>
      </c>
      <c r="O6724" t="n">
        <v>0</v>
      </c>
      <c r="P6724" t="n">
        <v>0</v>
      </c>
      <c r="Q6724" t="n">
        <v>0</v>
      </c>
      <c r="R6724" s="2" t="inlineStr"/>
    </row>
    <row r="6725" ht="15" customHeight="1">
      <c r="A6725" t="inlineStr">
        <is>
          <t>A 43221-2024</t>
        </is>
      </c>
      <c r="B6725" s="1" t="n">
        <v>45567.86695601852</v>
      </c>
      <c r="C6725" s="1" t="n">
        <v>46114</v>
      </c>
      <c r="D6725" t="inlineStr">
        <is>
          <t>DALARNAS LÄN</t>
        </is>
      </c>
      <c r="E6725" t="inlineStr">
        <is>
          <t>LEKSAND</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29713-2022</t>
        </is>
      </c>
      <c r="B6726" s="1" t="n">
        <v>44755</v>
      </c>
      <c r="C6726" s="1" t="n">
        <v>46114</v>
      </c>
      <c r="D6726" t="inlineStr">
        <is>
          <t>DALARNAS LÄN</t>
        </is>
      </c>
      <c r="E6726" t="inlineStr">
        <is>
          <t>ÄLVDALEN</t>
        </is>
      </c>
      <c r="G6726" t="n">
        <v>2.8</v>
      </c>
      <c r="H6726" t="n">
        <v>0</v>
      </c>
      <c r="I6726" t="n">
        <v>0</v>
      </c>
      <c r="J6726" t="n">
        <v>0</v>
      </c>
      <c r="K6726" t="n">
        <v>0</v>
      </c>
      <c r="L6726" t="n">
        <v>0</v>
      </c>
      <c r="M6726" t="n">
        <v>0</v>
      </c>
      <c r="N6726" t="n">
        <v>0</v>
      </c>
      <c r="O6726" t="n">
        <v>0</v>
      </c>
      <c r="P6726" t="n">
        <v>0</v>
      </c>
      <c r="Q6726" t="n">
        <v>0</v>
      </c>
      <c r="R6726" s="2" t="inlineStr"/>
    </row>
    <row r="6727" ht="15" customHeight="1">
      <c r="A6727" t="inlineStr">
        <is>
          <t>A 326-2024</t>
        </is>
      </c>
      <c r="B6727" s="1" t="n">
        <v>45295</v>
      </c>
      <c r="C6727" s="1" t="n">
        <v>46114</v>
      </c>
      <c r="D6727" t="inlineStr">
        <is>
          <t>DALARNAS LÄN</t>
        </is>
      </c>
      <c r="E6727" t="inlineStr">
        <is>
          <t>GAGNEF</t>
        </is>
      </c>
      <c r="G6727" t="n">
        <v>9.4</v>
      </c>
      <c r="H6727" t="n">
        <v>0</v>
      </c>
      <c r="I6727" t="n">
        <v>0</v>
      </c>
      <c r="J6727" t="n">
        <v>0</v>
      </c>
      <c r="K6727" t="n">
        <v>0</v>
      </c>
      <c r="L6727" t="n">
        <v>0</v>
      </c>
      <c r="M6727" t="n">
        <v>0</v>
      </c>
      <c r="N6727" t="n">
        <v>0</v>
      </c>
      <c r="O6727" t="n">
        <v>0</v>
      </c>
      <c r="P6727" t="n">
        <v>0</v>
      </c>
      <c r="Q6727" t="n">
        <v>0</v>
      </c>
      <c r="R6727" s="2" t="inlineStr"/>
    </row>
    <row r="6728" ht="15" customHeight="1">
      <c r="A6728" t="inlineStr">
        <is>
          <t>A 63184-2025</t>
        </is>
      </c>
      <c r="B6728" s="1" t="n">
        <v>46010.43115740741</v>
      </c>
      <c r="C6728" s="1" t="n">
        <v>46114</v>
      </c>
      <c r="D6728" t="inlineStr">
        <is>
          <t>DALARNAS LÄN</t>
        </is>
      </c>
      <c r="E6728" t="inlineStr">
        <is>
          <t>GAGNEF</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52107-2022</t>
        </is>
      </c>
      <c r="B6729" s="1" t="n">
        <v>44873.41295138889</v>
      </c>
      <c r="C6729" s="1" t="n">
        <v>46114</v>
      </c>
      <c r="D6729" t="inlineStr">
        <is>
          <t>DALARNAS LÄN</t>
        </is>
      </c>
      <c r="E6729" t="inlineStr">
        <is>
          <t>ÄLVDALEN</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63209-2025</t>
        </is>
      </c>
      <c r="B6730" s="1" t="n">
        <v>46010.47516203704</v>
      </c>
      <c r="C6730" s="1" t="n">
        <v>46114</v>
      </c>
      <c r="D6730" t="inlineStr">
        <is>
          <t>DALARNAS LÄN</t>
        </is>
      </c>
      <c r="E6730" t="inlineStr">
        <is>
          <t>ORSA</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63525-2025</t>
        </is>
      </c>
      <c r="B6731" s="1" t="n">
        <v>46013.54934027778</v>
      </c>
      <c r="C6731" s="1" t="n">
        <v>46114</v>
      </c>
      <c r="D6731" t="inlineStr">
        <is>
          <t>DALARNAS LÄN</t>
        </is>
      </c>
      <c r="E6731" t="inlineStr">
        <is>
          <t>ÄLVDALEN</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42020-2024</t>
        </is>
      </c>
      <c r="B6732" s="1" t="n">
        <v>45561</v>
      </c>
      <c r="C6732" s="1" t="n">
        <v>46114</v>
      </c>
      <c r="D6732" t="inlineStr">
        <is>
          <t>DALARNAS LÄN</t>
        </is>
      </c>
      <c r="E6732" t="inlineStr">
        <is>
          <t>MALUNG-SÄLEN</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42022-2024</t>
        </is>
      </c>
      <c r="B6733" s="1" t="n">
        <v>45561</v>
      </c>
      <c r="C6733" s="1" t="n">
        <v>46114</v>
      </c>
      <c r="D6733" t="inlineStr">
        <is>
          <t>DALARNAS LÄN</t>
        </is>
      </c>
      <c r="E6733" t="inlineStr">
        <is>
          <t>MALUNG-SÄLEN</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63302-2025</t>
        </is>
      </c>
      <c r="B6734" s="1" t="n">
        <v>46010.61001157408</v>
      </c>
      <c r="C6734" s="1" t="n">
        <v>46114</v>
      </c>
      <c r="D6734" t="inlineStr">
        <is>
          <t>DALARNAS LÄN</t>
        </is>
      </c>
      <c r="E6734" t="inlineStr">
        <is>
          <t>RÄTTVIK</t>
        </is>
      </c>
      <c r="F6734" t="inlineStr">
        <is>
          <t>Bergvik skog väst AB</t>
        </is>
      </c>
      <c r="G6734" t="n">
        <v>0.5</v>
      </c>
      <c r="H6734" t="n">
        <v>0</v>
      </c>
      <c r="I6734" t="n">
        <v>0</v>
      </c>
      <c r="J6734" t="n">
        <v>0</v>
      </c>
      <c r="K6734" t="n">
        <v>0</v>
      </c>
      <c r="L6734" t="n">
        <v>0</v>
      </c>
      <c r="M6734" t="n">
        <v>0</v>
      </c>
      <c r="N6734" t="n">
        <v>0</v>
      </c>
      <c r="O6734" t="n">
        <v>0</v>
      </c>
      <c r="P6734" t="n">
        <v>0</v>
      </c>
      <c r="Q6734" t="n">
        <v>0</v>
      </c>
      <c r="R6734" s="2" t="inlineStr"/>
    </row>
    <row r="6735" ht="15" customHeight="1">
      <c r="A6735" t="inlineStr">
        <is>
          <t>A 63360-2025</t>
        </is>
      </c>
      <c r="B6735" s="1" t="n">
        <v>46010.67482638889</v>
      </c>
      <c r="C6735" s="1" t="n">
        <v>46114</v>
      </c>
      <c r="D6735" t="inlineStr">
        <is>
          <t>DALARNAS LÄN</t>
        </is>
      </c>
      <c r="E6735" t="inlineStr">
        <is>
          <t>LEKSAND</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26546-2025</t>
        </is>
      </c>
      <c r="B6736" s="1" t="n">
        <v>45807</v>
      </c>
      <c r="C6736" s="1" t="n">
        <v>46114</v>
      </c>
      <c r="D6736" t="inlineStr">
        <is>
          <t>DALARNAS LÄN</t>
        </is>
      </c>
      <c r="E6736" t="inlineStr">
        <is>
          <t>MORA</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26573-2025</t>
        </is>
      </c>
      <c r="B6737" s="1" t="n">
        <v>45807</v>
      </c>
      <c r="C6737" s="1" t="n">
        <v>46114</v>
      </c>
      <c r="D6737" t="inlineStr">
        <is>
          <t>DALARNAS LÄN</t>
        </is>
      </c>
      <c r="E6737" t="inlineStr">
        <is>
          <t>MORA</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26577-2025</t>
        </is>
      </c>
      <c r="B6738" s="1" t="n">
        <v>45807</v>
      </c>
      <c r="C6738" s="1" t="n">
        <v>46114</v>
      </c>
      <c r="D6738" t="inlineStr">
        <is>
          <t>DALARNAS LÄN</t>
        </is>
      </c>
      <c r="E6738" t="inlineStr">
        <is>
          <t>MORA</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48003-2024</t>
        </is>
      </c>
      <c r="B6739" s="1" t="n">
        <v>45589.44950231481</v>
      </c>
      <c r="C6739" s="1" t="n">
        <v>46114</v>
      </c>
      <c r="D6739" t="inlineStr">
        <is>
          <t>DALARNAS LÄN</t>
        </is>
      </c>
      <c r="E6739" t="inlineStr">
        <is>
          <t>LUDVIKA</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26545-2025</t>
        </is>
      </c>
      <c r="B6740" s="1" t="n">
        <v>45807</v>
      </c>
      <c r="C6740" s="1" t="n">
        <v>46114</v>
      </c>
      <c r="D6740" t="inlineStr">
        <is>
          <t>DALARNAS LÄN</t>
        </is>
      </c>
      <c r="E6740" t="inlineStr">
        <is>
          <t>MORA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25960-2022</t>
        </is>
      </c>
      <c r="B6741" s="1" t="n">
        <v>44734.45548611111</v>
      </c>
      <c r="C6741" s="1" t="n">
        <v>46114</v>
      </c>
      <c r="D6741" t="inlineStr">
        <is>
          <t>DALARNAS LÄN</t>
        </is>
      </c>
      <c r="E6741" t="inlineStr">
        <is>
          <t>AVESTA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31478-2023</t>
        </is>
      </c>
      <c r="B6742" s="1" t="n">
        <v>45114</v>
      </c>
      <c r="C6742" s="1" t="n">
        <v>46114</v>
      </c>
      <c r="D6742" t="inlineStr">
        <is>
          <t>DALARNAS LÄN</t>
        </is>
      </c>
      <c r="E6742" t="inlineStr">
        <is>
          <t>LUDVIKA</t>
        </is>
      </c>
      <c r="G6742" t="n">
        <v>6.2</v>
      </c>
      <c r="H6742" t="n">
        <v>0</v>
      </c>
      <c r="I6742" t="n">
        <v>0</v>
      </c>
      <c r="J6742" t="n">
        <v>0</v>
      </c>
      <c r="K6742" t="n">
        <v>0</v>
      </c>
      <c r="L6742" t="n">
        <v>0</v>
      </c>
      <c r="M6742" t="n">
        <v>0</v>
      </c>
      <c r="N6742" t="n">
        <v>0</v>
      </c>
      <c r="O6742" t="n">
        <v>0</v>
      </c>
      <c r="P6742" t="n">
        <v>0</v>
      </c>
      <c r="Q6742" t="n">
        <v>0</v>
      </c>
      <c r="R6742" s="2" t="inlineStr"/>
    </row>
    <row r="6743" ht="15" customHeight="1">
      <c r="A6743" t="inlineStr">
        <is>
          <t>A 20401-2022</t>
        </is>
      </c>
      <c r="B6743" s="1" t="n">
        <v>44699</v>
      </c>
      <c r="C6743" s="1" t="n">
        <v>46114</v>
      </c>
      <c r="D6743" t="inlineStr">
        <is>
          <t>DALARNAS LÄN</t>
        </is>
      </c>
      <c r="E6743" t="inlineStr">
        <is>
          <t>MORA</t>
        </is>
      </c>
      <c r="G6743" t="n">
        <v>3.2</v>
      </c>
      <c r="H6743" t="n">
        <v>0</v>
      </c>
      <c r="I6743" t="n">
        <v>0</v>
      </c>
      <c r="J6743" t="n">
        <v>0</v>
      </c>
      <c r="K6743" t="n">
        <v>0</v>
      </c>
      <c r="L6743" t="n">
        <v>0</v>
      </c>
      <c r="M6743" t="n">
        <v>0</v>
      </c>
      <c r="N6743" t="n">
        <v>0</v>
      </c>
      <c r="O6743" t="n">
        <v>0</v>
      </c>
      <c r="P6743" t="n">
        <v>0</v>
      </c>
      <c r="Q6743" t="n">
        <v>0</v>
      </c>
      <c r="R6743" s="2" t="inlineStr"/>
    </row>
    <row r="6744" ht="15" customHeight="1">
      <c r="A6744" t="inlineStr">
        <is>
          <t>A 25155-2023</t>
        </is>
      </c>
      <c r="B6744" s="1" t="n">
        <v>45086</v>
      </c>
      <c r="C6744" s="1" t="n">
        <v>46114</v>
      </c>
      <c r="D6744" t="inlineStr">
        <is>
          <t>DALARNAS LÄN</t>
        </is>
      </c>
      <c r="E6744" t="inlineStr">
        <is>
          <t>HEDEMORA</t>
        </is>
      </c>
      <c r="F6744" t="inlineStr">
        <is>
          <t>Sveaskog</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63276-2025</t>
        </is>
      </c>
      <c r="B6745" s="1" t="n">
        <v>46010.57958333333</v>
      </c>
      <c r="C6745" s="1" t="n">
        <v>46114</v>
      </c>
      <c r="D6745" t="inlineStr">
        <is>
          <t>DALARNAS LÄN</t>
        </is>
      </c>
      <c r="E6745" t="inlineStr">
        <is>
          <t>AVESTA</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63377-2025</t>
        </is>
      </c>
      <c r="B6746" s="1" t="n">
        <v>46010.7222337963</v>
      </c>
      <c r="C6746" s="1" t="n">
        <v>46114</v>
      </c>
      <c r="D6746" t="inlineStr">
        <is>
          <t>DALARNAS LÄN</t>
        </is>
      </c>
      <c r="E6746" t="inlineStr">
        <is>
          <t>SÄTER</t>
        </is>
      </c>
      <c r="F6746" t="inlineStr">
        <is>
          <t>Övriga statliga verk och myndigheter</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63434-2025</t>
        </is>
      </c>
      <c r="B6747" s="1" t="n">
        <v>46013.36556712963</v>
      </c>
      <c r="C6747" s="1" t="n">
        <v>46114</v>
      </c>
      <c r="D6747" t="inlineStr">
        <is>
          <t>DALARNAS LÄN</t>
        </is>
      </c>
      <c r="E6747" t="inlineStr">
        <is>
          <t>MORA</t>
        </is>
      </c>
      <c r="F6747" t="inlineStr">
        <is>
          <t>Allmännings- och besparingsskogar</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57134-2022</t>
        </is>
      </c>
      <c r="B6748" s="1" t="n">
        <v>44895</v>
      </c>
      <c r="C6748" s="1" t="n">
        <v>46114</v>
      </c>
      <c r="D6748" t="inlineStr">
        <is>
          <t>DALARNAS LÄN</t>
        </is>
      </c>
      <c r="E6748" t="inlineStr">
        <is>
          <t>GAGNEF</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63309-2025</t>
        </is>
      </c>
      <c r="B6749" s="1" t="n">
        <v>46010.61806712963</v>
      </c>
      <c r="C6749" s="1" t="n">
        <v>46114</v>
      </c>
      <c r="D6749" t="inlineStr">
        <is>
          <t>DALARNAS LÄN</t>
        </is>
      </c>
      <c r="E6749" t="inlineStr">
        <is>
          <t>RÄTTVIK</t>
        </is>
      </c>
      <c r="F6749" t="inlineStr">
        <is>
          <t>Bergvik skog väst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63178-2025</t>
        </is>
      </c>
      <c r="B6750" s="1" t="n">
        <v>46010.42155092592</v>
      </c>
      <c r="C6750" s="1" t="n">
        <v>46114</v>
      </c>
      <c r="D6750" t="inlineStr">
        <is>
          <t>DALARNAS LÄN</t>
        </is>
      </c>
      <c r="E6750" t="inlineStr">
        <is>
          <t>FALUN</t>
        </is>
      </c>
      <c r="G6750" t="n">
        <v>2.1</v>
      </c>
      <c r="H6750" t="n">
        <v>0</v>
      </c>
      <c r="I6750" t="n">
        <v>0</v>
      </c>
      <c r="J6750" t="n">
        <v>0</v>
      </c>
      <c r="K6750" t="n">
        <v>0</v>
      </c>
      <c r="L6750" t="n">
        <v>0</v>
      </c>
      <c r="M6750" t="n">
        <v>0</v>
      </c>
      <c r="N6750" t="n">
        <v>0</v>
      </c>
      <c r="O6750" t="n">
        <v>0</v>
      </c>
      <c r="P6750" t="n">
        <v>0</v>
      </c>
      <c r="Q6750" t="n">
        <v>0</v>
      </c>
      <c r="R6750" s="2" t="inlineStr"/>
    </row>
    <row r="6751" ht="15" customHeight="1">
      <c r="A6751" t="inlineStr">
        <is>
          <t>A 63231-2025</t>
        </is>
      </c>
      <c r="B6751" s="1" t="n">
        <v>46010.50851851852</v>
      </c>
      <c r="C6751" s="1" t="n">
        <v>46114</v>
      </c>
      <c r="D6751" t="inlineStr">
        <is>
          <t>DALARNAS LÄN</t>
        </is>
      </c>
      <c r="E6751" t="inlineStr">
        <is>
          <t>ORSA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63234-2025</t>
        </is>
      </c>
      <c r="B6752" s="1" t="n">
        <v>46010.51391203704</v>
      </c>
      <c r="C6752" s="1" t="n">
        <v>46114</v>
      </c>
      <c r="D6752" t="inlineStr">
        <is>
          <t>DALARNAS LÄN</t>
        </is>
      </c>
      <c r="E6752" t="inlineStr">
        <is>
          <t>SMEDJEBACKEN</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63299-2025</t>
        </is>
      </c>
      <c r="B6753" s="1" t="n">
        <v>46010.60270833333</v>
      </c>
      <c r="C6753" s="1" t="n">
        <v>46114</v>
      </c>
      <c r="D6753" t="inlineStr">
        <is>
          <t>DALARNAS LÄN</t>
        </is>
      </c>
      <c r="E6753" t="inlineStr">
        <is>
          <t>LUDVIKA</t>
        </is>
      </c>
      <c r="F6753" t="inlineStr">
        <is>
          <t>Bergvik skog väst AB</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63336-2025</t>
        </is>
      </c>
      <c r="B6754" s="1" t="n">
        <v>46010.64998842592</v>
      </c>
      <c r="C6754" s="1" t="n">
        <v>46114</v>
      </c>
      <c r="D6754" t="inlineStr">
        <is>
          <t>DALARNAS LÄN</t>
        </is>
      </c>
      <c r="E6754" t="inlineStr">
        <is>
          <t>RÄTTVIK</t>
        </is>
      </c>
      <c r="F6754" t="inlineStr">
        <is>
          <t>Bergvik skog väst AB</t>
        </is>
      </c>
      <c r="G6754" t="n">
        <v>11.9</v>
      </c>
      <c r="H6754" t="n">
        <v>0</v>
      </c>
      <c r="I6754" t="n">
        <v>0</v>
      </c>
      <c r="J6754" t="n">
        <v>0</v>
      </c>
      <c r="K6754" t="n">
        <v>0</v>
      </c>
      <c r="L6754" t="n">
        <v>0</v>
      </c>
      <c r="M6754" t="n">
        <v>0</v>
      </c>
      <c r="N6754" t="n">
        <v>0</v>
      </c>
      <c r="O6754" t="n">
        <v>0</v>
      </c>
      <c r="P6754" t="n">
        <v>0</v>
      </c>
      <c r="Q6754" t="n">
        <v>0</v>
      </c>
      <c r="R6754" s="2" t="inlineStr"/>
    </row>
    <row r="6755" ht="15" customHeight="1">
      <c r="A6755" t="inlineStr">
        <is>
          <t>A 12704-2022</t>
        </is>
      </c>
      <c r="B6755" s="1" t="n">
        <v>44641</v>
      </c>
      <c r="C6755" s="1" t="n">
        <v>46114</v>
      </c>
      <c r="D6755" t="inlineStr">
        <is>
          <t>DALARNAS LÄN</t>
        </is>
      </c>
      <c r="E6755" t="inlineStr">
        <is>
          <t>ORSA</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63277-2025</t>
        </is>
      </c>
      <c r="B6756" s="1" t="n">
        <v>46010.58142361111</v>
      </c>
      <c r="C6756" s="1" t="n">
        <v>46114</v>
      </c>
      <c r="D6756" t="inlineStr">
        <is>
          <t>DALARNAS LÄN</t>
        </is>
      </c>
      <c r="E6756" t="inlineStr">
        <is>
          <t>MALUNG-SÄLEN</t>
        </is>
      </c>
      <c r="F6756" t="inlineStr">
        <is>
          <t>Allmännings- och besparingsskogar</t>
        </is>
      </c>
      <c r="G6756" t="n">
        <v>46</v>
      </c>
      <c r="H6756" t="n">
        <v>0</v>
      </c>
      <c r="I6756" t="n">
        <v>0</v>
      </c>
      <c r="J6756" t="n">
        <v>0</v>
      </c>
      <c r="K6756" t="n">
        <v>0</v>
      </c>
      <c r="L6756" t="n">
        <v>0</v>
      </c>
      <c r="M6756" t="n">
        <v>0</v>
      </c>
      <c r="N6756" t="n">
        <v>0</v>
      </c>
      <c r="O6756" t="n">
        <v>0</v>
      </c>
      <c r="P6756" t="n">
        <v>0</v>
      </c>
      <c r="Q6756" t="n">
        <v>0</v>
      </c>
      <c r="R6756" s="2" t="inlineStr"/>
    </row>
    <row r="6757" ht="15" customHeight="1">
      <c r="A6757" t="inlineStr">
        <is>
          <t>A 64804-2023</t>
        </is>
      </c>
      <c r="B6757" s="1" t="n">
        <v>45282</v>
      </c>
      <c r="C6757" s="1" t="n">
        <v>46114</v>
      </c>
      <c r="D6757" t="inlineStr">
        <is>
          <t>DALARNAS LÄN</t>
        </is>
      </c>
      <c r="E6757" t="inlineStr">
        <is>
          <t>RÄTTVIK</t>
        </is>
      </c>
      <c r="G6757" t="n">
        <v>2.1</v>
      </c>
      <c r="H6757" t="n">
        <v>0</v>
      </c>
      <c r="I6757" t="n">
        <v>0</v>
      </c>
      <c r="J6757" t="n">
        <v>0</v>
      </c>
      <c r="K6757" t="n">
        <v>0</v>
      </c>
      <c r="L6757" t="n">
        <v>0</v>
      </c>
      <c r="M6757" t="n">
        <v>0</v>
      </c>
      <c r="N6757" t="n">
        <v>0</v>
      </c>
      <c r="O6757" t="n">
        <v>0</v>
      </c>
      <c r="P6757" t="n">
        <v>0</v>
      </c>
      <c r="Q6757" t="n">
        <v>0</v>
      </c>
      <c r="R6757" s="2" t="inlineStr"/>
    </row>
    <row r="6758" ht="15" customHeight="1">
      <c r="A6758" t="inlineStr">
        <is>
          <t>A 63251-2025</t>
        </is>
      </c>
      <c r="B6758" s="1" t="n">
        <v>46010.544375</v>
      </c>
      <c r="C6758" s="1" t="n">
        <v>46114</v>
      </c>
      <c r="D6758" t="inlineStr">
        <is>
          <t>DALARNAS LÄN</t>
        </is>
      </c>
      <c r="E6758" t="inlineStr">
        <is>
          <t>RÄTTVIK</t>
        </is>
      </c>
      <c r="F6758" t="inlineStr">
        <is>
          <t>Bergvik skog väst AB</t>
        </is>
      </c>
      <c r="G6758" t="n">
        <v>7.2</v>
      </c>
      <c r="H6758" t="n">
        <v>0</v>
      </c>
      <c r="I6758" t="n">
        <v>0</v>
      </c>
      <c r="J6758" t="n">
        <v>0</v>
      </c>
      <c r="K6758" t="n">
        <v>0</v>
      </c>
      <c r="L6758" t="n">
        <v>0</v>
      </c>
      <c r="M6758" t="n">
        <v>0</v>
      </c>
      <c r="N6758" t="n">
        <v>0</v>
      </c>
      <c r="O6758" t="n">
        <v>0</v>
      </c>
      <c r="P6758" t="n">
        <v>0</v>
      </c>
      <c r="Q6758" t="n">
        <v>0</v>
      </c>
      <c r="R6758" s="2" t="inlineStr"/>
    </row>
    <row r="6759" ht="15" customHeight="1">
      <c r="A6759" t="inlineStr">
        <is>
          <t>A 30123-2023</t>
        </is>
      </c>
      <c r="B6759" s="1" t="n">
        <v>45110.48509259259</v>
      </c>
      <c r="C6759" s="1" t="n">
        <v>46114</v>
      </c>
      <c r="D6759" t="inlineStr">
        <is>
          <t>DALARNAS LÄN</t>
        </is>
      </c>
      <c r="E6759" t="inlineStr">
        <is>
          <t>LUDVIKA</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63431-2025</t>
        </is>
      </c>
      <c r="B6760" s="1" t="n">
        <v>46013.36268518519</v>
      </c>
      <c r="C6760" s="1" t="n">
        <v>46114</v>
      </c>
      <c r="D6760" t="inlineStr">
        <is>
          <t>DALARNAS LÄN</t>
        </is>
      </c>
      <c r="E6760" t="inlineStr">
        <is>
          <t>MORA</t>
        </is>
      </c>
      <c r="F6760" t="inlineStr">
        <is>
          <t>Allmännings- och besparingsskogar</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38611-2022</t>
        </is>
      </c>
      <c r="B6761" s="1" t="n">
        <v>44813.60177083333</v>
      </c>
      <c r="C6761" s="1" t="n">
        <v>46114</v>
      </c>
      <c r="D6761" t="inlineStr">
        <is>
          <t>DALARNAS LÄN</t>
        </is>
      </c>
      <c r="E6761" t="inlineStr">
        <is>
          <t>ORSA</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63157-2025</t>
        </is>
      </c>
      <c r="B6762" s="1" t="n">
        <v>46010.36474537037</v>
      </c>
      <c r="C6762" s="1" t="n">
        <v>46114</v>
      </c>
      <c r="D6762" t="inlineStr">
        <is>
          <t>DALARNAS LÄN</t>
        </is>
      </c>
      <c r="E6762" t="inlineStr">
        <is>
          <t>RÄTTVIK</t>
        </is>
      </c>
      <c r="G6762" t="n">
        <v>2</v>
      </c>
      <c r="H6762" t="n">
        <v>0</v>
      </c>
      <c r="I6762" t="n">
        <v>0</v>
      </c>
      <c r="J6762" t="n">
        <v>0</v>
      </c>
      <c r="K6762" t="n">
        <v>0</v>
      </c>
      <c r="L6762" t="n">
        <v>0</v>
      </c>
      <c r="M6762" t="n">
        <v>0</v>
      </c>
      <c r="N6762" t="n">
        <v>0</v>
      </c>
      <c r="O6762" t="n">
        <v>0</v>
      </c>
      <c r="P6762" t="n">
        <v>0</v>
      </c>
      <c r="Q6762" t="n">
        <v>0</v>
      </c>
      <c r="R6762" s="2" t="inlineStr"/>
    </row>
    <row r="6763" ht="15" customHeight="1">
      <c r="A6763" t="inlineStr">
        <is>
          <t>A 17589-2025</t>
        </is>
      </c>
      <c r="B6763" s="1" t="n">
        <v>45757.67844907408</v>
      </c>
      <c r="C6763" s="1" t="n">
        <v>46114</v>
      </c>
      <c r="D6763" t="inlineStr">
        <is>
          <t>DALARNAS LÄN</t>
        </is>
      </c>
      <c r="E6763" t="inlineStr">
        <is>
          <t>LEKSAND</t>
        </is>
      </c>
      <c r="G6763" t="n">
        <v>5.8</v>
      </c>
      <c r="H6763" t="n">
        <v>0</v>
      </c>
      <c r="I6763" t="n">
        <v>0</v>
      </c>
      <c r="J6763" t="n">
        <v>0</v>
      </c>
      <c r="K6763" t="n">
        <v>0</v>
      </c>
      <c r="L6763" t="n">
        <v>0</v>
      </c>
      <c r="M6763" t="n">
        <v>0</v>
      </c>
      <c r="N6763" t="n">
        <v>0</v>
      </c>
      <c r="O6763" t="n">
        <v>0</v>
      </c>
      <c r="P6763" t="n">
        <v>0</v>
      </c>
      <c r="Q6763" t="n">
        <v>0</v>
      </c>
      <c r="R6763" s="2" t="inlineStr"/>
    </row>
    <row r="6764" ht="15" customHeight="1">
      <c r="A6764" t="inlineStr">
        <is>
          <t>A 63283-2025</t>
        </is>
      </c>
      <c r="B6764" s="1" t="n">
        <v>46010.58836805556</v>
      </c>
      <c r="C6764" s="1" t="n">
        <v>46114</v>
      </c>
      <c r="D6764" t="inlineStr">
        <is>
          <t>DALARNAS LÄN</t>
        </is>
      </c>
      <c r="E6764" t="inlineStr">
        <is>
          <t>MALUNG-SÄLEN</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63347-2025</t>
        </is>
      </c>
      <c r="B6765" s="1" t="n">
        <v>46010.66137731481</v>
      </c>
      <c r="C6765" s="1" t="n">
        <v>46114</v>
      </c>
      <c r="D6765" t="inlineStr">
        <is>
          <t>DALARNAS LÄN</t>
        </is>
      </c>
      <c r="E6765" t="inlineStr">
        <is>
          <t>SMEDJEBACKEN</t>
        </is>
      </c>
      <c r="F6765" t="inlineStr">
        <is>
          <t>Bergvik skog väst AB</t>
        </is>
      </c>
      <c r="G6765" t="n">
        <v>13.6</v>
      </c>
      <c r="H6765" t="n">
        <v>0</v>
      </c>
      <c r="I6765" t="n">
        <v>0</v>
      </c>
      <c r="J6765" t="n">
        <v>0</v>
      </c>
      <c r="K6765" t="n">
        <v>0</v>
      </c>
      <c r="L6765" t="n">
        <v>0</v>
      </c>
      <c r="M6765" t="n">
        <v>0</v>
      </c>
      <c r="N6765" t="n">
        <v>0</v>
      </c>
      <c r="O6765" t="n">
        <v>0</v>
      </c>
      <c r="P6765" t="n">
        <v>0</v>
      </c>
      <c r="Q6765" t="n">
        <v>0</v>
      </c>
      <c r="R6765" s="2" t="inlineStr"/>
    </row>
    <row r="6766" ht="15" customHeight="1">
      <c r="A6766" t="inlineStr">
        <is>
          <t>A 63467-2025</t>
        </is>
      </c>
      <c r="B6766" s="1" t="n">
        <v>46013.43195601852</v>
      </c>
      <c r="C6766" s="1" t="n">
        <v>46114</v>
      </c>
      <c r="D6766" t="inlineStr">
        <is>
          <t>DALARNAS LÄN</t>
        </is>
      </c>
      <c r="E6766" t="inlineStr">
        <is>
          <t>ORSA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63350-2025</t>
        </is>
      </c>
      <c r="B6767" s="1" t="n">
        <v>46010.66585648148</v>
      </c>
      <c r="C6767" s="1" t="n">
        <v>46114</v>
      </c>
      <c r="D6767" t="inlineStr">
        <is>
          <t>DALARNAS LÄN</t>
        </is>
      </c>
      <c r="E6767" t="inlineStr">
        <is>
          <t>SÄTER</t>
        </is>
      </c>
      <c r="F6767" t="inlineStr">
        <is>
          <t>Bergvik skog väst AB</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63303-2025</t>
        </is>
      </c>
      <c r="B6768" s="1" t="n">
        <v>46010.61101851852</v>
      </c>
      <c r="C6768" s="1" t="n">
        <v>46114</v>
      </c>
      <c r="D6768" t="inlineStr">
        <is>
          <t>DALARNAS LÄN</t>
        </is>
      </c>
      <c r="E6768" t="inlineStr">
        <is>
          <t>FALUN</t>
        </is>
      </c>
      <c r="G6768" t="n">
        <v>5.3</v>
      </c>
      <c r="H6768" t="n">
        <v>0</v>
      </c>
      <c r="I6768" t="n">
        <v>0</v>
      </c>
      <c r="J6768" t="n">
        <v>0</v>
      </c>
      <c r="K6768" t="n">
        <v>0</v>
      </c>
      <c r="L6768" t="n">
        <v>0</v>
      </c>
      <c r="M6768" t="n">
        <v>0</v>
      </c>
      <c r="N6768" t="n">
        <v>0</v>
      </c>
      <c r="O6768" t="n">
        <v>0</v>
      </c>
      <c r="P6768" t="n">
        <v>0</v>
      </c>
      <c r="Q6768" t="n">
        <v>0</v>
      </c>
      <c r="R6768" s="2" t="inlineStr"/>
    </row>
    <row r="6769" ht="15" customHeight="1">
      <c r="A6769" t="inlineStr">
        <is>
          <t>A 29157-2022</t>
        </is>
      </c>
      <c r="B6769" s="1" t="n">
        <v>44750.48355324074</v>
      </c>
      <c r="C6769" s="1" t="n">
        <v>46114</v>
      </c>
      <c r="D6769" t="inlineStr">
        <is>
          <t>DALARNAS LÄN</t>
        </is>
      </c>
      <c r="E6769" t="inlineStr">
        <is>
          <t>LEKSAND</t>
        </is>
      </c>
      <c r="F6769" t="inlineStr">
        <is>
          <t>Bergvik skog väst AB</t>
        </is>
      </c>
      <c r="G6769" t="n">
        <v>2.7</v>
      </c>
      <c r="H6769" t="n">
        <v>0</v>
      </c>
      <c r="I6769" t="n">
        <v>0</v>
      </c>
      <c r="J6769" t="n">
        <v>0</v>
      </c>
      <c r="K6769" t="n">
        <v>0</v>
      </c>
      <c r="L6769" t="n">
        <v>0</v>
      </c>
      <c r="M6769" t="n">
        <v>0</v>
      </c>
      <c r="N6769" t="n">
        <v>0</v>
      </c>
      <c r="O6769" t="n">
        <v>0</v>
      </c>
      <c r="P6769" t="n">
        <v>0</v>
      </c>
      <c r="Q6769" t="n">
        <v>0</v>
      </c>
      <c r="R6769" s="2" t="inlineStr"/>
    </row>
    <row r="6770" ht="15" customHeight="1">
      <c r="A6770" t="inlineStr">
        <is>
          <t>A 64065-2025</t>
        </is>
      </c>
      <c r="B6770" s="1" t="n">
        <v>46010</v>
      </c>
      <c r="C6770" s="1" t="n">
        <v>46114</v>
      </c>
      <c r="D6770" t="inlineStr">
        <is>
          <t>DALARNAS LÄN</t>
        </is>
      </c>
      <c r="E6770" t="inlineStr">
        <is>
          <t>MALUNG-SÄLEN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63522-2025</t>
        </is>
      </c>
      <c r="B6771" s="1" t="n">
        <v>46013.53605324074</v>
      </c>
      <c r="C6771" s="1" t="n">
        <v>46114</v>
      </c>
      <c r="D6771" t="inlineStr">
        <is>
          <t>DALARNAS LÄN</t>
        </is>
      </c>
      <c r="E6771" t="inlineStr">
        <is>
          <t>FALUN</t>
        </is>
      </c>
      <c r="F6771" t="inlineStr">
        <is>
          <t>Bergvik skog väst AB</t>
        </is>
      </c>
      <c r="G6771" t="n">
        <v>1.9</v>
      </c>
      <c r="H6771" t="n">
        <v>0</v>
      </c>
      <c r="I6771" t="n">
        <v>0</v>
      </c>
      <c r="J6771" t="n">
        <v>0</v>
      </c>
      <c r="K6771" t="n">
        <v>0</v>
      </c>
      <c r="L6771" t="n">
        <v>0</v>
      </c>
      <c r="M6771" t="n">
        <v>0</v>
      </c>
      <c r="N6771" t="n">
        <v>0</v>
      </c>
      <c r="O6771" t="n">
        <v>0</v>
      </c>
      <c r="P6771" t="n">
        <v>0</v>
      </c>
      <c r="Q6771" t="n">
        <v>0</v>
      </c>
      <c r="R6771" s="2" t="inlineStr"/>
    </row>
    <row r="6772" ht="15" customHeight="1">
      <c r="A6772" t="inlineStr">
        <is>
          <t>A 63215-2025</t>
        </is>
      </c>
      <c r="B6772" s="1" t="n">
        <v>46010</v>
      </c>
      <c r="C6772" s="1" t="n">
        <v>46114</v>
      </c>
      <c r="D6772" t="inlineStr">
        <is>
          <t>DALARNAS LÄN</t>
        </is>
      </c>
      <c r="E6772" t="inlineStr">
        <is>
          <t>LUDVIKA</t>
        </is>
      </c>
      <c r="F6772" t="inlineStr">
        <is>
          <t>Bergvik skog väst AB</t>
        </is>
      </c>
      <c r="G6772" t="n">
        <v>4.5</v>
      </c>
      <c r="H6772" t="n">
        <v>0</v>
      </c>
      <c r="I6772" t="n">
        <v>0</v>
      </c>
      <c r="J6772" t="n">
        <v>0</v>
      </c>
      <c r="K6772" t="n">
        <v>0</v>
      </c>
      <c r="L6772" t="n">
        <v>0</v>
      </c>
      <c r="M6772" t="n">
        <v>0</v>
      </c>
      <c r="N6772" t="n">
        <v>0</v>
      </c>
      <c r="O6772" t="n">
        <v>0</v>
      </c>
      <c r="P6772" t="n">
        <v>0</v>
      </c>
      <c r="Q6772" t="n">
        <v>0</v>
      </c>
      <c r="R6772" s="2" t="inlineStr"/>
    </row>
    <row r="6773" ht="15" customHeight="1">
      <c r="A6773" t="inlineStr">
        <is>
          <t>A 56222-2023</t>
        </is>
      </c>
      <c r="B6773" s="1" t="n">
        <v>45240</v>
      </c>
      <c r="C6773" s="1" t="n">
        <v>46114</v>
      </c>
      <c r="D6773" t="inlineStr">
        <is>
          <t>DALARNAS LÄN</t>
        </is>
      </c>
      <c r="E6773" t="inlineStr">
        <is>
          <t>ÄLVDALEN</t>
        </is>
      </c>
      <c r="F6773" t="inlineStr">
        <is>
          <t>Övriga Aktiebolag</t>
        </is>
      </c>
      <c r="G6773" t="n">
        <v>3.2</v>
      </c>
      <c r="H6773" t="n">
        <v>0</v>
      </c>
      <c r="I6773" t="n">
        <v>0</v>
      </c>
      <c r="J6773" t="n">
        <v>0</v>
      </c>
      <c r="K6773" t="n">
        <v>0</v>
      </c>
      <c r="L6773" t="n">
        <v>0</v>
      </c>
      <c r="M6773" t="n">
        <v>0</v>
      </c>
      <c r="N6773" t="n">
        <v>0</v>
      </c>
      <c r="O6773" t="n">
        <v>0</v>
      </c>
      <c r="P6773" t="n">
        <v>0</v>
      </c>
      <c r="Q6773" t="n">
        <v>0</v>
      </c>
      <c r="R6773" s="2" t="inlineStr"/>
    </row>
    <row r="6774" ht="15" customHeight="1">
      <c r="A6774" t="inlineStr">
        <is>
          <t>A 56224-2023</t>
        </is>
      </c>
      <c r="B6774" s="1" t="n">
        <v>45240</v>
      </c>
      <c r="C6774" s="1" t="n">
        <v>46114</v>
      </c>
      <c r="D6774" t="inlineStr">
        <is>
          <t>DALARNAS LÄN</t>
        </is>
      </c>
      <c r="E6774" t="inlineStr">
        <is>
          <t>ÄLVDALEN</t>
        </is>
      </c>
      <c r="F6774" t="inlineStr">
        <is>
          <t>Övriga Aktiebolag</t>
        </is>
      </c>
      <c r="G6774" t="n">
        <v>10.9</v>
      </c>
      <c r="H6774" t="n">
        <v>0</v>
      </c>
      <c r="I6774" t="n">
        <v>0</v>
      </c>
      <c r="J6774" t="n">
        <v>0</v>
      </c>
      <c r="K6774" t="n">
        <v>0</v>
      </c>
      <c r="L6774" t="n">
        <v>0</v>
      </c>
      <c r="M6774" t="n">
        <v>0</v>
      </c>
      <c r="N6774" t="n">
        <v>0</v>
      </c>
      <c r="O6774" t="n">
        <v>0</v>
      </c>
      <c r="P6774" t="n">
        <v>0</v>
      </c>
      <c r="Q6774" t="n">
        <v>0</v>
      </c>
      <c r="R6774" s="2" t="inlineStr"/>
    </row>
    <row r="6775" ht="15" customHeight="1">
      <c r="A6775" t="inlineStr">
        <is>
          <t>A 11080-2023</t>
        </is>
      </c>
      <c r="B6775" s="1" t="n">
        <v>44992</v>
      </c>
      <c r="C6775" s="1" t="n">
        <v>46114</v>
      </c>
      <c r="D6775" t="inlineStr">
        <is>
          <t>DALARNAS LÄN</t>
        </is>
      </c>
      <c r="E6775" t="inlineStr">
        <is>
          <t>LEKSAND</t>
        </is>
      </c>
      <c r="G6775" t="n">
        <v>6.9</v>
      </c>
      <c r="H6775" t="n">
        <v>0</v>
      </c>
      <c r="I6775" t="n">
        <v>0</v>
      </c>
      <c r="J6775" t="n">
        <v>0</v>
      </c>
      <c r="K6775" t="n">
        <v>0</v>
      </c>
      <c r="L6775" t="n">
        <v>0</v>
      </c>
      <c r="M6775" t="n">
        <v>0</v>
      </c>
      <c r="N6775" t="n">
        <v>0</v>
      </c>
      <c r="O6775" t="n">
        <v>0</v>
      </c>
      <c r="P6775" t="n">
        <v>0</v>
      </c>
      <c r="Q6775" t="n">
        <v>0</v>
      </c>
      <c r="R6775" s="2" t="inlineStr"/>
    </row>
    <row r="6776" ht="15" customHeight="1">
      <c r="A6776" t="inlineStr">
        <is>
          <t>A 11105-2023</t>
        </is>
      </c>
      <c r="B6776" s="1" t="n">
        <v>44992</v>
      </c>
      <c r="C6776" s="1" t="n">
        <v>46114</v>
      </c>
      <c r="D6776" t="inlineStr">
        <is>
          <t>DALARNAS LÄN</t>
        </is>
      </c>
      <c r="E6776" t="inlineStr">
        <is>
          <t>BORLÄNGE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63429-2025</t>
        </is>
      </c>
      <c r="B6777" s="1" t="n">
        <v>46013.3569212963</v>
      </c>
      <c r="C6777" s="1" t="n">
        <v>46114</v>
      </c>
      <c r="D6777" t="inlineStr">
        <is>
          <t>DALARNAS LÄN</t>
        </is>
      </c>
      <c r="E6777" t="inlineStr">
        <is>
          <t>RÄTTVIK</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63436-2025</t>
        </is>
      </c>
      <c r="B6778" s="1" t="n">
        <v>46013.37320601852</v>
      </c>
      <c r="C6778" s="1" t="n">
        <v>46114</v>
      </c>
      <c r="D6778" t="inlineStr">
        <is>
          <t>DALARNAS LÄN</t>
        </is>
      </c>
      <c r="E6778" t="inlineStr">
        <is>
          <t>MALUNG-SÄLEN</t>
        </is>
      </c>
      <c r="F6778" t="inlineStr">
        <is>
          <t>Allmännings- och besparingsskogar</t>
        </is>
      </c>
      <c r="G6778" t="n">
        <v>20.8</v>
      </c>
      <c r="H6778" t="n">
        <v>0</v>
      </c>
      <c r="I6778" t="n">
        <v>0</v>
      </c>
      <c r="J6778" t="n">
        <v>0</v>
      </c>
      <c r="K6778" t="n">
        <v>0</v>
      </c>
      <c r="L6778" t="n">
        <v>0</v>
      </c>
      <c r="M6778" t="n">
        <v>0</v>
      </c>
      <c r="N6778" t="n">
        <v>0</v>
      </c>
      <c r="O6778" t="n">
        <v>0</v>
      </c>
      <c r="P6778" t="n">
        <v>0</v>
      </c>
      <c r="Q6778" t="n">
        <v>0</v>
      </c>
      <c r="R6778" s="2" t="inlineStr"/>
    </row>
    <row r="6779" ht="15" customHeight="1">
      <c r="A6779" t="inlineStr">
        <is>
          <t>A 11154-2025</t>
        </is>
      </c>
      <c r="B6779" s="1" t="n">
        <v>45723</v>
      </c>
      <c r="C6779" s="1" t="n">
        <v>46114</v>
      </c>
      <c r="D6779" t="inlineStr">
        <is>
          <t>DALARNAS LÄN</t>
        </is>
      </c>
      <c r="E6779" t="inlineStr">
        <is>
          <t>SMEDJEBACKEN</t>
        </is>
      </c>
      <c r="F6779" t="inlineStr">
        <is>
          <t>Bergvik skog väst AB</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63455-2025</t>
        </is>
      </c>
      <c r="B6780" s="1" t="n">
        <v>46013.41940972222</v>
      </c>
      <c r="C6780" s="1" t="n">
        <v>46114</v>
      </c>
      <c r="D6780" t="inlineStr">
        <is>
          <t>DALARNAS LÄN</t>
        </is>
      </c>
      <c r="E6780" t="inlineStr">
        <is>
          <t>AVESTA</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63457-2025</t>
        </is>
      </c>
      <c r="B6781" s="1" t="n">
        <v>46013.42269675926</v>
      </c>
      <c r="C6781" s="1" t="n">
        <v>46114</v>
      </c>
      <c r="D6781" t="inlineStr">
        <is>
          <t>DALARNAS LÄN</t>
        </is>
      </c>
      <c r="E6781" t="inlineStr">
        <is>
          <t>MORA</t>
        </is>
      </c>
      <c r="F6781" t="inlineStr">
        <is>
          <t>Allmännings- och besparingsskogar</t>
        </is>
      </c>
      <c r="G6781" t="n">
        <v>34.4</v>
      </c>
      <c r="H6781" t="n">
        <v>0</v>
      </c>
      <c r="I6781" t="n">
        <v>0</v>
      </c>
      <c r="J6781" t="n">
        <v>0</v>
      </c>
      <c r="K6781" t="n">
        <v>0</v>
      </c>
      <c r="L6781" t="n">
        <v>0</v>
      </c>
      <c r="M6781" t="n">
        <v>0</v>
      </c>
      <c r="N6781" t="n">
        <v>0</v>
      </c>
      <c r="O6781" t="n">
        <v>0</v>
      </c>
      <c r="P6781" t="n">
        <v>0</v>
      </c>
      <c r="Q6781" t="n">
        <v>0</v>
      </c>
      <c r="R6781" s="2" t="inlineStr"/>
    </row>
    <row r="6782" ht="15" customHeight="1">
      <c r="A6782" t="inlineStr">
        <is>
          <t>A 320-2023</t>
        </is>
      </c>
      <c r="B6782" s="1" t="n">
        <v>44929</v>
      </c>
      <c r="C6782" s="1" t="n">
        <v>46114</v>
      </c>
      <c r="D6782" t="inlineStr">
        <is>
          <t>DALARNAS LÄN</t>
        </is>
      </c>
      <c r="E6782" t="inlineStr">
        <is>
          <t>LEKSAND</t>
        </is>
      </c>
      <c r="F6782" t="inlineStr">
        <is>
          <t>Övriga Aktiebolag</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63260-2025</t>
        </is>
      </c>
      <c r="B6783" s="1" t="n">
        <v>46010.55725694444</v>
      </c>
      <c r="C6783" s="1" t="n">
        <v>46114</v>
      </c>
      <c r="D6783" t="inlineStr">
        <is>
          <t>DALARNAS LÄN</t>
        </is>
      </c>
      <c r="E6783" t="inlineStr">
        <is>
          <t>LEKSAND</t>
        </is>
      </c>
      <c r="G6783" t="n">
        <v>11.7</v>
      </c>
      <c r="H6783" t="n">
        <v>0</v>
      </c>
      <c r="I6783" t="n">
        <v>0</v>
      </c>
      <c r="J6783" t="n">
        <v>0</v>
      </c>
      <c r="K6783" t="n">
        <v>0</v>
      </c>
      <c r="L6783" t="n">
        <v>0</v>
      </c>
      <c r="M6783" t="n">
        <v>0</v>
      </c>
      <c r="N6783" t="n">
        <v>0</v>
      </c>
      <c r="O6783" t="n">
        <v>0</v>
      </c>
      <c r="P6783" t="n">
        <v>0</v>
      </c>
      <c r="Q6783" t="n">
        <v>0</v>
      </c>
      <c r="R6783" s="2" t="inlineStr"/>
    </row>
    <row r="6784" ht="15" customHeight="1">
      <c r="A6784" t="inlineStr">
        <is>
          <t>A 13970-2025</t>
        </is>
      </c>
      <c r="B6784" s="1" t="n">
        <v>45738.52033564815</v>
      </c>
      <c r="C6784" s="1" t="n">
        <v>46114</v>
      </c>
      <c r="D6784" t="inlineStr">
        <is>
          <t>DALARNAS LÄN</t>
        </is>
      </c>
      <c r="E6784" t="inlineStr">
        <is>
          <t>SÄTER</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63117-2025</t>
        </is>
      </c>
      <c r="B6785" s="1" t="n">
        <v>46009.77938657408</v>
      </c>
      <c r="C6785" s="1" t="n">
        <v>46114</v>
      </c>
      <c r="D6785" t="inlineStr">
        <is>
          <t>DALARNAS LÄN</t>
        </is>
      </c>
      <c r="E6785" t="inlineStr">
        <is>
          <t>LUDVIKA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63222-2025</t>
        </is>
      </c>
      <c r="B6786" s="1" t="n">
        <v>46010</v>
      </c>
      <c r="C6786" s="1" t="n">
        <v>46114</v>
      </c>
      <c r="D6786" t="inlineStr">
        <is>
          <t>DALARNAS LÄN</t>
        </is>
      </c>
      <c r="E6786" t="inlineStr">
        <is>
          <t>LUDVIKA</t>
        </is>
      </c>
      <c r="F6786" t="inlineStr">
        <is>
          <t>Bergvik skog väst AB</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52599-2025</t>
        </is>
      </c>
      <c r="B6787" s="1" t="n">
        <v>45954.65564814815</v>
      </c>
      <c r="C6787" s="1" t="n">
        <v>46114</v>
      </c>
      <c r="D6787" t="inlineStr">
        <is>
          <t>DALARNAS LÄN</t>
        </is>
      </c>
      <c r="E6787" t="inlineStr">
        <is>
          <t>MORA</t>
        </is>
      </c>
      <c r="G6787" t="n">
        <v>10.8</v>
      </c>
      <c r="H6787" t="n">
        <v>0</v>
      </c>
      <c r="I6787" t="n">
        <v>0</v>
      </c>
      <c r="J6787" t="n">
        <v>0</v>
      </c>
      <c r="K6787" t="n">
        <v>0</v>
      </c>
      <c r="L6787" t="n">
        <v>0</v>
      </c>
      <c r="M6787" t="n">
        <v>0</v>
      </c>
      <c r="N6787" t="n">
        <v>0</v>
      </c>
      <c r="O6787" t="n">
        <v>0</v>
      </c>
      <c r="P6787" t="n">
        <v>0</v>
      </c>
      <c r="Q6787" t="n">
        <v>0</v>
      </c>
      <c r="R6787" s="2" t="inlineStr"/>
    </row>
    <row r="6788" ht="15" customHeight="1">
      <c r="A6788" t="inlineStr">
        <is>
          <t>A 63707-2025</t>
        </is>
      </c>
      <c r="B6788" s="1" t="n">
        <v>46014.61262731482</v>
      </c>
      <c r="C6788" s="1" t="n">
        <v>46114</v>
      </c>
      <c r="D6788" t="inlineStr">
        <is>
          <t>DALARNAS LÄN</t>
        </is>
      </c>
      <c r="E6788" t="inlineStr">
        <is>
          <t>GAGNEF</t>
        </is>
      </c>
      <c r="G6788" t="n">
        <v>6.4</v>
      </c>
      <c r="H6788" t="n">
        <v>0</v>
      </c>
      <c r="I6788" t="n">
        <v>0</v>
      </c>
      <c r="J6788" t="n">
        <v>0</v>
      </c>
      <c r="K6788" t="n">
        <v>0</v>
      </c>
      <c r="L6788" t="n">
        <v>0</v>
      </c>
      <c r="M6788" t="n">
        <v>0</v>
      </c>
      <c r="N6788" t="n">
        <v>0</v>
      </c>
      <c r="O6788" t="n">
        <v>0</v>
      </c>
      <c r="P6788" t="n">
        <v>0</v>
      </c>
      <c r="Q6788" t="n">
        <v>0</v>
      </c>
      <c r="R6788" s="2" t="inlineStr"/>
    </row>
    <row r="6789" ht="15" customHeight="1">
      <c r="A6789" t="inlineStr">
        <is>
          <t>A 63596-2025</t>
        </is>
      </c>
      <c r="B6789" s="1" t="n">
        <v>46013.96362268519</v>
      </c>
      <c r="C6789" s="1" t="n">
        <v>46114</v>
      </c>
      <c r="D6789" t="inlineStr">
        <is>
          <t>DALARNAS LÄN</t>
        </is>
      </c>
      <c r="E6789" t="inlineStr">
        <is>
          <t>MORA</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63601-2025</t>
        </is>
      </c>
      <c r="B6790" s="1" t="n">
        <v>46014.31347222222</v>
      </c>
      <c r="C6790" s="1" t="n">
        <v>46114</v>
      </c>
      <c r="D6790" t="inlineStr">
        <is>
          <t>DALARNAS LÄN</t>
        </is>
      </c>
      <c r="E6790" t="inlineStr">
        <is>
          <t>ÄLVDALEN</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63692-2025</t>
        </is>
      </c>
      <c r="B6791" s="1" t="n">
        <v>46014.54496527778</v>
      </c>
      <c r="C6791" s="1" t="n">
        <v>46114</v>
      </c>
      <c r="D6791" t="inlineStr">
        <is>
          <t>DALARNAS LÄN</t>
        </is>
      </c>
      <c r="E6791" t="inlineStr">
        <is>
          <t>MORA</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12224-2022</t>
        </is>
      </c>
      <c r="B6792" s="1" t="n">
        <v>44637.3625925926</v>
      </c>
      <c r="C6792" s="1" t="n">
        <v>46114</v>
      </c>
      <c r="D6792" t="inlineStr">
        <is>
          <t>DALARNAS LÄN</t>
        </is>
      </c>
      <c r="E6792" t="inlineStr">
        <is>
          <t>FALUN</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51058-2025</t>
        </is>
      </c>
      <c r="B6793" s="1" t="n">
        <v>45947</v>
      </c>
      <c r="C6793" s="1" t="n">
        <v>46114</v>
      </c>
      <c r="D6793" t="inlineStr">
        <is>
          <t>DALARNAS LÄN</t>
        </is>
      </c>
      <c r="E6793" t="inlineStr">
        <is>
          <t>ÄLVDALEN</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63592-2025</t>
        </is>
      </c>
      <c r="B6794" s="1" t="n">
        <v>46013.89994212963</v>
      </c>
      <c r="C6794" s="1" t="n">
        <v>46114</v>
      </c>
      <c r="D6794" t="inlineStr">
        <is>
          <t>DALARNAS LÄN</t>
        </is>
      </c>
      <c r="E6794" t="inlineStr">
        <is>
          <t>LEKSAND</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47841-2025</t>
        </is>
      </c>
      <c r="B6795" s="1" t="n">
        <v>45932.37429398148</v>
      </c>
      <c r="C6795" s="1" t="n">
        <v>46114</v>
      </c>
      <c r="D6795" t="inlineStr">
        <is>
          <t>DALARNAS LÄN</t>
        </is>
      </c>
      <c r="E6795" t="inlineStr">
        <is>
          <t>HEDEMORA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40181-2023</t>
        </is>
      </c>
      <c r="B6796" s="1" t="n">
        <v>45169</v>
      </c>
      <c r="C6796" s="1" t="n">
        <v>46114</v>
      </c>
      <c r="D6796" t="inlineStr">
        <is>
          <t>DALARNAS LÄN</t>
        </is>
      </c>
      <c r="E6796" t="inlineStr">
        <is>
          <t>LEKSAND</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48381-2025</t>
        </is>
      </c>
      <c r="B6797" s="1" t="n">
        <v>45933.81800925926</v>
      </c>
      <c r="C6797" s="1" t="n">
        <v>46114</v>
      </c>
      <c r="D6797" t="inlineStr">
        <is>
          <t>DALARNAS LÄN</t>
        </is>
      </c>
      <c r="E6797" t="inlineStr">
        <is>
          <t>HEDEMORA</t>
        </is>
      </c>
      <c r="F6797" t="inlineStr">
        <is>
          <t>Sveaskog</t>
        </is>
      </c>
      <c r="G6797" t="n">
        <v>6.3</v>
      </c>
      <c r="H6797" t="n">
        <v>0</v>
      </c>
      <c r="I6797" t="n">
        <v>0</v>
      </c>
      <c r="J6797" t="n">
        <v>0</v>
      </c>
      <c r="K6797" t="n">
        <v>0</v>
      </c>
      <c r="L6797" t="n">
        <v>0</v>
      </c>
      <c r="M6797" t="n">
        <v>0</v>
      </c>
      <c r="N6797" t="n">
        <v>0</v>
      </c>
      <c r="O6797" t="n">
        <v>0</v>
      </c>
      <c r="P6797" t="n">
        <v>0</v>
      </c>
      <c r="Q6797" t="n">
        <v>0</v>
      </c>
      <c r="R6797" s="2" t="inlineStr"/>
    </row>
    <row r="6798" ht="15" customHeight="1">
      <c r="A6798" t="inlineStr">
        <is>
          <t>A 47-2026</t>
        </is>
      </c>
      <c r="B6798" s="1" t="n">
        <v>46014</v>
      </c>
      <c r="C6798" s="1" t="n">
        <v>46114</v>
      </c>
      <c r="D6798" t="inlineStr">
        <is>
          <t>DALARNAS LÄN</t>
        </is>
      </c>
      <c r="E6798" t="inlineStr">
        <is>
          <t>FALUN</t>
        </is>
      </c>
      <c r="G6798" t="n">
        <v>2</v>
      </c>
      <c r="H6798" t="n">
        <v>0</v>
      </c>
      <c r="I6798" t="n">
        <v>0</v>
      </c>
      <c r="J6798" t="n">
        <v>0</v>
      </c>
      <c r="K6798" t="n">
        <v>0</v>
      </c>
      <c r="L6798" t="n">
        <v>0</v>
      </c>
      <c r="M6798" t="n">
        <v>0</v>
      </c>
      <c r="N6798" t="n">
        <v>0</v>
      </c>
      <c r="O6798" t="n">
        <v>0</v>
      </c>
      <c r="P6798" t="n">
        <v>0</v>
      </c>
      <c r="Q6798" t="n">
        <v>0</v>
      </c>
      <c r="R6798" s="2" t="inlineStr"/>
    </row>
    <row r="6799" ht="15" customHeight="1">
      <c r="A6799" t="inlineStr">
        <is>
          <t>A 45290-2025</t>
        </is>
      </c>
      <c r="B6799" s="1" t="n">
        <v>45920.37158564815</v>
      </c>
      <c r="C6799" s="1" t="n">
        <v>46114</v>
      </c>
      <c r="D6799" t="inlineStr">
        <is>
          <t>DALARNAS LÄN</t>
        </is>
      </c>
      <c r="E6799" t="inlineStr">
        <is>
          <t>HEDEMORA</t>
        </is>
      </c>
      <c r="F6799" t="inlineStr">
        <is>
          <t>Sveaskog</t>
        </is>
      </c>
      <c r="G6799" t="n">
        <v>2.8</v>
      </c>
      <c r="H6799" t="n">
        <v>0</v>
      </c>
      <c r="I6799" t="n">
        <v>0</v>
      </c>
      <c r="J6799" t="n">
        <v>0</v>
      </c>
      <c r="K6799" t="n">
        <v>0</v>
      </c>
      <c r="L6799" t="n">
        <v>0</v>
      </c>
      <c r="M6799" t="n">
        <v>0</v>
      </c>
      <c r="N6799" t="n">
        <v>0</v>
      </c>
      <c r="O6799" t="n">
        <v>0</v>
      </c>
      <c r="P6799" t="n">
        <v>0</v>
      </c>
      <c r="Q6799" t="n">
        <v>0</v>
      </c>
      <c r="R6799" s="2" t="inlineStr"/>
    </row>
    <row r="6800" ht="15" customHeight="1">
      <c r="A6800" t="inlineStr">
        <is>
          <t>A 16174-2023</t>
        </is>
      </c>
      <c r="B6800" s="1" t="n">
        <v>45027</v>
      </c>
      <c r="C6800" s="1" t="n">
        <v>46114</v>
      </c>
      <c r="D6800" t="inlineStr">
        <is>
          <t>DALARNAS LÄN</t>
        </is>
      </c>
      <c r="E6800" t="inlineStr">
        <is>
          <t>GAGNEF</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48135-2023</t>
        </is>
      </c>
      <c r="B6801" s="1" t="n">
        <v>45205.38287037037</v>
      </c>
      <c r="C6801" s="1" t="n">
        <v>46114</v>
      </c>
      <c r="D6801" t="inlineStr">
        <is>
          <t>DALARNAS LÄN</t>
        </is>
      </c>
      <c r="E6801" t="inlineStr">
        <is>
          <t>MALUNG-SÄLEN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52426-2024</t>
        </is>
      </c>
      <c r="B6802" s="1" t="n">
        <v>45608</v>
      </c>
      <c r="C6802" s="1" t="n">
        <v>46114</v>
      </c>
      <c r="D6802" t="inlineStr">
        <is>
          <t>DALARNAS LÄN</t>
        </is>
      </c>
      <c r="E6802" t="inlineStr">
        <is>
          <t>GAGNEF</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63654-2025</t>
        </is>
      </c>
      <c r="B6803" s="1" t="n">
        <v>46014.44138888889</v>
      </c>
      <c r="C6803" s="1" t="n">
        <v>46114</v>
      </c>
      <c r="D6803" t="inlineStr">
        <is>
          <t>DALARNAS LÄN</t>
        </is>
      </c>
      <c r="E6803" t="inlineStr">
        <is>
          <t>SÄTER</t>
        </is>
      </c>
      <c r="G6803" t="n">
        <v>4.1</v>
      </c>
      <c r="H6803" t="n">
        <v>0</v>
      </c>
      <c r="I6803" t="n">
        <v>0</v>
      </c>
      <c r="J6803" t="n">
        <v>0</v>
      </c>
      <c r="K6803" t="n">
        <v>0</v>
      </c>
      <c r="L6803" t="n">
        <v>0</v>
      </c>
      <c r="M6803" t="n">
        <v>0</v>
      </c>
      <c r="N6803" t="n">
        <v>0</v>
      </c>
      <c r="O6803" t="n">
        <v>0</v>
      </c>
      <c r="P6803" t="n">
        <v>0</v>
      </c>
      <c r="Q6803" t="n">
        <v>0</v>
      </c>
      <c r="R6803" s="2" t="inlineStr"/>
    </row>
    <row r="6804" ht="15" customHeight="1">
      <c r="A6804" t="inlineStr">
        <is>
          <t>A 63689-2025</t>
        </is>
      </c>
      <c r="B6804" s="1" t="n">
        <v>46014.539375</v>
      </c>
      <c r="C6804" s="1" t="n">
        <v>46114</v>
      </c>
      <c r="D6804" t="inlineStr">
        <is>
          <t>DALARNAS LÄN</t>
        </is>
      </c>
      <c r="E6804" t="inlineStr">
        <is>
          <t>MORA</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54312-2024</t>
        </is>
      </c>
      <c r="B6805" s="1" t="n">
        <v>45617.3434837963</v>
      </c>
      <c r="C6805" s="1" t="n">
        <v>46114</v>
      </c>
      <c r="D6805" t="inlineStr">
        <is>
          <t>DALARNAS LÄN</t>
        </is>
      </c>
      <c r="E6805" t="inlineStr">
        <is>
          <t>HEDEMORA</t>
        </is>
      </c>
      <c r="F6805" t="inlineStr">
        <is>
          <t>Bergvik skog väst AB</t>
        </is>
      </c>
      <c r="G6805" t="n">
        <v>13.9</v>
      </c>
      <c r="H6805" t="n">
        <v>0</v>
      </c>
      <c r="I6805" t="n">
        <v>0</v>
      </c>
      <c r="J6805" t="n">
        <v>0</v>
      </c>
      <c r="K6805" t="n">
        <v>0</v>
      </c>
      <c r="L6805" t="n">
        <v>0</v>
      </c>
      <c r="M6805" t="n">
        <v>0</v>
      </c>
      <c r="N6805" t="n">
        <v>0</v>
      </c>
      <c r="O6805" t="n">
        <v>0</v>
      </c>
      <c r="P6805" t="n">
        <v>0</v>
      </c>
      <c r="Q6805" t="n">
        <v>0</v>
      </c>
      <c r="R6805" s="2" t="inlineStr"/>
    </row>
    <row r="6806" ht="15" customHeight="1">
      <c r="A6806" t="inlineStr">
        <is>
          <t>A 39872-2022</t>
        </is>
      </c>
      <c r="B6806" s="1" t="n">
        <v>44819.62913194444</v>
      </c>
      <c r="C6806" s="1" t="n">
        <v>46114</v>
      </c>
      <c r="D6806" t="inlineStr">
        <is>
          <t>DALARNAS LÄN</t>
        </is>
      </c>
      <c r="E6806" t="inlineStr">
        <is>
          <t>FALUN</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15786-2023</t>
        </is>
      </c>
      <c r="B6807" s="1" t="n">
        <v>45021</v>
      </c>
      <c r="C6807" s="1" t="n">
        <v>46114</v>
      </c>
      <c r="D6807" t="inlineStr">
        <is>
          <t>DALARNAS LÄN</t>
        </is>
      </c>
      <c r="E6807" t="inlineStr">
        <is>
          <t>SMEDJEBACKEN</t>
        </is>
      </c>
      <c r="F6807" t="inlineStr">
        <is>
          <t>Kommuner</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58674-2025</t>
        </is>
      </c>
      <c r="B6808" s="1" t="n">
        <v>45986.55810185185</v>
      </c>
      <c r="C6808" s="1" t="n">
        <v>46114</v>
      </c>
      <c r="D6808" t="inlineStr">
        <is>
          <t>DALARNAS LÄN</t>
        </is>
      </c>
      <c r="E6808" t="inlineStr">
        <is>
          <t>LEKSAND</t>
        </is>
      </c>
      <c r="G6808" t="n">
        <v>1.5</v>
      </c>
      <c r="H6808" t="n">
        <v>0</v>
      </c>
      <c r="I6808" t="n">
        <v>0</v>
      </c>
      <c r="J6808" t="n">
        <v>0</v>
      </c>
      <c r="K6808" t="n">
        <v>0</v>
      </c>
      <c r="L6808" t="n">
        <v>0</v>
      </c>
      <c r="M6808" t="n">
        <v>0</v>
      </c>
      <c r="N6808" t="n">
        <v>0</v>
      </c>
      <c r="O6808" t="n">
        <v>0</v>
      </c>
      <c r="P6808" t="n">
        <v>0</v>
      </c>
      <c r="Q6808" t="n">
        <v>0</v>
      </c>
      <c r="R6808" s="2" t="inlineStr"/>
    </row>
    <row r="6809" ht="15" customHeight="1">
      <c r="A6809" t="inlineStr">
        <is>
          <t>A 22712-2024</t>
        </is>
      </c>
      <c r="B6809" s="1" t="n">
        <v>45448.35927083333</v>
      </c>
      <c r="C6809" s="1" t="n">
        <v>46114</v>
      </c>
      <c r="D6809" t="inlineStr">
        <is>
          <t>DALARNAS LÄN</t>
        </is>
      </c>
      <c r="E6809" t="inlineStr">
        <is>
          <t>MALUNG-SÄLEN</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63544-2023</t>
        </is>
      </c>
      <c r="B6810" s="1" t="n">
        <v>45275</v>
      </c>
      <c r="C6810" s="1" t="n">
        <v>46114</v>
      </c>
      <c r="D6810" t="inlineStr">
        <is>
          <t>DALARNAS LÄN</t>
        </is>
      </c>
      <c r="E6810" t="inlineStr">
        <is>
          <t>LEKSAND</t>
        </is>
      </c>
      <c r="G6810" t="n">
        <v>0.3</v>
      </c>
      <c r="H6810" t="n">
        <v>0</v>
      </c>
      <c r="I6810" t="n">
        <v>0</v>
      </c>
      <c r="J6810" t="n">
        <v>0</v>
      </c>
      <c r="K6810" t="n">
        <v>0</v>
      </c>
      <c r="L6810" t="n">
        <v>0</v>
      </c>
      <c r="M6810" t="n">
        <v>0</v>
      </c>
      <c r="N6810" t="n">
        <v>0</v>
      </c>
      <c r="O6810" t="n">
        <v>0</v>
      </c>
      <c r="P6810" t="n">
        <v>0</v>
      </c>
      <c r="Q6810" t="n">
        <v>0</v>
      </c>
      <c r="R6810" s="2" t="inlineStr"/>
    </row>
    <row r="6811" ht="15" customHeight="1">
      <c r="A6811" t="inlineStr">
        <is>
          <t>A 44-2026</t>
        </is>
      </c>
      <c r="B6811" s="1" t="n">
        <v>46014</v>
      </c>
      <c r="C6811" s="1" t="n">
        <v>46114</v>
      </c>
      <c r="D6811" t="inlineStr">
        <is>
          <t>DALARNAS LÄN</t>
        </is>
      </c>
      <c r="E6811" t="inlineStr">
        <is>
          <t>FALUN</t>
        </is>
      </c>
      <c r="G6811" t="n">
        <v>1.8</v>
      </c>
      <c r="H6811" t="n">
        <v>0</v>
      </c>
      <c r="I6811" t="n">
        <v>0</v>
      </c>
      <c r="J6811" t="n">
        <v>0</v>
      </c>
      <c r="K6811" t="n">
        <v>0</v>
      </c>
      <c r="L6811" t="n">
        <v>0</v>
      </c>
      <c r="M6811" t="n">
        <v>0</v>
      </c>
      <c r="N6811" t="n">
        <v>0</v>
      </c>
      <c r="O6811" t="n">
        <v>0</v>
      </c>
      <c r="P6811" t="n">
        <v>0</v>
      </c>
      <c r="Q6811" t="n">
        <v>0</v>
      </c>
      <c r="R6811" s="2" t="inlineStr"/>
    </row>
    <row r="6812" ht="15" customHeight="1">
      <c r="A6812" t="inlineStr">
        <is>
          <t>A 24727-2024</t>
        </is>
      </c>
      <c r="B6812" s="1" t="n">
        <v>45460.644375</v>
      </c>
      <c r="C6812" s="1" t="n">
        <v>46114</v>
      </c>
      <c r="D6812" t="inlineStr">
        <is>
          <t>DALARNAS LÄN</t>
        </is>
      </c>
      <c r="E6812" t="inlineStr">
        <is>
          <t>MALUNG-SÄLEN</t>
        </is>
      </c>
      <c r="F6812" t="inlineStr">
        <is>
          <t>Bergvik skog öst AB</t>
        </is>
      </c>
      <c r="G6812" t="n">
        <v>4.4</v>
      </c>
      <c r="H6812" t="n">
        <v>0</v>
      </c>
      <c r="I6812" t="n">
        <v>0</v>
      </c>
      <c r="J6812" t="n">
        <v>0</v>
      </c>
      <c r="K6812" t="n">
        <v>0</v>
      </c>
      <c r="L6812" t="n">
        <v>0</v>
      </c>
      <c r="M6812" t="n">
        <v>0</v>
      </c>
      <c r="N6812" t="n">
        <v>0</v>
      </c>
      <c r="O6812" t="n">
        <v>0</v>
      </c>
      <c r="P6812" t="n">
        <v>0</v>
      </c>
      <c r="Q6812" t="n">
        <v>0</v>
      </c>
      <c r="R6812" s="2" t="inlineStr"/>
    </row>
    <row r="6813" ht="15" customHeight="1">
      <c r="A6813" t="inlineStr">
        <is>
          <t>A 63684-2025</t>
        </is>
      </c>
      <c r="B6813" s="1" t="n">
        <v>46014.52145833334</v>
      </c>
      <c r="C6813" s="1" t="n">
        <v>46114</v>
      </c>
      <c r="D6813" t="inlineStr">
        <is>
          <t>DALARNAS LÄN</t>
        </is>
      </c>
      <c r="E6813" t="inlineStr">
        <is>
          <t>SÄTER</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52945-2024</t>
        </is>
      </c>
      <c r="B6814" s="1" t="n">
        <v>45610.82664351852</v>
      </c>
      <c r="C6814" s="1" t="n">
        <v>46114</v>
      </c>
      <c r="D6814" t="inlineStr">
        <is>
          <t>DALARNAS LÄN</t>
        </is>
      </c>
      <c r="E6814" t="inlineStr">
        <is>
          <t>HEDEMORA</t>
        </is>
      </c>
      <c r="F6814" t="inlineStr">
        <is>
          <t>Sveaskog</t>
        </is>
      </c>
      <c r="G6814" t="n">
        <v>5</v>
      </c>
      <c r="H6814" t="n">
        <v>0</v>
      </c>
      <c r="I6814" t="n">
        <v>0</v>
      </c>
      <c r="J6814" t="n">
        <v>0</v>
      </c>
      <c r="K6814" t="n">
        <v>0</v>
      </c>
      <c r="L6814" t="n">
        <v>0</v>
      </c>
      <c r="M6814" t="n">
        <v>0</v>
      </c>
      <c r="N6814" t="n">
        <v>0</v>
      </c>
      <c r="O6814" t="n">
        <v>0</v>
      </c>
      <c r="P6814" t="n">
        <v>0</v>
      </c>
      <c r="Q6814" t="n">
        <v>0</v>
      </c>
      <c r="R6814" s="2" t="inlineStr"/>
    </row>
    <row r="6815" ht="15" customHeight="1">
      <c r="A6815" t="inlineStr">
        <is>
          <t>A 6801-2026</t>
        </is>
      </c>
      <c r="B6815" s="1" t="n">
        <v>46055</v>
      </c>
      <c r="C6815" s="1" t="n">
        <v>46114</v>
      </c>
      <c r="D6815" t="inlineStr">
        <is>
          <t>DALARNAS LÄN</t>
        </is>
      </c>
      <c r="E6815" t="inlineStr">
        <is>
          <t>FALUN</t>
        </is>
      </c>
      <c r="F6815" t="inlineStr">
        <is>
          <t>Övriga statliga verk och myndigheter</t>
        </is>
      </c>
      <c r="G6815" t="n">
        <v>3.6</v>
      </c>
      <c r="H6815" t="n">
        <v>0</v>
      </c>
      <c r="I6815" t="n">
        <v>0</v>
      </c>
      <c r="J6815" t="n">
        <v>0</v>
      </c>
      <c r="K6815" t="n">
        <v>0</v>
      </c>
      <c r="L6815" t="n">
        <v>0</v>
      </c>
      <c r="M6815" t="n">
        <v>0</v>
      </c>
      <c r="N6815" t="n">
        <v>0</v>
      </c>
      <c r="O6815" t="n">
        <v>0</v>
      </c>
      <c r="P6815" t="n">
        <v>0</v>
      </c>
      <c r="Q6815" t="n">
        <v>0</v>
      </c>
      <c r="R6815" s="2" t="inlineStr"/>
    </row>
    <row r="6816" ht="15" customHeight="1">
      <c r="A6816" t="inlineStr">
        <is>
          <t>A 58877-2023</t>
        </is>
      </c>
      <c r="B6816" s="1" t="n">
        <v>45252</v>
      </c>
      <c r="C6816" s="1" t="n">
        <v>46114</v>
      </c>
      <c r="D6816" t="inlineStr">
        <is>
          <t>DALARNAS LÄN</t>
        </is>
      </c>
      <c r="E6816" t="inlineStr">
        <is>
          <t>LEKSAND</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63744-2025</t>
        </is>
      </c>
      <c r="B6817" s="1" t="n">
        <v>46016.67853009259</v>
      </c>
      <c r="C6817" s="1" t="n">
        <v>46114</v>
      </c>
      <c r="D6817" t="inlineStr">
        <is>
          <t>DALARNAS LÄN</t>
        </is>
      </c>
      <c r="E6817" t="inlineStr">
        <is>
          <t>MALUNG-SÄLEN</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59632-2023</t>
        </is>
      </c>
      <c r="B6818" s="1" t="n">
        <v>45254</v>
      </c>
      <c r="C6818" s="1" t="n">
        <v>46114</v>
      </c>
      <c r="D6818" t="inlineStr">
        <is>
          <t>DALARNAS LÄN</t>
        </is>
      </c>
      <c r="E6818" t="inlineStr">
        <is>
          <t>HEDEMORA</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52856-2023</t>
        </is>
      </c>
      <c r="B6819" s="1" t="n">
        <v>45226</v>
      </c>
      <c r="C6819" s="1" t="n">
        <v>46114</v>
      </c>
      <c r="D6819" t="inlineStr">
        <is>
          <t>DALARNAS LÄN</t>
        </is>
      </c>
      <c r="E6819" t="inlineStr">
        <is>
          <t>FALUN</t>
        </is>
      </c>
      <c r="G6819" t="n">
        <v>3</v>
      </c>
      <c r="H6819" t="n">
        <v>0</v>
      </c>
      <c r="I6819" t="n">
        <v>0</v>
      </c>
      <c r="J6819" t="n">
        <v>0</v>
      </c>
      <c r="K6819" t="n">
        <v>0</v>
      </c>
      <c r="L6819" t="n">
        <v>0</v>
      </c>
      <c r="M6819" t="n">
        <v>0</v>
      </c>
      <c r="N6819" t="n">
        <v>0</v>
      </c>
      <c r="O6819" t="n">
        <v>0</v>
      </c>
      <c r="P6819" t="n">
        <v>0</v>
      </c>
      <c r="Q6819" t="n">
        <v>0</v>
      </c>
      <c r="R6819" s="2" t="inlineStr"/>
    </row>
    <row r="6820" ht="15" customHeight="1">
      <c r="A6820" t="inlineStr">
        <is>
          <t>A 39400-2023</t>
        </is>
      </c>
      <c r="B6820" s="1" t="n">
        <v>45166.66240740741</v>
      </c>
      <c r="C6820" s="1" t="n">
        <v>46114</v>
      </c>
      <c r="D6820" t="inlineStr">
        <is>
          <t>DALARNAS LÄN</t>
        </is>
      </c>
      <c r="E6820" t="inlineStr">
        <is>
          <t>LUDVIKA</t>
        </is>
      </c>
      <c r="F6820" t="inlineStr">
        <is>
          <t>Bergvik skog väst AB</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889-2025</t>
        </is>
      </c>
      <c r="B6821" s="1" t="n">
        <v>45665.65398148148</v>
      </c>
      <c r="C6821" s="1" t="n">
        <v>46114</v>
      </c>
      <c r="D6821" t="inlineStr">
        <is>
          <t>DALARNAS LÄN</t>
        </is>
      </c>
      <c r="E6821" t="inlineStr">
        <is>
          <t>RÄTTVIK</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63743-2025</t>
        </is>
      </c>
      <c r="B6822" s="1" t="n">
        <v>46016.67640046297</v>
      </c>
      <c r="C6822" s="1" t="n">
        <v>46114</v>
      </c>
      <c r="D6822" t="inlineStr">
        <is>
          <t>DALARNAS LÄN</t>
        </is>
      </c>
      <c r="E6822" t="inlineStr">
        <is>
          <t>MALUNG-SÄLEN</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19359-2025</t>
        </is>
      </c>
      <c r="B6823" s="1" t="n">
        <v>45769.62832175926</v>
      </c>
      <c r="C6823" s="1" t="n">
        <v>46114</v>
      </c>
      <c r="D6823" t="inlineStr">
        <is>
          <t>DALARNAS LÄN</t>
        </is>
      </c>
      <c r="E6823" t="inlineStr">
        <is>
          <t>AVESTA</t>
        </is>
      </c>
      <c r="G6823" t="n">
        <v>1.8</v>
      </c>
      <c r="H6823" t="n">
        <v>0</v>
      </c>
      <c r="I6823" t="n">
        <v>0</v>
      </c>
      <c r="J6823" t="n">
        <v>0</v>
      </c>
      <c r="K6823" t="n">
        <v>0</v>
      </c>
      <c r="L6823" t="n">
        <v>0</v>
      </c>
      <c r="M6823" t="n">
        <v>0</v>
      </c>
      <c r="N6823" t="n">
        <v>0</v>
      </c>
      <c r="O6823" t="n">
        <v>0</v>
      </c>
      <c r="P6823" t="n">
        <v>0</v>
      </c>
      <c r="Q6823" t="n">
        <v>0</v>
      </c>
      <c r="R6823" s="2" t="inlineStr"/>
    </row>
    <row r="6824" ht="15" customHeight="1">
      <c r="A6824" t="inlineStr">
        <is>
          <t>A 31550-2021</t>
        </is>
      </c>
      <c r="B6824" s="1" t="n">
        <v>44369</v>
      </c>
      <c r="C6824" s="1" t="n">
        <v>46114</v>
      </c>
      <c r="D6824" t="inlineStr">
        <is>
          <t>DALARNAS LÄN</t>
        </is>
      </c>
      <c r="E6824" t="inlineStr">
        <is>
          <t>LUDVIKA</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31574-2021</t>
        </is>
      </c>
      <c r="B6825" s="1" t="n">
        <v>44369.54519675926</v>
      </c>
      <c r="C6825" s="1" t="n">
        <v>46114</v>
      </c>
      <c r="D6825" t="inlineStr">
        <is>
          <t>DALARNAS LÄN</t>
        </is>
      </c>
      <c r="E6825" t="inlineStr">
        <is>
          <t>SÄTER</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2463-2024</t>
        </is>
      </c>
      <c r="B6826" s="1" t="n">
        <v>45313.33021990741</v>
      </c>
      <c r="C6826" s="1" t="n">
        <v>46114</v>
      </c>
      <c r="D6826" t="inlineStr">
        <is>
          <t>DALARNAS LÄN</t>
        </is>
      </c>
      <c r="E6826" t="inlineStr">
        <is>
          <t>FALUN</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51377-2023</t>
        </is>
      </c>
      <c r="B6827" s="1" t="n">
        <v>45219</v>
      </c>
      <c r="C6827" s="1" t="n">
        <v>46114</v>
      </c>
      <c r="D6827" t="inlineStr">
        <is>
          <t>DALARNAS LÄN</t>
        </is>
      </c>
      <c r="E6827" t="inlineStr">
        <is>
          <t>LEKSAND</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63312-2023</t>
        </is>
      </c>
      <c r="B6828" s="1" t="n">
        <v>45274</v>
      </c>
      <c r="C6828" s="1" t="n">
        <v>46114</v>
      </c>
      <c r="D6828" t="inlineStr">
        <is>
          <t>DALARNAS LÄN</t>
        </is>
      </c>
      <c r="E6828" t="inlineStr">
        <is>
          <t>FALUN</t>
        </is>
      </c>
      <c r="G6828" t="n">
        <v>16.2</v>
      </c>
      <c r="H6828" t="n">
        <v>0</v>
      </c>
      <c r="I6828" t="n">
        <v>0</v>
      </c>
      <c r="J6828" t="n">
        <v>0</v>
      </c>
      <c r="K6828" t="n">
        <v>0</v>
      </c>
      <c r="L6828" t="n">
        <v>0</v>
      </c>
      <c r="M6828" t="n">
        <v>0</v>
      </c>
      <c r="N6828" t="n">
        <v>0</v>
      </c>
      <c r="O6828" t="n">
        <v>0</v>
      </c>
      <c r="P6828" t="n">
        <v>0</v>
      </c>
      <c r="Q6828" t="n">
        <v>0</v>
      </c>
      <c r="R6828" s="2" t="inlineStr"/>
    </row>
    <row r="6829" ht="15" customHeight="1">
      <c r="A6829" t="inlineStr">
        <is>
          <t>A 62355-2022</t>
        </is>
      </c>
      <c r="B6829" s="1" t="n">
        <v>44923</v>
      </c>
      <c r="C6829" s="1" t="n">
        <v>46114</v>
      </c>
      <c r="D6829" t="inlineStr">
        <is>
          <t>DALARNAS LÄN</t>
        </is>
      </c>
      <c r="E6829" t="inlineStr">
        <is>
          <t>ÄLVDALEN</t>
        </is>
      </c>
      <c r="G6829" t="n">
        <v>4.3</v>
      </c>
      <c r="H6829" t="n">
        <v>0</v>
      </c>
      <c r="I6829" t="n">
        <v>0</v>
      </c>
      <c r="J6829" t="n">
        <v>0</v>
      </c>
      <c r="K6829" t="n">
        <v>0</v>
      </c>
      <c r="L6829" t="n">
        <v>0</v>
      </c>
      <c r="M6829" t="n">
        <v>0</v>
      </c>
      <c r="N6829" t="n">
        <v>0</v>
      </c>
      <c r="O6829" t="n">
        <v>0</v>
      </c>
      <c r="P6829" t="n">
        <v>0</v>
      </c>
      <c r="Q6829" t="n">
        <v>0</v>
      </c>
      <c r="R6829" s="2" t="inlineStr"/>
    </row>
    <row r="6830" ht="15" customHeight="1">
      <c r="A6830" t="inlineStr">
        <is>
          <t>A 60642-2025</t>
        </is>
      </c>
      <c r="B6830" s="1" t="n">
        <v>45996.44425925926</v>
      </c>
      <c r="C6830" s="1" t="n">
        <v>46114</v>
      </c>
      <c r="D6830" t="inlineStr">
        <is>
          <t>DALARNAS LÄN</t>
        </is>
      </c>
      <c r="E6830" t="inlineStr">
        <is>
          <t>AVESTA</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4287-2026</t>
        </is>
      </c>
      <c r="B6831" s="1" t="n">
        <v>46044</v>
      </c>
      <c r="C6831" s="1" t="n">
        <v>46114</v>
      </c>
      <c r="D6831" t="inlineStr">
        <is>
          <t>DALARNAS LÄN</t>
        </is>
      </c>
      <c r="E6831" t="inlineStr">
        <is>
          <t>FALUN</t>
        </is>
      </c>
      <c r="G6831" t="n">
        <v>2.1</v>
      </c>
      <c r="H6831" t="n">
        <v>0</v>
      </c>
      <c r="I6831" t="n">
        <v>0</v>
      </c>
      <c r="J6831" t="n">
        <v>0</v>
      </c>
      <c r="K6831" t="n">
        <v>0</v>
      </c>
      <c r="L6831" t="n">
        <v>0</v>
      </c>
      <c r="M6831" t="n">
        <v>0</v>
      </c>
      <c r="N6831" t="n">
        <v>0</v>
      </c>
      <c r="O6831" t="n">
        <v>0</v>
      </c>
      <c r="P6831" t="n">
        <v>0</v>
      </c>
      <c r="Q6831" t="n">
        <v>0</v>
      </c>
      <c r="R6831" s="2" t="inlineStr"/>
    </row>
    <row r="6832" ht="15" customHeight="1">
      <c r="A6832" t="inlineStr">
        <is>
          <t>A 63999-2025</t>
        </is>
      </c>
      <c r="B6832" s="1" t="n">
        <v>46021</v>
      </c>
      <c r="C6832" s="1" t="n">
        <v>46114</v>
      </c>
      <c r="D6832" t="inlineStr">
        <is>
          <t>DALARNAS LÄN</t>
        </is>
      </c>
      <c r="E6832" t="inlineStr">
        <is>
          <t>MALUNG-SÄLEN</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58640-2023</t>
        </is>
      </c>
      <c r="B6833" s="1" t="n">
        <v>45251.58048611111</v>
      </c>
      <c r="C6833" s="1" t="n">
        <v>46114</v>
      </c>
      <c r="D6833" t="inlineStr">
        <is>
          <t>DALARNAS LÄN</t>
        </is>
      </c>
      <c r="E6833" t="inlineStr">
        <is>
          <t>BORLÄNGE</t>
        </is>
      </c>
      <c r="G6833" t="n">
        <v>1.2</v>
      </c>
      <c r="H6833" t="n">
        <v>0</v>
      </c>
      <c r="I6833" t="n">
        <v>0</v>
      </c>
      <c r="J6833" t="n">
        <v>0</v>
      </c>
      <c r="K6833" t="n">
        <v>0</v>
      </c>
      <c r="L6833" t="n">
        <v>0</v>
      </c>
      <c r="M6833" t="n">
        <v>0</v>
      </c>
      <c r="N6833" t="n">
        <v>0</v>
      </c>
      <c r="O6833" t="n">
        <v>0</v>
      </c>
      <c r="P6833" t="n">
        <v>0</v>
      </c>
      <c r="Q6833" t="n">
        <v>0</v>
      </c>
      <c r="R6833" s="2" t="inlineStr"/>
    </row>
    <row r="6834" ht="15" customHeight="1">
      <c r="A6834" t="inlineStr">
        <is>
          <t>A 63960-2025</t>
        </is>
      </c>
      <c r="B6834" s="1" t="n">
        <v>46020</v>
      </c>
      <c r="C6834" s="1" t="n">
        <v>46114</v>
      </c>
      <c r="D6834" t="inlineStr">
        <is>
          <t>DALARNAS LÄN</t>
        </is>
      </c>
      <c r="E6834" t="inlineStr">
        <is>
          <t>FALUN</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63969-2025</t>
        </is>
      </c>
      <c r="B6835" s="1" t="n">
        <v>46021</v>
      </c>
      <c r="C6835" s="1" t="n">
        <v>46114</v>
      </c>
      <c r="D6835" t="inlineStr">
        <is>
          <t>DALARNAS LÄN</t>
        </is>
      </c>
      <c r="E6835" t="inlineStr">
        <is>
          <t>LEKSAND</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63974-2025</t>
        </is>
      </c>
      <c r="B6836" s="1" t="n">
        <v>46021</v>
      </c>
      <c r="C6836" s="1" t="n">
        <v>46114</v>
      </c>
      <c r="D6836" t="inlineStr">
        <is>
          <t>DALARNAS LÄN</t>
        </is>
      </c>
      <c r="E6836" t="inlineStr">
        <is>
          <t>FALUN</t>
        </is>
      </c>
      <c r="G6836" t="n">
        <v>3.1</v>
      </c>
      <c r="H6836" t="n">
        <v>0</v>
      </c>
      <c r="I6836" t="n">
        <v>0</v>
      </c>
      <c r="J6836" t="n">
        <v>0</v>
      </c>
      <c r="K6836" t="n">
        <v>0</v>
      </c>
      <c r="L6836" t="n">
        <v>0</v>
      </c>
      <c r="M6836" t="n">
        <v>0</v>
      </c>
      <c r="N6836" t="n">
        <v>0</v>
      </c>
      <c r="O6836" t="n">
        <v>0</v>
      </c>
      <c r="P6836" t="n">
        <v>0</v>
      </c>
      <c r="Q6836" t="n">
        <v>0</v>
      </c>
      <c r="R6836" s="2" t="inlineStr"/>
    </row>
    <row r="6837" ht="15" customHeight="1">
      <c r="A6837" t="inlineStr">
        <is>
          <t>A 64008-2025</t>
        </is>
      </c>
      <c r="B6837" s="1" t="n">
        <v>46021</v>
      </c>
      <c r="C6837" s="1" t="n">
        <v>46114</v>
      </c>
      <c r="D6837" t="inlineStr">
        <is>
          <t>DALARNAS LÄN</t>
        </is>
      </c>
      <c r="E6837" t="inlineStr">
        <is>
          <t>HEDEMORA</t>
        </is>
      </c>
      <c r="G6837" t="n">
        <v>7.1</v>
      </c>
      <c r="H6837" t="n">
        <v>0</v>
      </c>
      <c r="I6837" t="n">
        <v>0</v>
      </c>
      <c r="J6837" t="n">
        <v>0</v>
      </c>
      <c r="K6837" t="n">
        <v>0</v>
      </c>
      <c r="L6837" t="n">
        <v>0</v>
      </c>
      <c r="M6837" t="n">
        <v>0</v>
      </c>
      <c r="N6837" t="n">
        <v>0</v>
      </c>
      <c r="O6837" t="n">
        <v>0</v>
      </c>
      <c r="P6837" t="n">
        <v>0</v>
      </c>
      <c r="Q6837" t="n">
        <v>0</v>
      </c>
      <c r="R6837" s="2" t="inlineStr"/>
    </row>
    <row r="6838" ht="15" customHeight="1">
      <c r="A6838" t="inlineStr">
        <is>
          <t>A 12464-2022</t>
        </is>
      </c>
      <c r="B6838" s="1" t="n">
        <v>44638</v>
      </c>
      <c r="C6838" s="1" t="n">
        <v>46114</v>
      </c>
      <c r="D6838" t="inlineStr">
        <is>
          <t>DALARNAS LÄN</t>
        </is>
      </c>
      <c r="E6838" t="inlineStr">
        <is>
          <t>RÄTTVIK</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52358-2024</t>
        </is>
      </c>
      <c r="B6839" s="1" t="n">
        <v>45609.36947916666</v>
      </c>
      <c r="C6839" s="1" t="n">
        <v>46114</v>
      </c>
      <c r="D6839" t="inlineStr">
        <is>
          <t>DALARNAS LÄN</t>
        </is>
      </c>
      <c r="E6839" t="inlineStr">
        <is>
          <t>MALUNG-SÄLEN</t>
        </is>
      </c>
      <c r="F6839" t="inlineStr">
        <is>
          <t>Bergvik skog öst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63829-2025</t>
        </is>
      </c>
      <c r="B6840" s="1" t="n">
        <v>46020</v>
      </c>
      <c r="C6840" s="1" t="n">
        <v>46114</v>
      </c>
      <c r="D6840" t="inlineStr">
        <is>
          <t>DALARNAS LÄN</t>
        </is>
      </c>
      <c r="E6840" t="inlineStr">
        <is>
          <t>HEDEMORA</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64032-2025</t>
        </is>
      </c>
      <c r="B6841" s="1" t="n">
        <v>46021.50405092593</v>
      </c>
      <c r="C6841" s="1" t="n">
        <v>46114</v>
      </c>
      <c r="D6841" t="inlineStr">
        <is>
          <t>DALARNAS LÄN</t>
        </is>
      </c>
      <c r="E6841" t="inlineStr">
        <is>
          <t>HEDEMORA</t>
        </is>
      </c>
      <c r="G6841" t="n">
        <v>9.300000000000001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64115-2025</t>
        </is>
      </c>
      <c r="B6842" s="1" t="n">
        <v>46021</v>
      </c>
      <c r="C6842" s="1" t="n">
        <v>46114</v>
      </c>
      <c r="D6842" t="inlineStr">
        <is>
          <t>DALARNAS LÄN</t>
        </is>
      </c>
      <c r="E6842" t="inlineStr">
        <is>
          <t>FALUN</t>
        </is>
      </c>
      <c r="G6842" t="n">
        <v>11.1</v>
      </c>
      <c r="H6842" t="n">
        <v>0</v>
      </c>
      <c r="I6842" t="n">
        <v>0</v>
      </c>
      <c r="J6842" t="n">
        <v>0</v>
      </c>
      <c r="K6842" t="n">
        <v>0</v>
      </c>
      <c r="L6842" t="n">
        <v>0</v>
      </c>
      <c r="M6842" t="n">
        <v>0</v>
      </c>
      <c r="N6842" t="n">
        <v>0</v>
      </c>
      <c r="O6842" t="n">
        <v>0</v>
      </c>
      <c r="P6842" t="n">
        <v>0</v>
      </c>
      <c r="Q6842" t="n">
        <v>0</v>
      </c>
      <c r="R6842" s="2" t="inlineStr"/>
    </row>
    <row r="6843" ht="15" customHeight="1">
      <c r="A6843" t="inlineStr">
        <is>
          <t>A 63757-2025</t>
        </is>
      </c>
      <c r="B6843" s="1" t="n">
        <v>46018.42364583333</v>
      </c>
      <c r="C6843" s="1" t="n">
        <v>46114</v>
      </c>
      <c r="D6843" t="inlineStr">
        <is>
          <t>DALARNAS LÄN</t>
        </is>
      </c>
      <c r="E6843" t="inlineStr">
        <is>
          <t>LEKSAND</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63900-2025</t>
        </is>
      </c>
      <c r="B6844" s="1" t="n">
        <v>46020</v>
      </c>
      <c r="C6844" s="1" t="n">
        <v>46114</v>
      </c>
      <c r="D6844" t="inlineStr">
        <is>
          <t>DALARNAS LÄN</t>
        </is>
      </c>
      <c r="E6844" t="inlineStr">
        <is>
          <t>HEDEMORA</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63906-2025</t>
        </is>
      </c>
      <c r="B6845" s="1" t="n">
        <v>46020</v>
      </c>
      <c r="C6845" s="1" t="n">
        <v>46114</v>
      </c>
      <c r="D6845" t="inlineStr">
        <is>
          <t>DALARNAS LÄN</t>
        </is>
      </c>
      <c r="E6845" t="inlineStr">
        <is>
          <t>LEKSAND</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64004-2025</t>
        </is>
      </c>
      <c r="B6846" s="1" t="n">
        <v>46021</v>
      </c>
      <c r="C6846" s="1" t="n">
        <v>46114</v>
      </c>
      <c r="D6846" t="inlineStr">
        <is>
          <t>DALARNAS LÄN</t>
        </is>
      </c>
      <c r="E6846" t="inlineStr">
        <is>
          <t>FALUN</t>
        </is>
      </c>
      <c r="G6846" t="n">
        <v>8.5</v>
      </c>
      <c r="H6846" t="n">
        <v>0</v>
      </c>
      <c r="I6846" t="n">
        <v>0</v>
      </c>
      <c r="J6846" t="n">
        <v>0</v>
      </c>
      <c r="K6846" t="n">
        <v>0</v>
      </c>
      <c r="L6846" t="n">
        <v>0</v>
      </c>
      <c r="M6846" t="n">
        <v>0</v>
      </c>
      <c r="N6846" t="n">
        <v>0</v>
      </c>
      <c r="O6846" t="n">
        <v>0</v>
      </c>
      <c r="P6846" t="n">
        <v>0</v>
      </c>
      <c r="Q6846" t="n">
        <v>0</v>
      </c>
      <c r="R6846" s="2" t="inlineStr"/>
    </row>
    <row r="6847" ht="15" customHeight="1">
      <c r="A6847" t="inlineStr">
        <is>
          <t>A 19046-2025</t>
        </is>
      </c>
      <c r="B6847" s="1" t="n">
        <v>45764.76855324074</v>
      </c>
      <c r="C6847" s="1" t="n">
        <v>46114</v>
      </c>
      <c r="D6847" t="inlineStr">
        <is>
          <t>DALARNAS LÄN</t>
        </is>
      </c>
      <c r="E6847" t="inlineStr">
        <is>
          <t>GAGNEF</t>
        </is>
      </c>
      <c r="G6847" t="n">
        <v>20.4</v>
      </c>
      <c r="H6847" t="n">
        <v>0</v>
      </c>
      <c r="I6847" t="n">
        <v>0</v>
      </c>
      <c r="J6847" t="n">
        <v>0</v>
      </c>
      <c r="K6847" t="n">
        <v>0</v>
      </c>
      <c r="L6847" t="n">
        <v>0</v>
      </c>
      <c r="M6847" t="n">
        <v>0</v>
      </c>
      <c r="N6847" t="n">
        <v>0</v>
      </c>
      <c r="O6847" t="n">
        <v>0</v>
      </c>
      <c r="P6847" t="n">
        <v>0</v>
      </c>
      <c r="Q6847" t="n">
        <v>0</v>
      </c>
      <c r="R6847" s="2" t="inlineStr"/>
    </row>
    <row r="6848" ht="15" customHeight="1">
      <c r="A6848" t="inlineStr">
        <is>
          <t>A 64100-2025</t>
        </is>
      </c>
      <c r="B6848" s="1" t="n">
        <v>46021</v>
      </c>
      <c r="C6848" s="1" t="n">
        <v>46114</v>
      </c>
      <c r="D6848" t="inlineStr">
        <is>
          <t>DALARNAS LÄN</t>
        </is>
      </c>
      <c r="E6848" t="inlineStr">
        <is>
          <t>LUDVIKA</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56644-2025</t>
        </is>
      </c>
      <c r="B6849" s="1" t="n">
        <v>45975.62692129629</v>
      </c>
      <c r="C6849" s="1" t="n">
        <v>46114</v>
      </c>
      <c r="D6849" t="inlineStr">
        <is>
          <t>DALARNAS LÄN</t>
        </is>
      </c>
      <c r="E6849" t="inlineStr">
        <is>
          <t>AVESTA</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32119-2023</t>
        </is>
      </c>
      <c r="B6850" s="1" t="n">
        <v>45119.6334375</v>
      </c>
      <c r="C6850" s="1" t="n">
        <v>46114</v>
      </c>
      <c r="D6850" t="inlineStr">
        <is>
          <t>DALARNAS LÄN</t>
        </is>
      </c>
      <c r="E6850" t="inlineStr">
        <is>
          <t>LUDVIKA</t>
        </is>
      </c>
      <c r="F6850" t="inlineStr">
        <is>
          <t>Naturvårdsverket</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64045-2025</t>
        </is>
      </c>
      <c r="B6851" s="1" t="n">
        <v>46021.56877314814</v>
      </c>
      <c r="C6851" s="1" t="n">
        <v>46114</v>
      </c>
      <c r="D6851" t="inlineStr">
        <is>
          <t>DALARNAS LÄN</t>
        </is>
      </c>
      <c r="E6851" t="inlineStr">
        <is>
          <t>HEDEMORA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63913-2025</t>
        </is>
      </c>
      <c r="B6852" s="1" t="n">
        <v>46020</v>
      </c>
      <c r="C6852" s="1" t="n">
        <v>46114</v>
      </c>
      <c r="D6852" t="inlineStr">
        <is>
          <t>DALARNAS LÄN</t>
        </is>
      </c>
      <c r="E6852" t="inlineStr">
        <is>
          <t>HEDEMORA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63916-2025</t>
        </is>
      </c>
      <c r="B6853" s="1" t="n">
        <v>46020</v>
      </c>
      <c r="C6853" s="1" t="n">
        <v>46114</v>
      </c>
      <c r="D6853" t="inlineStr">
        <is>
          <t>DALARNAS LÄN</t>
        </is>
      </c>
      <c r="E6853" t="inlineStr">
        <is>
          <t>HEDEMORA</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63959-2025</t>
        </is>
      </c>
      <c r="B6854" s="1" t="n">
        <v>46020</v>
      </c>
      <c r="C6854" s="1" t="n">
        <v>46114</v>
      </c>
      <c r="D6854" t="inlineStr">
        <is>
          <t>DALARNAS LÄN</t>
        </is>
      </c>
      <c r="E6854" t="inlineStr">
        <is>
          <t>BORLÄNGE</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63961-2025</t>
        </is>
      </c>
      <c r="B6855" s="1" t="n">
        <v>46020</v>
      </c>
      <c r="C6855" s="1" t="n">
        <v>46114</v>
      </c>
      <c r="D6855" t="inlineStr">
        <is>
          <t>DALARNAS LÄN</t>
        </is>
      </c>
      <c r="E6855" t="inlineStr">
        <is>
          <t>LEKSAND</t>
        </is>
      </c>
      <c r="F6855" t="inlineStr">
        <is>
          <t>Övriga Aktiebolag</t>
        </is>
      </c>
      <c r="G6855" t="n">
        <v>3.7</v>
      </c>
      <c r="H6855" t="n">
        <v>0</v>
      </c>
      <c r="I6855" t="n">
        <v>0</v>
      </c>
      <c r="J6855" t="n">
        <v>0</v>
      </c>
      <c r="K6855" t="n">
        <v>0</v>
      </c>
      <c r="L6855" t="n">
        <v>0</v>
      </c>
      <c r="M6855" t="n">
        <v>0</v>
      </c>
      <c r="N6855" t="n">
        <v>0</v>
      </c>
      <c r="O6855" t="n">
        <v>0</v>
      </c>
      <c r="P6855" t="n">
        <v>0</v>
      </c>
      <c r="Q6855" t="n">
        <v>0</v>
      </c>
      <c r="R6855" s="2" t="inlineStr"/>
    </row>
    <row r="6856" ht="15" customHeight="1">
      <c r="A6856" t="inlineStr">
        <is>
          <t>A 63968-2025</t>
        </is>
      </c>
      <c r="B6856" s="1" t="n">
        <v>46021.32299768519</v>
      </c>
      <c r="C6856" s="1" t="n">
        <v>46114</v>
      </c>
      <c r="D6856" t="inlineStr">
        <is>
          <t>DALARNAS LÄN</t>
        </is>
      </c>
      <c r="E6856" t="inlineStr">
        <is>
          <t>LEKSAND</t>
        </is>
      </c>
      <c r="G6856" t="n">
        <v>2.6</v>
      </c>
      <c r="H6856" t="n">
        <v>0</v>
      </c>
      <c r="I6856" t="n">
        <v>0</v>
      </c>
      <c r="J6856" t="n">
        <v>0</v>
      </c>
      <c r="K6856" t="n">
        <v>0</v>
      </c>
      <c r="L6856" t="n">
        <v>0</v>
      </c>
      <c r="M6856" t="n">
        <v>0</v>
      </c>
      <c r="N6856" t="n">
        <v>0</v>
      </c>
      <c r="O6856" t="n">
        <v>0</v>
      </c>
      <c r="P6856" t="n">
        <v>0</v>
      </c>
      <c r="Q6856" t="n">
        <v>0</v>
      </c>
      <c r="R6856" s="2" t="inlineStr"/>
    </row>
    <row r="6857" ht="15" customHeight="1">
      <c r="A6857" t="inlineStr">
        <is>
          <t>A 8827-2023</t>
        </is>
      </c>
      <c r="B6857" s="1" t="n">
        <v>44978.66168981481</v>
      </c>
      <c r="C6857" s="1" t="n">
        <v>46114</v>
      </c>
      <c r="D6857" t="inlineStr">
        <is>
          <t>DALARNAS LÄN</t>
        </is>
      </c>
      <c r="E6857" t="inlineStr">
        <is>
          <t>MALUNG-SÄLEN</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63753-2025</t>
        </is>
      </c>
      <c r="B6858" s="1" t="n">
        <v>46017.81530092593</v>
      </c>
      <c r="C6858" s="1" t="n">
        <v>46114</v>
      </c>
      <c r="D6858" t="inlineStr">
        <is>
          <t>DALARNAS LÄN</t>
        </is>
      </c>
      <c r="E6858" t="inlineStr">
        <is>
          <t>SMEDJEBACKEN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63790-2025</t>
        </is>
      </c>
      <c r="B6859" s="1" t="n">
        <v>46019</v>
      </c>
      <c r="C6859" s="1" t="n">
        <v>46114</v>
      </c>
      <c r="D6859" t="inlineStr">
        <is>
          <t>DALARNAS LÄN</t>
        </is>
      </c>
      <c r="E6859" t="inlineStr">
        <is>
          <t>ORSA</t>
        </is>
      </c>
      <c r="G6859" t="n">
        <v>3.7</v>
      </c>
      <c r="H6859" t="n">
        <v>0</v>
      </c>
      <c r="I6859" t="n">
        <v>0</v>
      </c>
      <c r="J6859" t="n">
        <v>0</v>
      </c>
      <c r="K6859" t="n">
        <v>0</v>
      </c>
      <c r="L6859" t="n">
        <v>0</v>
      </c>
      <c r="M6859" t="n">
        <v>0</v>
      </c>
      <c r="N6859" t="n">
        <v>0</v>
      </c>
      <c r="O6859" t="n">
        <v>0</v>
      </c>
      <c r="P6859" t="n">
        <v>0</v>
      </c>
      <c r="Q6859" t="n">
        <v>0</v>
      </c>
      <c r="R6859" s="2" t="inlineStr"/>
    </row>
    <row r="6860" ht="15" customHeight="1">
      <c r="A6860" t="inlineStr">
        <is>
          <t>A 63792-2025</t>
        </is>
      </c>
      <c r="B6860" s="1" t="n">
        <v>46019</v>
      </c>
      <c r="C6860" s="1" t="n">
        <v>46114</v>
      </c>
      <c r="D6860" t="inlineStr">
        <is>
          <t>DALARNAS LÄN</t>
        </is>
      </c>
      <c r="E6860" t="inlineStr">
        <is>
          <t>LEKSAND</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63796-2025</t>
        </is>
      </c>
      <c r="B6861" s="1" t="n">
        <v>46019.81944444445</v>
      </c>
      <c r="C6861" s="1" t="n">
        <v>46114</v>
      </c>
      <c r="D6861" t="inlineStr">
        <is>
          <t>DALARNAS LÄN</t>
        </is>
      </c>
      <c r="E6861" t="inlineStr">
        <is>
          <t>GAGNEF</t>
        </is>
      </c>
      <c r="G6861" t="n">
        <v>12.8</v>
      </c>
      <c r="H6861" t="n">
        <v>0</v>
      </c>
      <c r="I6861" t="n">
        <v>0</v>
      </c>
      <c r="J6861" t="n">
        <v>0</v>
      </c>
      <c r="K6861" t="n">
        <v>0</v>
      </c>
      <c r="L6861" t="n">
        <v>0</v>
      </c>
      <c r="M6861" t="n">
        <v>0</v>
      </c>
      <c r="N6861" t="n">
        <v>0</v>
      </c>
      <c r="O6861" t="n">
        <v>0</v>
      </c>
      <c r="P6861" t="n">
        <v>0</v>
      </c>
      <c r="Q6861" t="n">
        <v>0</v>
      </c>
      <c r="R6861" s="2" t="inlineStr"/>
    </row>
    <row r="6862" ht="15" customHeight="1">
      <c r="A6862" t="inlineStr">
        <is>
          <t>A 53544-2022</t>
        </is>
      </c>
      <c r="B6862" s="1" t="n">
        <v>44879</v>
      </c>
      <c r="C6862" s="1" t="n">
        <v>46114</v>
      </c>
      <c r="D6862" t="inlineStr">
        <is>
          <t>DALARNAS LÄN</t>
        </is>
      </c>
      <c r="E6862" t="inlineStr">
        <is>
          <t>BORLÄNGE</t>
        </is>
      </c>
      <c r="F6862" t="inlineStr">
        <is>
          <t>Bergvik skog väst AB</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63967-2025</t>
        </is>
      </c>
      <c r="B6863" s="1" t="n">
        <v>46021.31668981481</v>
      </c>
      <c r="C6863" s="1" t="n">
        <v>46114</v>
      </c>
      <c r="D6863" t="inlineStr">
        <is>
          <t>DALARNAS LÄN</t>
        </is>
      </c>
      <c r="E6863" t="inlineStr">
        <is>
          <t>LEKSAND</t>
        </is>
      </c>
      <c r="G6863" t="n">
        <v>6.4</v>
      </c>
      <c r="H6863" t="n">
        <v>0</v>
      </c>
      <c r="I6863" t="n">
        <v>0</v>
      </c>
      <c r="J6863" t="n">
        <v>0</v>
      </c>
      <c r="K6863" t="n">
        <v>0</v>
      </c>
      <c r="L6863" t="n">
        <v>0</v>
      </c>
      <c r="M6863" t="n">
        <v>0</v>
      </c>
      <c r="N6863" t="n">
        <v>0</v>
      </c>
      <c r="O6863" t="n">
        <v>0</v>
      </c>
      <c r="P6863" t="n">
        <v>0</v>
      </c>
      <c r="Q6863" t="n">
        <v>0</v>
      </c>
      <c r="R6863" s="2" t="inlineStr"/>
    </row>
    <row r="6864" ht="15" customHeight="1">
      <c r="A6864" t="inlineStr">
        <is>
          <t>A 64087-2025</t>
        </is>
      </c>
      <c r="B6864" s="1" t="n">
        <v>46021.71892361111</v>
      </c>
      <c r="C6864" s="1" t="n">
        <v>46114</v>
      </c>
      <c r="D6864" t="inlineStr">
        <is>
          <t>DALARNAS LÄN</t>
        </is>
      </c>
      <c r="E6864" t="inlineStr">
        <is>
          <t>MALUNG-SÄLEN</t>
        </is>
      </c>
      <c r="F6864" t="inlineStr">
        <is>
          <t>Allmännings- och besparingsskogar</t>
        </is>
      </c>
      <c r="G6864" t="n">
        <v>16.7</v>
      </c>
      <c r="H6864" t="n">
        <v>0</v>
      </c>
      <c r="I6864" t="n">
        <v>0</v>
      </c>
      <c r="J6864" t="n">
        <v>0</v>
      </c>
      <c r="K6864" t="n">
        <v>0</v>
      </c>
      <c r="L6864" t="n">
        <v>0</v>
      </c>
      <c r="M6864" t="n">
        <v>0</v>
      </c>
      <c r="N6864" t="n">
        <v>0</v>
      </c>
      <c r="O6864" t="n">
        <v>0</v>
      </c>
      <c r="P6864" t="n">
        <v>0</v>
      </c>
      <c r="Q6864" t="n">
        <v>0</v>
      </c>
      <c r="R6864" s="2" t="inlineStr"/>
    </row>
    <row r="6865" ht="15" customHeight="1">
      <c r="A6865" t="inlineStr">
        <is>
          <t>A 64116-2025</t>
        </is>
      </c>
      <c r="B6865" s="1" t="n">
        <v>46021</v>
      </c>
      <c r="C6865" s="1" t="n">
        <v>46114</v>
      </c>
      <c r="D6865" t="inlineStr">
        <is>
          <t>DALARNAS LÄN</t>
        </is>
      </c>
      <c r="E6865" t="inlineStr">
        <is>
          <t>BORLÄNGE</t>
        </is>
      </c>
      <c r="G6865" t="n">
        <v>4.5</v>
      </c>
      <c r="H6865" t="n">
        <v>0</v>
      </c>
      <c r="I6865" t="n">
        <v>0</v>
      </c>
      <c r="J6865" t="n">
        <v>0</v>
      </c>
      <c r="K6865" t="n">
        <v>0</v>
      </c>
      <c r="L6865" t="n">
        <v>0</v>
      </c>
      <c r="M6865" t="n">
        <v>0</v>
      </c>
      <c r="N6865" t="n">
        <v>0</v>
      </c>
      <c r="O6865" t="n">
        <v>0</v>
      </c>
      <c r="P6865" t="n">
        <v>0</v>
      </c>
      <c r="Q6865" t="n">
        <v>0</v>
      </c>
      <c r="R6865" s="2" t="inlineStr"/>
    </row>
    <row r="6866" ht="15" customHeight="1">
      <c r="A6866" t="inlineStr">
        <is>
          <t>A 53178-2025</t>
        </is>
      </c>
      <c r="B6866" s="1" t="n">
        <v>45958</v>
      </c>
      <c r="C6866" s="1" t="n">
        <v>46114</v>
      </c>
      <c r="D6866" t="inlineStr">
        <is>
          <t>DALARNAS LÄN</t>
        </is>
      </c>
      <c r="E6866" t="inlineStr">
        <is>
          <t>RÄTTVIK</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63869-2025</t>
        </is>
      </c>
      <c r="B6867" s="1" t="n">
        <v>46020</v>
      </c>
      <c r="C6867" s="1" t="n">
        <v>46114</v>
      </c>
      <c r="D6867" t="inlineStr">
        <is>
          <t>DALARNAS LÄN</t>
        </is>
      </c>
      <c r="E6867" t="inlineStr">
        <is>
          <t>BORLÄNGE</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9380-2023</t>
        </is>
      </c>
      <c r="B6868" s="1" t="n">
        <v>44981</v>
      </c>
      <c r="C6868" s="1" t="n">
        <v>46114</v>
      </c>
      <c r="D6868" t="inlineStr">
        <is>
          <t>DALARNAS LÄN</t>
        </is>
      </c>
      <c r="E6868" t="inlineStr">
        <is>
          <t>MALUNG-SÄLEN</t>
        </is>
      </c>
      <c r="F6868" t="inlineStr">
        <is>
          <t>Bergvik skog öst AB</t>
        </is>
      </c>
      <c r="G6868" t="n">
        <v>5.1</v>
      </c>
      <c r="H6868" t="n">
        <v>0</v>
      </c>
      <c r="I6868" t="n">
        <v>0</v>
      </c>
      <c r="J6868" t="n">
        <v>0</v>
      </c>
      <c r="K6868" t="n">
        <v>0</v>
      </c>
      <c r="L6868" t="n">
        <v>0</v>
      </c>
      <c r="M6868" t="n">
        <v>0</v>
      </c>
      <c r="N6868" t="n">
        <v>0</v>
      </c>
      <c r="O6868" t="n">
        <v>0</v>
      </c>
      <c r="P6868" t="n">
        <v>0</v>
      </c>
      <c r="Q6868" t="n">
        <v>0</v>
      </c>
      <c r="R6868" s="2" t="inlineStr"/>
    </row>
    <row r="6869" ht="15" customHeight="1">
      <c r="A6869" t="inlineStr">
        <is>
          <t>A 64069-2025</t>
        </is>
      </c>
      <c r="B6869" s="1" t="n">
        <v>46021</v>
      </c>
      <c r="C6869" s="1" t="n">
        <v>46114</v>
      </c>
      <c r="D6869" t="inlineStr">
        <is>
          <t>DALARNAS LÄN</t>
        </is>
      </c>
      <c r="E6869" t="inlineStr">
        <is>
          <t>FALUN</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64077-2025</t>
        </is>
      </c>
      <c r="B6870" s="1" t="n">
        <v>46021.66048611111</v>
      </c>
      <c r="C6870" s="1" t="n">
        <v>46114</v>
      </c>
      <c r="D6870" t="inlineStr">
        <is>
          <t>DALARNAS LÄN</t>
        </is>
      </c>
      <c r="E6870" t="inlineStr">
        <is>
          <t>FALUN</t>
        </is>
      </c>
      <c r="G6870" t="n">
        <v>6.9</v>
      </c>
      <c r="H6870" t="n">
        <v>0</v>
      </c>
      <c r="I6870" t="n">
        <v>0</v>
      </c>
      <c r="J6870" t="n">
        <v>0</v>
      </c>
      <c r="K6870" t="n">
        <v>0</v>
      </c>
      <c r="L6870" t="n">
        <v>0</v>
      </c>
      <c r="M6870" t="n">
        <v>0</v>
      </c>
      <c r="N6870" t="n">
        <v>0</v>
      </c>
      <c r="O6870" t="n">
        <v>0</v>
      </c>
      <c r="P6870" t="n">
        <v>0</v>
      </c>
      <c r="Q6870" t="n">
        <v>0</v>
      </c>
      <c r="R6870" s="2" t="inlineStr"/>
    </row>
    <row r="6871" ht="15" customHeight="1">
      <c r="A6871" t="inlineStr">
        <is>
          <t>A 59771-2021</t>
        </is>
      </c>
      <c r="B6871" s="1" t="n">
        <v>44494.46709490741</v>
      </c>
      <c r="C6871" s="1" t="n">
        <v>46114</v>
      </c>
      <c r="D6871" t="inlineStr">
        <is>
          <t>DALARNAS LÄN</t>
        </is>
      </c>
      <c r="E6871" t="inlineStr">
        <is>
          <t>BORLÄNGE</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53640-2024</t>
        </is>
      </c>
      <c r="B6872" s="1" t="n">
        <v>45614.87096064815</v>
      </c>
      <c r="C6872" s="1" t="n">
        <v>46114</v>
      </c>
      <c r="D6872" t="inlineStr">
        <is>
          <t>DALARNAS LÄN</t>
        </is>
      </c>
      <c r="E6872" t="inlineStr">
        <is>
          <t>FALUN</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63964-2025</t>
        </is>
      </c>
      <c r="B6873" s="1" t="n">
        <v>46020</v>
      </c>
      <c r="C6873" s="1" t="n">
        <v>46114</v>
      </c>
      <c r="D6873" t="inlineStr">
        <is>
          <t>DALARNAS LÄN</t>
        </is>
      </c>
      <c r="E6873" t="inlineStr">
        <is>
          <t>MORA</t>
        </is>
      </c>
      <c r="G6873" t="n">
        <v>6.1</v>
      </c>
      <c r="H6873" t="n">
        <v>0</v>
      </c>
      <c r="I6873" t="n">
        <v>0</v>
      </c>
      <c r="J6873" t="n">
        <v>0</v>
      </c>
      <c r="K6873" t="n">
        <v>0</v>
      </c>
      <c r="L6873" t="n">
        <v>0</v>
      </c>
      <c r="M6873" t="n">
        <v>0</v>
      </c>
      <c r="N6873" t="n">
        <v>0</v>
      </c>
      <c r="O6873" t="n">
        <v>0</v>
      </c>
      <c r="P6873" t="n">
        <v>0</v>
      </c>
      <c r="Q6873" t="n">
        <v>0</v>
      </c>
      <c r="R6873" s="2" t="inlineStr"/>
    </row>
    <row r="6874" ht="15" customHeight="1">
      <c r="A6874" t="inlineStr">
        <is>
          <t>A 60639-2025</t>
        </is>
      </c>
      <c r="B6874" s="1" t="n">
        <v>45996.44229166667</v>
      </c>
      <c r="C6874" s="1" t="n">
        <v>46114</v>
      </c>
      <c r="D6874" t="inlineStr">
        <is>
          <t>DALARNAS LÄN</t>
        </is>
      </c>
      <c r="E6874" t="inlineStr">
        <is>
          <t>AVESTA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51231-2025</t>
        </is>
      </c>
      <c r="B6875" s="1" t="n">
        <v>45947.67347222222</v>
      </c>
      <c r="C6875" s="1" t="n">
        <v>46114</v>
      </c>
      <c r="D6875" t="inlineStr">
        <is>
          <t>DALARNAS LÄN</t>
        </is>
      </c>
      <c r="E6875" t="inlineStr">
        <is>
          <t>AVESTA</t>
        </is>
      </c>
      <c r="G6875" t="n">
        <v>2.9</v>
      </c>
      <c r="H6875" t="n">
        <v>0</v>
      </c>
      <c r="I6875" t="n">
        <v>0</v>
      </c>
      <c r="J6875" t="n">
        <v>0</v>
      </c>
      <c r="K6875" t="n">
        <v>0</v>
      </c>
      <c r="L6875" t="n">
        <v>0</v>
      </c>
      <c r="M6875" t="n">
        <v>0</v>
      </c>
      <c r="N6875" t="n">
        <v>0</v>
      </c>
      <c r="O6875" t="n">
        <v>0</v>
      </c>
      <c r="P6875" t="n">
        <v>0</v>
      </c>
      <c r="Q6875" t="n">
        <v>0</v>
      </c>
      <c r="R6875" s="2" t="inlineStr"/>
    </row>
    <row r="6876" ht="15" customHeight="1">
      <c r="A6876" t="inlineStr">
        <is>
          <t>A 3209-2022</t>
        </is>
      </c>
      <c r="B6876" s="1" t="n">
        <v>44582.6703125</v>
      </c>
      <c r="C6876" s="1" t="n">
        <v>46114</v>
      </c>
      <c r="D6876" t="inlineStr">
        <is>
          <t>DALARNAS LÄN</t>
        </is>
      </c>
      <c r="E6876" t="inlineStr">
        <is>
          <t>FALUN</t>
        </is>
      </c>
      <c r="G6876" t="n">
        <v>0.7</v>
      </c>
      <c r="H6876" t="n">
        <v>0</v>
      </c>
      <c r="I6876" t="n">
        <v>0</v>
      </c>
      <c r="J6876" t="n">
        <v>0</v>
      </c>
      <c r="K6876" t="n">
        <v>0</v>
      </c>
      <c r="L6876" t="n">
        <v>0</v>
      </c>
      <c r="M6876" t="n">
        <v>0</v>
      </c>
      <c r="N6876" t="n">
        <v>0</v>
      </c>
      <c r="O6876" t="n">
        <v>0</v>
      </c>
      <c r="P6876" t="n">
        <v>0</v>
      </c>
      <c r="Q6876" t="n">
        <v>0</v>
      </c>
      <c r="R6876" s="2" t="inlineStr"/>
    </row>
    <row r="6877" ht="15" customHeight="1">
      <c r="A6877" t="inlineStr">
        <is>
          <t>A 60643-2025</t>
        </is>
      </c>
      <c r="B6877" s="1" t="n">
        <v>45996.44611111111</v>
      </c>
      <c r="C6877" s="1" t="n">
        <v>46114</v>
      </c>
      <c r="D6877" t="inlineStr">
        <is>
          <t>DALARNAS LÄN</t>
        </is>
      </c>
      <c r="E6877" t="inlineStr">
        <is>
          <t>AVESTA</t>
        </is>
      </c>
      <c r="G6877" t="n">
        <v>4.7</v>
      </c>
      <c r="H6877" t="n">
        <v>0</v>
      </c>
      <c r="I6877" t="n">
        <v>0</v>
      </c>
      <c r="J6877" t="n">
        <v>0</v>
      </c>
      <c r="K6877" t="n">
        <v>0</v>
      </c>
      <c r="L6877" t="n">
        <v>0</v>
      </c>
      <c r="M6877" t="n">
        <v>0</v>
      </c>
      <c r="N6877" t="n">
        <v>0</v>
      </c>
      <c r="O6877" t="n">
        <v>0</v>
      </c>
      <c r="P6877" t="n">
        <v>0</v>
      </c>
      <c r="Q6877" t="n">
        <v>0</v>
      </c>
      <c r="R6877" s="2" t="inlineStr"/>
    </row>
    <row r="6878" ht="15" customHeight="1">
      <c r="A6878" t="inlineStr">
        <is>
          <t>A 63972-2025</t>
        </is>
      </c>
      <c r="B6878" s="1" t="n">
        <v>46021</v>
      </c>
      <c r="C6878" s="1" t="n">
        <v>46114</v>
      </c>
      <c r="D6878" t="inlineStr">
        <is>
          <t>DALARNAS LÄN</t>
        </is>
      </c>
      <c r="E6878" t="inlineStr">
        <is>
          <t>LEKSAND</t>
        </is>
      </c>
      <c r="F6878" t="inlineStr">
        <is>
          <t>Övriga Aktiebolag</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38627-2023</t>
        </is>
      </c>
      <c r="B6879" s="1" t="n">
        <v>45162.68787037037</v>
      </c>
      <c r="C6879" s="1" t="n">
        <v>46114</v>
      </c>
      <c r="D6879" t="inlineStr">
        <is>
          <t>DALARNAS LÄN</t>
        </is>
      </c>
      <c r="E6879" t="inlineStr">
        <is>
          <t>MORA</t>
        </is>
      </c>
      <c r="G6879" t="n">
        <v>6.5</v>
      </c>
      <c r="H6879" t="n">
        <v>0</v>
      </c>
      <c r="I6879" t="n">
        <v>0</v>
      </c>
      <c r="J6879" t="n">
        <v>0</v>
      </c>
      <c r="K6879" t="n">
        <v>0</v>
      </c>
      <c r="L6879" t="n">
        <v>0</v>
      </c>
      <c r="M6879" t="n">
        <v>0</v>
      </c>
      <c r="N6879" t="n">
        <v>0</v>
      </c>
      <c r="O6879" t="n">
        <v>0</v>
      </c>
      <c r="P6879" t="n">
        <v>0</v>
      </c>
      <c r="Q6879" t="n">
        <v>0</v>
      </c>
      <c r="R6879" s="2" t="inlineStr"/>
    </row>
    <row r="6880" ht="15" customHeight="1">
      <c r="A6880" t="inlineStr">
        <is>
          <t>A 64088-2023</t>
        </is>
      </c>
      <c r="B6880" s="1" t="n">
        <v>45279.43570601852</v>
      </c>
      <c r="C6880" s="1" t="n">
        <v>46114</v>
      </c>
      <c r="D6880" t="inlineStr">
        <is>
          <t>DALARNAS LÄN</t>
        </is>
      </c>
      <c r="E6880" t="inlineStr">
        <is>
          <t>MORA</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64101-2025</t>
        </is>
      </c>
      <c r="B6881" s="1" t="n">
        <v>46021</v>
      </c>
      <c r="C6881" s="1" t="n">
        <v>46114</v>
      </c>
      <c r="D6881" t="inlineStr">
        <is>
          <t>DALARNAS LÄN</t>
        </is>
      </c>
      <c r="E6881" t="inlineStr">
        <is>
          <t>LEKSAND</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63905-2025</t>
        </is>
      </c>
      <c r="B6882" s="1" t="n">
        <v>46020</v>
      </c>
      <c r="C6882" s="1" t="n">
        <v>46114</v>
      </c>
      <c r="D6882" t="inlineStr">
        <is>
          <t>DALARNAS LÄN</t>
        </is>
      </c>
      <c r="E6882" t="inlineStr">
        <is>
          <t>LEKSAND</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4282-2026</t>
        </is>
      </c>
      <c r="B6883" s="1" t="n">
        <v>46044</v>
      </c>
      <c r="C6883" s="1" t="n">
        <v>46114</v>
      </c>
      <c r="D6883" t="inlineStr">
        <is>
          <t>DALARNAS LÄN</t>
        </is>
      </c>
      <c r="E6883" t="inlineStr">
        <is>
          <t>FALUN</t>
        </is>
      </c>
      <c r="G6883" t="n">
        <v>6.4</v>
      </c>
      <c r="H6883" t="n">
        <v>0</v>
      </c>
      <c r="I6883" t="n">
        <v>0</v>
      </c>
      <c r="J6883" t="n">
        <v>0</v>
      </c>
      <c r="K6883" t="n">
        <v>0</v>
      </c>
      <c r="L6883" t="n">
        <v>0</v>
      </c>
      <c r="M6883" t="n">
        <v>0</v>
      </c>
      <c r="N6883" t="n">
        <v>0</v>
      </c>
      <c r="O6883" t="n">
        <v>0</v>
      </c>
      <c r="P6883" t="n">
        <v>0</v>
      </c>
      <c r="Q6883" t="n">
        <v>0</v>
      </c>
      <c r="R6883" s="2" t="inlineStr"/>
    </row>
    <row r="6884" ht="15" customHeight="1">
      <c r="A6884" t="inlineStr">
        <is>
          <t>A 37708-2024</t>
        </is>
      </c>
      <c r="B6884" s="1" t="n">
        <v>45541.62574074074</v>
      </c>
      <c r="C6884" s="1" t="n">
        <v>46114</v>
      </c>
      <c r="D6884" t="inlineStr">
        <is>
          <t>DALARNAS LÄN</t>
        </is>
      </c>
      <c r="E6884" t="inlineStr">
        <is>
          <t>BORLÄNGE</t>
        </is>
      </c>
      <c r="G6884" t="n">
        <v>0.6</v>
      </c>
      <c r="H6884" t="n">
        <v>0</v>
      </c>
      <c r="I6884" t="n">
        <v>0</v>
      </c>
      <c r="J6884" t="n">
        <v>0</v>
      </c>
      <c r="K6884" t="n">
        <v>0</v>
      </c>
      <c r="L6884" t="n">
        <v>0</v>
      </c>
      <c r="M6884" t="n">
        <v>0</v>
      </c>
      <c r="N6884" t="n">
        <v>0</v>
      </c>
      <c r="O6884" t="n">
        <v>0</v>
      </c>
      <c r="P6884" t="n">
        <v>0</v>
      </c>
      <c r="Q6884" t="n">
        <v>0</v>
      </c>
      <c r="R6884" s="2" t="inlineStr"/>
    </row>
    <row r="6885" ht="15" customHeight="1">
      <c r="A6885" t="inlineStr">
        <is>
          <t>A 37722-2024</t>
        </is>
      </c>
      <c r="B6885" s="1" t="n">
        <v>45541.64743055555</v>
      </c>
      <c r="C6885" s="1" t="n">
        <v>46114</v>
      </c>
      <c r="D6885" t="inlineStr">
        <is>
          <t>DALARNAS LÄN</t>
        </is>
      </c>
      <c r="E6885" t="inlineStr">
        <is>
          <t>BORLÄNGE</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52572-2024</t>
        </is>
      </c>
      <c r="B6886" s="1" t="n">
        <v>45609.66488425926</v>
      </c>
      <c r="C6886" s="1" t="n">
        <v>46114</v>
      </c>
      <c r="D6886" t="inlineStr">
        <is>
          <t>DALARNAS LÄN</t>
        </is>
      </c>
      <c r="E6886" t="inlineStr">
        <is>
          <t>LEKSAND</t>
        </is>
      </c>
      <c r="G6886" t="n">
        <v>0.7</v>
      </c>
      <c r="H6886" t="n">
        <v>0</v>
      </c>
      <c r="I6886" t="n">
        <v>0</v>
      </c>
      <c r="J6886" t="n">
        <v>0</v>
      </c>
      <c r="K6886" t="n">
        <v>0</v>
      </c>
      <c r="L6886" t="n">
        <v>0</v>
      </c>
      <c r="M6886" t="n">
        <v>0</v>
      </c>
      <c r="N6886" t="n">
        <v>0</v>
      </c>
      <c r="O6886" t="n">
        <v>0</v>
      </c>
      <c r="P6886" t="n">
        <v>0</v>
      </c>
      <c r="Q6886" t="n">
        <v>0</v>
      </c>
      <c r="R6886" s="2" t="inlineStr"/>
    </row>
    <row r="6887" ht="15" customHeight="1">
      <c r="A6887" t="inlineStr">
        <is>
          <t>A 37759-2024</t>
        </is>
      </c>
      <c r="B6887" s="1" t="n">
        <v>45541</v>
      </c>
      <c r="C6887" s="1" t="n">
        <v>46114</v>
      </c>
      <c r="D6887" t="inlineStr">
        <is>
          <t>DALARNAS LÄN</t>
        </is>
      </c>
      <c r="E6887" t="inlineStr">
        <is>
          <t>HEDEMORA</t>
        </is>
      </c>
      <c r="F6887" t="inlineStr">
        <is>
          <t>Sveaskog</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63853-2025</t>
        </is>
      </c>
      <c r="B6888" s="1" t="n">
        <v>46020</v>
      </c>
      <c r="C6888" s="1" t="n">
        <v>46114</v>
      </c>
      <c r="D6888" t="inlineStr">
        <is>
          <t>DALARNAS LÄN</t>
        </is>
      </c>
      <c r="E6888" t="inlineStr">
        <is>
          <t>HEDEMORA</t>
        </is>
      </c>
      <c r="G6888" t="n">
        <v>1.8</v>
      </c>
      <c r="H6888" t="n">
        <v>0</v>
      </c>
      <c r="I6888" t="n">
        <v>0</v>
      </c>
      <c r="J6888" t="n">
        <v>0</v>
      </c>
      <c r="K6888" t="n">
        <v>0</v>
      </c>
      <c r="L6888" t="n">
        <v>0</v>
      </c>
      <c r="M6888" t="n">
        <v>0</v>
      </c>
      <c r="N6888" t="n">
        <v>0</v>
      </c>
      <c r="O6888" t="n">
        <v>0</v>
      </c>
      <c r="P6888" t="n">
        <v>0</v>
      </c>
      <c r="Q6888" t="n">
        <v>0</v>
      </c>
      <c r="R6888" s="2" t="inlineStr"/>
    </row>
    <row r="6889" ht="15" customHeight="1">
      <c r="A6889" t="inlineStr">
        <is>
          <t>A 63890-2025</t>
        </is>
      </c>
      <c r="B6889" s="1" t="n">
        <v>46020.63613425926</v>
      </c>
      <c r="C6889" s="1" t="n">
        <v>46114</v>
      </c>
      <c r="D6889" t="inlineStr">
        <is>
          <t>DALARNAS LÄN</t>
        </is>
      </c>
      <c r="E6889" t="inlineStr">
        <is>
          <t>LEKSAND</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64023-2025</t>
        </is>
      </c>
      <c r="B6890" s="1" t="n">
        <v>46021</v>
      </c>
      <c r="C6890" s="1" t="n">
        <v>46114</v>
      </c>
      <c r="D6890" t="inlineStr">
        <is>
          <t>DALARNAS LÄN</t>
        </is>
      </c>
      <c r="E6890" t="inlineStr">
        <is>
          <t>SMEDJEBACKEN</t>
        </is>
      </c>
      <c r="G6890" t="n">
        <v>3.4</v>
      </c>
      <c r="H6890" t="n">
        <v>0</v>
      </c>
      <c r="I6890" t="n">
        <v>0</v>
      </c>
      <c r="J6890" t="n">
        <v>0</v>
      </c>
      <c r="K6890" t="n">
        <v>0</v>
      </c>
      <c r="L6890" t="n">
        <v>0</v>
      </c>
      <c r="M6890" t="n">
        <v>0</v>
      </c>
      <c r="N6890" t="n">
        <v>0</v>
      </c>
      <c r="O6890" t="n">
        <v>0</v>
      </c>
      <c r="P6890" t="n">
        <v>0</v>
      </c>
      <c r="Q6890" t="n">
        <v>0</v>
      </c>
      <c r="R6890" s="2" t="inlineStr"/>
    </row>
    <row r="6891" ht="15" customHeight="1">
      <c r="A6891" t="inlineStr">
        <is>
          <t>A 63894-2025</t>
        </is>
      </c>
      <c r="B6891" s="1" t="n">
        <v>46020.6441087963</v>
      </c>
      <c r="C6891" s="1" t="n">
        <v>46114</v>
      </c>
      <c r="D6891" t="inlineStr">
        <is>
          <t>DALARNAS LÄN</t>
        </is>
      </c>
      <c r="E6891" t="inlineStr">
        <is>
          <t>LEKSAND</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63898-2025</t>
        </is>
      </c>
      <c r="B6892" s="1" t="n">
        <v>46020</v>
      </c>
      <c r="C6892" s="1" t="n">
        <v>46114</v>
      </c>
      <c r="D6892" t="inlineStr">
        <is>
          <t>DALARNAS LÄN</t>
        </is>
      </c>
      <c r="E6892" t="inlineStr">
        <is>
          <t>LEKSAND</t>
        </is>
      </c>
      <c r="G6892" t="n">
        <v>1</v>
      </c>
      <c r="H6892" t="n">
        <v>0</v>
      </c>
      <c r="I6892" t="n">
        <v>0</v>
      </c>
      <c r="J6892" t="n">
        <v>0</v>
      </c>
      <c r="K6892" t="n">
        <v>0</v>
      </c>
      <c r="L6892" t="n">
        <v>0</v>
      </c>
      <c r="M6892" t="n">
        <v>0</v>
      </c>
      <c r="N6892" t="n">
        <v>0</v>
      </c>
      <c r="O6892" t="n">
        <v>0</v>
      </c>
      <c r="P6892" t="n">
        <v>0</v>
      </c>
      <c r="Q6892" t="n">
        <v>0</v>
      </c>
      <c r="R6892" s="2" t="inlineStr"/>
    </row>
    <row r="6893" ht="15" customHeight="1">
      <c r="A6893" t="inlineStr">
        <is>
          <t>A 63788-2025</t>
        </is>
      </c>
      <c r="B6893" s="1" t="n">
        <v>46019</v>
      </c>
      <c r="C6893" s="1" t="n">
        <v>46114</v>
      </c>
      <c r="D6893" t="inlineStr">
        <is>
          <t>DALARNAS LÄN</t>
        </is>
      </c>
      <c r="E6893" t="inlineStr">
        <is>
          <t>RÄTTVIK</t>
        </is>
      </c>
      <c r="G6893" t="n">
        <v>9.300000000000001</v>
      </c>
      <c r="H6893" t="n">
        <v>0</v>
      </c>
      <c r="I6893" t="n">
        <v>0</v>
      </c>
      <c r="J6893" t="n">
        <v>0</v>
      </c>
      <c r="K6893" t="n">
        <v>0</v>
      </c>
      <c r="L6893" t="n">
        <v>0</v>
      </c>
      <c r="M6893" t="n">
        <v>0</v>
      </c>
      <c r="N6893" t="n">
        <v>0</v>
      </c>
      <c r="O6893" t="n">
        <v>0</v>
      </c>
      <c r="P6893" t="n">
        <v>0</v>
      </c>
      <c r="Q6893" t="n">
        <v>0</v>
      </c>
      <c r="R6893" s="2" t="inlineStr"/>
    </row>
    <row r="6894" ht="15" customHeight="1">
      <c r="A6894" t="inlineStr">
        <is>
          <t>A 64096-2025</t>
        </is>
      </c>
      <c r="B6894" s="1" t="n">
        <v>46021</v>
      </c>
      <c r="C6894" s="1" t="n">
        <v>46114</v>
      </c>
      <c r="D6894" t="inlineStr">
        <is>
          <t>DALARNAS LÄN</t>
        </is>
      </c>
      <c r="E6894" t="inlineStr">
        <is>
          <t>LEKSAND</t>
        </is>
      </c>
      <c r="G6894" t="n">
        <v>4.5</v>
      </c>
      <c r="H6894" t="n">
        <v>0</v>
      </c>
      <c r="I6894" t="n">
        <v>0</v>
      </c>
      <c r="J6894" t="n">
        <v>0</v>
      </c>
      <c r="K6894" t="n">
        <v>0</v>
      </c>
      <c r="L6894" t="n">
        <v>0</v>
      </c>
      <c r="M6894" t="n">
        <v>0</v>
      </c>
      <c r="N6894" t="n">
        <v>0</v>
      </c>
      <c r="O6894" t="n">
        <v>0</v>
      </c>
      <c r="P6894" t="n">
        <v>0</v>
      </c>
      <c r="Q6894" t="n">
        <v>0</v>
      </c>
      <c r="R6894" s="2" t="inlineStr"/>
    </row>
    <row r="6895" ht="15" customHeight="1">
      <c r="A6895" t="inlineStr">
        <is>
          <t>A 64099-2025</t>
        </is>
      </c>
      <c r="B6895" s="1" t="n">
        <v>46021</v>
      </c>
      <c r="C6895" s="1" t="n">
        <v>46114</v>
      </c>
      <c r="D6895" t="inlineStr">
        <is>
          <t>DALARNAS LÄN</t>
        </is>
      </c>
      <c r="E6895" t="inlineStr">
        <is>
          <t>LEKSAND</t>
        </is>
      </c>
      <c r="G6895" t="n">
        <v>1.2</v>
      </c>
      <c r="H6895" t="n">
        <v>0</v>
      </c>
      <c r="I6895" t="n">
        <v>0</v>
      </c>
      <c r="J6895" t="n">
        <v>0</v>
      </c>
      <c r="K6895" t="n">
        <v>0</v>
      </c>
      <c r="L6895" t="n">
        <v>0</v>
      </c>
      <c r="M6895" t="n">
        <v>0</v>
      </c>
      <c r="N6895" t="n">
        <v>0</v>
      </c>
      <c r="O6895" t="n">
        <v>0</v>
      </c>
      <c r="P6895" t="n">
        <v>0</v>
      </c>
      <c r="Q6895" t="n">
        <v>0</v>
      </c>
      <c r="R6895" s="2" t="inlineStr"/>
    </row>
    <row r="6896" ht="15" customHeight="1">
      <c r="A6896" t="inlineStr">
        <is>
          <t>A 32187-2024</t>
        </is>
      </c>
      <c r="B6896" s="1" t="n">
        <v>45511.64925925926</v>
      </c>
      <c r="C6896" s="1" t="n">
        <v>46114</v>
      </c>
      <c r="D6896" t="inlineStr">
        <is>
          <t>DALARNAS LÄN</t>
        </is>
      </c>
      <c r="E6896" t="inlineStr">
        <is>
          <t>ÄLVDALEN</t>
        </is>
      </c>
      <c r="F6896" t="inlineStr">
        <is>
          <t>Allmännings- och besparingsskogar</t>
        </is>
      </c>
      <c r="G6896" t="n">
        <v>20</v>
      </c>
      <c r="H6896" t="n">
        <v>0</v>
      </c>
      <c r="I6896" t="n">
        <v>0</v>
      </c>
      <c r="J6896" t="n">
        <v>0</v>
      </c>
      <c r="K6896" t="n">
        <v>0</v>
      </c>
      <c r="L6896" t="n">
        <v>0</v>
      </c>
      <c r="M6896" t="n">
        <v>0</v>
      </c>
      <c r="N6896" t="n">
        <v>0</v>
      </c>
      <c r="O6896" t="n">
        <v>0</v>
      </c>
      <c r="P6896" t="n">
        <v>0</v>
      </c>
      <c r="Q6896" t="n">
        <v>0</v>
      </c>
      <c r="R6896" s="2" t="inlineStr"/>
    </row>
    <row r="6897" ht="15" customHeight="1">
      <c r="A6897" t="inlineStr">
        <is>
          <t>A 30256-2023</t>
        </is>
      </c>
      <c r="B6897" s="1" t="n">
        <v>45110.70590277778</v>
      </c>
      <c r="C6897" s="1" t="n">
        <v>46114</v>
      </c>
      <c r="D6897" t="inlineStr">
        <is>
          <t>DALARNAS LÄN</t>
        </is>
      </c>
      <c r="E6897" t="inlineStr">
        <is>
          <t>SÄTER</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64152-2025</t>
        </is>
      </c>
      <c r="B6898" s="1" t="n">
        <v>46022.60030092593</v>
      </c>
      <c r="C6898" s="1" t="n">
        <v>46114</v>
      </c>
      <c r="D6898" t="inlineStr">
        <is>
          <t>DALARNAS LÄN</t>
        </is>
      </c>
      <c r="E6898" t="inlineStr">
        <is>
          <t>ORSA</t>
        </is>
      </c>
      <c r="G6898" t="n">
        <v>5</v>
      </c>
      <c r="H6898" t="n">
        <v>0</v>
      </c>
      <c r="I6898" t="n">
        <v>0</v>
      </c>
      <c r="J6898" t="n">
        <v>0</v>
      </c>
      <c r="K6898" t="n">
        <v>0</v>
      </c>
      <c r="L6898" t="n">
        <v>0</v>
      </c>
      <c r="M6898" t="n">
        <v>0</v>
      </c>
      <c r="N6898" t="n">
        <v>0</v>
      </c>
      <c r="O6898" t="n">
        <v>0</v>
      </c>
      <c r="P6898" t="n">
        <v>0</v>
      </c>
      <c r="Q6898" t="n">
        <v>0</v>
      </c>
      <c r="R6898" s="2" t="inlineStr"/>
    </row>
    <row r="6899" ht="15" customHeight="1">
      <c r="A6899" t="inlineStr">
        <is>
          <t>A 64155-2025</t>
        </is>
      </c>
      <c r="B6899" s="1" t="n">
        <v>46022.6519675926</v>
      </c>
      <c r="C6899" s="1" t="n">
        <v>46114</v>
      </c>
      <c r="D6899" t="inlineStr">
        <is>
          <t>DALARNAS LÄN</t>
        </is>
      </c>
      <c r="E6899" t="inlineStr">
        <is>
          <t>ORSA</t>
        </is>
      </c>
      <c r="G6899" t="n">
        <v>7</v>
      </c>
      <c r="H6899" t="n">
        <v>0</v>
      </c>
      <c r="I6899" t="n">
        <v>0</v>
      </c>
      <c r="J6899" t="n">
        <v>0</v>
      </c>
      <c r="K6899" t="n">
        <v>0</v>
      </c>
      <c r="L6899" t="n">
        <v>0</v>
      </c>
      <c r="M6899" t="n">
        <v>0</v>
      </c>
      <c r="N6899" t="n">
        <v>0</v>
      </c>
      <c r="O6899" t="n">
        <v>0</v>
      </c>
      <c r="P6899" t="n">
        <v>0</v>
      </c>
      <c r="Q6899" t="n">
        <v>0</v>
      </c>
      <c r="R6899" s="2" t="inlineStr"/>
    </row>
    <row r="6900" ht="15" customHeight="1">
      <c r="A6900" t="inlineStr">
        <is>
          <t>A 60230-2021</t>
        </is>
      </c>
      <c r="B6900" s="1" t="n">
        <v>44495</v>
      </c>
      <c r="C6900" s="1" t="n">
        <v>46114</v>
      </c>
      <c r="D6900" t="inlineStr">
        <is>
          <t>DALARNAS LÄN</t>
        </is>
      </c>
      <c r="E6900" t="inlineStr">
        <is>
          <t>MALUNG-SÄLEN</t>
        </is>
      </c>
      <c r="G6900" t="n">
        <v>4</v>
      </c>
      <c r="H6900" t="n">
        <v>0</v>
      </c>
      <c r="I6900" t="n">
        <v>0</v>
      </c>
      <c r="J6900" t="n">
        <v>0</v>
      </c>
      <c r="K6900" t="n">
        <v>0</v>
      </c>
      <c r="L6900" t="n">
        <v>0</v>
      </c>
      <c r="M6900" t="n">
        <v>0</v>
      </c>
      <c r="N6900" t="n">
        <v>0</v>
      </c>
      <c r="O6900" t="n">
        <v>0</v>
      </c>
      <c r="P6900" t="n">
        <v>0</v>
      </c>
      <c r="Q6900" t="n">
        <v>0</v>
      </c>
      <c r="R6900" s="2" t="inlineStr"/>
    </row>
    <row r="6901" ht="15" customHeight="1">
      <c r="A6901" t="inlineStr">
        <is>
          <t>A 49772-2025</t>
        </is>
      </c>
      <c r="B6901" s="1" t="n">
        <v>45940.37288194444</v>
      </c>
      <c r="C6901" s="1" t="n">
        <v>46114</v>
      </c>
      <c r="D6901" t="inlineStr">
        <is>
          <t>DALARNAS LÄN</t>
        </is>
      </c>
      <c r="E6901" t="inlineStr">
        <is>
          <t>HEDEMORA</t>
        </is>
      </c>
      <c r="F6901" t="inlineStr">
        <is>
          <t>Sveaskog</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41853-2023</t>
        </is>
      </c>
      <c r="B6902" s="1" t="n">
        <v>45176.62483796296</v>
      </c>
      <c r="C6902" s="1" t="n">
        <v>46114</v>
      </c>
      <c r="D6902" t="inlineStr">
        <is>
          <t>DALARNAS LÄN</t>
        </is>
      </c>
      <c r="E6902" t="inlineStr">
        <is>
          <t>LEKSAND</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64143-2025</t>
        </is>
      </c>
      <c r="B6903" s="1" t="n">
        <v>46022</v>
      </c>
      <c r="C6903" s="1" t="n">
        <v>46114</v>
      </c>
      <c r="D6903" t="inlineStr">
        <is>
          <t>DALARNAS LÄN</t>
        </is>
      </c>
      <c r="E6903" t="inlineStr">
        <is>
          <t>FALUN</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64135-2025</t>
        </is>
      </c>
      <c r="B6904" s="1" t="n">
        <v>46022.35636574074</v>
      </c>
      <c r="C6904" s="1" t="n">
        <v>46114</v>
      </c>
      <c r="D6904" t="inlineStr">
        <is>
          <t>DALARNAS LÄN</t>
        </is>
      </c>
      <c r="E6904" t="inlineStr">
        <is>
          <t>FALUN</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64136-2025</t>
        </is>
      </c>
      <c r="B6905" s="1" t="n">
        <v>46022.35697916667</v>
      </c>
      <c r="C6905" s="1" t="n">
        <v>46114</v>
      </c>
      <c r="D6905" t="inlineStr">
        <is>
          <t>DALARNAS LÄN</t>
        </is>
      </c>
      <c r="E6905" t="inlineStr">
        <is>
          <t>FALUN</t>
        </is>
      </c>
      <c r="G6905" t="n">
        <v>10.2</v>
      </c>
      <c r="H6905" t="n">
        <v>0</v>
      </c>
      <c r="I6905" t="n">
        <v>0</v>
      </c>
      <c r="J6905" t="n">
        <v>0</v>
      </c>
      <c r="K6905" t="n">
        <v>0</v>
      </c>
      <c r="L6905" t="n">
        <v>0</v>
      </c>
      <c r="M6905" t="n">
        <v>0</v>
      </c>
      <c r="N6905" t="n">
        <v>0</v>
      </c>
      <c r="O6905" t="n">
        <v>0</v>
      </c>
      <c r="P6905" t="n">
        <v>0</v>
      </c>
      <c r="Q6905" t="n">
        <v>0</v>
      </c>
      <c r="R6905" s="2" t="inlineStr"/>
    </row>
    <row r="6906" ht="15" customHeight="1">
      <c r="A6906" t="inlineStr">
        <is>
          <t>A 64154-2025</t>
        </is>
      </c>
      <c r="B6906" s="1" t="n">
        <v>46022</v>
      </c>
      <c r="C6906" s="1" t="n">
        <v>46114</v>
      </c>
      <c r="D6906" t="inlineStr">
        <is>
          <t>DALARNAS LÄN</t>
        </is>
      </c>
      <c r="E6906" t="inlineStr">
        <is>
          <t>ORSA</t>
        </is>
      </c>
      <c r="G6906" t="n">
        <v>29.9</v>
      </c>
      <c r="H6906" t="n">
        <v>0</v>
      </c>
      <c r="I6906" t="n">
        <v>0</v>
      </c>
      <c r="J6906" t="n">
        <v>0</v>
      </c>
      <c r="K6906" t="n">
        <v>0</v>
      </c>
      <c r="L6906" t="n">
        <v>0</v>
      </c>
      <c r="M6906" t="n">
        <v>0</v>
      </c>
      <c r="N6906" t="n">
        <v>0</v>
      </c>
      <c r="O6906" t="n">
        <v>0</v>
      </c>
      <c r="P6906" t="n">
        <v>0</v>
      </c>
      <c r="Q6906" t="n">
        <v>0</v>
      </c>
      <c r="R6906" s="2" t="inlineStr"/>
    </row>
    <row r="6907" ht="15" customHeight="1">
      <c r="A6907" t="inlineStr">
        <is>
          <t>A 64103-2025</t>
        </is>
      </c>
      <c r="B6907" s="1" t="n">
        <v>46021.80604166666</v>
      </c>
      <c r="C6907" s="1" t="n">
        <v>46114</v>
      </c>
      <c r="D6907" t="inlineStr">
        <is>
          <t>DALARNAS LÄN</t>
        </is>
      </c>
      <c r="E6907" t="inlineStr">
        <is>
          <t>FALUN</t>
        </is>
      </c>
      <c r="G6907" t="n">
        <v>4.9</v>
      </c>
      <c r="H6907" t="n">
        <v>0</v>
      </c>
      <c r="I6907" t="n">
        <v>0</v>
      </c>
      <c r="J6907" t="n">
        <v>0</v>
      </c>
      <c r="K6907" t="n">
        <v>0</v>
      </c>
      <c r="L6907" t="n">
        <v>0</v>
      </c>
      <c r="M6907" t="n">
        <v>0</v>
      </c>
      <c r="N6907" t="n">
        <v>0</v>
      </c>
      <c r="O6907" t="n">
        <v>0</v>
      </c>
      <c r="P6907" t="n">
        <v>0</v>
      </c>
      <c r="Q6907" t="n">
        <v>0</v>
      </c>
      <c r="R6907" s="2" t="inlineStr"/>
    </row>
    <row r="6908" ht="15" customHeight="1">
      <c r="A6908" t="inlineStr">
        <is>
          <t>A 49970-2023</t>
        </is>
      </c>
      <c r="B6908" s="1" t="n">
        <v>45215.3990162037</v>
      </c>
      <c r="C6908" s="1" t="n">
        <v>46114</v>
      </c>
      <c r="D6908" t="inlineStr">
        <is>
          <t>DALARNAS LÄN</t>
        </is>
      </c>
      <c r="E6908" t="inlineStr">
        <is>
          <t>RÄTTVIK</t>
        </is>
      </c>
      <c r="G6908" t="n">
        <v>7.5</v>
      </c>
      <c r="H6908" t="n">
        <v>0</v>
      </c>
      <c r="I6908" t="n">
        <v>0</v>
      </c>
      <c r="J6908" t="n">
        <v>0</v>
      </c>
      <c r="K6908" t="n">
        <v>0</v>
      </c>
      <c r="L6908" t="n">
        <v>0</v>
      </c>
      <c r="M6908" t="n">
        <v>0</v>
      </c>
      <c r="N6908" t="n">
        <v>0</v>
      </c>
      <c r="O6908" t="n">
        <v>0</v>
      </c>
      <c r="P6908" t="n">
        <v>0</v>
      </c>
      <c r="Q6908" t="n">
        <v>0</v>
      </c>
      <c r="R6908" s="2" t="inlineStr"/>
    </row>
    <row r="6909" ht="15" customHeight="1">
      <c r="A6909" t="inlineStr">
        <is>
          <t>A 49447-2025</t>
        </is>
      </c>
      <c r="B6909" s="1" t="n">
        <v>45938.93008101852</v>
      </c>
      <c r="C6909" s="1" t="n">
        <v>46114</v>
      </c>
      <c r="D6909" t="inlineStr">
        <is>
          <t>DALARNAS LÄN</t>
        </is>
      </c>
      <c r="E6909" t="inlineStr">
        <is>
          <t>SMEDJEBACKEN</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64134-2025</t>
        </is>
      </c>
      <c r="B6910" s="1" t="n">
        <v>46022.33027777778</v>
      </c>
      <c r="C6910" s="1" t="n">
        <v>46114</v>
      </c>
      <c r="D6910" t="inlineStr">
        <is>
          <t>DALARNAS LÄN</t>
        </is>
      </c>
      <c r="E6910" t="inlineStr">
        <is>
          <t>FALUN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64137-2025</t>
        </is>
      </c>
      <c r="B6911" s="1" t="n">
        <v>46022.36045138889</v>
      </c>
      <c r="C6911" s="1" t="n">
        <v>46114</v>
      </c>
      <c r="D6911" t="inlineStr">
        <is>
          <t>DALARNAS LÄN</t>
        </is>
      </c>
      <c r="E6911" t="inlineStr">
        <is>
          <t>FALUN</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50029-2023</t>
        </is>
      </c>
      <c r="B6912" s="1" t="n">
        <v>45215</v>
      </c>
      <c r="C6912" s="1" t="n">
        <v>46114</v>
      </c>
      <c r="D6912" t="inlineStr">
        <is>
          <t>DALARNAS LÄN</t>
        </is>
      </c>
      <c r="E6912" t="inlineStr">
        <is>
          <t>MALUNG-SÄLEN</t>
        </is>
      </c>
      <c r="F6912" t="inlineStr">
        <is>
          <t>Bergvik skog öst AB</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19587-2025</t>
        </is>
      </c>
      <c r="B6913" s="1" t="n">
        <v>45770.56820601852</v>
      </c>
      <c r="C6913" s="1" t="n">
        <v>46114</v>
      </c>
      <c r="D6913" t="inlineStr">
        <is>
          <t>DALARNAS LÄN</t>
        </is>
      </c>
      <c r="E6913" t="inlineStr">
        <is>
          <t>ÄLVDALEN</t>
        </is>
      </c>
      <c r="F6913" t="inlineStr">
        <is>
          <t>Allmännings- och besparingsskogar</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12-2026</t>
        </is>
      </c>
      <c r="B6914" s="1" t="n">
        <v>46023.63576388889</v>
      </c>
      <c r="C6914" s="1" t="n">
        <v>46114</v>
      </c>
      <c r="D6914" t="inlineStr">
        <is>
          <t>DALARNAS LÄN</t>
        </is>
      </c>
      <c r="E6914" t="inlineStr">
        <is>
          <t>FALUN</t>
        </is>
      </c>
      <c r="G6914" t="n">
        <v>2</v>
      </c>
      <c r="H6914" t="n">
        <v>0</v>
      </c>
      <c r="I6914" t="n">
        <v>0</v>
      </c>
      <c r="J6914" t="n">
        <v>0</v>
      </c>
      <c r="K6914" t="n">
        <v>0</v>
      </c>
      <c r="L6914" t="n">
        <v>0</v>
      </c>
      <c r="M6914" t="n">
        <v>0</v>
      </c>
      <c r="N6914" t="n">
        <v>0</v>
      </c>
      <c r="O6914" t="n">
        <v>0</v>
      </c>
      <c r="P6914" t="n">
        <v>0</v>
      </c>
      <c r="Q6914" t="n">
        <v>0</v>
      </c>
      <c r="R6914" s="2" t="inlineStr"/>
    </row>
    <row r="6915" ht="15" customHeight="1">
      <c r="A6915" t="inlineStr">
        <is>
          <t>A 52193-2021</t>
        </is>
      </c>
      <c r="B6915" s="1" t="n">
        <v>44463</v>
      </c>
      <c r="C6915" s="1" t="n">
        <v>46114</v>
      </c>
      <c r="D6915" t="inlineStr">
        <is>
          <t>DALARNAS LÄN</t>
        </is>
      </c>
      <c r="E6915" t="inlineStr">
        <is>
          <t>SÄTER</t>
        </is>
      </c>
      <c r="F6915" t="inlineStr">
        <is>
          <t>Bergvik skog väst AB</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49771-2025</t>
        </is>
      </c>
      <c r="B6916" s="1" t="n">
        <v>45940.36981481482</v>
      </c>
      <c r="C6916" s="1" t="n">
        <v>46114</v>
      </c>
      <c r="D6916" t="inlineStr">
        <is>
          <t>DALARNAS LÄN</t>
        </is>
      </c>
      <c r="E6916" t="inlineStr">
        <is>
          <t>HEDEMORA</t>
        </is>
      </c>
      <c r="F6916" t="inlineStr">
        <is>
          <t>Sveaskog</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49586-2025</t>
        </is>
      </c>
      <c r="B6917" s="1" t="n">
        <v>45939.50689814815</v>
      </c>
      <c r="C6917" s="1" t="n">
        <v>46114</v>
      </c>
      <c r="D6917" t="inlineStr">
        <is>
          <t>DALARNAS LÄN</t>
        </is>
      </c>
      <c r="E6917" t="inlineStr">
        <is>
          <t>SÄTER</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48964-2025</t>
        </is>
      </c>
      <c r="B6918" s="1" t="n">
        <v>45937.55707175926</v>
      </c>
      <c r="C6918" s="1" t="n">
        <v>46114</v>
      </c>
      <c r="D6918" t="inlineStr">
        <is>
          <t>DALARNAS LÄN</t>
        </is>
      </c>
      <c r="E6918" t="inlineStr">
        <is>
          <t>SMEDJEBACKEN</t>
        </is>
      </c>
      <c r="F6918" t="inlineStr">
        <is>
          <t>Sveaskog</t>
        </is>
      </c>
      <c r="G6918" t="n">
        <v>3</v>
      </c>
      <c r="H6918" t="n">
        <v>0</v>
      </c>
      <c r="I6918" t="n">
        <v>0</v>
      </c>
      <c r="J6918" t="n">
        <v>0</v>
      </c>
      <c r="K6918" t="n">
        <v>0</v>
      </c>
      <c r="L6918" t="n">
        <v>0</v>
      </c>
      <c r="M6918" t="n">
        <v>0</v>
      </c>
      <c r="N6918" t="n">
        <v>0</v>
      </c>
      <c r="O6918" t="n">
        <v>0</v>
      </c>
      <c r="P6918" t="n">
        <v>0</v>
      </c>
      <c r="Q6918" t="n">
        <v>0</v>
      </c>
      <c r="R6918" s="2" t="inlineStr"/>
    </row>
    <row r="6919" ht="15" customHeight="1">
      <c r="A6919" t="inlineStr">
        <is>
          <t>A 8526-2026</t>
        </is>
      </c>
      <c r="B6919" s="1" t="n">
        <v>46065.59123842593</v>
      </c>
      <c r="C6919" s="1" t="n">
        <v>46114</v>
      </c>
      <c r="D6919" t="inlineStr">
        <is>
          <t>DALARNAS LÄN</t>
        </is>
      </c>
      <c r="E6919" t="inlineStr">
        <is>
          <t>ORSA</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181-2026</t>
        </is>
      </c>
      <c r="B6920" s="1" t="n">
        <v>46025</v>
      </c>
      <c r="C6920" s="1" t="n">
        <v>46114</v>
      </c>
      <c r="D6920" t="inlineStr">
        <is>
          <t>DALARNAS LÄN</t>
        </is>
      </c>
      <c r="E6920" t="inlineStr">
        <is>
          <t>FALUN</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196-2026</t>
        </is>
      </c>
      <c r="B6921" s="1" t="n">
        <v>46025</v>
      </c>
      <c r="C6921" s="1" t="n">
        <v>46114</v>
      </c>
      <c r="D6921" t="inlineStr">
        <is>
          <t>DALARNAS LÄN</t>
        </is>
      </c>
      <c r="E6921" t="inlineStr">
        <is>
          <t>FALUN</t>
        </is>
      </c>
      <c r="G6921" t="n">
        <v>4.9</v>
      </c>
      <c r="H6921" t="n">
        <v>0</v>
      </c>
      <c r="I6921" t="n">
        <v>0</v>
      </c>
      <c r="J6921" t="n">
        <v>0</v>
      </c>
      <c r="K6921" t="n">
        <v>0</v>
      </c>
      <c r="L6921" t="n">
        <v>0</v>
      </c>
      <c r="M6921" t="n">
        <v>0</v>
      </c>
      <c r="N6921" t="n">
        <v>0</v>
      </c>
      <c r="O6921" t="n">
        <v>0</v>
      </c>
      <c r="P6921" t="n">
        <v>0</v>
      </c>
      <c r="Q6921" t="n">
        <v>0</v>
      </c>
      <c r="R6921" s="2" t="inlineStr"/>
    </row>
    <row r="6922" ht="15" customHeight="1">
      <c r="A6922" t="inlineStr">
        <is>
          <t>A 220-2026</t>
        </is>
      </c>
      <c r="B6922" s="1" t="n">
        <v>46026</v>
      </c>
      <c r="C6922" s="1" t="n">
        <v>46114</v>
      </c>
      <c r="D6922" t="inlineStr">
        <is>
          <t>DALARNAS LÄN</t>
        </is>
      </c>
      <c r="E6922" t="inlineStr">
        <is>
          <t>SÄTER</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23489-2024</t>
        </is>
      </c>
      <c r="B6923" s="1" t="n">
        <v>45453.68108796296</v>
      </c>
      <c r="C6923" s="1" t="n">
        <v>46114</v>
      </c>
      <c r="D6923" t="inlineStr">
        <is>
          <t>DALARNAS LÄN</t>
        </is>
      </c>
      <c r="E6923" t="inlineStr">
        <is>
          <t>GAGNEF</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211-2026</t>
        </is>
      </c>
      <c r="B6924" s="1" t="n">
        <v>46026.61393518518</v>
      </c>
      <c r="C6924" s="1" t="n">
        <v>46114</v>
      </c>
      <c r="D6924" t="inlineStr">
        <is>
          <t>DALARNAS LÄN</t>
        </is>
      </c>
      <c r="E6924" t="inlineStr">
        <is>
          <t>FALUN</t>
        </is>
      </c>
      <c r="G6924" t="n">
        <v>9</v>
      </c>
      <c r="H6924" t="n">
        <v>0</v>
      </c>
      <c r="I6924" t="n">
        <v>0</v>
      </c>
      <c r="J6924" t="n">
        <v>0</v>
      </c>
      <c r="K6924" t="n">
        <v>0</v>
      </c>
      <c r="L6924" t="n">
        <v>0</v>
      </c>
      <c r="M6924" t="n">
        <v>0</v>
      </c>
      <c r="N6924" t="n">
        <v>0</v>
      </c>
      <c r="O6924" t="n">
        <v>0</v>
      </c>
      <c r="P6924" t="n">
        <v>0</v>
      </c>
      <c r="Q6924" t="n">
        <v>0</v>
      </c>
      <c r="R6924" s="2" t="inlineStr"/>
    </row>
    <row r="6925" ht="15" customHeight="1">
      <c r="A6925" t="inlineStr">
        <is>
          <t>A 46-2026</t>
        </is>
      </c>
      <c r="B6925" s="1" t="n">
        <v>46024</v>
      </c>
      <c r="C6925" s="1" t="n">
        <v>46114</v>
      </c>
      <c r="D6925" t="inlineStr">
        <is>
          <t>DALARNAS LÄN</t>
        </is>
      </c>
      <c r="E6925" t="inlineStr">
        <is>
          <t>FALUN</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117-2026</t>
        </is>
      </c>
      <c r="B6926" s="1" t="n">
        <v>46024.5670949074</v>
      </c>
      <c r="C6926" s="1" t="n">
        <v>46114</v>
      </c>
      <c r="D6926" t="inlineStr">
        <is>
          <t>DALARNAS LÄN</t>
        </is>
      </c>
      <c r="E6926" t="inlineStr">
        <is>
          <t>GAGNEF</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120-2026</t>
        </is>
      </c>
      <c r="B6927" s="1" t="n">
        <v>46024.57240740741</v>
      </c>
      <c r="C6927" s="1" t="n">
        <v>46114</v>
      </c>
      <c r="D6927" t="inlineStr">
        <is>
          <t>DALARNAS LÄN</t>
        </is>
      </c>
      <c r="E6927" t="inlineStr">
        <is>
          <t>GAGNEF</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128-2026</t>
        </is>
      </c>
      <c r="B6928" s="1" t="n">
        <v>46024.59564814815</v>
      </c>
      <c r="C6928" s="1" t="n">
        <v>46114</v>
      </c>
      <c r="D6928" t="inlineStr">
        <is>
          <t>DALARNAS LÄN</t>
        </is>
      </c>
      <c r="E6928" t="inlineStr">
        <is>
          <t>FALUN</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27520-2023</t>
        </is>
      </c>
      <c r="B6929" s="1" t="n">
        <v>45097</v>
      </c>
      <c r="C6929" s="1" t="n">
        <v>46114</v>
      </c>
      <c r="D6929" t="inlineStr">
        <is>
          <t>DALARNAS LÄN</t>
        </is>
      </c>
      <c r="E6929" t="inlineStr">
        <is>
          <t>LEKSAND</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56767-2024</t>
        </is>
      </c>
      <c r="B6930" s="1" t="n">
        <v>45628.41274305555</v>
      </c>
      <c r="C6930" s="1" t="n">
        <v>46114</v>
      </c>
      <c r="D6930" t="inlineStr">
        <is>
          <t>DALARNAS LÄN</t>
        </is>
      </c>
      <c r="E6930" t="inlineStr">
        <is>
          <t>MORA</t>
        </is>
      </c>
      <c r="G6930" t="n">
        <v>5</v>
      </c>
      <c r="H6930" t="n">
        <v>0</v>
      </c>
      <c r="I6930" t="n">
        <v>0</v>
      </c>
      <c r="J6930" t="n">
        <v>0</v>
      </c>
      <c r="K6930" t="n">
        <v>0</v>
      </c>
      <c r="L6930" t="n">
        <v>0</v>
      </c>
      <c r="M6930" t="n">
        <v>0</v>
      </c>
      <c r="N6930" t="n">
        <v>0</v>
      </c>
      <c r="O6930" t="n">
        <v>0</v>
      </c>
      <c r="P6930" t="n">
        <v>0</v>
      </c>
      <c r="Q6930" t="n">
        <v>0</v>
      </c>
      <c r="R6930" s="2" t="inlineStr"/>
    </row>
    <row r="6931" ht="15" customHeight="1">
      <c r="A6931" t="inlineStr">
        <is>
          <t>A 121-2026</t>
        </is>
      </c>
      <c r="B6931" s="1" t="n">
        <v>46024.57332175926</v>
      </c>
      <c r="C6931" s="1" t="n">
        <v>46114</v>
      </c>
      <c r="D6931" t="inlineStr">
        <is>
          <t>DALARNAS LÄN</t>
        </is>
      </c>
      <c r="E6931" t="inlineStr">
        <is>
          <t>FALUN</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144-2026</t>
        </is>
      </c>
      <c r="B6932" s="1" t="n">
        <v>46024.63174768518</v>
      </c>
      <c r="C6932" s="1" t="n">
        <v>46114</v>
      </c>
      <c r="D6932" t="inlineStr">
        <is>
          <t>DALARNAS LÄN</t>
        </is>
      </c>
      <c r="E6932" t="inlineStr">
        <is>
          <t>ORSA</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24961-2021</t>
        </is>
      </c>
      <c r="B6933" s="1" t="n">
        <v>44341.47728009259</v>
      </c>
      <c r="C6933" s="1" t="n">
        <v>46114</v>
      </c>
      <c r="D6933" t="inlineStr">
        <is>
          <t>DALARNAS LÄN</t>
        </is>
      </c>
      <c r="E6933" t="inlineStr">
        <is>
          <t>BORLÄNGE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34845-2024</t>
        </is>
      </c>
      <c r="B6934" s="1" t="n">
        <v>45526</v>
      </c>
      <c r="C6934" s="1" t="n">
        <v>46114</v>
      </c>
      <c r="D6934" t="inlineStr">
        <is>
          <t>DALARNAS LÄN</t>
        </is>
      </c>
      <c r="E6934" t="inlineStr">
        <is>
          <t>LUDVIKA</t>
        </is>
      </c>
      <c r="G6934" t="n">
        <v>0.5</v>
      </c>
      <c r="H6934" t="n">
        <v>0</v>
      </c>
      <c r="I6934" t="n">
        <v>0</v>
      </c>
      <c r="J6934" t="n">
        <v>0</v>
      </c>
      <c r="K6934" t="n">
        <v>0</v>
      </c>
      <c r="L6934" t="n">
        <v>0</v>
      </c>
      <c r="M6934" t="n">
        <v>0</v>
      </c>
      <c r="N6934" t="n">
        <v>0</v>
      </c>
      <c r="O6934" t="n">
        <v>0</v>
      </c>
      <c r="P6934" t="n">
        <v>0</v>
      </c>
      <c r="Q6934" t="n">
        <v>0</v>
      </c>
      <c r="R6934" s="2" t="inlineStr"/>
    </row>
    <row r="6935" ht="15" customHeight="1">
      <c r="A6935" t="inlineStr">
        <is>
          <t>A 55871-2024</t>
        </is>
      </c>
      <c r="B6935" s="1" t="n">
        <v>45623</v>
      </c>
      <c r="C6935" s="1" t="n">
        <v>46114</v>
      </c>
      <c r="D6935" t="inlineStr">
        <is>
          <t>DALARNAS LÄN</t>
        </is>
      </c>
      <c r="E6935" t="inlineStr">
        <is>
          <t>SMEDJEBACKEN</t>
        </is>
      </c>
      <c r="G6935" t="n">
        <v>6.9</v>
      </c>
      <c r="H6935" t="n">
        <v>0</v>
      </c>
      <c r="I6935" t="n">
        <v>0</v>
      </c>
      <c r="J6935" t="n">
        <v>0</v>
      </c>
      <c r="K6935" t="n">
        <v>0</v>
      </c>
      <c r="L6935" t="n">
        <v>0</v>
      </c>
      <c r="M6935" t="n">
        <v>0</v>
      </c>
      <c r="N6935" t="n">
        <v>0</v>
      </c>
      <c r="O6935" t="n">
        <v>0</v>
      </c>
      <c r="P6935" t="n">
        <v>0</v>
      </c>
      <c r="Q6935" t="n">
        <v>0</v>
      </c>
      <c r="R6935" s="2" t="inlineStr"/>
    </row>
    <row r="6936" ht="15" customHeight="1">
      <c r="A6936" t="inlineStr">
        <is>
          <t>A 24165-2022</t>
        </is>
      </c>
      <c r="B6936" s="1" t="n">
        <v>44725</v>
      </c>
      <c r="C6936" s="1" t="n">
        <v>46114</v>
      </c>
      <c r="D6936" t="inlineStr">
        <is>
          <t>DALARNAS LÄN</t>
        </is>
      </c>
      <c r="E6936" t="inlineStr">
        <is>
          <t>MALUNG-SÄLEN</t>
        </is>
      </c>
      <c r="F6936" t="inlineStr">
        <is>
          <t>Kommuner</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115-2026</t>
        </is>
      </c>
      <c r="B6937" s="1" t="n">
        <v>46024.56222222222</v>
      </c>
      <c r="C6937" s="1" t="n">
        <v>46114</v>
      </c>
      <c r="D6937" t="inlineStr">
        <is>
          <t>DALARNAS LÄN</t>
        </is>
      </c>
      <c r="E6937" t="inlineStr">
        <is>
          <t>GAGNEF</t>
        </is>
      </c>
      <c r="G6937" t="n">
        <v>1.1</v>
      </c>
      <c r="H6937" t="n">
        <v>0</v>
      </c>
      <c r="I6937" t="n">
        <v>0</v>
      </c>
      <c r="J6937" t="n">
        <v>0</v>
      </c>
      <c r="K6937" t="n">
        <v>0</v>
      </c>
      <c r="L6937" t="n">
        <v>0</v>
      </c>
      <c r="M6937" t="n">
        <v>0</v>
      </c>
      <c r="N6937" t="n">
        <v>0</v>
      </c>
      <c r="O6937" t="n">
        <v>0</v>
      </c>
      <c r="P6937" t="n">
        <v>0</v>
      </c>
      <c r="Q6937" t="n">
        <v>0</v>
      </c>
      <c r="R6937" s="2" t="inlineStr"/>
    </row>
    <row r="6938" ht="15" customHeight="1">
      <c r="A6938" t="inlineStr">
        <is>
          <t>A 126-2026</t>
        </is>
      </c>
      <c r="B6938" s="1" t="n">
        <v>46024.59197916667</v>
      </c>
      <c r="C6938" s="1" t="n">
        <v>46114</v>
      </c>
      <c r="D6938" t="inlineStr">
        <is>
          <t>DALARNAS LÄN</t>
        </is>
      </c>
      <c r="E6938" t="inlineStr">
        <is>
          <t>GAGNEF</t>
        </is>
      </c>
      <c r="G6938" t="n">
        <v>0.8</v>
      </c>
      <c r="H6938" t="n">
        <v>0</v>
      </c>
      <c r="I6938" t="n">
        <v>0</v>
      </c>
      <c r="J6938" t="n">
        <v>0</v>
      </c>
      <c r="K6938" t="n">
        <v>0</v>
      </c>
      <c r="L6938" t="n">
        <v>0</v>
      </c>
      <c r="M6938" t="n">
        <v>0</v>
      </c>
      <c r="N6938" t="n">
        <v>0</v>
      </c>
      <c r="O6938" t="n">
        <v>0</v>
      </c>
      <c r="P6938" t="n">
        <v>0</v>
      </c>
      <c r="Q6938" t="n">
        <v>0</v>
      </c>
      <c r="R6938" s="2" t="inlineStr"/>
    </row>
    <row r="6939" ht="15" customHeight="1">
      <c r="A6939" t="inlineStr">
        <is>
          <t>A 55926-2024</t>
        </is>
      </c>
      <c r="B6939" s="1" t="n">
        <v>45623.601875</v>
      </c>
      <c r="C6939" s="1" t="n">
        <v>46114</v>
      </c>
      <c r="D6939" t="inlineStr">
        <is>
          <t>DALARNAS LÄN</t>
        </is>
      </c>
      <c r="E6939" t="inlineStr">
        <is>
          <t>LEKSAND</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170-2026</t>
        </is>
      </c>
      <c r="B6940" s="1" t="n">
        <v>46025.31461805556</v>
      </c>
      <c r="C6940" s="1" t="n">
        <v>46114</v>
      </c>
      <c r="D6940" t="inlineStr">
        <is>
          <t>DALARNAS LÄN</t>
        </is>
      </c>
      <c r="E6940" t="inlineStr">
        <is>
          <t>RÄTTVIK</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297-2026</t>
        </is>
      </c>
      <c r="B6941" s="1" t="n">
        <v>46027.51010416666</v>
      </c>
      <c r="C6941" s="1" t="n">
        <v>46114</v>
      </c>
      <c r="D6941" t="inlineStr">
        <is>
          <t>DALARNAS LÄN</t>
        </is>
      </c>
      <c r="E6941" t="inlineStr">
        <is>
          <t>FALUN</t>
        </is>
      </c>
      <c r="G6941" t="n">
        <v>9.1</v>
      </c>
      <c r="H6941" t="n">
        <v>0</v>
      </c>
      <c r="I6941" t="n">
        <v>0</v>
      </c>
      <c r="J6941" t="n">
        <v>0</v>
      </c>
      <c r="K6941" t="n">
        <v>0</v>
      </c>
      <c r="L6941" t="n">
        <v>0</v>
      </c>
      <c r="M6941" t="n">
        <v>0</v>
      </c>
      <c r="N6941" t="n">
        <v>0</v>
      </c>
      <c r="O6941" t="n">
        <v>0</v>
      </c>
      <c r="P6941" t="n">
        <v>0</v>
      </c>
      <c r="Q6941" t="n">
        <v>0</v>
      </c>
      <c r="R6941" s="2" t="inlineStr"/>
    </row>
    <row r="6942" ht="15" customHeight="1">
      <c r="A6942" t="inlineStr">
        <is>
          <t>A 25299-2022</t>
        </is>
      </c>
      <c r="B6942" s="1" t="n">
        <v>44730.99318287037</v>
      </c>
      <c r="C6942" s="1" t="n">
        <v>46114</v>
      </c>
      <c r="D6942" t="inlineStr">
        <is>
          <t>DALARNAS LÄN</t>
        </is>
      </c>
      <c r="E6942" t="inlineStr">
        <is>
          <t>LUDVIKA</t>
        </is>
      </c>
      <c r="F6942" t="inlineStr">
        <is>
          <t>Bergvik skog väst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70-2026</t>
        </is>
      </c>
      <c r="B6943" s="1" t="n">
        <v>46024.45844907407</v>
      </c>
      <c r="C6943" s="1" t="n">
        <v>46114</v>
      </c>
      <c r="D6943" t="inlineStr">
        <is>
          <t>DALARNAS LÄN</t>
        </is>
      </c>
      <c r="E6943" t="inlineStr">
        <is>
          <t>MALUNG-SÄLEN</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105-2026</t>
        </is>
      </c>
      <c r="B6944" s="1" t="n">
        <v>46024.52768518519</v>
      </c>
      <c r="C6944" s="1" t="n">
        <v>46114</v>
      </c>
      <c r="D6944" t="inlineStr">
        <is>
          <t>DALARNAS LÄN</t>
        </is>
      </c>
      <c r="E6944" t="inlineStr">
        <is>
          <t>FALUN</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185-2026</t>
        </is>
      </c>
      <c r="B6945" s="1" t="n">
        <v>46025</v>
      </c>
      <c r="C6945" s="1" t="n">
        <v>46114</v>
      </c>
      <c r="D6945" t="inlineStr">
        <is>
          <t>DALARNAS LÄN</t>
        </is>
      </c>
      <c r="E6945" t="inlineStr">
        <is>
          <t>FALUN</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193-2026</t>
        </is>
      </c>
      <c r="B6946" s="1" t="n">
        <v>46025</v>
      </c>
      <c r="C6946" s="1" t="n">
        <v>46114</v>
      </c>
      <c r="D6946" t="inlineStr">
        <is>
          <t>DALARNAS LÄN</t>
        </is>
      </c>
      <c r="E6946" t="inlineStr">
        <is>
          <t>FALUN</t>
        </is>
      </c>
      <c r="G6946" t="n">
        <v>13.4</v>
      </c>
      <c r="H6946" t="n">
        <v>0</v>
      </c>
      <c r="I6946" t="n">
        <v>0</v>
      </c>
      <c r="J6946" t="n">
        <v>0</v>
      </c>
      <c r="K6946" t="n">
        <v>0</v>
      </c>
      <c r="L6946" t="n">
        <v>0</v>
      </c>
      <c r="M6946" t="n">
        <v>0</v>
      </c>
      <c r="N6946" t="n">
        <v>0</v>
      </c>
      <c r="O6946" t="n">
        <v>0</v>
      </c>
      <c r="P6946" t="n">
        <v>0</v>
      </c>
      <c r="Q6946" t="n">
        <v>0</v>
      </c>
      <c r="R6946" s="2" t="inlineStr"/>
    </row>
    <row r="6947" ht="15" customHeight="1">
      <c r="A6947" t="inlineStr">
        <is>
          <t>A 198-2026</t>
        </is>
      </c>
      <c r="B6947" s="1" t="n">
        <v>46026</v>
      </c>
      <c r="C6947" s="1" t="n">
        <v>46114</v>
      </c>
      <c r="D6947" t="inlineStr">
        <is>
          <t>DALARNAS LÄN</t>
        </is>
      </c>
      <c r="E6947" t="inlineStr">
        <is>
          <t>FALUN</t>
        </is>
      </c>
      <c r="G6947" t="n">
        <v>12.8</v>
      </c>
      <c r="H6947" t="n">
        <v>0</v>
      </c>
      <c r="I6947" t="n">
        <v>0</v>
      </c>
      <c r="J6947" t="n">
        <v>0</v>
      </c>
      <c r="K6947" t="n">
        <v>0</v>
      </c>
      <c r="L6947" t="n">
        <v>0</v>
      </c>
      <c r="M6947" t="n">
        <v>0</v>
      </c>
      <c r="N6947" t="n">
        <v>0</v>
      </c>
      <c r="O6947" t="n">
        <v>0</v>
      </c>
      <c r="P6947" t="n">
        <v>0</v>
      </c>
      <c r="Q6947" t="n">
        <v>0</v>
      </c>
      <c r="R6947" s="2" t="inlineStr"/>
    </row>
    <row r="6948" ht="15" customHeight="1">
      <c r="A6948" t="inlineStr">
        <is>
          <t>A 208-2026</t>
        </is>
      </c>
      <c r="B6948" s="1" t="n">
        <v>46026</v>
      </c>
      <c r="C6948" s="1" t="n">
        <v>46114</v>
      </c>
      <c r="D6948" t="inlineStr">
        <is>
          <t>DALARNAS LÄN</t>
        </is>
      </c>
      <c r="E6948" t="inlineStr">
        <is>
          <t>FALUN</t>
        </is>
      </c>
      <c r="G6948" t="n">
        <v>8.6</v>
      </c>
      <c r="H6948" t="n">
        <v>0</v>
      </c>
      <c r="I6948" t="n">
        <v>0</v>
      </c>
      <c r="J6948" t="n">
        <v>0</v>
      </c>
      <c r="K6948" t="n">
        <v>0</v>
      </c>
      <c r="L6948" t="n">
        <v>0</v>
      </c>
      <c r="M6948" t="n">
        <v>0</v>
      </c>
      <c r="N6948" t="n">
        <v>0</v>
      </c>
      <c r="O6948" t="n">
        <v>0</v>
      </c>
      <c r="P6948" t="n">
        <v>0</v>
      </c>
      <c r="Q6948" t="n">
        <v>0</v>
      </c>
      <c r="R6948" s="2" t="inlineStr"/>
    </row>
    <row r="6949" ht="15" customHeight="1">
      <c r="A6949" t="inlineStr">
        <is>
          <t>A 338-2026</t>
        </is>
      </c>
      <c r="B6949" s="1" t="n">
        <v>46027</v>
      </c>
      <c r="C6949" s="1" t="n">
        <v>46114</v>
      </c>
      <c r="D6949" t="inlineStr">
        <is>
          <t>DALARNAS LÄN</t>
        </is>
      </c>
      <c r="E6949" t="inlineStr">
        <is>
          <t>RÄTTVIK</t>
        </is>
      </c>
      <c r="G6949" t="n">
        <v>12.9</v>
      </c>
      <c r="H6949" t="n">
        <v>0</v>
      </c>
      <c r="I6949" t="n">
        <v>0</v>
      </c>
      <c r="J6949" t="n">
        <v>0</v>
      </c>
      <c r="K6949" t="n">
        <v>0</v>
      </c>
      <c r="L6949" t="n">
        <v>0</v>
      </c>
      <c r="M6949" t="n">
        <v>0</v>
      </c>
      <c r="N6949" t="n">
        <v>0</v>
      </c>
      <c r="O6949" t="n">
        <v>0</v>
      </c>
      <c r="P6949" t="n">
        <v>0</v>
      </c>
      <c r="Q6949" t="n">
        <v>0</v>
      </c>
      <c r="R6949" s="2" t="inlineStr"/>
    </row>
    <row r="6950" ht="15" customHeight="1">
      <c r="A6950" t="inlineStr">
        <is>
          <t>A 348-2026</t>
        </is>
      </c>
      <c r="B6950" s="1" t="n">
        <v>46027.62204861111</v>
      </c>
      <c r="C6950" s="1" t="n">
        <v>46114</v>
      </c>
      <c r="D6950" t="inlineStr">
        <is>
          <t>DALARNAS LÄN</t>
        </is>
      </c>
      <c r="E6950" t="inlineStr">
        <is>
          <t>RÄTTVIK</t>
        </is>
      </c>
      <c r="G6950" t="n">
        <v>3.6</v>
      </c>
      <c r="H6950" t="n">
        <v>0</v>
      </c>
      <c r="I6950" t="n">
        <v>0</v>
      </c>
      <c r="J6950" t="n">
        <v>0</v>
      </c>
      <c r="K6950" t="n">
        <v>0</v>
      </c>
      <c r="L6950" t="n">
        <v>0</v>
      </c>
      <c r="M6950" t="n">
        <v>0</v>
      </c>
      <c r="N6950" t="n">
        <v>0</v>
      </c>
      <c r="O6950" t="n">
        <v>0</v>
      </c>
      <c r="P6950" t="n">
        <v>0</v>
      </c>
      <c r="Q6950" t="n">
        <v>0</v>
      </c>
      <c r="R6950" s="2" t="inlineStr"/>
    </row>
    <row r="6951" ht="15" customHeight="1">
      <c r="A6951" t="inlineStr">
        <is>
          <t>A 139-2026</t>
        </is>
      </c>
      <c r="B6951" s="1" t="n">
        <v>46024</v>
      </c>
      <c r="C6951" s="1" t="n">
        <v>46114</v>
      </c>
      <c r="D6951" t="inlineStr">
        <is>
          <t>DALARNAS LÄN</t>
        </is>
      </c>
      <c r="E6951" t="inlineStr">
        <is>
          <t>LEKSAND</t>
        </is>
      </c>
      <c r="G6951" t="n">
        <v>4</v>
      </c>
      <c r="H6951" t="n">
        <v>0</v>
      </c>
      <c r="I6951" t="n">
        <v>0</v>
      </c>
      <c r="J6951" t="n">
        <v>0</v>
      </c>
      <c r="K6951" t="n">
        <v>0</v>
      </c>
      <c r="L6951" t="n">
        <v>0</v>
      </c>
      <c r="M6951" t="n">
        <v>0</v>
      </c>
      <c r="N6951" t="n">
        <v>0</v>
      </c>
      <c r="O6951" t="n">
        <v>0</v>
      </c>
      <c r="P6951" t="n">
        <v>0</v>
      </c>
      <c r="Q6951" t="n">
        <v>0</v>
      </c>
      <c r="R6951" s="2" t="inlineStr"/>
    </row>
    <row r="6952" ht="15" customHeight="1">
      <c r="A6952" t="inlineStr">
        <is>
          <t>A 582-2026</t>
        </is>
      </c>
      <c r="B6952" s="1" t="n">
        <v>46027</v>
      </c>
      <c r="C6952" s="1" t="n">
        <v>46114</v>
      </c>
      <c r="D6952" t="inlineStr">
        <is>
          <t>DALARNAS LÄN</t>
        </is>
      </c>
      <c r="E6952" t="inlineStr">
        <is>
          <t>RÄTTVIK</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245-2026</t>
        </is>
      </c>
      <c r="B6953" s="1" t="n">
        <v>46027</v>
      </c>
      <c r="C6953" s="1" t="n">
        <v>46114</v>
      </c>
      <c r="D6953" t="inlineStr">
        <is>
          <t>DALARNAS LÄN</t>
        </is>
      </c>
      <c r="E6953" t="inlineStr">
        <is>
          <t>GAGNEF</t>
        </is>
      </c>
      <c r="G6953" t="n">
        <v>6.4</v>
      </c>
      <c r="H6953" t="n">
        <v>0</v>
      </c>
      <c r="I6953" t="n">
        <v>0</v>
      </c>
      <c r="J6953" t="n">
        <v>0</v>
      </c>
      <c r="K6953" t="n">
        <v>0</v>
      </c>
      <c r="L6953" t="n">
        <v>0</v>
      </c>
      <c r="M6953" t="n">
        <v>0</v>
      </c>
      <c r="N6953" t="n">
        <v>0</v>
      </c>
      <c r="O6953" t="n">
        <v>0</v>
      </c>
      <c r="P6953" t="n">
        <v>0</v>
      </c>
      <c r="Q6953" t="n">
        <v>0</v>
      </c>
      <c r="R6953" s="2" t="inlineStr"/>
    </row>
    <row r="6954" ht="15" customHeight="1">
      <c r="A6954" t="inlineStr">
        <is>
          <t>A 355-2026</t>
        </is>
      </c>
      <c r="B6954" s="1" t="n">
        <v>46027.64334490741</v>
      </c>
      <c r="C6954" s="1" t="n">
        <v>46114</v>
      </c>
      <c r="D6954" t="inlineStr">
        <is>
          <t>DALARNAS LÄN</t>
        </is>
      </c>
      <c r="E6954" t="inlineStr">
        <is>
          <t>SMEDJEBACKEN</t>
        </is>
      </c>
      <c r="G6954" t="n">
        <v>7.5</v>
      </c>
      <c r="H6954" t="n">
        <v>0</v>
      </c>
      <c r="I6954" t="n">
        <v>0</v>
      </c>
      <c r="J6954" t="n">
        <v>0</v>
      </c>
      <c r="K6954" t="n">
        <v>0</v>
      </c>
      <c r="L6954" t="n">
        <v>0</v>
      </c>
      <c r="M6954" t="n">
        <v>0</v>
      </c>
      <c r="N6954" t="n">
        <v>0</v>
      </c>
      <c r="O6954" t="n">
        <v>0</v>
      </c>
      <c r="P6954" t="n">
        <v>0</v>
      </c>
      <c r="Q6954" t="n">
        <v>0</v>
      </c>
      <c r="R6954" s="2" t="inlineStr"/>
    </row>
    <row r="6955" ht="15" customHeight="1">
      <c r="A6955" t="inlineStr">
        <is>
          <t>A 356-2026</t>
        </is>
      </c>
      <c r="B6955" s="1" t="n">
        <v>46027.64972222222</v>
      </c>
      <c r="C6955" s="1" t="n">
        <v>46114</v>
      </c>
      <c r="D6955" t="inlineStr">
        <is>
          <t>DALARNAS LÄN</t>
        </is>
      </c>
      <c r="E6955" t="inlineStr">
        <is>
          <t>RÄTTVIK</t>
        </is>
      </c>
      <c r="G6955" t="n">
        <v>3.5</v>
      </c>
      <c r="H6955" t="n">
        <v>0</v>
      </c>
      <c r="I6955" t="n">
        <v>0</v>
      </c>
      <c r="J6955" t="n">
        <v>0</v>
      </c>
      <c r="K6955" t="n">
        <v>0</v>
      </c>
      <c r="L6955" t="n">
        <v>0</v>
      </c>
      <c r="M6955" t="n">
        <v>0</v>
      </c>
      <c r="N6955" t="n">
        <v>0</v>
      </c>
      <c r="O6955" t="n">
        <v>0</v>
      </c>
      <c r="P6955" t="n">
        <v>0</v>
      </c>
      <c r="Q6955" t="n">
        <v>0</v>
      </c>
      <c r="R6955" s="2" t="inlineStr"/>
    </row>
    <row r="6956" ht="15" customHeight="1">
      <c r="A6956" t="inlineStr">
        <is>
          <t>A 21948-2023</t>
        </is>
      </c>
      <c r="B6956" s="1" t="n">
        <v>45068</v>
      </c>
      <c r="C6956" s="1" t="n">
        <v>46114</v>
      </c>
      <c r="D6956" t="inlineStr">
        <is>
          <t>DALARNAS LÄN</t>
        </is>
      </c>
      <c r="E6956" t="inlineStr">
        <is>
          <t>SÄTER</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37-2026</t>
        </is>
      </c>
      <c r="B6957" s="1" t="n">
        <v>46024</v>
      </c>
      <c r="C6957" s="1" t="n">
        <v>46114</v>
      </c>
      <c r="D6957" t="inlineStr">
        <is>
          <t>DALARNAS LÄN</t>
        </is>
      </c>
      <c r="E6957" t="inlineStr">
        <is>
          <t>ORSA</t>
        </is>
      </c>
      <c r="G6957" t="n">
        <v>4.8</v>
      </c>
      <c r="H6957" t="n">
        <v>0</v>
      </c>
      <c r="I6957" t="n">
        <v>0</v>
      </c>
      <c r="J6957" t="n">
        <v>0</v>
      </c>
      <c r="K6957" t="n">
        <v>0</v>
      </c>
      <c r="L6957" t="n">
        <v>0</v>
      </c>
      <c r="M6957" t="n">
        <v>0</v>
      </c>
      <c r="N6957" t="n">
        <v>0</v>
      </c>
      <c r="O6957" t="n">
        <v>0</v>
      </c>
      <c r="P6957" t="n">
        <v>0</v>
      </c>
      <c r="Q6957" t="n">
        <v>0</v>
      </c>
      <c r="R6957" s="2" t="inlineStr"/>
    </row>
    <row r="6958" ht="15" customHeight="1">
      <c r="A6958" t="inlineStr">
        <is>
          <t>A 10318-2024</t>
        </is>
      </c>
      <c r="B6958" s="1" t="n">
        <v>45365.54184027778</v>
      </c>
      <c r="C6958" s="1" t="n">
        <v>46114</v>
      </c>
      <c r="D6958" t="inlineStr">
        <is>
          <t>DALARNAS LÄN</t>
        </is>
      </c>
      <c r="E6958" t="inlineStr">
        <is>
          <t>FALUN</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57821-2023</t>
        </is>
      </c>
      <c r="B6959" s="1" t="n">
        <v>45247</v>
      </c>
      <c r="C6959" s="1" t="n">
        <v>46114</v>
      </c>
      <c r="D6959" t="inlineStr">
        <is>
          <t>DALARNAS LÄN</t>
        </is>
      </c>
      <c r="E6959" t="inlineStr">
        <is>
          <t>ÄLVDALEN</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57833-2023</t>
        </is>
      </c>
      <c r="B6960" s="1" t="n">
        <v>45247</v>
      </c>
      <c r="C6960" s="1" t="n">
        <v>46114</v>
      </c>
      <c r="D6960" t="inlineStr">
        <is>
          <t>DALARNAS LÄN</t>
        </is>
      </c>
      <c r="E6960" t="inlineStr">
        <is>
          <t>SÄTER</t>
        </is>
      </c>
      <c r="G6960" t="n">
        <v>6.4</v>
      </c>
      <c r="H6960" t="n">
        <v>0</v>
      </c>
      <c r="I6960" t="n">
        <v>0</v>
      </c>
      <c r="J6960" t="n">
        <v>0</v>
      </c>
      <c r="K6960" t="n">
        <v>0</v>
      </c>
      <c r="L6960" t="n">
        <v>0</v>
      </c>
      <c r="M6960" t="n">
        <v>0</v>
      </c>
      <c r="N6960" t="n">
        <v>0</v>
      </c>
      <c r="O6960" t="n">
        <v>0</v>
      </c>
      <c r="P6960" t="n">
        <v>0</v>
      </c>
      <c r="Q6960" t="n">
        <v>0</v>
      </c>
      <c r="R6960" s="2" t="inlineStr"/>
    </row>
    <row r="6961" ht="15" customHeight="1">
      <c r="A6961" t="inlineStr">
        <is>
          <t>A 283-2026</t>
        </is>
      </c>
      <c r="B6961" s="1" t="n">
        <v>46027.48546296296</v>
      </c>
      <c r="C6961" s="1" t="n">
        <v>46114</v>
      </c>
      <c r="D6961" t="inlineStr">
        <is>
          <t>DALARNAS LÄN</t>
        </is>
      </c>
      <c r="E6961" t="inlineStr">
        <is>
          <t>FALUN</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295-2026</t>
        </is>
      </c>
      <c r="B6962" s="1" t="n">
        <v>46027.50873842592</v>
      </c>
      <c r="C6962" s="1" t="n">
        <v>46114</v>
      </c>
      <c r="D6962" t="inlineStr">
        <is>
          <t>DALARNAS LÄN</t>
        </is>
      </c>
      <c r="E6962" t="inlineStr">
        <is>
          <t>FALUN</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306-2026</t>
        </is>
      </c>
      <c r="B6963" s="1" t="n">
        <v>46027</v>
      </c>
      <c r="C6963" s="1" t="n">
        <v>46114</v>
      </c>
      <c r="D6963" t="inlineStr">
        <is>
          <t>DALARNAS LÄN</t>
        </is>
      </c>
      <c r="E6963" t="inlineStr">
        <is>
          <t>HEDEMORA</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151-2026</t>
        </is>
      </c>
      <c r="B6964" s="1" t="n">
        <v>46024.65234953703</v>
      </c>
      <c r="C6964" s="1" t="n">
        <v>46114</v>
      </c>
      <c r="D6964" t="inlineStr">
        <is>
          <t>DALARNAS LÄN</t>
        </is>
      </c>
      <c r="E6964" t="inlineStr">
        <is>
          <t>AVESTA</t>
        </is>
      </c>
      <c r="G6964" t="n">
        <v>1.1</v>
      </c>
      <c r="H6964" t="n">
        <v>0</v>
      </c>
      <c r="I6964" t="n">
        <v>0</v>
      </c>
      <c r="J6964" t="n">
        <v>0</v>
      </c>
      <c r="K6964" t="n">
        <v>0</v>
      </c>
      <c r="L6964" t="n">
        <v>0</v>
      </c>
      <c r="M6964" t="n">
        <v>0</v>
      </c>
      <c r="N6964" t="n">
        <v>0</v>
      </c>
      <c r="O6964" t="n">
        <v>0</v>
      </c>
      <c r="P6964" t="n">
        <v>0</v>
      </c>
      <c r="Q6964" t="n">
        <v>0</v>
      </c>
      <c r="R6964" s="2" t="inlineStr"/>
    </row>
    <row r="6965" ht="15" customHeight="1">
      <c r="A6965" t="inlineStr">
        <is>
          <t>A 157-2026</t>
        </is>
      </c>
      <c r="B6965" s="1" t="n">
        <v>46024</v>
      </c>
      <c r="C6965" s="1" t="n">
        <v>46114</v>
      </c>
      <c r="D6965" t="inlineStr">
        <is>
          <t>DALARNAS LÄN</t>
        </is>
      </c>
      <c r="E6965" t="inlineStr">
        <is>
          <t>HEDEMORA</t>
        </is>
      </c>
      <c r="G6965" t="n">
        <v>21.2</v>
      </c>
      <c r="H6965" t="n">
        <v>0</v>
      </c>
      <c r="I6965" t="n">
        <v>0</v>
      </c>
      <c r="J6965" t="n">
        <v>0</v>
      </c>
      <c r="K6965" t="n">
        <v>0</v>
      </c>
      <c r="L6965" t="n">
        <v>0</v>
      </c>
      <c r="M6965" t="n">
        <v>0</v>
      </c>
      <c r="N6965" t="n">
        <v>0</v>
      </c>
      <c r="O6965" t="n">
        <v>0</v>
      </c>
      <c r="P6965" t="n">
        <v>0</v>
      </c>
      <c r="Q6965" t="n">
        <v>0</v>
      </c>
      <c r="R6965" s="2" t="inlineStr"/>
    </row>
    <row r="6966" ht="15" customHeight="1">
      <c r="A6966" t="inlineStr">
        <is>
          <t>A 49405-2024</t>
        </is>
      </c>
      <c r="B6966" s="1" t="n">
        <v>45595</v>
      </c>
      <c r="C6966" s="1" t="n">
        <v>46114</v>
      </c>
      <c r="D6966" t="inlineStr">
        <is>
          <t>DALARNAS LÄN</t>
        </is>
      </c>
      <c r="E6966" t="inlineStr">
        <is>
          <t>LEKSAND</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7914-2024</t>
        </is>
      </c>
      <c r="B6967" s="1" t="n">
        <v>45350.46003472222</v>
      </c>
      <c r="C6967" s="1" t="n">
        <v>46114</v>
      </c>
      <c r="D6967" t="inlineStr">
        <is>
          <t>DALARNAS LÄN</t>
        </is>
      </c>
      <c r="E6967" t="inlineStr">
        <is>
          <t>HEDEMORA</t>
        </is>
      </c>
      <c r="G6967" t="n">
        <v>4.1</v>
      </c>
      <c r="H6967" t="n">
        <v>0</v>
      </c>
      <c r="I6967" t="n">
        <v>0</v>
      </c>
      <c r="J6967" t="n">
        <v>0</v>
      </c>
      <c r="K6967" t="n">
        <v>0</v>
      </c>
      <c r="L6967" t="n">
        <v>0</v>
      </c>
      <c r="M6967" t="n">
        <v>0</v>
      </c>
      <c r="N6967" t="n">
        <v>0</v>
      </c>
      <c r="O6967" t="n">
        <v>0</v>
      </c>
      <c r="P6967" t="n">
        <v>0</v>
      </c>
      <c r="Q6967" t="n">
        <v>0</v>
      </c>
      <c r="R6967" s="2" t="inlineStr"/>
    </row>
    <row r="6968" ht="15" customHeight="1">
      <c r="A6968" t="inlineStr">
        <is>
          <t>A 239-2026</t>
        </is>
      </c>
      <c r="B6968" s="1" t="n">
        <v>46027</v>
      </c>
      <c r="C6968" s="1" t="n">
        <v>46114</v>
      </c>
      <c r="D6968" t="inlineStr">
        <is>
          <t>DALARNAS LÄN</t>
        </is>
      </c>
      <c r="E6968" t="inlineStr">
        <is>
          <t>MORA</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51-2026</t>
        </is>
      </c>
      <c r="B6969" s="1" t="n">
        <v>46024</v>
      </c>
      <c r="C6969" s="1" t="n">
        <v>46114</v>
      </c>
      <c r="D6969" t="inlineStr">
        <is>
          <t>DALARNAS LÄN</t>
        </is>
      </c>
      <c r="E6969" t="inlineStr">
        <is>
          <t>ORSA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55-2026</t>
        </is>
      </c>
      <c r="B6970" s="1" t="n">
        <v>46024.4365625</v>
      </c>
      <c r="C6970" s="1" t="n">
        <v>46114</v>
      </c>
      <c r="D6970" t="inlineStr">
        <is>
          <t>DALARNAS LÄN</t>
        </is>
      </c>
      <c r="E6970" t="inlineStr">
        <is>
          <t>GAGNEF</t>
        </is>
      </c>
      <c r="G6970" t="n">
        <v>6.5</v>
      </c>
      <c r="H6970" t="n">
        <v>0</v>
      </c>
      <c r="I6970" t="n">
        <v>0</v>
      </c>
      <c r="J6970" t="n">
        <v>0</v>
      </c>
      <c r="K6970" t="n">
        <v>0</v>
      </c>
      <c r="L6970" t="n">
        <v>0</v>
      </c>
      <c r="M6970" t="n">
        <v>0</v>
      </c>
      <c r="N6970" t="n">
        <v>0</v>
      </c>
      <c r="O6970" t="n">
        <v>0</v>
      </c>
      <c r="P6970" t="n">
        <v>0</v>
      </c>
      <c r="Q6970" t="n">
        <v>0</v>
      </c>
      <c r="R6970" s="2" t="inlineStr"/>
    </row>
    <row r="6971" ht="15" customHeight="1">
      <c r="A6971" t="inlineStr">
        <is>
          <t>A 72635-2021</t>
        </is>
      </c>
      <c r="B6971" s="1" t="n">
        <v>44546</v>
      </c>
      <c r="C6971" s="1" t="n">
        <v>46114</v>
      </c>
      <c r="D6971" t="inlineStr">
        <is>
          <t>DALARNAS LÄN</t>
        </is>
      </c>
      <c r="E6971" t="inlineStr">
        <is>
          <t>VANSBRO</t>
        </is>
      </c>
      <c r="F6971" t="inlineStr">
        <is>
          <t>Bergvik skog väst AB</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72643-2021</t>
        </is>
      </c>
      <c r="B6972" s="1" t="n">
        <v>44546.57899305555</v>
      </c>
      <c r="C6972" s="1" t="n">
        <v>46114</v>
      </c>
      <c r="D6972" t="inlineStr">
        <is>
          <t>DALARNAS LÄN</t>
        </is>
      </c>
      <c r="E6972" t="inlineStr">
        <is>
          <t>MALUNG-SÄLEN</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133-2026</t>
        </is>
      </c>
      <c r="B6973" s="1" t="n">
        <v>46024.60450231482</v>
      </c>
      <c r="C6973" s="1" t="n">
        <v>46114</v>
      </c>
      <c r="D6973" t="inlineStr">
        <is>
          <t>DALARNAS LÄN</t>
        </is>
      </c>
      <c r="E6973" t="inlineStr">
        <is>
          <t>LEKSAND</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134-2026</t>
        </is>
      </c>
      <c r="B6974" s="1" t="n">
        <v>46024.60538194444</v>
      </c>
      <c r="C6974" s="1" t="n">
        <v>46114</v>
      </c>
      <c r="D6974" t="inlineStr">
        <is>
          <t>DALARNAS LÄN</t>
        </is>
      </c>
      <c r="E6974" t="inlineStr">
        <is>
          <t>GAGNEF</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141-2026</t>
        </is>
      </c>
      <c r="B6975" s="1" t="n">
        <v>46024.62364583334</v>
      </c>
      <c r="C6975" s="1" t="n">
        <v>46114</v>
      </c>
      <c r="D6975" t="inlineStr">
        <is>
          <t>DALARNAS LÄN</t>
        </is>
      </c>
      <c r="E6975" t="inlineStr">
        <is>
          <t>MORA</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478-2026</t>
        </is>
      </c>
      <c r="B6976" s="1" t="n">
        <v>46024</v>
      </c>
      <c r="C6976" s="1" t="n">
        <v>46114</v>
      </c>
      <c r="D6976" t="inlineStr">
        <is>
          <t>DALARNAS LÄN</t>
        </is>
      </c>
      <c r="E6976" t="inlineStr">
        <is>
          <t>FALUN</t>
        </is>
      </c>
      <c r="G6976" t="n">
        <v>4.9</v>
      </c>
      <c r="H6976" t="n">
        <v>0</v>
      </c>
      <c r="I6976" t="n">
        <v>0</v>
      </c>
      <c r="J6976" t="n">
        <v>0</v>
      </c>
      <c r="K6976" t="n">
        <v>0</v>
      </c>
      <c r="L6976" t="n">
        <v>0</v>
      </c>
      <c r="M6976" t="n">
        <v>0</v>
      </c>
      <c r="N6976" t="n">
        <v>0</v>
      </c>
      <c r="O6976" t="n">
        <v>0</v>
      </c>
      <c r="P6976" t="n">
        <v>0</v>
      </c>
      <c r="Q6976" t="n">
        <v>0</v>
      </c>
      <c r="R6976" s="2" t="inlineStr"/>
    </row>
    <row r="6977" ht="15" customHeight="1">
      <c r="A6977" t="inlineStr">
        <is>
          <t>A 592-2026</t>
        </is>
      </c>
      <c r="B6977" s="1" t="n">
        <v>46027</v>
      </c>
      <c r="C6977" s="1" t="n">
        <v>46114</v>
      </c>
      <c r="D6977" t="inlineStr">
        <is>
          <t>DALARNAS LÄN</t>
        </is>
      </c>
      <c r="E6977" t="inlineStr">
        <is>
          <t>RÄTTVIK</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131-2026</t>
        </is>
      </c>
      <c r="B6978" s="1" t="n">
        <v>46024.60009259259</v>
      </c>
      <c r="C6978" s="1" t="n">
        <v>46114</v>
      </c>
      <c r="D6978" t="inlineStr">
        <is>
          <t>DALARNAS LÄN</t>
        </is>
      </c>
      <c r="E6978" t="inlineStr">
        <is>
          <t>GAGNEF</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140-2026</t>
        </is>
      </c>
      <c r="B6979" s="1" t="n">
        <v>46024</v>
      </c>
      <c r="C6979" s="1" t="n">
        <v>46114</v>
      </c>
      <c r="D6979" t="inlineStr">
        <is>
          <t>DALARNAS LÄN</t>
        </is>
      </c>
      <c r="E6979" t="inlineStr">
        <is>
          <t>ÄLVDALEN</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190-2026</t>
        </is>
      </c>
      <c r="B6980" s="1" t="n">
        <v>46025</v>
      </c>
      <c r="C6980" s="1" t="n">
        <v>46114</v>
      </c>
      <c r="D6980" t="inlineStr">
        <is>
          <t>DALARNAS LÄN</t>
        </is>
      </c>
      <c r="E6980" t="inlineStr">
        <is>
          <t>FALUN</t>
        </is>
      </c>
      <c r="G6980" t="n">
        <v>46.9</v>
      </c>
      <c r="H6980" t="n">
        <v>0</v>
      </c>
      <c r="I6980" t="n">
        <v>0</v>
      </c>
      <c r="J6980" t="n">
        <v>0</v>
      </c>
      <c r="K6980" t="n">
        <v>0</v>
      </c>
      <c r="L6980" t="n">
        <v>0</v>
      </c>
      <c r="M6980" t="n">
        <v>0</v>
      </c>
      <c r="N6980" t="n">
        <v>0</v>
      </c>
      <c r="O6980" t="n">
        <v>0</v>
      </c>
      <c r="P6980" t="n">
        <v>0</v>
      </c>
      <c r="Q6980" t="n">
        <v>0</v>
      </c>
      <c r="R6980" s="2" t="inlineStr"/>
    </row>
    <row r="6981" ht="15" customHeight="1">
      <c r="A6981" t="inlineStr">
        <is>
          <t>A 73099-2021</t>
        </is>
      </c>
      <c r="B6981" s="1" t="n">
        <v>44546</v>
      </c>
      <c r="C6981" s="1" t="n">
        <v>46114</v>
      </c>
      <c r="D6981" t="inlineStr">
        <is>
          <t>DALARNAS LÄN</t>
        </is>
      </c>
      <c r="E6981" t="inlineStr">
        <is>
          <t>HEDEMORA</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194-2026</t>
        </is>
      </c>
      <c r="B6982" s="1" t="n">
        <v>46025</v>
      </c>
      <c r="C6982" s="1" t="n">
        <v>46114</v>
      </c>
      <c r="D6982" t="inlineStr">
        <is>
          <t>DALARNAS LÄN</t>
        </is>
      </c>
      <c r="E6982" t="inlineStr">
        <is>
          <t>FALUN</t>
        </is>
      </c>
      <c r="G6982" t="n">
        <v>3.2</v>
      </c>
      <c r="H6982" t="n">
        <v>0</v>
      </c>
      <c r="I6982" t="n">
        <v>0</v>
      </c>
      <c r="J6982" t="n">
        <v>0</v>
      </c>
      <c r="K6982" t="n">
        <v>0</v>
      </c>
      <c r="L6982" t="n">
        <v>0</v>
      </c>
      <c r="M6982" t="n">
        <v>0</v>
      </c>
      <c r="N6982" t="n">
        <v>0</v>
      </c>
      <c r="O6982" t="n">
        <v>0</v>
      </c>
      <c r="P6982" t="n">
        <v>0</v>
      </c>
      <c r="Q6982" t="n">
        <v>0</v>
      </c>
      <c r="R6982" s="2" t="inlineStr"/>
    </row>
    <row r="6983" ht="15" customHeight="1">
      <c r="A6983" t="inlineStr">
        <is>
          <t>A 195-2026</t>
        </is>
      </c>
      <c r="B6983" s="1" t="n">
        <v>46025</v>
      </c>
      <c r="C6983" s="1" t="n">
        <v>46114</v>
      </c>
      <c r="D6983" t="inlineStr">
        <is>
          <t>DALARNAS LÄN</t>
        </is>
      </c>
      <c r="E6983" t="inlineStr">
        <is>
          <t>FALUN</t>
        </is>
      </c>
      <c r="G6983" t="n">
        <v>3.4</v>
      </c>
      <c r="H6983" t="n">
        <v>0</v>
      </c>
      <c r="I6983" t="n">
        <v>0</v>
      </c>
      <c r="J6983" t="n">
        <v>0</v>
      </c>
      <c r="K6983" t="n">
        <v>0</v>
      </c>
      <c r="L6983" t="n">
        <v>0</v>
      </c>
      <c r="M6983" t="n">
        <v>0</v>
      </c>
      <c r="N6983" t="n">
        <v>0</v>
      </c>
      <c r="O6983" t="n">
        <v>0</v>
      </c>
      <c r="P6983" t="n">
        <v>0</v>
      </c>
      <c r="Q6983" t="n">
        <v>0</v>
      </c>
      <c r="R6983" s="2" t="inlineStr"/>
    </row>
    <row r="6984" ht="15" customHeight="1">
      <c r="A6984" t="inlineStr">
        <is>
          <t>A 104-2026</t>
        </is>
      </c>
      <c r="B6984" s="1" t="n">
        <v>46024.52130787037</v>
      </c>
      <c r="C6984" s="1" t="n">
        <v>46114</v>
      </c>
      <c r="D6984" t="inlineStr">
        <is>
          <t>DALARNAS LÄN</t>
        </is>
      </c>
      <c r="E6984" t="inlineStr">
        <is>
          <t>FALUN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2310-2023</t>
        </is>
      </c>
      <c r="B6985" s="1" t="n">
        <v>44942</v>
      </c>
      <c r="C6985" s="1" t="n">
        <v>46114</v>
      </c>
      <c r="D6985" t="inlineStr">
        <is>
          <t>DALARNAS LÄN</t>
        </is>
      </c>
      <c r="E6985" t="inlineStr">
        <is>
          <t>VANSBRO</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294-2026</t>
        </is>
      </c>
      <c r="B6986" s="1" t="n">
        <v>46027.50773148148</v>
      </c>
      <c r="C6986" s="1" t="n">
        <v>46114</v>
      </c>
      <c r="D6986" t="inlineStr">
        <is>
          <t>DALARNAS LÄN</t>
        </is>
      </c>
      <c r="E6986" t="inlineStr">
        <is>
          <t>FALUN</t>
        </is>
      </c>
      <c r="G6986" t="n">
        <v>7</v>
      </c>
      <c r="H6986" t="n">
        <v>0</v>
      </c>
      <c r="I6986" t="n">
        <v>0</v>
      </c>
      <c r="J6986" t="n">
        <v>0</v>
      </c>
      <c r="K6986" t="n">
        <v>0</v>
      </c>
      <c r="L6986" t="n">
        <v>0</v>
      </c>
      <c r="M6986" t="n">
        <v>0</v>
      </c>
      <c r="N6986" t="n">
        <v>0</v>
      </c>
      <c r="O6986" t="n">
        <v>0</v>
      </c>
      <c r="P6986" t="n">
        <v>0</v>
      </c>
      <c r="Q6986" t="n">
        <v>0</v>
      </c>
      <c r="R6986" s="2" t="inlineStr"/>
    </row>
    <row r="6987" ht="15" customHeight="1">
      <c r="A6987" t="inlineStr">
        <is>
          <t>A 312-2026</t>
        </is>
      </c>
      <c r="B6987" s="1" t="n">
        <v>46027</v>
      </c>
      <c r="C6987" s="1" t="n">
        <v>46114</v>
      </c>
      <c r="D6987" t="inlineStr">
        <is>
          <t>DALARNAS LÄN</t>
        </is>
      </c>
      <c r="E6987" t="inlineStr">
        <is>
          <t>FALUN</t>
        </is>
      </c>
      <c r="G6987" t="n">
        <v>13.7</v>
      </c>
      <c r="H6987" t="n">
        <v>0</v>
      </c>
      <c r="I6987" t="n">
        <v>0</v>
      </c>
      <c r="J6987" t="n">
        <v>0</v>
      </c>
      <c r="K6987" t="n">
        <v>0</v>
      </c>
      <c r="L6987" t="n">
        <v>0</v>
      </c>
      <c r="M6987" t="n">
        <v>0</v>
      </c>
      <c r="N6987" t="n">
        <v>0</v>
      </c>
      <c r="O6987" t="n">
        <v>0</v>
      </c>
      <c r="P6987" t="n">
        <v>0</v>
      </c>
      <c r="Q6987" t="n">
        <v>0</v>
      </c>
      <c r="R6987" s="2" t="inlineStr"/>
    </row>
    <row r="6988" ht="15" customHeight="1">
      <c r="A6988" t="inlineStr">
        <is>
          <t>A 331-2026</t>
        </is>
      </c>
      <c r="B6988" s="1" t="n">
        <v>46027.59479166667</v>
      </c>
      <c r="C6988" s="1" t="n">
        <v>46114</v>
      </c>
      <c r="D6988" t="inlineStr">
        <is>
          <t>DALARNAS LÄN</t>
        </is>
      </c>
      <c r="E6988" t="inlineStr">
        <is>
          <t>FALUN</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31552-2022</t>
        </is>
      </c>
      <c r="B6989" s="1" t="n">
        <v>44775</v>
      </c>
      <c r="C6989" s="1" t="n">
        <v>46114</v>
      </c>
      <c r="D6989" t="inlineStr">
        <is>
          <t>DALARNAS LÄN</t>
        </is>
      </c>
      <c r="E6989" t="inlineStr">
        <is>
          <t>RÄTTVIK</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31555-2022</t>
        </is>
      </c>
      <c r="B6990" s="1" t="n">
        <v>44775</v>
      </c>
      <c r="C6990" s="1" t="n">
        <v>46114</v>
      </c>
      <c r="D6990" t="inlineStr">
        <is>
          <t>DALARNAS LÄN</t>
        </is>
      </c>
      <c r="E6990" t="inlineStr">
        <is>
          <t>RÄTTVIK</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50040-2025</t>
        </is>
      </c>
      <c r="B6991" s="1" t="n">
        <v>45943.40377314815</v>
      </c>
      <c r="C6991" s="1" t="n">
        <v>46114</v>
      </c>
      <c r="D6991" t="inlineStr">
        <is>
          <t>DALARNAS LÄN</t>
        </is>
      </c>
      <c r="E6991" t="inlineStr">
        <is>
          <t>HEDEMORA</t>
        </is>
      </c>
      <c r="G6991" t="n">
        <v>0.6</v>
      </c>
      <c r="H6991" t="n">
        <v>0</v>
      </c>
      <c r="I6991" t="n">
        <v>0</v>
      </c>
      <c r="J6991" t="n">
        <v>0</v>
      </c>
      <c r="K6991" t="n">
        <v>0</v>
      </c>
      <c r="L6991" t="n">
        <v>0</v>
      </c>
      <c r="M6991" t="n">
        <v>0</v>
      </c>
      <c r="N6991" t="n">
        <v>0</v>
      </c>
      <c r="O6991" t="n">
        <v>0</v>
      </c>
      <c r="P6991" t="n">
        <v>0</v>
      </c>
      <c r="Q6991" t="n">
        <v>0</v>
      </c>
      <c r="R6991" s="2" t="inlineStr"/>
    </row>
    <row r="6992" ht="15" customHeight="1">
      <c r="A6992" t="inlineStr">
        <is>
          <t>A 374-2026</t>
        </is>
      </c>
      <c r="B6992" s="1" t="n">
        <v>46027</v>
      </c>
      <c r="C6992" s="1" t="n">
        <v>46114</v>
      </c>
      <c r="D6992" t="inlineStr">
        <is>
          <t>DALARNAS LÄN</t>
        </is>
      </c>
      <c r="E6992" t="inlineStr">
        <is>
          <t>FALUN</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548-2026</t>
        </is>
      </c>
      <c r="B6993" s="1" t="n">
        <v>46024</v>
      </c>
      <c r="C6993" s="1" t="n">
        <v>46114</v>
      </c>
      <c r="D6993" t="inlineStr">
        <is>
          <t>DALARNAS LÄN</t>
        </is>
      </c>
      <c r="E6993" t="inlineStr">
        <is>
          <t>FALUN</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150-2026</t>
        </is>
      </c>
      <c r="B6994" s="1" t="n">
        <v>46024.65224537037</v>
      </c>
      <c r="C6994" s="1" t="n">
        <v>46114</v>
      </c>
      <c r="D6994" t="inlineStr">
        <is>
          <t>DALARNAS LÄN</t>
        </is>
      </c>
      <c r="E6994" t="inlineStr">
        <is>
          <t>AVESTA</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17460-2025</t>
        </is>
      </c>
      <c r="B6995" s="1" t="n">
        <v>45757.45488425926</v>
      </c>
      <c r="C6995" s="1" t="n">
        <v>46114</v>
      </c>
      <c r="D6995" t="inlineStr">
        <is>
          <t>DALARNAS LÄN</t>
        </is>
      </c>
      <c r="E6995" t="inlineStr">
        <is>
          <t>SMEDJEBACKEN</t>
        </is>
      </c>
      <c r="F6995" t="inlineStr">
        <is>
          <t>Sveaskog</t>
        </is>
      </c>
      <c r="G6995" t="n">
        <v>14.5</v>
      </c>
      <c r="H6995" t="n">
        <v>0</v>
      </c>
      <c r="I6995" t="n">
        <v>0</v>
      </c>
      <c r="J6995" t="n">
        <v>0</v>
      </c>
      <c r="K6995" t="n">
        <v>0</v>
      </c>
      <c r="L6995" t="n">
        <v>0</v>
      </c>
      <c r="M6995" t="n">
        <v>0</v>
      </c>
      <c r="N6995" t="n">
        <v>0</v>
      </c>
      <c r="O6995" t="n">
        <v>0</v>
      </c>
      <c r="P6995" t="n">
        <v>0</v>
      </c>
      <c r="Q6995" t="n">
        <v>0</v>
      </c>
      <c r="R6995" s="2" t="inlineStr"/>
    </row>
    <row r="6996" ht="15" customHeight="1">
      <c r="A6996" t="inlineStr">
        <is>
          <t>A 17463-2025</t>
        </is>
      </c>
      <c r="B6996" s="1" t="n">
        <v>45757.45799768518</v>
      </c>
      <c r="C6996" s="1" t="n">
        <v>46114</v>
      </c>
      <c r="D6996" t="inlineStr">
        <is>
          <t>DALARNAS LÄN</t>
        </is>
      </c>
      <c r="E6996" t="inlineStr">
        <is>
          <t>SMEDJEBACKEN</t>
        </is>
      </c>
      <c r="F6996" t="inlineStr">
        <is>
          <t>Sveaskog</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169-2026</t>
        </is>
      </c>
      <c r="B6997" s="1" t="n">
        <v>46025.31342592592</v>
      </c>
      <c r="C6997" s="1" t="n">
        <v>46114</v>
      </c>
      <c r="D6997" t="inlineStr">
        <is>
          <t>DALARNAS LÄN</t>
        </is>
      </c>
      <c r="E6997" t="inlineStr">
        <is>
          <t>RÄTTVIK</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171-2026</t>
        </is>
      </c>
      <c r="B6998" s="1" t="n">
        <v>46025.33549768518</v>
      </c>
      <c r="C6998" s="1" t="n">
        <v>46114</v>
      </c>
      <c r="D6998" t="inlineStr">
        <is>
          <t>DALARNAS LÄN</t>
        </is>
      </c>
      <c r="E6998" t="inlineStr">
        <is>
          <t>RÄTTVIK</t>
        </is>
      </c>
      <c r="G6998" t="n">
        <v>9.800000000000001</v>
      </c>
      <c r="H6998" t="n">
        <v>0</v>
      </c>
      <c r="I6998" t="n">
        <v>0</v>
      </c>
      <c r="J6998" t="n">
        <v>0</v>
      </c>
      <c r="K6998" t="n">
        <v>0</v>
      </c>
      <c r="L6998" t="n">
        <v>0</v>
      </c>
      <c r="M6998" t="n">
        <v>0</v>
      </c>
      <c r="N6998" t="n">
        <v>0</v>
      </c>
      <c r="O6998" t="n">
        <v>0</v>
      </c>
      <c r="P6998" t="n">
        <v>0</v>
      </c>
      <c r="Q6998" t="n">
        <v>0</v>
      </c>
      <c r="R6998" s="2" t="inlineStr"/>
    </row>
    <row r="6999" ht="15" customHeight="1">
      <c r="A6999" t="inlineStr">
        <is>
          <t>A 178-2026</t>
        </is>
      </c>
      <c r="B6999" s="1" t="n">
        <v>46025</v>
      </c>
      <c r="C6999" s="1" t="n">
        <v>46114</v>
      </c>
      <c r="D6999" t="inlineStr">
        <is>
          <t>DALARNAS LÄN</t>
        </is>
      </c>
      <c r="E6999" t="inlineStr">
        <is>
          <t>FALUN</t>
        </is>
      </c>
      <c r="G6999" t="n">
        <v>7.3</v>
      </c>
      <c r="H6999" t="n">
        <v>0</v>
      </c>
      <c r="I6999" t="n">
        <v>0</v>
      </c>
      <c r="J6999" t="n">
        <v>0</v>
      </c>
      <c r="K6999" t="n">
        <v>0</v>
      </c>
      <c r="L6999" t="n">
        <v>0</v>
      </c>
      <c r="M6999" t="n">
        <v>0</v>
      </c>
      <c r="N6999" t="n">
        <v>0</v>
      </c>
      <c r="O6999" t="n">
        <v>0</v>
      </c>
      <c r="P6999" t="n">
        <v>0</v>
      </c>
      <c r="Q6999" t="n">
        <v>0</v>
      </c>
      <c r="R6999" s="2" t="inlineStr"/>
    </row>
    <row r="7000" ht="15" customHeight="1">
      <c r="A7000" t="inlineStr">
        <is>
          <t>A 179-2026</t>
        </is>
      </c>
      <c r="B7000" s="1" t="n">
        <v>46025</v>
      </c>
      <c r="C7000" s="1" t="n">
        <v>46114</v>
      </c>
      <c r="D7000" t="inlineStr">
        <is>
          <t>DALARNAS LÄN</t>
        </is>
      </c>
      <c r="E7000" t="inlineStr">
        <is>
          <t>FALUN</t>
        </is>
      </c>
      <c r="G7000" t="n">
        <v>20</v>
      </c>
      <c r="H7000" t="n">
        <v>0</v>
      </c>
      <c r="I7000" t="n">
        <v>0</v>
      </c>
      <c r="J7000" t="n">
        <v>0</v>
      </c>
      <c r="K7000" t="n">
        <v>0</v>
      </c>
      <c r="L7000" t="n">
        <v>0</v>
      </c>
      <c r="M7000" t="n">
        <v>0</v>
      </c>
      <c r="N7000" t="n">
        <v>0</v>
      </c>
      <c r="O7000" t="n">
        <v>0</v>
      </c>
      <c r="P7000" t="n">
        <v>0</v>
      </c>
      <c r="Q7000" t="n">
        <v>0</v>
      </c>
      <c r="R7000" s="2" t="inlineStr"/>
    </row>
    <row r="7001" ht="15" customHeight="1">
      <c r="A7001" t="inlineStr">
        <is>
          <t>A 241-2026</t>
        </is>
      </c>
      <c r="B7001" s="1" t="n">
        <v>46027</v>
      </c>
      <c r="C7001" s="1" t="n">
        <v>46114</v>
      </c>
      <c r="D7001" t="inlineStr">
        <is>
          <t>DALARNAS LÄN</t>
        </is>
      </c>
      <c r="E7001" t="inlineStr">
        <is>
          <t>ÄLVDALEN</t>
        </is>
      </c>
      <c r="F7001" t="inlineStr">
        <is>
          <t>Bergvik skog väst AB</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17499-2025</t>
        </is>
      </c>
      <c r="B7002" s="1" t="n">
        <v>45757</v>
      </c>
      <c r="C7002" s="1" t="n">
        <v>46114</v>
      </c>
      <c r="D7002" t="inlineStr">
        <is>
          <t>DALARNAS LÄN</t>
        </is>
      </c>
      <c r="E7002" t="inlineStr">
        <is>
          <t>MALUNG-SÄLEN</t>
        </is>
      </c>
      <c r="G7002" t="n">
        <v>3.1</v>
      </c>
      <c r="H7002" t="n">
        <v>0</v>
      </c>
      <c r="I7002" t="n">
        <v>0</v>
      </c>
      <c r="J7002" t="n">
        <v>0</v>
      </c>
      <c r="K7002" t="n">
        <v>0</v>
      </c>
      <c r="L7002" t="n">
        <v>0</v>
      </c>
      <c r="M7002" t="n">
        <v>0</v>
      </c>
      <c r="N7002" t="n">
        <v>0</v>
      </c>
      <c r="O7002" t="n">
        <v>0</v>
      </c>
      <c r="P7002" t="n">
        <v>0</v>
      </c>
      <c r="Q7002" t="n">
        <v>0</v>
      </c>
      <c r="R7002" s="2" t="inlineStr"/>
    </row>
    <row r="7003" ht="15" customHeight="1">
      <c r="A7003" t="inlineStr">
        <is>
          <t>A 257-2026</t>
        </is>
      </c>
      <c r="B7003" s="1" t="n">
        <v>46027.43237268519</v>
      </c>
      <c r="C7003" s="1" t="n">
        <v>46114</v>
      </c>
      <c r="D7003" t="inlineStr">
        <is>
          <t>DALARNAS LÄN</t>
        </is>
      </c>
      <c r="E7003" t="inlineStr">
        <is>
          <t>RÄTTVIK</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35699-2023</t>
        </is>
      </c>
      <c r="B7004" s="1" t="n">
        <v>45147.65657407408</v>
      </c>
      <c r="C7004" s="1" t="n">
        <v>46114</v>
      </c>
      <c r="D7004" t="inlineStr">
        <is>
          <t>DALARNAS LÄN</t>
        </is>
      </c>
      <c r="E7004" t="inlineStr">
        <is>
          <t>VANSBRO</t>
        </is>
      </c>
      <c r="G7004" t="n">
        <v>0.3</v>
      </c>
      <c r="H7004" t="n">
        <v>0</v>
      </c>
      <c r="I7004" t="n">
        <v>0</v>
      </c>
      <c r="J7004" t="n">
        <v>0</v>
      </c>
      <c r="K7004" t="n">
        <v>0</v>
      </c>
      <c r="L7004" t="n">
        <v>0</v>
      </c>
      <c r="M7004" t="n">
        <v>0</v>
      </c>
      <c r="N7004" t="n">
        <v>0</v>
      </c>
      <c r="O7004" t="n">
        <v>0</v>
      </c>
      <c r="P7004" t="n">
        <v>0</v>
      </c>
      <c r="Q7004" t="n">
        <v>0</v>
      </c>
      <c r="R7004" s="2" t="inlineStr"/>
    </row>
    <row r="7005" ht="15" customHeight="1">
      <c r="A7005" t="inlineStr">
        <is>
          <t>A 339-2026</t>
        </is>
      </c>
      <c r="B7005" s="1" t="n">
        <v>46027</v>
      </c>
      <c r="C7005" s="1" t="n">
        <v>46114</v>
      </c>
      <c r="D7005" t="inlineStr">
        <is>
          <t>DALARNAS LÄN</t>
        </is>
      </c>
      <c r="E7005" t="inlineStr">
        <is>
          <t>RÄTTVIK</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369-2026</t>
        </is>
      </c>
      <c r="B7006" s="1" t="n">
        <v>46027</v>
      </c>
      <c r="C7006" s="1" t="n">
        <v>46114</v>
      </c>
      <c r="D7006" t="inlineStr">
        <is>
          <t>DALARNAS LÄN</t>
        </is>
      </c>
      <c r="E7006" t="inlineStr">
        <is>
          <t>FALUN</t>
        </is>
      </c>
      <c r="G7006" t="n">
        <v>2.5</v>
      </c>
      <c r="H7006" t="n">
        <v>0</v>
      </c>
      <c r="I7006" t="n">
        <v>0</v>
      </c>
      <c r="J7006" t="n">
        <v>0</v>
      </c>
      <c r="K7006" t="n">
        <v>0</v>
      </c>
      <c r="L7006" t="n">
        <v>0</v>
      </c>
      <c r="M7006" t="n">
        <v>0</v>
      </c>
      <c r="N7006" t="n">
        <v>0</v>
      </c>
      <c r="O7006" t="n">
        <v>0</v>
      </c>
      <c r="P7006" t="n">
        <v>0</v>
      </c>
      <c r="Q7006" t="n">
        <v>0</v>
      </c>
      <c r="R7006" s="2" t="inlineStr"/>
    </row>
    <row r="7007" ht="15" customHeight="1">
      <c r="A7007" t="inlineStr">
        <is>
          <t>A 2830-2023</t>
        </is>
      </c>
      <c r="B7007" s="1" t="n">
        <v>44945.32997685186</v>
      </c>
      <c r="C7007" s="1" t="n">
        <v>46114</v>
      </c>
      <c r="D7007" t="inlineStr">
        <is>
          <t>DALARNAS LÄN</t>
        </is>
      </c>
      <c r="E7007" t="inlineStr">
        <is>
          <t>MORA</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332-2026</t>
        </is>
      </c>
      <c r="B7008" s="1" t="n">
        <v>46027.59638888889</v>
      </c>
      <c r="C7008" s="1" t="n">
        <v>46114</v>
      </c>
      <c r="D7008" t="inlineStr">
        <is>
          <t>DALARNAS LÄN</t>
        </is>
      </c>
      <c r="E7008" t="inlineStr">
        <is>
          <t>RÄTTVIK</t>
        </is>
      </c>
      <c r="G7008" t="n">
        <v>5.6</v>
      </c>
      <c r="H7008" t="n">
        <v>0</v>
      </c>
      <c r="I7008" t="n">
        <v>0</v>
      </c>
      <c r="J7008" t="n">
        <v>0</v>
      </c>
      <c r="K7008" t="n">
        <v>0</v>
      </c>
      <c r="L7008" t="n">
        <v>0</v>
      </c>
      <c r="M7008" t="n">
        <v>0</v>
      </c>
      <c r="N7008" t="n">
        <v>0</v>
      </c>
      <c r="O7008" t="n">
        <v>0</v>
      </c>
      <c r="P7008" t="n">
        <v>0</v>
      </c>
      <c r="Q7008" t="n">
        <v>0</v>
      </c>
      <c r="R7008" s="2" t="inlineStr"/>
    </row>
    <row r="7009" ht="15" customHeight="1">
      <c r="A7009" t="inlineStr">
        <is>
          <t>A 340-2026</t>
        </is>
      </c>
      <c r="B7009" s="1" t="n">
        <v>46027</v>
      </c>
      <c r="C7009" s="1" t="n">
        <v>46114</v>
      </c>
      <c r="D7009" t="inlineStr">
        <is>
          <t>DALARNAS LÄN</t>
        </is>
      </c>
      <c r="E7009" t="inlineStr">
        <is>
          <t>GAGNEF</t>
        </is>
      </c>
      <c r="G7009" t="n">
        <v>3.3</v>
      </c>
      <c r="H7009" t="n">
        <v>0</v>
      </c>
      <c r="I7009" t="n">
        <v>0</v>
      </c>
      <c r="J7009" t="n">
        <v>0</v>
      </c>
      <c r="K7009" t="n">
        <v>0</v>
      </c>
      <c r="L7009" t="n">
        <v>0</v>
      </c>
      <c r="M7009" t="n">
        <v>0</v>
      </c>
      <c r="N7009" t="n">
        <v>0</v>
      </c>
      <c r="O7009" t="n">
        <v>0</v>
      </c>
      <c r="P7009" t="n">
        <v>0</v>
      </c>
      <c r="Q7009" t="n">
        <v>0</v>
      </c>
      <c r="R7009" s="2" t="inlineStr"/>
    </row>
    <row r="7010" ht="15" customHeight="1">
      <c r="A7010" t="inlineStr">
        <is>
          <t>A 349-2026</t>
        </is>
      </c>
      <c r="B7010" s="1" t="n">
        <v>46027.63039351852</v>
      </c>
      <c r="C7010" s="1" t="n">
        <v>46114</v>
      </c>
      <c r="D7010" t="inlineStr">
        <is>
          <t>DALARNAS LÄN</t>
        </is>
      </c>
      <c r="E7010" t="inlineStr">
        <is>
          <t>BORLÄNGE</t>
        </is>
      </c>
      <c r="G7010" t="n">
        <v>17.3</v>
      </c>
      <c r="H7010" t="n">
        <v>0</v>
      </c>
      <c r="I7010" t="n">
        <v>0</v>
      </c>
      <c r="J7010" t="n">
        <v>0</v>
      </c>
      <c r="K7010" t="n">
        <v>0</v>
      </c>
      <c r="L7010" t="n">
        <v>0</v>
      </c>
      <c r="M7010" t="n">
        <v>0</v>
      </c>
      <c r="N7010" t="n">
        <v>0</v>
      </c>
      <c r="O7010" t="n">
        <v>0</v>
      </c>
      <c r="P7010" t="n">
        <v>0</v>
      </c>
      <c r="Q7010" t="n">
        <v>0</v>
      </c>
      <c r="R7010" s="2" t="inlineStr"/>
    </row>
    <row r="7011" ht="15" customHeight="1">
      <c r="A7011" t="inlineStr">
        <is>
          <t>A 370-2026</t>
        </is>
      </c>
      <c r="B7011" s="1" t="n">
        <v>46027.688125</v>
      </c>
      <c r="C7011" s="1" t="n">
        <v>46114</v>
      </c>
      <c r="D7011" t="inlineStr">
        <is>
          <t>DALARNAS LÄN</t>
        </is>
      </c>
      <c r="E7011" t="inlineStr">
        <is>
          <t>RÄTTVIK</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35244-2022</t>
        </is>
      </c>
      <c r="B7012" s="1" t="n">
        <v>44798</v>
      </c>
      <c r="C7012" s="1" t="n">
        <v>46114</v>
      </c>
      <c r="D7012" t="inlineStr">
        <is>
          <t>DALARNAS LÄN</t>
        </is>
      </c>
      <c r="E7012" t="inlineStr">
        <is>
          <t>RÄTTVIK</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94-2026</t>
        </is>
      </c>
      <c r="B7013" s="1" t="n">
        <v>46024.49158564815</v>
      </c>
      <c r="C7013" s="1" t="n">
        <v>46114</v>
      </c>
      <c r="D7013" t="inlineStr">
        <is>
          <t>DALARNAS LÄN</t>
        </is>
      </c>
      <c r="E7013" t="inlineStr">
        <is>
          <t>LEKSAND</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101-2026</t>
        </is>
      </c>
      <c r="B7014" s="1" t="n">
        <v>46024.51534722222</v>
      </c>
      <c r="C7014" s="1" t="n">
        <v>46114</v>
      </c>
      <c r="D7014" t="inlineStr">
        <is>
          <t>DALARNAS LÄN</t>
        </is>
      </c>
      <c r="E7014" t="inlineStr">
        <is>
          <t>ORSA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569-2026</t>
        </is>
      </c>
      <c r="B7015" s="1" t="n">
        <v>46024</v>
      </c>
      <c r="C7015" s="1" t="n">
        <v>46114</v>
      </c>
      <c r="D7015" t="inlineStr">
        <is>
          <t>DALARNAS LÄN</t>
        </is>
      </c>
      <c r="E7015" t="inlineStr">
        <is>
          <t>FALUN</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284-2026</t>
        </is>
      </c>
      <c r="B7016" s="1" t="n">
        <v>46027.48597222222</v>
      </c>
      <c r="C7016" s="1" t="n">
        <v>46114</v>
      </c>
      <c r="D7016" t="inlineStr">
        <is>
          <t>DALARNAS LÄN</t>
        </is>
      </c>
      <c r="E7016" t="inlineStr">
        <is>
          <t>FALUN</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291-2026</t>
        </is>
      </c>
      <c r="B7017" s="1" t="n">
        <v>46027</v>
      </c>
      <c r="C7017" s="1" t="n">
        <v>46114</v>
      </c>
      <c r="D7017" t="inlineStr">
        <is>
          <t>DALARNAS LÄN</t>
        </is>
      </c>
      <c r="E7017" t="inlineStr">
        <is>
          <t>RÄTTVIK</t>
        </is>
      </c>
      <c r="G7017" t="n">
        <v>4.7</v>
      </c>
      <c r="H7017" t="n">
        <v>0</v>
      </c>
      <c r="I7017" t="n">
        <v>0</v>
      </c>
      <c r="J7017" t="n">
        <v>0</v>
      </c>
      <c r="K7017" t="n">
        <v>0</v>
      </c>
      <c r="L7017" t="n">
        <v>0</v>
      </c>
      <c r="M7017" t="n">
        <v>0</v>
      </c>
      <c r="N7017" t="n">
        <v>0</v>
      </c>
      <c r="O7017" t="n">
        <v>0</v>
      </c>
      <c r="P7017" t="n">
        <v>0</v>
      </c>
      <c r="Q7017" t="n">
        <v>0</v>
      </c>
      <c r="R7017" s="2" t="inlineStr"/>
    </row>
    <row r="7018" ht="15" customHeight="1">
      <c r="A7018" t="inlineStr">
        <is>
          <t>A 296-2026</t>
        </is>
      </c>
      <c r="B7018" s="1" t="n">
        <v>46027.50947916666</v>
      </c>
      <c r="C7018" s="1" t="n">
        <v>46114</v>
      </c>
      <c r="D7018" t="inlineStr">
        <is>
          <t>DALARNAS LÄN</t>
        </is>
      </c>
      <c r="E7018" t="inlineStr">
        <is>
          <t>FALUN</t>
        </is>
      </c>
      <c r="G7018" t="n">
        <v>3.7</v>
      </c>
      <c r="H7018" t="n">
        <v>0</v>
      </c>
      <c r="I7018" t="n">
        <v>0</v>
      </c>
      <c r="J7018" t="n">
        <v>0</v>
      </c>
      <c r="K7018" t="n">
        <v>0</v>
      </c>
      <c r="L7018" t="n">
        <v>0</v>
      </c>
      <c r="M7018" t="n">
        <v>0</v>
      </c>
      <c r="N7018" t="n">
        <v>0</v>
      </c>
      <c r="O7018" t="n">
        <v>0</v>
      </c>
      <c r="P7018" t="n">
        <v>0</v>
      </c>
      <c r="Q7018" t="n">
        <v>0</v>
      </c>
      <c r="R7018" s="2" t="inlineStr"/>
    </row>
    <row r="7019" ht="15" customHeight="1">
      <c r="A7019" t="inlineStr">
        <is>
          <t>A 301-2026</t>
        </is>
      </c>
      <c r="B7019" s="1" t="n">
        <v>46027.52238425926</v>
      </c>
      <c r="C7019" s="1" t="n">
        <v>46114</v>
      </c>
      <c r="D7019" t="inlineStr">
        <is>
          <t>DALARNAS LÄN</t>
        </is>
      </c>
      <c r="E7019" t="inlineStr">
        <is>
          <t>GAGNEF</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319-2026</t>
        </is>
      </c>
      <c r="B7020" s="1" t="n">
        <v>46027</v>
      </c>
      <c r="C7020" s="1" t="n">
        <v>46114</v>
      </c>
      <c r="D7020" t="inlineStr">
        <is>
          <t>DALARNAS LÄN</t>
        </is>
      </c>
      <c r="E7020" t="inlineStr">
        <is>
          <t>LEKSAND</t>
        </is>
      </c>
      <c r="G7020" t="n">
        <v>12.9</v>
      </c>
      <c r="H7020" t="n">
        <v>0</v>
      </c>
      <c r="I7020" t="n">
        <v>0</v>
      </c>
      <c r="J7020" t="n">
        <v>0</v>
      </c>
      <c r="K7020" t="n">
        <v>0</v>
      </c>
      <c r="L7020" t="n">
        <v>0</v>
      </c>
      <c r="M7020" t="n">
        <v>0</v>
      </c>
      <c r="N7020" t="n">
        <v>0</v>
      </c>
      <c r="O7020" t="n">
        <v>0</v>
      </c>
      <c r="P7020" t="n">
        <v>0</v>
      </c>
      <c r="Q7020" t="n">
        <v>0</v>
      </c>
      <c r="R7020" s="2" t="inlineStr"/>
    </row>
    <row r="7021" ht="15" customHeight="1">
      <c r="A7021" t="inlineStr">
        <is>
          <t>A 59411-2024</t>
        </is>
      </c>
      <c r="B7021" s="1" t="n">
        <v>45638.39675925926</v>
      </c>
      <c r="C7021" s="1" t="n">
        <v>46114</v>
      </c>
      <c r="D7021" t="inlineStr">
        <is>
          <t>DALARNAS LÄN</t>
        </is>
      </c>
      <c r="E7021" t="inlineStr">
        <is>
          <t>ORSA</t>
        </is>
      </c>
      <c r="G7021" t="n">
        <v>1.4</v>
      </c>
      <c r="H7021" t="n">
        <v>0</v>
      </c>
      <c r="I7021" t="n">
        <v>0</v>
      </c>
      <c r="J7021" t="n">
        <v>0</v>
      </c>
      <c r="K7021" t="n">
        <v>0</v>
      </c>
      <c r="L7021" t="n">
        <v>0</v>
      </c>
      <c r="M7021" t="n">
        <v>0</v>
      </c>
      <c r="N7021" t="n">
        <v>0</v>
      </c>
      <c r="O7021" t="n">
        <v>0</v>
      </c>
      <c r="P7021" t="n">
        <v>0</v>
      </c>
      <c r="Q7021" t="n">
        <v>0</v>
      </c>
      <c r="R7021" s="2" t="inlineStr"/>
    </row>
    <row r="7022" ht="15" customHeight="1">
      <c r="A7022" t="inlineStr">
        <is>
          <t>A 59414-2024</t>
        </is>
      </c>
      <c r="B7022" s="1" t="n">
        <v>45638.39965277778</v>
      </c>
      <c r="C7022" s="1" t="n">
        <v>46114</v>
      </c>
      <c r="D7022" t="inlineStr">
        <is>
          <t>DALARNAS LÄN</t>
        </is>
      </c>
      <c r="E7022" t="inlineStr">
        <is>
          <t>ORSA</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264-2026</t>
        </is>
      </c>
      <c r="B7023" s="1" t="n">
        <v>46027</v>
      </c>
      <c r="C7023" s="1" t="n">
        <v>46114</v>
      </c>
      <c r="D7023" t="inlineStr">
        <is>
          <t>DALARNAS LÄN</t>
        </is>
      </c>
      <c r="E7023" t="inlineStr">
        <is>
          <t>SÄTER</t>
        </is>
      </c>
      <c r="G7023" t="n">
        <v>12.1</v>
      </c>
      <c r="H7023" t="n">
        <v>0</v>
      </c>
      <c r="I7023" t="n">
        <v>0</v>
      </c>
      <c r="J7023" t="n">
        <v>0</v>
      </c>
      <c r="K7023" t="n">
        <v>0</v>
      </c>
      <c r="L7023" t="n">
        <v>0</v>
      </c>
      <c r="M7023" t="n">
        <v>0</v>
      </c>
      <c r="N7023" t="n">
        <v>0</v>
      </c>
      <c r="O7023" t="n">
        <v>0</v>
      </c>
      <c r="P7023" t="n">
        <v>0</v>
      </c>
      <c r="Q7023" t="n">
        <v>0</v>
      </c>
      <c r="R7023" s="2" t="inlineStr"/>
    </row>
    <row r="7024" ht="15" customHeight="1">
      <c r="A7024" t="inlineStr">
        <is>
          <t>A 225-2026</t>
        </is>
      </c>
      <c r="B7024" s="1" t="n">
        <v>46026.90065972223</v>
      </c>
      <c r="C7024" s="1" t="n">
        <v>46114</v>
      </c>
      <c r="D7024" t="inlineStr">
        <is>
          <t>DALARNAS LÄN</t>
        </is>
      </c>
      <c r="E7024" t="inlineStr">
        <is>
          <t>FALUN</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14084-2023</t>
        </is>
      </c>
      <c r="B7025" s="1" t="n">
        <v>45009.32672453704</v>
      </c>
      <c r="C7025" s="1" t="n">
        <v>46114</v>
      </c>
      <c r="D7025" t="inlineStr">
        <is>
          <t>DALARNAS LÄN</t>
        </is>
      </c>
      <c r="E7025" t="inlineStr">
        <is>
          <t>AVESTA</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14090-2023</t>
        </is>
      </c>
      <c r="B7026" s="1" t="n">
        <v>45009</v>
      </c>
      <c r="C7026" s="1" t="n">
        <v>46114</v>
      </c>
      <c r="D7026" t="inlineStr">
        <is>
          <t>DALARNAS LÄN</t>
        </is>
      </c>
      <c r="E7026" t="inlineStr">
        <is>
          <t>AVESTA</t>
        </is>
      </c>
      <c r="G7026" t="n">
        <v>0.6</v>
      </c>
      <c r="H7026" t="n">
        <v>0</v>
      </c>
      <c r="I7026" t="n">
        <v>0</v>
      </c>
      <c r="J7026" t="n">
        <v>0</v>
      </c>
      <c r="K7026" t="n">
        <v>0</v>
      </c>
      <c r="L7026" t="n">
        <v>0</v>
      </c>
      <c r="M7026" t="n">
        <v>0</v>
      </c>
      <c r="N7026" t="n">
        <v>0</v>
      </c>
      <c r="O7026" t="n">
        <v>0</v>
      </c>
      <c r="P7026" t="n">
        <v>0</v>
      </c>
      <c r="Q7026" t="n">
        <v>0</v>
      </c>
      <c r="R7026" s="2" t="inlineStr"/>
    </row>
    <row r="7027" ht="15" customHeight="1">
      <c r="A7027" t="inlineStr">
        <is>
          <t>A 39-2026</t>
        </is>
      </c>
      <c r="B7027" s="1" t="n">
        <v>46024</v>
      </c>
      <c r="C7027" s="1" t="n">
        <v>46114</v>
      </c>
      <c r="D7027" t="inlineStr">
        <is>
          <t>DALARNAS LÄN</t>
        </is>
      </c>
      <c r="E7027" t="inlineStr">
        <is>
          <t>ORSA</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187-2026</t>
        </is>
      </c>
      <c r="B7028" s="1" t="n">
        <v>46025</v>
      </c>
      <c r="C7028" s="1" t="n">
        <v>46114</v>
      </c>
      <c r="D7028" t="inlineStr">
        <is>
          <t>DALARNAS LÄN</t>
        </is>
      </c>
      <c r="E7028" t="inlineStr">
        <is>
          <t>FALUN</t>
        </is>
      </c>
      <c r="G7028" t="n">
        <v>1.7</v>
      </c>
      <c r="H7028" t="n">
        <v>0</v>
      </c>
      <c r="I7028" t="n">
        <v>0</v>
      </c>
      <c r="J7028" t="n">
        <v>0</v>
      </c>
      <c r="K7028" t="n">
        <v>0</v>
      </c>
      <c r="L7028" t="n">
        <v>0</v>
      </c>
      <c r="M7028" t="n">
        <v>0</v>
      </c>
      <c r="N7028" t="n">
        <v>0</v>
      </c>
      <c r="O7028" t="n">
        <v>0</v>
      </c>
      <c r="P7028" t="n">
        <v>0</v>
      </c>
      <c r="Q7028" t="n">
        <v>0</v>
      </c>
      <c r="R7028" s="2" t="inlineStr"/>
    </row>
    <row r="7029" ht="15" customHeight="1">
      <c r="A7029" t="inlineStr">
        <is>
          <t>A 39882-2024</t>
        </is>
      </c>
      <c r="B7029" s="1" t="n">
        <v>45553</v>
      </c>
      <c r="C7029" s="1" t="n">
        <v>46114</v>
      </c>
      <c r="D7029" t="inlineStr">
        <is>
          <t>DALARNAS LÄN</t>
        </is>
      </c>
      <c r="E7029" t="inlineStr">
        <is>
          <t>MORA</t>
        </is>
      </c>
      <c r="G7029" t="n">
        <v>14.6</v>
      </c>
      <c r="H7029" t="n">
        <v>0</v>
      </c>
      <c r="I7029" t="n">
        <v>0</v>
      </c>
      <c r="J7029" t="n">
        <v>0</v>
      </c>
      <c r="K7029" t="n">
        <v>0</v>
      </c>
      <c r="L7029" t="n">
        <v>0</v>
      </c>
      <c r="M7029" t="n">
        <v>0</v>
      </c>
      <c r="N7029" t="n">
        <v>0</v>
      </c>
      <c r="O7029" t="n">
        <v>0</v>
      </c>
      <c r="P7029" t="n">
        <v>0</v>
      </c>
      <c r="Q7029" t="n">
        <v>0</v>
      </c>
      <c r="R7029" s="2" t="inlineStr"/>
    </row>
    <row r="7030" ht="15" customHeight="1">
      <c r="A7030" t="inlineStr">
        <is>
          <t>A 11579-2024</t>
        </is>
      </c>
      <c r="B7030" s="1" t="n">
        <v>45373.34085648148</v>
      </c>
      <c r="C7030" s="1" t="n">
        <v>46114</v>
      </c>
      <c r="D7030" t="inlineStr">
        <is>
          <t>DALARNAS LÄN</t>
        </is>
      </c>
      <c r="E7030" t="inlineStr">
        <is>
          <t>FALUN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11584-2024</t>
        </is>
      </c>
      <c r="B7031" s="1" t="n">
        <v>45373.36180555556</v>
      </c>
      <c r="C7031" s="1" t="n">
        <v>46114</v>
      </c>
      <c r="D7031" t="inlineStr">
        <is>
          <t>DALARNAS LÄN</t>
        </is>
      </c>
      <c r="E7031" t="inlineStr">
        <is>
          <t>FALUN</t>
        </is>
      </c>
      <c r="F7031" t="inlineStr">
        <is>
          <t>Bergvik skog väst AB</t>
        </is>
      </c>
      <c r="G7031" t="n">
        <v>2.3</v>
      </c>
      <c r="H7031" t="n">
        <v>0</v>
      </c>
      <c r="I7031" t="n">
        <v>0</v>
      </c>
      <c r="J7031" t="n">
        <v>0</v>
      </c>
      <c r="K7031" t="n">
        <v>0</v>
      </c>
      <c r="L7031" t="n">
        <v>0</v>
      </c>
      <c r="M7031" t="n">
        <v>0</v>
      </c>
      <c r="N7031" t="n">
        <v>0</v>
      </c>
      <c r="O7031" t="n">
        <v>0</v>
      </c>
      <c r="P7031" t="n">
        <v>0</v>
      </c>
      <c r="Q7031" t="n">
        <v>0</v>
      </c>
      <c r="R7031" s="2" t="inlineStr"/>
    </row>
    <row r="7032" ht="15" customHeight="1">
      <c r="A7032" t="inlineStr">
        <is>
          <t>A 11632-2024</t>
        </is>
      </c>
      <c r="B7032" s="1" t="n">
        <v>45373.4712037037</v>
      </c>
      <c r="C7032" s="1" t="n">
        <v>46114</v>
      </c>
      <c r="D7032" t="inlineStr">
        <is>
          <t>DALARNAS LÄN</t>
        </is>
      </c>
      <c r="E7032" t="inlineStr">
        <is>
          <t>LUDVIKA</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56136-2024</t>
        </is>
      </c>
      <c r="B7033" s="1" t="n">
        <v>45624.4871412037</v>
      </c>
      <c r="C7033" s="1" t="n">
        <v>46114</v>
      </c>
      <c r="D7033" t="inlineStr">
        <is>
          <t>DALARNAS LÄN</t>
        </is>
      </c>
      <c r="E7033" t="inlineStr">
        <is>
          <t>FALUN</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581-2026</t>
        </is>
      </c>
      <c r="B7034" s="1" t="n">
        <v>46029.48001157407</v>
      </c>
      <c r="C7034" s="1" t="n">
        <v>46114</v>
      </c>
      <c r="D7034" t="inlineStr">
        <is>
          <t>DALARNAS LÄN</t>
        </is>
      </c>
      <c r="E7034" t="inlineStr">
        <is>
          <t>LEKSAND</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56141-2024</t>
        </is>
      </c>
      <c r="B7035" s="1" t="n">
        <v>45624.48984953704</v>
      </c>
      <c r="C7035" s="1" t="n">
        <v>46114</v>
      </c>
      <c r="D7035" t="inlineStr">
        <is>
          <t>DALARNAS LÄN</t>
        </is>
      </c>
      <c r="E7035" t="inlineStr">
        <is>
          <t>FALUN</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9594-2026</t>
        </is>
      </c>
      <c r="B7036" s="1" t="n">
        <v>46071.81111111111</v>
      </c>
      <c r="C7036" s="1" t="n">
        <v>46114</v>
      </c>
      <c r="D7036" t="inlineStr">
        <is>
          <t>DALARNAS LÄN</t>
        </is>
      </c>
      <c r="E7036" t="inlineStr">
        <is>
          <t>FALUN</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588-2026</t>
        </is>
      </c>
      <c r="B7037" s="1" t="n">
        <v>46029.4896875</v>
      </c>
      <c r="C7037" s="1" t="n">
        <v>46114</v>
      </c>
      <c r="D7037" t="inlineStr">
        <is>
          <t>DALARNAS LÄN</t>
        </is>
      </c>
      <c r="E7037" t="inlineStr">
        <is>
          <t>ÄLVDALEN</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387-2026</t>
        </is>
      </c>
      <c r="B7038" s="1" t="n">
        <v>46027.85378472223</v>
      </c>
      <c r="C7038" s="1" t="n">
        <v>46114</v>
      </c>
      <c r="D7038" t="inlineStr">
        <is>
          <t>DALARNAS LÄN</t>
        </is>
      </c>
      <c r="E7038" t="inlineStr">
        <is>
          <t>FALUN</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1723-2025</t>
        </is>
      </c>
      <c r="B7039" s="1" t="n">
        <v>45671.34664351852</v>
      </c>
      <c r="C7039" s="1" t="n">
        <v>46114</v>
      </c>
      <c r="D7039" t="inlineStr">
        <is>
          <t>DALARNAS LÄN</t>
        </is>
      </c>
      <c r="E7039" t="inlineStr">
        <is>
          <t>BORLÄNGE</t>
        </is>
      </c>
      <c r="G7039" t="n">
        <v>24.5</v>
      </c>
      <c r="H7039" t="n">
        <v>0</v>
      </c>
      <c r="I7039" t="n">
        <v>0</v>
      </c>
      <c r="J7039" t="n">
        <v>0</v>
      </c>
      <c r="K7039" t="n">
        <v>0</v>
      </c>
      <c r="L7039" t="n">
        <v>0</v>
      </c>
      <c r="M7039" t="n">
        <v>0</v>
      </c>
      <c r="N7039" t="n">
        <v>0</v>
      </c>
      <c r="O7039" t="n">
        <v>0</v>
      </c>
      <c r="P7039" t="n">
        <v>0</v>
      </c>
      <c r="Q7039" t="n">
        <v>0</v>
      </c>
      <c r="R7039" s="2" t="inlineStr"/>
    </row>
    <row r="7040" ht="15" customHeight="1">
      <c r="A7040" t="inlineStr">
        <is>
          <t>A 720-2026</t>
        </is>
      </c>
      <c r="B7040" s="1" t="n">
        <v>46029.635</v>
      </c>
      <c r="C7040" s="1" t="n">
        <v>46114</v>
      </c>
      <c r="D7040" t="inlineStr">
        <is>
          <t>DALARNAS LÄN</t>
        </is>
      </c>
      <c r="E7040" t="inlineStr">
        <is>
          <t>LEKSAND</t>
        </is>
      </c>
      <c r="G7040" t="n">
        <v>6.7</v>
      </c>
      <c r="H7040" t="n">
        <v>0</v>
      </c>
      <c r="I7040" t="n">
        <v>0</v>
      </c>
      <c r="J7040" t="n">
        <v>0</v>
      </c>
      <c r="K7040" t="n">
        <v>0</v>
      </c>
      <c r="L7040" t="n">
        <v>0</v>
      </c>
      <c r="M7040" t="n">
        <v>0</v>
      </c>
      <c r="N7040" t="n">
        <v>0</v>
      </c>
      <c r="O7040" t="n">
        <v>0</v>
      </c>
      <c r="P7040" t="n">
        <v>0</v>
      </c>
      <c r="Q7040" t="n">
        <v>0</v>
      </c>
      <c r="R7040" s="2" t="inlineStr"/>
    </row>
    <row r="7041" ht="15" customHeight="1">
      <c r="A7041" t="inlineStr">
        <is>
          <t>A 58904-2024</t>
        </is>
      </c>
      <c r="B7041" s="1" t="n">
        <v>45636.47783564815</v>
      </c>
      <c r="C7041" s="1" t="n">
        <v>46114</v>
      </c>
      <c r="D7041" t="inlineStr">
        <is>
          <t>DALARNAS LÄN</t>
        </is>
      </c>
      <c r="E7041" t="inlineStr">
        <is>
          <t>MALUNG-SÄLEN</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981-2026</t>
        </is>
      </c>
      <c r="B7042" s="1" t="n">
        <v>46029</v>
      </c>
      <c r="C7042" s="1" t="n">
        <v>46114</v>
      </c>
      <c r="D7042" t="inlineStr">
        <is>
          <t>DALARNAS LÄN</t>
        </is>
      </c>
      <c r="E7042" t="inlineStr">
        <is>
          <t>FALUN</t>
        </is>
      </c>
      <c r="G7042" t="n">
        <v>4.1</v>
      </c>
      <c r="H7042" t="n">
        <v>0</v>
      </c>
      <c r="I7042" t="n">
        <v>0</v>
      </c>
      <c r="J7042" t="n">
        <v>0</v>
      </c>
      <c r="K7042" t="n">
        <v>0</v>
      </c>
      <c r="L7042" t="n">
        <v>0</v>
      </c>
      <c r="M7042" t="n">
        <v>0</v>
      </c>
      <c r="N7042" t="n">
        <v>0</v>
      </c>
      <c r="O7042" t="n">
        <v>0</v>
      </c>
      <c r="P7042" t="n">
        <v>0</v>
      </c>
      <c r="Q7042" t="n">
        <v>0</v>
      </c>
      <c r="R7042" s="2" t="inlineStr"/>
    </row>
    <row r="7043" ht="15" customHeight="1">
      <c r="A7043" t="inlineStr">
        <is>
          <t>A 425-2026</t>
        </is>
      </c>
      <c r="B7043" s="1" t="n">
        <v>46029</v>
      </c>
      <c r="C7043" s="1" t="n">
        <v>46114</v>
      </c>
      <c r="D7043" t="inlineStr">
        <is>
          <t>DALARNAS LÄN</t>
        </is>
      </c>
      <c r="E7043" t="inlineStr">
        <is>
          <t>FALUN</t>
        </is>
      </c>
      <c r="G7043" t="n">
        <v>4.6</v>
      </c>
      <c r="H7043" t="n">
        <v>0</v>
      </c>
      <c r="I7043" t="n">
        <v>0</v>
      </c>
      <c r="J7043" t="n">
        <v>0</v>
      </c>
      <c r="K7043" t="n">
        <v>0</v>
      </c>
      <c r="L7043" t="n">
        <v>0</v>
      </c>
      <c r="M7043" t="n">
        <v>0</v>
      </c>
      <c r="N7043" t="n">
        <v>0</v>
      </c>
      <c r="O7043" t="n">
        <v>0</v>
      </c>
      <c r="P7043" t="n">
        <v>0</v>
      </c>
      <c r="Q7043" t="n">
        <v>0</v>
      </c>
      <c r="R7043" s="2" t="inlineStr"/>
    </row>
    <row r="7044" ht="15" customHeight="1">
      <c r="A7044" t="inlineStr">
        <is>
          <t>A 23810-2024</t>
        </is>
      </c>
      <c r="B7044" s="1" t="n">
        <v>45455.44628472222</v>
      </c>
      <c r="C7044" s="1" t="n">
        <v>46114</v>
      </c>
      <c r="D7044" t="inlineStr">
        <is>
          <t>DALARNAS LÄN</t>
        </is>
      </c>
      <c r="E7044" t="inlineStr">
        <is>
          <t>SÄTER</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59875-2022</t>
        </is>
      </c>
      <c r="B7045" s="1" t="n">
        <v>44908</v>
      </c>
      <c r="C7045" s="1" t="n">
        <v>46114</v>
      </c>
      <c r="D7045" t="inlineStr">
        <is>
          <t>DALARNAS LÄN</t>
        </is>
      </c>
      <c r="E7045" t="inlineStr">
        <is>
          <t>MALUNG-SÄLEN</t>
        </is>
      </c>
      <c r="F7045" t="inlineStr">
        <is>
          <t>Kommuner</t>
        </is>
      </c>
      <c r="G7045" t="n">
        <v>17.8</v>
      </c>
      <c r="H7045" t="n">
        <v>0</v>
      </c>
      <c r="I7045" t="n">
        <v>0</v>
      </c>
      <c r="J7045" t="n">
        <v>0</v>
      </c>
      <c r="K7045" t="n">
        <v>0</v>
      </c>
      <c r="L7045" t="n">
        <v>0</v>
      </c>
      <c r="M7045" t="n">
        <v>0</v>
      </c>
      <c r="N7045" t="n">
        <v>0</v>
      </c>
      <c r="O7045" t="n">
        <v>0</v>
      </c>
      <c r="P7045" t="n">
        <v>0</v>
      </c>
      <c r="Q7045" t="n">
        <v>0</v>
      </c>
      <c r="R7045" s="2" t="inlineStr"/>
    </row>
    <row r="7046" ht="15" customHeight="1">
      <c r="A7046" t="inlineStr">
        <is>
          <t>A 532-2026</t>
        </is>
      </c>
      <c r="B7046" s="1" t="n">
        <v>46029</v>
      </c>
      <c r="C7046" s="1" t="n">
        <v>46114</v>
      </c>
      <c r="D7046" t="inlineStr">
        <is>
          <t>DALARNAS LÄN</t>
        </is>
      </c>
      <c r="E7046" t="inlineStr">
        <is>
          <t>MALUNG-SÄLEN</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60962-2025</t>
        </is>
      </c>
      <c r="B7047" s="1" t="n">
        <v>45999.66488425926</v>
      </c>
      <c r="C7047" s="1" t="n">
        <v>46114</v>
      </c>
      <c r="D7047" t="inlineStr">
        <is>
          <t>DALARNAS LÄN</t>
        </is>
      </c>
      <c r="E7047" t="inlineStr">
        <is>
          <t>MORA</t>
        </is>
      </c>
      <c r="G7047" t="n">
        <v>2</v>
      </c>
      <c r="H7047" t="n">
        <v>0</v>
      </c>
      <c r="I7047" t="n">
        <v>0</v>
      </c>
      <c r="J7047" t="n">
        <v>0</v>
      </c>
      <c r="K7047" t="n">
        <v>0</v>
      </c>
      <c r="L7047" t="n">
        <v>0</v>
      </c>
      <c r="M7047" t="n">
        <v>0</v>
      </c>
      <c r="N7047" t="n">
        <v>0</v>
      </c>
      <c r="O7047" t="n">
        <v>0</v>
      </c>
      <c r="P7047" t="n">
        <v>0</v>
      </c>
      <c r="Q7047" t="n">
        <v>0</v>
      </c>
      <c r="R7047" s="2" t="inlineStr"/>
    </row>
    <row r="7048" ht="15" customHeight="1">
      <c r="A7048" t="inlineStr">
        <is>
          <t>A 43508-2024</t>
        </is>
      </c>
      <c r="B7048" s="1" t="n">
        <v>45569.31140046296</v>
      </c>
      <c r="C7048" s="1" t="n">
        <v>46114</v>
      </c>
      <c r="D7048" t="inlineStr">
        <is>
          <t>DALARNAS LÄN</t>
        </is>
      </c>
      <c r="E7048" t="inlineStr">
        <is>
          <t>AVESTA</t>
        </is>
      </c>
      <c r="F7048" t="inlineStr">
        <is>
          <t>Sveaskog</t>
        </is>
      </c>
      <c r="G7048" t="n">
        <v>3.8</v>
      </c>
      <c r="H7048" t="n">
        <v>0</v>
      </c>
      <c r="I7048" t="n">
        <v>0</v>
      </c>
      <c r="J7048" t="n">
        <v>0</v>
      </c>
      <c r="K7048" t="n">
        <v>0</v>
      </c>
      <c r="L7048" t="n">
        <v>0</v>
      </c>
      <c r="M7048" t="n">
        <v>0</v>
      </c>
      <c r="N7048" t="n">
        <v>0</v>
      </c>
      <c r="O7048" t="n">
        <v>0</v>
      </c>
      <c r="P7048" t="n">
        <v>0</v>
      </c>
      <c r="Q7048" t="n">
        <v>0</v>
      </c>
      <c r="R7048" s="2" t="inlineStr"/>
    </row>
    <row r="7049" ht="15" customHeight="1">
      <c r="A7049" t="inlineStr">
        <is>
          <t>A 34603-2021</t>
        </is>
      </c>
      <c r="B7049" s="1" t="n">
        <v>44382.49001157407</v>
      </c>
      <c r="C7049" s="1" t="n">
        <v>46114</v>
      </c>
      <c r="D7049" t="inlineStr">
        <is>
          <t>DALARNAS LÄN</t>
        </is>
      </c>
      <c r="E7049" t="inlineStr">
        <is>
          <t>FALUN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661-2026</t>
        </is>
      </c>
      <c r="B7050" s="1" t="n">
        <v>46029.58525462963</v>
      </c>
      <c r="C7050" s="1" t="n">
        <v>46114</v>
      </c>
      <c r="D7050" t="inlineStr">
        <is>
          <t>DALARNAS LÄN</t>
        </is>
      </c>
      <c r="E7050" t="inlineStr">
        <is>
          <t>LUDVIKA</t>
        </is>
      </c>
      <c r="F7050" t="inlineStr">
        <is>
          <t>Övriga Aktiebolag</t>
        </is>
      </c>
      <c r="G7050" t="n">
        <v>3.4</v>
      </c>
      <c r="H7050" t="n">
        <v>0</v>
      </c>
      <c r="I7050" t="n">
        <v>0</v>
      </c>
      <c r="J7050" t="n">
        <v>0</v>
      </c>
      <c r="K7050" t="n">
        <v>0</v>
      </c>
      <c r="L7050" t="n">
        <v>0</v>
      </c>
      <c r="M7050" t="n">
        <v>0</v>
      </c>
      <c r="N7050" t="n">
        <v>0</v>
      </c>
      <c r="O7050" t="n">
        <v>0</v>
      </c>
      <c r="P7050" t="n">
        <v>0</v>
      </c>
      <c r="Q7050" t="n">
        <v>0</v>
      </c>
      <c r="R7050" s="2" t="inlineStr"/>
    </row>
    <row r="7051" ht="15" customHeight="1">
      <c r="A7051" t="inlineStr">
        <is>
          <t>A 670-2026</t>
        </is>
      </c>
      <c r="B7051" s="1" t="n">
        <v>46029</v>
      </c>
      <c r="C7051" s="1" t="n">
        <v>46114</v>
      </c>
      <c r="D7051" t="inlineStr">
        <is>
          <t>DALARNAS LÄN</t>
        </is>
      </c>
      <c r="E7051" t="inlineStr">
        <is>
          <t>FALUN</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789-2026</t>
        </is>
      </c>
      <c r="B7052" s="1" t="n">
        <v>46029</v>
      </c>
      <c r="C7052" s="1" t="n">
        <v>46114</v>
      </c>
      <c r="D7052" t="inlineStr">
        <is>
          <t>DALARNAS LÄN</t>
        </is>
      </c>
      <c r="E7052" t="inlineStr">
        <is>
          <t>FALUN</t>
        </is>
      </c>
      <c r="G7052" t="n">
        <v>5.4</v>
      </c>
      <c r="H7052" t="n">
        <v>0</v>
      </c>
      <c r="I7052" t="n">
        <v>0</v>
      </c>
      <c r="J7052" t="n">
        <v>0</v>
      </c>
      <c r="K7052" t="n">
        <v>0</v>
      </c>
      <c r="L7052" t="n">
        <v>0</v>
      </c>
      <c r="M7052" t="n">
        <v>0</v>
      </c>
      <c r="N7052" t="n">
        <v>0</v>
      </c>
      <c r="O7052" t="n">
        <v>0</v>
      </c>
      <c r="P7052" t="n">
        <v>0</v>
      </c>
      <c r="Q7052" t="n">
        <v>0</v>
      </c>
      <c r="R7052" s="2" t="inlineStr"/>
    </row>
    <row r="7053" ht="15" customHeight="1">
      <c r="A7053" t="inlineStr">
        <is>
          <t>A 43566-2023</t>
        </is>
      </c>
      <c r="B7053" s="1" t="n">
        <v>45184.58199074074</v>
      </c>
      <c r="C7053" s="1" t="n">
        <v>46114</v>
      </c>
      <c r="D7053" t="inlineStr">
        <is>
          <t>DALARNAS LÄN</t>
        </is>
      </c>
      <c r="E7053" t="inlineStr">
        <is>
          <t>MORA</t>
        </is>
      </c>
      <c r="F7053" t="inlineStr">
        <is>
          <t>Bergvik skog väst AB</t>
        </is>
      </c>
      <c r="G7053" t="n">
        <v>4.3</v>
      </c>
      <c r="H7053" t="n">
        <v>0</v>
      </c>
      <c r="I7053" t="n">
        <v>0</v>
      </c>
      <c r="J7053" t="n">
        <v>0</v>
      </c>
      <c r="K7053" t="n">
        <v>0</v>
      </c>
      <c r="L7053" t="n">
        <v>0</v>
      </c>
      <c r="M7053" t="n">
        <v>0</v>
      </c>
      <c r="N7053" t="n">
        <v>0</v>
      </c>
      <c r="O7053" t="n">
        <v>0</v>
      </c>
      <c r="P7053" t="n">
        <v>0</v>
      </c>
      <c r="Q7053" t="n">
        <v>0</v>
      </c>
      <c r="R7053" s="2" t="inlineStr"/>
    </row>
    <row r="7054" ht="15" customHeight="1">
      <c r="A7054" t="inlineStr">
        <is>
          <t>A 43658-2023</t>
        </is>
      </c>
      <c r="B7054" s="1" t="n">
        <v>45187.34733796296</v>
      </c>
      <c r="C7054" s="1" t="n">
        <v>46114</v>
      </c>
      <c r="D7054" t="inlineStr">
        <is>
          <t>DALARNAS LÄN</t>
        </is>
      </c>
      <c r="E7054" t="inlineStr">
        <is>
          <t>VANSBRO</t>
        </is>
      </c>
      <c r="G7054" t="n">
        <v>7.8</v>
      </c>
      <c r="H7054" t="n">
        <v>0</v>
      </c>
      <c r="I7054" t="n">
        <v>0</v>
      </c>
      <c r="J7054" t="n">
        <v>0</v>
      </c>
      <c r="K7054" t="n">
        <v>0</v>
      </c>
      <c r="L7054" t="n">
        <v>0</v>
      </c>
      <c r="M7054" t="n">
        <v>0</v>
      </c>
      <c r="N7054" t="n">
        <v>0</v>
      </c>
      <c r="O7054" t="n">
        <v>0</v>
      </c>
      <c r="P7054" t="n">
        <v>0</v>
      </c>
      <c r="Q7054" t="n">
        <v>0</v>
      </c>
      <c r="R7054" s="2" t="inlineStr"/>
    </row>
    <row r="7055" ht="15" customHeight="1">
      <c r="A7055" t="inlineStr">
        <is>
          <t>A 396-2026</t>
        </is>
      </c>
      <c r="B7055" s="1" t="n">
        <v>46028</v>
      </c>
      <c r="C7055" s="1" t="n">
        <v>46114</v>
      </c>
      <c r="D7055" t="inlineStr">
        <is>
          <t>DALARNAS LÄN</t>
        </is>
      </c>
      <c r="E7055" t="inlineStr">
        <is>
          <t>FALUN</t>
        </is>
      </c>
      <c r="G7055" t="n">
        <v>34.8</v>
      </c>
      <c r="H7055" t="n">
        <v>0</v>
      </c>
      <c r="I7055" t="n">
        <v>0</v>
      </c>
      <c r="J7055" t="n">
        <v>0</v>
      </c>
      <c r="K7055" t="n">
        <v>0</v>
      </c>
      <c r="L7055" t="n">
        <v>0</v>
      </c>
      <c r="M7055" t="n">
        <v>0</v>
      </c>
      <c r="N7055" t="n">
        <v>0</v>
      </c>
      <c r="O7055" t="n">
        <v>0</v>
      </c>
      <c r="P7055" t="n">
        <v>0</v>
      </c>
      <c r="Q7055" t="n">
        <v>0</v>
      </c>
      <c r="R7055" s="2" t="inlineStr"/>
    </row>
    <row r="7056" ht="15" customHeight="1">
      <c r="A7056" t="inlineStr">
        <is>
          <t>A 43666-2023</t>
        </is>
      </c>
      <c r="B7056" s="1" t="n">
        <v>45187</v>
      </c>
      <c r="C7056" s="1" t="n">
        <v>46114</v>
      </c>
      <c r="D7056" t="inlineStr">
        <is>
          <t>DALARNAS LÄN</t>
        </is>
      </c>
      <c r="E7056" t="inlineStr">
        <is>
          <t>MALUNG-SÄLEN</t>
        </is>
      </c>
      <c r="F7056" t="inlineStr">
        <is>
          <t>Allmännings- och besparingsskogar</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405-2026</t>
        </is>
      </c>
      <c r="B7057" s="1" t="n">
        <v>46028</v>
      </c>
      <c r="C7057" s="1" t="n">
        <v>46114</v>
      </c>
      <c r="D7057" t="inlineStr">
        <is>
          <t>DALARNAS LÄN</t>
        </is>
      </c>
      <c r="E7057" t="inlineStr">
        <is>
          <t>FALUN</t>
        </is>
      </c>
      <c r="G7057" t="n">
        <v>5.9</v>
      </c>
      <c r="H7057" t="n">
        <v>0</v>
      </c>
      <c r="I7057" t="n">
        <v>0</v>
      </c>
      <c r="J7057" t="n">
        <v>0</v>
      </c>
      <c r="K7057" t="n">
        <v>0</v>
      </c>
      <c r="L7057" t="n">
        <v>0</v>
      </c>
      <c r="M7057" t="n">
        <v>0</v>
      </c>
      <c r="N7057" t="n">
        <v>0</v>
      </c>
      <c r="O7057" t="n">
        <v>0</v>
      </c>
      <c r="P7057" t="n">
        <v>0</v>
      </c>
      <c r="Q7057" t="n">
        <v>0</v>
      </c>
      <c r="R7057" s="2" t="inlineStr"/>
    </row>
    <row r="7058" ht="15" customHeight="1">
      <c r="A7058" t="inlineStr">
        <is>
          <t>A 389-2026</t>
        </is>
      </c>
      <c r="B7058" s="1" t="n">
        <v>46027.93612268518</v>
      </c>
      <c r="C7058" s="1" t="n">
        <v>46114</v>
      </c>
      <c r="D7058" t="inlineStr">
        <is>
          <t>DALARNAS LÄN</t>
        </is>
      </c>
      <c r="E7058" t="inlineStr">
        <is>
          <t>FALUN</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446-2026</t>
        </is>
      </c>
      <c r="B7059" s="1" t="n">
        <v>46029</v>
      </c>
      <c r="C7059" s="1" t="n">
        <v>46114</v>
      </c>
      <c r="D7059" t="inlineStr">
        <is>
          <t>DALARNAS LÄN</t>
        </is>
      </c>
      <c r="E7059" t="inlineStr">
        <is>
          <t>VANSBRO</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713-2026</t>
        </is>
      </c>
      <c r="B7060" s="1" t="n">
        <v>46029</v>
      </c>
      <c r="C7060" s="1" t="n">
        <v>46114</v>
      </c>
      <c r="D7060" t="inlineStr">
        <is>
          <t>DALARNAS LÄN</t>
        </is>
      </c>
      <c r="E7060" t="inlineStr">
        <is>
          <t>BORLÄNGE</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752-2026</t>
        </is>
      </c>
      <c r="B7061" s="1" t="n">
        <v>46029.67885416667</v>
      </c>
      <c r="C7061" s="1" t="n">
        <v>46114</v>
      </c>
      <c r="D7061" t="inlineStr">
        <is>
          <t>DALARNAS LÄN</t>
        </is>
      </c>
      <c r="E7061" t="inlineStr">
        <is>
          <t>BORLÄNGE</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795-2026</t>
        </is>
      </c>
      <c r="B7062" s="1" t="n">
        <v>46029</v>
      </c>
      <c r="C7062" s="1" t="n">
        <v>46114</v>
      </c>
      <c r="D7062" t="inlineStr">
        <is>
          <t>DALARNAS LÄN</t>
        </is>
      </c>
      <c r="E7062" t="inlineStr">
        <is>
          <t>FALUN</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395-2026</t>
        </is>
      </c>
      <c r="B7063" s="1" t="n">
        <v>46028.61246527778</v>
      </c>
      <c r="C7063" s="1" t="n">
        <v>46114</v>
      </c>
      <c r="D7063" t="inlineStr">
        <is>
          <t>DALARNAS LÄN</t>
        </is>
      </c>
      <c r="E7063" t="inlineStr">
        <is>
          <t>RÄTTVIK</t>
        </is>
      </c>
      <c r="F7063" t="inlineStr">
        <is>
          <t>Övriga statliga verk och myndigheter</t>
        </is>
      </c>
      <c r="G7063" t="n">
        <v>8.800000000000001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606-2026</t>
        </is>
      </c>
      <c r="B7064" s="1" t="n">
        <v>46029</v>
      </c>
      <c r="C7064" s="1" t="n">
        <v>46114</v>
      </c>
      <c r="D7064" t="inlineStr">
        <is>
          <t>DALARNAS LÄN</t>
        </is>
      </c>
      <c r="E7064" t="inlineStr">
        <is>
          <t>FALUN</t>
        </is>
      </c>
      <c r="G7064" t="n">
        <v>1.5</v>
      </c>
      <c r="H7064" t="n">
        <v>0</v>
      </c>
      <c r="I7064" t="n">
        <v>0</v>
      </c>
      <c r="J7064" t="n">
        <v>0</v>
      </c>
      <c r="K7064" t="n">
        <v>0</v>
      </c>
      <c r="L7064" t="n">
        <v>0</v>
      </c>
      <c r="M7064" t="n">
        <v>0</v>
      </c>
      <c r="N7064" t="n">
        <v>0</v>
      </c>
      <c r="O7064" t="n">
        <v>0</v>
      </c>
      <c r="P7064" t="n">
        <v>0</v>
      </c>
      <c r="Q7064" t="n">
        <v>0</v>
      </c>
      <c r="R7064" s="2" t="inlineStr"/>
    </row>
    <row r="7065" ht="15" customHeight="1">
      <c r="A7065" t="inlineStr">
        <is>
          <t>A 392-2026</t>
        </is>
      </c>
      <c r="B7065" s="1" t="n">
        <v>46028.45001157407</v>
      </c>
      <c r="C7065" s="1" t="n">
        <v>46114</v>
      </c>
      <c r="D7065" t="inlineStr">
        <is>
          <t>DALARNAS LÄN</t>
        </is>
      </c>
      <c r="E7065" t="inlineStr">
        <is>
          <t>VANSBRO</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52199-2021</t>
        </is>
      </c>
      <c r="B7066" s="1" t="n">
        <v>44462</v>
      </c>
      <c r="C7066" s="1" t="n">
        <v>46114</v>
      </c>
      <c r="D7066" t="inlineStr">
        <is>
          <t>DALARNAS LÄN</t>
        </is>
      </c>
      <c r="E7066" t="inlineStr">
        <is>
          <t>HEDEMORA</t>
        </is>
      </c>
      <c r="F7066" t="inlineStr">
        <is>
          <t>Bergvik skog väst AB</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52220-2021</t>
        </is>
      </c>
      <c r="B7067" s="1" t="n">
        <v>44462</v>
      </c>
      <c r="C7067" s="1" t="n">
        <v>46114</v>
      </c>
      <c r="D7067" t="inlineStr">
        <is>
          <t>DALARNAS LÄN</t>
        </is>
      </c>
      <c r="E7067" t="inlineStr">
        <is>
          <t>SÄTER</t>
        </is>
      </c>
      <c r="F7067" t="inlineStr">
        <is>
          <t>Bergvik skog väst AB</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489-2026</t>
        </is>
      </c>
      <c r="B7068" s="1" t="n">
        <v>46029.42424768519</v>
      </c>
      <c r="C7068" s="1" t="n">
        <v>46114</v>
      </c>
      <c r="D7068" t="inlineStr">
        <is>
          <t>DALARNAS LÄN</t>
        </is>
      </c>
      <c r="E7068" t="inlineStr">
        <is>
          <t>LEKSAND</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7755-2024</t>
        </is>
      </c>
      <c r="B7069" s="1" t="n">
        <v>45349.5361574074</v>
      </c>
      <c r="C7069" s="1" t="n">
        <v>46114</v>
      </c>
      <c r="D7069" t="inlineStr">
        <is>
          <t>DALARNAS LÄN</t>
        </is>
      </c>
      <c r="E7069" t="inlineStr">
        <is>
          <t>FALUN</t>
        </is>
      </c>
      <c r="G7069" t="n">
        <v>0.3</v>
      </c>
      <c r="H7069" t="n">
        <v>0</v>
      </c>
      <c r="I7069" t="n">
        <v>0</v>
      </c>
      <c r="J7069" t="n">
        <v>0</v>
      </c>
      <c r="K7069" t="n">
        <v>0</v>
      </c>
      <c r="L7069" t="n">
        <v>0</v>
      </c>
      <c r="M7069" t="n">
        <v>0</v>
      </c>
      <c r="N7069" t="n">
        <v>0</v>
      </c>
      <c r="O7069" t="n">
        <v>0</v>
      </c>
      <c r="P7069" t="n">
        <v>0</v>
      </c>
      <c r="Q7069" t="n">
        <v>0</v>
      </c>
      <c r="R7069" s="2" t="inlineStr"/>
    </row>
    <row r="7070" ht="15" customHeight="1">
      <c r="A7070" t="inlineStr">
        <is>
          <t>A 760-2026</t>
        </is>
      </c>
      <c r="B7070" s="1" t="n">
        <v>46029</v>
      </c>
      <c r="C7070" s="1" t="n">
        <v>46114</v>
      </c>
      <c r="D7070" t="inlineStr">
        <is>
          <t>DALARNAS LÄN</t>
        </is>
      </c>
      <c r="E7070" t="inlineStr">
        <is>
          <t>SÄTER</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665-2026</t>
        </is>
      </c>
      <c r="B7071" s="1" t="n">
        <v>46029</v>
      </c>
      <c r="C7071" s="1" t="n">
        <v>46114</v>
      </c>
      <c r="D7071" t="inlineStr">
        <is>
          <t>DALARNAS LÄN</t>
        </is>
      </c>
      <c r="E7071" t="inlineStr">
        <is>
          <t>MORA</t>
        </is>
      </c>
      <c r="F7071" t="inlineStr">
        <is>
          <t>Kommuner</t>
        </is>
      </c>
      <c r="G7071" t="n">
        <v>20.9</v>
      </c>
      <c r="H7071" t="n">
        <v>0</v>
      </c>
      <c r="I7071" t="n">
        <v>0</v>
      </c>
      <c r="J7071" t="n">
        <v>0</v>
      </c>
      <c r="K7071" t="n">
        <v>0</v>
      </c>
      <c r="L7071" t="n">
        <v>0</v>
      </c>
      <c r="M7071" t="n">
        <v>0</v>
      </c>
      <c r="N7071" t="n">
        <v>0</v>
      </c>
      <c r="O7071" t="n">
        <v>0</v>
      </c>
      <c r="P7071" t="n">
        <v>0</v>
      </c>
      <c r="Q7071" t="n">
        <v>0</v>
      </c>
      <c r="R7071" s="2" t="inlineStr"/>
    </row>
    <row r="7072" ht="15" customHeight="1">
      <c r="A7072" t="inlineStr">
        <is>
          <t>A 470-2026</t>
        </is>
      </c>
      <c r="B7072" s="1" t="n">
        <v>46029.38891203704</v>
      </c>
      <c r="C7072" s="1" t="n">
        <v>46114</v>
      </c>
      <c r="D7072" t="inlineStr">
        <is>
          <t>DALARNAS LÄN</t>
        </is>
      </c>
      <c r="E7072" t="inlineStr">
        <is>
          <t>BORLÄNGE</t>
        </is>
      </c>
      <c r="F7072" t="inlineStr">
        <is>
          <t>Bergvik skog väst AB</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17078-2023</t>
        </is>
      </c>
      <c r="B7073" s="1" t="n">
        <v>45034</v>
      </c>
      <c r="C7073" s="1" t="n">
        <v>46114</v>
      </c>
      <c r="D7073" t="inlineStr">
        <is>
          <t>DALARNAS LÄN</t>
        </is>
      </c>
      <c r="E7073" t="inlineStr">
        <is>
          <t>LEKSAND</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29530-2024</t>
        </is>
      </c>
      <c r="B7074" s="1" t="n">
        <v>45484.47273148148</v>
      </c>
      <c r="C7074" s="1" t="n">
        <v>46114</v>
      </c>
      <c r="D7074" t="inlineStr">
        <is>
          <t>DALARNAS LÄN</t>
        </is>
      </c>
      <c r="E7074" t="inlineStr">
        <is>
          <t>SMEDJEBACKEN</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59603-2022</t>
        </is>
      </c>
      <c r="B7075" s="1" t="n">
        <v>44907</v>
      </c>
      <c r="C7075" s="1" t="n">
        <v>46114</v>
      </c>
      <c r="D7075" t="inlineStr">
        <is>
          <t>DALARNAS LÄN</t>
        </is>
      </c>
      <c r="E7075" t="inlineStr">
        <is>
          <t>MALUNG-SÄLEN</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435-2026</t>
        </is>
      </c>
      <c r="B7076" s="1" t="n">
        <v>46029.33446759259</v>
      </c>
      <c r="C7076" s="1" t="n">
        <v>46114</v>
      </c>
      <c r="D7076" t="inlineStr">
        <is>
          <t>DALARNAS LÄN</t>
        </is>
      </c>
      <c r="E7076" t="inlineStr">
        <is>
          <t>LEKSAND</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583-2026</t>
        </is>
      </c>
      <c r="B7077" s="1" t="n">
        <v>46029.48274305555</v>
      </c>
      <c r="C7077" s="1" t="n">
        <v>46114</v>
      </c>
      <c r="D7077" t="inlineStr">
        <is>
          <t>DALARNAS LÄN</t>
        </is>
      </c>
      <c r="E7077" t="inlineStr">
        <is>
          <t>ÄLVDALEN</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600-2026</t>
        </is>
      </c>
      <c r="B7078" s="1" t="n">
        <v>46029</v>
      </c>
      <c r="C7078" s="1" t="n">
        <v>46114</v>
      </c>
      <c r="D7078" t="inlineStr">
        <is>
          <t>DALARNAS LÄN</t>
        </is>
      </c>
      <c r="E7078" t="inlineStr">
        <is>
          <t>RÄTTVIK</t>
        </is>
      </c>
      <c r="G7078" t="n">
        <v>2.2</v>
      </c>
      <c r="H7078" t="n">
        <v>0</v>
      </c>
      <c r="I7078" t="n">
        <v>0</v>
      </c>
      <c r="J7078" t="n">
        <v>0</v>
      </c>
      <c r="K7078" t="n">
        <v>0</v>
      </c>
      <c r="L7078" t="n">
        <v>0</v>
      </c>
      <c r="M7078" t="n">
        <v>0</v>
      </c>
      <c r="N7078" t="n">
        <v>0</v>
      </c>
      <c r="O7078" t="n">
        <v>0</v>
      </c>
      <c r="P7078" t="n">
        <v>0</v>
      </c>
      <c r="Q7078" t="n">
        <v>0</v>
      </c>
      <c r="R7078" s="2" t="inlineStr"/>
    </row>
    <row r="7079" ht="15" customHeight="1">
      <c r="A7079" t="inlineStr">
        <is>
          <t>A 5870-2023</t>
        </is>
      </c>
      <c r="B7079" s="1" t="n">
        <v>44963</v>
      </c>
      <c r="C7079" s="1" t="n">
        <v>46114</v>
      </c>
      <c r="D7079" t="inlineStr">
        <is>
          <t>DALARNAS LÄN</t>
        </is>
      </c>
      <c r="E7079" t="inlineStr">
        <is>
          <t>MALUNG-SÄLEN</t>
        </is>
      </c>
      <c r="G7079" t="n">
        <v>1.8</v>
      </c>
      <c r="H7079" t="n">
        <v>0</v>
      </c>
      <c r="I7079" t="n">
        <v>0</v>
      </c>
      <c r="J7079" t="n">
        <v>0</v>
      </c>
      <c r="K7079" t="n">
        <v>0</v>
      </c>
      <c r="L7079" t="n">
        <v>0</v>
      </c>
      <c r="M7079" t="n">
        <v>0</v>
      </c>
      <c r="N7079" t="n">
        <v>0</v>
      </c>
      <c r="O7079" t="n">
        <v>0</v>
      </c>
      <c r="P7079" t="n">
        <v>0</v>
      </c>
      <c r="Q7079" t="n">
        <v>0</v>
      </c>
      <c r="R7079" s="2" t="inlineStr"/>
    </row>
    <row r="7080" ht="15" customHeight="1">
      <c r="A7080" t="inlineStr">
        <is>
          <t>A 386-2026</t>
        </is>
      </c>
      <c r="B7080" s="1" t="n">
        <v>46027.83980324074</v>
      </c>
      <c r="C7080" s="1" t="n">
        <v>46114</v>
      </c>
      <c r="D7080" t="inlineStr">
        <is>
          <t>DALARNAS LÄN</t>
        </is>
      </c>
      <c r="E7080" t="inlineStr">
        <is>
          <t>FALUN</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521-2026</t>
        </is>
      </c>
      <c r="B7081" s="1" t="n">
        <v>46029.44782407407</v>
      </c>
      <c r="C7081" s="1" t="n">
        <v>46114</v>
      </c>
      <c r="D7081" t="inlineStr">
        <is>
          <t>DALARNAS LÄN</t>
        </is>
      </c>
      <c r="E7081" t="inlineStr">
        <is>
          <t>LEKSAND</t>
        </is>
      </c>
      <c r="G7081" t="n">
        <v>3.4</v>
      </c>
      <c r="H7081" t="n">
        <v>0</v>
      </c>
      <c r="I7081" t="n">
        <v>0</v>
      </c>
      <c r="J7081" t="n">
        <v>0</v>
      </c>
      <c r="K7081" t="n">
        <v>0</v>
      </c>
      <c r="L7081" t="n">
        <v>0</v>
      </c>
      <c r="M7081" t="n">
        <v>0</v>
      </c>
      <c r="N7081" t="n">
        <v>0</v>
      </c>
      <c r="O7081" t="n">
        <v>0</v>
      </c>
      <c r="P7081" t="n">
        <v>0</v>
      </c>
      <c r="Q7081" t="n">
        <v>0</v>
      </c>
      <c r="R7081" s="2" t="inlineStr"/>
    </row>
    <row r="7082" ht="15" customHeight="1">
      <c r="A7082" t="inlineStr">
        <is>
          <t>A 36024-2023</t>
        </is>
      </c>
      <c r="B7082" s="1" t="n">
        <v>45149</v>
      </c>
      <c r="C7082" s="1" t="n">
        <v>46114</v>
      </c>
      <c r="D7082" t="inlineStr">
        <is>
          <t>DALARNAS LÄN</t>
        </is>
      </c>
      <c r="E7082" t="inlineStr">
        <is>
          <t>MALUNG-SÄLEN</t>
        </is>
      </c>
      <c r="F7082" t="inlineStr">
        <is>
          <t>Bergvik skog öst AB</t>
        </is>
      </c>
      <c r="G7082" t="n">
        <v>1.8</v>
      </c>
      <c r="H7082" t="n">
        <v>0</v>
      </c>
      <c r="I7082" t="n">
        <v>0</v>
      </c>
      <c r="J7082" t="n">
        <v>0</v>
      </c>
      <c r="K7082" t="n">
        <v>0</v>
      </c>
      <c r="L7082" t="n">
        <v>0</v>
      </c>
      <c r="M7082" t="n">
        <v>0</v>
      </c>
      <c r="N7082" t="n">
        <v>0</v>
      </c>
      <c r="O7082" t="n">
        <v>0</v>
      </c>
      <c r="P7082" t="n">
        <v>0</v>
      </c>
      <c r="Q7082" t="n">
        <v>0</v>
      </c>
      <c r="R7082" s="2" t="inlineStr"/>
    </row>
    <row r="7083" ht="15" customHeight="1">
      <c r="A7083" t="inlineStr">
        <is>
          <t>A 13887-2025</t>
        </is>
      </c>
      <c r="B7083" s="1" t="n">
        <v>45737</v>
      </c>
      <c r="C7083" s="1" t="n">
        <v>46114</v>
      </c>
      <c r="D7083" t="inlineStr">
        <is>
          <t>DALARNAS LÄN</t>
        </is>
      </c>
      <c r="E7083" t="inlineStr">
        <is>
          <t>MALUNG-SÄLEN</t>
        </is>
      </c>
      <c r="F7083" t="inlineStr">
        <is>
          <t>Bergvik skog öst AB</t>
        </is>
      </c>
      <c r="G7083" t="n">
        <v>4.5</v>
      </c>
      <c r="H7083" t="n">
        <v>0</v>
      </c>
      <c r="I7083" t="n">
        <v>0</v>
      </c>
      <c r="J7083" t="n">
        <v>0</v>
      </c>
      <c r="K7083" t="n">
        <v>0</v>
      </c>
      <c r="L7083" t="n">
        <v>0</v>
      </c>
      <c r="M7083" t="n">
        <v>0</v>
      </c>
      <c r="N7083" t="n">
        <v>0</v>
      </c>
      <c r="O7083" t="n">
        <v>0</v>
      </c>
      <c r="P7083" t="n">
        <v>0</v>
      </c>
      <c r="Q7083" t="n">
        <v>0</v>
      </c>
      <c r="R7083" s="2" t="inlineStr"/>
    </row>
    <row r="7084" ht="15" customHeight="1">
      <c r="A7084" t="inlineStr">
        <is>
          <t>A 384-2026</t>
        </is>
      </c>
      <c r="B7084" s="1" t="n">
        <v>46027.80430555555</v>
      </c>
      <c r="C7084" s="1" t="n">
        <v>46114</v>
      </c>
      <c r="D7084" t="inlineStr">
        <is>
          <t>DALARNAS LÄN</t>
        </is>
      </c>
      <c r="E7084" t="inlineStr">
        <is>
          <t>ORSA</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56672-2023</t>
        </is>
      </c>
      <c r="B7085" s="1" t="n">
        <v>45243.89579861111</v>
      </c>
      <c r="C7085" s="1" t="n">
        <v>46114</v>
      </c>
      <c r="D7085" t="inlineStr">
        <is>
          <t>DALARNAS LÄN</t>
        </is>
      </c>
      <c r="E7085" t="inlineStr">
        <is>
          <t>LUDVIKA</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11110-2023</t>
        </is>
      </c>
      <c r="B7086" s="1" t="n">
        <v>44992</v>
      </c>
      <c r="C7086" s="1" t="n">
        <v>46114</v>
      </c>
      <c r="D7086" t="inlineStr">
        <is>
          <t>DALARNAS LÄN</t>
        </is>
      </c>
      <c r="E7086" t="inlineStr">
        <is>
          <t>LEKSAND</t>
        </is>
      </c>
      <c r="G7086" t="n">
        <v>11.2</v>
      </c>
      <c r="H7086" t="n">
        <v>0</v>
      </c>
      <c r="I7086" t="n">
        <v>0</v>
      </c>
      <c r="J7086" t="n">
        <v>0</v>
      </c>
      <c r="K7086" t="n">
        <v>0</v>
      </c>
      <c r="L7086" t="n">
        <v>0</v>
      </c>
      <c r="M7086" t="n">
        <v>0</v>
      </c>
      <c r="N7086" t="n">
        <v>0</v>
      </c>
      <c r="O7086" t="n">
        <v>0</v>
      </c>
      <c r="P7086" t="n">
        <v>0</v>
      </c>
      <c r="Q7086" t="n">
        <v>0</v>
      </c>
      <c r="R7086" s="2" t="inlineStr"/>
    </row>
    <row r="7087" ht="15" customHeight="1">
      <c r="A7087" t="inlineStr">
        <is>
          <t>A 712-2026</t>
        </is>
      </c>
      <c r="B7087" s="1" t="n">
        <v>46029</v>
      </c>
      <c r="C7087" s="1" t="n">
        <v>46114</v>
      </c>
      <c r="D7087" t="inlineStr">
        <is>
          <t>DALARNAS LÄN</t>
        </is>
      </c>
      <c r="E7087" t="inlineStr">
        <is>
          <t>BORLÄNGE</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50707-2024</t>
        </is>
      </c>
      <c r="B7088" s="1" t="n">
        <v>45602.36873842592</v>
      </c>
      <c r="C7088" s="1" t="n">
        <v>46114</v>
      </c>
      <c r="D7088" t="inlineStr">
        <is>
          <t>DALARNAS LÄN</t>
        </is>
      </c>
      <c r="E7088" t="inlineStr">
        <is>
          <t>FALUN</t>
        </is>
      </c>
      <c r="F7088" t="inlineStr">
        <is>
          <t>Bergvik skog väst AB</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509-2026</t>
        </is>
      </c>
      <c r="B7089" s="1" t="n">
        <v>46029</v>
      </c>
      <c r="C7089" s="1" t="n">
        <v>46114</v>
      </c>
      <c r="D7089" t="inlineStr">
        <is>
          <t>DALARNAS LÄN</t>
        </is>
      </c>
      <c r="E7089" t="inlineStr">
        <is>
          <t>RÄTTVIK</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519-2026</t>
        </is>
      </c>
      <c r="B7090" s="1" t="n">
        <v>46029.44658564815</v>
      </c>
      <c r="C7090" s="1" t="n">
        <v>46114</v>
      </c>
      <c r="D7090" t="inlineStr">
        <is>
          <t>DALARNAS LÄN</t>
        </is>
      </c>
      <c r="E7090" t="inlineStr">
        <is>
          <t>LEKSAND</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537-2026</t>
        </is>
      </c>
      <c r="B7091" s="1" t="n">
        <v>46029.45503472222</v>
      </c>
      <c r="C7091" s="1" t="n">
        <v>46114</v>
      </c>
      <c r="D7091" t="inlineStr">
        <is>
          <t>DALARNAS LÄN</t>
        </is>
      </c>
      <c r="E7091" t="inlineStr">
        <is>
          <t>MALUNG-SÄLEN</t>
        </is>
      </c>
      <c r="F7091" t="inlineStr">
        <is>
          <t>Allmännings- och besparingsskogar</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612-2025</t>
        </is>
      </c>
      <c r="B7092" s="1" t="n">
        <v>45660</v>
      </c>
      <c r="C7092" s="1" t="n">
        <v>46114</v>
      </c>
      <c r="D7092" t="inlineStr">
        <is>
          <t>DALARNAS LÄN</t>
        </is>
      </c>
      <c r="E7092" t="inlineStr">
        <is>
          <t>ORSA</t>
        </is>
      </c>
      <c r="F7092" t="inlineStr">
        <is>
          <t>Allmännings- och besparingsskogar</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45167-2022</t>
        </is>
      </c>
      <c r="B7093" s="1" t="n">
        <v>44844</v>
      </c>
      <c r="C7093" s="1" t="n">
        <v>46114</v>
      </c>
      <c r="D7093" t="inlineStr">
        <is>
          <t>DALARNAS LÄN</t>
        </is>
      </c>
      <c r="E7093" t="inlineStr">
        <is>
          <t>ÄLVDALEN</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35378-2021</t>
        </is>
      </c>
      <c r="B7094" s="1" t="n">
        <v>44385</v>
      </c>
      <c r="C7094" s="1" t="n">
        <v>46114</v>
      </c>
      <c r="D7094" t="inlineStr">
        <is>
          <t>DALARNAS LÄN</t>
        </is>
      </c>
      <c r="E7094" t="inlineStr">
        <is>
          <t>MALUNG-SÄLEN</t>
        </is>
      </c>
      <c r="F7094" t="inlineStr">
        <is>
          <t>Övriga statliga verk och myndigheter</t>
        </is>
      </c>
      <c r="G7094" t="n">
        <v>5.8</v>
      </c>
      <c r="H7094" t="n">
        <v>0</v>
      </c>
      <c r="I7094" t="n">
        <v>0</v>
      </c>
      <c r="J7094" t="n">
        <v>0</v>
      </c>
      <c r="K7094" t="n">
        <v>0</v>
      </c>
      <c r="L7094" t="n">
        <v>0</v>
      </c>
      <c r="M7094" t="n">
        <v>0</v>
      </c>
      <c r="N7094" t="n">
        <v>0</v>
      </c>
      <c r="O7094" t="n">
        <v>0</v>
      </c>
      <c r="P7094" t="n">
        <v>0</v>
      </c>
      <c r="Q7094" t="n">
        <v>0</v>
      </c>
      <c r="R7094" s="2" t="inlineStr"/>
    </row>
    <row r="7095" ht="15" customHeight="1">
      <c r="A7095" t="inlineStr">
        <is>
          <t>A 72178-2021</t>
        </is>
      </c>
      <c r="B7095" s="1" t="n">
        <v>44544.64829861111</v>
      </c>
      <c r="C7095" s="1" t="n">
        <v>46114</v>
      </c>
      <c r="D7095" t="inlineStr">
        <is>
          <t>DALARNAS LÄN</t>
        </is>
      </c>
      <c r="E7095" t="inlineStr">
        <is>
          <t>RÄTTVIK</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575-2026</t>
        </is>
      </c>
      <c r="B7096" s="1" t="n">
        <v>46029.47552083333</v>
      </c>
      <c r="C7096" s="1" t="n">
        <v>46114</v>
      </c>
      <c r="D7096" t="inlineStr">
        <is>
          <t>DALARNAS LÄN</t>
        </is>
      </c>
      <c r="E7096" t="inlineStr">
        <is>
          <t>ÄLVDALEN</t>
        </is>
      </c>
      <c r="G7096" t="n">
        <v>4.3</v>
      </c>
      <c r="H7096" t="n">
        <v>0</v>
      </c>
      <c r="I7096" t="n">
        <v>0</v>
      </c>
      <c r="J7096" t="n">
        <v>0</v>
      </c>
      <c r="K7096" t="n">
        <v>0</v>
      </c>
      <c r="L7096" t="n">
        <v>0</v>
      </c>
      <c r="M7096" t="n">
        <v>0</v>
      </c>
      <c r="N7096" t="n">
        <v>0</v>
      </c>
      <c r="O7096" t="n">
        <v>0</v>
      </c>
      <c r="P7096" t="n">
        <v>0</v>
      </c>
      <c r="Q7096" t="n">
        <v>0</v>
      </c>
      <c r="R7096" s="2" t="inlineStr"/>
    </row>
    <row r="7097" ht="15" customHeight="1">
      <c r="A7097" t="inlineStr">
        <is>
          <t>A 9680-2026</t>
        </is>
      </c>
      <c r="B7097" s="1" t="n">
        <v>46072.38456018519</v>
      </c>
      <c r="C7097" s="1" t="n">
        <v>46114</v>
      </c>
      <c r="D7097" t="inlineStr">
        <is>
          <t>DALARNAS LÄN</t>
        </is>
      </c>
      <c r="E7097" t="inlineStr">
        <is>
          <t>HEDEMORA</t>
        </is>
      </c>
      <c r="G7097" t="n">
        <v>4.2</v>
      </c>
      <c r="H7097" t="n">
        <v>0</v>
      </c>
      <c r="I7097" t="n">
        <v>0</v>
      </c>
      <c r="J7097" t="n">
        <v>0</v>
      </c>
      <c r="K7097" t="n">
        <v>0</v>
      </c>
      <c r="L7097" t="n">
        <v>0</v>
      </c>
      <c r="M7097" t="n">
        <v>0</v>
      </c>
      <c r="N7097" t="n">
        <v>0</v>
      </c>
      <c r="O7097" t="n">
        <v>0</v>
      </c>
      <c r="P7097" t="n">
        <v>0</v>
      </c>
      <c r="Q7097" t="n">
        <v>0</v>
      </c>
      <c r="R7097" s="2" t="inlineStr"/>
    </row>
    <row r="7098" ht="15" customHeight="1">
      <c r="A7098" t="inlineStr">
        <is>
          <t>A 1215-2026</t>
        </is>
      </c>
      <c r="B7098" s="1" t="n">
        <v>46031</v>
      </c>
      <c r="C7098" s="1" t="n">
        <v>46114</v>
      </c>
      <c r="D7098" t="inlineStr">
        <is>
          <t>DALARNAS LÄN</t>
        </is>
      </c>
      <c r="E7098" t="inlineStr">
        <is>
          <t>MALUNG-SÄLEN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39982-2023</t>
        </is>
      </c>
      <c r="B7099" s="1" t="n">
        <v>45168</v>
      </c>
      <c r="C7099" s="1" t="n">
        <v>46114</v>
      </c>
      <c r="D7099" t="inlineStr">
        <is>
          <t>DALARNAS LÄN</t>
        </is>
      </c>
      <c r="E7099" t="inlineStr">
        <is>
          <t>MALUNG-SÄLEN</t>
        </is>
      </c>
      <c r="G7099" t="n">
        <v>0.2</v>
      </c>
      <c r="H7099" t="n">
        <v>0</v>
      </c>
      <c r="I7099" t="n">
        <v>0</v>
      </c>
      <c r="J7099" t="n">
        <v>0</v>
      </c>
      <c r="K7099" t="n">
        <v>0</v>
      </c>
      <c r="L7099" t="n">
        <v>0</v>
      </c>
      <c r="M7099" t="n">
        <v>0</v>
      </c>
      <c r="N7099" t="n">
        <v>0</v>
      </c>
      <c r="O7099" t="n">
        <v>0</v>
      </c>
      <c r="P7099" t="n">
        <v>0</v>
      </c>
      <c r="Q7099" t="n">
        <v>0</v>
      </c>
      <c r="R7099" s="2" t="inlineStr"/>
    </row>
    <row r="7100" ht="15" customHeight="1">
      <c r="A7100" t="inlineStr">
        <is>
          <t>A 56110-2024</t>
        </is>
      </c>
      <c r="B7100" s="1" t="n">
        <v>45624.443125</v>
      </c>
      <c r="C7100" s="1" t="n">
        <v>46114</v>
      </c>
      <c r="D7100" t="inlineStr">
        <is>
          <t>DALARNAS LÄN</t>
        </is>
      </c>
      <c r="E7100" t="inlineStr">
        <is>
          <t>MALUNG-SÄLEN</t>
        </is>
      </c>
      <c r="G7100" t="n">
        <v>3.9</v>
      </c>
      <c r="H7100" t="n">
        <v>0</v>
      </c>
      <c r="I7100" t="n">
        <v>0</v>
      </c>
      <c r="J7100" t="n">
        <v>0</v>
      </c>
      <c r="K7100" t="n">
        <v>0</v>
      </c>
      <c r="L7100" t="n">
        <v>0</v>
      </c>
      <c r="M7100" t="n">
        <v>0</v>
      </c>
      <c r="N7100" t="n">
        <v>0</v>
      </c>
      <c r="O7100" t="n">
        <v>0</v>
      </c>
      <c r="P7100" t="n">
        <v>0</v>
      </c>
      <c r="Q7100" t="n">
        <v>0</v>
      </c>
      <c r="R7100" s="2" t="inlineStr"/>
    </row>
    <row r="7101" ht="15" customHeight="1">
      <c r="A7101" t="inlineStr">
        <is>
          <t>A 1303-2026</t>
        </is>
      </c>
      <c r="B7101" s="1" t="n">
        <v>46031</v>
      </c>
      <c r="C7101" s="1" t="n">
        <v>46114</v>
      </c>
      <c r="D7101" t="inlineStr">
        <is>
          <t>DALARNAS LÄN</t>
        </is>
      </c>
      <c r="E7101" t="inlineStr">
        <is>
          <t>FALUN</t>
        </is>
      </c>
      <c r="G7101" t="n">
        <v>3.5</v>
      </c>
      <c r="H7101" t="n">
        <v>0</v>
      </c>
      <c r="I7101" t="n">
        <v>0</v>
      </c>
      <c r="J7101" t="n">
        <v>0</v>
      </c>
      <c r="K7101" t="n">
        <v>0</v>
      </c>
      <c r="L7101" t="n">
        <v>0</v>
      </c>
      <c r="M7101" t="n">
        <v>0</v>
      </c>
      <c r="N7101" t="n">
        <v>0</v>
      </c>
      <c r="O7101" t="n">
        <v>0</v>
      </c>
      <c r="P7101" t="n">
        <v>0</v>
      </c>
      <c r="Q7101" t="n">
        <v>0</v>
      </c>
      <c r="R7101" s="2" t="inlineStr"/>
    </row>
    <row r="7102" ht="15" customHeight="1">
      <c r="A7102" t="inlineStr">
        <is>
          <t>A 1315-2026</t>
        </is>
      </c>
      <c r="B7102" s="1" t="n">
        <v>46031</v>
      </c>
      <c r="C7102" s="1" t="n">
        <v>46114</v>
      </c>
      <c r="D7102" t="inlineStr">
        <is>
          <t>DALARNAS LÄN</t>
        </is>
      </c>
      <c r="E7102" t="inlineStr">
        <is>
          <t>FALUN</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1367-2026</t>
        </is>
      </c>
      <c r="B7103" s="1" t="n">
        <v>46031</v>
      </c>
      <c r="C7103" s="1" t="n">
        <v>46114</v>
      </c>
      <c r="D7103" t="inlineStr">
        <is>
          <t>DALARNAS LÄN</t>
        </is>
      </c>
      <c r="E7103" t="inlineStr">
        <is>
          <t>GAGNEF</t>
        </is>
      </c>
      <c r="G7103" t="n">
        <v>14.8</v>
      </c>
      <c r="H7103" t="n">
        <v>0</v>
      </c>
      <c r="I7103" t="n">
        <v>0</v>
      </c>
      <c r="J7103" t="n">
        <v>0</v>
      </c>
      <c r="K7103" t="n">
        <v>0</v>
      </c>
      <c r="L7103" t="n">
        <v>0</v>
      </c>
      <c r="M7103" t="n">
        <v>0</v>
      </c>
      <c r="N7103" t="n">
        <v>0</v>
      </c>
      <c r="O7103" t="n">
        <v>0</v>
      </c>
      <c r="P7103" t="n">
        <v>0</v>
      </c>
      <c r="Q7103" t="n">
        <v>0</v>
      </c>
      <c r="R7103" s="2" t="inlineStr"/>
    </row>
    <row r="7104" ht="15" customHeight="1">
      <c r="A7104" t="inlineStr">
        <is>
          <t>A 64121-2025</t>
        </is>
      </c>
      <c r="B7104" s="1" t="n">
        <v>46021</v>
      </c>
      <c r="C7104" s="1" t="n">
        <v>46114</v>
      </c>
      <c r="D7104" t="inlineStr">
        <is>
          <t>DALARNAS LÄN</t>
        </is>
      </c>
      <c r="E7104" t="inlineStr">
        <is>
          <t>BORLÄNGE</t>
        </is>
      </c>
      <c r="G7104" t="n">
        <v>4.1</v>
      </c>
      <c r="H7104" t="n">
        <v>0</v>
      </c>
      <c r="I7104" t="n">
        <v>0</v>
      </c>
      <c r="J7104" t="n">
        <v>0</v>
      </c>
      <c r="K7104" t="n">
        <v>0</v>
      </c>
      <c r="L7104" t="n">
        <v>0</v>
      </c>
      <c r="M7104" t="n">
        <v>0</v>
      </c>
      <c r="N7104" t="n">
        <v>0</v>
      </c>
      <c r="O7104" t="n">
        <v>0</v>
      </c>
      <c r="P7104" t="n">
        <v>0</v>
      </c>
      <c r="Q7104" t="n">
        <v>0</v>
      </c>
      <c r="R7104" s="2" t="inlineStr"/>
    </row>
    <row r="7105" ht="15" customHeight="1">
      <c r="A7105" t="inlineStr">
        <is>
          <t>A 785-2026</t>
        </is>
      </c>
      <c r="B7105" s="1" t="n">
        <v>46029.82166666666</v>
      </c>
      <c r="C7105" s="1" t="n">
        <v>46114</v>
      </c>
      <c r="D7105" t="inlineStr">
        <is>
          <t>DALARNAS LÄN</t>
        </is>
      </c>
      <c r="E7105" t="inlineStr">
        <is>
          <t>RÄTTVIK</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61849-2022</t>
        </is>
      </c>
      <c r="B7106" s="1" t="n">
        <v>44917</v>
      </c>
      <c r="C7106" s="1" t="n">
        <v>46114</v>
      </c>
      <c r="D7106" t="inlineStr">
        <is>
          <t>DALARNAS LÄN</t>
        </is>
      </c>
      <c r="E7106" t="inlineStr">
        <is>
          <t>HEDEMORA</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1362-2026</t>
        </is>
      </c>
      <c r="B7107" s="1" t="n">
        <v>46031</v>
      </c>
      <c r="C7107" s="1" t="n">
        <v>46114</v>
      </c>
      <c r="D7107" t="inlineStr">
        <is>
          <t>DALARNAS LÄN</t>
        </is>
      </c>
      <c r="E7107" t="inlineStr">
        <is>
          <t>FALUN</t>
        </is>
      </c>
      <c r="G7107" t="n">
        <v>2</v>
      </c>
      <c r="H7107" t="n">
        <v>0</v>
      </c>
      <c r="I7107" t="n">
        <v>0</v>
      </c>
      <c r="J7107" t="n">
        <v>0</v>
      </c>
      <c r="K7107" t="n">
        <v>0</v>
      </c>
      <c r="L7107" t="n">
        <v>0</v>
      </c>
      <c r="M7107" t="n">
        <v>0</v>
      </c>
      <c r="N7107" t="n">
        <v>0</v>
      </c>
      <c r="O7107" t="n">
        <v>0</v>
      </c>
      <c r="P7107" t="n">
        <v>0</v>
      </c>
      <c r="Q7107" t="n">
        <v>0</v>
      </c>
      <c r="R7107" s="2" t="inlineStr"/>
    </row>
    <row r="7108" ht="15" customHeight="1">
      <c r="A7108" t="inlineStr">
        <is>
          <t>A 1363-2026</t>
        </is>
      </c>
      <c r="B7108" s="1" t="n">
        <v>46031</v>
      </c>
      <c r="C7108" s="1" t="n">
        <v>46114</v>
      </c>
      <c r="D7108" t="inlineStr">
        <is>
          <t>DALARNAS LÄN</t>
        </is>
      </c>
      <c r="E7108" t="inlineStr">
        <is>
          <t>FALUN</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12926-2025</t>
        </is>
      </c>
      <c r="B7109" s="1" t="n">
        <v>45734.32288194444</v>
      </c>
      <c r="C7109" s="1" t="n">
        <v>46114</v>
      </c>
      <c r="D7109" t="inlineStr">
        <is>
          <t>DALARNAS LÄN</t>
        </is>
      </c>
      <c r="E7109" t="inlineStr">
        <is>
          <t>FALUN</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32305-2024</t>
        </is>
      </c>
      <c r="B7110" s="1" t="n">
        <v>45512</v>
      </c>
      <c r="C7110" s="1" t="n">
        <v>46114</v>
      </c>
      <c r="D7110" t="inlineStr">
        <is>
          <t>DALARNAS LÄN</t>
        </is>
      </c>
      <c r="E7110" t="inlineStr">
        <is>
          <t>LUDVIKA</t>
        </is>
      </c>
      <c r="F7110" t="inlineStr">
        <is>
          <t>Bergvik skog väst AB</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990-2026</t>
        </is>
      </c>
      <c r="B7111" s="1" t="n">
        <v>46030</v>
      </c>
      <c r="C7111" s="1" t="n">
        <v>46114</v>
      </c>
      <c r="D7111" t="inlineStr">
        <is>
          <t>DALARNAS LÄN</t>
        </is>
      </c>
      <c r="E7111" t="inlineStr">
        <is>
          <t>LUDVIKA</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1155-2026</t>
        </is>
      </c>
      <c r="B7112" s="1" t="n">
        <v>46031.31383101852</v>
      </c>
      <c r="C7112" s="1" t="n">
        <v>46114</v>
      </c>
      <c r="D7112" t="inlineStr">
        <is>
          <t>DALARNAS LÄN</t>
        </is>
      </c>
      <c r="E7112" t="inlineStr">
        <is>
          <t>VANSBRO</t>
        </is>
      </c>
      <c r="F7112" t="inlineStr">
        <is>
          <t>Bergvik skog öst AB</t>
        </is>
      </c>
      <c r="G7112" t="n">
        <v>2.8</v>
      </c>
      <c r="H7112" t="n">
        <v>0</v>
      </c>
      <c r="I7112" t="n">
        <v>0</v>
      </c>
      <c r="J7112" t="n">
        <v>0</v>
      </c>
      <c r="K7112" t="n">
        <v>0</v>
      </c>
      <c r="L7112" t="n">
        <v>0</v>
      </c>
      <c r="M7112" t="n">
        <v>0</v>
      </c>
      <c r="N7112" t="n">
        <v>0</v>
      </c>
      <c r="O7112" t="n">
        <v>0</v>
      </c>
      <c r="P7112" t="n">
        <v>0</v>
      </c>
      <c r="Q7112" t="n">
        <v>0</v>
      </c>
      <c r="R7112" s="2" t="inlineStr"/>
    </row>
    <row r="7113" ht="15" customHeight="1">
      <c r="A7113" t="inlineStr">
        <is>
          <t>A 14462-2023</t>
        </is>
      </c>
      <c r="B7113" s="1" t="n">
        <v>45012</v>
      </c>
      <c r="C7113" s="1" t="n">
        <v>46114</v>
      </c>
      <c r="D7113" t="inlineStr">
        <is>
          <t>DALARNAS LÄN</t>
        </is>
      </c>
      <c r="E7113" t="inlineStr">
        <is>
          <t>SMEDJEBACKEN</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1321-2026</t>
        </is>
      </c>
      <c r="B7114" s="1" t="n">
        <v>46031.54619212963</v>
      </c>
      <c r="C7114" s="1" t="n">
        <v>46114</v>
      </c>
      <c r="D7114" t="inlineStr">
        <is>
          <t>DALARNAS LÄN</t>
        </is>
      </c>
      <c r="E7114" t="inlineStr">
        <is>
          <t>FALUN</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12607-2025</t>
        </is>
      </c>
      <c r="B7115" s="1" t="n">
        <v>45733.32369212963</v>
      </c>
      <c r="C7115" s="1" t="n">
        <v>46114</v>
      </c>
      <c r="D7115" t="inlineStr">
        <is>
          <t>DALARNAS LÄN</t>
        </is>
      </c>
      <c r="E7115" t="inlineStr">
        <is>
          <t>VANSBRO</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2505-2024</t>
        </is>
      </c>
      <c r="B7116" s="1" t="n">
        <v>45313</v>
      </c>
      <c r="C7116" s="1" t="n">
        <v>46114</v>
      </c>
      <c r="D7116" t="inlineStr">
        <is>
          <t>DALARNAS LÄN</t>
        </is>
      </c>
      <c r="E7116" t="inlineStr">
        <is>
          <t>GAGNEF</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5931-2024</t>
        </is>
      </c>
      <c r="B7117" s="1" t="n">
        <v>45335</v>
      </c>
      <c r="C7117" s="1" t="n">
        <v>46114</v>
      </c>
      <c r="D7117" t="inlineStr">
        <is>
          <t>DALARNAS LÄN</t>
        </is>
      </c>
      <c r="E7117" t="inlineStr">
        <is>
          <t>MALUNG-SÄLEN</t>
        </is>
      </c>
      <c r="G7117" t="n">
        <v>6.6</v>
      </c>
      <c r="H7117" t="n">
        <v>0</v>
      </c>
      <c r="I7117" t="n">
        <v>0</v>
      </c>
      <c r="J7117" t="n">
        <v>0</v>
      </c>
      <c r="K7117" t="n">
        <v>0</v>
      </c>
      <c r="L7117" t="n">
        <v>0</v>
      </c>
      <c r="M7117" t="n">
        <v>0</v>
      </c>
      <c r="N7117" t="n">
        <v>0</v>
      </c>
      <c r="O7117" t="n">
        <v>0</v>
      </c>
      <c r="P7117" t="n">
        <v>0</v>
      </c>
      <c r="Q7117" t="n">
        <v>0</v>
      </c>
      <c r="R7117" s="2" t="inlineStr"/>
    </row>
    <row r="7118" ht="15" customHeight="1">
      <c r="A7118" t="inlineStr">
        <is>
          <t>A 1015-2026</t>
        </is>
      </c>
      <c r="B7118" s="1" t="n">
        <v>46030</v>
      </c>
      <c r="C7118" s="1" t="n">
        <v>46114</v>
      </c>
      <c r="D7118" t="inlineStr">
        <is>
          <t>DALARNAS LÄN</t>
        </is>
      </c>
      <c r="E7118" t="inlineStr">
        <is>
          <t>FALUN</t>
        </is>
      </c>
      <c r="G7118" t="n">
        <v>3.6</v>
      </c>
      <c r="H7118" t="n">
        <v>0</v>
      </c>
      <c r="I7118" t="n">
        <v>0</v>
      </c>
      <c r="J7118" t="n">
        <v>0</v>
      </c>
      <c r="K7118" t="n">
        <v>0</v>
      </c>
      <c r="L7118" t="n">
        <v>0</v>
      </c>
      <c r="M7118" t="n">
        <v>0</v>
      </c>
      <c r="N7118" t="n">
        <v>0</v>
      </c>
      <c r="O7118" t="n">
        <v>0</v>
      </c>
      <c r="P7118" t="n">
        <v>0</v>
      </c>
      <c r="Q7118" t="n">
        <v>0</v>
      </c>
      <c r="R7118" s="2" t="inlineStr"/>
    </row>
    <row r="7119" ht="15" customHeight="1">
      <c r="A7119" t="inlineStr">
        <is>
          <t>A 1030-2026</t>
        </is>
      </c>
      <c r="B7119" s="1" t="n">
        <v>46030.61505787037</v>
      </c>
      <c r="C7119" s="1" t="n">
        <v>46114</v>
      </c>
      <c r="D7119" t="inlineStr">
        <is>
          <t>DALARNAS LÄN</t>
        </is>
      </c>
      <c r="E7119" t="inlineStr">
        <is>
          <t>BORLÄNGE</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56059-2024</t>
        </is>
      </c>
      <c r="B7120" s="1" t="n">
        <v>45624.36729166667</v>
      </c>
      <c r="C7120" s="1" t="n">
        <v>46114</v>
      </c>
      <c r="D7120" t="inlineStr">
        <is>
          <t>DALARNAS LÄN</t>
        </is>
      </c>
      <c r="E7120" t="inlineStr">
        <is>
          <t>LEKSAND</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1220-2026</t>
        </is>
      </c>
      <c r="B7121" s="1" t="n">
        <v>46031.40140046296</v>
      </c>
      <c r="C7121" s="1" t="n">
        <v>46114</v>
      </c>
      <c r="D7121" t="inlineStr">
        <is>
          <t>DALARNAS LÄN</t>
        </is>
      </c>
      <c r="E7121" t="inlineStr">
        <is>
          <t>LEKSAND</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902-2026</t>
        </is>
      </c>
      <c r="B7122" s="1" t="n">
        <v>46030.46954861111</v>
      </c>
      <c r="C7122" s="1" t="n">
        <v>46114</v>
      </c>
      <c r="D7122" t="inlineStr">
        <is>
          <t>DALARNAS LÄN</t>
        </is>
      </c>
      <c r="E7122" t="inlineStr">
        <is>
          <t>MORA</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1421-2026</t>
        </is>
      </c>
      <c r="B7123" s="1" t="n">
        <v>46031</v>
      </c>
      <c r="C7123" s="1" t="n">
        <v>46114</v>
      </c>
      <c r="D7123" t="inlineStr">
        <is>
          <t>DALARNAS LÄN</t>
        </is>
      </c>
      <c r="E7123" t="inlineStr">
        <is>
          <t>GAGNEF</t>
        </is>
      </c>
      <c r="G7123" t="n">
        <v>6.6</v>
      </c>
      <c r="H7123" t="n">
        <v>0</v>
      </c>
      <c r="I7123" t="n">
        <v>0</v>
      </c>
      <c r="J7123" t="n">
        <v>0</v>
      </c>
      <c r="K7123" t="n">
        <v>0</v>
      </c>
      <c r="L7123" t="n">
        <v>0</v>
      </c>
      <c r="M7123" t="n">
        <v>0</v>
      </c>
      <c r="N7123" t="n">
        <v>0</v>
      </c>
      <c r="O7123" t="n">
        <v>0</v>
      </c>
      <c r="P7123" t="n">
        <v>0</v>
      </c>
      <c r="Q7123" t="n">
        <v>0</v>
      </c>
      <c r="R7123" s="2" t="inlineStr"/>
    </row>
    <row r="7124" ht="15" customHeight="1">
      <c r="A7124" t="inlineStr">
        <is>
          <t>A 1011-2026</t>
        </is>
      </c>
      <c r="B7124" s="1" t="n">
        <v>46030.60111111111</v>
      </c>
      <c r="C7124" s="1" t="n">
        <v>46114</v>
      </c>
      <c r="D7124" t="inlineStr">
        <is>
          <t>DALARNAS LÄN</t>
        </is>
      </c>
      <c r="E7124" t="inlineStr">
        <is>
          <t>ÄLVDALEN</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9746-2026</t>
        </is>
      </c>
      <c r="B7125" s="1" t="n">
        <v>46072.52494212963</v>
      </c>
      <c r="C7125" s="1" t="n">
        <v>46114</v>
      </c>
      <c r="D7125" t="inlineStr">
        <is>
          <t>DALARNAS LÄN</t>
        </is>
      </c>
      <c r="E7125" t="inlineStr">
        <is>
          <t>FALUN</t>
        </is>
      </c>
      <c r="F7125" t="inlineStr">
        <is>
          <t>Bergvik skog väst AB</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56487-2024</t>
        </is>
      </c>
      <c r="B7126" s="1" t="n">
        <v>45625.48621527778</v>
      </c>
      <c r="C7126" s="1" t="n">
        <v>46114</v>
      </c>
      <c r="D7126" t="inlineStr">
        <is>
          <t>DALARNAS LÄN</t>
        </is>
      </c>
      <c r="E7126" t="inlineStr">
        <is>
          <t>ÄLVDALEN</t>
        </is>
      </c>
      <c r="F7126" t="inlineStr">
        <is>
          <t>Allmännings- och besparingsskogar</t>
        </is>
      </c>
      <c r="G7126" t="n">
        <v>5.6</v>
      </c>
      <c r="H7126" t="n">
        <v>0</v>
      </c>
      <c r="I7126" t="n">
        <v>0</v>
      </c>
      <c r="J7126" t="n">
        <v>0</v>
      </c>
      <c r="K7126" t="n">
        <v>0</v>
      </c>
      <c r="L7126" t="n">
        <v>0</v>
      </c>
      <c r="M7126" t="n">
        <v>0</v>
      </c>
      <c r="N7126" t="n">
        <v>0</v>
      </c>
      <c r="O7126" t="n">
        <v>0</v>
      </c>
      <c r="P7126" t="n">
        <v>0</v>
      </c>
      <c r="Q7126" t="n">
        <v>0</v>
      </c>
      <c r="R7126" s="2" t="inlineStr"/>
    </row>
    <row r="7127" ht="15" customHeight="1">
      <c r="A7127" t="inlineStr">
        <is>
          <t>A 19171-2025</t>
        </is>
      </c>
      <c r="B7127" s="1" t="n">
        <v>45769</v>
      </c>
      <c r="C7127" s="1" t="n">
        <v>46114</v>
      </c>
      <c r="D7127" t="inlineStr">
        <is>
          <t>DALARNAS LÄN</t>
        </is>
      </c>
      <c r="E7127" t="inlineStr">
        <is>
          <t>RÄTTVIK</t>
        </is>
      </c>
      <c r="G7127" t="n">
        <v>3.1</v>
      </c>
      <c r="H7127" t="n">
        <v>0</v>
      </c>
      <c r="I7127" t="n">
        <v>0</v>
      </c>
      <c r="J7127" t="n">
        <v>0</v>
      </c>
      <c r="K7127" t="n">
        <v>0</v>
      </c>
      <c r="L7127" t="n">
        <v>0</v>
      </c>
      <c r="M7127" t="n">
        <v>0</v>
      </c>
      <c r="N7127" t="n">
        <v>0</v>
      </c>
      <c r="O7127" t="n">
        <v>0</v>
      </c>
      <c r="P7127" t="n">
        <v>0</v>
      </c>
      <c r="Q7127" t="n">
        <v>0</v>
      </c>
      <c r="R7127" s="2" t="inlineStr"/>
    </row>
    <row r="7128" ht="15" customHeight="1">
      <c r="A7128" t="inlineStr">
        <is>
          <t>A 56523-2024</t>
        </is>
      </c>
      <c r="B7128" s="1" t="n">
        <v>45625.54185185185</v>
      </c>
      <c r="C7128" s="1" t="n">
        <v>46114</v>
      </c>
      <c r="D7128" t="inlineStr">
        <is>
          <t>DALARNAS LÄN</t>
        </is>
      </c>
      <c r="E7128" t="inlineStr">
        <is>
          <t>RÄTTVIK</t>
        </is>
      </c>
      <c r="F7128" t="inlineStr">
        <is>
          <t>Bergvik skog öst AB</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9674-2026</t>
        </is>
      </c>
      <c r="B7129" s="1" t="n">
        <v>46072.38046296296</v>
      </c>
      <c r="C7129" s="1" t="n">
        <v>46114</v>
      </c>
      <c r="D7129" t="inlineStr">
        <is>
          <t>DALARNAS LÄN</t>
        </is>
      </c>
      <c r="E7129" t="inlineStr">
        <is>
          <t>HEDEMORA</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9654-2026</t>
        </is>
      </c>
      <c r="B7130" s="1" t="n">
        <v>46072.36206018519</v>
      </c>
      <c r="C7130" s="1" t="n">
        <v>46114</v>
      </c>
      <c r="D7130" t="inlineStr">
        <is>
          <t>DALARNAS LÄN</t>
        </is>
      </c>
      <c r="E7130" t="inlineStr">
        <is>
          <t>FALUN</t>
        </is>
      </c>
      <c r="F7130" t="inlineStr">
        <is>
          <t>Bergvik skog väst AB</t>
        </is>
      </c>
      <c r="G7130" t="n">
        <v>2.8</v>
      </c>
      <c r="H7130" t="n">
        <v>0</v>
      </c>
      <c r="I7130" t="n">
        <v>0</v>
      </c>
      <c r="J7130" t="n">
        <v>0</v>
      </c>
      <c r="K7130" t="n">
        <v>0</v>
      </c>
      <c r="L7130" t="n">
        <v>0</v>
      </c>
      <c r="M7130" t="n">
        <v>0</v>
      </c>
      <c r="N7130" t="n">
        <v>0</v>
      </c>
      <c r="O7130" t="n">
        <v>0</v>
      </c>
      <c r="P7130" t="n">
        <v>0</v>
      </c>
      <c r="Q7130" t="n">
        <v>0</v>
      </c>
      <c r="R7130" s="2" t="inlineStr"/>
    </row>
    <row r="7131" ht="15" customHeight="1">
      <c r="A7131" t="inlineStr">
        <is>
          <t>A 44040-2024</t>
        </is>
      </c>
      <c r="B7131" s="1" t="n">
        <v>45572.58497685185</v>
      </c>
      <c r="C7131" s="1" t="n">
        <v>46114</v>
      </c>
      <c r="D7131" t="inlineStr">
        <is>
          <t>DALARNAS LÄN</t>
        </is>
      </c>
      <c r="E7131" t="inlineStr">
        <is>
          <t>GAGNEF</t>
        </is>
      </c>
      <c r="G7131" t="n">
        <v>5.1</v>
      </c>
      <c r="H7131" t="n">
        <v>0</v>
      </c>
      <c r="I7131" t="n">
        <v>0</v>
      </c>
      <c r="J7131" t="n">
        <v>0</v>
      </c>
      <c r="K7131" t="n">
        <v>0</v>
      </c>
      <c r="L7131" t="n">
        <v>0</v>
      </c>
      <c r="M7131" t="n">
        <v>0</v>
      </c>
      <c r="N7131" t="n">
        <v>0</v>
      </c>
      <c r="O7131" t="n">
        <v>0</v>
      </c>
      <c r="P7131" t="n">
        <v>0</v>
      </c>
      <c r="Q7131" t="n">
        <v>0</v>
      </c>
      <c r="R7131" s="2" t="inlineStr"/>
    </row>
    <row r="7132" ht="15" customHeight="1">
      <c r="A7132" t="inlineStr">
        <is>
          <t>A 10045-2026</t>
        </is>
      </c>
      <c r="B7132" s="1" t="n">
        <v>46073.59976851852</v>
      </c>
      <c r="C7132" s="1" t="n">
        <v>46114</v>
      </c>
      <c r="D7132" t="inlineStr">
        <is>
          <t>DALARNAS LÄN</t>
        </is>
      </c>
      <c r="E7132" t="inlineStr">
        <is>
          <t>ORSA</t>
        </is>
      </c>
      <c r="F7132" t="inlineStr">
        <is>
          <t>Bergvik skog öst AB</t>
        </is>
      </c>
      <c r="G7132" t="n">
        <v>3.1</v>
      </c>
      <c r="H7132" t="n">
        <v>0</v>
      </c>
      <c r="I7132" t="n">
        <v>0</v>
      </c>
      <c r="J7132" t="n">
        <v>0</v>
      </c>
      <c r="K7132" t="n">
        <v>0</v>
      </c>
      <c r="L7132" t="n">
        <v>0</v>
      </c>
      <c r="M7132" t="n">
        <v>0</v>
      </c>
      <c r="N7132" t="n">
        <v>0</v>
      </c>
      <c r="O7132" t="n">
        <v>0</v>
      </c>
      <c r="P7132" t="n">
        <v>0</v>
      </c>
      <c r="Q7132" t="n">
        <v>0</v>
      </c>
      <c r="R7132" s="2" t="inlineStr"/>
    </row>
    <row r="7133" ht="15" customHeight="1">
      <c r="A7133" t="inlineStr">
        <is>
          <t>A 9962-2026</t>
        </is>
      </c>
      <c r="B7133" s="1" t="n">
        <v>46073.49798611111</v>
      </c>
      <c r="C7133" s="1" t="n">
        <v>46114</v>
      </c>
      <c r="D7133" t="inlineStr">
        <is>
          <t>DALARNAS LÄN</t>
        </is>
      </c>
      <c r="E7133" t="inlineStr">
        <is>
          <t>ORSA</t>
        </is>
      </c>
      <c r="F7133" t="inlineStr">
        <is>
          <t>Bergvik skog öst AB</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55058-2024</t>
        </is>
      </c>
      <c r="B7134" s="1" t="n">
        <v>45621.4028587963</v>
      </c>
      <c r="C7134" s="1" t="n">
        <v>46114</v>
      </c>
      <c r="D7134" t="inlineStr">
        <is>
          <t>DALARNAS LÄN</t>
        </is>
      </c>
      <c r="E7134" t="inlineStr">
        <is>
          <t>MALUNG-SÄLEN</t>
        </is>
      </c>
      <c r="G7134" t="n">
        <v>3.5</v>
      </c>
      <c r="H7134" t="n">
        <v>0</v>
      </c>
      <c r="I7134" t="n">
        <v>0</v>
      </c>
      <c r="J7134" t="n">
        <v>0</v>
      </c>
      <c r="K7134" t="n">
        <v>0</v>
      </c>
      <c r="L7134" t="n">
        <v>0</v>
      </c>
      <c r="M7134" t="n">
        <v>0</v>
      </c>
      <c r="N7134" t="n">
        <v>0</v>
      </c>
      <c r="O7134" t="n">
        <v>0</v>
      </c>
      <c r="P7134" t="n">
        <v>0</v>
      </c>
      <c r="Q7134" t="n">
        <v>0</v>
      </c>
      <c r="R7134" s="2" t="inlineStr"/>
    </row>
    <row r="7135" ht="15" customHeight="1">
      <c r="A7135" t="inlineStr">
        <is>
          <t>A 4202-2025</t>
        </is>
      </c>
      <c r="B7135" s="1" t="n">
        <v>45685.46236111111</v>
      </c>
      <c r="C7135" s="1" t="n">
        <v>46114</v>
      </c>
      <c r="D7135" t="inlineStr">
        <is>
          <t>DALARNAS LÄN</t>
        </is>
      </c>
      <c r="E7135" t="inlineStr">
        <is>
          <t>ORSA</t>
        </is>
      </c>
      <c r="G7135" t="n">
        <v>0.9</v>
      </c>
      <c r="H7135" t="n">
        <v>0</v>
      </c>
      <c r="I7135" t="n">
        <v>0</v>
      </c>
      <c r="J7135" t="n">
        <v>0</v>
      </c>
      <c r="K7135" t="n">
        <v>0</v>
      </c>
      <c r="L7135" t="n">
        <v>0</v>
      </c>
      <c r="M7135" t="n">
        <v>0</v>
      </c>
      <c r="N7135" t="n">
        <v>0</v>
      </c>
      <c r="O7135" t="n">
        <v>0</v>
      </c>
      <c r="P7135" t="n">
        <v>0</v>
      </c>
      <c r="Q7135" t="n">
        <v>0</v>
      </c>
      <c r="R7135" s="2" t="inlineStr"/>
    </row>
    <row r="7136" ht="15" customHeight="1">
      <c r="A7136" t="inlineStr">
        <is>
          <t>A 852-2026</t>
        </is>
      </c>
      <c r="B7136" s="1" t="n">
        <v>46030</v>
      </c>
      <c r="C7136" s="1" t="n">
        <v>46114</v>
      </c>
      <c r="D7136" t="inlineStr">
        <is>
          <t>DALARNAS LÄN</t>
        </is>
      </c>
      <c r="E7136" t="inlineStr">
        <is>
          <t>FALUN</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4204-2025</t>
        </is>
      </c>
      <c r="B7137" s="1" t="n">
        <v>45685.46390046296</v>
      </c>
      <c r="C7137" s="1" t="n">
        <v>46114</v>
      </c>
      <c r="D7137" t="inlineStr">
        <is>
          <t>DALARNAS LÄN</t>
        </is>
      </c>
      <c r="E7137" t="inlineStr">
        <is>
          <t>ORSA</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45943-2022</t>
        </is>
      </c>
      <c r="B7138" s="1" t="n">
        <v>44846.64418981481</v>
      </c>
      <c r="C7138" s="1" t="n">
        <v>46114</v>
      </c>
      <c r="D7138" t="inlineStr">
        <is>
          <t>DALARNAS LÄN</t>
        </is>
      </c>
      <c r="E7138" t="inlineStr">
        <is>
          <t>LEKSAND</t>
        </is>
      </c>
      <c r="G7138" t="n">
        <v>8.800000000000001</v>
      </c>
      <c r="H7138" t="n">
        <v>0</v>
      </c>
      <c r="I7138" t="n">
        <v>0</v>
      </c>
      <c r="J7138" t="n">
        <v>0</v>
      </c>
      <c r="K7138" t="n">
        <v>0</v>
      </c>
      <c r="L7138" t="n">
        <v>0</v>
      </c>
      <c r="M7138" t="n">
        <v>0</v>
      </c>
      <c r="N7138" t="n">
        <v>0</v>
      </c>
      <c r="O7138" t="n">
        <v>0</v>
      </c>
      <c r="P7138" t="n">
        <v>0</v>
      </c>
      <c r="Q7138" t="n">
        <v>0</v>
      </c>
      <c r="R7138" s="2" t="inlineStr"/>
    </row>
    <row r="7139" ht="15" customHeight="1">
      <c r="A7139" t="inlineStr">
        <is>
          <t>A 1306-2026</t>
        </is>
      </c>
      <c r="B7139" s="1" t="n">
        <v>46031</v>
      </c>
      <c r="C7139" s="1" t="n">
        <v>46114</v>
      </c>
      <c r="D7139" t="inlineStr">
        <is>
          <t>DALARNAS LÄN</t>
        </is>
      </c>
      <c r="E7139" t="inlineStr">
        <is>
          <t>FALUN</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9879-2026</t>
        </is>
      </c>
      <c r="B7140" s="1" t="n">
        <v>46073.32910879629</v>
      </c>
      <c r="C7140" s="1" t="n">
        <v>46114</v>
      </c>
      <c r="D7140" t="inlineStr">
        <is>
          <t>DALARNAS LÄN</t>
        </is>
      </c>
      <c r="E7140" t="inlineStr">
        <is>
          <t>MALUNG-SÄLEN</t>
        </is>
      </c>
      <c r="F7140" t="inlineStr">
        <is>
          <t>Övriga statliga verk och myndigheter</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16883-2024</t>
        </is>
      </c>
      <c r="B7141" s="1" t="n">
        <v>45411.59621527778</v>
      </c>
      <c r="C7141" s="1" t="n">
        <v>46114</v>
      </c>
      <c r="D7141" t="inlineStr">
        <is>
          <t>DALARNAS LÄN</t>
        </is>
      </c>
      <c r="E7141" t="inlineStr">
        <is>
          <t>BORLÄNGE</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866-2026</t>
        </is>
      </c>
      <c r="B7142" s="1" t="n">
        <v>46030</v>
      </c>
      <c r="C7142" s="1" t="n">
        <v>46114</v>
      </c>
      <c r="D7142" t="inlineStr">
        <is>
          <t>DALARNAS LÄN</t>
        </is>
      </c>
      <c r="E7142" t="inlineStr">
        <is>
          <t>FALUN</t>
        </is>
      </c>
      <c r="G7142" t="n">
        <v>0.9</v>
      </c>
      <c r="H7142" t="n">
        <v>0</v>
      </c>
      <c r="I7142" t="n">
        <v>0</v>
      </c>
      <c r="J7142" t="n">
        <v>0</v>
      </c>
      <c r="K7142" t="n">
        <v>0</v>
      </c>
      <c r="L7142" t="n">
        <v>0</v>
      </c>
      <c r="M7142" t="n">
        <v>0</v>
      </c>
      <c r="N7142" t="n">
        <v>0</v>
      </c>
      <c r="O7142" t="n">
        <v>0</v>
      </c>
      <c r="P7142" t="n">
        <v>0</v>
      </c>
      <c r="Q7142" t="n">
        <v>0</v>
      </c>
      <c r="R7142" s="2" t="inlineStr"/>
    </row>
    <row r="7143" ht="15" customHeight="1">
      <c r="A7143" t="inlineStr">
        <is>
          <t>A 987-2026</t>
        </is>
      </c>
      <c r="B7143" s="1" t="n">
        <v>46030.58576388889</v>
      </c>
      <c r="C7143" s="1" t="n">
        <v>46114</v>
      </c>
      <c r="D7143" t="inlineStr">
        <is>
          <t>DALARNAS LÄN</t>
        </is>
      </c>
      <c r="E7143" t="inlineStr">
        <is>
          <t>SÄTER</t>
        </is>
      </c>
      <c r="F7143" t="inlineStr">
        <is>
          <t>Bergvik skog väst AB</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863-2026</t>
        </is>
      </c>
      <c r="B7144" s="1" t="n">
        <v>46030.42782407408</v>
      </c>
      <c r="C7144" s="1" t="n">
        <v>46114</v>
      </c>
      <c r="D7144" t="inlineStr">
        <is>
          <t>DALARNAS LÄN</t>
        </is>
      </c>
      <c r="E7144" t="inlineStr">
        <is>
          <t>MALUNG-SÄLEN</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864-2026</t>
        </is>
      </c>
      <c r="B7145" s="1" t="n">
        <v>46030</v>
      </c>
      <c r="C7145" s="1" t="n">
        <v>46114</v>
      </c>
      <c r="D7145" t="inlineStr">
        <is>
          <t>DALARNAS LÄN</t>
        </is>
      </c>
      <c r="E7145" t="inlineStr">
        <is>
          <t>FALUN</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1609-2026</t>
        </is>
      </c>
      <c r="B7146" s="1" t="n">
        <v>46031</v>
      </c>
      <c r="C7146" s="1" t="n">
        <v>46114</v>
      </c>
      <c r="D7146" t="inlineStr">
        <is>
          <t>DALARNAS LÄN</t>
        </is>
      </c>
      <c r="E7146" t="inlineStr">
        <is>
          <t>FALUN</t>
        </is>
      </c>
      <c r="G7146" t="n">
        <v>2.6</v>
      </c>
      <c r="H7146" t="n">
        <v>0</v>
      </c>
      <c r="I7146" t="n">
        <v>0</v>
      </c>
      <c r="J7146" t="n">
        <v>0</v>
      </c>
      <c r="K7146" t="n">
        <v>0</v>
      </c>
      <c r="L7146" t="n">
        <v>0</v>
      </c>
      <c r="M7146" t="n">
        <v>0</v>
      </c>
      <c r="N7146" t="n">
        <v>0</v>
      </c>
      <c r="O7146" t="n">
        <v>0</v>
      </c>
      <c r="P7146" t="n">
        <v>0</v>
      </c>
      <c r="Q7146" t="n">
        <v>0</v>
      </c>
      <c r="R7146" s="2" t="inlineStr"/>
    </row>
    <row r="7147" ht="15" customHeight="1">
      <c r="A7147" t="inlineStr">
        <is>
          <t>A 3423-2025</t>
        </is>
      </c>
      <c r="B7147" s="1" t="n">
        <v>45680.42128472222</v>
      </c>
      <c r="C7147" s="1" t="n">
        <v>46114</v>
      </c>
      <c r="D7147" t="inlineStr">
        <is>
          <t>DALARNAS LÄN</t>
        </is>
      </c>
      <c r="E7147" t="inlineStr">
        <is>
          <t>RÄTTVIK</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20620-2024</t>
        </is>
      </c>
      <c r="B7148" s="1" t="n">
        <v>45436.45934027778</v>
      </c>
      <c r="C7148" s="1" t="n">
        <v>46114</v>
      </c>
      <c r="D7148" t="inlineStr">
        <is>
          <t>DALARNAS LÄN</t>
        </is>
      </c>
      <c r="E7148" t="inlineStr">
        <is>
          <t>RÄTTVIK</t>
        </is>
      </c>
      <c r="F7148" t="inlineStr">
        <is>
          <t>Sveaskog</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834-2026</t>
        </is>
      </c>
      <c r="B7149" s="1" t="n">
        <v>46030</v>
      </c>
      <c r="C7149" s="1" t="n">
        <v>46114</v>
      </c>
      <c r="D7149" t="inlineStr">
        <is>
          <t>DALARNAS LÄN</t>
        </is>
      </c>
      <c r="E7149" t="inlineStr">
        <is>
          <t>HEDEMORA</t>
        </is>
      </c>
      <c r="G7149" t="n">
        <v>2.8</v>
      </c>
      <c r="H7149" t="n">
        <v>0</v>
      </c>
      <c r="I7149" t="n">
        <v>0</v>
      </c>
      <c r="J7149" t="n">
        <v>0</v>
      </c>
      <c r="K7149" t="n">
        <v>0</v>
      </c>
      <c r="L7149" t="n">
        <v>0</v>
      </c>
      <c r="M7149" t="n">
        <v>0</v>
      </c>
      <c r="N7149" t="n">
        <v>0</v>
      </c>
      <c r="O7149" t="n">
        <v>0</v>
      </c>
      <c r="P7149" t="n">
        <v>0</v>
      </c>
      <c r="Q7149" t="n">
        <v>0</v>
      </c>
      <c r="R7149" s="2" t="inlineStr"/>
    </row>
    <row r="7150" ht="15" customHeight="1">
      <c r="A7150" t="inlineStr">
        <is>
          <t>A 9699-2026</t>
        </is>
      </c>
      <c r="B7150" s="1" t="n">
        <v>46072.41680555556</v>
      </c>
      <c r="C7150" s="1" t="n">
        <v>46114</v>
      </c>
      <c r="D7150" t="inlineStr">
        <is>
          <t>DALARNAS LÄN</t>
        </is>
      </c>
      <c r="E7150" t="inlineStr">
        <is>
          <t>FALUN</t>
        </is>
      </c>
      <c r="F7150" t="inlineStr">
        <is>
          <t>Bergvik skog väst AB</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52249-2022</t>
        </is>
      </c>
      <c r="B7151" s="1" t="n">
        <v>44873</v>
      </c>
      <c r="C7151" s="1" t="n">
        <v>46114</v>
      </c>
      <c r="D7151" t="inlineStr">
        <is>
          <t>DALARNAS LÄN</t>
        </is>
      </c>
      <c r="E7151" t="inlineStr">
        <is>
          <t>ÄLVDALEN</t>
        </is>
      </c>
      <c r="F7151" t="inlineStr">
        <is>
          <t>Sveaskog</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1023-2026</t>
        </is>
      </c>
      <c r="B7152" s="1" t="n">
        <v>46030.60996527778</v>
      </c>
      <c r="C7152" s="1" t="n">
        <v>46114</v>
      </c>
      <c r="D7152" t="inlineStr">
        <is>
          <t>DALARNAS LÄN</t>
        </is>
      </c>
      <c r="E7152" t="inlineStr">
        <is>
          <t>BORLÄNGE</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1036-2026</t>
        </is>
      </c>
      <c r="B7153" s="1" t="n">
        <v>46030</v>
      </c>
      <c r="C7153" s="1" t="n">
        <v>46114</v>
      </c>
      <c r="D7153" t="inlineStr">
        <is>
          <t>DALARNAS LÄN</t>
        </is>
      </c>
      <c r="E7153" t="inlineStr">
        <is>
          <t>FALUN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35231-2021</t>
        </is>
      </c>
      <c r="B7154" s="1" t="n">
        <v>44384</v>
      </c>
      <c r="C7154" s="1" t="n">
        <v>46114</v>
      </c>
      <c r="D7154" t="inlineStr">
        <is>
          <t>DALARNAS LÄN</t>
        </is>
      </c>
      <c r="E7154" t="inlineStr">
        <is>
          <t>FALUN</t>
        </is>
      </c>
      <c r="F7154" t="inlineStr">
        <is>
          <t>Bergvik skog väst AB</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1111-2026</t>
        </is>
      </c>
      <c r="B7155" s="1" t="n">
        <v>46030.67846064815</v>
      </c>
      <c r="C7155" s="1" t="n">
        <v>46114</v>
      </c>
      <c r="D7155" t="inlineStr">
        <is>
          <t>DALARNAS LÄN</t>
        </is>
      </c>
      <c r="E7155" t="inlineStr">
        <is>
          <t>BORLÄNGE</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1141-2026</t>
        </is>
      </c>
      <c r="B7156" s="1" t="n">
        <v>46030</v>
      </c>
      <c r="C7156" s="1" t="n">
        <v>46114</v>
      </c>
      <c r="D7156" t="inlineStr">
        <is>
          <t>DALARNAS LÄN</t>
        </is>
      </c>
      <c r="E7156" t="inlineStr">
        <is>
          <t>FALUN</t>
        </is>
      </c>
      <c r="G7156" t="n">
        <v>1.9</v>
      </c>
      <c r="H7156" t="n">
        <v>0</v>
      </c>
      <c r="I7156" t="n">
        <v>0</v>
      </c>
      <c r="J7156" t="n">
        <v>0</v>
      </c>
      <c r="K7156" t="n">
        <v>0</v>
      </c>
      <c r="L7156" t="n">
        <v>0</v>
      </c>
      <c r="M7156" t="n">
        <v>0</v>
      </c>
      <c r="N7156" t="n">
        <v>0</v>
      </c>
      <c r="O7156" t="n">
        <v>0</v>
      </c>
      <c r="P7156" t="n">
        <v>0</v>
      </c>
      <c r="Q7156" t="n">
        <v>0</v>
      </c>
      <c r="R7156" s="2" t="inlineStr"/>
    </row>
    <row r="7157" ht="15" customHeight="1">
      <c r="A7157" t="inlineStr">
        <is>
          <t>A 1178-2026</t>
        </is>
      </c>
      <c r="B7157" s="1" t="n">
        <v>46031.35710648148</v>
      </c>
      <c r="C7157" s="1" t="n">
        <v>46114</v>
      </c>
      <c r="D7157" t="inlineStr">
        <is>
          <t>DALARNAS LÄN</t>
        </is>
      </c>
      <c r="E7157" t="inlineStr">
        <is>
          <t>FALUN</t>
        </is>
      </c>
      <c r="G7157" t="n">
        <v>2.8</v>
      </c>
      <c r="H7157" t="n">
        <v>0</v>
      </c>
      <c r="I7157" t="n">
        <v>0</v>
      </c>
      <c r="J7157" t="n">
        <v>0</v>
      </c>
      <c r="K7157" t="n">
        <v>0</v>
      </c>
      <c r="L7157" t="n">
        <v>0</v>
      </c>
      <c r="M7157" t="n">
        <v>0</v>
      </c>
      <c r="N7157" t="n">
        <v>0</v>
      </c>
      <c r="O7157" t="n">
        <v>0</v>
      </c>
      <c r="P7157" t="n">
        <v>0</v>
      </c>
      <c r="Q7157" t="n">
        <v>0</v>
      </c>
      <c r="R7157" s="2" t="inlineStr"/>
    </row>
    <row r="7158" ht="15" customHeight="1">
      <c r="A7158" t="inlineStr">
        <is>
          <t>A 1183-2026</t>
        </is>
      </c>
      <c r="B7158" s="1" t="n">
        <v>46031.35973379629</v>
      </c>
      <c r="C7158" s="1" t="n">
        <v>46114</v>
      </c>
      <c r="D7158" t="inlineStr">
        <is>
          <t>DALARNAS LÄN</t>
        </is>
      </c>
      <c r="E7158" t="inlineStr">
        <is>
          <t>FALUN</t>
        </is>
      </c>
      <c r="G7158" t="n">
        <v>2.6</v>
      </c>
      <c r="H7158" t="n">
        <v>0</v>
      </c>
      <c r="I7158" t="n">
        <v>0</v>
      </c>
      <c r="J7158" t="n">
        <v>0</v>
      </c>
      <c r="K7158" t="n">
        <v>0</v>
      </c>
      <c r="L7158" t="n">
        <v>0</v>
      </c>
      <c r="M7158" t="n">
        <v>0</v>
      </c>
      <c r="N7158" t="n">
        <v>0</v>
      </c>
      <c r="O7158" t="n">
        <v>0</v>
      </c>
      <c r="P7158" t="n">
        <v>0</v>
      </c>
      <c r="Q7158" t="n">
        <v>0</v>
      </c>
      <c r="R7158" s="2" t="inlineStr"/>
    </row>
    <row r="7159" ht="15" customHeight="1">
      <c r="A7159" t="inlineStr">
        <is>
          <t>A 1186-2026</t>
        </is>
      </c>
      <c r="B7159" s="1" t="n">
        <v>46031.36331018519</v>
      </c>
      <c r="C7159" s="1" t="n">
        <v>46114</v>
      </c>
      <c r="D7159" t="inlineStr">
        <is>
          <t>DALARNAS LÄN</t>
        </is>
      </c>
      <c r="E7159" t="inlineStr">
        <is>
          <t>FALUN</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1195-2026</t>
        </is>
      </c>
      <c r="B7160" s="1" t="n">
        <v>46031</v>
      </c>
      <c r="C7160" s="1" t="n">
        <v>46114</v>
      </c>
      <c r="D7160" t="inlineStr">
        <is>
          <t>DALARNAS LÄN</t>
        </is>
      </c>
      <c r="E7160" t="inlineStr">
        <is>
          <t>MALUNG-SÄLEN</t>
        </is>
      </c>
      <c r="G7160" t="n">
        <v>4.5</v>
      </c>
      <c r="H7160" t="n">
        <v>0</v>
      </c>
      <c r="I7160" t="n">
        <v>0</v>
      </c>
      <c r="J7160" t="n">
        <v>0</v>
      </c>
      <c r="K7160" t="n">
        <v>0</v>
      </c>
      <c r="L7160" t="n">
        <v>0</v>
      </c>
      <c r="M7160" t="n">
        <v>0</v>
      </c>
      <c r="N7160" t="n">
        <v>0</v>
      </c>
      <c r="O7160" t="n">
        <v>0</v>
      </c>
      <c r="P7160" t="n">
        <v>0</v>
      </c>
      <c r="Q7160" t="n">
        <v>0</v>
      </c>
      <c r="R7160" s="2" t="inlineStr"/>
    </row>
    <row r="7161" ht="15" customHeight="1">
      <c r="A7161" t="inlineStr">
        <is>
          <t>A 1276-2026</t>
        </is>
      </c>
      <c r="B7161" s="1" t="n">
        <v>46031.47527777778</v>
      </c>
      <c r="C7161" s="1" t="n">
        <v>46114</v>
      </c>
      <c r="D7161" t="inlineStr">
        <is>
          <t>DALARNAS LÄN</t>
        </is>
      </c>
      <c r="E7161" t="inlineStr">
        <is>
          <t>GAGNEF</t>
        </is>
      </c>
      <c r="G7161" t="n">
        <v>5.6</v>
      </c>
      <c r="H7161" t="n">
        <v>0</v>
      </c>
      <c r="I7161" t="n">
        <v>0</v>
      </c>
      <c r="J7161" t="n">
        <v>0</v>
      </c>
      <c r="K7161" t="n">
        <v>0</v>
      </c>
      <c r="L7161" t="n">
        <v>0</v>
      </c>
      <c r="M7161" t="n">
        <v>0</v>
      </c>
      <c r="N7161" t="n">
        <v>0</v>
      </c>
      <c r="O7161" t="n">
        <v>0</v>
      </c>
      <c r="P7161" t="n">
        <v>0</v>
      </c>
      <c r="Q7161" t="n">
        <v>0</v>
      </c>
      <c r="R7161" s="2" t="inlineStr"/>
    </row>
    <row r="7162" ht="15" customHeight="1">
      <c r="A7162" t="inlineStr">
        <is>
          <t>A 46414-2024</t>
        </is>
      </c>
      <c r="B7162" s="1" t="n">
        <v>45582.45226851852</v>
      </c>
      <c r="C7162" s="1" t="n">
        <v>46114</v>
      </c>
      <c r="D7162" t="inlineStr">
        <is>
          <t>DALARNAS LÄN</t>
        </is>
      </c>
      <c r="E7162" t="inlineStr">
        <is>
          <t>MORA</t>
        </is>
      </c>
      <c r="G7162" t="n">
        <v>0.6</v>
      </c>
      <c r="H7162" t="n">
        <v>0</v>
      </c>
      <c r="I7162" t="n">
        <v>0</v>
      </c>
      <c r="J7162" t="n">
        <v>0</v>
      </c>
      <c r="K7162" t="n">
        <v>0</v>
      </c>
      <c r="L7162" t="n">
        <v>0</v>
      </c>
      <c r="M7162" t="n">
        <v>0</v>
      </c>
      <c r="N7162" t="n">
        <v>0</v>
      </c>
      <c r="O7162" t="n">
        <v>0</v>
      </c>
      <c r="P7162" t="n">
        <v>0</v>
      </c>
      <c r="Q7162" t="n">
        <v>0</v>
      </c>
      <c r="R7162" s="2" t="inlineStr"/>
    </row>
    <row r="7163" ht="15" customHeight="1">
      <c r="A7163" t="inlineStr">
        <is>
          <t>A 46417-2024</t>
        </is>
      </c>
      <c r="B7163" s="1" t="n">
        <v>45582.45449074074</v>
      </c>
      <c r="C7163" s="1" t="n">
        <v>46114</v>
      </c>
      <c r="D7163" t="inlineStr">
        <is>
          <t>DALARNAS LÄN</t>
        </is>
      </c>
      <c r="E7163" t="inlineStr">
        <is>
          <t>MORA</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10081-2026</t>
        </is>
      </c>
      <c r="B7164" s="1" t="n">
        <v>46073</v>
      </c>
      <c r="C7164" s="1" t="n">
        <v>46114</v>
      </c>
      <c r="D7164" t="inlineStr">
        <is>
          <t>DALARNAS LÄN</t>
        </is>
      </c>
      <c r="E7164" t="inlineStr">
        <is>
          <t>LEKSAND</t>
        </is>
      </c>
      <c r="G7164" t="n">
        <v>2.5</v>
      </c>
      <c r="H7164" t="n">
        <v>0</v>
      </c>
      <c r="I7164" t="n">
        <v>0</v>
      </c>
      <c r="J7164" t="n">
        <v>0</v>
      </c>
      <c r="K7164" t="n">
        <v>0</v>
      </c>
      <c r="L7164" t="n">
        <v>0</v>
      </c>
      <c r="M7164" t="n">
        <v>0</v>
      </c>
      <c r="N7164" t="n">
        <v>0</v>
      </c>
      <c r="O7164" t="n">
        <v>0</v>
      </c>
      <c r="P7164" t="n">
        <v>0</v>
      </c>
      <c r="Q7164" t="n">
        <v>0</v>
      </c>
      <c r="R7164" s="2" t="inlineStr"/>
    </row>
    <row r="7165" ht="15" customHeight="1">
      <c r="A7165" t="inlineStr">
        <is>
          <t>A 976-2026</t>
        </is>
      </c>
      <c r="B7165" s="1" t="n">
        <v>46030.57034722222</v>
      </c>
      <c r="C7165" s="1" t="n">
        <v>46114</v>
      </c>
      <c r="D7165" t="inlineStr">
        <is>
          <t>DALARNAS LÄN</t>
        </is>
      </c>
      <c r="E7165" t="inlineStr">
        <is>
          <t>ORSA</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10035-2026</t>
        </is>
      </c>
      <c r="B7166" s="1" t="n">
        <v>46073.59416666667</v>
      </c>
      <c r="C7166" s="1" t="n">
        <v>46114</v>
      </c>
      <c r="D7166" t="inlineStr">
        <is>
          <t>DALARNAS LÄN</t>
        </is>
      </c>
      <c r="E7166" t="inlineStr">
        <is>
          <t>ORSA</t>
        </is>
      </c>
      <c r="F7166" t="inlineStr">
        <is>
          <t>Bergvik skog öst AB</t>
        </is>
      </c>
      <c r="G7166" t="n">
        <v>19.6</v>
      </c>
      <c r="H7166" t="n">
        <v>0</v>
      </c>
      <c r="I7166" t="n">
        <v>0</v>
      </c>
      <c r="J7166" t="n">
        <v>0</v>
      </c>
      <c r="K7166" t="n">
        <v>0</v>
      </c>
      <c r="L7166" t="n">
        <v>0</v>
      </c>
      <c r="M7166" t="n">
        <v>0</v>
      </c>
      <c r="N7166" t="n">
        <v>0</v>
      </c>
      <c r="O7166" t="n">
        <v>0</v>
      </c>
      <c r="P7166" t="n">
        <v>0</v>
      </c>
      <c r="Q7166" t="n">
        <v>0</v>
      </c>
      <c r="R7166" s="2" t="inlineStr"/>
    </row>
    <row r="7167" ht="15" customHeight="1">
      <c r="A7167" t="inlineStr">
        <is>
          <t>A 9915-2026</t>
        </is>
      </c>
      <c r="B7167" s="1" t="n">
        <v>46073.43303240741</v>
      </c>
      <c r="C7167" s="1" t="n">
        <v>46114</v>
      </c>
      <c r="D7167" t="inlineStr">
        <is>
          <t>DALARNAS LÄN</t>
        </is>
      </c>
      <c r="E7167" t="inlineStr">
        <is>
          <t>ÄLVDALEN</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9963-2026</t>
        </is>
      </c>
      <c r="B7168" s="1" t="n">
        <v>46073.50202546296</v>
      </c>
      <c r="C7168" s="1" t="n">
        <v>46114</v>
      </c>
      <c r="D7168" t="inlineStr">
        <is>
          <t>DALARNAS LÄN</t>
        </is>
      </c>
      <c r="E7168" t="inlineStr">
        <is>
          <t>ORSA</t>
        </is>
      </c>
      <c r="F7168" t="inlineStr">
        <is>
          <t>Bergvik skog öst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55538-2023</t>
        </is>
      </c>
      <c r="B7169" s="1" t="n">
        <v>45238.5996875</v>
      </c>
      <c r="C7169" s="1" t="n">
        <v>46114</v>
      </c>
      <c r="D7169" t="inlineStr">
        <is>
          <t>DALARNAS LÄN</t>
        </is>
      </c>
      <c r="E7169" t="inlineStr">
        <is>
          <t>ORSA</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47572-2024</t>
        </is>
      </c>
      <c r="B7170" s="1" t="n">
        <v>45587.71474537037</v>
      </c>
      <c r="C7170" s="1" t="n">
        <v>46114</v>
      </c>
      <c r="D7170" t="inlineStr">
        <is>
          <t>DALARNAS LÄN</t>
        </is>
      </c>
      <c r="E7170" t="inlineStr">
        <is>
          <t>RÄTTVIK</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5311-2025</t>
        </is>
      </c>
      <c r="B7171" s="1" t="n">
        <v>45692.50388888889</v>
      </c>
      <c r="C7171" s="1" t="n">
        <v>46114</v>
      </c>
      <c r="D7171" t="inlineStr">
        <is>
          <t>DALARNAS LÄN</t>
        </is>
      </c>
      <c r="E7171" t="inlineStr">
        <is>
          <t>FALUN</t>
        </is>
      </c>
      <c r="G7171" t="n">
        <v>5</v>
      </c>
      <c r="H7171" t="n">
        <v>0</v>
      </c>
      <c r="I7171" t="n">
        <v>0</v>
      </c>
      <c r="J7171" t="n">
        <v>0</v>
      </c>
      <c r="K7171" t="n">
        <v>0</v>
      </c>
      <c r="L7171" t="n">
        <v>0</v>
      </c>
      <c r="M7171" t="n">
        <v>0</v>
      </c>
      <c r="N7171" t="n">
        <v>0</v>
      </c>
      <c r="O7171" t="n">
        <v>0</v>
      </c>
      <c r="P7171" t="n">
        <v>0</v>
      </c>
      <c r="Q7171" t="n">
        <v>0</v>
      </c>
      <c r="R7171" s="2" t="inlineStr"/>
    </row>
    <row r="7172" ht="15" customHeight="1">
      <c r="A7172" t="inlineStr">
        <is>
          <t>A 7928-2023</t>
        </is>
      </c>
      <c r="B7172" s="1" t="n">
        <v>44973</v>
      </c>
      <c r="C7172" s="1" t="n">
        <v>46114</v>
      </c>
      <c r="D7172" t="inlineStr">
        <is>
          <t>DALARNAS LÄN</t>
        </is>
      </c>
      <c r="E7172" t="inlineStr">
        <is>
          <t>LEKSAND</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9847-2026</t>
        </is>
      </c>
      <c r="B7173" s="1" t="n">
        <v>46072.79143518519</v>
      </c>
      <c r="C7173" s="1" t="n">
        <v>46114</v>
      </c>
      <c r="D7173" t="inlineStr">
        <is>
          <t>DALARNAS LÄN</t>
        </is>
      </c>
      <c r="E7173" t="inlineStr">
        <is>
          <t>SMEDJEBACKEN</t>
        </is>
      </c>
      <c r="F7173" t="inlineStr">
        <is>
          <t>Övriga Aktiebolag</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9892-2026</t>
        </is>
      </c>
      <c r="B7174" s="1" t="n">
        <v>46073.37358796296</v>
      </c>
      <c r="C7174" s="1" t="n">
        <v>46114</v>
      </c>
      <c r="D7174" t="inlineStr">
        <is>
          <t>DALARNAS LÄN</t>
        </is>
      </c>
      <c r="E7174" t="inlineStr">
        <is>
          <t>MALUNG-SÄLEN</t>
        </is>
      </c>
      <c r="F7174" t="inlineStr">
        <is>
          <t>Övriga statliga verk och myndigheter</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268-2026</t>
        </is>
      </c>
      <c r="B7175" s="1" t="n">
        <v>46027.45638888889</v>
      </c>
      <c r="C7175" s="1" t="n">
        <v>46114</v>
      </c>
      <c r="D7175" t="inlineStr">
        <is>
          <t>DALARNAS LÄN</t>
        </is>
      </c>
      <c r="E7175" t="inlineStr">
        <is>
          <t>SMEDJEBACKEN</t>
        </is>
      </c>
      <c r="G7175" t="n">
        <v>9</v>
      </c>
      <c r="H7175" t="n">
        <v>0</v>
      </c>
      <c r="I7175" t="n">
        <v>0</v>
      </c>
      <c r="J7175" t="n">
        <v>0</v>
      </c>
      <c r="K7175" t="n">
        <v>0</v>
      </c>
      <c r="L7175" t="n">
        <v>0</v>
      </c>
      <c r="M7175" t="n">
        <v>0</v>
      </c>
      <c r="N7175" t="n">
        <v>0</v>
      </c>
      <c r="O7175" t="n">
        <v>0</v>
      </c>
      <c r="P7175" t="n">
        <v>0</v>
      </c>
      <c r="Q7175" t="n">
        <v>0</v>
      </c>
      <c r="R7175" s="2" t="inlineStr"/>
    </row>
    <row r="7176" ht="15" customHeight="1">
      <c r="A7176" t="inlineStr">
        <is>
          <t>A 905-2026</t>
        </is>
      </c>
      <c r="B7176" s="1" t="n">
        <v>46030</v>
      </c>
      <c r="C7176" s="1" t="n">
        <v>46114</v>
      </c>
      <c r="D7176" t="inlineStr">
        <is>
          <t>DALARNAS LÄN</t>
        </is>
      </c>
      <c r="E7176" t="inlineStr">
        <is>
          <t>FALUN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9902-2026</t>
        </is>
      </c>
      <c r="B7177" s="1" t="n">
        <v>46073.40454861111</v>
      </c>
      <c r="C7177" s="1" t="n">
        <v>46114</v>
      </c>
      <c r="D7177" t="inlineStr">
        <is>
          <t>DALARNAS LÄN</t>
        </is>
      </c>
      <c r="E7177" t="inlineStr">
        <is>
          <t>MALUNG-SÄLEN</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1297-2026</t>
        </is>
      </c>
      <c r="B7178" s="1" t="n">
        <v>46031</v>
      </c>
      <c r="C7178" s="1" t="n">
        <v>46114</v>
      </c>
      <c r="D7178" t="inlineStr">
        <is>
          <t>DALARNAS LÄN</t>
        </is>
      </c>
      <c r="E7178" t="inlineStr">
        <is>
          <t>SÄTER</t>
        </is>
      </c>
      <c r="G7178" t="n">
        <v>7.8</v>
      </c>
      <c r="H7178" t="n">
        <v>0</v>
      </c>
      <c r="I7178" t="n">
        <v>0</v>
      </c>
      <c r="J7178" t="n">
        <v>0</v>
      </c>
      <c r="K7178" t="n">
        <v>0</v>
      </c>
      <c r="L7178" t="n">
        <v>0</v>
      </c>
      <c r="M7178" t="n">
        <v>0</v>
      </c>
      <c r="N7178" t="n">
        <v>0</v>
      </c>
      <c r="O7178" t="n">
        <v>0</v>
      </c>
      <c r="P7178" t="n">
        <v>0</v>
      </c>
      <c r="Q7178" t="n">
        <v>0</v>
      </c>
      <c r="R7178" s="2" t="inlineStr"/>
    </row>
    <row r="7179" ht="15" customHeight="1">
      <c r="A7179" t="inlineStr">
        <is>
          <t>A 1300-2026</t>
        </is>
      </c>
      <c r="B7179" s="1" t="n">
        <v>46031.52229166667</v>
      </c>
      <c r="C7179" s="1" t="n">
        <v>46114</v>
      </c>
      <c r="D7179" t="inlineStr">
        <is>
          <t>DALARNAS LÄN</t>
        </is>
      </c>
      <c r="E7179" t="inlineStr">
        <is>
          <t>FALUN</t>
        </is>
      </c>
      <c r="G7179" t="n">
        <v>5.7</v>
      </c>
      <c r="H7179" t="n">
        <v>0</v>
      </c>
      <c r="I7179" t="n">
        <v>0</v>
      </c>
      <c r="J7179" t="n">
        <v>0</v>
      </c>
      <c r="K7179" t="n">
        <v>0</v>
      </c>
      <c r="L7179" t="n">
        <v>0</v>
      </c>
      <c r="M7179" t="n">
        <v>0</v>
      </c>
      <c r="N7179" t="n">
        <v>0</v>
      </c>
      <c r="O7179" t="n">
        <v>0</v>
      </c>
      <c r="P7179" t="n">
        <v>0</v>
      </c>
      <c r="Q7179" t="n">
        <v>0</v>
      </c>
      <c r="R7179" s="2" t="inlineStr"/>
    </row>
    <row r="7180" ht="15" customHeight="1">
      <c r="A7180" t="inlineStr">
        <is>
          <t>A 1336-2026</t>
        </is>
      </c>
      <c r="B7180" s="1" t="n">
        <v>46031.5739699074</v>
      </c>
      <c r="C7180" s="1" t="n">
        <v>46114</v>
      </c>
      <c r="D7180" t="inlineStr">
        <is>
          <t>DALARNAS LÄN</t>
        </is>
      </c>
      <c r="E7180" t="inlineStr">
        <is>
          <t>RÄTTVIK</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9931-2026</t>
        </is>
      </c>
      <c r="B7181" s="1" t="n">
        <v>46073.45501157407</v>
      </c>
      <c r="C7181" s="1" t="n">
        <v>46114</v>
      </c>
      <c r="D7181" t="inlineStr">
        <is>
          <t>DALARNAS LÄN</t>
        </is>
      </c>
      <c r="E7181" t="inlineStr">
        <is>
          <t>MALUNG-SÄLEN</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33605-2022</t>
        </is>
      </c>
      <c r="B7182" s="1" t="n">
        <v>44789.51010416666</v>
      </c>
      <c r="C7182" s="1" t="n">
        <v>46114</v>
      </c>
      <c r="D7182" t="inlineStr">
        <is>
          <t>DALARNAS LÄN</t>
        </is>
      </c>
      <c r="E7182" t="inlineStr">
        <is>
          <t>SÄTER</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1343-2026</t>
        </is>
      </c>
      <c r="B7183" s="1" t="n">
        <v>46031.57842592592</v>
      </c>
      <c r="C7183" s="1" t="n">
        <v>46114</v>
      </c>
      <c r="D7183" t="inlineStr">
        <is>
          <t>DALARNAS LÄN</t>
        </is>
      </c>
      <c r="E7183" t="inlineStr">
        <is>
          <t>SÄTER</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1350-2026</t>
        </is>
      </c>
      <c r="B7184" s="1" t="n">
        <v>46031.59383101852</v>
      </c>
      <c r="C7184" s="1" t="n">
        <v>46114</v>
      </c>
      <c r="D7184" t="inlineStr">
        <is>
          <t>DALARNAS LÄN</t>
        </is>
      </c>
      <c r="E7184" t="inlineStr">
        <is>
          <t>MALUNG-SÄLEN</t>
        </is>
      </c>
      <c r="G7184" t="n">
        <v>6.1</v>
      </c>
      <c r="H7184" t="n">
        <v>0</v>
      </c>
      <c r="I7184" t="n">
        <v>0</v>
      </c>
      <c r="J7184" t="n">
        <v>0</v>
      </c>
      <c r="K7184" t="n">
        <v>0</v>
      </c>
      <c r="L7184" t="n">
        <v>0</v>
      </c>
      <c r="M7184" t="n">
        <v>0</v>
      </c>
      <c r="N7184" t="n">
        <v>0</v>
      </c>
      <c r="O7184" t="n">
        <v>0</v>
      </c>
      <c r="P7184" t="n">
        <v>0</v>
      </c>
      <c r="Q7184" t="n">
        <v>0</v>
      </c>
      <c r="R7184" s="2" t="inlineStr"/>
    </row>
    <row r="7185" ht="15" customHeight="1">
      <c r="A7185" t="inlineStr">
        <is>
          <t>A 989-2026</t>
        </is>
      </c>
      <c r="B7185" s="1" t="n">
        <v>46030</v>
      </c>
      <c r="C7185" s="1" t="n">
        <v>46114</v>
      </c>
      <c r="D7185" t="inlineStr">
        <is>
          <t>DALARNAS LÄN</t>
        </is>
      </c>
      <c r="E7185" t="inlineStr">
        <is>
          <t>LEKSAND</t>
        </is>
      </c>
      <c r="G7185" t="n">
        <v>3.9</v>
      </c>
      <c r="H7185" t="n">
        <v>0</v>
      </c>
      <c r="I7185" t="n">
        <v>0</v>
      </c>
      <c r="J7185" t="n">
        <v>0</v>
      </c>
      <c r="K7185" t="n">
        <v>0</v>
      </c>
      <c r="L7185" t="n">
        <v>0</v>
      </c>
      <c r="M7185" t="n">
        <v>0</v>
      </c>
      <c r="N7185" t="n">
        <v>0</v>
      </c>
      <c r="O7185" t="n">
        <v>0</v>
      </c>
      <c r="P7185" t="n">
        <v>0</v>
      </c>
      <c r="Q7185" t="n">
        <v>0</v>
      </c>
      <c r="R7185" s="2" t="inlineStr"/>
    </row>
    <row r="7186" ht="15" customHeight="1">
      <c r="A7186" t="inlineStr">
        <is>
          <t>A 1781-2026</t>
        </is>
      </c>
      <c r="B7186" s="1" t="n">
        <v>46031</v>
      </c>
      <c r="C7186" s="1" t="n">
        <v>46114</v>
      </c>
      <c r="D7186" t="inlineStr">
        <is>
          <t>DALARNAS LÄN</t>
        </is>
      </c>
      <c r="E7186" t="inlineStr">
        <is>
          <t>FALUN</t>
        </is>
      </c>
      <c r="G7186" t="n">
        <v>8.9</v>
      </c>
      <c r="H7186" t="n">
        <v>0</v>
      </c>
      <c r="I7186" t="n">
        <v>0</v>
      </c>
      <c r="J7186" t="n">
        <v>0</v>
      </c>
      <c r="K7186" t="n">
        <v>0</v>
      </c>
      <c r="L7186" t="n">
        <v>0</v>
      </c>
      <c r="M7186" t="n">
        <v>0</v>
      </c>
      <c r="N7186" t="n">
        <v>0</v>
      </c>
      <c r="O7186" t="n">
        <v>0</v>
      </c>
      <c r="P7186" t="n">
        <v>0</v>
      </c>
      <c r="Q7186" t="n">
        <v>0</v>
      </c>
      <c r="R7186" s="2" t="inlineStr"/>
    </row>
    <row r="7187" ht="15" customHeight="1">
      <c r="A7187" t="inlineStr">
        <is>
          <t>A 1422-2026</t>
        </is>
      </c>
      <c r="B7187" s="1" t="n">
        <v>46031</v>
      </c>
      <c r="C7187" s="1" t="n">
        <v>46114</v>
      </c>
      <c r="D7187" t="inlineStr">
        <is>
          <t>DALARNAS LÄN</t>
        </is>
      </c>
      <c r="E7187" t="inlineStr">
        <is>
          <t>FALUN</t>
        </is>
      </c>
      <c r="G7187" t="n">
        <v>25.5</v>
      </c>
      <c r="H7187" t="n">
        <v>0</v>
      </c>
      <c r="I7187" t="n">
        <v>0</v>
      </c>
      <c r="J7187" t="n">
        <v>0</v>
      </c>
      <c r="K7187" t="n">
        <v>0</v>
      </c>
      <c r="L7187" t="n">
        <v>0</v>
      </c>
      <c r="M7187" t="n">
        <v>0</v>
      </c>
      <c r="N7187" t="n">
        <v>0</v>
      </c>
      <c r="O7187" t="n">
        <v>0</v>
      </c>
      <c r="P7187" t="n">
        <v>0</v>
      </c>
      <c r="Q7187" t="n">
        <v>0</v>
      </c>
      <c r="R7187" s="2" t="inlineStr"/>
    </row>
    <row r="7188" ht="15" customHeight="1">
      <c r="A7188" t="inlineStr">
        <is>
          <t>A 9606-2026</t>
        </is>
      </c>
      <c r="B7188" s="1" t="n">
        <v>46071.92254629629</v>
      </c>
      <c r="C7188" s="1" t="n">
        <v>46114</v>
      </c>
      <c r="D7188" t="inlineStr">
        <is>
          <t>DALARNAS LÄN</t>
        </is>
      </c>
      <c r="E7188" t="inlineStr">
        <is>
          <t>FALUN</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1122-2026</t>
        </is>
      </c>
      <c r="B7189" s="1" t="n">
        <v>46030</v>
      </c>
      <c r="C7189" s="1" t="n">
        <v>46114</v>
      </c>
      <c r="D7189" t="inlineStr">
        <is>
          <t>DALARNAS LÄN</t>
        </is>
      </c>
      <c r="E7189" t="inlineStr">
        <is>
          <t>SÄTER</t>
        </is>
      </c>
      <c r="G7189" t="n">
        <v>5.7</v>
      </c>
      <c r="H7189" t="n">
        <v>0</v>
      </c>
      <c r="I7189" t="n">
        <v>0</v>
      </c>
      <c r="J7189" t="n">
        <v>0</v>
      </c>
      <c r="K7189" t="n">
        <v>0</v>
      </c>
      <c r="L7189" t="n">
        <v>0</v>
      </c>
      <c r="M7189" t="n">
        <v>0</v>
      </c>
      <c r="N7189" t="n">
        <v>0</v>
      </c>
      <c r="O7189" t="n">
        <v>0</v>
      </c>
      <c r="P7189" t="n">
        <v>0</v>
      </c>
      <c r="Q7189" t="n">
        <v>0</v>
      </c>
      <c r="R7189" s="2" t="inlineStr"/>
    </row>
    <row r="7190" ht="15" customHeight="1">
      <c r="A7190" t="inlineStr">
        <is>
          <t>A 1135-2026</t>
        </is>
      </c>
      <c r="B7190" s="1" t="n">
        <v>46030.77744212963</v>
      </c>
      <c r="C7190" s="1" t="n">
        <v>46114</v>
      </c>
      <c r="D7190" t="inlineStr">
        <is>
          <t>DALARNAS LÄN</t>
        </is>
      </c>
      <c r="E7190" t="inlineStr">
        <is>
          <t>FALUN</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1364-2026</t>
        </is>
      </c>
      <c r="B7191" s="1" t="n">
        <v>46031</v>
      </c>
      <c r="C7191" s="1" t="n">
        <v>46114</v>
      </c>
      <c r="D7191" t="inlineStr">
        <is>
          <t>DALARNAS LÄN</t>
        </is>
      </c>
      <c r="E7191" t="inlineStr">
        <is>
          <t>FALUN</t>
        </is>
      </c>
      <c r="G7191" t="n">
        <v>10.2</v>
      </c>
      <c r="H7191" t="n">
        <v>0</v>
      </c>
      <c r="I7191" t="n">
        <v>0</v>
      </c>
      <c r="J7191" t="n">
        <v>0</v>
      </c>
      <c r="K7191" t="n">
        <v>0</v>
      </c>
      <c r="L7191" t="n">
        <v>0</v>
      </c>
      <c r="M7191" t="n">
        <v>0</v>
      </c>
      <c r="N7191" t="n">
        <v>0</v>
      </c>
      <c r="O7191" t="n">
        <v>0</v>
      </c>
      <c r="P7191" t="n">
        <v>0</v>
      </c>
      <c r="Q7191" t="n">
        <v>0</v>
      </c>
      <c r="R7191" s="2" t="inlineStr"/>
    </row>
    <row r="7192" ht="15" customHeight="1">
      <c r="A7192" t="inlineStr">
        <is>
          <t>A 1411-2026</t>
        </is>
      </c>
      <c r="B7192" s="1" t="n">
        <v>46031.66760416667</v>
      </c>
      <c r="C7192" s="1" t="n">
        <v>46114</v>
      </c>
      <c r="D7192" t="inlineStr">
        <is>
          <t>DALARNAS LÄN</t>
        </is>
      </c>
      <c r="E7192" t="inlineStr">
        <is>
          <t>GAGNEF</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1413-2026</t>
        </is>
      </c>
      <c r="B7193" s="1" t="n">
        <v>46031.68702546296</v>
      </c>
      <c r="C7193" s="1" t="n">
        <v>46114</v>
      </c>
      <c r="D7193" t="inlineStr">
        <is>
          <t>DALARNAS LÄN</t>
        </is>
      </c>
      <c r="E7193" t="inlineStr">
        <is>
          <t>GAGNEF</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55122-2024</t>
        </is>
      </c>
      <c r="B7194" s="1" t="n">
        <v>45618</v>
      </c>
      <c r="C7194" s="1" t="n">
        <v>46114</v>
      </c>
      <c r="D7194" t="inlineStr">
        <is>
          <t>DALARNAS LÄN</t>
        </is>
      </c>
      <c r="E7194" t="inlineStr">
        <is>
          <t>RÄTTVIK</t>
        </is>
      </c>
      <c r="G7194" t="n">
        <v>0.7</v>
      </c>
      <c r="H7194" t="n">
        <v>0</v>
      </c>
      <c r="I7194" t="n">
        <v>0</v>
      </c>
      <c r="J7194" t="n">
        <v>0</v>
      </c>
      <c r="K7194" t="n">
        <v>0</v>
      </c>
      <c r="L7194" t="n">
        <v>0</v>
      </c>
      <c r="M7194" t="n">
        <v>0</v>
      </c>
      <c r="N7194" t="n">
        <v>0</v>
      </c>
      <c r="O7194" t="n">
        <v>0</v>
      </c>
      <c r="P7194" t="n">
        <v>0</v>
      </c>
      <c r="Q7194" t="n">
        <v>0</v>
      </c>
      <c r="R7194" s="2" t="inlineStr"/>
    </row>
    <row r="7195" ht="15" customHeight="1">
      <c r="A7195" t="inlineStr">
        <is>
          <t>A 10019-2026</t>
        </is>
      </c>
      <c r="B7195" s="1" t="n">
        <v>46073.58075231482</v>
      </c>
      <c r="C7195" s="1" t="n">
        <v>46114</v>
      </c>
      <c r="D7195" t="inlineStr">
        <is>
          <t>DALARNAS LÄN</t>
        </is>
      </c>
      <c r="E7195" t="inlineStr">
        <is>
          <t>ORSA</t>
        </is>
      </c>
      <c r="F7195" t="inlineStr">
        <is>
          <t>Bergvik skog öst AB</t>
        </is>
      </c>
      <c r="G7195" t="n">
        <v>1.7</v>
      </c>
      <c r="H7195" t="n">
        <v>0</v>
      </c>
      <c r="I7195" t="n">
        <v>0</v>
      </c>
      <c r="J7195" t="n">
        <v>0</v>
      </c>
      <c r="K7195" t="n">
        <v>0</v>
      </c>
      <c r="L7195" t="n">
        <v>0</v>
      </c>
      <c r="M7195" t="n">
        <v>0</v>
      </c>
      <c r="N7195" t="n">
        <v>0</v>
      </c>
      <c r="O7195" t="n">
        <v>0</v>
      </c>
      <c r="P7195" t="n">
        <v>0</v>
      </c>
      <c r="Q7195" t="n">
        <v>0</v>
      </c>
      <c r="R7195" s="2" t="inlineStr"/>
    </row>
    <row r="7196" ht="15" customHeight="1">
      <c r="A7196" t="inlineStr">
        <is>
          <t>A 10049-2026</t>
        </is>
      </c>
      <c r="B7196" s="1" t="n">
        <v>46073.60630787037</v>
      </c>
      <c r="C7196" s="1" t="n">
        <v>46114</v>
      </c>
      <c r="D7196" t="inlineStr">
        <is>
          <t>DALARNAS LÄN</t>
        </is>
      </c>
      <c r="E7196" t="inlineStr">
        <is>
          <t>ORSA</t>
        </is>
      </c>
      <c r="F7196" t="inlineStr">
        <is>
          <t>Bergvik skog öst AB</t>
        </is>
      </c>
      <c r="G7196" t="n">
        <v>4.4</v>
      </c>
      <c r="H7196" t="n">
        <v>0</v>
      </c>
      <c r="I7196" t="n">
        <v>0</v>
      </c>
      <c r="J7196" t="n">
        <v>0</v>
      </c>
      <c r="K7196" t="n">
        <v>0</v>
      </c>
      <c r="L7196" t="n">
        <v>0</v>
      </c>
      <c r="M7196" t="n">
        <v>0</v>
      </c>
      <c r="N7196" t="n">
        <v>0</v>
      </c>
      <c r="O7196" t="n">
        <v>0</v>
      </c>
      <c r="P7196" t="n">
        <v>0</v>
      </c>
      <c r="Q7196" t="n">
        <v>0</v>
      </c>
      <c r="R7196" s="2" t="inlineStr"/>
    </row>
    <row r="7197" ht="15" customHeight="1">
      <c r="A7197" t="inlineStr">
        <is>
          <t>A 1149-2026</t>
        </is>
      </c>
      <c r="B7197" s="1" t="n">
        <v>46030.92302083333</v>
      </c>
      <c r="C7197" s="1" t="n">
        <v>46114</v>
      </c>
      <c r="D7197" t="inlineStr">
        <is>
          <t>DALARNAS LÄN</t>
        </is>
      </c>
      <c r="E7197" t="inlineStr">
        <is>
          <t>LEKSAND</t>
        </is>
      </c>
      <c r="G7197" t="n">
        <v>11.7</v>
      </c>
      <c r="H7197" t="n">
        <v>0</v>
      </c>
      <c r="I7197" t="n">
        <v>0</v>
      </c>
      <c r="J7197" t="n">
        <v>0</v>
      </c>
      <c r="K7197" t="n">
        <v>0</v>
      </c>
      <c r="L7197" t="n">
        <v>0</v>
      </c>
      <c r="M7197" t="n">
        <v>0</v>
      </c>
      <c r="N7197" t="n">
        <v>0</v>
      </c>
      <c r="O7197" t="n">
        <v>0</v>
      </c>
      <c r="P7197" t="n">
        <v>0</v>
      </c>
      <c r="Q7197" t="n">
        <v>0</v>
      </c>
      <c r="R7197" s="2" t="inlineStr"/>
    </row>
    <row r="7198" ht="15" customHeight="1">
      <c r="A7198" t="inlineStr">
        <is>
          <t>A 1171-2026</t>
        </is>
      </c>
      <c r="B7198" s="1" t="n">
        <v>46031.3459375</v>
      </c>
      <c r="C7198" s="1" t="n">
        <v>46114</v>
      </c>
      <c r="D7198" t="inlineStr">
        <is>
          <t>DALARNAS LÄN</t>
        </is>
      </c>
      <c r="E7198" t="inlineStr">
        <is>
          <t>RÄTTVIK</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1200-2026</t>
        </is>
      </c>
      <c r="B7199" s="1" t="n">
        <v>46031</v>
      </c>
      <c r="C7199" s="1" t="n">
        <v>46114</v>
      </c>
      <c r="D7199" t="inlineStr">
        <is>
          <t>DALARNAS LÄN</t>
        </is>
      </c>
      <c r="E7199" t="inlineStr">
        <is>
          <t>MALUNG-SÄLEN</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1202-2026</t>
        </is>
      </c>
      <c r="B7200" s="1" t="n">
        <v>46031</v>
      </c>
      <c r="C7200" s="1" t="n">
        <v>46114</v>
      </c>
      <c r="D7200" t="inlineStr">
        <is>
          <t>DALARNAS LÄN</t>
        </is>
      </c>
      <c r="E7200" t="inlineStr">
        <is>
          <t>HEDEMORA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1028-2026</t>
        </is>
      </c>
      <c r="B7201" s="1" t="n">
        <v>46030</v>
      </c>
      <c r="C7201" s="1" t="n">
        <v>46114</v>
      </c>
      <c r="D7201" t="inlineStr">
        <is>
          <t>DALARNAS LÄN</t>
        </is>
      </c>
      <c r="E7201" t="inlineStr">
        <is>
          <t>RÄTTVIK</t>
        </is>
      </c>
      <c r="F7201" t="inlineStr">
        <is>
          <t>Allmännings- och besparingsskogar</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1054-2026</t>
        </is>
      </c>
      <c r="B7202" s="1" t="n">
        <v>46030.63354166667</v>
      </c>
      <c r="C7202" s="1" t="n">
        <v>46114</v>
      </c>
      <c r="D7202" t="inlineStr">
        <is>
          <t>DALARNAS LÄN</t>
        </is>
      </c>
      <c r="E7202" t="inlineStr">
        <is>
          <t>BORLÄNGE</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1068-2026</t>
        </is>
      </c>
      <c r="B7203" s="1" t="n">
        <v>46030</v>
      </c>
      <c r="C7203" s="1" t="n">
        <v>46114</v>
      </c>
      <c r="D7203" t="inlineStr">
        <is>
          <t>DALARNAS LÄN</t>
        </is>
      </c>
      <c r="E7203" t="inlineStr">
        <is>
          <t>MORA</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1138-2026</t>
        </is>
      </c>
      <c r="B7204" s="1" t="n">
        <v>46030</v>
      </c>
      <c r="C7204" s="1" t="n">
        <v>46114</v>
      </c>
      <c r="D7204" t="inlineStr">
        <is>
          <t>DALARNAS LÄN</t>
        </is>
      </c>
      <c r="E7204" t="inlineStr">
        <is>
          <t>ÄLVDALEN</t>
        </is>
      </c>
      <c r="G7204" t="n">
        <v>2.6</v>
      </c>
      <c r="H7204" t="n">
        <v>0</v>
      </c>
      <c r="I7204" t="n">
        <v>0</v>
      </c>
      <c r="J7204" t="n">
        <v>0</v>
      </c>
      <c r="K7204" t="n">
        <v>0</v>
      </c>
      <c r="L7204" t="n">
        <v>0</v>
      </c>
      <c r="M7204" t="n">
        <v>0</v>
      </c>
      <c r="N7204" t="n">
        <v>0</v>
      </c>
      <c r="O7204" t="n">
        <v>0</v>
      </c>
      <c r="P7204" t="n">
        <v>0</v>
      </c>
      <c r="Q7204" t="n">
        <v>0</v>
      </c>
      <c r="R7204" s="2" t="inlineStr"/>
    </row>
    <row r="7205" ht="15" customHeight="1">
      <c r="A7205" t="inlineStr">
        <is>
          <t>A 1140-2026</t>
        </is>
      </c>
      <c r="B7205" s="1" t="n">
        <v>46030</v>
      </c>
      <c r="C7205" s="1" t="n">
        <v>46114</v>
      </c>
      <c r="D7205" t="inlineStr">
        <is>
          <t>DALARNAS LÄN</t>
        </is>
      </c>
      <c r="E7205" t="inlineStr">
        <is>
          <t>FALUN</t>
        </is>
      </c>
      <c r="G7205" t="n">
        <v>3.5</v>
      </c>
      <c r="H7205" t="n">
        <v>0</v>
      </c>
      <c r="I7205" t="n">
        <v>0</v>
      </c>
      <c r="J7205" t="n">
        <v>0</v>
      </c>
      <c r="K7205" t="n">
        <v>0</v>
      </c>
      <c r="L7205" t="n">
        <v>0</v>
      </c>
      <c r="M7205" t="n">
        <v>0</v>
      </c>
      <c r="N7205" t="n">
        <v>0</v>
      </c>
      <c r="O7205" t="n">
        <v>0</v>
      </c>
      <c r="P7205" t="n">
        <v>0</v>
      </c>
      <c r="Q7205" t="n">
        <v>0</v>
      </c>
      <c r="R7205" s="2" t="inlineStr"/>
    </row>
    <row r="7206" ht="15" customHeight="1">
      <c r="A7206" t="inlineStr">
        <is>
          <t>A 9672-2026</t>
        </is>
      </c>
      <c r="B7206" s="1" t="n">
        <v>46072.37832175926</v>
      </c>
      <c r="C7206" s="1" t="n">
        <v>46114</v>
      </c>
      <c r="D7206" t="inlineStr">
        <is>
          <t>DALARNAS LÄN</t>
        </is>
      </c>
      <c r="E7206" t="inlineStr">
        <is>
          <t>HEDEMORA</t>
        </is>
      </c>
      <c r="G7206" t="n">
        <v>1.6</v>
      </c>
      <c r="H7206" t="n">
        <v>0</v>
      </c>
      <c r="I7206" t="n">
        <v>0</v>
      </c>
      <c r="J7206" t="n">
        <v>0</v>
      </c>
      <c r="K7206" t="n">
        <v>0</v>
      </c>
      <c r="L7206" t="n">
        <v>0</v>
      </c>
      <c r="M7206" t="n">
        <v>0</v>
      </c>
      <c r="N7206" t="n">
        <v>0</v>
      </c>
      <c r="O7206" t="n">
        <v>0</v>
      </c>
      <c r="P7206" t="n">
        <v>0</v>
      </c>
      <c r="Q7206" t="n">
        <v>0</v>
      </c>
      <c r="R7206" s="2" t="inlineStr"/>
    </row>
    <row r="7207" ht="15" customHeight="1">
      <c r="A7207" t="inlineStr">
        <is>
          <t>A 9859-2026</t>
        </is>
      </c>
      <c r="B7207" s="1" t="n">
        <v>46072.94371527778</v>
      </c>
      <c r="C7207" s="1" t="n">
        <v>46114</v>
      </c>
      <c r="D7207" t="inlineStr">
        <is>
          <t>DALARNAS LÄN</t>
        </is>
      </c>
      <c r="E7207" t="inlineStr">
        <is>
          <t>RÄTTVIK</t>
        </is>
      </c>
      <c r="F7207" t="inlineStr">
        <is>
          <t>Övriga statliga verk och myndigheter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9860-2026</t>
        </is>
      </c>
      <c r="B7208" s="1" t="n">
        <v>46072.94550925926</v>
      </c>
      <c r="C7208" s="1" t="n">
        <v>46114</v>
      </c>
      <c r="D7208" t="inlineStr">
        <is>
          <t>DALARNAS LÄN</t>
        </is>
      </c>
      <c r="E7208" t="inlineStr">
        <is>
          <t>RÄTTVIK</t>
        </is>
      </c>
      <c r="F7208" t="inlineStr">
        <is>
          <t>Övriga statliga verk och myndigheter</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934-2026</t>
        </is>
      </c>
      <c r="B7209" s="1" t="n">
        <v>46030</v>
      </c>
      <c r="C7209" s="1" t="n">
        <v>46114</v>
      </c>
      <c r="D7209" t="inlineStr">
        <is>
          <t>DALARNAS LÄN</t>
        </is>
      </c>
      <c r="E7209" t="inlineStr">
        <is>
          <t>RÄTTVIK</t>
        </is>
      </c>
      <c r="G7209" t="n">
        <v>9.5</v>
      </c>
      <c r="H7209" t="n">
        <v>0</v>
      </c>
      <c r="I7209" t="n">
        <v>0</v>
      </c>
      <c r="J7209" t="n">
        <v>0</v>
      </c>
      <c r="K7209" t="n">
        <v>0</v>
      </c>
      <c r="L7209" t="n">
        <v>0</v>
      </c>
      <c r="M7209" t="n">
        <v>0</v>
      </c>
      <c r="N7209" t="n">
        <v>0</v>
      </c>
      <c r="O7209" t="n">
        <v>0</v>
      </c>
      <c r="P7209" t="n">
        <v>0</v>
      </c>
      <c r="Q7209" t="n">
        <v>0</v>
      </c>
      <c r="R7209" s="2" t="inlineStr"/>
    </row>
    <row r="7210" ht="15" customHeight="1">
      <c r="A7210" t="inlineStr">
        <is>
          <t>A 1100-2026</t>
        </is>
      </c>
      <c r="B7210" s="1" t="n">
        <v>46030.6665625</v>
      </c>
      <c r="C7210" s="1" t="n">
        <v>46114</v>
      </c>
      <c r="D7210" t="inlineStr">
        <is>
          <t>DALARNAS LÄN</t>
        </is>
      </c>
      <c r="E7210" t="inlineStr">
        <is>
          <t>GAGNEF</t>
        </is>
      </c>
      <c r="G7210" t="n">
        <v>10.7</v>
      </c>
      <c r="H7210" t="n">
        <v>0</v>
      </c>
      <c r="I7210" t="n">
        <v>0</v>
      </c>
      <c r="J7210" t="n">
        <v>0</v>
      </c>
      <c r="K7210" t="n">
        <v>0</v>
      </c>
      <c r="L7210" t="n">
        <v>0</v>
      </c>
      <c r="M7210" t="n">
        <v>0</v>
      </c>
      <c r="N7210" t="n">
        <v>0</v>
      </c>
      <c r="O7210" t="n">
        <v>0</v>
      </c>
      <c r="P7210" t="n">
        <v>0</v>
      </c>
      <c r="Q7210" t="n">
        <v>0</v>
      </c>
      <c r="R7210" s="2" t="inlineStr"/>
    </row>
    <row r="7211" ht="15" customHeight="1">
      <c r="A7211" t="inlineStr">
        <is>
          <t>A 1102-2026</t>
        </is>
      </c>
      <c r="B7211" s="1" t="n">
        <v>46030.66743055556</v>
      </c>
      <c r="C7211" s="1" t="n">
        <v>46114</v>
      </c>
      <c r="D7211" t="inlineStr">
        <is>
          <t>DALARNAS LÄN</t>
        </is>
      </c>
      <c r="E7211" t="inlineStr">
        <is>
          <t>MORA</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1323-2026</t>
        </is>
      </c>
      <c r="B7212" s="1" t="n">
        <v>46031.54957175926</v>
      </c>
      <c r="C7212" s="1" t="n">
        <v>46114</v>
      </c>
      <c r="D7212" t="inlineStr">
        <is>
          <t>DALARNAS LÄN</t>
        </is>
      </c>
      <c r="E7212" t="inlineStr">
        <is>
          <t>FALUN</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1326-2026</t>
        </is>
      </c>
      <c r="B7213" s="1" t="n">
        <v>46031.55268518518</v>
      </c>
      <c r="C7213" s="1" t="n">
        <v>46114</v>
      </c>
      <c r="D7213" t="inlineStr">
        <is>
          <t>DALARNAS LÄN</t>
        </is>
      </c>
      <c r="E7213" t="inlineStr">
        <is>
          <t>SÄTER</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1314-2026</t>
        </is>
      </c>
      <c r="B7214" s="1" t="n">
        <v>46031.53775462963</v>
      </c>
      <c r="C7214" s="1" t="n">
        <v>46114</v>
      </c>
      <c r="D7214" t="inlineStr">
        <is>
          <t>DALARNAS LÄN</t>
        </is>
      </c>
      <c r="E7214" t="inlineStr">
        <is>
          <t>FALUN</t>
        </is>
      </c>
      <c r="G7214" t="n">
        <v>37.9</v>
      </c>
      <c r="H7214" t="n">
        <v>0</v>
      </c>
      <c r="I7214" t="n">
        <v>0</v>
      </c>
      <c r="J7214" t="n">
        <v>0</v>
      </c>
      <c r="K7214" t="n">
        <v>0</v>
      </c>
      <c r="L7214" t="n">
        <v>0</v>
      </c>
      <c r="M7214" t="n">
        <v>0</v>
      </c>
      <c r="N7214" t="n">
        <v>0</v>
      </c>
      <c r="O7214" t="n">
        <v>0</v>
      </c>
      <c r="P7214" t="n">
        <v>0</v>
      </c>
      <c r="Q7214" t="n">
        <v>0</v>
      </c>
      <c r="R7214" s="2" t="inlineStr"/>
    </row>
    <row r="7215" ht="15" customHeight="1">
      <c r="A7215" t="inlineStr">
        <is>
          <t>A 2047-2026</t>
        </is>
      </c>
      <c r="B7215" s="1" t="n">
        <v>46031</v>
      </c>
      <c r="C7215" s="1" t="n">
        <v>46114</v>
      </c>
      <c r="D7215" t="inlineStr">
        <is>
          <t>DALARNAS LÄN</t>
        </is>
      </c>
      <c r="E7215" t="inlineStr">
        <is>
          <t>SÄTER</t>
        </is>
      </c>
      <c r="F7215" t="inlineStr">
        <is>
          <t>Kommuner</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5491-2023</t>
        </is>
      </c>
      <c r="B7216" s="1" t="n">
        <v>44957</v>
      </c>
      <c r="C7216" s="1" t="n">
        <v>46114</v>
      </c>
      <c r="D7216" t="inlineStr">
        <is>
          <t>DALARNAS LÄN</t>
        </is>
      </c>
      <c r="E7216" t="inlineStr">
        <is>
          <t>MORA</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5493-2023</t>
        </is>
      </c>
      <c r="B7217" s="1" t="n">
        <v>44957</v>
      </c>
      <c r="C7217" s="1" t="n">
        <v>46114</v>
      </c>
      <c r="D7217" t="inlineStr">
        <is>
          <t>DALARNAS LÄN</t>
        </is>
      </c>
      <c r="E7217" t="inlineStr">
        <is>
          <t>MORA</t>
        </is>
      </c>
      <c r="F7217" t="inlineStr">
        <is>
          <t>Allmännings- och besparingsskogar</t>
        </is>
      </c>
      <c r="G7217" t="n">
        <v>14.9</v>
      </c>
      <c r="H7217" t="n">
        <v>0</v>
      </c>
      <c r="I7217" t="n">
        <v>0</v>
      </c>
      <c r="J7217" t="n">
        <v>0</v>
      </c>
      <c r="K7217" t="n">
        <v>0</v>
      </c>
      <c r="L7217" t="n">
        <v>0</v>
      </c>
      <c r="M7217" t="n">
        <v>0</v>
      </c>
      <c r="N7217" t="n">
        <v>0</v>
      </c>
      <c r="O7217" t="n">
        <v>0</v>
      </c>
      <c r="P7217" t="n">
        <v>0</v>
      </c>
      <c r="Q7217" t="n">
        <v>0</v>
      </c>
      <c r="R7217" s="2" t="inlineStr"/>
    </row>
    <row r="7218" ht="15" customHeight="1">
      <c r="A7218" t="inlineStr">
        <is>
          <t>A 53080-2024</t>
        </is>
      </c>
      <c r="B7218" s="1" t="n">
        <v>45611.49712962963</v>
      </c>
      <c r="C7218" s="1" t="n">
        <v>46114</v>
      </c>
      <c r="D7218" t="inlineStr">
        <is>
          <t>DALARNAS LÄN</t>
        </is>
      </c>
      <c r="E7218" t="inlineStr">
        <is>
          <t>RÄTTVIK</t>
        </is>
      </c>
      <c r="G7218" t="n">
        <v>5.1</v>
      </c>
      <c r="H7218" t="n">
        <v>0</v>
      </c>
      <c r="I7218" t="n">
        <v>0</v>
      </c>
      <c r="J7218" t="n">
        <v>0</v>
      </c>
      <c r="K7218" t="n">
        <v>0</v>
      </c>
      <c r="L7218" t="n">
        <v>0</v>
      </c>
      <c r="M7218" t="n">
        <v>0</v>
      </c>
      <c r="N7218" t="n">
        <v>0</v>
      </c>
      <c r="O7218" t="n">
        <v>0</v>
      </c>
      <c r="P7218" t="n">
        <v>0</v>
      </c>
      <c r="Q7218" t="n">
        <v>0</v>
      </c>
      <c r="R7218" s="2" t="inlineStr"/>
    </row>
    <row r="7219" ht="15" customHeight="1">
      <c r="A7219" t="inlineStr">
        <is>
          <t>A 9842-2026</t>
        </is>
      </c>
      <c r="B7219" s="1" t="n">
        <v>46072</v>
      </c>
      <c r="C7219" s="1" t="n">
        <v>46114</v>
      </c>
      <c r="D7219" t="inlineStr">
        <is>
          <t>DALARNAS LÄN</t>
        </is>
      </c>
      <c r="E7219" t="inlineStr">
        <is>
          <t>FALUN</t>
        </is>
      </c>
      <c r="F7219" t="inlineStr">
        <is>
          <t>Bergvik skog väst AB</t>
        </is>
      </c>
      <c r="G7219" t="n">
        <v>5.4</v>
      </c>
      <c r="H7219" t="n">
        <v>0</v>
      </c>
      <c r="I7219" t="n">
        <v>0</v>
      </c>
      <c r="J7219" t="n">
        <v>0</v>
      </c>
      <c r="K7219" t="n">
        <v>0</v>
      </c>
      <c r="L7219" t="n">
        <v>0</v>
      </c>
      <c r="M7219" t="n">
        <v>0</v>
      </c>
      <c r="N7219" t="n">
        <v>0</v>
      </c>
      <c r="O7219" t="n">
        <v>0</v>
      </c>
      <c r="P7219" t="n">
        <v>0</v>
      </c>
      <c r="Q7219" t="n">
        <v>0</v>
      </c>
      <c r="R7219" s="2" t="inlineStr"/>
    </row>
    <row r="7220" ht="15" customHeight="1">
      <c r="A7220" t="inlineStr">
        <is>
          <t>A 9858-2026</t>
        </is>
      </c>
      <c r="B7220" s="1" t="n">
        <v>46072.9233912037</v>
      </c>
      <c r="C7220" s="1" t="n">
        <v>46114</v>
      </c>
      <c r="D7220" t="inlineStr">
        <is>
          <t>DALARNAS LÄN</t>
        </is>
      </c>
      <c r="E7220" t="inlineStr">
        <is>
          <t>LEKSAND</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34555-2023</t>
        </is>
      </c>
      <c r="B7221" s="1" t="n">
        <v>45140.50491898148</v>
      </c>
      <c r="C7221" s="1" t="n">
        <v>46114</v>
      </c>
      <c r="D7221" t="inlineStr">
        <is>
          <t>DALARNAS LÄN</t>
        </is>
      </c>
      <c r="E7221" t="inlineStr">
        <is>
          <t>LUDVIKA</t>
        </is>
      </c>
      <c r="F7221" t="inlineStr">
        <is>
          <t>Bergvik skog väst AB</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814-2026</t>
        </is>
      </c>
      <c r="B7222" s="1" t="n">
        <v>46030.34128472222</v>
      </c>
      <c r="C7222" s="1" t="n">
        <v>46114</v>
      </c>
      <c r="D7222" t="inlineStr">
        <is>
          <t>DALARNAS LÄN</t>
        </is>
      </c>
      <c r="E7222" t="inlineStr">
        <is>
          <t>AVESTA</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47328-2023</t>
        </is>
      </c>
      <c r="B7223" s="1" t="n">
        <v>45202.52186342593</v>
      </c>
      <c r="C7223" s="1" t="n">
        <v>46114</v>
      </c>
      <c r="D7223" t="inlineStr">
        <is>
          <t>DALARNAS LÄN</t>
        </is>
      </c>
      <c r="E7223" t="inlineStr">
        <is>
          <t>FALUN</t>
        </is>
      </c>
      <c r="G7223" t="n">
        <v>2.2</v>
      </c>
      <c r="H7223" t="n">
        <v>0</v>
      </c>
      <c r="I7223" t="n">
        <v>0</v>
      </c>
      <c r="J7223" t="n">
        <v>0</v>
      </c>
      <c r="K7223" t="n">
        <v>0</v>
      </c>
      <c r="L7223" t="n">
        <v>0</v>
      </c>
      <c r="M7223" t="n">
        <v>0</v>
      </c>
      <c r="N7223" t="n">
        <v>0</v>
      </c>
      <c r="O7223" t="n">
        <v>0</v>
      </c>
      <c r="P7223" t="n">
        <v>0</v>
      </c>
      <c r="Q7223" t="n">
        <v>0</v>
      </c>
      <c r="R7223" s="2" t="inlineStr"/>
    </row>
    <row r="7224" ht="15" customHeight="1">
      <c r="A7224" t="inlineStr">
        <is>
          <t>A 1851-2026</t>
        </is>
      </c>
      <c r="B7224" s="1" t="n">
        <v>46035.41511574074</v>
      </c>
      <c r="C7224" s="1" t="n">
        <v>46114</v>
      </c>
      <c r="D7224" t="inlineStr">
        <is>
          <t>DALARNAS LÄN</t>
        </is>
      </c>
      <c r="E7224" t="inlineStr">
        <is>
          <t>FALUN</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2017-2026</t>
        </is>
      </c>
      <c r="B7225" s="1" t="n">
        <v>46035.71475694444</v>
      </c>
      <c r="C7225" s="1" t="n">
        <v>46114</v>
      </c>
      <c r="D7225" t="inlineStr">
        <is>
          <t>DALARNAS LÄN</t>
        </is>
      </c>
      <c r="E7225" t="inlineStr">
        <is>
          <t>FALUN</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2029-2026</t>
        </is>
      </c>
      <c r="B7226" s="1" t="n">
        <v>46035.730625</v>
      </c>
      <c r="C7226" s="1" t="n">
        <v>46114</v>
      </c>
      <c r="D7226" t="inlineStr">
        <is>
          <t>DALARNAS LÄN</t>
        </is>
      </c>
      <c r="E7226" t="inlineStr">
        <is>
          <t>FALUN</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1721-2026</t>
        </is>
      </c>
      <c r="B7227" s="1" t="n">
        <v>46034</v>
      </c>
      <c r="C7227" s="1" t="n">
        <v>46114</v>
      </c>
      <c r="D7227" t="inlineStr">
        <is>
          <t>DALARNAS LÄN</t>
        </is>
      </c>
      <c r="E7227" t="inlineStr">
        <is>
          <t>HEDEMORA</t>
        </is>
      </c>
      <c r="G7227" t="n">
        <v>4.4</v>
      </c>
      <c r="H7227" t="n">
        <v>0</v>
      </c>
      <c r="I7227" t="n">
        <v>0</v>
      </c>
      <c r="J7227" t="n">
        <v>0</v>
      </c>
      <c r="K7227" t="n">
        <v>0</v>
      </c>
      <c r="L7227" t="n">
        <v>0</v>
      </c>
      <c r="M7227" t="n">
        <v>0</v>
      </c>
      <c r="N7227" t="n">
        <v>0</v>
      </c>
      <c r="O7227" t="n">
        <v>0</v>
      </c>
      <c r="P7227" t="n">
        <v>0</v>
      </c>
      <c r="Q7227" t="n">
        <v>0</v>
      </c>
      <c r="R7227" s="2" t="inlineStr"/>
    </row>
    <row r="7228" ht="15" customHeight="1">
      <c r="A7228" t="inlineStr">
        <is>
          <t>A 1758-2026</t>
        </is>
      </c>
      <c r="B7228" s="1" t="n">
        <v>46034.66954861111</v>
      </c>
      <c r="C7228" s="1" t="n">
        <v>46114</v>
      </c>
      <c r="D7228" t="inlineStr">
        <is>
          <t>DALARNAS LÄN</t>
        </is>
      </c>
      <c r="E7228" t="inlineStr">
        <is>
          <t>MALUNG-SÄLEN</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1960-2026</t>
        </is>
      </c>
      <c r="B7229" s="1" t="n">
        <v>46035</v>
      </c>
      <c r="C7229" s="1" t="n">
        <v>46114</v>
      </c>
      <c r="D7229" t="inlineStr">
        <is>
          <t>DALARNAS LÄN</t>
        </is>
      </c>
      <c r="E7229" t="inlineStr">
        <is>
          <t>LEKSAND</t>
        </is>
      </c>
      <c r="G7229" t="n">
        <v>4.3</v>
      </c>
      <c r="H7229" t="n">
        <v>0</v>
      </c>
      <c r="I7229" t="n">
        <v>0</v>
      </c>
      <c r="J7229" t="n">
        <v>0</v>
      </c>
      <c r="K7229" t="n">
        <v>0</v>
      </c>
      <c r="L7229" t="n">
        <v>0</v>
      </c>
      <c r="M7229" t="n">
        <v>0</v>
      </c>
      <c r="N7229" t="n">
        <v>0</v>
      </c>
      <c r="O7229" t="n">
        <v>0</v>
      </c>
      <c r="P7229" t="n">
        <v>0</v>
      </c>
      <c r="Q7229" t="n">
        <v>0</v>
      </c>
      <c r="R7229" s="2" t="inlineStr"/>
    </row>
    <row r="7230" ht="15" customHeight="1">
      <c r="A7230" t="inlineStr">
        <is>
          <t>A 2034-2026</t>
        </is>
      </c>
      <c r="B7230" s="1" t="n">
        <v>46035</v>
      </c>
      <c r="C7230" s="1" t="n">
        <v>46114</v>
      </c>
      <c r="D7230" t="inlineStr">
        <is>
          <t>DALARNAS LÄN</t>
        </is>
      </c>
      <c r="E7230" t="inlineStr">
        <is>
          <t>HEDEMORA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1449-2026</t>
        </is>
      </c>
      <c r="B7231" s="1" t="n">
        <v>46033.23923611111</v>
      </c>
      <c r="C7231" s="1" t="n">
        <v>46114</v>
      </c>
      <c r="D7231" t="inlineStr">
        <is>
          <t>DALARNAS LÄN</t>
        </is>
      </c>
      <c r="E7231" t="inlineStr">
        <is>
          <t>HEDEMORA</t>
        </is>
      </c>
      <c r="G7231" t="n">
        <v>13.5</v>
      </c>
      <c r="H7231" t="n">
        <v>0</v>
      </c>
      <c r="I7231" t="n">
        <v>0</v>
      </c>
      <c r="J7231" t="n">
        <v>0</v>
      </c>
      <c r="K7231" t="n">
        <v>0</v>
      </c>
      <c r="L7231" t="n">
        <v>0</v>
      </c>
      <c r="M7231" t="n">
        <v>0</v>
      </c>
      <c r="N7231" t="n">
        <v>0</v>
      </c>
      <c r="O7231" t="n">
        <v>0</v>
      </c>
      <c r="P7231" t="n">
        <v>0</v>
      </c>
      <c r="Q7231" t="n">
        <v>0</v>
      </c>
      <c r="R7231" s="2" t="inlineStr"/>
    </row>
    <row r="7232" ht="15" customHeight="1">
      <c r="A7232" t="inlineStr">
        <is>
          <t>A 1458-2026</t>
        </is>
      </c>
      <c r="B7232" s="1" t="n">
        <v>46033.62140046297</v>
      </c>
      <c r="C7232" s="1" t="n">
        <v>46114</v>
      </c>
      <c r="D7232" t="inlineStr">
        <is>
          <t>DALARNAS LÄN</t>
        </is>
      </c>
      <c r="E7232" t="inlineStr">
        <is>
          <t>RÄTTVIK</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1685-2026</t>
        </is>
      </c>
      <c r="B7233" s="1" t="n">
        <v>46034.58451388889</v>
      </c>
      <c r="C7233" s="1" t="n">
        <v>46114</v>
      </c>
      <c r="D7233" t="inlineStr">
        <is>
          <t>DALARNAS LÄN</t>
        </is>
      </c>
      <c r="E7233" t="inlineStr">
        <is>
          <t>MALUNG-SÄLEN</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1727-2026</t>
        </is>
      </c>
      <c r="B7234" s="1" t="n">
        <v>46034.62599537037</v>
      </c>
      <c r="C7234" s="1" t="n">
        <v>46114</v>
      </c>
      <c r="D7234" t="inlineStr">
        <is>
          <t>DALARNAS LÄN</t>
        </is>
      </c>
      <c r="E7234" t="inlineStr">
        <is>
          <t>FALUN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1791-2026</t>
        </is>
      </c>
      <c r="B7235" s="1" t="n">
        <v>46034.90341435185</v>
      </c>
      <c r="C7235" s="1" t="n">
        <v>46114</v>
      </c>
      <c r="D7235" t="inlineStr">
        <is>
          <t>DALARNAS LÄN</t>
        </is>
      </c>
      <c r="E7235" t="inlineStr">
        <is>
          <t>FALUN</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1821-2026</t>
        </is>
      </c>
      <c r="B7236" s="1" t="n">
        <v>46035.36212962963</v>
      </c>
      <c r="C7236" s="1" t="n">
        <v>46114</v>
      </c>
      <c r="D7236" t="inlineStr">
        <is>
          <t>DALARNAS LÄN</t>
        </is>
      </c>
      <c r="E7236" t="inlineStr">
        <is>
          <t>VANSBRO</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1831-2026</t>
        </is>
      </c>
      <c r="B7237" s="1" t="n">
        <v>46035</v>
      </c>
      <c r="C7237" s="1" t="n">
        <v>46114</v>
      </c>
      <c r="D7237" t="inlineStr">
        <is>
          <t>DALARNAS LÄN</t>
        </is>
      </c>
      <c r="E7237" t="inlineStr">
        <is>
          <t>BORLÄNGE</t>
        </is>
      </c>
      <c r="F7237" t="inlineStr">
        <is>
          <t>Övriga statliga verk och myndigheter</t>
        </is>
      </c>
      <c r="G7237" t="n">
        <v>3.1</v>
      </c>
      <c r="H7237" t="n">
        <v>0</v>
      </c>
      <c r="I7237" t="n">
        <v>0</v>
      </c>
      <c r="J7237" t="n">
        <v>0</v>
      </c>
      <c r="K7237" t="n">
        <v>0</v>
      </c>
      <c r="L7237" t="n">
        <v>0</v>
      </c>
      <c r="M7237" t="n">
        <v>0</v>
      </c>
      <c r="N7237" t="n">
        <v>0</v>
      </c>
      <c r="O7237" t="n">
        <v>0</v>
      </c>
      <c r="P7237" t="n">
        <v>0</v>
      </c>
      <c r="Q7237" t="n">
        <v>0</v>
      </c>
      <c r="R7237" s="2" t="inlineStr"/>
    </row>
    <row r="7238" ht="15" customHeight="1">
      <c r="A7238" t="inlineStr">
        <is>
          <t>A 60113-2022</t>
        </is>
      </c>
      <c r="B7238" s="1" t="n">
        <v>44909</v>
      </c>
      <c r="C7238" s="1" t="n">
        <v>46114</v>
      </c>
      <c r="D7238" t="inlineStr">
        <is>
          <t>DALARNAS LÄN</t>
        </is>
      </c>
      <c r="E7238" t="inlineStr">
        <is>
          <t>LEKSAND</t>
        </is>
      </c>
      <c r="G7238" t="n">
        <v>3.7</v>
      </c>
      <c r="H7238" t="n">
        <v>0</v>
      </c>
      <c r="I7238" t="n">
        <v>0</v>
      </c>
      <c r="J7238" t="n">
        <v>0</v>
      </c>
      <c r="K7238" t="n">
        <v>0</v>
      </c>
      <c r="L7238" t="n">
        <v>0</v>
      </c>
      <c r="M7238" t="n">
        <v>0</v>
      </c>
      <c r="N7238" t="n">
        <v>0</v>
      </c>
      <c r="O7238" t="n">
        <v>0</v>
      </c>
      <c r="P7238" t="n">
        <v>0</v>
      </c>
      <c r="Q7238" t="n">
        <v>0</v>
      </c>
      <c r="R7238" s="2" t="inlineStr"/>
    </row>
    <row r="7239" ht="15" customHeight="1">
      <c r="A7239" t="inlineStr">
        <is>
          <t>A 1950-2026</t>
        </is>
      </c>
      <c r="B7239" s="1" t="n">
        <v>46035</v>
      </c>
      <c r="C7239" s="1" t="n">
        <v>46114</v>
      </c>
      <c r="D7239" t="inlineStr">
        <is>
          <t>DALARNAS LÄN</t>
        </is>
      </c>
      <c r="E7239" t="inlineStr">
        <is>
          <t>LEKSAND</t>
        </is>
      </c>
      <c r="G7239" t="n">
        <v>5.3</v>
      </c>
      <c r="H7239" t="n">
        <v>0</v>
      </c>
      <c r="I7239" t="n">
        <v>0</v>
      </c>
      <c r="J7239" t="n">
        <v>0</v>
      </c>
      <c r="K7239" t="n">
        <v>0</v>
      </c>
      <c r="L7239" t="n">
        <v>0</v>
      </c>
      <c r="M7239" t="n">
        <v>0</v>
      </c>
      <c r="N7239" t="n">
        <v>0</v>
      </c>
      <c r="O7239" t="n">
        <v>0</v>
      </c>
      <c r="P7239" t="n">
        <v>0</v>
      </c>
      <c r="Q7239" t="n">
        <v>0</v>
      </c>
      <c r="R7239" s="2" t="inlineStr"/>
    </row>
    <row r="7240" ht="15" customHeight="1">
      <c r="A7240" t="inlineStr">
        <is>
          <t>A 10195-2026</t>
        </is>
      </c>
      <c r="B7240" s="1" t="n">
        <v>46076.4662962963</v>
      </c>
      <c r="C7240" s="1" t="n">
        <v>46114</v>
      </c>
      <c r="D7240" t="inlineStr">
        <is>
          <t>DALARNAS LÄN</t>
        </is>
      </c>
      <c r="E7240" t="inlineStr">
        <is>
          <t>ORSA</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1461-2026</t>
        </is>
      </c>
      <c r="B7241" s="1" t="n">
        <v>46033.68042824074</v>
      </c>
      <c r="C7241" s="1" t="n">
        <v>46114</v>
      </c>
      <c r="D7241" t="inlineStr">
        <is>
          <t>DALARNAS LÄN</t>
        </is>
      </c>
      <c r="E7241" t="inlineStr">
        <is>
          <t>RÄTTVIK</t>
        </is>
      </c>
      <c r="F7241" t="inlineStr">
        <is>
          <t>Bergvik skog väst AB</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1462-2026</t>
        </is>
      </c>
      <c r="B7242" s="1" t="n">
        <v>46033.68228009259</v>
      </c>
      <c r="C7242" s="1" t="n">
        <v>46114</v>
      </c>
      <c r="D7242" t="inlineStr">
        <is>
          <t>DALARNAS LÄN</t>
        </is>
      </c>
      <c r="E7242" t="inlineStr">
        <is>
          <t>RÄTTVIK</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1681-2026</t>
        </is>
      </c>
      <c r="B7243" s="1" t="n">
        <v>46034.58243055556</v>
      </c>
      <c r="C7243" s="1" t="n">
        <v>46114</v>
      </c>
      <c r="D7243" t="inlineStr">
        <is>
          <t>DALARNAS LÄN</t>
        </is>
      </c>
      <c r="E7243" t="inlineStr">
        <is>
          <t>MALUNG-SÄLEN</t>
        </is>
      </c>
      <c r="G7243" t="n">
        <v>7.1</v>
      </c>
      <c r="H7243" t="n">
        <v>0</v>
      </c>
      <c r="I7243" t="n">
        <v>0</v>
      </c>
      <c r="J7243" t="n">
        <v>0</v>
      </c>
      <c r="K7243" t="n">
        <v>0</v>
      </c>
      <c r="L7243" t="n">
        <v>0</v>
      </c>
      <c r="M7243" t="n">
        <v>0</v>
      </c>
      <c r="N7243" t="n">
        <v>0</v>
      </c>
      <c r="O7243" t="n">
        <v>0</v>
      </c>
      <c r="P7243" t="n">
        <v>0</v>
      </c>
      <c r="Q7243" t="n">
        <v>0</v>
      </c>
      <c r="R7243" s="2" t="inlineStr"/>
    </row>
    <row r="7244" ht="15" customHeight="1">
      <c r="A7244" t="inlineStr">
        <is>
          <t>A 1694-2026</t>
        </is>
      </c>
      <c r="B7244" s="1" t="n">
        <v>46034.59151620371</v>
      </c>
      <c r="C7244" s="1" t="n">
        <v>46114</v>
      </c>
      <c r="D7244" t="inlineStr">
        <is>
          <t>DALARNAS LÄN</t>
        </is>
      </c>
      <c r="E7244" t="inlineStr">
        <is>
          <t>VANSBRO</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31823-2024</t>
        </is>
      </c>
      <c r="B7245" s="1" t="n">
        <v>45509.60517361111</v>
      </c>
      <c r="C7245" s="1" t="n">
        <v>46114</v>
      </c>
      <c r="D7245" t="inlineStr">
        <is>
          <t>DALARNAS LÄN</t>
        </is>
      </c>
      <c r="E7245" t="inlineStr">
        <is>
          <t>MALUNG-SÄLEN</t>
        </is>
      </c>
      <c r="G7245" t="n">
        <v>1</v>
      </c>
      <c r="H7245" t="n">
        <v>0</v>
      </c>
      <c r="I7245" t="n">
        <v>0</v>
      </c>
      <c r="J7245" t="n">
        <v>0</v>
      </c>
      <c r="K7245" t="n">
        <v>0</v>
      </c>
      <c r="L7245" t="n">
        <v>0</v>
      </c>
      <c r="M7245" t="n">
        <v>0</v>
      </c>
      <c r="N7245" t="n">
        <v>0</v>
      </c>
      <c r="O7245" t="n">
        <v>0</v>
      </c>
      <c r="P7245" t="n">
        <v>0</v>
      </c>
      <c r="Q7245" t="n">
        <v>0</v>
      </c>
      <c r="R7245" s="2" t="inlineStr"/>
    </row>
    <row r="7246" ht="15" customHeight="1">
      <c r="A7246" t="inlineStr">
        <is>
          <t>A 19550-2023</t>
        </is>
      </c>
      <c r="B7246" s="1" t="n">
        <v>45049</v>
      </c>
      <c r="C7246" s="1" t="n">
        <v>46114</v>
      </c>
      <c r="D7246" t="inlineStr">
        <is>
          <t>DALARNAS LÄN</t>
        </is>
      </c>
      <c r="E7246" t="inlineStr">
        <is>
          <t>LEKSAND</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10438-2026</t>
        </is>
      </c>
      <c r="B7247" s="1" t="n">
        <v>46077.40596064815</v>
      </c>
      <c r="C7247" s="1" t="n">
        <v>46114</v>
      </c>
      <c r="D7247" t="inlineStr">
        <is>
          <t>DALARNAS LÄN</t>
        </is>
      </c>
      <c r="E7247" t="inlineStr">
        <is>
          <t>SMEDJEBACKEN</t>
        </is>
      </c>
      <c r="G7247" t="n">
        <v>3.4</v>
      </c>
      <c r="H7247" t="n">
        <v>0</v>
      </c>
      <c r="I7247" t="n">
        <v>0</v>
      </c>
      <c r="J7247" t="n">
        <v>0</v>
      </c>
      <c r="K7247" t="n">
        <v>0</v>
      </c>
      <c r="L7247" t="n">
        <v>0</v>
      </c>
      <c r="M7247" t="n">
        <v>0</v>
      </c>
      <c r="N7247" t="n">
        <v>0</v>
      </c>
      <c r="O7247" t="n">
        <v>0</v>
      </c>
      <c r="P7247" t="n">
        <v>0</v>
      </c>
      <c r="Q7247" t="n">
        <v>0</v>
      </c>
      <c r="R7247" s="2" t="inlineStr"/>
    </row>
    <row r="7248" ht="15" customHeight="1">
      <c r="A7248" t="inlineStr">
        <is>
          <t>A 31915-2024</t>
        </is>
      </c>
      <c r="B7248" s="1" t="n">
        <v>45510.38956018518</v>
      </c>
      <c r="C7248" s="1" t="n">
        <v>46114</v>
      </c>
      <c r="D7248" t="inlineStr">
        <is>
          <t>DALARNAS LÄN</t>
        </is>
      </c>
      <c r="E7248" t="inlineStr">
        <is>
          <t>LEKSAND</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19773-2024</t>
        </is>
      </c>
      <c r="B7249" s="1" t="n">
        <v>45432.72061342592</v>
      </c>
      <c r="C7249" s="1" t="n">
        <v>46114</v>
      </c>
      <c r="D7249" t="inlineStr">
        <is>
          <t>DALARNAS LÄN</t>
        </is>
      </c>
      <c r="E7249" t="inlineStr">
        <is>
          <t>SÄTER</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10202-2026</t>
        </is>
      </c>
      <c r="B7250" s="1" t="n">
        <v>46076.47400462963</v>
      </c>
      <c r="C7250" s="1" t="n">
        <v>46114</v>
      </c>
      <c r="D7250" t="inlineStr">
        <is>
          <t>DALARNAS LÄN</t>
        </is>
      </c>
      <c r="E7250" t="inlineStr">
        <is>
          <t>ORSA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45521-2024</t>
        </is>
      </c>
      <c r="B7251" s="1" t="n">
        <v>45578.71738425926</v>
      </c>
      <c r="C7251" s="1" t="n">
        <v>46114</v>
      </c>
      <c r="D7251" t="inlineStr">
        <is>
          <t>DALARNAS LÄN</t>
        </is>
      </c>
      <c r="E7251" t="inlineStr">
        <is>
          <t>GAGNEF</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1646-2026</t>
        </is>
      </c>
      <c r="B7252" s="1" t="n">
        <v>46034.50962962963</v>
      </c>
      <c r="C7252" s="1" t="n">
        <v>46114</v>
      </c>
      <c r="D7252" t="inlineStr">
        <is>
          <t>DALARNAS LÄN</t>
        </is>
      </c>
      <c r="E7252" t="inlineStr">
        <is>
          <t>RÄTTVIK</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48825-2023</t>
        </is>
      </c>
      <c r="B7253" s="1" t="n">
        <v>45203</v>
      </c>
      <c r="C7253" s="1" t="n">
        <v>46114</v>
      </c>
      <c r="D7253" t="inlineStr">
        <is>
          <t>DALARNAS LÄN</t>
        </is>
      </c>
      <c r="E7253" t="inlineStr">
        <is>
          <t>MORA</t>
        </is>
      </c>
      <c r="G7253" t="n">
        <v>7.9</v>
      </c>
      <c r="H7253" t="n">
        <v>0</v>
      </c>
      <c r="I7253" t="n">
        <v>0</v>
      </c>
      <c r="J7253" t="n">
        <v>0</v>
      </c>
      <c r="K7253" t="n">
        <v>0</v>
      </c>
      <c r="L7253" t="n">
        <v>0</v>
      </c>
      <c r="M7253" t="n">
        <v>0</v>
      </c>
      <c r="N7253" t="n">
        <v>0</v>
      </c>
      <c r="O7253" t="n">
        <v>0</v>
      </c>
      <c r="P7253" t="n">
        <v>0</v>
      </c>
      <c r="Q7253" t="n">
        <v>0</v>
      </c>
      <c r="R7253" s="2" t="inlineStr"/>
    </row>
    <row r="7254" ht="15" customHeight="1">
      <c r="A7254" t="inlineStr">
        <is>
          <t>A 51480-2022</t>
        </is>
      </c>
      <c r="B7254" s="1" t="n">
        <v>44869.57961805556</v>
      </c>
      <c r="C7254" s="1" t="n">
        <v>46114</v>
      </c>
      <c r="D7254" t="inlineStr">
        <is>
          <t>DALARNAS LÄN</t>
        </is>
      </c>
      <c r="E7254" t="inlineStr">
        <is>
          <t>LEKSAND</t>
        </is>
      </c>
      <c r="F7254" t="inlineStr">
        <is>
          <t>Bergvik skog väst AB</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1836-2026</t>
        </is>
      </c>
      <c r="B7255" s="1" t="n">
        <v>46035.38809027777</v>
      </c>
      <c r="C7255" s="1" t="n">
        <v>46114</v>
      </c>
      <c r="D7255" t="inlineStr">
        <is>
          <t>DALARNAS LÄN</t>
        </is>
      </c>
      <c r="E7255" t="inlineStr">
        <is>
          <t>FALUN</t>
        </is>
      </c>
      <c r="G7255" t="n">
        <v>1.8</v>
      </c>
      <c r="H7255" t="n">
        <v>0</v>
      </c>
      <c r="I7255" t="n">
        <v>0</v>
      </c>
      <c r="J7255" t="n">
        <v>0</v>
      </c>
      <c r="K7255" t="n">
        <v>0</v>
      </c>
      <c r="L7255" t="n">
        <v>0</v>
      </c>
      <c r="M7255" t="n">
        <v>0</v>
      </c>
      <c r="N7255" t="n">
        <v>0</v>
      </c>
      <c r="O7255" t="n">
        <v>0</v>
      </c>
      <c r="P7255" t="n">
        <v>0</v>
      </c>
      <c r="Q7255" t="n">
        <v>0</v>
      </c>
      <c r="R7255" s="2" t="inlineStr"/>
    </row>
    <row r="7256" ht="15" customHeight="1">
      <c r="A7256" t="inlineStr">
        <is>
          <t>A 1881-2026</t>
        </is>
      </c>
      <c r="B7256" s="1" t="n">
        <v>46035.4731712963</v>
      </c>
      <c r="C7256" s="1" t="n">
        <v>46114</v>
      </c>
      <c r="D7256" t="inlineStr">
        <is>
          <t>DALARNAS LÄN</t>
        </is>
      </c>
      <c r="E7256" t="inlineStr">
        <is>
          <t>MORA</t>
        </is>
      </c>
      <c r="G7256" t="n">
        <v>5.2</v>
      </c>
      <c r="H7256" t="n">
        <v>0</v>
      </c>
      <c r="I7256" t="n">
        <v>0</v>
      </c>
      <c r="J7256" t="n">
        <v>0</v>
      </c>
      <c r="K7256" t="n">
        <v>0</v>
      </c>
      <c r="L7256" t="n">
        <v>0</v>
      </c>
      <c r="M7256" t="n">
        <v>0</v>
      </c>
      <c r="N7256" t="n">
        <v>0</v>
      </c>
      <c r="O7256" t="n">
        <v>0</v>
      </c>
      <c r="P7256" t="n">
        <v>0</v>
      </c>
      <c r="Q7256" t="n">
        <v>0</v>
      </c>
      <c r="R7256" s="2" t="inlineStr"/>
    </row>
    <row r="7257" ht="15" customHeight="1">
      <c r="A7257" t="inlineStr">
        <is>
          <t>A 1899-2026</t>
        </is>
      </c>
      <c r="B7257" s="1" t="n">
        <v>46035</v>
      </c>
      <c r="C7257" s="1" t="n">
        <v>46114</v>
      </c>
      <c r="D7257" t="inlineStr">
        <is>
          <t>DALARNAS LÄN</t>
        </is>
      </c>
      <c r="E7257" t="inlineStr">
        <is>
          <t>LEKSAND</t>
        </is>
      </c>
      <c r="G7257" t="n">
        <v>3.6</v>
      </c>
      <c r="H7257" t="n">
        <v>0</v>
      </c>
      <c r="I7257" t="n">
        <v>0</v>
      </c>
      <c r="J7257" t="n">
        <v>0</v>
      </c>
      <c r="K7257" t="n">
        <v>0</v>
      </c>
      <c r="L7257" t="n">
        <v>0</v>
      </c>
      <c r="M7257" t="n">
        <v>0</v>
      </c>
      <c r="N7257" t="n">
        <v>0</v>
      </c>
      <c r="O7257" t="n">
        <v>0</v>
      </c>
      <c r="P7257" t="n">
        <v>0</v>
      </c>
      <c r="Q7257" t="n">
        <v>0</v>
      </c>
      <c r="R7257" s="2" t="inlineStr"/>
    </row>
    <row r="7258" ht="15" customHeight="1">
      <c r="A7258" t="inlineStr">
        <is>
          <t>A 50761-2022</t>
        </is>
      </c>
      <c r="B7258" s="1" t="n">
        <v>44862</v>
      </c>
      <c r="C7258" s="1" t="n">
        <v>46114</v>
      </c>
      <c r="D7258" t="inlineStr">
        <is>
          <t>DALARNAS LÄN</t>
        </is>
      </c>
      <c r="E7258" t="inlineStr">
        <is>
          <t>MALUNG-SÄLEN</t>
        </is>
      </c>
      <c r="G7258" t="n">
        <v>0.4</v>
      </c>
      <c r="H7258" t="n">
        <v>0</v>
      </c>
      <c r="I7258" t="n">
        <v>0</v>
      </c>
      <c r="J7258" t="n">
        <v>0</v>
      </c>
      <c r="K7258" t="n">
        <v>0</v>
      </c>
      <c r="L7258" t="n">
        <v>0</v>
      </c>
      <c r="M7258" t="n">
        <v>0</v>
      </c>
      <c r="N7258" t="n">
        <v>0</v>
      </c>
      <c r="O7258" t="n">
        <v>0</v>
      </c>
      <c r="P7258" t="n">
        <v>0</v>
      </c>
      <c r="Q7258" t="n">
        <v>0</v>
      </c>
      <c r="R7258" s="2" t="inlineStr"/>
    </row>
    <row r="7259" ht="15" customHeight="1">
      <c r="A7259" t="inlineStr">
        <is>
          <t>A 1472-2026</t>
        </is>
      </c>
      <c r="B7259" s="1" t="n">
        <v>46033.80243055556</v>
      </c>
      <c r="C7259" s="1" t="n">
        <v>46114</v>
      </c>
      <c r="D7259" t="inlineStr">
        <is>
          <t>DALARNAS LÄN</t>
        </is>
      </c>
      <c r="E7259" t="inlineStr">
        <is>
          <t>VANSBRO</t>
        </is>
      </c>
      <c r="G7259" t="n">
        <v>9.9</v>
      </c>
      <c r="H7259" t="n">
        <v>0</v>
      </c>
      <c r="I7259" t="n">
        <v>0</v>
      </c>
      <c r="J7259" t="n">
        <v>0</v>
      </c>
      <c r="K7259" t="n">
        <v>0</v>
      </c>
      <c r="L7259" t="n">
        <v>0</v>
      </c>
      <c r="M7259" t="n">
        <v>0</v>
      </c>
      <c r="N7259" t="n">
        <v>0</v>
      </c>
      <c r="O7259" t="n">
        <v>0</v>
      </c>
      <c r="P7259" t="n">
        <v>0</v>
      </c>
      <c r="Q7259" t="n">
        <v>0</v>
      </c>
      <c r="R7259" s="2" t="inlineStr"/>
    </row>
    <row r="7260" ht="15" customHeight="1">
      <c r="A7260" t="inlineStr">
        <is>
          <t>A 1711-2026</t>
        </is>
      </c>
      <c r="B7260" s="1" t="n">
        <v>46034.60328703704</v>
      </c>
      <c r="C7260" s="1" t="n">
        <v>46114</v>
      </c>
      <c r="D7260" t="inlineStr">
        <is>
          <t>DALARNAS LÄN</t>
        </is>
      </c>
      <c r="E7260" t="inlineStr">
        <is>
          <t>SÄTER</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1735-2026</t>
        </is>
      </c>
      <c r="B7261" s="1" t="n">
        <v>46034</v>
      </c>
      <c r="C7261" s="1" t="n">
        <v>46114</v>
      </c>
      <c r="D7261" t="inlineStr">
        <is>
          <t>DALARNAS LÄN</t>
        </is>
      </c>
      <c r="E7261" t="inlineStr">
        <is>
          <t>ORSA</t>
        </is>
      </c>
      <c r="G7261" t="n">
        <v>1.4</v>
      </c>
      <c r="H7261" t="n">
        <v>0</v>
      </c>
      <c r="I7261" t="n">
        <v>0</v>
      </c>
      <c r="J7261" t="n">
        <v>0</v>
      </c>
      <c r="K7261" t="n">
        <v>0</v>
      </c>
      <c r="L7261" t="n">
        <v>0</v>
      </c>
      <c r="M7261" t="n">
        <v>0</v>
      </c>
      <c r="N7261" t="n">
        <v>0</v>
      </c>
      <c r="O7261" t="n">
        <v>0</v>
      </c>
      <c r="P7261" t="n">
        <v>0</v>
      </c>
      <c r="Q7261" t="n">
        <v>0</v>
      </c>
      <c r="R7261" s="2" t="inlineStr"/>
    </row>
    <row r="7262" ht="15" customHeight="1">
      <c r="A7262" t="inlineStr">
        <is>
          <t>A 1736-2026</t>
        </is>
      </c>
      <c r="B7262" s="1" t="n">
        <v>46034.64164351852</v>
      </c>
      <c r="C7262" s="1" t="n">
        <v>46114</v>
      </c>
      <c r="D7262" t="inlineStr">
        <is>
          <t>DALARNAS LÄN</t>
        </is>
      </c>
      <c r="E7262" t="inlineStr">
        <is>
          <t>MALUNG-SÄLEN</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10209-2026</t>
        </is>
      </c>
      <c r="B7263" s="1" t="n">
        <v>46076.48559027778</v>
      </c>
      <c r="C7263" s="1" t="n">
        <v>46114</v>
      </c>
      <c r="D7263" t="inlineStr">
        <is>
          <t>DALARNAS LÄN</t>
        </is>
      </c>
      <c r="E7263" t="inlineStr">
        <is>
          <t>ORSA</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2239-2026</t>
        </is>
      </c>
      <c r="B7264" s="1" t="n">
        <v>46034</v>
      </c>
      <c r="C7264" s="1" t="n">
        <v>46114</v>
      </c>
      <c r="D7264" t="inlineStr">
        <is>
          <t>DALARNAS LÄN</t>
        </is>
      </c>
      <c r="E7264" t="inlineStr">
        <is>
          <t>FALUN</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60481-2024</t>
        </is>
      </c>
      <c r="B7265" s="1" t="n">
        <v>45643.63615740741</v>
      </c>
      <c r="C7265" s="1" t="n">
        <v>46114</v>
      </c>
      <c r="D7265" t="inlineStr">
        <is>
          <t>DALARNAS LÄN</t>
        </is>
      </c>
      <c r="E7265" t="inlineStr">
        <is>
          <t>VANSBRO</t>
        </is>
      </c>
      <c r="F7265" t="inlineStr">
        <is>
          <t>Bergvik skog väst AB</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2248-2026</t>
        </is>
      </c>
      <c r="B7266" s="1" t="n">
        <v>46034</v>
      </c>
      <c r="C7266" s="1" t="n">
        <v>46114</v>
      </c>
      <c r="D7266" t="inlineStr">
        <is>
          <t>DALARNAS LÄN</t>
        </is>
      </c>
      <c r="E7266" t="inlineStr">
        <is>
          <t>FALUN</t>
        </is>
      </c>
      <c r="G7266" t="n">
        <v>4.2</v>
      </c>
      <c r="H7266" t="n">
        <v>0</v>
      </c>
      <c r="I7266" t="n">
        <v>0</v>
      </c>
      <c r="J7266" t="n">
        <v>0</v>
      </c>
      <c r="K7266" t="n">
        <v>0</v>
      </c>
      <c r="L7266" t="n">
        <v>0</v>
      </c>
      <c r="M7266" t="n">
        <v>0</v>
      </c>
      <c r="N7266" t="n">
        <v>0</v>
      </c>
      <c r="O7266" t="n">
        <v>0</v>
      </c>
      <c r="P7266" t="n">
        <v>0</v>
      </c>
      <c r="Q7266" t="n">
        <v>0</v>
      </c>
      <c r="R7266" s="2" t="inlineStr"/>
    </row>
    <row r="7267" ht="15" customHeight="1">
      <c r="A7267" t="inlineStr">
        <is>
          <t>A 1952-2026</t>
        </is>
      </c>
      <c r="B7267" s="1" t="n">
        <v>46035.60548611111</v>
      </c>
      <c r="C7267" s="1" t="n">
        <v>46114</v>
      </c>
      <c r="D7267" t="inlineStr">
        <is>
          <t>DALARNAS LÄN</t>
        </is>
      </c>
      <c r="E7267" t="inlineStr">
        <is>
          <t>FALUN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2011-2026</t>
        </is>
      </c>
      <c r="B7268" s="1" t="n">
        <v>46035.70446759259</v>
      </c>
      <c r="C7268" s="1" t="n">
        <v>46114</v>
      </c>
      <c r="D7268" t="inlineStr">
        <is>
          <t>DALARNAS LÄN</t>
        </is>
      </c>
      <c r="E7268" t="inlineStr">
        <is>
          <t>FALUN</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2021-2026</t>
        </is>
      </c>
      <c r="B7269" s="1" t="n">
        <v>46035.71814814815</v>
      </c>
      <c r="C7269" s="1" t="n">
        <v>46114</v>
      </c>
      <c r="D7269" t="inlineStr">
        <is>
          <t>DALARNAS LÄN</t>
        </is>
      </c>
      <c r="E7269" t="inlineStr">
        <is>
          <t>FALUN</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2025-2026</t>
        </is>
      </c>
      <c r="B7270" s="1" t="n">
        <v>46035.72525462963</v>
      </c>
      <c r="C7270" s="1" t="n">
        <v>46114</v>
      </c>
      <c r="D7270" t="inlineStr">
        <is>
          <t>DALARNAS LÄN</t>
        </is>
      </c>
      <c r="E7270" t="inlineStr">
        <is>
          <t>FALUN</t>
        </is>
      </c>
      <c r="G7270" t="n">
        <v>3.2</v>
      </c>
      <c r="H7270" t="n">
        <v>0</v>
      </c>
      <c r="I7270" t="n">
        <v>0</v>
      </c>
      <c r="J7270" t="n">
        <v>0</v>
      </c>
      <c r="K7270" t="n">
        <v>0</v>
      </c>
      <c r="L7270" t="n">
        <v>0</v>
      </c>
      <c r="M7270" t="n">
        <v>0</v>
      </c>
      <c r="N7270" t="n">
        <v>0</v>
      </c>
      <c r="O7270" t="n">
        <v>0</v>
      </c>
      <c r="P7270" t="n">
        <v>0</v>
      </c>
      <c r="Q7270" t="n">
        <v>0</v>
      </c>
      <c r="R7270" s="2" t="inlineStr"/>
    </row>
    <row r="7271" ht="15" customHeight="1">
      <c r="A7271" t="inlineStr">
        <is>
          <t>A 14834-2024</t>
        </is>
      </c>
      <c r="B7271" s="1" t="n">
        <v>45398.3720949074</v>
      </c>
      <c r="C7271" s="1" t="n">
        <v>46114</v>
      </c>
      <c r="D7271" t="inlineStr">
        <is>
          <t>DALARNAS LÄN</t>
        </is>
      </c>
      <c r="E7271" t="inlineStr">
        <is>
          <t>FALUN</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39336-2023</t>
        </is>
      </c>
      <c r="B7272" s="1" t="n">
        <v>45166.59652777778</v>
      </c>
      <c r="C7272" s="1" t="n">
        <v>46114</v>
      </c>
      <c r="D7272" t="inlineStr">
        <is>
          <t>DALARNAS LÄN</t>
        </is>
      </c>
      <c r="E7272" t="inlineStr">
        <is>
          <t>VANSBRO</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41365-2023</t>
        </is>
      </c>
      <c r="B7273" s="1" t="n">
        <v>45174.84201388889</v>
      </c>
      <c r="C7273" s="1" t="n">
        <v>46114</v>
      </c>
      <c r="D7273" t="inlineStr">
        <is>
          <t>DALARNAS LÄN</t>
        </is>
      </c>
      <c r="E7273" t="inlineStr">
        <is>
          <t>GAGNEF</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12027-2023</t>
        </is>
      </c>
      <c r="B7274" s="1" t="n">
        <v>44995</v>
      </c>
      <c r="C7274" s="1" t="n">
        <v>46114</v>
      </c>
      <c r="D7274" t="inlineStr">
        <is>
          <t>DALARNAS LÄN</t>
        </is>
      </c>
      <c r="E7274" t="inlineStr">
        <is>
          <t>SMEDJEBACKEN</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1959-2026</t>
        </is>
      </c>
      <c r="B7275" s="1" t="n">
        <v>46035.62743055556</v>
      </c>
      <c r="C7275" s="1" t="n">
        <v>46114</v>
      </c>
      <c r="D7275" t="inlineStr">
        <is>
          <t>DALARNAS LÄN</t>
        </is>
      </c>
      <c r="E7275" t="inlineStr">
        <is>
          <t>FALUN</t>
        </is>
      </c>
      <c r="G7275" t="n">
        <v>0.9</v>
      </c>
      <c r="H7275" t="n">
        <v>0</v>
      </c>
      <c r="I7275" t="n">
        <v>0</v>
      </c>
      <c r="J7275" t="n">
        <v>0</v>
      </c>
      <c r="K7275" t="n">
        <v>0</v>
      </c>
      <c r="L7275" t="n">
        <v>0</v>
      </c>
      <c r="M7275" t="n">
        <v>0</v>
      </c>
      <c r="N7275" t="n">
        <v>0</v>
      </c>
      <c r="O7275" t="n">
        <v>0</v>
      </c>
      <c r="P7275" t="n">
        <v>0</v>
      </c>
      <c r="Q7275" t="n">
        <v>0</v>
      </c>
      <c r="R7275" s="2" t="inlineStr"/>
    </row>
    <row r="7276" ht="15" customHeight="1">
      <c r="A7276" t="inlineStr">
        <is>
          <t>A 1907-2026</t>
        </is>
      </c>
      <c r="B7276" s="1" t="n">
        <v>46035.55181712963</v>
      </c>
      <c r="C7276" s="1" t="n">
        <v>46114</v>
      </c>
      <c r="D7276" t="inlineStr">
        <is>
          <t>DALARNAS LÄN</t>
        </is>
      </c>
      <c r="E7276" t="inlineStr">
        <is>
          <t>MALUNG-SÄLEN</t>
        </is>
      </c>
      <c r="F7276" t="inlineStr">
        <is>
          <t>Bergvik skog väst AB</t>
        </is>
      </c>
      <c r="G7276" t="n">
        <v>3.6</v>
      </c>
      <c r="H7276" t="n">
        <v>0</v>
      </c>
      <c r="I7276" t="n">
        <v>0</v>
      </c>
      <c r="J7276" t="n">
        <v>0</v>
      </c>
      <c r="K7276" t="n">
        <v>0</v>
      </c>
      <c r="L7276" t="n">
        <v>0</v>
      </c>
      <c r="M7276" t="n">
        <v>0</v>
      </c>
      <c r="N7276" t="n">
        <v>0</v>
      </c>
      <c r="O7276" t="n">
        <v>0</v>
      </c>
      <c r="P7276" t="n">
        <v>0</v>
      </c>
      <c r="Q7276" t="n">
        <v>0</v>
      </c>
      <c r="R7276" s="2" t="inlineStr"/>
    </row>
    <row r="7277" ht="15" customHeight="1">
      <c r="A7277" t="inlineStr">
        <is>
          <t>A 1905-2026</t>
        </is>
      </c>
      <c r="B7277" s="1" t="n">
        <v>46035.54915509259</v>
      </c>
      <c r="C7277" s="1" t="n">
        <v>46114</v>
      </c>
      <c r="D7277" t="inlineStr">
        <is>
          <t>DALARNAS LÄN</t>
        </is>
      </c>
      <c r="E7277" t="inlineStr">
        <is>
          <t>HEDEMORA</t>
        </is>
      </c>
      <c r="G7277" t="n">
        <v>7.1</v>
      </c>
      <c r="H7277" t="n">
        <v>0</v>
      </c>
      <c r="I7277" t="n">
        <v>0</v>
      </c>
      <c r="J7277" t="n">
        <v>0</v>
      </c>
      <c r="K7277" t="n">
        <v>0</v>
      </c>
      <c r="L7277" t="n">
        <v>0</v>
      </c>
      <c r="M7277" t="n">
        <v>0</v>
      </c>
      <c r="N7277" t="n">
        <v>0</v>
      </c>
      <c r="O7277" t="n">
        <v>0</v>
      </c>
      <c r="P7277" t="n">
        <v>0</v>
      </c>
      <c r="Q7277" t="n">
        <v>0</v>
      </c>
      <c r="R7277" s="2" t="inlineStr"/>
    </row>
    <row r="7278" ht="15" customHeight="1">
      <c r="A7278" t="inlineStr">
        <is>
          <t>A 19866-2025</t>
        </is>
      </c>
      <c r="B7278" s="1" t="n">
        <v>45771.54035879629</v>
      </c>
      <c r="C7278" s="1" t="n">
        <v>46114</v>
      </c>
      <c r="D7278" t="inlineStr">
        <is>
          <t>DALARNAS LÄN</t>
        </is>
      </c>
      <c r="E7278" t="inlineStr">
        <is>
          <t>SMEDJEBACKEN</t>
        </is>
      </c>
      <c r="F7278" t="inlineStr">
        <is>
          <t>Sveaskog</t>
        </is>
      </c>
      <c r="G7278" t="n">
        <v>8.5</v>
      </c>
      <c r="H7278" t="n">
        <v>0</v>
      </c>
      <c r="I7278" t="n">
        <v>0</v>
      </c>
      <c r="J7278" t="n">
        <v>0</v>
      </c>
      <c r="K7278" t="n">
        <v>0</v>
      </c>
      <c r="L7278" t="n">
        <v>0</v>
      </c>
      <c r="M7278" t="n">
        <v>0</v>
      </c>
      <c r="N7278" t="n">
        <v>0</v>
      </c>
      <c r="O7278" t="n">
        <v>0</v>
      </c>
      <c r="P7278" t="n">
        <v>0</v>
      </c>
      <c r="Q7278" t="n">
        <v>0</v>
      </c>
      <c r="R7278" s="2" t="inlineStr"/>
    </row>
    <row r="7279" ht="15" customHeight="1">
      <c r="A7279" t="inlineStr">
        <is>
          <t>A 1490-2026</t>
        </is>
      </c>
      <c r="B7279" s="1" t="n">
        <v>46034</v>
      </c>
      <c r="C7279" s="1" t="n">
        <v>46114</v>
      </c>
      <c r="D7279" t="inlineStr">
        <is>
          <t>DALARNAS LÄN</t>
        </is>
      </c>
      <c r="E7279" t="inlineStr">
        <is>
          <t>FALUN</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10381-2026</t>
        </is>
      </c>
      <c r="B7280" s="1" t="n">
        <v>46076.86967592593</v>
      </c>
      <c r="C7280" s="1" t="n">
        <v>46114</v>
      </c>
      <c r="D7280" t="inlineStr">
        <is>
          <t>DALARNAS LÄN</t>
        </is>
      </c>
      <c r="E7280" t="inlineStr">
        <is>
          <t>LUDVIKA</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42290-2024</t>
        </is>
      </c>
      <c r="B7281" s="1" t="n">
        <v>45562.61946759259</v>
      </c>
      <c r="C7281" s="1" t="n">
        <v>46114</v>
      </c>
      <c r="D7281" t="inlineStr">
        <is>
          <t>DALARNAS LÄN</t>
        </is>
      </c>
      <c r="E7281" t="inlineStr">
        <is>
          <t>AVESTA</t>
        </is>
      </c>
      <c r="F7281" t="inlineStr">
        <is>
          <t>Sveaskog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1426-2026</t>
        </is>
      </c>
      <c r="B7282" s="1" t="n">
        <v>46031.91140046297</v>
      </c>
      <c r="C7282" s="1" t="n">
        <v>46114</v>
      </c>
      <c r="D7282" t="inlineStr">
        <is>
          <t>DALARNAS LÄN</t>
        </is>
      </c>
      <c r="E7282" t="inlineStr">
        <is>
          <t>FALUN</t>
        </is>
      </c>
      <c r="G7282" t="n">
        <v>2.2</v>
      </c>
      <c r="H7282" t="n">
        <v>0</v>
      </c>
      <c r="I7282" t="n">
        <v>0</v>
      </c>
      <c r="J7282" t="n">
        <v>0</v>
      </c>
      <c r="K7282" t="n">
        <v>0</v>
      </c>
      <c r="L7282" t="n">
        <v>0</v>
      </c>
      <c r="M7282" t="n">
        <v>0</v>
      </c>
      <c r="N7282" t="n">
        <v>0</v>
      </c>
      <c r="O7282" t="n">
        <v>0</v>
      </c>
      <c r="P7282" t="n">
        <v>0</v>
      </c>
      <c r="Q7282" t="n">
        <v>0</v>
      </c>
      <c r="R7282" s="2" t="inlineStr"/>
    </row>
    <row r="7283" ht="15" customHeight="1">
      <c r="A7283" t="inlineStr">
        <is>
          <t>A 1644-2026</t>
        </is>
      </c>
      <c r="B7283" s="1" t="n">
        <v>46034.50521990741</v>
      </c>
      <c r="C7283" s="1" t="n">
        <v>46114</v>
      </c>
      <c r="D7283" t="inlineStr">
        <is>
          <t>DALARNAS LÄN</t>
        </is>
      </c>
      <c r="E7283" t="inlineStr">
        <is>
          <t>RÄTTVIK</t>
        </is>
      </c>
      <c r="G7283" t="n">
        <v>4.7</v>
      </c>
      <c r="H7283" t="n">
        <v>0</v>
      </c>
      <c r="I7283" t="n">
        <v>0</v>
      </c>
      <c r="J7283" t="n">
        <v>0</v>
      </c>
      <c r="K7283" t="n">
        <v>0</v>
      </c>
      <c r="L7283" t="n">
        <v>0</v>
      </c>
      <c r="M7283" t="n">
        <v>0</v>
      </c>
      <c r="N7283" t="n">
        <v>0</v>
      </c>
      <c r="O7283" t="n">
        <v>0</v>
      </c>
      <c r="P7283" t="n">
        <v>0</v>
      </c>
      <c r="Q7283" t="n">
        <v>0</v>
      </c>
      <c r="R7283" s="2" t="inlineStr"/>
    </row>
    <row r="7284" ht="15" customHeight="1">
      <c r="A7284" t="inlineStr">
        <is>
          <t>A 45083-2021</t>
        </is>
      </c>
      <c r="B7284" s="1" t="n">
        <v>44438</v>
      </c>
      <c r="C7284" s="1" t="n">
        <v>46114</v>
      </c>
      <c r="D7284" t="inlineStr">
        <is>
          <t>DALARNAS LÄN</t>
        </is>
      </c>
      <c r="E7284" t="inlineStr">
        <is>
          <t>BORLÄNGE</t>
        </is>
      </c>
      <c r="F7284" t="inlineStr">
        <is>
          <t>Bergvik skog väst AB</t>
        </is>
      </c>
      <c r="G7284" t="n">
        <v>3.2</v>
      </c>
      <c r="H7284" t="n">
        <v>0</v>
      </c>
      <c r="I7284" t="n">
        <v>0</v>
      </c>
      <c r="J7284" t="n">
        <v>0</v>
      </c>
      <c r="K7284" t="n">
        <v>0</v>
      </c>
      <c r="L7284" t="n">
        <v>0</v>
      </c>
      <c r="M7284" t="n">
        <v>0</v>
      </c>
      <c r="N7284" t="n">
        <v>0</v>
      </c>
      <c r="O7284" t="n">
        <v>0</v>
      </c>
      <c r="P7284" t="n">
        <v>0</v>
      </c>
      <c r="Q7284" t="n">
        <v>0</v>
      </c>
      <c r="R7284" s="2" t="inlineStr"/>
    </row>
    <row r="7285" ht="15" customHeight="1">
      <c r="A7285" t="inlineStr">
        <is>
          <t>A 53042-2025</t>
        </is>
      </c>
      <c r="B7285" s="1" t="n">
        <v>45958.35527777778</v>
      </c>
      <c r="C7285" s="1" t="n">
        <v>46114</v>
      </c>
      <c r="D7285" t="inlineStr">
        <is>
          <t>DALARNAS LÄN</t>
        </is>
      </c>
      <c r="E7285" t="inlineStr">
        <is>
          <t>HEDEMORA</t>
        </is>
      </c>
      <c r="F7285" t="inlineStr">
        <is>
          <t>Sveaskog</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1598-2026</t>
        </is>
      </c>
      <c r="B7286" s="1" t="n">
        <v>46034.45421296296</v>
      </c>
      <c r="C7286" s="1" t="n">
        <v>46114</v>
      </c>
      <c r="D7286" t="inlineStr">
        <is>
          <t>DALARNAS LÄN</t>
        </is>
      </c>
      <c r="E7286" t="inlineStr">
        <is>
          <t>BORLÄNGE</t>
        </is>
      </c>
      <c r="G7286" t="n">
        <v>5.2</v>
      </c>
      <c r="H7286" t="n">
        <v>0</v>
      </c>
      <c r="I7286" t="n">
        <v>0</v>
      </c>
      <c r="J7286" t="n">
        <v>0</v>
      </c>
      <c r="K7286" t="n">
        <v>0</v>
      </c>
      <c r="L7286" t="n">
        <v>0</v>
      </c>
      <c r="M7286" t="n">
        <v>0</v>
      </c>
      <c r="N7286" t="n">
        <v>0</v>
      </c>
      <c r="O7286" t="n">
        <v>0</v>
      </c>
      <c r="P7286" t="n">
        <v>0</v>
      </c>
      <c r="Q7286" t="n">
        <v>0</v>
      </c>
      <c r="R7286" s="2" t="inlineStr"/>
    </row>
    <row r="7287" ht="15" customHeight="1">
      <c r="A7287" t="inlineStr">
        <is>
          <t>A 10173-2026</t>
        </is>
      </c>
      <c r="B7287" s="1" t="n">
        <v>46076</v>
      </c>
      <c r="C7287" s="1" t="n">
        <v>46114</v>
      </c>
      <c r="D7287" t="inlineStr">
        <is>
          <t>DALARNAS LÄN</t>
        </is>
      </c>
      <c r="E7287" t="inlineStr">
        <is>
          <t>SÄTER</t>
        </is>
      </c>
      <c r="G7287" t="n">
        <v>1.6</v>
      </c>
      <c r="H7287" t="n">
        <v>0</v>
      </c>
      <c r="I7287" t="n">
        <v>0</v>
      </c>
      <c r="J7287" t="n">
        <v>0</v>
      </c>
      <c r="K7287" t="n">
        <v>0</v>
      </c>
      <c r="L7287" t="n">
        <v>0</v>
      </c>
      <c r="M7287" t="n">
        <v>0</v>
      </c>
      <c r="N7287" t="n">
        <v>0</v>
      </c>
      <c r="O7287" t="n">
        <v>0</v>
      </c>
      <c r="P7287" t="n">
        <v>0</v>
      </c>
      <c r="Q7287" t="n">
        <v>0</v>
      </c>
      <c r="R7287" s="2" t="inlineStr"/>
    </row>
    <row r="7288" ht="15" customHeight="1">
      <c r="A7288" t="inlineStr">
        <is>
          <t>A 1885-2026</t>
        </is>
      </c>
      <c r="B7288" s="1" t="n">
        <v>46035</v>
      </c>
      <c r="C7288" s="1" t="n">
        <v>46114</v>
      </c>
      <c r="D7288" t="inlineStr">
        <is>
          <t>DALARNAS LÄN</t>
        </is>
      </c>
      <c r="E7288" t="inlineStr">
        <is>
          <t>HEDEMORA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38426-2024</t>
        </is>
      </c>
      <c r="B7289" s="1" t="n">
        <v>45546.3780787037</v>
      </c>
      <c r="C7289" s="1" t="n">
        <v>46114</v>
      </c>
      <c r="D7289" t="inlineStr">
        <is>
          <t>DALARNAS LÄN</t>
        </is>
      </c>
      <c r="E7289" t="inlineStr">
        <is>
          <t>GAGNEF</t>
        </is>
      </c>
      <c r="F7289" t="inlineStr">
        <is>
          <t>Bergvik skog väst AB</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10151-2026</t>
        </is>
      </c>
      <c r="B7290" s="1" t="n">
        <v>46076.3596875</v>
      </c>
      <c r="C7290" s="1" t="n">
        <v>46114</v>
      </c>
      <c r="D7290" t="inlineStr">
        <is>
          <t>DALARNAS LÄN</t>
        </is>
      </c>
      <c r="E7290" t="inlineStr">
        <is>
          <t>ORSA</t>
        </is>
      </c>
      <c r="F7290" t="inlineStr">
        <is>
          <t>Bergvik skog öst AB</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55580-2024</t>
        </is>
      </c>
      <c r="B7291" s="1" t="n">
        <v>45622.56038194444</v>
      </c>
      <c r="C7291" s="1" t="n">
        <v>46114</v>
      </c>
      <c r="D7291" t="inlineStr">
        <is>
          <t>DALARNAS LÄN</t>
        </is>
      </c>
      <c r="E7291" t="inlineStr">
        <is>
          <t>ORSA</t>
        </is>
      </c>
      <c r="G7291" t="n">
        <v>2</v>
      </c>
      <c r="H7291" t="n">
        <v>0</v>
      </c>
      <c r="I7291" t="n">
        <v>0</v>
      </c>
      <c r="J7291" t="n">
        <v>0</v>
      </c>
      <c r="K7291" t="n">
        <v>0</v>
      </c>
      <c r="L7291" t="n">
        <v>0</v>
      </c>
      <c r="M7291" t="n">
        <v>0</v>
      </c>
      <c r="N7291" t="n">
        <v>0</v>
      </c>
      <c r="O7291" t="n">
        <v>0</v>
      </c>
      <c r="P7291" t="n">
        <v>0</v>
      </c>
      <c r="Q7291" t="n">
        <v>0</v>
      </c>
      <c r="R7291" s="2" t="inlineStr"/>
    </row>
    <row r="7292" ht="15" customHeight="1">
      <c r="A7292" t="inlineStr">
        <is>
          <t>A 16597-2024</t>
        </is>
      </c>
      <c r="B7292" s="1" t="n">
        <v>45408.52283564815</v>
      </c>
      <c r="C7292" s="1" t="n">
        <v>46114</v>
      </c>
      <c r="D7292" t="inlineStr">
        <is>
          <t>DALARNAS LÄN</t>
        </is>
      </c>
      <c r="E7292" t="inlineStr">
        <is>
          <t>SMEDJEBACKEN</t>
        </is>
      </c>
      <c r="F7292" t="inlineStr">
        <is>
          <t>Sveaskog</t>
        </is>
      </c>
      <c r="G7292" t="n">
        <v>0.4</v>
      </c>
      <c r="H7292" t="n">
        <v>0</v>
      </c>
      <c r="I7292" t="n">
        <v>0</v>
      </c>
      <c r="J7292" t="n">
        <v>0</v>
      </c>
      <c r="K7292" t="n">
        <v>0</v>
      </c>
      <c r="L7292" t="n">
        <v>0</v>
      </c>
      <c r="M7292" t="n">
        <v>0</v>
      </c>
      <c r="N7292" t="n">
        <v>0</v>
      </c>
      <c r="O7292" t="n">
        <v>0</v>
      </c>
      <c r="P7292" t="n">
        <v>0</v>
      </c>
      <c r="Q7292" t="n">
        <v>0</v>
      </c>
      <c r="R7292" s="2" t="inlineStr"/>
    </row>
    <row r="7293" ht="15" customHeight="1">
      <c r="A7293" t="inlineStr">
        <is>
          <t>A 43220-2024</t>
        </is>
      </c>
      <c r="B7293" s="1" t="n">
        <v>45567.86112268519</v>
      </c>
      <c r="C7293" s="1" t="n">
        <v>46114</v>
      </c>
      <c r="D7293" t="inlineStr">
        <is>
          <t>DALARNAS LÄN</t>
        </is>
      </c>
      <c r="E7293" t="inlineStr">
        <is>
          <t>LEKSAND</t>
        </is>
      </c>
      <c r="G7293" t="n">
        <v>0.9</v>
      </c>
      <c r="H7293" t="n">
        <v>0</v>
      </c>
      <c r="I7293" t="n">
        <v>0</v>
      </c>
      <c r="J7293" t="n">
        <v>0</v>
      </c>
      <c r="K7293" t="n">
        <v>0</v>
      </c>
      <c r="L7293" t="n">
        <v>0</v>
      </c>
      <c r="M7293" t="n">
        <v>0</v>
      </c>
      <c r="N7293" t="n">
        <v>0</v>
      </c>
      <c r="O7293" t="n">
        <v>0</v>
      </c>
      <c r="P7293" t="n">
        <v>0</v>
      </c>
      <c r="Q7293" t="n">
        <v>0</v>
      </c>
      <c r="R7293" s="2" t="inlineStr"/>
    </row>
    <row r="7294" ht="15" customHeight="1">
      <c r="A7294" t="inlineStr">
        <is>
          <t>A 61309-2022</t>
        </is>
      </c>
      <c r="B7294" s="1" t="n">
        <v>44915.64177083333</v>
      </c>
      <c r="C7294" s="1" t="n">
        <v>46114</v>
      </c>
      <c r="D7294" t="inlineStr">
        <is>
          <t>DALARNAS LÄN</t>
        </is>
      </c>
      <c r="E7294" t="inlineStr">
        <is>
          <t>LUDVIKA</t>
        </is>
      </c>
      <c r="F7294" t="inlineStr">
        <is>
          <t>Bergvik skog väst AB</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46721-2023</t>
        </is>
      </c>
      <c r="B7295" s="1" t="n">
        <v>45198.580625</v>
      </c>
      <c r="C7295" s="1" t="n">
        <v>46114</v>
      </c>
      <c r="D7295" t="inlineStr">
        <is>
          <t>DALARNAS LÄN</t>
        </is>
      </c>
      <c r="E7295" t="inlineStr">
        <is>
          <t>RÄTTVIK</t>
        </is>
      </c>
      <c r="G7295" t="n">
        <v>4</v>
      </c>
      <c r="H7295" t="n">
        <v>0</v>
      </c>
      <c r="I7295" t="n">
        <v>0</v>
      </c>
      <c r="J7295" t="n">
        <v>0</v>
      </c>
      <c r="K7295" t="n">
        <v>0</v>
      </c>
      <c r="L7295" t="n">
        <v>0</v>
      </c>
      <c r="M7295" t="n">
        <v>0</v>
      </c>
      <c r="N7295" t="n">
        <v>0</v>
      </c>
      <c r="O7295" t="n">
        <v>0</v>
      </c>
      <c r="P7295" t="n">
        <v>0</v>
      </c>
      <c r="Q7295" t="n">
        <v>0</v>
      </c>
      <c r="R7295" s="2" t="inlineStr"/>
    </row>
    <row r="7296" ht="15" customHeight="1">
      <c r="A7296" t="inlineStr">
        <is>
          <t>A 1767-2026</t>
        </is>
      </c>
      <c r="B7296" s="1" t="n">
        <v>46034</v>
      </c>
      <c r="C7296" s="1" t="n">
        <v>46114</v>
      </c>
      <c r="D7296" t="inlineStr">
        <is>
          <t>DALARNAS LÄN</t>
        </is>
      </c>
      <c r="E7296" t="inlineStr">
        <is>
          <t>FALUN</t>
        </is>
      </c>
      <c r="G7296" t="n">
        <v>3</v>
      </c>
      <c r="H7296" t="n">
        <v>0</v>
      </c>
      <c r="I7296" t="n">
        <v>0</v>
      </c>
      <c r="J7296" t="n">
        <v>0</v>
      </c>
      <c r="K7296" t="n">
        <v>0</v>
      </c>
      <c r="L7296" t="n">
        <v>0</v>
      </c>
      <c r="M7296" t="n">
        <v>0</v>
      </c>
      <c r="N7296" t="n">
        <v>0</v>
      </c>
      <c r="O7296" t="n">
        <v>0</v>
      </c>
      <c r="P7296" t="n">
        <v>0</v>
      </c>
      <c r="Q7296" t="n">
        <v>0</v>
      </c>
      <c r="R7296" s="2" t="inlineStr"/>
    </row>
    <row r="7297" ht="15" customHeight="1">
      <c r="A7297" t="inlineStr">
        <is>
          <t>A 1432-2026</t>
        </is>
      </c>
      <c r="B7297" s="1" t="n">
        <v>46032.41707175926</v>
      </c>
      <c r="C7297" s="1" t="n">
        <v>46114</v>
      </c>
      <c r="D7297" t="inlineStr">
        <is>
          <t>DALARNAS LÄN</t>
        </is>
      </c>
      <c r="E7297" t="inlineStr">
        <is>
          <t>GAGNEF</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1435-2026</t>
        </is>
      </c>
      <c r="B7298" s="1" t="n">
        <v>46032.55428240741</v>
      </c>
      <c r="C7298" s="1" t="n">
        <v>46114</v>
      </c>
      <c r="D7298" t="inlineStr">
        <is>
          <t>DALARNAS LÄN</t>
        </is>
      </c>
      <c r="E7298" t="inlineStr">
        <is>
          <t>FALUN</t>
        </is>
      </c>
      <c r="G7298" t="n">
        <v>7.3</v>
      </c>
      <c r="H7298" t="n">
        <v>0</v>
      </c>
      <c r="I7298" t="n">
        <v>0</v>
      </c>
      <c r="J7298" t="n">
        <v>0</v>
      </c>
      <c r="K7298" t="n">
        <v>0</v>
      </c>
      <c r="L7298" t="n">
        <v>0</v>
      </c>
      <c r="M7298" t="n">
        <v>0</v>
      </c>
      <c r="N7298" t="n">
        <v>0</v>
      </c>
      <c r="O7298" t="n">
        <v>0</v>
      </c>
      <c r="P7298" t="n">
        <v>0</v>
      </c>
      <c r="Q7298" t="n">
        <v>0</v>
      </c>
      <c r="R7298" s="2" t="inlineStr"/>
    </row>
    <row r="7299" ht="15" customHeight="1">
      <c r="A7299" t="inlineStr">
        <is>
          <t>A 1445-2026</t>
        </is>
      </c>
      <c r="B7299" s="1" t="n">
        <v>46032</v>
      </c>
      <c r="C7299" s="1" t="n">
        <v>46114</v>
      </c>
      <c r="D7299" t="inlineStr">
        <is>
          <t>DALARNAS LÄN</t>
        </is>
      </c>
      <c r="E7299" t="inlineStr">
        <is>
          <t>HEDEMORA</t>
        </is>
      </c>
      <c r="G7299" t="n">
        <v>4.4</v>
      </c>
      <c r="H7299" t="n">
        <v>0</v>
      </c>
      <c r="I7299" t="n">
        <v>0</v>
      </c>
      <c r="J7299" t="n">
        <v>0</v>
      </c>
      <c r="K7299" t="n">
        <v>0</v>
      </c>
      <c r="L7299" t="n">
        <v>0</v>
      </c>
      <c r="M7299" t="n">
        <v>0</v>
      </c>
      <c r="N7299" t="n">
        <v>0</v>
      </c>
      <c r="O7299" t="n">
        <v>0</v>
      </c>
      <c r="P7299" t="n">
        <v>0</v>
      </c>
      <c r="Q7299" t="n">
        <v>0</v>
      </c>
      <c r="R7299" s="2" t="inlineStr"/>
    </row>
    <row r="7300" ht="15" customHeight="1">
      <c r="A7300" t="inlineStr">
        <is>
          <t>A 10540-2024</t>
        </is>
      </c>
      <c r="B7300" s="1" t="n">
        <v>45366.55604166666</v>
      </c>
      <c r="C7300" s="1" t="n">
        <v>46114</v>
      </c>
      <c r="D7300" t="inlineStr">
        <is>
          <t>DALARNAS LÄN</t>
        </is>
      </c>
      <c r="E7300" t="inlineStr">
        <is>
          <t>SÄTER</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1442-2026</t>
        </is>
      </c>
      <c r="B7301" s="1" t="n">
        <v>46032.66289351852</v>
      </c>
      <c r="C7301" s="1" t="n">
        <v>46114</v>
      </c>
      <c r="D7301" t="inlineStr">
        <is>
          <t>DALARNAS LÄN</t>
        </is>
      </c>
      <c r="E7301" t="inlineStr">
        <is>
          <t>FALUN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1446-2026</t>
        </is>
      </c>
      <c r="B7302" s="1" t="n">
        <v>46032.83798611111</v>
      </c>
      <c r="C7302" s="1" t="n">
        <v>46114</v>
      </c>
      <c r="D7302" t="inlineStr">
        <is>
          <t>DALARNAS LÄN</t>
        </is>
      </c>
      <c r="E7302" t="inlineStr">
        <is>
          <t>FALUN</t>
        </is>
      </c>
      <c r="G7302" t="n">
        <v>3</v>
      </c>
      <c r="H7302" t="n">
        <v>0</v>
      </c>
      <c r="I7302" t="n">
        <v>0</v>
      </c>
      <c r="J7302" t="n">
        <v>0</v>
      </c>
      <c r="K7302" t="n">
        <v>0</v>
      </c>
      <c r="L7302" t="n">
        <v>0</v>
      </c>
      <c r="M7302" t="n">
        <v>0</v>
      </c>
      <c r="N7302" t="n">
        <v>0</v>
      </c>
      <c r="O7302" t="n">
        <v>0</v>
      </c>
      <c r="P7302" t="n">
        <v>0</v>
      </c>
      <c r="Q7302" t="n">
        <v>0</v>
      </c>
      <c r="R7302" s="2" t="inlineStr"/>
    </row>
    <row r="7303" ht="15" customHeight="1">
      <c r="A7303" t="inlineStr">
        <is>
          <t>A 27559-2023</t>
        </is>
      </c>
      <c r="B7303" s="1" t="n">
        <v>45097</v>
      </c>
      <c r="C7303" s="1" t="n">
        <v>46114</v>
      </c>
      <c r="D7303" t="inlineStr">
        <is>
          <t>DALARNAS LÄN</t>
        </is>
      </c>
      <c r="E7303" t="inlineStr">
        <is>
          <t>MALUNG-SÄLEN</t>
        </is>
      </c>
      <c r="G7303" t="n">
        <v>5.3</v>
      </c>
      <c r="H7303" t="n">
        <v>0</v>
      </c>
      <c r="I7303" t="n">
        <v>0</v>
      </c>
      <c r="J7303" t="n">
        <v>0</v>
      </c>
      <c r="K7303" t="n">
        <v>0</v>
      </c>
      <c r="L7303" t="n">
        <v>0</v>
      </c>
      <c r="M7303" t="n">
        <v>0</v>
      </c>
      <c r="N7303" t="n">
        <v>0</v>
      </c>
      <c r="O7303" t="n">
        <v>0</v>
      </c>
      <c r="P7303" t="n">
        <v>0</v>
      </c>
      <c r="Q7303" t="n">
        <v>0</v>
      </c>
      <c r="R7303" s="2" t="inlineStr"/>
    </row>
    <row r="7304" ht="15" customHeight="1">
      <c r="A7304" t="inlineStr">
        <is>
          <t>A 1519-2026</t>
        </is>
      </c>
      <c r="B7304" s="1" t="n">
        <v>46034</v>
      </c>
      <c r="C7304" s="1" t="n">
        <v>46114</v>
      </c>
      <c r="D7304" t="inlineStr">
        <is>
          <t>DALARNAS LÄN</t>
        </is>
      </c>
      <c r="E7304" t="inlineStr">
        <is>
          <t>HEDEMORA</t>
        </is>
      </c>
      <c r="G7304" t="n">
        <v>6.6</v>
      </c>
      <c r="H7304" t="n">
        <v>0</v>
      </c>
      <c r="I7304" t="n">
        <v>0</v>
      </c>
      <c r="J7304" t="n">
        <v>0</v>
      </c>
      <c r="K7304" t="n">
        <v>0</v>
      </c>
      <c r="L7304" t="n">
        <v>0</v>
      </c>
      <c r="M7304" t="n">
        <v>0</v>
      </c>
      <c r="N7304" t="n">
        <v>0</v>
      </c>
      <c r="O7304" t="n">
        <v>0</v>
      </c>
      <c r="P7304" t="n">
        <v>0</v>
      </c>
      <c r="Q7304" t="n">
        <v>0</v>
      </c>
      <c r="R7304" s="2" t="inlineStr"/>
      <c r="U7304">
        <f>HYPERLINK("https://klasma.github.io/Logging_2083/knärot/A 1519-2026 karta knärot.png", "A 1519-2026")</f>
        <v/>
      </c>
      <c r="V7304">
        <f>HYPERLINK("https://klasma.github.io/Logging_2083/klagomål/A 1519-2026 FSC-klagomål.docx", "A 1519-2026")</f>
        <v/>
      </c>
      <c r="W7304">
        <f>HYPERLINK("https://klasma.github.io/Logging_2083/klagomålsmail/A 1519-2026 FSC-klagomål mail.docx", "A 1519-2026")</f>
        <v/>
      </c>
      <c r="X7304">
        <f>HYPERLINK("https://klasma.github.io/Logging_2083/tillsyn/A 1519-2026 tillsynsbegäran.docx", "A 1519-2026")</f>
        <v/>
      </c>
      <c r="Y7304">
        <f>HYPERLINK("https://klasma.github.io/Logging_2083/tillsynsmail/A 1519-2026 tillsynsbegäran mail.docx", "A 1519-2026")</f>
        <v/>
      </c>
    </row>
    <row r="7305" ht="15" customHeight="1">
      <c r="A7305" t="inlineStr">
        <is>
          <t>A 29780-2024</t>
        </is>
      </c>
      <c r="B7305" s="1" t="n">
        <v>45485.45513888889</v>
      </c>
      <c r="C7305" s="1" t="n">
        <v>46114</v>
      </c>
      <c r="D7305" t="inlineStr">
        <is>
          <t>DALARNAS LÄN</t>
        </is>
      </c>
      <c r="E7305" t="inlineStr">
        <is>
          <t>LUDVIKA</t>
        </is>
      </c>
      <c r="F7305" t="inlineStr">
        <is>
          <t>Bergvik skog väst AB</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10065-2026</t>
        </is>
      </c>
      <c r="B7306" s="1" t="n">
        <v>46073</v>
      </c>
      <c r="C7306" s="1" t="n">
        <v>46114</v>
      </c>
      <c r="D7306" t="inlineStr">
        <is>
          <t>DALARNAS LÄN</t>
        </is>
      </c>
      <c r="E7306" t="inlineStr">
        <is>
          <t>ORSA</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10173-2025</t>
        </is>
      </c>
      <c r="B7307" s="1" t="n">
        <v>45719.65857638889</v>
      </c>
      <c r="C7307" s="1" t="n">
        <v>46114</v>
      </c>
      <c r="D7307" t="inlineStr">
        <is>
          <t>DALARNAS LÄN</t>
        </is>
      </c>
      <c r="E7307" t="inlineStr">
        <is>
          <t>BORLÄNGE</t>
        </is>
      </c>
      <c r="G7307" t="n">
        <v>5.5</v>
      </c>
      <c r="H7307" t="n">
        <v>0</v>
      </c>
      <c r="I7307" t="n">
        <v>0</v>
      </c>
      <c r="J7307" t="n">
        <v>0</v>
      </c>
      <c r="K7307" t="n">
        <v>0</v>
      </c>
      <c r="L7307" t="n">
        <v>0</v>
      </c>
      <c r="M7307" t="n">
        <v>0</v>
      </c>
      <c r="N7307" t="n">
        <v>0</v>
      </c>
      <c r="O7307" t="n">
        <v>0</v>
      </c>
      <c r="P7307" t="n">
        <v>0</v>
      </c>
      <c r="Q7307" t="n">
        <v>0</v>
      </c>
      <c r="R7307" s="2" t="inlineStr"/>
    </row>
    <row r="7308" ht="15" customHeight="1">
      <c r="A7308" t="inlineStr">
        <is>
          <t>A 10160-2026</t>
        </is>
      </c>
      <c r="B7308" s="1" t="n">
        <v>46076</v>
      </c>
      <c r="C7308" s="1" t="n">
        <v>46114</v>
      </c>
      <c r="D7308" t="inlineStr">
        <is>
          <t>DALARNAS LÄN</t>
        </is>
      </c>
      <c r="E7308" t="inlineStr">
        <is>
          <t>HEDEMORA</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60788-2024</t>
        </is>
      </c>
      <c r="B7309" s="1" t="n">
        <v>45644.59341435185</v>
      </c>
      <c r="C7309" s="1" t="n">
        <v>46114</v>
      </c>
      <c r="D7309" t="inlineStr">
        <is>
          <t>DALARNAS LÄN</t>
        </is>
      </c>
      <c r="E7309" t="inlineStr">
        <is>
          <t>LUDVIKA</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53333-2024</t>
        </is>
      </c>
      <c r="B7310" s="1" t="n">
        <v>45614.42175925926</v>
      </c>
      <c r="C7310" s="1" t="n">
        <v>46114</v>
      </c>
      <c r="D7310" t="inlineStr">
        <is>
          <t>DALARNAS LÄN</t>
        </is>
      </c>
      <c r="E7310" t="inlineStr">
        <is>
          <t>MALUNG-SÄLEN</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32004-2024</t>
        </is>
      </c>
      <c r="B7311" s="1" t="n">
        <v>45510.60420138889</v>
      </c>
      <c r="C7311" s="1" t="n">
        <v>46114</v>
      </c>
      <c r="D7311" t="inlineStr">
        <is>
          <t>DALARNAS LÄN</t>
        </is>
      </c>
      <c r="E7311" t="inlineStr">
        <is>
          <t>MALUNG-SÄLEN</t>
        </is>
      </c>
      <c r="F7311" t="inlineStr">
        <is>
          <t>Bergvik skog väst AB</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60780-2024</t>
        </is>
      </c>
      <c r="B7312" s="1" t="n">
        <v>45644.59017361111</v>
      </c>
      <c r="C7312" s="1" t="n">
        <v>46114</v>
      </c>
      <c r="D7312" t="inlineStr">
        <is>
          <t>DALARNAS LÄN</t>
        </is>
      </c>
      <c r="E7312" t="inlineStr">
        <is>
          <t>HEDEMORA</t>
        </is>
      </c>
      <c r="F7312" t="inlineStr">
        <is>
          <t>Sveaskog</t>
        </is>
      </c>
      <c r="G7312" t="n">
        <v>4.3</v>
      </c>
      <c r="H7312" t="n">
        <v>0</v>
      </c>
      <c r="I7312" t="n">
        <v>0</v>
      </c>
      <c r="J7312" t="n">
        <v>0</v>
      </c>
      <c r="K7312" t="n">
        <v>0</v>
      </c>
      <c r="L7312" t="n">
        <v>0</v>
      </c>
      <c r="M7312" t="n">
        <v>0</v>
      </c>
      <c r="N7312" t="n">
        <v>0</v>
      </c>
      <c r="O7312" t="n">
        <v>0</v>
      </c>
      <c r="P7312" t="n">
        <v>0</v>
      </c>
      <c r="Q7312" t="n">
        <v>0</v>
      </c>
      <c r="R7312" s="2" t="inlineStr"/>
    </row>
    <row r="7313" ht="15" customHeight="1">
      <c r="A7313" t="inlineStr">
        <is>
          <t>A 10205-2026</t>
        </is>
      </c>
      <c r="B7313" s="1" t="n">
        <v>46076.47856481482</v>
      </c>
      <c r="C7313" s="1" t="n">
        <v>46114</v>
      </c>
      <c r="D7313" t="inlineStr">
        <is>
          <t>DALARNAS LÄN</t>
        </is>
      </c>
      <c r="E7313" t="inlineStr">
        <is>
          <t>ORSA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10210-2026</t>
        </is>
      </c>
      <c r="B7314" s="1" t="n">
        <v>46076.48800925926</v>
      </c>
      <c r="C7314" s="1" t="n">
        <v>46114</v>
      </c>
      <c r="D7314" t="inlineStr">
        <is>
          <t>DALARNAS LÄN</t>
        </is>
      </c>
      <c r="E7314" t="inlineStr">
        <is>
          <t>ORSA</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33768-2022</t>
        </is>
      </c>
      <c r="B7315" s="1" t="n">
        <v>44790.36503472222</v>
      </c>
      <c r="C7315" s="1" t="n">
        <v>46114</v>
      </c>
      <c r="D7315" t="inlineStr">
        <is>
          <t>DALARNAS LÄN</t>
        </is>
      </c>
      <c r="E7315" t="inlineStr">
        <is>
          <t>RÄTTVIK</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34603-2022</t>
        </is>
      </c>
      <c r="B7316" s="1" t="n">
        <v>44795</v>
      </c>
      <c r="C7316" s="1" t="n">
        <v>46114</v>
      </c>
      <c r="D7316" t="inlineStr">
        <is>
          <t>DALARNAS LÄN</t>
        </is>
      </c>
      <c r="E7316" t="inlineStr">
        <is>
          <t>MALUNG-SÄLEN</t>
        </is>
      </c>
      <c r="G7316" t="n">
        <v>5.4</v>
      </c>
      <c r="H7316" t="n">
        <v>0</v>
      </c>
      <c r="I7316" t="n">
        <v>0</v>
      </c>
      <c r="J7316" t="n">
        <v>0</v>
      </c>
      <c r="K7316" t="n">
        <v>0</v>
      </c>
      <c r="L7316" t="n">
        <v>0</v>
      </c>
      <c r="M7316" t="n">
        <v>0</v>
      </c>
      <c r="N7316" t="n">
        <v>0</v>
      </c>
      <c r="O7316" t="n">
        <v>0</v>
      </c>
      <c r="P7316" t="n">
        <v>0</v>
      </c>
      <c r="Q7316" t="n">
        <v>0</v>
      </c>
      <c r="R7316" s="2" t="inlineStr"/>
    </row>
    <row r="7317" ht="15" customHeight="1">
      <c r="A7317" t="inlineStr">
        <is>
          <t>A 60848-2024</t>
        </is>
      </c>
      <c r="B7317" s="1" t="n">
        <v>45644.65783564815</v>
      </c>
      <c r="C7317" s="1" t="n">
        <v>46114</v>
      </c>
      <c r="D7317" t="inlineStr">
        <is>
          <t>DALARNAS LÄN</t>
        </is>
      </c>
      <c r="E7317" t="inlineStr">
        <is>
          <t>VANSBRO</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60855-2024</t>
        </is>
      </c>
      <c r="B7318" s="1" t="n">
        <v>45644.6737037037</v>
      </c>
      <c r="C7318" s="1" t="n">
        <v>46114</v>
      </c>
      <c r="D7318" t="inlineStr">
        <is>
          <t>DALARNAS LÄN</t>
        </is>
      </c>
      <c r="E7318" t="inlineStr">
        <is>
          <t>MALUNG-SÄLEN</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1792-2026</t>
        </is>
      </c>
      <c r="B7319" s="1" t="n">
        <v>46034</v>
      </c>
      <c r="C7319" s="1" t="n">
        <v>46114</v>
      </c>
      <c r="D7319" t="inlineStr">
        <is>
          <t>DALARNAS LÄN</t>
        </is>
      </c>
      <c r="E7319" t="inlineStr">
        <is>
          <t>FALUN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1465-2026</t>
        </is>
      </c>
      <c r="B7320" s="1" t="n">
        <v>46033.69918981481</v>
      </c>
      <c r="C7320" s="1" t="n">
        <v>46114</v>
      </c>
      <c r="D7320" t="inlineStr">
        <is>
          <t>DALARNAS LÄN</t>
        </is>
      </c>
      <c r="E7320" t="inlineStr">
        <is>
          <t>FALUN</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10522-2026</t>
        </is>
      </c>
      <c r="B7321" s="1" t="n">
        <v>46077.58114583333</v>
      </c>
      <c r="C7321" s="1" t="n">
        <v>46114</v>
      </c>
      <c r="D7321" t="inlineStr">
        <is>
          <t>DALARNAS LÄN</t>
        </is>
      </c>
      <c r="E7321" t="inlineStr">
        <is>
          <t>ORSA</t>
        </is>
      </c>
      <c r="F7321" t="inlineStr">
        <is>
          <t>Bergvik skog öst AB</t>
        </is>
      </c>
      <c r="G7321" t="n">
        <v>13.7</v>
      </c>
      <c r="H7321" t="n">
        <v>0</v>
      </c>
      <c r="I7321" t="n">
        <v>0</v>
      </c>
      <c r="J7321" t="n">
        <v>0</v>
      </c>
      <c r="K7321" t="n">
        <v>0</v>
      </c>
      <c r="L7321" t="n">
        <v>0</v>
      </c>
      <c r="M7321" t="n">
        <v>0</v>
      </c>
      <c r="N7321" t="n">
        <v>0</v>
      </c>
      <c r="O7321" t="n">
        <v>0</v>
      </c>
      <c r="P7321" t="n">
        <v>0</v>
      </c>
      <c r="Q7321" t="n">
        <v>0</v>
      </c>
      <c r="R7321" s="2" t="inlineStr"/>
    </row>
    <row r="7322" ht="15" customHeight="1">
      <c r="A7322" t="inlineStr">
        <is>
          <t>A 10525-2026</t>
        </is>
      </c>
      <c r="B7322" s="1" t="n">
        <v>46077.58356481481</v>
      </c>
      <c r="C7322" s="1" t="n">
        <v>46114</v>
      </c>
      <c r="D7322" t="inlineStr">
        <is>
          <t>DALARNAS LÄN</t>
        </is>
      </c>
      <c r="E7322" t="inlineStr">
        <is>
          <t>ORSA</t>
        </is>
      </c>
      <c r="G7322" t="n">
        <v>1</v>
      </c>
      <c r="H7322" t="n">
        <v>0</v>
      </c>
      <c r="I7322" t="n">
        <v>0</v>
      </c>
      <c r="J7322" t="n">
        <v>0</v>
      </c>
      <c r="K7322" t="n">
        <v>0</v>
      </c>
      <c r="L7322" t="n">
        <v>0</v>
      </c>
      <c r="M7322" t="n">
        <v>0</v>
      </c>
      <c r="N7322" t="n">
        <v>0</v>
      </c>
      <c r="O7322" t="n">
        <v>0</v>
      </c>
      <c r="P7322" t="n">
        <v>0</v>
      </c>
      <c r="Q7322" t="n">
        <v>0</v>
      </c>
      <c r="R7322" s="2" t="inlineStr"/>
    </row>
    <row r="7323" ht="15" customHeight="1">
      <c r="A7323" t="inlineStr">
        <is>
          <t>A 9874-2026</t>
        </is>
      </c>
      <c r="B7323" s="1" t="n">
        <v>46073</v>
      </c>
      <c r="C7323" s="1" t="n">
        <v>46114</v>
      </c>
      <c r="D7323" t="inlineStr">
        <is>
          <t>DALARNAS LÄN</t>
        </is>
      </c>
      <c r="E7323" t="inlineStr">
        <is>
          <t>FALUN</t>
        </is>
      </c>
      <c r="F7323" t="inlineStr">
        <is>
          <t>Bergvik skog väst AB</t>
        </is>
      </c>
      <c r="G7323" t="n">
        <v>1.4</v>
      </c>
      <c r="H7323" t="n">
        <v>0</v>
      </c>
      <c r="I7323" t="n">
        <v>0</v>
      </c>
      <c r="J7323" t="n">
        <v>0</v>
      </c>
      <c r="K7323" t="n">
        <v>0</v>
      </c>
      <c r="L7323" t="n">
        <v>0</v>
      </c>
      <c r="M7323" t="n">
        <v>0</v>
      </c>
      <c r="N7323" t="n">
        <v>0</v>
      </c>
      <c r="O7323" t="n">
        <v>0</v>
      </c>
      <c r="P7323" t="n">
        <v>0</v>
      </c>
      <c r="Q7323" t="n">
        <v>0</v>
      </c>
      <c r="R7323" s="2" t="inlineStr"/>
    </row>
    <row r="7324" ht="15" customHeight="1">
      <c r="A7324" t="inlineStr">
        <is>
          <t>A 9878-2026</t>
        </is>
      </c>
      <c r="B7324" s="1" t="n">
        <v>46073</v>
      </c>
      <c r="C7324" s="1" t="n">
        <v>46114</v>
      </c>
      <c r="D7324" t="inlineStr">
        <is>
          <t>DALARNAS LÄN</t>
        </is>
      </c>
      <c r="E7324" t="inlineStr">
        <is>
          <t>FALUN</t>
        </is>
      </c>
      <c r="F7324" t="inlineStr">
        <is>
          <t>Bergvik skog väst AB</t>
        </is>
      </c>
      <c r="G7324" t="n">
        <v>4.2</v>
      </c>
      <c r="H7324" t="n">
        <v>0</v>
      </c>
      <c r="I7324" t="n">
        <v>0</v>
      </c>
      <c r="J7324" t="n">
        <v>0</v>
      </c>
      <c r="K7324" t="n">
        <v>0</v>
      </c>
      <c r="L7324" t="n">
        <v>0</v>
      </c>
      <c r="M7324" t="n">
        <v>0</v>
      </c>
      <c r="N7324" t="n">
        <v>0</v>
      </c>
      <c r="O7324" t="n">
        <v>0</v>
      </c>
      <c r="P7324" t="n">
        <v>0</v>
      </c>
      <c r="Q7324" t="n">
        <v>0</v>
      </c>
      <c r="R7324" s="2" t="inlineStr"/>
    </row>
    <row r="7325" ht="15" customHeight="1">
      <c r="A7325" t="inlineStr">
        <is>
          <t>A 9644-2026</t>
        </is>
      </c>
      <c r="B7325" s="1" t="n">
        <v>46072</v>
      </c>
      <c r="C7325" s="1" t="n">
        <v>46114</v>
      </c>
      <c r="D7325" t="inlineStr">
        <is>
          <t>DALARNAS LÄN</t>
        </is>
      </c>
      <c r="E7325" t="inlineStr">
        <is>
          <t>LEKSAND</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9840-2026</t>
        </is>
      </c>
      <c r="B7326" s="1" t="n">
        <v>46072</v>
      </c>
      <c r="C7326" s="1" t="n">
        <v>46114</v>
      </c>
      <c r="D7326" t="inlineStr">
        <is>
          <t>DALARNAS LÄN</t>
        </is>
      </c>
      <c r="E7326" t="inlineStr">
        <is>
          <t>FALUN</t>
        </is>
      </c>
      <c r="G7326" t="n">
        <v>6.7</v>
      </c>
      <c r="H7326" t="n">
        <v>0</v>
      </c>
      <c r="I7326" t="n">
        <v>0</v>
      </c>
      <c r="J7326" t="n">
        <v>0</v>
      </c>
      <c r="K7326" t="n">
        <v>0</v>
      </c>
      <c r="L7326" t="n">
        <v>0</v>
      </c>
      <c r="M7326" t="n">
        <v>0</v>
      </c>
      <c r="N7326" t="n">
        <v>0</v>
      </c>
      <c r="O7326" t="n">
        <v>0</v>
      </c>
      <c r="P7326" t="n">
        <v>0</v>
      </c>
      <c r="Q7326" t="n">
        <v>0</v>
      </c>
      <c r="R7326" s="2" t="inlineStr"/>
    </row>
    <row r="7327" ht="15" customHeight="1">
      <c r="A7327" t="inlineStr">
        <is>
          <t>A 29050-2023</t>
        </is>
      </c>
      <c r="B7327" s="1" t="n">
        <v>45104</v>
      </c>
      <c r="C7327" s="1" t="n">
        <v>46114</v>
      </c>
      <c r="D7327" t="inlineStr">
        <is>
          <t>DALARNAS LÄN</t>
        </is>
      </c>
      <c r="E7327" t="inlineStr">
        <is>
          <t>HEDEMORA</t>
        </is>
      </c>
      <c r="F7327" t="inlineStr">
        <is>
          <t>Sveaskog</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29193-2023</t>
        </is>
      </c>
      <c r="B7328" s="1" t="n">
        <v>45105.54791666667</v>
      </c>
      <c r="C7328" s="1" t="n">
        <v>46114</v>
      </c>
      <c r="D7328" t="inlineStr">
        <is>
          <t>DALARNAS LÄN</t>
        </is>
      </c>
      <c r="E7328" t="inlineStr">
        <is>
          <t>MORA</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10481-2026</t>
        </is>
      </c>
      <c r="B7329" s="1" t="n">
        <v>46077.49986111111</v>
      </c>
      <c r="C7329" s="1" t="n">
        <v>46114</v>
      </c>
      <c r="D7329" t="inlineStr">
        <is>
          <t>DALARNAS LÄN</t>
        </is>
      </c>
      <c r="E7329" t="inlineStr">
        <is>
          <t>ORSA</t>
        </is>
      </c>
      <c r="F7329" t="inlineStr">
        <is>
          <t>Bergvik skog öst AB</t>
        </is>
      </c>
      <c r="G7329" t="n">
        <v>11.1</v>
      </c>
      <c r="H7329" t="n">
        <v>0</v>
      </c>
      <c r="I7329" t="n">
        <v>0</v>
      </c>
      <c r="J7329" t="n">
        <v>0</v>
      </c>
      <c r="K7329" t="n">
        <v>0</v>
      </c>
      <c r="L7329" t="n">
        <v>0</v>
      </c>
      <c r="M7329" t="n">
        <v>0</v>
      </c>
      <c r="N7329" t="n">
        <v>0</v>
      </c>
      <c r="O7329" t="n">
        <v>0</v>
      </c>
      <c r="P7329" t="n">
        <v>0</v>
      </c>
      <c r="Q7329" t="n">
        <v>0</v>
      </c>
      <c r="R7329" s="2" t="inlineStr"/>
    </row>
    <row r="7330" ht="15" customHeight="1">
      <c r="A7330" t="inlineStr">
        <is>
          <t>A 10497-2026</t>
        </is>
      </c>
      <c r="B7330" s="1" t="n">
        <v>46077.54371527778</v>
      </c>
      <c r="C7330" s="1" t="n">
        <v>46114</v>
      </c>
      <c r="D7330" t="inlineStr">
        <is>
          <t>DALARNAS LÄN</t>
        </is>
      </c>
      <c r="E7330" t="inlineStr">
        <is>
          <t>RÄTTVIK</t>
        </is>
      </c>
      <c r="F7330" t="inlineStr">
        <is>
          <t>Bergvik skog väst AB</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10503-2026</t>
        </is>
      </c>
      <c r="B7331" s="1" t="n">
        <v>46077.55415509259</v>
      </c>
      <c r="C7331" s="1" t="n">
        <v>46114</v>
      </c>
      <c r="D7331" t="inlineStr">
        <is>
          <t>DALARNAS LÄN</t>
        </is>
      </c>
      <c r="E7331" t="inlineStr">
        <is>
          <t>RÄTTVIK</t>
        </is>
      </c>
      <c r="F7331" t="inlineStr">
        <is>
          <t>Bergvik skog väst AB</t>
        </is>
      </c>
      <c r="G7331" t="n">
        <v>8.9</v>
      </c>
      <c r="H7331" t="n">
        <v>0</v>
      </c>
      <c r="I7331" t="n">
        <v>0</v>
      </c>
      <c r="J7331" t="n">
        <v>0</v>
      </c>
      <c r="K7331" t="n">
        <v>0</v>
      </c>
      <c r="L7331" t="n">
        <v>0</v>
      </c>
      <c r="M7331" t="n">
        <v>0</v>
      </c>
      <c r="N7331" t="n">
        <v>0</v>
      </c>
      <c r="O7331" t="n">
        <v>0</v>
      </c>
      <c r="P7331" t="n">
        <v>0</v>
      </c>
      <c r="Q7331" t="n">
        <v>0</v>
      </c>
      <c r="R7331" s="2" t="inlineStr"/>
    </row>
    <row r="7332" ht="15" customHeight="1">
      <c r="A7332" t="inlineStr">
        <is>
          <t>A 367-2026</t>
        </is>
      </c>
      <c r="B7332" s="1" t="n">
        <v>46027</v>
      </c>
      <c r="C7332" s="1" t="n">
        <v>46114</v>
      </c>
      <c r="D7332" t="inlineStr">
        <is>
          <t>DALARNAS LÄN</t>
        </is>
      </c>
      <c r="E7332" t="inlineStr">
        <is>
          <t>LEKSAND</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1932-2026</t>
        </is>
      </c>
      <c r="B7333" s="1" t="n">
        <v>46035.58309027777</v>
      </c>
      <c r="C7333" s="1" t="n">
        <v>46114</v>
      </c>
      <c r="D7333" t="inlineStr">
        <is>
          <t>DALARNAS LÄN</t>
        </is>
      </c>
      <c r="E7333" t="inlineStr">
        <is>
          <t>FALUN</t>
        </is>
      </c>
      <c r="G7333" t="n">
        <v>26.7</v>
      </c>
      <c r="H7333" t="n">
        <v>0</v>
      </c>
      <c r="I7333" t="n">
        <v>0</v>
      </c>
      <c r="J7333" t="n">
        <v>0</v>
      </c>
      <c r="K7333" t="n">
        <v>0</v>
      </c>
      <c r="L7333" t="n">
        <v>0</v>
      </c>
      <c r="M7333" t="n">
        <v>0</v>
      </c>
      <c r="N7333" t="n">
        <v>0</v>
      </c>
      <c r="O7333" t="n">
        <v>0</v>
      </c>
      <c r="P7333" t="n">
        <v>0</v>
      </c>
      <c r="Q7333" t="n">
        <v>0</v>
      </c>
      <c r="R7333" s="2" t="inlineStr"/>
    </row>
    <row r="7334" ht="15" customHeight="1">
      <c r="A7334" t="inlineStr">
        <is>
          <t>A 18444-2024</t>
        </is>
      </c>
      <c r="B7334" s="1" t="n">
        <v>45425.45568287037</v>
      </c>
      <c r="C7334" s="1" t="n">
        <v>46114</v>
      </c>
      <c r="D7334" t="inlineStr">
        <is>
          <t>DALARNAS LÄN</t>
        </is>
      </c>
      <c r="E7334" t="inlineStr">
        <is>
          <t>MORA</t>
        </is>
      </c>
      <c r="G7334" t="n">
        <v>5</v>
      </c>
      <c r="H7334" t="n">
        <v>0</v>
      </c>
      <c r="I7334" t="n">
        <v>0</v>
      </c>
      <c r="J7334" t="n">
        <v>0</v>
      </c>
      <c r="K7334" t="n">
        <v>0</v>
      </c>
      <c r="L7334" t="n">
        <v>0</v>
      </c>
      <c r="M7334" t="n">
        <v>0</v>
      </c>
      <c r="N7334" t="n">
        <v>0</v>
      </c>
      <c r="O7334" t="n">
        <v>0</v>
      </c>
      <c r="P7334" t="n">
        <v>0</v>
      </c>
      <c r="Q7334" t="n">
        <v>0</v>
      </c>
      <c r="R7334" s="2" t="inlineStr"/>
    </row>
    <row r="7335" ht="15" customHeight="1">
      <c r="A7335" t="inlineStr">
        <is>
          <t>A 1951-2026</t>
        </is>
      </c>
      <c r="B7335" s="1" t="n">
        <v>46035.60332175926</v>
      </c>
      <c r="C7335" s="1" t="n">
        <v>46114</v>
      </c>
      <c r="D7335" t="inlineStr">
        <is>
          <t>DALARNAS LÄN</t>
        </is>
      </c>
      <c r="E7335" t="inlineStr">
        <is>
          <t>FALUN</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1443-2026</t>
        </is>
      </c>
      <c r="B7336" s="1" t="n">
        <v>46032.66321759259</v>
      </c>
      <c r="C7336" s="1" t="n">
        <v>46114</v>
      </c>
      <c r="D7336" t="inlineStr">
        <is>
          <t>DALARNAS LÄN</t>
        </is>
      </c>
      <c r="E7336" t="inlineStr">
        <is>
          <t>FALUN</t>
        </is>
      </c>
      <c r="G7336" t="n">
        <v>5</v>
      </c>
      <c r="H7336" t="n">
        <v>0</v>
      </c>
      <c r="I7336" t="n">
        <v>0</v>
      </c>
      <c r="J7336" t="n">
        <v>0</v>
      </c>
      <c r="K7336" t="n">
        <v>0</v>
      </c>
      <c r="L7336" t="n">
        <v>0</v>
      </c>
      <c r="M7336" t="n">
        <v>0</v>
      </c>
      <c r="N7336" t="n">
        <v>0</v>
      </c>
      <c r="O7336" t="n">
        <v>0</v>
      </c>
      <c r="P7336" t="n">
        <v>0</v>
      </c>
      <c r="Q7336" t="n">
        <v>0</v>
      </c>
      <c r="R7336" s="2" t="inlineStr"/>
    </row>
    <row r="7337" ht="15" customHeight="1">
      <c r="A7337" t="inlineStr">
        <is>
          <t>A 1451-2026</t>
        </is>
      </c>
      <c r="B7337" s="1" t="n">
        <v>46033</v>
      </c>
      <c r="C7337" s="1" t="n">
        <v>46114</v>
      </c>
      <c r="D7337" t="inlineStr">
        <is>
          <t>DALARNAS LÄN</t>
        </is>
      </c>
      <c r="E7337" t="inlineStr">
        <is>
          <t>HEDEMORA</t>
        </is>
      </c>
      <c r="G7337" t="n">
        <v>7</v>
      </c>
      <c r="H7337" t="n">
        <v>0</v>
      </c>
      <c r="I7337" t="n">
        <v>0</v>
      </c>
      <c r="J7337" t="n">
        <v>0</v>
      </c>
      <c r="K7337" t="n">
        <v>0</v>
      </c>
      <c r="L7337" t="n">
        <v>0</v>
      </c>
      <c r="M7337" t="n">
        <v>0</v>
      </c>
      <c r="N7337" t="n">
        <v>0</v>
      </c>
      <c r="O7337" t="n">
        <v>0</v>
      </c>
      <c r="P7337" t="n">
        <v>0</v>
      </c>
      <c r="Q7337" t="n">
        <v>0</v>
      </c>
      <c r="R7337" s="2" t="inlineStr"/>
    </row>
    <row r="7338" ht="15" customHeight="1">
      <c r="A7338" t="inlineStr">
        <is>
          <t>A 1459-2026</t>
        </is>
      </c>
      <c r="B7338" s="1" t="n">
        <v>46033.67060185185</v>
      </c>
      <c r="C7338" s="1" t="n">
        <v>46114</v>
      </c>
      <c r="D7338" t="inlineStr">
        <is>
          <t>DALARNAS LÄN</t>
        </is>
      </c>
      <c r="E7338" t="inlineStr">
        <is>
          <t>FALUN</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1464-2026</t>
        </is>
      </c>
      <c r="B7339" s="1" t="n">
        <v>46033.69634259259</v>
      </c>
      <c r="C7339" s="1" t="n">
        <v>46114</v>
      </c>
      <c r="D7339" t="inlineStr">
        <is>
          <t>DALARNAS LÄN</t>
        </is>
      </c>
      <c r="E7339" t="inlineStr">
        <is>
          <t>RÄTTVIK</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1509-2026</t>
        </is>
      </c>
      <c r="B7340" s="1" t="n">
        <v>46034</v>
      </c>
      <c r="C7340" s="1" t="n">
        <v>46114</v>
      </c>
      <c r="D7340" t="inlineStr">
        <is>
          <t>DALARNAS LÄN</t>
        </is>
      </c>
      <c r="E7340" t="inlineStr">
        <is>
          <t>VANSBRO</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1517-2026</t>
        </is>
      </c>
      <c r="B7341" s="1" t="n">
        <v>46034.35295138889</v>
      </c>
      <c r="C7341" s="1" t="n">
        <v>46114</v>
      </c>
      <c r="D7341" t="inlineStr">
        <is>
          <t>DALARNAS LÄN</t>
        </is>
      </c>
      <c r="E7341" t="inlineStr">
        <is>
          <t>SÄTER</t>
        </is>
      </c>
      <c r="G7341" t="n">
        <v>8.1</v>
      </c>
      <c r="H7341" t="n">
        <v>0</v>
      </c>
      <c r="I7341" t="n">
        <v>0</v>
      </c>
      <c r="J7341" t="n">
        <v>0</v>
      </c>
      <c r="K7341" t="n">
        <v>0</v>
      </c>
      <c r="L7341" t="n">
        <v>0</v>
      </c>
      <c r="M7341" t="n">
        <v>0</v>
      </c>
      <c r="N7341" t="n">
        <v>0</v>
      </c>
      <c r="O7341" t="n">
        <v>0</v>
      </c>
      <c r="P7341" t="n">
        <v>0</v>
      </c>
      <c r="Q7341" t="n">
        <v>0</v>
      </c>
      <c r="R7341" s="2" t="inlineStr"/>
    </row>
    <row r="7342" ht="15" customHeight="1">
      <c r="A7342" t="inlineStr">
        <is>
          <t>A 10383-2026</t>
        </is>
      </c>
      <c r="B7342" s="1" t="n">
        <v>46076.88342592592</v>
      </c>
      <c r="C7342" s="1" t="n">
        <v>46114</v>
      </c>
      <c r="D7342" t="inlineStr">
        <is>
          <t>DALARNAS LÄN</t>
        </is>
      </c>
      <c r="E7342" t="inlineStr">
        <is>
          <t>LUDVIKA</t>
        </is>
      </c>
      <c r="G7342" t="n">
        <v>3.4</v>
      </c>
      <c r="H7342" t="n">
        <v>0</v>
      </c>
      <c r="I7342" t="n">
        <v>0</v>
      </c>
      <c r="J7342" t="n">
        <v>0</v>
      </c>
      <c r="K7342" t="n">
        <v>0</v>
      </c>
      <c r="L7342" t="n">
        <v>0</v>
      </c>
      <c r="M7342" t="n">
        <v>0</v>
      </c>
      <c r="N7342" t="n">
        <v>0</v>
      </c>
      <c r="O7342" t="n">
        <v>0</v>
      </c>
      <c r="P7342" t="n">
        <v>0</v>
      </c>
      <c r="Q7342" t="n">
        <v>0</v>
      </c>
      <c r="R7342" s="2" t="inlineStr"/>
    </row>
    <row r="7343" ht="15" customHeight="1">
      <c r="A7343" t="inlineStr">
        <is>
          <t>A 36356-2021</t>
        </is>
      </c>
      <c r="B7343" s="1" t="n">
        <v>44384</v>
      </c>
      <c r="C7343" s="1" t="n">
        <v>46114</v>
      </c>
      <c r="D7343" t="inlineStr">
        <is>
          <t>DALARNAS LÄN</t>
        </is>
      </c>
      <c r="E7343" t="inlineStr">
        <is>
          <t>BORLÄNGE</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1716-2026</t>
        </is>
      </c>
      <c r="B7344" s="1" t="n">
        <v>46034.60967592592</v>
      </c>
      <c r="C7344" s="1" t="n">
        <v>46114</v>
      </c>
      <c r="D7344" t="inlineStr">
        <is>
          <t>DALARNAS LÄN</t>
        </is>
      </c>
      <c r="E7344" t="inlineStr">
        <is>
          <t>MALUNG-SÄLEN</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10349-2026</t>
        </is>
      </c>
      <c r="B7345" s="1" t="n">
        <v>46076.70033564815</v>
      </c>
      <c r="C7345" s="1" t="n">
        <v>46114</v>
      </c>
      <c r="D7345" t="inlineStr">
        <is>
          <t>DALARNAS LÄN</t>
        </is>
      </c>
      <c r="E7345" t="inlineStr">
        <is>
          <t>BORLÄNGE</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10435-2026</t>
        </is>
      </c>
      <c r="B7346" s="1" t="n">
        <v>46077.39891203704</v>
      </c>
      <c r="C7346" s="1" t="n">
        <v>46114</v>
      </c>
      <c r="D7346" t="inlineStr">
        <is>
          <t>DALARNAS LÄN</t>
        </is>
      </c>
      <c r="E7346" t="inlineStr">
        <is>
          <t>BORLÄNGE</t>
        </is>
      </c>
      <c r="G7346" t="n">
        <v>4.8</v>
      </c>
      <c r="H7346" t="n">
        <v>0</v>
      </c>
      <c r="I7346" t="n">
        <v>0</v>
      </c>
      <c r="J7346" t="n">
        <v>0</v>
      </c>
      <c r="K7346" t="n">
        <v>0</v>
      </c>
      <c r="L7346" t="n">
        <v>0</v>
      </c>
      <c r="M7346" t="n">
        <v>0</v>
      </c>
      <c r="N7346" t="n">
        <v>0</v>
      </c>
      <c r="O7346" t="n">
        <v>0</v>
      </c>
      <c r="P7346" t="n">
        <v>0</v>
      </c>
      <c r="Q7346" t="n">
        <v>0</v>
      </c>
      <c r="R7346" s="2" t="inlineStr"/>
    </row>
    <row r="7347" ht="15" customHeight="1">
      <c r="A7347" t="inlineStr">
        <is>
          <t>A 25150-2023</t>
        </is>
      </c>
      <c r="B7347" s="1" t="n">
        <v>45086</v>
      </c>
      <c r="C7347" s="1" t="n">
        <v>46114</v>
      </c>
      <c r="D7347" t="inlineStr">
        <is>
          <t>DALARNAS LÄN</t>
        </is>
      </c>
      <c r="E7347" t="inlineStr">
        <is>
          <t>HEDEMORA</t>
        </is>
      </c>
      <c r="F7347" t="inlineStr">
        <is>
          <t>Sveaskog</t>
        </is>
      </c>
      <c r="G7347" t="n">
        <v>1.6</v>
      </c>
      <c r="H7347" t="n">
        <v>0</v>
      </c>
      <c r="I7347" t="n">
        <v>0</v>
      </c>
      <c r="J7347" t="n">
        <v>0</v>
      </c>
      <c r="K7347" t="n">
        <v>0</v>
      </c>
      <c r="L7347" t="n">
        <v>0</v>
      </c>
      <c r="M7347" t="n">
        <v>0</v>
      </c>
      <c r="N7347" t="n">
        <v>0</v>
      </c>
      <c r="O7347" t="n">
        <v>0</v>
      </c>
      <c r="P7347" t="n">
        <v>0</v>
      </c>
      <c r="Q7347" t="n">
        <v>0</v>
      </c>
      <c r="R7347" s="2" t="inlineStr"/>
    </row>
    <row r="7348" ht="15" customHeight="1">
      <c r="A7348" t="inlineStr">
        <is>
          <t>A 69061-2021</t>
        </is>
      </c>
      <c r="B7348" s="1" t="n">
        <v>44529</v>
      </c>
      <c r="C7348" s="1" t="n">
        <v>46114</v>
      </c>
      <c r="D7348" t="inlineStr">
        <is>
          <t>DALARNAS LÄN</t>
        </is>
      </c>
      <c r="E7348" t="inlineStr">
        <is>
          <t>RÄTTVIK</t>
        </is>
      </c>
      <c r="G7348" t="n">
        <v>3</v>
      </c>
      <c r="H7348" t="n">
        <v>0</v>
      </c>
      <c r="I7348" t="n">
        <v>0</v>
      </c>
      <c r="J7348" t="n">
        <v>0</v>
      </c>
      <c r="K7348" t="n">
        <v>0</v>
      </c>
      <c r="L7348" t="n">
        <v>0</v>
      </c>
      <c r="M7348" t="n">
        <v>0</v>
      </c>
      <c r="N7348" t="n">
        <v>0</v>
      </c>
      <c r="O7348" t="n">
        <v>0</v>
      </c>
      <c r="P7348" t="n">
        <v>0</v>
      </c>
      <c r="Q7348" t="n">
        <v>0</v>
      </c>
      <c r="R7348" s="2" t="inlineStr"/>
      <c r="U7348">
        <f>HYPERLINK("https://klasma.github.io/Logging_2031/knärot/A 69061-2021 karta knärot.png", "A 69061-2021")</f>
        <v/>
      </c>
      <c r="V7348">
        <f>HYPERLINK("https://klasma.github.io/Logging_2031/klagomål/A 69061-2021 FSC-klagomål.docx", "A 69061-2021")</f>
        <v/>
      </c>
      <c r="W7348">
        <f>HYPERLINK("https://klasma.github.io/Logging_2031/klagomålsmail/A 69061-2021 FSC-klagomål mail.docx", "A 69061-2021")</f>
        <v/>
      </c>
      <c r="X7348">
        <f>HYPERLINK("https://klasma.github.io/Logging_2031/tillsyn/A 69061-2021 tillsynsbegäran.docx", "A 69061-2021")</f>
        <v/>
      </c>
      <c r="Y7348">
        <f>HYPERLINK("https://klasma.github.io/Logging_2031/tillsynsmail/A 69061-2021 tillsynsbegäran mail.docx", "A 69061-2021")</f>
        <v/>
      </c>
    </row>
    <row r="7349" ht="15" customHeight="1">
      <c r="A7349" t="inlineStr">
        <is>
          <t>A 1573-2026</t>
        </is>
      </c>
      <c r="B7349" s="1" t="n">
        <v>46034.41488425926</v>
      </c>
      <c r="C7349" s="1" t="n">
        <v>46114</v>
      </c>
      <c r="D7349" t="inlineStr">
        <is>
          <t>DALARNAS LÄN</t>
        </is>
      </c>
      <c r="E7349" t="inlineStr">
        <is>
          <t>HEDEMORA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47751-2024</t>
        </is>
      </c>
      <c r="B7350" s="1" t="n">
        <v>45588.53628472222</v>
      </c>
      <c r="C7350" s="1" t="n">
        <v>46114</v>
      </c>
      <c r="D7350" t="inlineStr">
        <is>
          <t>DALARNAS LÄN</t>
        </is>
      </c>
      <c r="E7350" t="inlineStr">
        <is>
          <t>ÄLVDALEN</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47767-2024</t>
        </is>
      </c>
      <c r="B7351" s="1" t="n">
        <v>45588.56232638889</v>
      </c>
      <c r="C7351" s="1" t="n">
        <v>46114</v>
      </c>
      <c r="D7351" t="inlineStr">
        <is>
          <t>DALARNAS LÄN</t>
        </is>
      </c>
      <c r="E7351" t="inlineStr">
        <is>
          <t>FALUN</t>
        </is>
      </c>
      <c r="F7351" t="inlineStr">
        <is>
          <t>Bergvik skog väst AB</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47784-2024</t>
        </is>
      </c>
      <c r="B7352" s="1" t="n">
        <v>45588.59290509259</v>
      </c>
      <c r="C7352" s="1" t="n">
        <v>46114</v>
      </c>
      <c r="D7352" t="inlineStr">
        <is>
          <t>DALARNAS LÄN</t>
        </is>
      </c>
      <c r="E7352" t="inlineStr">
        <is>
          <t>MORA</t>
        </is>
      </c>
      <c r="G7352" t="n">
        <v>15.3</v>
      </c>
      <c r="H7352" t="n">
        <v>0</v>
      </c>
      <c r="I7352" t="n">
        <v>0</v>
      </c>
      <c r="J7352" t="n">
        <v>0</v>
      </c>
      <c r="K7352" t="n">
        <v>0</v>
      </c>
      <c r="L7352" t="n">
        <v>0</v>
      </c>
      <c r="M7352" t="n">
        <v>0</v>
      </c>
      <c r="N7352" t="n">
        <v>0</v>
      </c>
      <c r="O7352" t="n">
        <v>0</v>
      </c>
      <c r="P7352" t="n">
        <v>0</v>
      </c>
      <c r="Q7352" t="n">
        <v>0</v>
      </c>
      <c r="R7352" s="2" t="inlineStr"/>
    </row>
    <row r="7353" ht="15" customHeight="1">
      <c r="A7353" t="inlineStr">
        <is>
          <t>A 10615-2026</t>
        </is>
      </c>
      <c r="B7353" s="1" t="n">
        <v>46077.85165509259</v>
      </c>
      <c r="C7353" s="1" t="n">
        <v>46114</v>
      </c>
      <c r="D7353" t="inlineStr">
        <is>
          <t>DALARNAS LÄN</t>
        </is>
      </c>
      <c r="E7353" t="inlineStr">
        <is>
          <t>FALUN</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10442-2026</t>
        </is>
      </c>
      <c r="B7354" s="1" t="n">
        <v>46077.41434027778</v>
      </c>
      <c r="C7354" s="1" t="n">
        <v>46114</v>
      </c>
      <c r="D7354" t="inlineStr">
        <is>
          <t>DALARNAS LÄN</t>
        </is>
      </c>
      <c r="E7354" t="inlineStr">
        <is>
          <t>ORSA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1858-2026</t>
        </is>
      </c>
      <c r="B7355" s="1" t="n">
        <v>46035.43505787037</v>
      </c>
      <c r="C7355" s="1" t="n">
        <v>46114</v>
      </c>
      <c r="D7355" t="inlineStr">
        <is>
          <t>DALARNAS LÄN</t>
        </is>
      </c>
      <c r="E7355" t="inlineStr">
        <is>
          <t>RÄTTVIK</t>
        </is>
      </c>
      <c r="G7355" t="n">
        <v>4.7</v>
      </c>
      <c r="H7355" t="n">
        <v>0</v>
      </c>
      <c r="I7355" t="n">
        <v>0</v>
      </c>
      <c r="J7355" t="n">
        <v>0</v>
      </c>
      <c r="K7355" t="n">
        <v>0</v>
      </c>
      <c r="L7355" t="n">
        <v>0</v>
      </c>
      <c r="M7355" t="n">
        <v>0</v>
      </c>
      <c r="N7355" t="n">
        <v>0</v>
      </c>
      <c r="O7355" t="n">
        <v>0</v>
      </c>
      <c r="P7355" t="n">
        <v>0</v>
      </c>
      <c r="Q7355" t="n">
        <v>0</v>
      </c>
      <c r="R7355" s="2" t="inlineStr"/>
    </row>
    <row r="7356" ht="15" customHeight="1">
      <c r="A7356" t="inlineStr">
        <is>
          <t>A 1934-2026</t>
        </is>
      </c>
      <c r="B7356" s="1" t="n">
        <v>46035.58578703704</v>
      </c>
      <c r="C7356" s="1" t="n">
        <v>46114</v>
      </c>
      <c r="D7356" t="inlineStr">
        <is>
          <t>DALARNAS LÄN</t>
        </is>
      </c>
      <c r="E7356" t="inlineStr">
        <is>
          <t>ÄLVDALEN</t>
        </is>
      </c>
      <c r="F7356" t="inlineStr">
        <is>
          <t>Övriga statliga verk och myndigheter</t>
        </is>
      </c>
      <c r="G7356" t="n">
        <v>22.9</v>
      </c>
      <c r="H7356" t="n">
        <v>0</v>
      </c>
      <c r="I7356" t="n">
        <v>0</v>
      </c>
      <c r="J7356" t="n">
        <v>0</v>
      </c>
      <c r="K7356" t="n">
        <v>0</v>
      </c>
      <c r="L7356" t="n">
        <v>0</v>
      </c>
      <c r="M7356" t="n">
        <v>0</v>
      </c>
      <c r="N7356" t="n">
        <v>0</v>
      </c>
      <c r="O7356" t="n">
        <v>0</v>
      </c>
      <c r="P7356" t="n">
        <v>0</v>
      </c>
      <c r="Q7356" t="n">
        <v>0</v>
      </c>
      <c r="R7356" s="2" t="inlineStr"/>
    </row>
    <row r="7357" ht="15" customHeight="1">
      <c r="A7357" t="inlineStr">
        <is>
          <t>A 64102-2025</t>
        </is>
      </c>
      <c r="B7357" s="1" t="n">
        <v>46021</v>
      </c>
      <c r="C7357" s="1" t="n">
        <v>46114</v>
      </c>
      <c r="D7357" t="inlineStr">
        <is>
          <t>DALARNAS LÄN</t>
        </is>
      </c>
      <c r="E7357" t="inlineStr">
        <is>
          <t>AVESTA</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30398-2024</t>
        </is>
      </c>
      <c r="B7358" s="1" t="n">
        <v>45491.57077546296</v>
      </c>
      <c r="C7358" s="1" t="n">
        <v>46114</v>
      </c>
      <c r="D7358" t="inlineStr">
        <is>
          <t>DALARNAS LÄN</t>
        </is>
      </c>
      <c r="E7358" t="inlineStr">
        <is>
          <t>MALUNG-SÄLEN</t>
        </is>
      </c>
      <c r="F7358" t="inlineStr">
        <is>
          <t>Bergvik skog öst AB</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30400-2024</t>
        </is>
      </c>
      <c r="B7359" s="1" t="n">
        <v>45491</v>
      </c>
      <c r="C7359" s="1" t="n">
        <v>46114</v>
      </c>
      <c r="D7359" t="inlineStr">
        <is>
          <t>DALARNAS LÄN</t>
        </is>
      </c>
      <c r="E7359" t="inlineStr">
        <is>
          <t>MALUNG-SÄLEN</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1741-2026</t>
        </is>
      </c>
      <c r="B7360" s="1" t="n">
        <v>46034</v>
      </c>
      <c r="C7360" s="1" t="n">
        <v>46114</v>
      </c>
      <c r="D7360" t="inlineStr">
        <is>
          <t>DALARNAS LÄN</t>
        </is>
      </c>
      <c r="E7360" t="inlineStr">
        <is>
          <t>FALUN</t>
        </is>
      </c>
      <c r="G7360" t="n">
        <v>1.1</v>
      </c>
      <c r="H7360" t="n">
        <v>0</v>
      </c>
      <c r="I7360" t="n">
        <v>0</v>
      </c>
      <c r="J7360" t="n">
        <v>0</v>
      </c>
      <c r="K7360" t="n">
        <v>0</v>
      </c>
      <c r="L7360" t="n">
        <v>0</v>
      </c>
      <c r="M7360" t="n">
        <v>0</v>
      </c>
      <c r="N7360" t="n">
        <v>0</v>
      </c>
      <c r="O7360" t="n">
        <v>0</v>
      </c>
      <c r="P7360" t="n">
        <v>0</v>
      </c>
      <c r="Q7360" t="n">
        <v>0</v>
      </c>
      <c r="R7360" s="2" t="inlineStr"/>
    </row>
    <row r="7361" ht="15" customHeight="1">
      <c r="A7361" t="inlineStr">
        <is>
          <t>A 54913-2025</t>
        </is>
      </c>
      <c r="B7361" s="1" t="n">
        <v>45967.38487268519</v>
      </c>
      <c r="C7361" s="1" t="n">
        <v>46114</v>
      </c>
      <c r="D7361" t="inlineStr">
        <is>
          <t>DALARNAS LÄN</t>
        </is>
      </c>
      <c r="E7361" t="inlineStr">
        <is>
          <t>AVESTA</t>
        </is>
      </c>
      <c r="F7361" t="inlineStr">
        <is>
          <t>Sveaskog</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1463-2026</t>
        </is>
      </c>
      <c r="B7362" s="1" t="n">
        <v>46033.69337962963</v>
      </c>
      <c r="C7362" s="1" t="n">
        <v>46114</v>
      </c>
      <c r="D7362" t="inlineStr">
        <is>
          <t>DALARNAS LÄN</t>
        </is>
      </c>
      <c r="E7362" t="inlineStr">
        <is>
          <t>RÄTTVIK</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1467-2026</t>
        </is>
      </c>
      <c r="B7363" s="1" t="n">
        <v>46033</v>
      </c>
      <c r="C7363" s="1" t="n">
        <v>46114</v>
      </c>
      <c r="D7363" t="inlineStr">
        <is>
          <t>DALARNAS LÄN</t>
        </is>
      </c>
      <c r="E7363" t="inlineStr">
        <is>
          <t>FALUN</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1468-2026</t>
        </is>
      </c>
      <c r="B7364" s="1" t="n">
        <v>46033.71706018518</v>
      </c>
      <c r="C7364" s="1" t="n">
        <v>46114</v>
      </c>
      <c r="D7364" t="inlineStr">
        <is>
          <t>DALARNAS LÄN</t>
        </is>
      </c>
      <c r="E7364" t="inlineStr">
        <is>
          <t>MALUNG-SÄLEN</t>
        </is>
      </c>
      <c r="G7364" t="n">
        <v>5.5</v>
      </c>
      <c r="H7364" t="n">
        <v>0</v>
      </c>
      <c r="I7364" t="n">
        <v>0</v>
      </c>
      <c r="J7364" t="n">
        <v>0</v>
      </c>
      <c r="K7364" t="n">
        <v>0</v>
      </c>
      <c r="L7364" t="n">
        <v>0</v>
      </c>
      <c r="M7364" t="n">
        <v>0</v>
      </c>
      <c r="N7364" t="n">
        <v>0</v>
      </c>
      <c r="O7364" t="n">
        <v>0</v>
      </c>
      <c r="P7364" t="n">
        <v>0</v>
      </c>
      <c r="Q7364" t="n">
        <v>0</v>
      </c>
      <c r="R7364" s="2" t="inlineStr"/>
    </row>
    <row r="7365" ht="15" customHeight="1">
      <c r="A7365" t="inlineStr">
        <is>
          <t>A 53477-2025</t>
        </is>
      </c>
      <c r="B7365" s="1" t="n">
        <v>45959.76505787037</v>
      </c>
      <c r="C7365" s="1" t="n">
        <v>46114</v>
      </c>
      <c r="D7365" t="inlineStr">
        <is>
          <t>DALARNAS LÄN</t>
        </is>
      </c>
      <c r="E7365" t="inlineStr">
        <is>
          <t>FALUN</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9802-2026</t>
        </is>
      </c>
      <c r="B7366" s="1" t="n">
        <v>46072</v>
      </c>
      <c r="C7366" s="1" t="n">
        <v>46114</v>
      </c>
      <c r="D7366" t="inlineStr">
        <is>
          <t>DALARNAS LÄN</t>
        </is>
      </c>
      <c r="E7366" t="inlineStr">
        <is>
          <t>LEKSAND</t>
        </is>
      </c>
      <c r="G7366" t="n">
        <v>1.7</v>
      </c>
      <c r="H7366" t="n">
        <v>0</v>
      </c>
      <c r="I7366" t="n">
        <v>0</v>
      </c>
      <c r="J7366" t="n">
        <v>0</v>
      </c>
      <c r="K7366" t="n">
        <v>0</v>
      </c>
      <c r="L7366" t="n">
        <v>0</v>
      </c>
      <c r="M7366" t="n">
        <v>0</v>
      </c>
      <c r="N7366" t="n">
        <v>0</v>
      </c>
      <c r="O7366" t="n">
        <v>0</v>
      </c>
      <c r="P7366" t="n">
        <v>0</v>
      </c>
      <c r="Q7366" t="n">
        <v>0</v>
      </c>
      <c r="R7366" s="2" t="inlineStr"/>
    </row>
    <row r="7367" ht="15" customHeight="1">
      <c r="A7367" t="inlineStr">
        <is>
          <t>A 1940-2026</t>
        </is>
      </c>
      <c r="B7367" s="1" t="n">
        <v>46035.59271990741</v>
      </c>
      <c r="C7367" s="1" t="n">
        <v>46114</v>
      </c>
      <c r="D7367" t="inlineStr">
        <is>
          <t>DALARNAS LÄN</t>
        </is>
      </c>
      <c r="E7367" t="inlineStr">
        <is>
          <t>FALUN</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1946-2026</t>
        </is>
      </c>
      <c r="B7368" s="1" t="n">
        <v>46035</v>
      </c>
      <c r="C7368" s="1" t="n">
        <v>46114</v>
      </c>
      <c r="D7368" t="inlineStr">
        <is>
          <t>DALARNAS LÄN</t>
        </is>
      </c>
      <c r="E7368" t="inlineStr">
        <is>
          <t>LEKSAND</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1967-2026</t>
        </is>
      </c>
      <c r="B7369" s="1" t="n">
        <v>46035.63864583334</v>
      </c>
      <c r="C7369" s="1" t="n">
        <v>46114</v>
      </c>
      <c r="D7369" t="inlineStr">
        <is>
          <t>DALARNAS LÄN</t>
        </is>
      </c>
      <c r="E7369" t="inlineStr">
        <is>
          <t>ORSA</t>
        </is>
      </c>
      <c r="G7369" t="n">
        <v>6.3</v>
      </c>
      <c r="H7369" t="n">
        <v>0</v>
      </c>
      <c r="I7369" t="n">
        <v>0</v>
      </c>
      <c r="J7369" t="n">
        <v>0</v>
      </c>
      <c r="K7369" t="n">
        <v>0</v>
      </c>
      <c r="L7369" t="n">
        <v>0</v>
      </c>
      <c r="M7369" t="n">
        <v>0</v>
      </c>
      <c r="N7369" t="n">
        <v>0</v>
      </c>
      <c r="O7369" t="n">
        <v>0</v>
      </c>
      <c r="P7369" t="n">
        <v>0</v>
      </c>
      <c r="Q7369" t="n">
        <v>0</v>
      </c>
      <c r="R7369" s="2" t="inlineStr"/>
    </row>
    <row r="7370" ht="15" customHeight="1">
      <c r="A7370" t="inlineStr">
        <is>
          <t>A 1983-2026</t>
        </is>
      </c>
      <c r="B7370" s="1" t="n">
        <v>46035</v>
      </c>
      <c r="C7370" s="1" t="n">
        <v>46114</v>
      </c>
      <c r="D7370" t="inlineStr">
        <is>
          <t>DALARNAS LÄN</t>
        </is>
      </c>
      <c r="E7370" t="inlineStr">
        <is>
          <t>LEKSAND</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2013-2026</t>
        </is>
      </c>
      <c r="B7371" s="1" t="n">
        <v>46035.70791666667</v>
      </c>
      <c r="C7371" s="1" t="n">
        <v>46114</v>
      </c>
      <c r="D7371" t="inlineStr">
        <is>
          <t>DALARNAS LÄN</t>
        </is>
      </c>
      <c r="E7371" t="inlineStr">
        <is>
          <t>FALUN</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2015-2026</t>
        </is>
      </c>
      <c r="B7372" s="1" t="n">
        <v>46035.71204861111</v>
      </c>
      <c r="C7372" s="1" t="n">
        <v>46114</v>
      </c>
      <c r="D7372" t="inlineStr">
        <is>
          <t>DALARNAS LÄN</t>
        </is>
      </c>
      <c r="E7372" t="inlineStr">
        <is>
          <t>FALUN</t>
        </is>
      </c>
      <c r="G7372" t="n">
        <v>2.5</v>
      </c>
      <c r="H7372" t="n">
        <v>0</v>
      </c>
      <c r="I7372" t="n">
        <v>0</v>
      </c>
      <c r="J7372" t="n">
        <v>0</v>
      </c>
      <c r="K7372" t="n">
        <v>0</v>
      </c>
      <c r="L7372" t="n">
        <v>0</v>
      </c>
      <c r="M7372" t="n">
        <v>0</v>
      </c>
      <c r="N7372" t="n">
        <v>0</v>
      </c>
      <c r="O7372" t="n">
        <v>0</v>
      </c>
      <c r="P7372" t="n">
        <v>0</v>
      </c>
      <c r="Q7372" t="n">
        <v>0</v>
      </c>
      <c r="R7372" s="2" t="inlineStr"/>
    </row>
    <row r="7373" ht="15" customHeight="1">
      <c r="A7373" t="inlineStr">
        <is>
          <t>A 1069-2024</t>
        </is>
      </c>
      <c r="B7373" s="1" t="n">
        <v>45302.31002314815</v>
      </c>
      <c r="C7373" s="1" t="n">
        <v>46114</v>
      </c>
      <c r="D7373" t="inlineStr">
        <is>
          <t>DALARNAS LÄN</t>
        </is>
      </c>
      <c r="E7373" t="inlineStr">
        <is>
          <t>RÄTTVIK</t>
        </is>
      </c>
      <c r="G7373" t="n">
        <v>14.3</v>
      </c>
      <c r="H7373" t="n">
        <v>0</v>
      </c>
      <c r="I7373" t="n">
        <v>0</v>
      </c>
      <c r="J7373" t="n">
        <v>0</v>
      </c>
      <c r="K7373" t="n">
        <v>0</v>
      </c>
      <c r="L7373" t="n">
        <v>0</v>
      </c>
      <c r="M7373" t="n">
        <v>0</v>
      </c>
      <c r="N7373" t="n">
        <v>0</v>
      </c>
      <c r="O7373" t="n">
        <v>0</v>
      </c>
      <c r="P7373" t="n">
        <v>0</v>
      </c>
      <c r="Q7373" t="n">
        <v>0</v>
      </c>
      <c r="R7373" s="2" t="inlineStr"/>
    </row>
    <row r="7374" ht="15" customHeight="1">
      <c r="A7374" t="inlineStr">
        <is>
          <t>A 10506-2026</t>
        </is>
      </c>
      <c r="B7374" s="1" t="n">
        <v>46077.55996527777</v>
      </c>
      <c r="C7374" s="1" t="n">
        <v>46114</v>
      </c>
      <c r="D7374" t="inlineStr">
        <is>
          <t>DALARNAS LÄN</t>
        </is>
      </c>
      <c r="E7374" t="inlineStr">
        <is>
          <t>ORSA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54309-2022</t>
        </is>
      </c>
      <c r="B7375" s="1" t="n">
        <v>44882</v>
      </c>
      <c r="C7375" s="1" t="n">
        <v>46114</v>
      </c>
      <c r="D7375" t="inlineStr">
        <is>
          <t>DALARNAS LÄN</t>
        </is>
      </c>
      <c r="E7375" t="inlineStr">
        <is>
          <t>FALUN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59633-2021</t>
        </is>
      </c>
      <c r="B7376" s="1" t="n">
        <v>44493</v>
      </c>
      <c r="C7376" s="1" t="n">
        <v>46114</v>
      </c>
      <c r="D7376" t="inlineStr">
        <is>
          <t>DALARNAS LÄN</t>
        </is>
      </c>
      <c r="E7376" t="inlineStr">
        <is>
          <t>BORLÄNGE</t>
        </is>
      </c>
      <c r="G7376" t="n">
        <v>3.6</v>
      </c>
      <c r="H7376" t="n">
        <v>0</v>
      </c>
      <c r="I7376" t="n">
        <v>0</v>
      </c>
      <c r="J7376" t="n">
        <v>0</v>
      </c>
      <c r="K7376" t="n">
        <v>0</v>
      </c>
      <c r="L7376" t="n">
        <v>0</v>
      </c>
      <c r="M7376" t="n">
        <v>0</v>
      </c>
      <c r="N7376" t="n">
        <v>0</v>
      </c>
      <c r="O7376" t="n">
        <v>0</v>
      </c>
      <c r="P7376" t="n">
        <v>0</v>
      </c>
      <c r="Q7376" t="n">
        <v>0</v>
      </c>
      <c r="R7376" s="2" t="inlineStr"/>
    </row>
    <row r="7377" ht="15" customHeight="1">
      <c r="A7377" t="inlineStr">
        <is>
          <t>A 10509-2026</t>
        </is>
      </c>
      <c r="B7377" s="1" t="n">
        <v>46077.56442129629</v>
      </c>
      <c r="C7377" s="1" t="n">
        <v>46114</v>
      </c>
      <c r="D7377" t="inlineStr">
        <is>
          <t>DALARNAS LÄN</t>
        </is>
      </c>
      <c r="E7377" t="inlineStr">
        <is>
          <t>RÄTTVIK</t>
        </is>
      </c>
      <c r="F7377" t="inlineStr">
        <is>
          <t>Bergvik skog väst AB</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1922-2026</t>
        </is>
      </c>
      <c r="B7378" s="1" t="n">
        <v>46035</v>
      </c>
      <c r="C7378" s="1" t="n">
        <v>46114</v>
      </c>
      <c r="D7378" t="inlineStr">
        <is>
          <t>DALARNAS LÄN</t>
        </is>
      </c>
      <c r="E7378" t="inlineStr">
        <is>
          <t>FALUN</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1992-2026</t>
        </is>
      </c>
      <c r="B7379" s="1" t="n">
        <v>46035.67122685185</v>
      </c>
      <c r="C7379" s="1" t="n">
        <v>46114</v>
      </c>
      <c r="D7379" t="inlineStr">
        <is>
          <t>DALARNAS LÄN</t>
        </is>
      </c>
      <c r="E7379" t="inlineStr">
        <is>
          <t>MALUNG-SÄLEN</t>
        </is>
      </c>
      <c r="F7379" t="inlineStr">
        <is>
          <t>Allmännings- och besparingsskogar</t>
        </is>
      </c>
      <c r="G7379" t="n">
        <v>4.8</v>
      </c>
      <c r="H7379" t="n">
        <v>0</v>
      </c>
      <c r="I7379" t="n">
        <v>0</v>
      </c>
      <c r="J7379" t="n">
        <v>0</v>
      </c>
      <c r="K7379" t="n">
        <v>0</v>
      </c>
      <c r="L7379" t="n">
        <v>0</v>
      </c>
      <c r="M7379" t="n">
        <v>0</v>
      </c>
      <c r="N7379" t="n">
        <v>0</v>
      </c>
      <c r="O7379" t="n">
        <v>0</v>
      </c>
      <c r="P7379" t="n">
        <v>0</v>
      </c>
      <c r="Q7379" t="n">
        <v>0</v>
      </c>
      <c r="R7379" s="2" t="inlineStr"/>
    </row>
    <row r="7380" ht="15" customHeight="1">
      <c r="A7380" t="inlineStr">
        <is>
          <t>A 1742-2026</t>
        </is>
      </c>
      <c r="B7380" s="1" t="n">
        <v>46034.65012731482</v>
      </c>
      <c r="C7380" s="1" t="n">
        <v>46114</v>
      </c>
      <c r="D7380" t="inlineStr">
        <is>
          <t>DALARNAS LÄN</t>
        </is>
      </c>
      <c r="E7380" t="inlineStr">
        <is>
          <t>MALUNG-SÄLEN</t>
        </is>
      </c>
      <c r="G7380" t="n">
        <v>3.4</v>
      </c>
      <c r="H7380" t="n">
        <v>0</v>
      </c>
      <c r="I7380" t="n">
        <v>0</v>
      </c>
      <c r="J7380" t="n">
        <v>0</v>
      </c>
      <c r="K7380" t="n">
        <v>0</v>
      </c>
      <c r="L7380" t="n">
        <v>0</v>
      </c>
      <c r="M7380" t="n">
        <v>0</v>
      </c>
      <c r="N7380" t="n">
        <v>0</v>
      </c>
      <c r="O7380" t="n">
        <v>0</v>
      </c>
      <c r="P7380" t="n">
        <v>0</v>
      </c>
      <c r="Q7380" t="n">
        <v>0</v>
      </c>
      <c r="R7380" s="2" t="inlineStr"/>
    </row>
    <row r="7381" ht="15" customHeight="1">
      <c r="A7381" t="inlineStr">
        <is>
          <t>A 10574-2026</t>
        </is>
      </c>
      <c r="B7381" s="1" t="n">
        <v>46077.66027777778</v>
      </c>
      <c r="C7381" s="1" t="n">
        <v>46114</v>
      </c>
      <c r="D7381" t="inlineStr">
        <is>
          <t>DALARNAS LÄN</t>
        </is>
      </c>
      <c r="E7381" t="inlineStr">
        <is>
          <t>ORSA</t>
        </is>
      </c>
      <c r="F7381" t="inlineStr">
        <is>
          <t>Övriga Aktiebolag</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1840-2026</t>
        </is>
      </c>
      <c r="B7382" s="1" t="n">
        <v>46035</v>
      </c>
      <c r="C7382" s="1" t="n">
        <v>46114</v>
      </c>
      <c r="D7382" t="inlineStr">
        <is>
          <t>DALARNAS LÄN</t>
        </is>
      </c>
      <c r="E7382" t="inlineStr">
        <is>
          <t>BORLÄNGE</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2009-2026</t>
        </is>
      </c>
      <c r="B7383" s="1" t="n">
        <v>46035.70408564815</v>
      </c>
      <c r="C7383" s="1" t="n">
        <v>46114</v>
      </c>
      <c r="D7383" t="inlineStr">
        <is>
          <t>DALARNAS LÄN</t>
        </is>
      </c>
      <c r="E7383" t="inlineStr">
        <is>
          <t>FALUN</t>
        </is>
      </c>
      <c r="G7383" t="n">
        <v>3.5</v>
      </c>
      <c r="H7383" t="n">
        <v>0</v>
      </c>
      <c r="I7383" t="n">
        <v>0</v>
      </c>
      <c r="J7383" t="n">
        <v>0</v>
      </c>
      <c r="K7383" t="n">
        <v>0</v>
      </c>
      <c r="L7383" t="n">
        <v>0</v>
      </c>
      <c r="M7383" t="n">
        <v>0</v>
      </c>
      <c r="N7383" t="n">
        <v>0</v>
      </c>
      <c r="O7383" t="n">
        <v>0</v>
      </c>
      <c r="P7383" t="n">
        <v>0</v>
      </c>
      <c r="Q7383" t="n">
        <v>0</v>
      </c>
      <c r="R7383" s="2" t="inlineStr"/>
    </row>
    <row r="7384" ht="15" customHeight="1">
      <c r="A7384" t="inlineStr">
        <is>
          <t>A 1650-2026</t>
        </is>
      </c>
      <c r="B7384" s="1" t="n">
        <v>46034.52905092593</v>
      </c>
      <c r="C7384" s="1" t="n">
        <v>46114</v>
      </c>
      <c r="D7384" t="inlineStr">
        <is>
          <t>DALARNAS LÄN</t>
        </is>
      </c>
      <c r="E7384" t="inlineStr">
        <is>
          <t>ORSA</t>
        </is>
      </c>
      <c r="G7384" t="n">
        <v>6.8</v>
      </c>
      <c r="H7384" t="n">
        <v>0</v>
      </c>
      <c r="I7384" t="n">
        <v>0</v>
      </c>
      <c r="J7384" t="n">
        <v>0</v>
      </c>
      <c r="K7384" t="n">
        <v>0</v>
      </c>
      <c r="L7384" t="n">
        <v>0</v>
      </c>
      <c r="M7384" t="n">
        <v>0</v>
      </c>
      <c r="N7384" t="n">
        <v>0</v>
      </c>
      <c r="O7384" t="n">
        <v>0</v>
      </c>
      <c r="P7384" t="n">
        <v>0</v>
      </c>
      <c r="Q7384" t="n">
        <v>0</v>
      </c>
      <c r="R7384" s="2" t="inlineStr"/>
    </row>
    <row r="7385" ht="15" customHeight="1">
      <c r="A7385" t="inlineStr">
        <is>
          <t>A 48589-2024</t>
        </is>
      </c>
      <c r="B7385" s="1" t="n">
        <v>45593.43503472222</v>
      </c>
      <c r="C7385" s="1" t="n">
        <v>46114</v>
      </c>
      <c r="D7385" t="inlineStr">
        <is>
          <t>DALARNAS LÄN</t>
        </is>
      </c>
      <c r="E7385" t="inlineStr">
        <is>
          <t>FALUN</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10175-2026</t>
        </is>
      </c>
      <c r="B7386" s="1" t="n">
        <v>46076.42642361111</v>
      </c>
      <c r="C7386" s="1" t="n">
        <v>46114</v>
      </c>
      <c r="D7386" t="inlineStr">
        <is>
          <t>DALARNAS LÄN</t>
        </is>
      </c>
      <c r="E7386" t="inlineStr">
        <is>
          <t>RÄTTVIK</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10179-2026</t>
        </is>
      </c>
      <c r="B7387" s="1" t="n">
        <v>46076.43035879629</v>
      </c>
      <c r="C7387" s="1" t="n">
        <v>46114</v>
      </c>
      <c r="D7387" t="inlineStr">
        <is>
          <t>DALARNAS LÄN</t>
        </is>
      </c>
      <c r="E7387" t="inlineStr">
        <is>
          <t>FALUN</t>
        </is>
      </c>
      <c r="G7387" t="n">
        <v>2.7</v>
      </c>
      <c r="H7387" t="n">
        <v>0</v>
      </c>
      <c r="I7387" t="n">
        <v>0</v>
      </c>
      <c r="J7387" t="n">
        <v>0</v>
      </c>
      <c r="K7387" t="n">
        <v>0</v>
      </c>
      <c r="L7387" t="n">
        <v>0</v>
      </c>
      <c r="M7387" t="n">
        <v>0</v>
      </c>
      <c r="N7387" t="n">
        <v>0</v>
      </c>
      <c r="O7387" t="n">
        <v>0</v>
      </c>
      <c r="P7387" t="n">
        <v>0</v>
      </c>
      <c r="Q7387" t="n">
        <v>0</v>
      </c>
      <c r="R7387" s="2" t="inlineStr"/>
    </row>
    <row r="7388" ht="15" customHeight="1">
      <c r="A7388" t="inlineStr">
        <is>
          <t>A 10206-2026</t>
        </is>
      </c>
      <c r="B7388" s="1" t="n">
        <v>46076.48180555556</v>
      </c>
      <c r="C7388" s="1" t="n">
        <v>46114</v>
      </c>
      <c r="D7388" t="inlineStr">
        <is>
          <t>DALARNAS LÄN</t>
        </is>
      </c>
      <c r="E7388" t="inlineStr">
        <is>
          <t>ORSA</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40177-2022</t>
        </is>
      </c>
      <c r="B7389" s="1" t="n">
        <v>44818</v>
      </c>
      <c r="C7389" s="1" t="n">
        <v>46114</v>
      </c>
      <c r="D7389" t="inlineStr">
        <is>
          <t>DALARNAS LÄN</t>
        </is>
      </c>
      <c r="E7389" t="inlineStr">
        <is>
          <t>RÄTTVIK</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43115-2021</t>
        </is>
      </c>
      <c r="B7390" s="1" t="n">
        <v>44431.63481481482</v>
      </c>
      <c r="C7390" s="1" t="n">
        <v>46114</v>
      </c>
      <c r="D7390" t="inlineStr">
        <is>
          <t>DALARNAS LÄN</t>
        </is>
      </c>
      <c r="E7390" t="inlineStr">
        <is>
          <t>LUDVIKA</t>
        </is>
      </c>
      <c r="G7390" t="n">
        <v>3.5</v>
      </c>
      <c r="H7390" t="n">
        <v>0</v>
      </c>
      <c r="I7390" t="n">
        <v>0</v>
      </c>
      <c r="J7390" t="n">
        <v>0</v>
      </c>
      <c r="K7390" t="n">
        <v>0</v>
      </c>
      <c r="L7390" t="n">
        <v>0</v>
      </c>
      <c r="M7390" t="n">
        <v>0</v>
      </c>
      <c r="N7390" t="n">
        <v>0</v>
      </c>
      <c r="O7390" t="n">
        <v>0</v>
      </c>
      <c r="P7390" t="n">
        <v>0</v>
      </c>
      <c r="Q7390" t="n">
        <v>0</v>
      </c>
      <c r="R7390" s="2" t="inlineStr"/>
    </row>
    <row r="7391" ht="15" customHeight="1">
      <c r="A7391" t="inlineStr">
        <is>
          <t>A 25437-2021</t>
        </is>
      </c>
      <c r="B7391" s="1" t="n">
        <v>44342</v>
      </c>
      <c r="C7391" s="1" t="n">
        <v>46114</v>
      </c>
      <c r="D7391" t="inlineStr">
        <is>
          <t>DALARNAS LÄN</t>
        </is>
      </c>
      <c r="E7391" t="inlineStr">
        <is>
          <t>SMEDJEBACKEN</t>
        </is>
      </c>
      <c r="F7391" t="inlineStr">
        <is>
          <t>Sveaskog</t>
        </is>
      </c>
      <c r="G7391" t="n">
        <v>2.9</v>
      </c>
      <c r="H7391" t="n">
        <v>0</v>
      </c>
      <c r="I7391" t="n">
        <v>0</v>
      </c>
      <c r="J7391" t="n">
        <v>0</v>
      </c>
      <c r="K7391" t="n">
        <v>0</v>
      </c>
      <c r="L7391" t="n">
        <v>0</v>
      </c>
      <c r="M7391" t="n">
        <v>0</v>
      </c>
      <c r="N7391" t="n">
        <v>0</v>
      </c>
      <c r="O7391" t="n">
        <v>0</v>
      </c>
      <c r="P7391" t="n">
        <v>0</v>
      </c>
      <c r="Q7391" t="n">
        <v>0</v>
      </c>
      <c r="R7391" s="2" t="inlineStr"/>
    </row>
    <row r="7392" ht="15" customHeight="1">
      <c r="A7392" t="inlineStr">
        <is>
          <t>A 1430-2026</t>
        </is>
      </c>
      <c r="B7392" s="1" t="n">
        <v>46032.39976851852</v>
      </c>
      <c r="C7392" s="1" t="n">
        <v>46114</v>
      </c>
      <c r="D7392" t="inlineStr">
        <is>
          <t>DALARNAS LÄN</t>
        </is>
      </c>
      <c r="E7392" t="inlineStr">
        <is>
          <t>GAGNEF</t>
        </is>
      </c>
      <c r="G7392" t="n">
        <v>4.2</v>
      </c>
      <c r="H7392" t="n">
        <v>0</v>
      </c>
      <c r="I7392" t="n">
        <v>0</v>
      </c>
      <c r="J7392" t="n">
        <v>0</v>
      </c>
      <c r="K7392" t="n">
        <v>0</v>
      </c>
      <c r="L7392" t="n">
        <v>0</v>
      </c>
      <c r="M7392" t="n">
        <v>0</v>
      </c>
      <c r="N7392" t="n">
        <v>0</v>
      </c>
      <c r="O7392" t="n">
        <v>0</v>
      </c>
      <c r="P7392" t="n">
        <v>0</v>
      </c>
      <c r="Q7392" t="n">
        <v>0</v>
      </c>
      <c r="R7392" s="2" t="inlineStr"/>
    </row>
    <row r="7393" ht="15" customHeight="1">
      <c r="A7393" t="inlineStr">
        <is>
          <t>A 1431-2026</t>
        </is>
      </c>
      <c r="B7393" s="1" t="n">
        <v>46032.41365740741</v>
      </c>
      <c r="C7393" s="1" t="n">
        <v>46114</v>
      </c>
      <c r="D7393" t="inlineStr">
        <is>
          <t>DALARNAS LÄN</t>
        </is>
      </c>
      <c r="E7393" t="inlineStr">
        <is>
          <t>GAGNEF</t>
        </is>
      </c>
      <c r="G7393" t="n">
        <v>8.4</v>
      </c>
      <c r="H7393" t="n">
        <v>0</v>
      </c>
      <c r="I7393" t="n">
        <v>0</v>
      </c>
      <c r="J7393" t="n">
        <v>0</v>
      </c>
      <c r="K7393" t="n">
        <v>0</v>
      </c>
      <c r="L7393" t="n">
        <v>0</v>
      </c>
      <c r="M7393" t="n">
        <v>0</v>
      </c>
      <c r="N7393" t="n">
        <v>0</v>
      </c>
      <c r="O7393" t="n">
        <v>0</v>
      </c>
      <c r="P7393" t="n">
        <v>0</v>
      </c>
      <c r="Q7393" t="n">
        <v>0</v>
      </c>
      <c r="R7393" s="2" t="inlineStr"/>
    </row>
    <row r="7394" ht="15" customHeight="1">
      <c r="A7394" t="inlineStr">
        <is>
          <t>A 1436-2026</t>
        </is>
      </c>
      <c r="B7394" s="1" t="n">
        <v>46032.55972222222</v>
      </c>
      <c r="C7394" s="1" t="n">
        <v>46114</v>
      </c>
      <c r="D7394" t="inlineStr">
        <is>
          <t>DALARNAS LÄN</t>
        </is>
      </c>
      <c r="E7394" t="inlineStr">
        <is>
          <t>FALUN</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1441-2026</t>
        </is>
      </c>
      <c r="B7395" s="1" t="n">
        <v>46032</v>
      </c>
      <c r="C7395" s="1" t="n">
        <v>46114</v>
      </c>
      <c r="D7395" t="inlineStr">
        <is>
          <t>DALARNAS LÄN</t>
        </is>
      </c>
      <c r="E7395" t="inlineStr">
        <is>
          <t>LEKSAND</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1448-2026</t>
        </is>
      </c>
      <c r="B7396" s="1" t="n">
        <v>46032.84694444444</v>
      </c>
      <c r="C7396" s="1" t="n">
        <v>46114</v>
      </c>
      <c r="D7396" t="inlineStr">
        <is>
          <t>DALARNAS LÄN</t>
        </is>
      </c>
      <c r="E7396" t="inlineStr">
        <is>
          <t>FALUN</t>
        </is>
      </c>
      <c r="G7396" t="n">
        <v>8.1</v>
      </c>
      <c r="H7396" t="n">
        <v>0</v>
      </c>
      <c r="I7396" t="n">
        <v>0</v>
      </c>
      <c r="J7396" t="n">
        <v>0</v>
      </c>
      <c r="K7396" t="n">
        <v>0</v>
      </c>
      <c r="L7396" t="n">
        <v>0</v>
      </c>
      <c r="M7396" t="n">
        <v>0</v>
      </c>
      <c r="N7396" t="n">
        <v>0</v>
      </c>
      <c r="O7396" t="n">
        <v>0</v>
      </c>
      <c r="P7396" t="n">
        <v>0</v>
      </c>
      <c r="Q7396" t="n">
        <v>0</v>
      </c>
      <c r="R7396" s="2" t="inlineStr"/>
    </row>
    <row r="7397" ht="15" customHeight="1">
      <c r="A7397" t="inlineStr">
        <is>
          <t>A 10568-2026</t>
        </is>
      </c>
      <c r="B7397" s="1" t="n">
        <v>46077.64888888889</v>
      </c>
      <c r="C7397" s="1" t="n">
        <v>46114</v>
      </c>
      <c r="D7397" t="inlineStr">
        <is>
          <t>DALARNAS LÄN</t>
        </is>
      </c>
      <c r="E7397" t="inlineStr">
        <is>
          <t>RÄTTVIK</t>
        </is>
      </c>
      <c r="F7397" t="inlineStr">
        <is>
          <t>Bergvik skog väst AB</t>
        </is>
      </c>
      <c r="G7397" t="n">
        <v>1.7</v>
      </c>
      <c r="H7397" t="n">
        <v>0</v>
      </c>
      <c r="I7397" t="n">
        <v>0</v>
      </c>
      <c r="J7397" t="n">
        <v>0</v>
      </c>
      <c r="K7397" t="n">
        <v>0</v>
      </c>
      <c r="L7397" t="n">
        <v>0</v>
      </c>
      <c r="M7397" t="n">
        <v>0</v>
      </c>
      <c r="N7397" t="n">
        <v>0</v>
      </c>
      <c r="O7397" t="n">
        <v>0</v>
      </c>
      <c r="P7397" t="n">
        <v>0</v>
      </c>
      <c r="Q7397" t="n">
        <v>0</v>
      </c>
      <c r="R7397" s="2" t="inlineStr"/>
    </row>
    <row r="7398" ht="15" customHeight="1">
      <c r="A7398" t="inlineStr">
        <is>
          <t>A 270-2026</t>
        </is>
      </c>
      <c r="B7398" s="1" t="n">
        <v>46027</v>
      </c>
      <c r="C7398" s="1" t="n">
        <v>46114</v>
      </c>
      <c r="D7398" t="inlineStr">
        <is>
          <t>DALARNAS LÄN</t>
        </is>
      </c>
      <c r="E7398" t="inlineStr">
        <is>
          <t>RÄTTVIK</t>
        </is>
      </c>
      <c r="G7398" t="n">
        <v>18.7</v>
      </c>
      <c r="H7398" t="n">
        <v>0</v>
      </c>
      <c r="I7398" t="n">
        <v>0</v>
      </c>
      <c r="J7398" t="n">
        <v>0</v>
      </c>
      <c r="K7398" t="n">
        <v>0</v>
      </c>
      <c r="L7398" t="n">
        <v>0</v>
      </c>
      <c r="M7398" t="n">
        <v>0</v>
      </c>
      <c r="N7398" t="n">
        <v>0</v>
      </c>
      <c r="O7398" t="n">
        <v>0</v>
      </c>
      <c r="P7398" t="n">
        <v>0</v>
      </c>
      <c r="Q7398" t="n">
        <v>0</v>
      </c>
      <c r="R7398" s="2" t="inlineStr"/>
    </row>
    <row r="7399" ht="15" customHeight="1">
      <c r="A7399" t="inlineStr">
        <is>
          <t>A 368-2026</t>
        </is>
      </c>
      <c r="B7399" s="1" t="n">
        <v>46027</v>
      </c>
      <c r="C7399" s="1" t="n">
        <v>46114</v>
      </c>
      <c r="D7399" t="inlineStr">
        <is>
          <t>DALARNAS LÄN</t>
        </is>
      </c>
      <c r="E7399" t="inlineStr">
        <is>
          <t>LEKSAND</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1627-2026</t>
        </is>
      </c>
      <c r="B7400" s="1" t="n">
        <v>46034</v>
      </c>
      <c r="C7400" s="1" t="n">
        <v>46114</v>
      </c>
      <c r="D7400" t="inlineStr">
        <is>
          <t>DALARNAS LÄN</t>
        </is>
      </c>
      <c r="E7400" t="inlineStr">
        <is>
          <t>FALUN</t>
        </is>
      </c>
      <c r="G7400" t="n">
        <v>11.6</v>
      </c>
      <c r="H7400" t="n">
        <v>0</v>
      </c>
      <c r="I7400" t="n">
        <v>0</v>
      </c>
      <c r="J7400" t="n">
        <v>0</v>
      </c>
      <c r="K7400" t="n">
        <v>0</v>
      </c>
      <c r="L7400" t="n">
        <v>0</v>
      </c>
      <c r="M7400" t="n">
        <v>0</v>
      </c>
      <c r="N7400" t="n">
        <v>0</v>
      </c>
      <c r="O7400" t="n">
        <v>0</v>
      </c>
      <c r="P7400" t="n">
        <v>0</v>
      </c>
      <c r="Q7400" t="n">
        <v>0</v>
      </c>
      <c r="R7400" s="2" t="inlineStr"/>
    </row>
    <row r="7401" ht="15" customHeight="1">
      <c r="A7401" t="inlineStr">
        <is>
          <t>A 1628-2026</t>
        </is>
      </c>
      <c r="B7401" s="1" t="n">
        <v>46034</v>
      </c>
      <c r="C7401" s="1" t="n">
        <v>46114</v>
      </c>
      <c r="D7401" t="inlineStr">
        <is>
          <t>DALARNAS LÄN</t>
        </is>
      </c>
      <c r="E7401" t="inlineStr">
        <is>
          <t>FALUN</t>
        </is>
      </c>
      <c r="G7401" t="n">
        <v>11.6</v>
      </c>
      <c r="H7401" t="n">
        <v>0</v>
      </c>
      <c r="I7401" t="n">
        <v>0</v>
      </c>
      <c r="J7401" t="n">
        <v>0</v>
      </c>
      <c r="K7401" t="n">
        <v>0</v>
      </c>
      <c r="L7401" t="n">
        <v>0</v>
      </c>
      <c r="M7401" t="n">
        <v>0</v>
      </c>
      <c r="N7401" t="n">
        <v>0</v>
      </c>
      <c r="O7401" t="n">
        <v>0</v>
      </c>
      <c r="P7401" t="n">
        <v>0</v>
      </c>
      <c r="Q7401" t="n">
        <v>0</v>
      </c>
      <c r="R7401" s="2" t="inlineStr"/>
    </row>
    <row r="7402" ht="15" customHeight="1">
      <c r="A7402" t="inlineStr">
        <is>
          <t>A 52161-2025</t>
        </is>
      </c>
      <c r="B7402" s="1" t="n">
        <v>45953.36090277778</v>
      </c>
      <c r="C7402" s="1" t="n">
        <v>46114</v>
      </c>
      <c r="D7402" t="inlineStr">
        <is>
          <t>DALARNAS LÄN</t>
        </is>
      </c>
      <c r="E7402" t="inlineStr">
        <is>
          <t>SÄTER</t>
        </is>
      </c>
      <c r="G7402" t="n">
        <v>1.6</v>
      </c>
      <c r="H7402" t="n">
        <v>0</v>
      </c>
      <c r="I7402" t="n">
        <v>0</v>
      </c>
      <c r="J7402" t="n">
        <v>0</v>
      </c>
      <c r="K7402" t="n">
        <v>0</v>
      </c>
      <c r="L7402" t="n">
        <v>0</v>
      </c>
      <c r="M7402" t="n">
        <v>0</v>
      </c>
      <c r="N7402" t="n">
        <v>0</v>
      </c>
      <c r="O7402" t="n">
        <v>0</v>
      </c>
      <c r="P7402" t="n">
        <v>0</v>
      </c>
      <c r="Q7402" t="n">
        <v>0</v>
      </c>
      <c r="R7402" s="2" t="inlineStr"/>
    </row>
    <row r="7403" ht="15" customHeight="1">
      <c r="A7403" t="inlineStr">
        <is>
          <t>A 2018-2026</t>
        </is>
      </c>
      <c r="B7403" s="1" t="n">
        <v>46035.71496527778</v>
      </c>
      <c r="C7403" s="1" t="n">
        <v>46114</v>
      </c>
      <c r="D7403" t="inlineStr">
        <is>
          <t>DALARNAS LÄN</t>
        </is>
      </c>
      <c r="E7403" t="inlineStr">
        <is>
          <t>FALUN</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2020-2026</t>
        </is>
      </c>
      <c r="B7404" s="1" t="n">
        <v>46035.7153587963</v>
      </c>
      <c r="C7404" s="1" t="n">
        <v>46114</v>
      </c>
      <c r="D7404" t="inlineStr">
        <is>
          <t>DALARNAS LÄN</t>
        </is>
      </c>
      <c r="E7404" t="inlineStr">
        <is>
          <t>FALUN</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2022-2026</t>
        </is>
      </c>
      <c r="B7405" s="1" t="n">
        <v>46035.71878472222</v>
      </c>
      <c r="C7405" s="1" t="n">
        <v>46114</v>
      </c>
      <c r="D7405" t="inlineStr">
        <is>
          <t>DALARNAS LÄN</t>
        </is>
      </c>
      <c r="E7405" t="inlineStr">
        <is>
          <t>FALUN</t>
        </is>
      </c>
      <c r="G7405" t="n">
        <v>2.2</v>
      </c>
      <c r="H7405" t="n">
        <v>0</v>
      </c>
      <c r="I7405" t="n">
        <v>0</v>
      </c>
      <c r="J7405" t="n">
        <v>0</v>
      </c>
      <c r="K7405" t="n">
        <v>0</v>
      </c>
      <c r="L7405" t="n">
        <v>0</v>
      </c>
      <c r="M7405" t="n">
        <v>0</v>
      </c>
      <c r="N7405" t="n">
        <v>0</v>
      </c>
      <c r="O7405" t="n">
        <v>0</v>
      </c>
      <c r="P7405" t="n">
        <v>0</v>
      </c>
      <c r="Q7405" t="n">
        <v>0</v>
      </c>
      <c r="R7405" s="2" t="inlineStr"/>
    </row>
    <row r="7406" ht="15" customHeight="1">
      <c r="A7406" t="inlineStr">
        <is>
          <t>A 2028-2026</t>
        </is>
      </c>
      <c r="B7406" s="1" t="n">
        <v>46035.72858796296</v>
      </c>
      <c r="C7406" s="1" t="n">
        <v>46114</v>
      </c>
      <c r="D7406" t="inlineStr">
        <is>
          <t>DALARNAS LÄN</t>
        </is>
      </c>
      <c r="E7406" t="inlineStr">
        <is>
          <t>FALUN</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47873-2023</t>
        </is>
      </c>
      <c r="B7407" s="1" t="n">
        <v>45204</v>
      </c>
      <c r="C7407" s="1" t="n">
        <v>46114</v>
      </c>
      <c r="D7407" t="inlineStr">
        <is>
          <t>DALARNAS LÄN</t>
        </is>
      </c>
      <c r="E7407" t="inlineStr">
        <is>
          <t>ÄLVDALEN</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38240-2022</t>
        </is>
      </c>
      <c r="B7408" s="1" t="n">
        <v>44812</v>
      </c>
      <c r="C7408" s="1" t="n">
        <v>46114</v>
      </c>
      <c r="D7408" t="inlineStr">
        <is>
          <t>DALARNAS LÄN</t>
        </is>
      </c>
      <c r="E7408" t="inlineStr">
        <is>
          <t>SÄTER</t>
        </is>
      </c>
      <c r="G7408" t="n">
        <v>2</v>
      </c>
      <c r="H7408" t="n">
        <v>0</v>
      </c>
      <c r="I7408" t="n">
        <v>0</v>
      </c>
      <c r="J7408" t="n">
        <v>0</v>
      </c>
      <c r="K7408" t="n">
        <v>0</v>
      </c>
      <c r="L7408" t="n">
        <v>0</v>
      </c>
      <c r="M7408" t="n">
        <v>0</v>
      </c>
      <c r="N7408" t="n">
        <v>0</v>
      </c>
      <c r="O7408" t="n">
        <v>0</v>
      </c>
      <c r="P7408" t="n">
        <v>0</v>
      </c>
      <c r="Q7408" t="n">
        <v>0</v>
      </c>
      <c r="R7408" s="2" t="inlineStr"/>
    </row>
    <row r="7409" ht="15" customHeight="1">
      <c r="A7409" t="inlineStr">
        <is>
          <t>A 4155-2023</t>
        </is>
      </c>
      <c r="B7409" s="1" t="n">
        <v>44950</v>
      </c>
      <c r="C7409" s="1" t="n">
        <v>46114</v>
      </c>
      <c r="D7409" t="inlineStr">
        <is>
          <t>DALARNAS LÄN</t>
        </is>
      </c>
      <c r="E7409" t="inlineStr">
        <is>
          <t>SMEDJEBACKEN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40853-2022</t>
        </is>
      </c>
      <c r="B7410" s="1" t="n">
        <v>44825.28662037037</v>
      </c>
      <c r="C7410" s="1" t="n">
        <v>46114</v>
      </c>
      <c r="D7410" t="inlineStr">
        <is>
          <t>DALARNAS LÄN</t>
        </is>
      </c>
      <c r="E7410" t="inlineStr">
        <is>
          <t>FALUN</t>
        </is>
      </c>
      <c r="G7410" t="n">
        <v>7.2</v>
      </c>
      <c r="H7410" t="n">
        <v>0</v>
      </c>
      <c r="I7410" t="n">
        <v>0</v>
      </c>
      <c r="J7410" t="n">
        <v>0</v>
      </c>
      <c r="K7410" t="n">
        <v>0</v>
      </c>
      <c r="L7410" t="n">
        <v>0</v>
      </c>
      <c r="M7410" t="n">
        <v>0</v>
      </c>
      <c r="N7410" t="n">
        <v>0</v>
      </c>
      <c r="O7410" t="n">
        <v>0</v>
      </c>
      <c r="P7410" t="n">
        <v>0</v>
      </c>
      <c r="Q7410" t="n">
        <v>0</v>
      </c>
      <c r="R7410" s="2" t="inlineStr"/>
    </row>
    <row r="7411" ht="15" customHeight="1">
      <c r="A7411" t="inlineStr">
        <is>
          <t>A 10328-2026</t>
        </is>
      </c>
      <c r="B7411" s="1" t="n">
        <v>46076.66283564815</v>
      </c>
      <c r="C7411" s="1" t="n">
        <v>46114</v>
      </c>
      <c r="D7411" t="inlineStr">
        <is>
          <t>DALARNAS LÄN</t>
        </is>
      </c>
      <c r="E7411" t="inlineStr">
        <is>
          <t>GAGNEF</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27418-2023</t>
        </is>
      </c>
      <c r="B7412" s="1" t="n">
        <v>45097.36627314815</v>
      </c>
      <c r="C7412" s="1" t="n">
        <v>46114</v>
      </c>
      <c r="D7412" t="inlineStr">
        <is>
          <t>DALARNAS LÄN</t>
        </is>
      </c>
      <c r="E7412" t="inlineStr">
        <is>
          <t>RÄTTVIK</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19162-2022</t>
        </is>
      </c>
      <c r="B7413" s="1" t="n">
        <v>44691</v>
      </c>
      <c r="C7413" s="1" t="n">
        <v>46114</v>
      </c>
      <c r="D7413" t="inlineStr">
        <is>
          <t>DALARNAS LÄN</t>
        </is>
      </c>
      <c r="E7413" t="inlineStr">
        <is>
          <t>SÄTER</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49397-2024</t>
        </is>
      </c>
      <c r="B7414" s="1" t="n">
        <v>45595</v>
      </c>
      <c r="C7414" s="1" t="n">
        <v>46114</v>
      </c>
      <c r="D7414" t="inlineStr">
        <is>
          <t>DALARNAS LÄN</t>
        </is>
      </c>
      <c r="E7414" t="inlineStr">
        <is>
          <t>LEKSAND</t>
        </is>
      </c>
      <c r="G7414" t="n">
        <v>4.3</v>
      </c>
      <c r="H7414" t="n">
        <v>0</v>
      </c>
      <c r="I7414" t="n">
        <v>0</v>
      </c>
      <c r="J7414" t="n">
        <v>0</v>
      </c>
      <c r="K7414" t="n">
        <v>0</v>
      </c>
      <c r="L7414" t="n">
        <v>0</v>
      </c>
      <c r="M7414" t="n">
        <v>0</v>
      </c>
      <c r="N7414" t="n">
        <v>0</v>
      </c>
      <c r="O7414" t="n">
        <v>0</v>
      </c>
      <c r="P7414" t="n">
        <v>0</v>
      </c>
      <c r="Q7414" t="n">
        <v>0</v>
      </c>
      <c r="R7414" s="2" t="inlineStr"/>
    </row>
    <row r="7415" ht="15" customHeight="1">
      <c r="A7415" t="inlineStr">
        <is>
          <t>A 1803-2026</t>
        </is>
      </c>
      <c r="B7415" s="1" t="n">
        <v>46035.32033564815</v>
      </c>
      <c r="C7415" s="1" t="n">
        <v>46114</v>
      </c>
      <c r="D7415" t="inlineStr">
        <is>
          <t>DALARNAS LÄN</t>
        </is>
      </c>
      <c r="E7415" t="inlineStr">
        <is>
          <t>FALUN</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7194-2025</t>
        </is>
      </c>
      <c r="B7416" s="1" t="n">
        <v>45702.44947916667</v>
      </c>
      <c r="C7416" s="1" t="n">
        <v>46114</v>
      </c>
      <c r="D7416" t="inlineStr">
        <is>
          <t>DALARNAS LÄN</t>
        </is>
      </c>
      <c r="E7416" t="inlineStr">
        <is>
          <t>BORLÄNGE</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1425-2026</t>
        </is>
      </c>
      <c r="B7417" s="1" t="n">
        <v>46031.9062962963</v>
      </c>
      <c r="C7417" s="1" t="n">
        <v>46114</v>
      </c>
      <c r="D7417" t="inlineStr">
        <is>
          <t>DALARNAS LÄN</t>
        </is>
      </c>
      <c r="E7417" t="inlineStr">
        <is>
          <t>FALUN</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1447-2026</t>
        </is>
      </c>
      <c r="B7418" s="1" t="n">
        <v>46032.84001157407</v>
      </c>
      <c r="C7418" s="1" t="n">
        <v>46114</v>
      </c>
      <c r="D7418" t="inlineStr">
        <is>
          <t>DALARNAS LÄN</t>
        </is>
      </c>
      <c r="E7418" t="inlineStr">
        <is>
          <t>FALUN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1460-2026</t>
        </is>
      </c>
      <c r="B7419" s="1" t="n">
        <v>46033.67858796296</v>
      </c>
      <c r="C7419" s="1" t="n">
        <v>46114</v>
      </c>
      <c r="D7419" t="inlineStr">
        <is>
          <t>DALARNAS LÄN</t>
        </is>
      </c>
      <c r="E7419" t="inlineStr">
        <is>
          <t>RÄTTVIK</t>
        </is>
      </c>
      <c r="F7419" t="inlineStr">
        <is>
          <t>Bergvik skog väst AB</t>
        </is>
      </c>
      <c r="G7419" t="n">
        <v>1.5</v>
      </c>
      <c r="H7419" t="n">
        <v>0</v>
      </c>
      <c r="I7419" t="n">
        <v>0</v>
      </c>
      <c r="J7419" t="n">
        <v>0</v>
      </c>
      <c r="K7419" t="n">
        <v>0</v>
      </c>
      <c r="L7419" t="n">
        <v>0</v>
      </c>
      <c r="M7419" t="n">
        <v>0</v>
      </c>
      <c r="N7419" t="n">
        <v>0</v>
      </c>
      <c r="O7419" t="n">
        <v>0</v>
      </c>
      <c r="P7419" t="n">
        <v>0</v>
      </c>
      <c r="Q7419" t="n">
        <v>0</v>
      </c>
      <c r="R7419" s="2" t="inlineStr"/>
    </row>
    <row r="7420" ht="15" customHeight="1">
      <c r="A7420" t="inlineStr">
        <is>
          <t>A 1466-2026</t>
        </is>
      </c>
      <c r="B7420" s="1" t="n">
        <v>46033.70020833334</v>
      </c>
      <c r="C7420" s="1" t="n">
        <v>46114</v>
      </c>
      <c r="D7420" t="inlineStr">
        <is>
          <t>DALARNAS LÄN</t>
        </is>
      </c>
      <c r="E7420" t="inlineStr">
        <is>
          <t>RÄTTVIK</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1497-2026</t>
        </is>
      </c>
      <c r="B7421" s="1" t="n">
        <v>46034.33011574074</v>
      </c>
      <c r="C7421" s="1" t="n">
        <v>46114</v>
      </c>
      <c r="D7421" t="inlineStr">
        <is>
          <t>DALARNAS LÄN</t>
        </is>
      </c>
      <c r="E7421" t="inlineStr">
        <is>
          <t>AVESTA</t>
        </is>
      </c>
      <c r="G7421" t="n">
        <v>2.2</v>
      </c>
      <c r="H7421" t="n">
        <v>0</v>
      </c>
      <c r="I7421" t="n">
        <v>0</v>
      </c>
      <c r="J7421" t="n">
        <v>0</v>
      </c>
      <c r="K7421" t="n">
        <v>0</v>
      </c>
      <c r="L7421" t="n">
        <v>0</v>
      </c>
      <c r="M7421" t="n">
        <v>0</v>
      </c>
      <c r="N7421" t="n">
        <v>0</v>
      </c>
      <c r="O7421" t="n">
        <v>0</v>
      </c>
      <c r="P7421" t="n">
        <v>0</v>
      </c>
      <c r="Q7421" t="n">
        <v>0</v>
      </c>
      <c r="R7421" s="2" t="inlineStr"/>
    </row>
    <row r="7422" ht="15" customHeight="1">
      <c r="A7422" t="inlineStr">
        <is>
          <t>A 62287-2022</t>
        </is>
      </c>
      <c r="B7422" s="1" t="n">
        <v>44923</v>
      </c>
      <c r="C7422" s="1" t="n">
        <v>46114</v>
      </c>
      <c r="D7422" t="inlineStr">
        <is>
          <t>DALARNAS LÄN</t>
        </is>
      </c>
      <c r="E7422" t="inlineStr">
        <is>
          <t>MALUNG-SÄLEN</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62288-2022</t>
        </is>
      </c>
      <c r="B7423" s="1" t="n">
        <v>44923.41336805555</v>
      </c>
      <c r="C7423" s="1" t="n">
        <v>46114</v>
      </c>
      <c r="D7423" t="inlineStr">
        <is>
          <t>DALARNAS LÄN</t>
        </is>
      </c>
      <c r="E7423" t="inlineStr">
        <is>
          <t>MALUNG-SÄLEN</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2649-2026</t>
        </is>
      </c>
      <c r="B7424" s="1" t="n">
        <v>46035</v>
      </c>
      <c r="C7424" s="1" t="n">
        <v>46114</v>
      </c>
      <c r="D7424" t="inlineStr">
        <is>
          <t>DALARNAS LÄN</t>
        </is>
      </c>
      <c r="E7424" t="inlineStr">
        <is>
          <t>FALUN</t>
        </is>
      </c>
      <c r="G7424" t="n">
        <v>2.8</v>
      </c>
      <c r="H7424" t="n">
        <v>0</v>
      </c>
      <c r="I7424" t="n">
        <v>0</v>
      </c>
      <c r="J7424" t="n">
        <v>0</v>
      </c>
      <c r="K7424" t="n">
        <v>0</v>
      </c>
      <c r="L7424" t="n">
        <v>0</v>
      </c>
      <c r="M7424" t="n">
        <v>0</v>
      </c>
      <c r="N7424" t="n">
        <v>0</v>
      </c>
      <c r="O7424" t="n">
        <v>0</v>
      </c>
      <c r="P7424" t="n">
        <v>0</v>
      </c>
      <c r="Q7424" t="n">
        <v>0</v>
      </c>
      <c r="R7424" s="2" t="inlineStr"/>
    </row>
    <row r="7425" ht="15" customHeight="1">
      <c r="A7425" t="inlineStr">
        <is>
          <t>A 62336-2022</t>
        </is>
      </c>
      <c r="B7425" s="1" t="n">
        <v>44923.56913194444</v>
      </c>
      <c r="C7425" s="1" t="n">
        <v>46114</v>
      </c>
      <c r="D7425" t="inlineStr">
        <is>
          <t>DALARNAS LÄN</t>
        </is>
      </c>
      <c r="E7425" t="inlineStr">
        <is>
          <t>MALUNG-SÄLEN</t>
        </is>
      </c>
      <c r="G7425" t="n">
        <v>10.6</v>
      </c>
      <c r="H7425" t="n">
        <v>0</v>
      </c>
      <c r="I7425" t="n">
        <v>0</v>
      </c>
      <c r="J7425" t="n">
        <v>0</v>
      </c>
      <c r="K7425" t="n">
        <v>0</v>
      </c>
      <c r="L7425" t="n">
        <v>0</v>
      </c>
      <c r="M7425" t="n">
        <v>0</v>
      </c>
      <c r="N7425" t="n">
        <v>0</v>
      </c>
      <c r="O7425" t="n">
        <v>0</v>
      </c>
      <c r="P7425" t="n">
        <v>0</v>
      </c>
      <c r="Q7425" t="n">
        <v>0</v>
      </c>
      <c r="R7425" s="2" t="inlineStr"/>
    </row>
    <row r="7426" ht="15" customHeight="1">
      <c r="A7426" t="inlineStr">
        <is>
          <t>A 1580-2026</t>
        </is>
      </c>
      <c r="B7426" s="1" t="n">
        <v>46034.42577546297</v>
      </c>
      <c r="C7426" s="1" t="n">
        <v>46114</v>
      </c>
      <c r="D7426" t="inlineStr">
        <is>
          <t>DALARNAS LÄN</t>
        </is>
      </c>
      <c r="E7426" t="inlineStr">
        <is>
          <t>ORSA</t>
        </is>
      </c>
      <c r="G7426" t="n">
        <v>3.8</v>
      </c>
      <c r="H7426" t="n">
        <v>0</v>
      </c>
      <c r="I7426" t="n">
        <v>0</v>
      </c>
      <c r="J7426" t="n">
        <v>0</v>
      </c>
      <c r="K7426" t="n">
        <v>0</v>
      </c>
      <c r="L7426" t="n">
        <v>0</v>
      </c>
      <c r="M7426" t="n">
        <v>0</v>
      </c>
      <c r="N7426" t="n">
        <v>0</v>
      </c>
      <c r="O7426" t="n">
        <v>0</v>
      </c>
      <c r="P7426" t="n">
        <v>0</v>
      </c>
      <c r="Q7426" t="n">
        <v>0</v>
      </c>
      <c r="R7426" s="2" t="inlineStr"/>
    </row>
    <row r="7427" ht="15" customHeight="1">
      <c r="A7427" t="inlineStr">
        <is>
          <t>A 1584-2026</t>
        </is>
      </c>
      <c r="B7427" s="1" t="n">
        <v>46034.43663194445</v>
      </c>
      <c r="C7427" s="1" t="n">
        <v>46114</v>
      </c>
      <c r="D7427" t="inlineStr">
        <is>
          <t>DALARNAS LÄN</t>
        </is>
      </c>
      <c r="E7427" t="inlineStr">
        <is>
          <t>GAGNEF</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1702-2026</t>
        </is>
      </c>
      <c r="B7428" s="1" t="n">
        <v>46034.5958912037</v>
      </c>
      <c r="C7428" s="1" t="n">
        <v>46114</v>
      </c>
      <c r="D7428" t="inlineStr">
        <is>
          <t>DALARNAS LÄN</t>
        </is>
      </c>
      <c r="E7428" t="inlineStr">
        <is>
          <t>FALUN</t>
        </is>
      </c>
      <c r="G7428" t="n">
        <v>1.9</v>
      </c>
      <c r="H7428" t="n">
        <v>0</v>
      </c>
      <c r="I7428" t="n">
        <v>0</v>
      </c>
      <c r="J7428" t="n">
        <v>0</v>
      </c>
      <c r="K7428" t="n">
        <v>0</v>
      </c>
      <c r="L7428" t="n">
        <v>0</v>
      </c>
      <c r="M7428" t="n">
        <v>0</v>
      </c>
      <c r="N7428" t="n">
        <v>0</v>
      </c>
      <c r="O7428" t="n">
        <v>0</v>
      </c>
      <c r="P7428" t="n">
        <v>0</v>
      </c>
      <c r="Q7428" t="n">
        <v>0</v>
      </c>
      <c r="R7428" s="2" t="inlineStr"/>
      <c r="U7428">
        <f>HYPERLINK("https://klasma.github.io/Logging_2080/knärot/A 1702-2026 karta knärot.png", "A 1702-2026")</f>
        <v/>
      </c>
      <c r="V7428">
        <f>HYPERLINK("https://klasma.github.io/Logging_2080/klagomål/A 1702-2026 FSC-klagomål.docx", "A 1702-2026")</f>
        <v/>
      </c>
      <c r="W7428">
        <f>HYPERLINK("https://klasma.github.io/Logging_2080/klagomålsmail/A 1702-2026 FSC-klagomål mail.docx", "A 1702-2026")</f>
        <v/>
      </c>
      <c r="X7428">
        <f>HYPERLINK("https://klasma.github.io/Logging_2080/tillsyn/A 1702-2026 tillsynsbegäran.docx", "A 1702-2026")</f>
        <v/>
      </c>
      <c r="Y7428">
        <f>HYPERLINK("https://klasma.github.io/Logging_2080/tillsynsmail/A 1702-2026 tillsynsbegäran mail.docx", "A 1702-2026")</f>
        <v/>
      </c>
    </row>
    <row r="7429" ht="15" customHeight="1">
      <c r="A7429" t="inlineStr">
        <is>
          <t>A 2419-2026</t>
        </is>
      </c>
      <c r="B7429" s="1" t="n">
        <v>46034</v>
      </c>
      <c r="C7429" s="1" t="n">
        <v>46114</v>
      </c>
      <c r="D7429" t="inlineStr">
        <is>
          <t>DALARNAS LÄN</t>
        </is>
      </c>
      <c r="E7429" t="inlineStr">
        <is>
          <t>VANSBRO</t>
        </is>
      </c>
      <c r="G7429" t="n">
        <v>6.9</v>
      </c>
      <c r="H7429" t="n">
        <v>0</v>
      </c>
      <c r="I7429" t="n">
        <v>0</v>
      </c>
      <c r="J7429" t="n">
        <v>0</v>
      </c>
      <c r="K7429" t="n">
        <v>0</v>
      </c>
      <c r="L7429" t="n">
        <v>0</v>
      </c>
      <c r="M7429" t="n">
        <v>0</v>
      </c>
      <c r="N7429" t="n">
        <v>0</v>
      </c>
      <c r="O7429" t="n">
        <v>0</v>
      </c>
      <c r="P7429" t="n">
        <v>0</v>
      </c>
      <c r="Q7429" t="n">
        <v>0</v>
      </c>
      <c r="R7429" s="2" t="inlineStr"/>
    </row>
    <row r="7430" ht="15" customHeight="1">
      <c r="A7430" t="inlineStr">
        <is>
          <t>A 10513-2026</t>
        </is>
      </c>
      <c r="B7430" s="1" t="n">
        <v>46077.57217592592</v>
      </c>
      <c r="C7430" s="1" t="n">
        <v>46114</v>
      </c>
      <c r="D7430" t="inlineStr">
        <is>
          <t>DALARNAS LÄN</t>
        </is>
      </c>
      <c r="E7430" t="inlineStr">
        <is>
          <t>ORSA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57907-2024</t>
        </is>
      </c>
      <c r="B7431" s="1" t="n">
        <v>45630</v>
      </c>
      <c r="C7431" s="1" t="n">
        <v>46114</v>
      </c>
      <c r="D7431" t="inlineStr">
        <is>
          <t>DALARNAS LÄN</t>
        </is>
      </c>
      <c r="E7431" t="inlineStr">
        <is>
          <t>LEKSAND</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2692-2026</t>
        </is>
      </c>
      <c r="B7432" s="1" t="n">
        <v>46037</v>
      </c>
      <c r="C7432" s="1" t="n">
        <v>46114</v>
      </c>
      <c r="D7432" t="inlineStr">
        <is>
          <t>DALARNAS LÄN</t>
        </is>
      </c>
      <c r="E7432" t="inlineStr">
        <is>
          <t>RÄTTVIK</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9815-2026</t>
        </is>
      </c>
      <c r="B7433" s="1" t="n">
        <v>46072</v>
      </c>
      <c r="C7433" s="1" t="n">
        <v>46114</v>
      </c>
      <c r="D7433" t="inlineStr">
        <is>
          <t>DALARNAS LÄN</t>
        </is>
      </c>
      <c r="E7433" t="inlineStr">
        <is>
          <t>FALUN</t>
        </is>
      </c>
      <c r="F7433" t="inlineStr">
        <is>
          <t>Bergvik skog väst AB</t>
        </is>
      </c>
      <c r="G7433" t="n">
        <v>2.9</v>
      </c>
      <c r="H7433" t="n">
        <v>0</v>
      </c>
      <c r="I7433" t="n">
        <v>0</v>
      </c>
      <c r="J7433" t="n">
        <v>0</v>
      </c>
      <c r="K7433" t="n">
        <v>0</v>
      </c>
      <c r="L7433" t="n">
        <v>0</v>
      </c>
      <c r="M7433" t="n">
        <v>0</v>
      </c>
      <c r="N7433" t="n">
        <v>0</v>
      </c>
      <c r="O7433" t="n">
        <v>0</v>
      </c>
      <c r="P7433" t="n">
        <v>0</v>
      </c>
      <c r="Q7433" t="n">
        <v>0</v>
      </c>
      <c r="R7433" s="2" t="inlineStr"/>
    </row>
    <row r="7434" ht="15" customHeight="1">
      <c r="A7434" t="inlineStr">
        <is>
          <t>A 9818-2026</t>
        </is>
      </c>
      <c r="B7434" s="1" t="n">
        <v>46072</v>
      </c>
      <c r="C7434" s="1" t="n">
        <v>46114</v>
      </c>
      <c r="D7434" t="inlineStr">
        <is>
          <t>DALARNAS LÄN</t>
        </is>
      </c>
      <c r="E7434" t="inlineStr">
        <is>
          <t>FALUN</t>
        </is>
      </c>
      <c r="F7434" t="inlineStr">
        <is>
          <t>Bergvik skog väst AB</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10320-2026</t>
        </is>
      </c>
      <c r="B7435" s="1" t="n">
        <v>46076</v>
      </c>
      <c r="C7435" s="1" t="n">
        <v>46114</v>
      </c>
      <c r="D7435" t="inlineStr">
        <is>
          <t>DALARNAS LÄN</t>
        </is>
      </c>
      <c r="E7435" t="inlineStr">
        <is>
          <t>SÄTER</t>
        </is>
      </c>
      <c r="F7435" t="inlineStr">
        <is>
          <t>Kommuner</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50123-2024</t>
        </is>
      </c>
      <c r="B7436" s="1" t="n">
        <v>45600.4233912037</v>
      </c>
      <c r="C7436" s="1" t="n">
        <v>46114</v>
      </c>
      <c r="D7436" t="inlineStr">
        <is>
          <t>DALARNAS LÄN</t>
        </is>
      </c>
      <c r="E7436" t="inlineStr">
        <is>
          <t>FALUN</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10324-2026</t>
        </is>
      </c>
      <c r="B7437" s="1" t="n">
        <v>46076</v>
      </c>
      <c r="C7437" s="1" t="n">
        <v>46114</v>
      </c>
      <c r="D7437" t="inlineStr">
        <is>
          <t>DALARNAS LÄN</t>
        </is>
      </c>
      <c r="E7437" t="inlineStr">
        <is>
          <t>FALUN</t>
        </is>
      </c>
      <c r="F7437" t="inlineStr">
        <is>
          <t>Bergvik skog väst AB</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51043-2024</t>
        </is>
      </c>
      <c r="B7438" s="1" t="n">
        <v>45603.43526620371</v>
      </c>
      <c r="C7438" s="1" t="n">
        <v>46114</v>
      </c>
      <c r="D7438" t="inlineStr">
        <is>
          <t>DALARNAS LÄN</t>
        </is>
      </c>
      <c r="E7438" t="inlineStr">
        <is>
          <t>LUDVIKA</t>
        </is>
      </c>
      <c r="F7438" t="inlineStr">
        <is>
          <t>Bergvik skog väst AB</t>
        </is>
      </c>
      <c r="G7438" t="n">
        <v>17.9</v>
      </c>
      <c r="H7438" t="n">
        <v>0</v>
      </c>
      <c r="I7438" t="n">
        <v>0</v>
      </c>
      <c r="J7438" t="n">
        <v>0</v>
      </c>
      <c r="K7438" t="n">
        <v>0</v>
      </c>
      <c r="L7438" t="n">
        <v>0</v>
      </c>
      <c r="M7438" t="n">
        <v>0</v>
      </c>
      <c r="N7438" t="n">
        <v>0</v>
      </c>
      <c r="O7438" t="n">
        <v>0</v>
      </c>
      <c r="P7438" t="n">
        <v>0</v>
      </c>
      <c r="Q7438" t="n">
        <v>0</v>
      </c>
      <c r="R7438" s="2" t="inlineStr"/>
    </row>
    <row r="7439" ht="15" customHeight="1">
      <c r="A7439" t="inlineStr">
        <is>
          <t>A 2936-2026</t>
        </is>
      </c>
      <c r="B7439" s="1" t="n">
        <v>46037</v>
      </c>
      <c r="C7439" s="1" t="n">
        <v>46114</v>
      </c>
      <c r="D7439" t="inlineStr">
        <is>
          <t>DALARNAS LÄN</t>
        </is>
      </c>
      <c r="E7439" t="inlineStr">
        <is>
          <t>FALUN</t>
        </is>
      </c>
      <c r="G7439" t="n">
        <v>2.5</v>
      </c>
      <c r="H7439" t="n">
        <v>0</v>
      </c>
      <c r="I7439" t="n">
        <v>0</v>
      </c>
      <c r="J7439" t="n">
        <v>0</v>
      </c>
      <c r="K7439" t="n">
        <v>0</v>
      </c>
      <c r="L7439" t="n">
        <v>0</v>
      </c>
      <c r="M7439" t="n">
        <v>0</v>
      </c>
      <c r="N7439" t="n">
        <v>0</v>
      </c>
      <c r="O7439" t="n">
        <v>0</v>
      </c>
      <c r="P7439" t="n">
        <v>0</v>
      </c>
      <c r="Q7439" t="n">
        <v>0</v>
      </c>
      <c r="R7439" s="2" t="inlineStr"/>
    </row>
    <row r="7440" ht="15" customHeight="1">
      <c r="A7440" t="inlineStr">
        <is>
          <t>A 2951-2026</t>
        </is>
      </c>
      <c r="B7440" s="1" t="n">
        <v>46037</v>
      </c>
      <c r="C7440" s="1" t="n">
        <v>46114</v>
      </c>
      <c r="D7440" t="inlineStr">
        <is>
          <t>DALARNAS LÄN</t>
        </is>
      </c>
      <c r="E7440" t="inlineStr">
        <is>
          <t>FALUN</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11124-2026</t>
        </is>
      </c>
      <c r="B7441" s="1" t="n">
        <v>46079.68990740741</v>
      </c>
      <c r="C7441" s="1" t="n">
        <v>46114</v>
      </c>
      <c r="D7441" t="inlineStr">
        <is>
          <t>DALARNAS LÄN</t>
        </is>
      </c>
      <c r="E7441" t="inlineStr">
        <is>
          <t>ÄLVDALEN</t>
        </is>
      </c>
      <c r="G7441" t="n">
        <v>4.4</v>
      </c>
      <c r="H7441" t="n">
        <v>0</v>
      </c>
      <c r="I7441" t="n">
        <v>0</v>
      </c>
      <c r="J7441" t="n">
        <v>0</v>
      </c>
      <c r="K7441" t="n">
        <v>0</v>
      </c>
      <c r="L7441" t="n">
        <v>0</v>
      </c>
      <c r="M7441" t="n">
        <v>0</v>
      </c>
      <c r="N7441" t="n">
        <v>0</v>
      </c>
      <c r="O7441" t="n">
        <v>0</v>
      </c>
      <c r="P7441" t="n">
        <v>0</v>
      </c>
      <c r="Q7441" t="n">
        <v>0</v>
      </c>
      <c r="R7441" s="2" t="inlineStr"/>
    </row>
    <row r="7442" ht="15" customHeight="1">
      <c r="A7442" t="inlineStr">
        <is>
          <t>A 2543-2026</t>
        </is>
      </c>
      <c r="B7442" s="1" t="n">
        <v>46037</v>
      </c>
      <c r="C7442" s="1" t="n">
        <v>46114</v>
      </c>
      <c r="D7442" t="inlineStr">
        <is>
          <t>DALARNAS LÄN</t>
        </is>
      </c>
      <c r="E7442" t="inlineStr">
        <is>
          <t>FALUN</t>
        </is>
      </c>
      <c r="F7442" t="inlineStr">
        <is>
          <t>Bergvik skog väst AB</t>
        </is>
      </c>
      <c r="G7442" t="n">
        <v>47.6</v>
      </c>
      <c r="H7442" t="n">
        <v>0</v>
      </c>
      <c r="I7442" t="n">
        <v>0</v>
      </c>
      <c r="J7442" t="n">
        <v>0</v>
      </c>
      <c r="K7442" t="n">
        <v>0</v>
      </c>
      <c r="L7442" t="n">
        <v>0</v>
      </c>
      <c r="M7442" t="n">
        <v>0</v>
      </c>
      <c r="N7442" t="n">
        <v>0</v>
      </c>
      <c r="O7442" t="n">
        <v>0</v>
      </c>
      <c r="P7442" t="n">
        <v>0</v>
      </c>
      <c r="Q7442" t="n">
        <v>0</v>
      </c>
      <c r="R7442" s="2" t="inlineStr"/>
    </row>
    <row r="7443" ht="15" customHeight="1">
      <c r="A7443" t="inlineStr">
        <is>
          <t>A 2551-2026</t>
        </is>
      </c>
      <c r="B7443" s="1" t="n">
        <v>46037.47077546296</v>
      </c>
      <c r="C7443" s="1" t="n">
        <v>46114</v>
      </c>
      <c r="D7443" t="inlineStr">
        <is>
          <t>DALARNAS LÄN</t>
        </is>
      </c>
      <c r="E7443" t="inlineStr">
        <is>
          <t>ORSA</t>
        </is>
      </c>
      <c r="G7443" t="n">
        <v>2.6</v>
      </c>
      <c r="H7443" t="n">
        <v>0</v>
      </c>
      <c r="I7443" t="n">
        <v>0</v>
      </c>
      <c r="J7443" t="n">
        <v>0</v>
      </c>
      <c r="K7443" t="n">
        <v>0</v>
      </c>
      <c r="L7443" t="n">
        <v>0</v>
      </c>
      <c r="M7443" t="n">
        <v>0</v>
      </c>
      <c r="N7443" t="n">
        <v>0</v>
      </c>
      <c r="O7443" t="n">
        <v>0</v>
      </c>
      <c r="P7443" t="n">
        <v>0</v>
      </c>
      <c r="Q7443" t="n">
        <v>0</v>
      </c>
      <c r="R7443" s="2" t="inlineStr"/>
    </row>
    <row r="7444" ht="15" customHeight="1">
      <c r="A7444" t="inlineStr">
        <is>
          <t>A 2554-2026</t>
        </is>
      </c>
      <c r="B7444" s="1" t="n">
        <v>46037.47445601852</v>
      </c>
      <c r="C7444" s="1" t="n">
        <v>46114</v>
      </c>
      <c r="D7444" t="inlineStr">
        <is>
          <t>DALARNAS LÄN</t>
        </is>
      </c>
      <c r="E7444" t="inlineStr">
        <is>
          <t>FALUN</t>
        </is>
      </c>
      <c r="G7444" t="n">
        <v>8.4</v>
      </c>
      <c r="H7444" t="n">
        <v>0</v>
      </c>
      <c r="I7444" t="n">
        <v>0</v>
      </c>
      <c r="J7444" t="n">
        <v>0</v>
      </c>
      <c r="K7444" t="n">
        <v>0</v>
      </c>
      <c r="L7444" t="n">
        <v>0</v>
      </c>
      <c r="M7444" t="n">
        <v>0</v>
      </c>
      <c r="N7444" t="n">
        <v>0</v>
      </c>
      <c r="O7444" t="n">
        <v>0</v>
      </c>
      <c r="P7444" t="n">
        <v>0</v>
      </c>
      <c r="Q7444" t="n">
        <v>0</v>
      </c>
      <c r="R7444" s="2" t="inlineStr"/>
    </row>
    <row r="7445" ht="15" customHeight="1">
      <c r="A7445" t="inlineStr">
        <is>
          <t>A 2558-2026</t>
        </is>
      </c>
      <c r="B7445" s="1" t="n">
        <v>46037.48226851852</v>
      </c>
      <c r="C7445" s="1" t="n">
        <v>46114</v>
      </c>
      <c r="D7445" t="inlineStr">
        <is>
          <t>DALARNAS LÄN</t>
        </is>
      </c>
      <c r="E7445" t="inlineStr">
        <is>
          <t>FALUN</t>
        </is>
      </c>
      <c r="G7445" t="n">
        <v>11.2</v>
      </c>
      <c r="H7445" t="n">
        <v>0</v>
      </c>
      <c r="I7445" t="n">
        <v>0</v>
      </c>
      <c r="J7445" t="n">
        <v>0</v>
      </c>
      <c r="K7445" t="n">
        <v>0</v>
      </c>
      <c r="L7445" t="n">
        <v>0</v>
      </c>
      <c r="M7445" t="n">
        <v>0</v>
      </c>
      <c r="N7445" t="n">
        <v>0</v>
      </c>
      <c r="O7445" t="n">
        <v>0</v>
      </c>
      <c r="P7445" t="n">
        <v>0</v>
      </c>
      <c r="Q7445" t="n">
        <v>0</v>
      </c>
      <c r="R7445" s="2" t="inlineStr"/>
    </row>
    <row r="7446" ht="15" customHeight="1">
      <c r="A7446" t="inlineStr">
        <is>
          <t>A 2566-2026</t>
        </is>
      </c>
      <c r="B7446" s="1" t="n">
        <v>46037.4906712963</v>
      </c>
      <c r="C7446" s="1" t="n">
        <v>46114</v>
      </c>
      <c r="D7446" t="inlineStr">
        <is>
          <t>DALARNAS LÄN</t>
        </is>
      </c>
      <c r="E7446" t="inlineStr">
        <is>
          <t>FALUN</t>
        </is>
      </c>
      <c r="G7446" t="n">
        <v>1.4</v>
      </c>
      <c r="H7446" t="n">
        <v>0</v>
      </c>
      <c r="I7446" t="n">
        <v>0</v>
      </c>
      <c r="J7446" t="n">
        <v>0</v>
      </c>
      <c r="K7446" t="n">
        <v>0</v>
      </c>
      <c r="L7446" t="n">
        <v>0</v>
      </c>
      <c r="M7446" t="n">
        <v>0</v>
      </c>
      <c r="N7446" t="n">
        <v>0</v>
      </c>
      <c r="O7446" t="n">
        <v>0</v>
      </c>
      <c r="P7446" t="n">
        <v>0</v>
      </c>
      <c r="Q7446" t="n">
        <v>0</v>
      </c>
      <c r="R7446" s="2" t="inlineStr"/>
    </row>
    <row r="7447" ht="15" customHeight="1">
      <c r="A7447" t="inlineStr">
        <is>
          <t>A 2042-2026</t>
        </is>
      </c>
      <c r="B7447" s="1" t="n">
        <v>46031</v>
      </c>
      <c r="C7447" s="1" t="n">
        <v>46114</v>
      </c>
      <c r="D7447" t="inlineStr">
        <is>
          <t>DALARNAS LÄN</t>
        </is>
      </c>
      <c r="E7447" t="inlineStr">
        <is>
          <t>ÄLVDALEN</t>
        </is>
      </c>
      <c r="F7447" t="inlineStr">
        <is>
          <t>Sveaskog</t>
        </is>
      </c>
      <c r="G7447" t="n">
        <v>7.7</v>
      </c>
      <c r="H7447" t="n">
        <v>0</v>
      </c>
      <c r="I7447" t="n">
        <v>0</v>
      </c>
      <c r="J7447" t="n">
        <v>0</v>
      </c>
      <c r="K7447" t="n">
        <v>0</v>
      </c>
      <c r="L7447" t="n">
        <v>0</v>
      </c>
      <c r="M7447" t="n">
        <v>0</v>
      </c>
      <c r="N7447" t="n">
        <v>0</v>
      </c>
      <c r="O7447" t="n">
        <v>0</v>
      </c>
      <c r="P7447" t="n">
        <v>0</v>
      </c>
      <c r="Q7447" t="n">
        <v>0</v>
      </c>
      <c r="R7447" s="2" t="inlineStr"/>
    </row>
    <row r="7448" ht="15" customHeight="1">
      <c r="A7448" t="inlineStr">
        <is>
          <t>A 31690-2024</t>
        </is>
      </c>
      <c r="B7448" s="1" t="n">
        <v>45507</v>
      </c>
      <c r="C7448" s="1" t="n">
        <v>46114</v>
      </c>
      <c r="D7448" t="inlineStr">
        <is>
          <t>DALARNAS LÄN</t>
        </is>
      </c>
      <c r="E7448" t="inlineStr">
        <is>
          <t>ÄLVDALEN</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41946-2023</t>
        </is>
      </c>
      <c r="B7449" s="1" t="n">
        <v>45177.31422453704</v>
      </c>
      <c r="C7449" s="1" t="n">
        <v>46114</v>
      </c>
      <c r="D7449" t="inlineStr">
        <is>
          <t>DALARNAS LÄN</t>
        </is>
      </c>
      <c r="E7449" t="inlineStr">
        <is>
          <t>MALUNG-SÄLEN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10704-2026</t>
        </is>
      </c>
      <c r="B7450" s="1" t="n">
        <v>46078.4482175926</v>
      </c>
      <c r="C7450" s="1" t="n">
        <v>46114</v>
      </c>
      <c r="D7450" t="inlineStr">
        <is>
          <t>DALARNAS LÄN</t>
        </is>
      </c>
      <c r="E7450" t="inlineStr">
        <is>
          <t>ÄLVDALEN</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16878-2024</t>
        </is>
      </c>
      <c r="B7451" s="1" t="n">
        <v>45411.58637731482</v>
      </c>
      <c r="C7451" s="1" t="n">
        <v>46114</v>
      </c>
      <c r="D7451" t="inlineStr">
        <is>
          <t>DALARNAS LÄN</t>
        </is>
      </c>
      <c r="E7451" t="inlineStr">
        <is>
          <t>BORLÄNGE</t>
        </is>
      </c>
      <c r="G7451" t="n">
        <v>0.7</v>
      </c>
      <c r="H7451" t="n">
        <v>0</v>
      </c>
      <c r="I7451" t="n">
        <v>0</v>
      </c>
      <c r="J7451" t="n">
        <v>0</v>
      </c>
      <c r="K7451" t="n">
        <v>0</v>
      </c>
      <c r="L7451" t="n">
        <v>0</v>
      </c>
      <c r="M7451" t="n">
        <v>0</v>
      </c>
      <c r="N7451" t="n">
        <v>0</v>
      </c>
      <c r="O7451" t="n">
        <v>0</v>
      </c>
      <c r="P7451" t="n">
        <v>0</v>
      </c>
      <c r="Q7451" t="n">
        <v>0</v>
      </c>
      <c r="R7451" s="2" t="inlineStr"/>
    </row>
    <row r="7452" ht="15" customHeight="1">
      <c r="A7452" t="inlineStr">
        <is>
          <t>A 16888-2024</t>
        </is>
      </c>
      <c r="B7452" s="1" t="n">
        <v>45411.60905092592</v>
      </c>
      <c r="C7452" s="1" t="n">
        <v>46114</v>
      </c>
      <c r="D7452" t="inlineStr">
        <is>
          <t>DALARNAS LÄN</t>
        </is>
      </c>
      <c r="E7452" t="inlineStr">
        <is>
          <t>FALUN</t>
        </is>
      </c>
      <c r="F7452" t="inlineStr">
        <is>
          <t>Bergvik skog väst AB</t>
        </is>
      </c>
      <c r="G7452" t="n">
        <v>6.1</v>
      </c>
      <c r="H7452" t="n">
        <v>0</v>
      </c>
      <c r="I7452" t="n">
        <v>0</v>
      </c>
      <c r="J7452" t="n">
        <v>0</v>
      </c>
      <c r="K7452" t="n">
        <v>0</v>
      </c>
      <c r="L7452" t="n">
        <v>0</v>
      </c>
      <c r="M7452" t="n">
        <v>0</v>
      </c>
      <c r="N7452" t="n">
        <v>0</v>
      </c>
      <c r="O7452" t="n">
        <v>0</v>
      </c>
      <c r="P7452" t="n">
        <v>0</v>
      </c>
      <c r="Q7452" t="n">
        <v>0</v>
      </c>
      <c r="R7452" s="2" t="inlineStr"/>
    </row>
    <row r="7453" ht="15" customHeight="1">
      <c r="A7453" t="inlineStr">
        <is>
          <t>A 47777-2024</t>
        </is>
      </c>
      <c r="B7453" s="1" t="n">
        <v>45588.57958333333</v>
      </c>
      <c r="C7453" s="1" t="n">
        <v>46114</v>
      </c>
      <c r="D7453" t="inlineStr">
        <is>
          <t>DALARNAS LÄN</t>
        </is>
      </c>
      <c r="E7453" t="inlineStr">
        <is>
          <t>FALUN</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2078-2026</t>
        </is>
      </c>
      <c r="B7454" s="1" t="n">
        <v>46036</v>
      </c>
      <c r="C7454" s="1" t="n">
        <v>46114</v>
      </c>
      <c r="D7454" t="inlineStr">
        <is>
          <t>DALARNAS LÄN</t>
        </is>
      </c>
      <c r="E7454" t="inlineStr">
        <is>
          <t>RÄTTVIK</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2090-2026</t>
        </is>
      </c>
      <c r="B7455" s="1" t="n">
        <v>46036</v>
      </c>
      <c r="C7455" s="1" t="n">
        <v>46114</v>
      </c>
      <c r="D7455" t="inlineStr">
        <is>
          <t>DALARNAS LÄN</t>
        </is>
      </c>
      <c r="E7455" t="inlineStr">
        <is>
          <t>ORSA</t>
        </is>
      </c>
      <c r="G7455" t="n">
        <v>5.7</v>
      </c>
      <c r="H7455" t="n">
        <v>0</v>
      </c>
      <c r="I7455" t="n">
        <v>0</v>
      </c>
      <c r="J7455" t="n">
        <v>0</v>
      </c>
      <c r="K7455" t="n">
        <v>0</v>
      </c>
      <c r="L7455" t="n">
        <v>0</v>
      </c>
      <c r="M7455" t="n">
        <v>0</v>
      </c>
      <c r="N7455" t="n">
        <v>0</v>
      </c>
      <c r="O7455" t="n">
        <v>0</v>
      </c>
      <c r="P7455" t="n">
        <v>0</v>
      </c>
      <c r="Q7455" t="n">
        <v>0</v>
      </c>
      <c r="R7455" s="2" t="inlineStr"/>
    </row>
    <row r="7456" ht="15" customHeight="1">
      <c r="A7456" t="inlineStr">
        <is>
          <t>A 50266-2024</t>
        </is>
      </c>
      <c r="B7456" s="1" t="n">
        <v>45600.58862268519</v>
      </c>
      <c r="C7456" s="1" t="n">
        <v>46114</v>
      </c>
      <c r="D7456" t="inlineStr">
        <is>
          <t>DALARNAS LÄN</t>
        </is>
      </c>
      <c r="E7456" t="inlineStr">
        <is>
          <t>FALUN</t>
        </is>
      </c>
      <c r="G7456" t="n">
        <v>5.4</v>
      </c>
      <c r="H7456" t="n">
        <v>0</v>
      </c>
      <c r="I7456" t="n">
        <v>0</v>
      </c>
      <c r="J7456" t="n">
        <v>0</v>
      </c>
      <c r="K7456" t="n">
        <v>0</v>
      </c>
      <c r="L7456" t="n">
        <v>0</v>
      </c>
      <c r="M7456" t="n">
        <v>0</v>
      </c>
      <c r="N7456" t="n">
        <v>0</v>
      </c>
      <c r="O7456" t="n">
        <v>0</v>
      </c>
      <c r="P7456" t="n">
        <v>0</v>
      </c>
      <c r="Q7456" t="n">
        <v>0</v>
      </c>
      <c r="R7456" s="2" t="inlineStr"/>
    </row>
    <row r="7457" ht="15" customHeight="1">
      <c r="A7457" t="inlineStr">
        <is>
          <t>A 2568-2026</t>
        </is>
      </c>
      <c r="B7457" s="1" t="n">
        <v>46037.49096064815</v>
      </c>
      <c r="C7457" s="1" t="n">
        <v>46114</v>
      </c>
      <c r="D7457" t="inlineStr">
        <is>
          <t>DALARNAS LÄN</t>
        </is>
      </c>
      <c r="E7457" t="inlineStr">
        <is>
          <t>FALUN</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2607-2026</t>
        </is>
      </c>
      <c r="B7458" s="1" t="n">
        <v>46037</v>
      </c>
      <c r="C7458" s="1" t="n">
        <v>46114</v>
      </c>
      <c r="D7458" t="inlineStr">
        <is>
          <t>DALARNAS LÄN</t>
        </is>
      </c>
      <c r="E7458" t="inlineStr">
        <is>
          <t>FALUN</t>
        </is>
      </c>
      <c r="F7458" t="inlineStr">
        <is>
          <t>Bergvik skog väst AB</t>
        </is>
      </c>
      <c r="G7458" t="n">
        <v>34.1</v>
      </c>
      <c r="H7458" t="n">
        <v>0</v>
      </c>
      <c r="I7458" t="n">
        <v>0</v>
      </c>
      <c r="J7458" t="n">
        <v>0</v>
      </c>
      <c r="K7458" t="n">
        <v>0</v>
      </c>
      <c r="L7458" t="n">
        <v>0</v>
      </c>
      <c r="M7458" t="n">
        <v>0</v>
      </c>
      <c r="N7458" t="n">
        <v>0</v>
      </c>
      <c r="O7458" t="n">
        <v>0</v>
      </c>
      <c r="P7458" t="n">
        <v>0</v>
      </c>
      <c r="Q7458" t="n">
        <v>0</v>
      </c>
      <c r="R7458" s="2" t="inlineStr"/>
    </row>
    <row r="7459" ht="15" customHeight="1">
      <c r="A7459" t="inlineStr">
        <is>
          <t>A 2611-2026</t>
        </is>
      </c>
      <c r="B7459" s="1" t="n">
        <v>46037</v>
      </c>
      <c r="C7459" s="1" t="n">
        <v>46114</v>
      </c>
      <c r="D7459" t="inlineStr">
        <is>
          <t>DALARNAS LÄN</t>
        </is>
      </c>
      <c r="E7459" t="inlineStr">
        <is>
          <t>FALUN</t>
        </is>
      </c>
      <c r="F7459" t="inlineStr">
        <is>
          <t>Bergvik skog väst AB</t>
        </is>
      </c>
      <c r="G7459" t="n">
        <v>26.2</v>
      </c>
      <c r="H7459" t="n">
        <v>0</v>
      </c>
      <c r="I7459" t="n">
        <v>0</v>
      </c>
      <c r="J7459" t="n">
        <v>0</v>
      </c>
      <c r="K7459" t="n">
        <v>0</v>
      </c>
      <c r="L7459" t="n">
        <v>0</v>
      </c>
      <c r="M7459" t="n">
        <v>0</v>
      </c>
      <c r="N7459" t="n">
        <v>0</v>
      </c>
      <c r="O7459" t="n">
        <v>0</v>
      </c>
      <c r="P7459" t="n">
        <v>0</v>
      </c>
      <c r="Q7459" t="n">
        <v>0</v>
      </c>
      <c r="R7459" s="2" t="inlineStr"/>
    </row>
    <row r="7460" ht="15" customHeight="1">
      <c r="A7460" t="inlineStr">
        <is>
          <t>A 2624-2026</t>
        </is>
      </c>
      <c r="B7460" s="1" t="n">
        <v>46037.59884259259</v>
      </c>
      <c r="C7460" s="1" t="n">
        <v>46114</v>
      </c>
      <c r="D7460" t="inlineStr">
        <is>
          <t>DALARNAS LÄN</t>
        </is>
      </c>
      <c r="E7460" t="inlineStr">
        <is>
          <t>RÄTTVIK</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2637-2026</t>
        </is>
      </c>
      <c r="B7461" s="1" t="n">
        <v>46037.61490740741</v>
      </c>
      <c r="C7461" s="1" t="n">
        <v>46114</v>
      </c>
      <c r="D7461" t="inlineStr">
        <is>
          <t>DALARNAS LÄN</t>
        </is>
      </c>
      <c r="E7461" t="inlineStr">
        <is>
          <t>MORA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2648-2026</t>
        </is>
      </c>
      <c r="B7462" s="1" t="n">
        <v>46037.62459490741</v>
      </c>
      <c r="C7462" s="1" t="n">
        <v>46114</v>
      </c>
      <c r="D7462" t="inlineStr">
        <is>
          <t>DALARNAS LÄN</t>
        </is>
      </c>
      <c r="E7462" t="inlineStr">
        <is>
          <t>ÄLVDALEN</t>
        </is>
      </c>
      <c r="G7462" t="n">
        <v>6.6</v>
      </c>
      <c r="H7462" t="n">
        <v>0</v>
      </c>
      <c r="I7462" t="n">
        <v>0</v>
      </c>
      <c r="J7462" t="n">
        <v>0</v>
      </c>
      <c r="K7462" t="n">
        <v>0</v>
      </c>
      <c r="L7462" t="n">
        <v>0</v>
      </c>
      <c r="M7462" t="n">
        <v>0</v>
      </c>
      <c r="N7462" t="n">
        <v>0</v>
      </c>
      <c r="O7462" t="n">
        <v>0</v>
      </c>
      <c r="P7462" t="n">
        <v>0</v>
      </c>
      <c r="Q7462" t="n">
        <v>0</v>
      </c>
      <c r="R7462" s="2" t="inlineStr"/>
    </row>
    <row r="7463" ht="15" customHeight="1">
      <c r="A7463" t="inlineStr">
        <is>
          <t>A 156-2026</t>
        </is>
      </c>
      <c r="B7463" s="1" t="n">
        <v>46024</v>
      </c>
      <c r="C7463" s="1" t="n">
        <v>46114</v>
      </c>
      <c r="D7463" t="inlineStr">
        <is>
          <t>DALARNAS LÄN</t>
        </is>
      </c>
      <c r="E7463" t="inlineStr">
        <is>
          <t>FALUN</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35551-2023</t>
        </is>
      </c>
      <c r="B7464" s="1" t="n">
        <v>45147.3934837963</v>
      </c>
      <c r="C7464" s="1" t="n">
        <v>46114</v>
      </c>
      <c r="D7464" t="inlineStr">
        <is>
          <t>DALARNAS LÄN</t>
        </is>
      </c>
      <c r="E7464" t="inlineStr">
        <is>
          <t>MORA</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57820-2024</t>
        </is>
      </c>
      <c r="B7465" s="1" t="n">
        <v>45631.3825462963</v>
      </c>
      <c r="C7465" s="1" t="n">
        <v>46114</v>
      </c>
      <c r="D7465" t="inlineStr">
        <is>
          <t>DALARNAS LÄN</t>
        </is>
      </c>
      <c r="E7465" t="inlineStr">
        <is>
          <t>MALUNG-SÄLEN</t>
        </is>
      </c>
      <c r="F7465" t="inlineStr">
        <is>
          <t>Bergvik skog väst AB</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59174-2023</t>
        </is>
      </c>
      <c r="B7466" s="1" t="n">
        <v>45253.43202546296</v>
      </c>
      <c r="C7466" s="1" t="n">
        <v>46114</v>
      </c>
      <c r="D7466" t="inlineStr">
        <is>
          <t>DALARNAS LÄN</t>
        </is>
      </c>
      <c r="E7466" t="inlineStr">
        <is>
          <t>MORA</t>
        </is>
      </c>
      <c r="G7466" t="n">
        <v>2.5</v>
      </c>
      <c r="H7466" t="n">
        <v>0</v>
      </c>
      <c r="I7466" t="n">
        <v>0</v>
      </c>
      <c r="J7466" t="n">
        <v>0</v>
      </c>
      <c r="K7466" t="n">
        <v>0</v>
      </c>
      <c r="L7466" t="n">
        <v>0</v>
      </c>
      <c r="M7466" t="n">
        <v>0</v>
      </c>
      <c r="N7466" t="n">
        <v>0</v>
      </c>
      <c r="O7466" t="n">
        <v>0</v>
      </c>
      <c r="P7466" t="n">
        <v>0</v>
      </c>
      <c r="Q7466" t="n">
        <v>0</v>
      </c>
      <c r="R7466" s="2" t="inlineStr"/>
    </row>
    <row r="7467" ht="15" customHeight="1">
      <c r="A7467" t="inlineStr">
        <is>
          <t>A 2118-2026</t>
        </is>
      </c>
      <c r="B7467" s="1" t="n">
        <v>46036</v>
      </c>
      <c r="C7467" s="1" t="n">
        <v>46114</v>
      </c>
      <c r="D7467" t="inlineStr">
        <is>
          <t>DALARNAS LÄN</t>
        </is>
      </c>
      <c r="E7467" t="inlineStr">
        <is>
          <t>RÄTTVIK</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2138-2026</t>
        </is>
      </c>
      <c r="B7468" s="1" t="n">
        <v>46036</v>
      </c>
      <c r="C7468" s="1" t="n">
        <v>46114</v>
      </c>
      <c r="D7468" t="inlineStr">
        <is>
          <t>DALARNAS LÄN</t>
        </is>
      </c>
      <c r="E7468" t="inlineStr">
        <is>
          <t>BORLÄNGE</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2149-2026</t>
        </is>
      </c>
      <c r="B7469" s="1" t="n">
        <v>46036.41313657408</v>
      </c>
      <c r="C7469" s="1" t="n">
        <v>46114</v>
      </c>
      <c r="D7469" t="inlineStr">
        <is>
          <t>DALARNAS LÄN</t>
        </is>
      </c>
      <c r="E7469" t="inlineStr">
        <is>
          <t>AVESTA</t>
        </is>
      </c>
      <c r="G7469" t="n">
        <v>9.800000000000001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2154-2026</t>
        </is>
      </c>
      <c r="B7470" s="1" t="n">
        <v>46036</v>
      </c>
      <c r="C7470" s="1" t="n">
        <v>46114</v>
      </c>
      <c r="D7470" t="inlineStr">
        <is>
          <t>DALARNAS LÄN</t>
        </is>
      </c>
      <c r="E7470" t="inlineStr">
        <is>
          <t>BORLÄNGE</t>
        </is>
      </c>
      <c r="G7470" t="n">
        <v>0.8</v>
      </c>
      <c r="H7470" t="n">
        <v>0</v>
      </c>
      <c r="I7470" t="n">
        <v>0</v>
      </c>
      <c r="J7470" t="n">
        <v>0</v>
      </c>
      <c r="K7470" t="n">
        <v>0</v>
      </c>
      <c r="L7470" t="n">
        <v>0</v>
      </c>
      <c r="M7470" t="n">
        <v>0</v>
      </c>
      <c r="N7470" t="n">
        <v>0</v>
      </c>
      <c r="O7470" t="n">
        <v>0</v>
      </c>
      <c r="P7470" t="n">
        <v>0</v>
      </c>
      <c r="Q7470" t="n">
        <v>0</v>
      </c>
      <c r="R7470" s="2" t="inlineStr"/>
    </row>
    <row r="7471" ht="15" customHeight="1">
      <c r="A7471" t="inlineStr">
        <is>
          <t>A 41290-2023</t>
        </is>
      </c>
      <c r="B7471" s="1" t="n">
        <v>45174.5846875</v>
      </c>
      <c r="C7471" s="1" t="n">
        <v>46114</v>
      </c>
      <c r="D7471" t="inlineStr">
        <is>
          <t>DALARNAS LÄN</t>
        </is>
      </c>
      <c r="E7471" t="inlineStr">
        <is>
          <t>VANSBRO</t>
        </is>
      </c>
      <c r="F7471" t="inlineStr">
        <is>
          <t>Bergvik skog väst AB</t>
        </is>
      </c>
      <c r="G7471" t="n">
        <v>3.9</v>
      </c>
      <c r="H7471" t="n">
        <v>0</v>
      </c>
      <c r="I7471" t="n">
        <v>0</v>
      </c>
      <c r="J7471" t="n">
        <v>0</v>
      </c>
      <c r="K7471" t="n">
        <v>0</v>
      </c>
      <c r="L7471" t="n">
        <v>0</v>
      </c>
      <c r="M7471" t="n">
        <v>0</v>
      </c>
      <c r="N7471" t="n">
        <v>0</v>
      </c>
      <c r="O7471" t="n">
        <v>0</v>
      </c>
      <c r="P7471" t="n">
        <v>0</v>
      </c>
      <c r="Q7471" t="n">
        <v>0</v>
      </c>
      <c r="R7471" s="2" t="inlineStr"/>
    </row>
    <row r="7472" ht="15" customHeight="1">
      <c r="A7472" t="inlineStr">
        <is>
          <t>A 2381-2026</t>
        </is>
      </c>
      <c r="B7472" s="1" t="n">
        <v>46036.66210648148</v>
      </c>
      <c r="C7472" s="1" t="n">
        <v>46114</v>
      </c>
      <c r="D7472" t="inlineStr">
        <is>
          <t>DALARNAS LÄN</t>
        </is>
      </c>
      <c r="E7472" t="inlineStr">
        <is>
          <t>FALUN</t>
        </is>
      </c>
      <c r="G7472" t="n">
        <v>8.800000000000001</v>
      </c>
      <c r="H7472" t="n">
        <v>0</v>
      </c>
      <c r="I7472" t="n">
        <v>0</v>
      </c>
      <c r="J7472" t="n">
        <v>0</v>
      </c>
      <c r="K7472" t="n">
        <v>0</v>
      </c>
      <c r="L7472" t="n">
        <v>0</v>
      </c>
      <c r="M7472" t="n">
        <v>0</v>
      </c>
      <c r="N7472" t="n">
        <v>0</v>
      </c>
      <c r="O7472" t="n">
        <v>0</v>
      </c>
      <c r="P7472" t="n">
        <v>0</v>
      </c>
      <c r="Q7472" t="n">
        <v>0</v>
      </c>
      <c r="R7472" s="2" t="inlineStr"/>
    </row>
    <row r="7473" ht="15" customHeight="1">
      <c r="A7473" t="inlineStr">
        <is>
          <t>A 9990-2026</t>
        </is>
      </c>
      <c r="B7473" s="1" t="n">
        <v>46073</v>
      </c>
      <c r="C7473" s="1" t="n">
        <v>46114</v>
      </c>
      <c r="D7473" t="inlineStr">
        <is>
          <t>DALARNAS LÄN</t>
        </is>
      </c>
      <c r="E7473" t="inlineStr">
        <is>
          <t>FALUN</t>
        </is>
      </c>
      <c r="F7473" t="inlineStr">
        <is>
          <t>Bergvik skog väst AB</t>
        </is>
      </c>
      <c r="G7473" t="n">
        <v>3.2</v>
      </c>
      <c r="H7473" t="n">
        <v>0</v>
      </c>
      <c r="I7473" t="n">
        <v>0</v>
      </c>
      <c r="J7473" t="n">
        <v>0</v>
      </c>
      <c r="K7473" t="n">
        <v>0</v>
      </c>
      <c r="L7473" t="n">
        <v>0</v>
      </c>
      <c r="M7473" t="n">
        <v>0</v>
      </c>
      <c r="N7473" t="n">
        <v>0</v>
      </c>
      <c r="O7473" t="n">
        <v>0</v>
      </c>
      <c r="P7473" t="n">
        <v>0</v>
      </c>
      <c r="Q7473" t="n">
        <v>0</v>
      </c>
      <c r="R7473" s="2" t="inlineStr"/>
    </row>
    <row r="7474" ht="15" customHeight="1">
      <c r="A7474" t="inlineStr">
        <is>
          <t>A 43944-2021</t>
        </is>
      </c>
      <c r="B7474" s="1" t="n">
        <v>44434</v>
      </c>
      <c r="C7474" s="1" t="n">
        <v>46114</v>
      </c>
      <c r="D7474" t="inlineStr">
        <is>
          <t>DALARNAS LÄN</t>
        </is>
      </c>
      <c r="E7474" t="inlineStr">
        <is>
          <t>BORLÄNGE</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10784-2026</t>
        </is>
      </c>
      <c r="B7475" s="1" t="n">
        <v>46078.57954861111</v>
      </c>
      <c r="C7475" s="1" t="n">
        <v>46114</v>
      </c>
      <c r="D7475" t="inlineStr">
        <is>
          <t>DALARNAS LÄN</t>
        </is>
      </c>
      <c r="E7475" t="inlineStr">
        <is>
          <t>ORSA</t>
        </is>
      </c>
      <c r="F7475" t="inlineStr">
        <is>
          <t>Bergvik skog öst AB</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2293-2026</t>
        </is>
      </c>
      <c r="B7476" s="1" t="n">
        <v>46036.58577546296</v>
      </c>
      <c r="C7476" s="1" t="n">
        <v>46114</v>
      </c>
      <c r="D7476" t="inlineStr">
        <is>
          <t>DALARNAS LÄN</t>
        </is>
      </c>
      <c r="E7476" t="inlineStr">
        <is>
          <t>FALUN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15133-2024</t>
        </is>
      </c>
      <c r="B7477" s="1" t="n">
        <v>45399</v>
      </c>
      <c r="C7477" s="1" t="n">
        <v>46114</v>
      </c>
      <c r="D7477" t="inlineStr">
        <is>
          <t>DALARNAS LÄN</t>
        </is>
      </c>
      <c r="E7477" t="inlineStr">
        <is>
          <t>RÄTTVIK</t>
        </is>
      </c>
      <c r="G7477" t="n">
        <v>4.5</v>
      </c>
      <c r="H7477" t="n">
        <v>0</v>
      </c>
      <c r="I7477" t="n">
        <v>0</v>
      </c>
      <c r="J7477" t="n">
        <v>0</v>
      </c>
      <c r="K7477" t="n">
        <v>0</v>
      </c>
      <c r="L7477" t="n">
        <v>0</v>
      </c>
      <c r="M7477" t="n">
        <v>0</v>
      </c>
      <c r="N7477" t="n">
        <v>0</v>
      </c>
      <c r="O7477" t="n">
        <v>0</v>
      </c>
      <c r="P7477" t="n">
        <v>0</v>
      </c>
      <c r="Q7477" t="n">
        <v>0</v>
      </c>
      <c r="R7477" s="2" t="inlineStr"/>
    </row>
    <row r="7478" ht="15" customHeight="1">
      <c r="A7478" t="inlineStr">
        <is>
          <t>A 2373-2026</t>
        </is>
      </c>
      <c r="B7478" s="1" t="n">
        <v>46036.64986111111</v>
      </c>
      <c r="C7478" s="1" t="n">
        <v>46114</v>
      </c>
      <c r="D7478" t="inlineStr">
        <is>
          <t>DALARNAS LÄN</t>
        </is>
      </c>
      <c r="E7478" t="inlineStr">
        <is>
          <t>LEKSAND</t>
        </is>
      </c>
      <c r="G7478" t="n">
        <v>2.3</v>
      </c>
      <c r="H7478" t="n">
        <v>0</v>
      </c>
      <c r="I7478" t="n">
        <v>0</v>
      </c>
      <c r="J7478" t="n">
        <v>0</v>
      </c>
      <c r="K7478" t="n">
        <v>0</v>
      </c>
      <c r="L7478" t="n">
        <v>0</v>
      </c>
      <c r="M7478" t="n">
        <v>0</v>
      </c>
      <c r="N7478" t="n">
        <v>0</v>
      </c>
      <c r="O7478" t="n">
        <v>0</v>
      </c>
      <c r="P7478" t="n">
        <v>0</v>
      </c>
      <c r="Q7478" t="n">
        <v>0</v>
      </c>
      <c r="R7478" s="2" t="inlineStr"/>
    </row>
    <row r="7479" ht="15" customHeight="1">
      <c r="A7479" t="inlineStr">
        <is>
          <t>A 2396-2026</t>
        </is>
      </c>
      <c r="B7479" s="1" t="n">
        <v>46036</v>
      </c>
      <c r="C7479" s="1" t="n">
        <v>46114</v>
      </c>
      <c r="D7479" t="inlineStr">
        <is>
          <t>DALARNAS LÄN</t>
        </is>
      </c>
      <c r="E7479" t="inlineStr">
        <is>
          <t>RÄTTVIK</t>
        </is>
      </c>
      <c r="G7479" t="n">
        <v>2.2</v>
      </c>
      <c r="H7479" t="n">
        <v>0</v>
      </c>
      <c r="I7479" t="n">
        <v>0</v>
      </c>
      <c r="J7479" t="n">
        <v>0</v>
      </c>
      <c r="K7479" t="n">
        <v>0</v>
      </c>
      <c r="L7479" t="n">
        <v>0</v>
      </c>
      <c r="M7479" t="n">
        <v>0</v>
      </c>
      <c r="N7479" t="n">
        <v>0</v>
      </c>
      <c r="O7479" t="n">
        <v>0</v>
      </c>
      <c r="P7479" t="n">
        <v>0</v>
      </c>
      <c r="Q7479" t="n">
        <v>0</v>
      </c>
      <c r="R7479" s="2" t="inlineStr"/>
    </row>
    <row r="7480" ht="15" customHeight="1">
      <c r="A7480" t="inlineStr">
        <is>
          <t>A 55022-2024</t>
        </is>
      </c>
      <c r="B7480" s="1" t="n">
        <v>45618</v>
      </c>
      <c r="C7480" s="1" t="n">
        <v>46114</v>
      </c>
      <c r="D7480" t="inlineStr">
        <is>
          <t>DALARNAS LÄN</t>
        </is>
      </c>
      <c r="E7480" t="inlineStr">
        <is>
          <t>RÄTTVIK</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55034-2024</t>
        </is>
      </c>
      <c r="B7481" s="1" t="n">
        <v>45621.38265046296</v>
      </c>
      <c r="C7481" s="1" t="n">
        <v>46114</v>
      </c>
      <c r="D7481" t="inlineStr">
        <is>
          <t>DALARNAS LÄN</t>
        </is>
      </c>
      <c r="E7481" t="inlineStr">
        <is>
          <t>LUDVIKA</t>
        </is>
      </c>
      <c r="F7481" t="inlineStr">
        <is>
          <t>Naturvårdsverket</t>
        </is>
      </c>
      <c r="G7481" t="n">
        <v>6.6</v>
      </c>
      <c r="H7481" t="n">
        <v>0</v>
      </c>
      <c r="I7481" t="n">
        <v>0</v>
      </c>
      <c r="J7481" t="n">
        <v>0</v>
      </c>
      <c r="K7481" t="n">
        <v>0</v>
      </c>
      <c r="L7481" t="n">
        <v>0</v>
      </c>
      <c r="M7481" t="n">
        <v>0</v>
      </c>
      <c r="N7481" t="n">
        <v>0</v>
      </c>
      <c r="O7481" t="n">
        <v>0</v>
      </c>
      <c r="P7481" t="n">
        <v>0</v>
      </c>
      <c r="Q7481" t="n">
        <v>0</v>
      </c>
      <c r="R7481" s="2" t="inlineStr"/>
    </row>
    <row r="7482" ht="15" customHeight="1">
      <c r="A7482" t="inlineStr">
        <is>
          <t>A 2098-2026</t>
        </is>
      </c>
      <c r="B7482" s="1" t="n">
        <v>46036</v>
      </c>
      <c r="C7482" s="1" t="n">
        <v>46114</v>
      </c>
      <c r="D7482" t="inlineStr">
        <is>
          <t>DALARNAS LÄN</t>
        </is>
      </c>
      <c r="E7482" t="inlineStr">
        <is>
          <t>SÄTER</t>
        </is>
      </c>
      <c r="G7482" t="n">
        <v>4.7</v>
      </c>
      <c r="H7482" t="n">
        <v>0</v>
      </c>
      <c r="I7482" t="n">
        <v>0</v>
      </c>
      <c r="J7482" t="n">
        <v>0</v>
      </c>
      <c r="K7482" t="n">
        <v>0</v>
      </c>
      <c r="L7482" t="n">
        <v>0</v>
      </c>
      <c r="M7482" t="n">
        <v>0</v>
      </c>
      <c r="N7482" t="n">
        <v>0</v>
      </c>
      <c r="O7482" t="n">
        <v>0</v>
      </c>
      <c r="P7482" t="n">
        <v>0</v>
      </c>
      <c r="Q7482" t="n">
        <v>0</v>
      </c>
      <c r="R7482" s="2" t="inlineStr"/>
    </row>
    <row r="7483" ht="15" customHeight="1">
      <c r="A7483" t="inlineStr">
        <is>
          <t>A 2087-2026</t>
        </is>
      </c>
      <c r="B7483" s="1" t="n">
        <v>46036</v>
      </c>
      <c r="C7483" s="1" t="n">
        <v>46114</v>
      </c>
      <c r="D7483" t="inlineStr">
        <is>
          <t>DALARNAS LÄN</t>
        </is>
      </c>
      <c r="E7483" t="inlineStr">
        <is>
          <t>SÄTER</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1439-2023</t>
        </is>
      </c>
      <c r="B7484" s="1" t="n">
        <v>44937.36425925926</v>
      </c>
      <c r="C7484" s="1" t="n">
        <v>46114</v>
      </c>
      <c r="D7484" t="inlineStr">
        <is>
          <t>DALARNAS LÄN</t>
        </is>
      </c>
      <c r="E7484" t="inlineStr">
        <is>
          <t>FALUN</t>
        </is>
      </c>
      <c r="G7484" t="n">
        <v>8.1</v>
      </c>
      <c r="H7484" t="n">
        <v>0</v>
      </c>
      <c r="I7484" t="n">
        <v>0</v>
      </c>
      <c r="J7484" t="n">
        <v>0</v>
      </c>
      <c r="K7484" t="n">
        <v>0</v>
      </c>
      <c r="L7484" t="n">
        <v>0</v>
      </c>
      <c r="M7484" t="n">
        <v>0</v>
      </c>
      <c r="N7484" t="n">
        <v>0</v>
      </c>
      <c r="O7484" t="n">
        <v>0</v>
      </c>
      <c r="P7484" t="n">
        <v>0</v>
      </c>
      <c r="Q7484" t="n">
        <v>0</v>
      </c>
      <c r="R7484" s="2" t="inlineStr"/>
    </row>
    <row r="7485" ht="15" customHeight="1">
      <c r="A7485" t="inlineStr">
        <is>
          <t>A 47351-2023</t>
        </is>
      </c>
      <c r="B7485" s="1" t="n">
        <v>45202.57804398148</v>
      </c>
      <c r="C7485" s="1" t="n">
        <v>46114</v>
      </c>
      <c r="D7485" t="inlineStr">
        <is>
          <t>DALARNAS LÄN</t>
        </is>
      </c>
      <c r="E7485" t="inlineStr">
        <is>
          <t>MALUNG-SÄLEN</t>
        </is>
      </c>
      <c r="G7485" t="n">
        <v>4.7</v>
      </c>
      <c r="H7485" t="n">
        <v>0</v>
      </c>
      <c r="I7485" t="n">
        <v>0</v>
      </c>
      <c r="J7485" t="n">
        <v>0</v>
      </c>
      <c r="K7485" t="n">
        <v>0</v>
      </c>
      <c r="L7485" t="n">
        <v>0</v>
      </c>
      <c r="M7485" t="n">
        <v>0</v>
      </c>
      <c r="N7485" t="n">
        <v>0</v>
      </c>
      <c r="O7485" t="n">
        <v>0</v>
      </c>
      <c r="P7485" t="n">
        <v>0</v>
      </c>
      <c r="Q7485" t="n">
        <v>0</v>
      </c>
      <c r="R7485" s="2" t="inlineStr"/>
    </row>
    <row r="7486" ht="15" customHeight="1">
      <c r="A7486" t="inlineStr">
        <is>
          <t>A 1466-2023</t>
        </is>
      </c>
      <c r="B7486" s="1" t="n">
        <v>44937</v>
      </c>
      <c r="C7486" s="1" t="n">
        <v>46114</v>
      </c>
      <c r="D7486" t="inlineStr">
        <is>
          <t>DALARNAS LÄN</t>
        </is>
      </c>
      <c r="E7486" t="inlineStr">
        <is>
          <t>FALUN</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2950-2026</t>
        </is>
      </c>
      <c r="B7487" s="1" t="n">
        <v>46037</v>
      </c>
      <c r="C7487" s="1" t="n">
        <v>46114</v>
      </c>
      <c r="D7487" t="inlineStr">
        <is>
          <t>DALARNAS LÄN</t>
        </is>
      </c>
      <c r="E7487" t="inlineStr">
        <is>
          <t>FALUN</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2961-2026</t>
        </is>
      </c>
      <c r="B7488" s="1" t="n">
        <v>46037</v>
      </c>
      <c r="C7488" s="1" t="n">
        <v>46114</v>
      </c>
      <c r="D7488" t="inlineStr">
        <is>
          <t>DALARNAS LÄN</t>
        </is>
      </c>
      <c r="E7488" t="inlineStr">
        <is>
          <t>FALUN</t>
        </is>
      </c>
      <c r="G7488" t="n">
        <v>5.6</v>
      </c>
      <c r="H7488" t="n">
        <v>0</v>
      </c>
      <c r="I7488" t="n">
        <v>0</v>
      </c>
      <c r="J7488" t="n">
        <v>0</v>
      </c>
      <c r="K7488" t="n">
        <v>0</v>
      </c>
      <c r="L7488" t="n">
        <v>0</v>
      </c>
      <c r="M7488" t="n">
        <v>0</v>
      </c>
      <c r="N7488" t="n">
        <v>0</v>
      </c>
      <c r="O7488" t="n">
        <v>0</v>
      </c>
      <c r="P7488" t="n">
        <v>0</v>
      </c>
      <c r="Q7488" t="n">
        <v>0</v>
      </c>
      <c r="R7488" s="2" t="inlineStr"/>
    </row>
    <row r="7489" ht="15" customHeight="1">
      <c r="A7489" t="inlineStr">
        <is>
          <t>A 2967-2026</t>
        </is>
      </c>
      <c r="B7489" s="1" t="n">
        <v>46037</v>
      </c>
      <c r="C7489" s="1" t="n">
        <v>46114</v>
      </c>
      <c r="D7489" t="inlineStr">
        <is>
          <t>DALARNAS LÄN</t>
        </is>
      </c>
      <c r="E7489" t="inlineStr">
        <is>
          <t>FALUN</t>
        </is>
      </c>
      <c r="G7489" t="n">
        <v>0.8</v>
      </c>
      <c r="H7489" t="n">
        <v>0</v>
      </c>
      <c r="I7489" t="n">
        <v>0</v>
      </c>
      <c r="J7489" t="n">
        <v>0</v>
      </c>
      <c r="K7489" t="n">
        <v>0</v>
      </c>
      <c r="L7489" t="n">
        <v>0</v>
      </c>
      <c r="M7489" t="n">
        <v>0</v>
      </c>
      <c r="N7489" t="n">
        <v>0</v>
      </c>
      <c r="O7489" t="n">
        <v>0</v>
      </c>
      <c r="P7489" t="n">
        <v>0</v>
      </c>
      <c r="Q7489" t="n">
        <v>0</v>
      </c>
      <c r="R7489" s="2" t="inlineStr"/>
    </row>
    <row r="7490" ht="15" customHeight="1">
      <c r="A7490" t="inlineStr">
        <is>
          <t>A 2048-2026</t>
        </is>
      </c>
      <c r="B7490" s="1" t="n">
        <v>46035.84534722222</v>
      </c>
      <c r="C7490" s="1" t="n">
        <v>46114</v>
      </c>
      <c r="D7490" t="inlineStr">
        <is>
          <t>DALARNAS LÄN</t>
        </is>
      </c>
      <c r="E7490" t="inlineStr">
        <is>
          <t>LEKSAND</t>
        </is>
      </c>
      <c r="G7490" t="n">
        <v>2.7</v>
      </c>
      <c r="H7490" t="n">
        <v>0</v>
      </c>
      <c r="I7490" t="n">
        <v>0</v>
      </c>
      <c r="J7490" t="n">
        <v>0</v>
      </c>
      <c r="K7490" t="n">
        <v>0</v>
      </c>
      <c r="L7490" t="n">
        <v>0</v>
      </c>
      <c r="M7490" t="n">
        <v>0</v>
      </c>
      <c r="N7490" t="n">
        <v>0</v>
      </c>
      <c r="O7490" t="n">
        <v>0</v>
      </c>
      <c r="P7490" t="n">
        <v>0</v>
      </c>
      <c r="Q7490" t="n">
        <v>0</v>
      </c>
      <c r="R7490" s="2" t="inlineStr"/>
    </row>
    <row r="7491" ht="15" customHeight="1">
      <c r="A7491" t="inlineStr">
        <is>
          <t>A 11002-2026</t>
        </is>
      </c>
      <c r="B7491" s="1" t="n">
        <v>46079.50486111111</v>
      </c>
      <c r="C7491" s="1" t="n">
        <v>46114</v>
      </c>
      <c r="D7491" t="inlineStr">
        <is>
          <t>DALARNAS LÄN</t>
        </is>
      </c>
      <c r="E7491" t="inlineStr">
        <is>
          <t>RÄTTVIK</t>
        </is>
      </c>
      <c r="F7491" t="inlineStr">
        <is>
          <t>Bergvik skog väst AB</t>
        </is>
      </c>
      <c r="G7491" t="n">
        <v>2.5</v>
      </c>
      <c r="H7491" t="n">
        <v>0</v>
      </c>
      <c r="I7491" t="n">
        <v>0</v>
      </c>
      <c r="J7491" t="n">
        <v>0</v>
      </c>
      <c r="K7491" t="n">
        <v>0</v>
      </c>
      <c r="L7491" t="n">
        <v>0</v>
      </c>
      <c r="M7491" t="n">
        <v>0</v>
      </c>
      <c r="N7491" t="n">
        <v>0</v>
      </c>
      <c r="O7491" t="n">
        <v>0</v>
      </c>
      <c r="P7491" t="n">
        <v>0</v>
      </c>
      <c r="Q7491" t="n">
        <v>0</v>
      </c>
      <c r="R7491" s="2" t="inlineStr"/>
    </row>
    <row r="7492" ht="15" customHeight="1">
      <c r="A7492" t="inlineStr">
        <is>
          <t>A 11007-2026</t>
        </is>
      </c>
      <c r="B7492" s="1" t="n">
        <v>46079</v>
      </c>
      <c r="C7492" s="1" t="n">
        <v>46114</v>
      </c>
      <c r="D7492" t="inlineStr">
        <is>
          <t>DALARNAS LÄN</t>
        </is>
      </c>
      <c r="E7492" t="inlineStr">
        <is>
          <t>VANSBRO</t>
        </is>
      </c>
      <c r="F7492" t="inlineStr">
        <is>
          <t>Övriga statliga verk och myndigheter</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2614-2023</t>
        </is>
      </c>
      <c r="B7493" s="1" t="n">
        <v>44942</v>
      </c>
      <c r="C7493" s="1" t="n">
        <v>46114</v>
      </c>
      <c r="D7493" t="inlineStr">
        <is>
          <t>DALARNAS LÄN</t>
        </is>
      </c>
      <c r="E7493" t="inlineStr">
        <is>
          <t>LUDVIKA</t>
        </is>
      </c>
      <c r="G7493" t="n">
        <v>13.1</v>
      </c>
      <c r="H7493" t="n">
        <v>0</v>
      </c>
      <c r="I7493" t="n">
        <v>0</v>
      </c>
      <c r="J7493" t="n">
        <v>0</v>
      </c>
      <c r="K7493" t="n">
        <v>0</v>
      </c>
      <c r="L7493" t="n">
        <v>0</v>
      </c>
      <c r="M7493" t="n">
        <v>0</v>
      </c>
      <c r="N7493" t="n">
        <v>0</v>
      </c>
      <c r="O7493" t="n">
        <v>0</v>
      </c>
      <c r="P7493" t="n">
        <v>0</v>
      </c>
      <c r="Q7493" t="n">
        <v>0</v>
      </c>
      <c r="R7493" s="2" t="inlineStr"/>
    </row>
    <row r="7494" ht="15" customHeight="1">
      <c r="A7494" t="inlineStr">
        <is>
          <t>A 11125-2026</t>
        </is>
      </c>
      <c r="B7494" s="1" t="n">
        <v>46079.69038194444</v>
      </c>
      <c r="C7494" s="1" t="n">
        <v>46114</v>
      </c>
      <c r="D7494" t="inlineStr">
        <is>
          <t>DALARNAS LÄN</t>
        </is>
      </c>
      <c r="E7494" t="inlineStr">
        <is>
          <t>ÄLVDALEN</t>
        </is>
      </c>
      <c r="G7494" t="n">
        <v>10.5</v>
      </c>
      <c r="H7494" t="n">
        <v>0</v>
      </c>
      <c r="I7494" t="n">
        <v>0</v>
      </c>
      <c r="J7494" t="n">
        <v>0</v>
      </c>
      <c r="K7494" t="n">
        <v>0</v>
      </c>
      <c r="L7494" t="n">
        <v>0</v>
      </c>
      <c r="M7494" t="n">
        <v>0</v>
      </c>
      <c r="N7494" t="n">
        <v>0</v>
      </c>
      <c r="O7494" t="n">
        <v>0</v>
      </c>
      <c r="P7494" t="n">
        <v>0</v>
      </c>
      <c r="Q7494" t="n">
        <v>0</v>
      </c>
      <c r="R7494" s="2" t="inlineStr"/>
    </row>
    <row r="7495" ht="15" customHeight="1">
      <c r="A7495" t="inlineStr">
        <is>
          <t>A 2380-2026</t>
        </is>
      </c>
      <c r="B7495" s="1" t="n">
        <v>46036</v>
      </c>
      <c r="C7495" s="1" t="n">
        <v>46114</v>
      </c>
      <c r="D7495" t="inlineStr">
        <is>
          <t>DALARNAS LÄN</t>
        </is>
      </c>
      <c r="E7495" t="inlineStr">
        <is>
          <t>RÄTTVIK</t>
        </is>
      </c>
      <c r="G7495" t="n">
        <v>4.2</v>
      </c>
      <c r="H7495" t="n">
        <v>0</v>
      </c>
      <c r="I7495" t="n">
        <v>0</v>
      </c>
      <c r="J7495" t="n">
        <v>0</v>
      </c>
      <c r="K7495" t="n">
        <v>0</v>
      </c>
      <c r="L7495" t="n">
        <v>0</v>
      </c>
      <c r="M7495" t="n">
        <v>0</v>
      </c>
      <c r="N7495" t="n">
        <v>0</v>
      </c>
      <c r="O7495" t="n">
        <v>0</v>
      </c>
      <c r="P7495" t="n">
        <v>0</v>
      </c>
      <c r="Q7495" t="n">
        <v>0</v>
      </c>
      <c r="R7495" s="2" t="inlineStr"/>
    </row>
    <row r="7496" ht="15" customHeight="1">
      <c r="A7496" t="inlineStr">
        <is>
          <t>A 64925-2021</t>
        </is>
      </c>
      <c r="B7496" s="1" t="n">
        <v>44512.75452546297</v>
      </c>
      <c r="C7496" s="1" t="n">
        <v>46114</v>
      </c>
      <c r="D7496" t="inlineStr">
        <is>
          <t>DALARNAS LÄN</t>
        </is>
      </c>
      <c r="E7496" t="inlineStr">
        <is>
          <t>GAGNEF</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2399-2026</t>
        </is>
      </c>
      <c r="B7497" s="1" t="n">
        <v>46036</v>
      </c>
      <c r="C7497" s="1" t="n">
        <v>46114</v>
      </c>
      <c r="D7497" t="inlineStr">
        <is>
          <t>DALARNAS LÄN</t>
        </is>
      </c>
      <c r="E7497" t="inlineStr">
        <is>
          <t>BORLÄNGE</t>
        </is>
      </c>
      <c r="G7497" t="n">
        <v>5</v>
      </c>
      <c r="H7497" t="n">
        <v>0</v>
      </c>
      <c r="I7497" t="n">
        <v>0</v>
      </c>
      <c r="J7497" t="n">
        <v>0</v>
      </c>
      <c r="K7497" t="n">
        <v>0</v>
      </c>
      <c r="L7497" t="n">
        <v>0</v>
      </c>
      <c r="M7497" t="n">
        <v>0</v>
      </c>
      <c r="N7497" t="n">
        <v>0</v>
      </c>
      <c r="O7497" t="n">
        <v>0</v>
      </c>
      <c r="P7497" t="n">
        <v>0</v>
      </c>
      <c r="Q7497" t="n">
        <v>0</v>
      </c>
      <c r="R7497" s="2" t="inlineStr"/>
    </row>
    <row r="7498" ht="15" customHeight="1">
      <c r="A7498" t="inlineStr">
        <is>
          <t>A 11075-2024</t>
        </is>
      </c>
      <c r="B7498" s="1" t="n">
        <v>45370</v>
      </c>
      <c r="C7498" s="1" t="n">
        <v>46114</v>
      </c>
      <c r="D7498" t="inlineStr">
        <is>
          <t>DALARNAS LÄN</t>
        </is>
      </c>
      <c r="E7498" t="inlineStr">
        <is>
          <t>SÄTER</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2068-2026</t>
        </is>
      </c>
      <c r="B7499" s="1" t="n">
        <v>46036.27943287037</v>
      </c>
      <c r="C7499" s="1" t="n">
        <v>46114</v>
      </c>
      <c r="D7499" t="inlineStr">
        <is>
          <t>DALARNAS LÄN</t>
        </is>
      </c>
      <c r="E7499" t="inlineStr">
        <is>
          <t>LEKSAND</t>
        </is>
      </c>
      <c r="F7499" t="inlineStr">
        <is>
          <t>Övriga Aktiebolag</t>
        </is>
      </c>
      <c r="G7499" t="n">
        <v>15.5</v>
      </c>
      <c r="H7499" t="n">
        <v>0</v>
      </c>
      <c r="I7499" t="n">
        <v>0</v>
      </c>
      <c r="J7499" t="n">
        <v>0</v>
      </c>
      <c r="K7499" t="n">
        <v>0</v>
      </c>
      <c r="L7499" t="n">
        <v>0</v>
      </c>
      <c r="M7499" t="n">
        <v>0</v>
      </c>
      <c r="N7499" t="n">
        <v>0</v>
      </c>
      <c r="O7499" t="n">
        <v>0</v>
      </c>
      <c r="P7499" t="n">
        <v>0</v>
      </c>
      <c r="Q7499" t="n">
        <v>0</v>
      </c>
      <c r="R7499" s="2" t="inlineStr"/>
    </row>
    <row r="7500" ht="15" customHeight="1">
      <c r="A7500" t="inlineStr">
        <is>
          <t>A 2108-2026</t>
        </is>
      </c>
      <c r="B7500" s="1" t="n">
        <v>46036</v>
      </c>
      <c r="C7500" s="1" t="n">
        <v>46114</v>
      </c>
      <c r="D7500" t="inlineStr">
        <is>
          <t>DALARNAS LÄN</t>
        </is>
      </c>
      <c r="E7500" t="inlineStr">
        <is>
          <t>RÄTTVIK</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2119-2026</t>
        </is>
      </c>
      <c r="B7501" s="1" t="n">
        <v>46036</v>
      </c>
      <c r="C7501" s="1" t="n">
        <v>46114</v>
      </c>
      <c r="D7501" t="inlineStr">
        <is>
          <t>DALARNAS LÄN</t>
        </is>
      </c>
      <c r="E7501" t="inlineStr">
        <is>
          <t>SÄTER</t>
        </is>
      </c>
      <c r="G7501" t="n">
        <v>2.2</v>
      </c>
      <c r="H7501" t="n">
        <v>0</v>
      </c>
      <c r="I7501" t="n">
        <v>0</v>
      </c>
      <c r="J7501" t="n">
        <v>0</v>
      </c>
      <c r="K7501" t="n">
        <v>0</v>
      </c>
      <c r="L7501" t="n">
        <v>0</v>
      </c>
      <c r="M7501" t="n">
        <v>0</v>
      </c>
      <c r="N7501" t="n">
        <v>0</v>
      </c>
      <c r="O7501" t="n">
        <v>0</v>
      </c>
      <c r="P7501" t="n">
        <v>0</v>
      </c>
      <c r="Q7501" t="n">
        <v>0</v>
      </c>
      <c r="R7501" s="2" t="inlineStr"/>
    </row>
    <row r="7502" ht="15" customHeight="1">
      <c r="A7502" t="inlineStr">
        <is>
          <t>A 2121-2026</t>
        </is>
      </c>
      <c r="B7502" s="1" t="n">
        <v>46036</v>
      </c>
      <c r="C7502" s="1" t="n">
        <v>46114</v>
      </c>
      <c r="D7502" t="inlineStr">
        <is>
          <t>DALARNAS LÄN</t>
        </is>
      </c>
      <c r="E7502" t="inlineStr">
        <is>
          <t>RÄTTVIK</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2159-2026</t>
        </is>
      </c>
      <c r="B7503" s="1" t="n">
        <v>46036.43230324074</v>
      </c>
      <c r="C7503" s="1" t="n">
        <v>46114</v>
      </c>
      <c r="D7503" t="inlineStr">
        <is>
          <t>DALARNAS LÄN</t>
        </is>
      </c>
      <c r="E7503" t="inlineStr">
        <is>
          <t>HEDEMORA</t>
        </is>
      </c>
      <c r="F7503" t="inlineStr">
        <is>
          <t>Kyrkan</t>
        </is>
      </c>
      <c r="G7503" t="n">
        <v>3.8</v>
      </c>
      <c r="H7503" t="n">
        <v>0</v>
      </c>
      <c r="I7503" t="n">
        <v>0</v>
      </c>
      <c r="J7503" t="n">
        <v>0</v>
      </c>
      <c r="K7503" t="n">
        <v>0</v>
      </c>
      <c r="L7503" t="n">
        <v>0</v>
      </c>
      <c r="M7503" t="n">
        <v>0</v>
      </c>
      <c r="N7503" t="n">
        <v>0</v>
      </c>
      <c r="O7503" t="n">
        <v>0</v>
      </c>
      <c r="P7503" t="n">
        <v>0</v>
      </c>
      <c r="Q7503" t="n">
        <v>0</v>
      </c>
      <c r="R7503" s="2" t="inlineStr"/>
    </row>
    <row r="7504" ht="15" customHeight="1">
      <c r="A7504" t="inlineStr">
        <is>
          <t>A 2163-2026</t>
        </is>
      </c>
      <c r="B7504" s="1" t="n">
        <v>46036.43516203704</v>
      </c>
      <c r="C7504" s="1" t="n">
        <v>46114</v>
      </c>
      <c r="D7504" t="inlineStr">
        <is>
          <t>DALARNAS LÄN</t>
        </is>
      </c>
      <c r="E7504" t="inlineStr">
        <is>
          <t>RÄTTVIK</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2169-2026</t>
        </is>
      </c>
      <c r="B7505" s="1" t="n">
        <v>46036.44633101852</v>
      </c>
      <c r="C7505" s="1" t="n">
        <v>46114</v>
      </c>
      <c r="D7505" t="inlineStr">
        <is>
          <t>DALARNAS LÄN</t>
        </is>
      </c>
      <c r="E7505" t="inlineStr">
        <is>
          <t>SÄTER</t>
        </is>
      </c>
      <c r="G7505" t="n">
        <v>10.9</v>
      </c>
      <c r="H7505" t="n">
        <v>0</v>
      </c>
      <c r="I7505" t="n">
        <v>0</v>
      </c>
      <c r="J7505" t="n">
        <v>0</v>
      </c>
      <c r="K7505" t="n">
        <v>0</v>
      </c>
      <c r="L7505" t="n">
        <v>0</v>
      </c>
      <c r="M7505" t="n">
        <v>0</v>
      </c>
      <c r="N7505" t="n">
        <v>0</v>
      </c>
      <c r="O7505" t="n">
        <v>0</v>
      </c>
      <c r="P7505" t="n">
        <v>0</v>
      </c>
      <c r="Q7505" t="n">
        <v>0</v>
      </c>
      <c r="R7505" s="2" t="inlineStr"/>
    </row>
    <row r="7506" ht="15" customHeight="1">
      <c r="A7506" t="inlineStr">
        <is>
          <t>A 40994-2024</t>
        </is>
      </c>
      <c r="B7506" s="1" t="n">
        <v>45558</v>
      </c>
      <c r="C7506" s="1" t="n">
        <v>46114</v>
      </c>
      <c r="D7506" t="inlineStr">
        <is>
          <t>DALARNAS LÄN</t>
        </is>
      </c>
      <c r="E7506" t="inlineStr">
        <is>
          <t>RÄTTVIK</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26658-2022</t>
        </is>
      </c>
      <c r="B7507" s="1" t="n">
        <v>44739</v>
      </c>
      <c r="C7507" s="1" t="n">
        <v>46114</v>
      </c>
      <c r="D7507" t="inlineStr">
        <is>
          <t>DALARNAS LÄN</t>
        </is>
      </c>
      <c r="E7507" t="inlineStr">
        <is>
          <t>VANSBRO</t>
        </is>
      </c>
      <c r="F7507" t="inlineStr">
        <is>
          <t>Bergvik skog väst AB</t>
        </is>
      </c>
      <c r="G7507" t="n">
        <v>4.1</v>
      </c>
      <c r="H7507" t="n">
        <v>0</v>
      </c>
      <c r="I7507" t="n">
        <v>0</v>
      </c>
      <c r="J7507" t="n">
        <v>0</v>
      </c>
      <c r="K7507" t="n">
        <v>0</v>
      </c>
      <c r="L7507" t="n">
        <v>0</v>
      </c>
      <c r="M7507" t="n">
        <v>0</v>
      </c>
      <c r="N7507" t="n">
        <v>0</v>
      </c>
      <c r="O7507" t="n">
        <v>0</v>
      </c>
      <c r="P7507" t="n">
        <v>0</v>
      </c>
      <c r="Q7507" t="n">
        <v>0</v>
      </c>
      <c r="R7507" s="2" t="inlineStr"/>
    </row>
    <row r="7508" ht="15" customHeight="1">
      <c r="A7508" t="inlineStr">
        <is>
          <t>A 2240-2026</t>
        </is>
      </c>
      <c r="B7508" s="1" t="n">
        <v>46036.53807870371</v>
      </c>
      <c r="C7508" s="1" t="n">
        <v>46114</v>
      </c>
      <c r="D7508" t="inlineStr">
        <is>
          <t>DALARNAS LÄN</t>
        </is>
      </c>
      <c r="E7508" t="inlineStr">
        <is>
          <t>FALUN</t>
        </is>
      </c>
      <c r="G7508" t="n">
        <v>9.199999999999999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2262-2026</t>
        </is>
      </c>
      <c r="B7509" s="1" t="n">
        <v>46036</v>
      </c>
      <c r="C7509" s="1" t="n">
        <v>46114</v>
      </c>
      <c r="D7509" t="inlineStr">
        <is>
          <t>DALARNAS LÄN</t>
        </is>
      </c>
      <c r="E7509" t="inlineStr">
        <is>
          <t>FALUN</t>
        </is>
      </c>
      <c r="G7509" t="n">
        <v>10.7</v>
      </c>
      <c r="H7509" t="n">
        <v>0</v>
      </c>
      <c r="I7509" t="n">
        <v>0</v>
      </c>
      <c r="J7509" t="n">
        <v>0</v>
      </c>
      <c r="K7509" t="n">
        <v>0</v>
      </c>
      <c r="L7509" t="n">
        <v>0</v>
      </c>
      <c r="M7509" t="n">
        <v>0</v>
      </c>
      <c r="N7509" t="n">
        <v>0</v>
      </c>
      <c r="O7509" t="n">
        <v>0</v>
      </c>
      <c r="P7509" t="n">
        <v>0</v>
      </c>
      <c r="Q7509" t="n">
        <v>0</v>
      </c>
      <c r="R7509" s="2" t="inlineStr"/>
    </row>
    <row r="7510" ht="15" customHeight="1">
      <c r="A7510" t="inlineStr">
        <is>
          <t>A 61396-2021</t>
        </is>
      </c>
      <c r="B7510" s="1" t="n">
        <v>44500</v>
      </c>
      <c r="C7510" s="1" t="n">
        <v>46114</v>
      </c>
      <c r="D7510" t="inlineStr">
        <is>
          <t>DALARNAS LÄN</t>
        </is>
      </c>
      <c r="E7510" t="inlineStr">
        <is>
          <t>BORLÄNGE</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1704-2023</t>
        </is>
      </c>
      <c r="B7511" s="1" t="n">
        <v>44938</v>
      </c>
      <c r="C7511" s="1" t="n">
        <v>46114</v>
      </c>
      <c r="D7511" t="inlineStr">
        <is>
          <t>DALARNAS LÄN</t>
        </is>
      </c>
      <c r="E7511" t="inlineStr">
        <is>
          <t>MALUNG-SÄLEN</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32486-2022</t>
        </is>
      </c>
      <c r="B7512" s="1" t="n">
        <v>44782</v>
      </c>
      <c r="C7512" s="1" t="n">
        <v>46114</v>
      </c>
      <c r="D7512" t="inlineStr">
        <is>
          <t>DALARNAS LÄN</t>
        </is>
      </c>
      <c r="E7512" t="inlineStr">
        <is>
          <t>MALUNG-SÄLEN</t>
        </is>
      </c>
      <c r="F7512" t="inlineStr">
        <is>
          <t>Bergvik skog öst AB</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2483-2026</t>
        </is>
      </c>
      <c r="B7513" s="1" t="n">
        <v>46037.385625</v>
      </c>
      <c r="C7513" s="1" t="n">
        <v>46114</v>
      </c>
      <c r="D7513" t="inlineStr">
        <is>
          <t>DALARNAS LÄN</t>
        </is>
      </c>
      <c r="E7513" t="inlineStr">
        <is>
          <t>VANSBRO</t>
        </is>
      </c>
      <c r="G7513" t="n">
        <v>5.2</v>
      </c>
      <c r="H7513" t="n">
        <v>0</v>
      </c>
      <c r="I7513" t="n">
        <v>0</v>
      </c>
      <c r="J7513" t="n">
        <v>0</v>
      </c>
      <c r="K7513" t="n">
        <v>0</v>
      </c>
      <c r="L7513" t="n">
        <v>0</v>
      </c>
      <c r="M7513" t="n">
        <v>0</v>
      </c>
      <c r="N7513" t="n">
        <v>0</v>
      </c>
      <c r="O7513" t="n">
        <v>0</v>
      </c>
      <c r="P7513" t="n">
        <v>0</v>
      </c>
      <c r="Q7513" t="n">
        <v>0</v>
      </c>
      <c r="R7513" s="2" t="inlineStr"/>
    </row>
    <row r="7514" ht="15" customHeight="1">
      <c r="A7514" t="inlineStr">
        <is>
          <t>A 2280-2026</t>
        </is>
      </c>
      <c r="B7514" s="1" t="n">
        <v>46036</v>
      </c>
      <c r="C7514" s="1" t="n">
        <v>46114</v>
      </c>
      <c r="D7514" t="inlineStr">
        <is>
          <t>DALARNAS LÄN</t>
        </is>
      </c>
      <c r="E7514" t="inlineStr">
        <is>
          <t>FALUN</t>
        </is>
      </c>
      <c r="G7514" t="n">
        <v>2.8</v>
      </c>
      <c r="H7514" t="n">
        <v>0</v>
      </c>
      <c r="I7514" t="n">
        <v>0</v>
      </c>
      <c r="J7514" t="n">
        <v>0</v>
      </c>
      <c r="K7514" t="n">
        <v>0</v>
      </c>
      <c r="L7514" t="n">
        <v>0</v>
      </c>
      <c r="M7514" t="n">
        <v>0</v>
      </c>
      <c r="N7514" t="n">
        <v>0</v>
      </c>
      <c r="O7514" t="n">
        <v>0</v>
      </c>
      <c r="P7514" t="n">
        <v>0</v>
      </c>
      <c r="Q7514" t="n">
        <v>0</v>
      </c>
      <c r="R7514" s="2" t="inlineStr"/>
    </row>
    <row r="7515" ht="15" customHeight="1">
      <c r="A7515" t="inlineStr">
        <is>
          <t>A 2284-2026</t>
        </is>
      </c>
      <c r="B7515" s="1" t="n">
        <v>46036</v>
      </c>
      <c r="C7515" s="1" t="n">
        <v>46114</v>
      </c>
      <c r="D7515" t="inlineStr">
        <is>
          <t>DALARNAS LÄN</t>
        </is>
      </c>
      <c r="E7515" t="inlineStr">
        <is>
          <t>FALUN</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45779-2023</t>
        </is>
      </c>
      <c r="B7516" s="1" t="n">
        <v>45188</v>
      </c>
      <c r="C7516" s="1" t="n">
        <v>46114</v>
      </c>
      <c r="D7516" t="inlineStr">
        <is>
          <t>DALARNAS LÄN</t>
        </is>
      </c>
      <c r="E7516" t="inlineStr">
        <is>
          <t>MALUNG-SÄLEN</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45780-2023</t>
        </is>
      </c>
      <c r="B7517" s="1" t="n">
        <v>45188</v>
      </c>
      <c r="C7517" s="1" t="n">
        <v>46114</v>
      </c>
      <c r="D7517" t="inlineStr">
        <is>
          <t>DALARNAS LÄN</t>
        </is>
      </c>
      <c r="E7517" t="inlineStr">
        <is>
          <t>MALUNG-SÄLEN</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2297-2026</t>
        </is>
      </c>
      <c r="B7518" s="1" t="n">
        <v>46036.58809027778</v>
      </c>
      <c r="C7518" s="1" t="n">
        <v>46114</v>
      </c>
      <c r="D7518" t="inlineStr">
        <is>
          <t>DALARNAS LÄN</t>
        </is>
      </c>
      <c r="E7518" t="inlineStr">
        <is>
          <t>MALUNG-SÄLEN</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9841-2026</t>
        </is>
      </c>
      <c r="B7519" s="1" t="n">
        <v>46072</v>
      </c>
      <c r="C7519" s="1" t="n">
        <v>46114</v>
      </c>
      <c r="D7519" t="inlineStr">
        <is>
          <t>DALARNAS LÄN</t>
        </is>
      </c>
      <c r="E7519" t="inlineStr">
        <is>
          <t>FALUN</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10662-2026</t>
        </is>
      </c>
      <c r="B7520" s="1" t="n">
        <v>46078.37723379629</v>
      </c>
      <c r="C7520" s="1" t="n">
        <v>46114</v>
      </c>
      <c r="D7520" t="inlineStr">
        <is>
          <t>DALARNAS LÄN</t>
        </is>
      </c>
      <c r="E7520" t="inlineStr">
        <is>
          <t>RÄTTVIK</t>
        </is>
      </c>
      <c r="F7520" t="inlineStr">
        <is>
          <t>Bergvik skog väst AB</t>
        </is>
      </c>
      <c r="G7520" t="n">
        <v>16.5</v>
      </c>
      <c r="H7520" t="n">
        <v>0</v>
      </c>
      <c r="I7520" t="n">
        <v>0</v>
      </c>
      <c r="J7520" t="n">
        <v>0</v>
      </c>
      <c r="K7520" t="n">
        <v>0</v>
      </c>
      <c r="L7520" t="n">
        <v>0</v>
      </c>
      <c r="M7520" t="n">
        <v>0</v>
      </c>
      <c r="N7520" t="n">
        <v>0</v>
      </c>
      <c r="O7520" t="n">
        <v>0</v>
      </c>
      <c r="P7520" t="n">
        <v>0</v>
      </c>
      <c r="Q7520" t="n">
        <v>0</v>
      </c>
      <c r="R7520" s="2" t="inlineStr"/>
    </row>
    <row r="7521" ht="15" customHeight="1">
      <c r="A7521" t="inlineStr">
        <is>
          <t>A 10047-2026</t>
        </is>
      </c>
      <c r="B7521" s="1" t="n">
        <v>46073</v>
      </c>
      <c r="C7521" s="1" t="n">
        <v>46114</v>
      </c>
      <c r="D7521" t="inlineStr">
        <is>
          <t>DALARNAS LÄN</t>
        </is>
      </c>
      <c r="E7521" t="inlineStr">
        <is>
          <t>FALUN</t>
        </is>
      </c>
      <c r="F7521" t="inlineStr">
        <is>
          <t>Bergvik skog väst AB</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10072-2026</t>
        </is>
      </c>
      <c r="B7522" s="1" t="n">
        <v>46073</v>
      </c>
      <c r="C7522" s="1" t="n">
        <v>46114</v>
      </c>
      <c r="D7522" t="inlineStr">
        <is>
          <t>DALARNAS LÄN</t>
        </is>
      </c>
      <c r="E7522" t="inlineStr">
        <is>
          <t>FALUN</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2764-2026</t>
        </is>
      </c>
      <c r="B7523" s="1" t="n">
        <v>46036</v>
      </c>
      <c r="C7523" s="1" t="n">
        <v>46114</v>
      </c>
      <c r="D7523" t="inlineStr">
        <is>
          <t>DALARNAS LÄN</t>
        </is>
      </c>
      <c r="E7523" t="inlineStr">
        <is>
          <t>FALUN</t>
        </is>
      </c>
      <c r="G7523" t="n">
        <v>4.4</v>
      </c>
      <c r="H7523" t="n">
        <v>0</v>
      </c>
      <c r="I7523" t="n">
        <v>0</v>
      </c>
      <c r="J7523" t="n">
        <v>0</v>
      </c>
      <c r="K7523" t="n">
        <v>0</v>
      </c>
      <c r="L7523" t="n">
        <v>0</v>
      </c>
      <c r="M7523" t="n">
        <v>0</v>
      </c>
      <c r="N7523" t="n">
        <v>0</v>
      </c>
      <c r="O7523" t="n">
        <v>0</v>
      </c>
      <c r="P7523" t="n">
        <v>0</v>
      </c>
      <c r="Q7523" t="n">
        <v>0</v>
      </c>
      <c r="R7523" s="2" t="inlineStr"/>
    </row>
    <row r="7524" ht="15" customHeight="1">
      <c r="A7524" t="inlineStr">
        <is>
          <t>A 9696-2026</t>
        </is>
      </c>
      <c r="B7524" s="1" t="n">
        <v>46072</v>
      </c>
      <c r="C7524" s="1" t="n">
        <v>46114</v>
      </c>
      <c r="D7524" t="inlineStr">
        <is>
          <t>DALARNAS LÄN</t>
        </is>
      </c>
      <c r="E7524" t="inlineStr">
        <is>
          <t>FALUN</t>
        </is>
      </c>
      <c r="G7524" t="n">
        <v>8.9</v>
      </c>
      <c r="H7524" t="n">
        <v>0</v>
      </c>
      <c r="I7524" t="n">
        <v>0</v>
      </c>
      <c r="J7524" t="n">
        <v>0</v>
      </c>
      <c r="K7524" t="n">
        <v>0</v>
      </c>
      <c r="L7524" t="n">
        <v>0</v>
      </c>
      <c r="M7524" t="n">
        <v>0</v>
      </c>
      <c r="N7524" t="n">
        <v>0</v>
      </c>
      <c r="O7524" t="n">
        <v>0</v>
      </c>
      <c r="P7524" t="n">
        <v>0</v>
      </c>
      <c r="Q7524" t="n">
        <v>0</v>
      </c>
      <c r="R7524" s="2" t="inlineStr"/>
    </row>
    <row r="7525" ht="15" customHeight="1">
      <c r="A7525" t="inlineStr">
        <is>
          <t>A 9753-2026</t>
        </is>
      </c>
      <c r="B7525" s="1" t="n">
        <v>46072</v>
      </c>
      <c r="C7525" s="1" t="n">
        <v>46114</v>
      </c>
      <c r="D7525" t="inlineStr">
        <is>
          <t>DALARNAS LÄN</t>
        </is>
      </c>
      <c r="E7525" t="inlineStr">
        <is>
          <t>FALUN</t>
        </is>
      </c>
      <c r="F7525" t="inlineStr">
        <is>
          <t>Bergvik skog väst AB</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2128-2026</t>
        </is>
      </c>
      <c r="B7526" s="1" t="n">
        <v>46036.39015046296</v>
      </c>
      <c r="C7526" s="1" t="n">
        <v>46114</v>
      </c>
      <c r="D7526" t="inlineStr">
        <is>
          <t>DALARNAS LÄN</t>
        </is>
      </c>
      <c r="E7526" t="inlineStr">
        <is>
          <t>RÄTTVIK</t>
        </is>
      </c>
      <c r="G7526" t="n">
        <v>10.1</v>
      </c>
      <c r="H7526" t="n">
        <v>0</v>
      </c>
      <c r="I7526" t="n">
        <v>0</v>
      </c>
      <c r="J7526" t="n">
        <v>0</v>
      </c>
      <c r="K7526" t="n">
        <v>0</v>
      </c>
      <c r="L7526" t="n">
        <v>0</v>
      </c>
      <c r="M7526" t="n">
        <v>0</v>
      </c>
      <c r="N7526" t="n">
        <v>0</v>
      </c>
      <c r="O7526" t="n">
        <v>0</v>
      </c>
      <c r="P7526" t="n">
        <v>0</v>
      </c>
      <c r="Q7526" t="n">
        <v>0</v>
      </c>
      <c r="R7526" s="2" t="inlineStr"/>
    </row>
    <row r="7527" ht="15" customHeight="1">
      <c r="A7527" t="inlineStr">
        <is>
          <t>A 2131-2026</t>
        </is>
      </c>
      <c r="B7527" s="1" t="n">
        <v>46036.39175925926</v>
      </c>
      <c r="C7527" s="1" t="n">
        <v>46114</v>
      </c>
      <c r="D7527" t="inlineStr">
        <is>
          <t>DALARNAS LÄN</t>
        </is>
      </c>
      <c r="E7527" t="inlineStr">
        <is>
          <t>MALUNG-SÄLEN</t>
        </is>
      </c>
      <c r="G7527" t="n">
        <v>5.4</v>
      </c>
      <c r="H7527" t="n">
        <v>0</v>
      </c>
      <c r="I7527" t="n">
        <v>0</v>
      </c>
      <c r="J7527" t="n">
        <v>0</v>
      </c>
      <c r="K7527" t="n">
        <v>0</v>
      </c>
      <c r="L7527" t="n">
        <v>0</v>
      </c>
      <c r="M7527" t="n">
        <v>0</v>
      </c>
      <c r="N7527" t="n">
        <v>0</v>
      </c>
      <c r="O7527" t="n">
        <v>0</v>
      </c>
      <c r="P7527" t="n">
        <v>0</v>
      </c>
      <c r="Q7527" t="n">
        <v>0</v>
      </c>
      <c r="R7527" s="2" t="inlineStr"/>
    </row>
    <row r="7528" ht="15" customHeight="1">
      <c r="A7528" t="inlineStr">
        <is>
          <t>A 2165-2026</t>
        </is>
      </c>
      <c r="B7528" s="1" t="n">
        <v>46036.4416087963</v>
      </c>
      <c r="C7528" s="1" t="n">
        <v>46114</v>
      </c>
      <c r="D7528" t="inlineStr">
        <is>
          <t>DALARNAS LÄN</t>
        </is>
      </c>
      <c r="E7528" t="inlineStr">
        <is>
          <t>FALUN</t>
        </is>
      </c>
      <c r="G7528" t="n">
        <v>1.3</v>
      </c>
      <c r="H7528" t="n">
        <v>0</v>
      </c>
      <c r="I7528" t="n">
        <v>0</v>
      </c>
      <c r="J7528" t="n">
        <v>0</v>
      </c>
      <c r="K7528" t="n">
        <v>0</v>
      </c>
      <c r="L7528" t="n">
        <v>0</v>
      </c>
      <c r="M7528" t="n">
        <v>0</v>
      </c>
      <c r="N7528" t="n">
        <v>0</v>
      </c>
      <c r="O7528" t="n">
        <v>0</v>
      </c>
      <c r="P7528" t="n">
        <v>0</v>
      </c>
      <c r="Q7528" t="n">
        <v>0</v>
      </c>
      <c r="R7528" s="2" t="inlineStr"/>
    </row>
    <row r="7529" ht="15" customHeight="1">
      <c r="A7529" t="inlineStr">
        <is>
          <t>A 2953-2026</t>
        </is>
      </c>
      <c r="B7529" s="1" t="n">
        <v>46037</v>
      </c>
      <c r="C7529" s="1" t="n">
        <v>46114</v>
      </c>
      <c r="D7529" t="inlineStr">
        <is>
          <t>DALARNAS LÄN</t>
        </is>
      </c>
      <c r="E7529" t="inlineStr">
        <is>
          <t>FALUN</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2956-2026</t>
        </is>
      </c>
      <c r="B7530" s="1" t="n">
        <v>46037</v>
      </c>
      <c r="C7530" s="1" t="n">
        <v>46114</v>
      </c>
      <c r="D7530" t="inlineStr">
        <is>
          <t>DALARNAS LÄN</t>
        </is>
      </c>
      <c r="E7530" t="inlineStr">
        <is>
          <t>FALUN</t>
        </is>
      </c>
      <c r="G7530" t="n">
        <v>5</v>
      </c>
      <c r="H7530" t="n">
        <v>0</v>
      </c>
      <c r="I7530" t="n">
        <v>0</v>
      </c>
      <c r="J7530" t="n">
        <v>0</v>
      </c>
      <c r="K7530" t="n">
        <v>0</v>
      </c>
      <c r="L7530" t="n">
        <v>0</v>
      </c>
      <c r="M7530" t="n">
        <v>0</v>
      </c>
      <c r="N7530" t="n">
        <v>0</v>
      </c>
      <c r="O7530" t="n">
        <v>0</v>
      </c>
      <c r="P7530" t="n">
        <v>0</v>
      </c>
      <c r="Q7530" t="n">
        <v>0</v>
      </c>
      <c r="R7530" s="2" t="inlineStr"/>
    </row>
    <row r="7531" ht="15" customHeight="1">
      <c r="A7531" t="inlineStr">
        <is>
          <t>A 2959-2026</t>
        </is>
      </c>
      <c r="B7531" s="1" t="n">
        <v>46037</v>
      </c>
      <c r="C7531" s="1" t="n">
        <v>46114</v>
      </c>
      <c r="D7531" t="inlineStr">
        <is>
          <t>DALARNAS LÄN</t>
        </is>
      </c>
      <c r="E7531" t="inlineStr">
        <is>
          <t>FALUN</t>
        </is>
      </c>
      <c r="G7531" t="n">
        <v>5.8</v>
      </c>
      <c r="H7531" t="n">
        <v>0</v>
      </c>
      <c r="I7531" t="n">
        <v>0</v>
      </c>
      <c r="J7531" t="n">
        <v>0</v>
      </c>
      <c r="K7531" t="n">
        <v>0</v>
      </c>
      <c r="L7531" t="n">
        <v>0</v>
      </c>
      <c r="M7531" t="n">
        <v>0</v>
      </c>
      <c r="N7531" t="n">
        <v>0</v>
      </c>
      <c r="O7531" t="n">
        <v>0</v>
      </c>
      <c r="P7531" t="n">
        <v>0</v>
      </c>
      <c r="Q7531" t="n">
        <v>0</v>
      </c>
      <c r="R7531" s="2" t="inlineStr"/>
    </row>
    <row r="7532" ht="15" customHeight="1">
      <c r="A7532" t="inlineStr">
        <is>
          <t>A 61886-2022</t>
        </is>
      </c>
      <c r="B7532" s="1" t="n">
        <v>44917.67582175926</v>
      </c>
      <c r="C7532" s="1" t="n">
        <v>46114</v>
      </c>
      <c r="D7532" t="inlineStr">
        <is>
          <t>DALARNAS LÄN</t>
        </is>
      </c>
      <c r="E7532" t="inlineStr">
        <is>
          <t>HEDEMORA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2455-2026</t>
        </is>
      </c>
      <c r="B7533" s="1" t="n">
        <v>46037.3446875</v>
      </c>
      <c r="C7533" s="1" t="n">
        <v>46114</v>
      </c>
      <c r="D7533" t="inlineStr">
        <is>
          <t>DALARNAS LÄN</t>
        </is>
      </c>
      <c r="E7533" t="inlineStr">
        <is>
          <t>SÄTER</t>
        </is>
      </c>
      <c r="F7533" t="inlineStr">
        <is>
          <t>Övriga Aktiebolag</t>
        </is>
      </c>
      <c r="G7533" t="n">
        <v>1.3</v>
      </c>
      <c r="H7533" t="n">
        <v>0</v>
      </c>
      <c r="I7533" t="n">
        <v>0</v>
      </c>
      <c r="J7533" t="n">
        <v>0</v>
      </c>
      <c r="K7533" t="n">
        <v>0</v>
      </c>
      <c r="L7533" t="n">
        <v>0</v>
      </c>
      <c r="M7533" t="n">
        <v>0</v>
      </c>
      <c r="N7533" t="n">
        <v>0</v>
      </c>
      <c r="O7533" t="n">
        <v>0</v>
      </c>
      <c r="P7533" t="n">
        <v>0</v>
      </c>
      <c r="Q7533" t="n">
        <v>0</v>
      </c>
      <c r="R7533" s="2" t="inlineStr"/>
    </row>
    <row r="7534" ht="15" customHeight="1">
      <c r="A7534" t="inlineStr">
        <is>
          <t>A 2479-2026</t>
        </is>
      </c>
      <c r="B7534" s="1" t="n">
        <v>46037</v>
      </c>
      <c r="C7534" s="1" t="n">
        <v>46114</v>
      </c>
      <c r="D7534" t="inlineStr">
        <is>
          <t>DALARNAS LÄN</t>
        </is>
      </c>
      <c r="E7534" t="inlineStr">
        <is>
          <t>SÄTER</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55331-2022</t>
        </is>
      </c>
      <c r="B7535" s="1" t="n">
        <v>44887.43714120371</v>
      </c>
      <c r="C7535" s="1" t="n">
        <v>46114</v>
      </c>
      <c r="D7535" t="inlineStr">
        <is>
          <t>DALARNAS LÄN</t>
        </is>
      </c>
      <c r="E7535" t="inlineStr">
        <is>
          <t>MORA</t>
        </is>
      </c>
      <c r="F7535" t="inlineStr">
        <is>
          <t>Bergvik skog väst AB</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2683-2026</t>
        </is>
      </c>
      <c r="B7536" s="1" t="n">
        <v>46037.65527777778</v>
      </c>
      <c r="C7536" s="1" t="n">
        <v>46114</v>
      </c>
      <c r="D7536" t="inlineStr">
        <is>
          <t>DALARNAS LÄN</t>
        </is>
      </c>
      <c r="E7536" t="inlineStr">
        <is>
          <t>FALUN</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2825-2026</t>
        </is>
      </c>
      <c r="B7537" s="1" t="n">
        <v>46036</v>
      </c>
      <c r="C7537" s="1" t="n">
        <v>46114</v>
      </c>
      <c r="D7537" t="inlineStr">
        <is>
          <t>DALARNAS LÄN</t>
        </is>
      </c>
      <c r="E7537" t="inlineStr">
        <is>
          <t>AVESTA</t>
        </is>
      </c>
      <c r="G7537" t="n">
        <v>2.3</v>
      </c>
      <c r="H7537" t="n">
        <v>0</v>
      </c>
      <c r="I7537" t="n">
        <v>0</v>
      </c>
      <c r="J7537" t="n">
        <v>0</v>
      </c>
      <c r="K7537" t="n">
        <v>0</v>
      </c>
      <c r="L7537" t="n">
        <v>0</v>
      </c>
      <c r="M7537" t="n">
        <v>0</v>
      </c>
      <c r="N7537" t="n">
        <v>0</v>
      </c>
      <c r="O7537" t="n">
        <v>0</v>
      </c>
      <c r="P7537" t="n">
        <v>0</v>
      </c>
      <c r="Q7537" t="n">
        <v>0</v>
      </c>
      <c r="R7537" s="2" t="inlineStr"/>
    </row>
    <row r="7538" ht="15" customHeight="1">
      <c r="A7538" t="inlineStr">
        <is>
          <t>A 9835-2026</t>
        </is>
      </c>
      <c r="B7538" s="1" t="n">
        <v>46072</v>
      </c>
      <c r="C7538" s="1" t="n">
        <v>46114</v>
      </c>
      <c r="D7538" t="inlineStr">
        <is>
          <t>DALARNAS LÄN</t>
        </is>
      </c>
      <c r="E7538" t="inlineStr">
        <is>
          <t>FALUN</t>
        </is>
      </c>
      <c r="F7538" t="inlineStr">
        <is>
          <t>Bergvik skog väst AB</t>
        </is>
      </c>
      <c r="G7538" t="n">
        <v>3.8</v>
      </c>
      <c r="H7538" t="n">
        <v>0</v>
      </c>
      <c r="I7538" t="n">
        <v>0</v>
      </c>
      <c r="J7538" t="n">
        <v>0</v>
      </c>
      <c r="K7538" t="n">
        <v>0</v>
      </c>
      <c r="L7538" t="n">
        <v>0</v>
      </c>
      <c r="M7538" t="n">
        <v>0</v>
      </c>
      <c r="N7538" t="n">
        <v>0</v>
      </c>
      <c r="O7538" t="n">
        <v>0</v>
      </c>
      <c r="P7538" t="n">
        <v>0</v>
      </c>
      <c r="Q7538" t="n">
        <v>0</v>
      </c>
      <c r="R7538" s="2" t="inlineStr"/>
    </row>
    <row r="7539" ht="15" customHeight="1">
      <c r="A7539" t="inlineStr">
        <is>
          <t>A 9703-2026</t>
        </is>
      </c>
      <c r="B7539" s="1" t="n">
        <v>46072</v>
      </c>
      <c r="C7539" s="1" t="n">
        <v>46114</v>
      </c>
      <c r="D7539" t="inlineStr">
        <is>
          <t>DALARNAS LÄN</t>
        </is>
      </c>
      <c r="E7539" t="inlineStr">
        <is>
          <t>ORSA</t>
        </is>
      </c>
      <c r="F7539" t="inlineStr">
        <is>
          <t>Bergvik skog öst AB</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10788-2026</t>
        </is>
      </c>
      <c r="B7540" s="1" t="n">
        <v>46078.58292824074</v>
      </c>
      <c r="C7540" s="1" t="n">
        <v>46114</v>
      </c>
      <c r="D7540" t="inlineStr">
        <is>
          <t>DALARNAS LÄN</t>
        </is>
      </c>
      <c r="E7540" t="inlineStr">
        <is>
          <t>RÄTTVIK</t>
        </is>
      </c>
      <c r="F7540" t="inlineStr">
        <is>
          <t>Bergvik skog väst AB</t>
        </is>
      </c>
      <c r="G7540" t="n">
        <v>3.2</v>
      </c>
      <c r="H7540" t="n">
        <v>0</v>
      </c>
      <c r="I7540" t="n">
        <v>0</v>
      </c>
      <c r="J7540" t="n">
        <v>0</v>
      </c>
      <c r="K7540" t="n">
        <v>0</v>
      </c>
      <c r="L7540" t="n">
        <v>0</v>
      </c>
      <c r="M7540" t="n">
        <v>0</v>
      </c>
      <c r="N7540" t="n">
        <v>0</v>
      </c>
      <c r="O7540" t="n">
        <v>0</v>
      </c>
      <c r="P7540" t="n">
        <v>0</v>
      </c>
      <c r="Q7540" t="n">
        <v>0</v>
      </c>
      <c r="R7540" s="2" t="inlineStr"/>
    </row>
    <row r="7541" ht="15" customHeight="1">
      <c r="A7541" t="inlineStr">
        <is>
          <t>A 10791-2026</t>
        </is>
      </c>
      <c r="B7541" s="1" t="n">
        <v>46078.58665509259</v>
      </c>
      <c r="C7541" s="1" t="n">
        <v>46114</v>
      </c>
      <c r="D7541" t="inlineStr">
        <is>
          <t>DALARNAS LÄN</t>
        </is>
      </c>
      <c r="E7541" t="inlineStr">
        <is>
          <t>FALUN</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10794-2026</t>
        </is>
      </c>
      <c r="B7542" s="1" t="n">
        <v>46078.59270833333</v>
      </c>
      <c r="C7542" s="1" t="n">
        <v>46114</v>
      </c>
      <c r="D7542" t="inlineStr">
        <is>
          <t>DALARNAS LÄN</t>
        </is>
      </c>
      <c r="E7542" t="inlineStr">
        <is>
          <t>FALUN</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10835-2026</t>
        </is>
      </c>
      <c r="B7543" s="1" t="n">
        <v>46078.63026620371</v>
      </c>
      <c r="C7543" s="1" t="n">
        <v>46114</v>
      </c>
      <c r="D7543" t="inlineStr">
        <is>
          <t>DALARNAS LÄN</t>
        </is>
      </c>
      <c r="E7543" t="inlineStr">
        <is>
          <t>MALUNG-SÄLEN</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19567-2025</t>
        </is>
      </c>
      <c r="B7544" s="1" t="n">
        <v>45770.5349537037</v>
      </c>
      <c r="C7544" s="1" t="n">
        <v>46114</v>
      </c>
      <c r="D7544" t="inlineStr">
        <is>
          <t>DALARNAS LÄN</t>
        </is>
      </c>
      <c r="E7544" t="inlineStr">
        <is>
          <t>ÄLVDALEN</t>
        </is>
      </c>
      <c r="F7544" t="inlineStr">
        <is>
          <t>Allmännings- och besparingsskogar</t>
        </is>
      </c>
      <c r="G7544" t="n">
        <v>3.7</v>
      </c>
      <c r="H7544" t="n">
        <v>0</v>
      </c>
      <c r="I7544" t="n">
        <v>0</v>
      </c>
      <c r="J7544" t="n">
        <v>0</v>
      </c>
      <c r="K7544" t="n">
        <v>0</v>
      </c>
      <c r="L7544" t="n">
        <v>0</v>
      </c>
      <c r="M7544" t="n">
        <v>0</v>
      </c>
      <c r="N7544" t="n">
        <v>0</v>
      </c>
      <c r="O7544" t="n">
        <v>0</v>
      </c>
      <c r="P7544" t="n">
        <v>0</v>
      </c>
      <c r="Q7544" t="n">
        <v>0</v>
      </c>
      <c r="R7544" s="2" t="inlineStr"/>
    </row>
    <row r="7545" ht="15" customHeight="1">
      <c r="A7545" t="inlineStr">
        <is>
          <t>A 19570-2025</t>
        </is>
      </c>
      <c r="B7545" s="1" t="n">
        <v>45770</v>
      </c>
      <c r="C7545" s="1" t="n">
        <v>46114</v>
      </c>
      <c r="D7545" t="inlineStr">
        <is>
          <t>DALARNAS LÄN</t>
        </is>
      </c>
      <c r="E7545" t="inlineStr">
        <is>
          <t>RÄTTVIK</t>
        </is>
      </c>
      <c r="F7545" t="inlineStr">
        <is>
          <t>Bergvik skog väst AB</t>
        </is>
      </c>
      <c r="G7545" t="n">
        <v>13.4</v>
      </c>
      <c r="H7545" t="n">
        <v>0</v>
      </c>
      <c r="I7545" t="n">
        <v>0</v>
      </c>
      <c r="J7545" t="n">
        <v>0</v>
      </c>
      <c r="K7545" t="n">
        <v>0</v>
      </c>
      <c r="L7545" t="n">
        <v>0</v>
      </c>
      <c r="M7545" t="n">
        <v>0</v>
      </c>
      <c r="N7545" t="n">
        <v>0</v>
      </c>
      <c r="O7545" t="n">
        <v>0</v>
      </c>
      <c r="P7545" t="n">
        <v>0</v>
      </c>
      <c r="Q7545" t="n">
        <v>0</v>
      </c>
      <c r="R7545" s="2" t="inlineStr"/>
    </row>
    <row r="7546" ht="15" customHeight="1">
      <c r="A7546" t="inlineStr">
        <is>
          <t>A 2544-2026</t>
        </is>
      </c>
      <c r="B7546" s="1" t="n">
        <v>46037.46180555555</v>
      </c>
      <c r="C7546" s="1" t="n">
        <v>46114</v>
      </c>
      <c r="D7546" t="inlineStr">
        <is>
          <t>DALARNAS LÄN</t>
        </is>
      </c>
      <c r="E7546" t="inlineStr">
        <is>
          <t>FALUN</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1-2026</t>
        </is>
      </c>
      <c r="B7547" s="1" t="n">
        <v>46023</v>
      </c>
      <c r="C7547" s="1" t="n">
        <v>46114</v>
      </c>
      <c r="D7547" t="inlineStr">
        <is>
          <t>DALARNAS LÄN</t>
        </is>
      </c>
      <c r="E7547" t="inlineStr">
        <is>
          <t>FALUN</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10507-2026</t>
        </is>
      </c>
      <c r="B7548" s="1" t="n">
        <v>46077</v>
      </c>
      <c r="C7548" s="1" t="n">
        <v>46114</v>
      </c>
      <c r="D7548" t="inlineStr">
        <is>
          <t>DALARNAS LÄN</t>
        </is>
      </c>
      <c r="E7548" t="inlineStr">
        <is>
          <t>RÄTTVIK</t>
        </is>
      </c>
      <c r="F7548" t="inlineStr">
        <is>
          <t>Bergvik skog väst AB</t>
        </is>
      </c>
      <c r="G7548" t="n">
        <v>82.8</v>
      </c>
      <c r="H7548" t="n">
        <v>0</v>
      </c>
      <c r="I7548" t="n">
        <v>0</v>
      </c>
      <c r="J7548" t="n">
        <v>0</v>
      </c>
      <c r="K7548" t="n">
        <v>0</v>
      </c>
      <c r="L7548" t="n">
        <v>0</v>
      </c>
      <c r="M7548" t="n">
        <v>0</v>
      </c>
      <c r="N7548" t="n">
        <v>0</v>
      </c>
      <c r="O7548" t="n">
        <v>0</v>
      </c>
      <c r="P7548" t="n">
        <v>0</v>
      </c>
      <c r="Q7548" t="n">
        <v>0</v>
      </c>
      <c r="R7548" s="2" t="inlineStr"/>
    </row>
    <row r="7549" ht="15" customHeight="1">
      <c r="A7549" t="inlineStr">
        <is>
          <t>A 10012-2024</t>
        </is>
      </c>
      <c r="B7549" s="1" t="n">
        <v>45363.86148148148</v>
      </c>
      <c r="C7549" s="1" t="n">
        <v>46114</v>
      </c>
      <c r="D7549" t="inlineStr">
        <is>
          <t>DALARNAS LÄN</t>
        </is>
      </c>
      <c r="E7549" t="inlineStr">
        <is>
          <t>VANSBRO</t>
        </is>
      </c>
      <c r="G7549" t="n">
        <v>6</v>
      </c>
      <c r="H7549" t="n">
        <v>0</v>
      </c>
      <c r="I7549" t="n">
        <v>0</v>
      </c>
      <c r="J7549" t="n">
        <v>0</v>
      </c>
      <c r="K7549" t="n">
        <v>0</v>
      </c>
      <c r="L7549" t="n">
        <v>0</v>
      </c>
      <c r="M7549" t="n">
        <v>0</v>
      </c>
      <c r="N7549" t="n">
        <v>0</v>
      </c>
      <c r="O7549" t="n">
        <v>0</v>
      </c>
      <c r="P7549" t="n">
        <v>0</v>
      </c>
      <c r="Q7549" t="n">
        <v>0</v>
      </c>
      <c r="R7549" s="2" t="inlineStr"/>
    </row>
    <row r="7550" ht="15" customHeight="1">
      <c r="A7550" t="inlineStr">
        <is>
          <t>A 2451-2026</t>
        </is>
      </c>
      <c r="B7550" s="1" t="n">
        <v>46037</v>
      </c>
      <c r="C7550" s="1" t="n">
        <v>46114</v>
      </c>
      <c r="D7550" t="inlineStr">
        <is>
          <t>DALARNAS LÄN</t>
        </is>
      </c>
      <c r="E7550" t="inlineStr">
        <is>
          <t>RÄTTVIK</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10013-2024</t>
        </is>
      </c>
      <c r="B7551" s="1" t="n">
        <v>45363.87252314815</v>
      </c>
      <c r="C7551" s="1" t="n">
        <v>46114</v>
      </c>
      <c r="D7551" t="inlineStr">
        <is>
          <t>DALARNAS LÄN</t>
        </is>
      </c>
      <c r="E7551" t="inlineStr">
        <is>
          <t>VANSBRO</t>
        </is>
      </c>
      <c r="G7551" t="n">
        <v>6.6</v>
      </c>
      <c r="H7551" t="n">
        <v>0</v>
      </c>
      <c r="I7551" t="n">
        <v>0</v>
      </c>
      <c r="J7551" t="n">
        <v>0</v>
      </c>
      <c r="K7551" t="n">
        <v>0</v>
      </c>
      <c r="L7551" t="n">
        <v>0</v>
      </c>
      <c r="M7551" t="n">
        <v>0</v>
      </c>
      <c r="N7551" t="n">
        <v>0</v>
      </c>
      <c r="O7551" t="n">
        <v>0</v>
      </c>
      <c r="P7551" t="n">
        <v>0</v>
      </c>
      <c r="Q7551" t="n">
        <v>0</v>
      </c>
      <c r="R7551" s="2" t="inlineStr"/>
    </row>
    <row r="7552" ht="15" customHeight="1">
      <c r="A7552" t="inlineStr">
        <is>
          <t>A 2557-2026</t>
        </is>
      </c>
      <c r="B7552" s="1" t="n">
        <v>46037.47861111111</v>
      </c>
      <c r="C7552" s="1" t="n">
        <v>46114</v>
      </c>
      <c r="D7552" t="inlineStr">
        <is>
          <t>DALARNAS LÄN</t>
        </is>
      </c>
      <c r="E7552" t="inlineStr">
        <is>
          <t>FALUN</t>
        </is>
      </c>
      <c r="G7552" t="n">
        <v>17.4</v>
      </c>
      <c r="H7552" t="n">
        <v>0</v>
      </c>
      <c r="I7552" t="n">
        <v>0</v>
      </c>
      <c r="J7552" t="n">
        <v>0</v>
      </c>
      <c r="K7552" t="n">
        <v>0</v>
      </c>
      <c r="L7552" t="n">
        <v>0</v>
      </c>
      <c r="M7552" t="n">
        <v>0</v>
      </c>
      <c r="N7552" t="n">
        <v>0</v>
      </c>
      <c r="O7552" t="n">
        <v>0</v>
      </c>
      <c r="P7552" t="n">
        <v>0</v>
      </c>
      <c r="Q7552" t="n">
        <v>0</v>
      </c>
      <c r="R7552" s="2" t="inlineStr"/>
    </row>
    <row r="7553" ht="15" customHeight="1">
      <c r="A7553" t="inlineStr">
        <is>
          <t>A 42085-2024</t>
        </is>
      </c>
      <c r="B7553" s="1" t="n">
        <v>45562.33179398148</v>
      </c>
      <c r="C7553" s="1" t="n">
        <v>46114</v>
      </c>
      <c r="D7553" t="inlineStr">
        <is>
          <t>DALARNAS LÄN</t>
        </is>
      </c>
      <c r="E7553" t="inlineStr">
        <is>
          <t>MORA</t>
        </is>
      </c>
      <c r="G7553" t="n">
        <v>4.9</v>
      </c>
      <c r="H7553" t="n">
        <v>0</v>
      </c>
      <c r="I7553" t="n">
        <v>0</v>
      </c>
      <c r="J7553" t="n">
        <v>0</v>
      </c>
      <c r="K7553" t="n">
        <v>0</v>
      </c>
      <c r="L7553" t="n">
        <v>0</v>
      </c>
      <c r="M7553" t="n">
        <v>0</v>
      </c>
      <c r="N7553" t="n">
        <v>0</v>
      </c>
      <c r="O7553" t="n">
        <v>0</v>
      </c>
      <c r="P7553" t="n">
        <v>0</v>
      </c>
      <c r="Q7553" t="n">
        <v>0</v>
      </c>
      <c r="R7553" s="2" t="inlineStr"/>
    </row>
    <row r="7554" ht="15" customHeight="1">
      <c r="A7554" t="inlineStr">
        <is>
          <t>A 2237-2026</t>
        </is>
      </c>
      <c r="B7554" s="1" t="n">
        <v>46036.53561342593</v>
      </c>
      <c r="C7554" s="1" t="n">
        <v>46114</v>
      </c>
      <c r="D7554" t="inlineStr">
        <is>
          <t>DALARNAS LÄN</t>
        </is>
      </c>
      <c r="E7554" t="inlineStr">
        <is>
          <t>FALUN</t>
        </is>
      </c>
      <c r="G7554" t="n">
        <v>4.5</v>
      </c>
      <c r="H7554" t="n">
        <v>0</v>
      </c>
      <c r="I7554" t="n">
        <v>0</v>
      </c>
      <c r="J7554" t="n">
        <v>0</v>
      </c>
      <c r="K7554" t="n">
        <v>0</v>
      </c>
      <c r="L7554" t="n">
        <v>0</v>
      </c>
      <c r="M7554" t="n">
        <v>0</v>
      </c>
      <c r="N7554" t="n">
        <v>0</v>
      </c>
      <c r="O7554" t="n">
        <v>0</v>
      </c>
      <c r="P7554" t="n">
        <v>0</v>
      </c>
      <c r="Q7554" t="n">
        <v>0</v>
      </c>
      <c r="R7554" s="2" t="inlineStr"/>
    </row>
    <row r="7555" ht="15" customHeight="1">
      <c r="A7555" t="inlineStr">
        <is>
          <t>A 2267-2026</t>
        </is>
      </c>
      <c r="B7555" s="1" t="n">
        <v>46036.57100694445</v>
      </c>
      <c r="C7555" s="1" t="n">
        <v>46114</v>
      </c>
      <c r="D7555" t="inlineStr">
        <is>
          <t>DALARNAS LÄN</t>
        </is>
      </c>
      <c r="E7555" t="inlineStr">
        <is>
          <t>MALUNG-SÄLEN</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11050-2026</t>
        </is>
      </c>
      <c r="B7556" s="1" t="n">
        <v>46079.58979166667</v>
      </c>
      <c r="C7556" s="1" t="n">
        <v>46114</v>
      </c>
      <c r="D7556" t="inlineStr">
        <is>
          <t>DALARNAS LÄN</t>
        </is>
      </c>
      <c r="E7556" t="inlineStr">
        <is>
          <t>FALUN</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54082-2023</t>
        </is>
      </c>
      <c r="B7557" s="1" t="n">
        <v>45232</v>
      </c>
      <c r="C7557" s="1" t="n">
        <v>46114</v>
      </c>
      <c r="D7557" t="inlineStr">
        <is>
          <t>DALARNAS LÄN</t>
        </is>
      </c>
      <c r="E7557" t="inlineStr">
        <is>
          <t>FALUN</t>
        </is>
      </c>
      <c r="G7557" t="n">
        <v>2.1</v>
      </c>
      <c r="H7557" t="n">
        <v>0</v>
      </c>
      <c r="I7557" t="n">
        <v>0</v>
      </c>
      <c r="J7557" t="n">
        <v>0</v>
      </c>
      <c r="K7557" t="n">
        <v>0</v>
      </c>
      <c r="L7557" t="n">
        <v>0</v>
      </c>
      <c r="M7557" t="n">
        <v>0</v>
      </c>
      <c r="N7557" t="n">
        <v>0</v>
      </c>
      <c r="O7557" t="n">
        <v>0</v>
      </c>
      <c r="P7557" t="n">
        <v>0</v>
      </c>
      <c r="Q7557" t="n">
        <v>0</v>
      </c>
      <c r="R7557" s="2" t="inlineStr"/>
    </row>
    <row r="7558" ht="15" customHeight="1">
      <c r="A7558" t="inlineStr">
        <is>
          <t>A 2229-2026</t>
        </is>
      </c>
      <c r="B7558" s="1" t="n">
        <v>46036.52315972222</v>
      </c>
      <c r="C7558" s="1" t="n">
        <v>46114</v>
      </c>
      <c r="D7558" t="inlineStr">
        <is>
          <t>DALARNAS LÄN</t>
        </is>
      </c>
      <c r="E7558" t="inlineStr">
        <is>
          <t>BORLÄNGE</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2241-2026</t>
        </is>
      </c>
      <c r="B7559" s="1" t="n">
        <v>46036</v>
      </c>
      <c r="C7559" s="1" t="n">
        <v>46114</v>
      </c>
      <c r="D7559" t="inlineStr">
        <is>
          <t>DALARNAS LÄN</t>
        </is>
      </c>
      <c r="E7559" t="inlineStr">
        <is>
          <t>FALUN</t>
        </is>
      </c>
      <c r="G7559" t="n">
        <v>11.5</v>
      </c>
      <c r="H7559" t="n">
        <v>0</v>
      </c>
      <c r="I7559" t="n">
        <v>0</v>
      </c>
      <c r="J7559" t="n">
        <v>0</v>
      </c>
      <c r="K7559" t="n">
        <v>0</v>
      </c>
      <c r="L7559" t="n">
        <v>0</v>
      </c>
      <c r="M7559" t="n">
        <v>0</v>
      </c>
      <c r="N7559" t="n">
        <v>0</v>
      </c>
      <c r="O7559" t="n">
        <v>0</v>
      </c>
      <c r="P7559" t="n">
        <v>0</v>
      </c>
      <c r="Q7559" t="n">
        <v>0</v>
      </c>
      <c r="R7559" s="2" t="inlineStr"/>
    </row>
    <row r="7560" ht="15" customHeight="1">
      <c r="A7560" t="inlineStr">
        <is>
          <t>A 2244-2026</t>
        </is>
      </c>
      <c r="B7560" s="1" t="n">
        <v>46036.54097222222</v>
      </c>
      <c r="C7560" s="1" t="n">
        <v>46114</v>
      </c>
      <c r="D7560" t="inlineStr">
        <is>
          <t>DALARNAS LÄN</t>
        </is>
      </c>
      <c r="E7560" t="inlineStr">
        <is>
          <t>BORLÄNGE</t>
        </is>
      </c>
      <c r="G7560" t="n">
        <v>1.2</v>
      </c>
      <c r="H7560" t="n">
        <v>0</v>
      </c>
      <c r="I7560" t="n">
        <v>0</v>
      </c>
      <c r="J7560" t="n">
        <v>0</v>
      </c>
      <c r="K7560" t="n">
        <v>0</v>
      </c>
      <c r="L7560" t="n">
        <v>0</v>
      </c>
      <c r="M7560" t="n">
        <v>0</v>
      </c>
      <c r="N7560" t="n">
        <v>0</v>
      </c>
      <c r="O7560" t="n">
        <v>0</v>
      </c>
      <c r="P7560" t="n">
        <v>0</v>
      </c>
      <c r="Q7560" t="n">
        <v>0</v>
      </c>
      <c r="R7560" s="2" t="inlineStr"/>
    </row>
    <row r="7561" ht="15" customHeight="1">
      <c r="A7561" t="inlineStr">
        <is>
          <t>A 2269-2026</t>
        </is>
      </c>
      <c r="B7561" s="1" t="n">
        <v>46036.57251157407</v>
      </c>
      <c r="C7561" s="1" t="n">
        <v>46114</v>
      </c>
      <c r="D7561" t="inlineStr">
        <is>
          <t>DALARNAS LÄN</t>
        </is>
      </c>
      <c r="E7561" t="inlineStr">
        <is>
          <t>MALUNG-SÄLEN</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2305-2026</t>
        </is>
      </c>
      <c r="B7562" s="1" t="n">
        <v>46036.59063657407</v>
      </c>
      <c r="C7562" s="1" t="n">
        <v>46114</v>
      </c>
      <c r="D7562" t="inlineStr">
        <is>
          <t>DALARNAS LÄN</t>
        </is>
      </c>
      <c r="E7562" t="inlineStr">
        <is>
          <t>MALUNG-SÄLEN</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2317-2026</t>
        </is>
      </c>
      <c r="B7563" s="1" t="n">
        <v>46036</v>
      </c>
      <c r="C7563" s="1" t="n">
        <v>46114</v>
      </c>
      <c r="D7563" t="inlineStr">
        <is>
          <t>DALARNAS LÄN</t>
        </is>
      </c>
      <c r="E7563" t="inlineStr">
        <is>
          <t>FALUN</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4662-2024</t>
        </is>
      </c>
      <c r="B7564" s="1" t="n">
        <v>45328.465625</v>
      </c>
      <c r="C7564" s="1" t="n">
        <v>46114</v>
      </c>
      <c r="D7564" t="inlineStr">
        <is>
          <t>DALARNAS LÄN</t>
        </is>
      </c>
      <c r="E7564" t="inlineStr">
        <is>
          <t>ÄLVDALEN</t>
        </is>
      </c>
      <c r="G7564" t="n">
        <v>4.9</v>
      </c>
      <c r="H7564" t="n">
        <v>0</v>
      </c>
      <c r="I7564" t="n">
        <v>0</v>
      </c>
      <c r="J7564" t="n">
        <v>0</v>
      </c>
      <c r="K7564" t="n">
        <v>0</v>
      </c>
      <c r="L7564" t="n">
        <v>0</v>
      </c>
      <c r="M7564" t="n">
        <v>0</v>
      </c>
      <c r="N7564" t="n">
        <v>0</v>
      </c>
      <c r="O7564" t="n">
        <v>0</v>
      </c>
      <c r="P7564" t="n">
        <v>0</v>
      </c>
      <c r="Q7564" t="n">
        <v>0</v>
      </c>
      <c r="R7564" s="2" t="inlineStr"/>
    </row>
    <row r="7565" ht="15" customHeight="1">
      <c r="A7565" t="inlineStr">
        <is>
          <t>A 2235-2026</t>
        </is>
      </c>
      <c r="B7565" s="1" t="n">
        <v>46036.53290509259</v>
      </c>
      <c r="C7565" s="1" t="n">
        <v>46114</v>
      </c>
      <c r="D7565" t="inlineStr">
        <is>
          <t>DALARNAS LÄN</t>
        </is>
      </c>
      <c r="E7565" t="inlineStr">
        <is>
          <t>FALUN</t>
        </is>
      </c>
      <c r="G7565" t="n">
        <v>3.6</v>
      </c>
      <c r="H7565" t="n">
        <v>0</v>
      </c>
      <c r="I7565" t="n">
        <v>0</v>
      </c>
      <c r="J7565" t="n">
        <v>0</v>
      </c>
      <c r="K7565" t="n">
        <v>0</v>
      </c>
      <c r="L7565" t="n">
        <v>0</v>
      </c>
      <c r="M7565" t="n">
        <v>0</v>
      </c>
      <c r="N7565" t="n">
        <v>0</v>
      </c>
      <c r="O7565" t="n">
        <v>0</v>
      </c>
      <c r="P7565" t="n">
        <v>0</v>
      </c>
      <c r="Q7565" t="n">
        <v>0</v>
      </c>
      <c r="R7565" s="2" t="inlineStr"/>
    </row>
    <row r="7566" ht="15" customHeight="1">
      <c r="A7566" t="inlineStr">
        <is>
          <t>A 2386-2026</t>
        </is>
      </c>
      <c r="B7566" s="1" t="n">
        <v>46036</v>
      </c>
      <c r="C7566" s="1" t="n">
        <v>46114</v>
      </c>
      <c r="D7566" t="inlineStr">
        <is>
          <t>DALARNAS LÄN</t>
        </is>
      </c>
      <c r="E7566" t="inlineStr">
        <is>
          <t>FALUN</t>
        </is>
      </c>
      <c r="G7566" t="n">
        <v>11.6</v>
      </c>
      <c r="H7566" t="n">
        <v>0</v>
      </c>
      <c r="I7566" t="n">
        <v>0</v>
      </c>
      <c r="J7566" t="n">
        <v>0</v>
      </c>
      <c r="K7566" t="n">
        <v>0</v>
      </c>
      <c r="L7566" t="n">
        <v>0</v>
      </c>
      <c r="M7566" t="n">
        <v>0</v>
      </c>
      <c r="N7566" t="n">
        <v>0</v>
      </c>
      <c r="O7566" t="n">
        <v>0</v>
      </c>
      <c r="P7566" t="n">
        <v>0</v>
      </c>
      <c r="Q7566" t="n">
        <v>0</v>
      </c>
      <c r="R7566" s="2" t="inlineStr"/>
    </row>
    <row r="7567" ht="15" customHeight="1">
      <c r="A7567" t="inlineStr">
        <is>
          <t>A 2387-2026</t>
        </is>
      </c>
      <c r="B7567" s="1" t="n">
        <v>46036</v>
      </c>
      <c r="C7567" s="1" t="n">
        <v>46114</v>
      </c>
      <c r="D7567" t="inlineStr">
        <is>
          <t>DALARNAS LÄN</t>
        </is>
      </c>
      <c r="E7567" t="inlineStr">
        <is>
          <t>RÄTTVIK</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2393-2026</t>
        </is>
      </c>
      <c r="B7568" s="1" t="n">
        <v>46036.67758101852</v>
      </c>
      <c r="C7568" s="1" t="n">
        <v>46114</v>
      </c>
      <c r="D7568" t="inlineStr">
        <is>
          <t>DALARNAS LÄN</t>
        </is>
      </c>
      <c r="E7568" t="inlineStr">
        <is>
          <t>GAGNEF</t>
        </is>
      </c>
      <c r="G7568" t="n">
        <v>12.4</v>
      </c>
      <c r="H7568" t="n">
        <v>0</v>
      </c>
      <c r="I7568" t="n">
        <v>0</v>
      </c>
      <c r="J7568" t="n">
        <v>0</v>
      </c>
      <c r="K7568" t="n">
        <v>0</v>
      </c>
      <c r="L7568" t="n">
        <v>0</v>
      </c>
      <c r="M7568" t="n">
        <v>0</v>
      </c>
      <c r="N7568" t="n">
        <v>0</v>
      </c>
      <c r="O7568" t="n">
        <v>0</v>
      </c>
      <c r="P7568" t="n">
        <v>0</v>
      </c>
      <c r="Q7568" t="n">
        <v>0</v>
      </c>
      <c r="R7568" s="2" t="inlineStr"/>
    </row>
    <row r="7569" ht="15" customHeight="1">
      <c r="A7569" t="inlineStr">
        <is>
          <t>A 2588-2026</t>
        </is>
      </c>
      <c r="B7569" s="1" t="n">
        <v>46037.54408564815</v>
      </c>
      <c r="C7569" s="1" t="n">
        <v>46114</v>
      </c>
      <c r="D7569" t="inlineStr">
        <is>
          <t>DALARNAS LÄN</t>
        </is>
      </c>
      <c r="E7569" t="inlineStr">
        <is>
          <t>FALUN</t>
        </is>
      </c>
      <c r="G7569" t="n">
        <v>4.6</v>
      </c>
      <c r="H7569" t="n">
        <v>0</v>
      </c>
      <c r="I7569" t="n">
        <v>0</v>
      </c>
      <c r="J7569" t="n">
        <v>0</v>
      </c>
      <c r="K7569" t="n">
        <v>0</v>
      </c>
      <c r="L7569" t="n">
        <v>0</v>
      </c>
      <c r="M7569" t="n">
        <v>0</v>
      </c>
      <c r="N7569" t="n">
        <v>0</v>
      </c>
      <c r="O7569" t="n">
        <v>0</v>
      </c>
      <c r="P7569" t="n">
        <v>0</v>
      </c>
      <c r="Q7569" t="n">
        <v>0</v>
      </c>
      <c r="R7569" s="2" t="inlineStr"/>
    </row>
    <row r="7570" ht="15" customHeight="1">
      <c r="A7570" t="inlineStr">
        <is>
          <t>A 2595-2026</t>
        </is>
      </c>
      <c r="B7570" s="1" t="n">
        <v>46037</v>
      </c>
      <c r="C7570" s="1" t="n">
        <v>46114</v>
      </c>
      <c r="D7570" t="inlineStr">
        <is>
          <t>DALARNAS LÄN</t>
        </is>
      </c>
      <c r="E7570" t="inlineStr">
        <is>
          <t>FALUN</t>
        </is>
      </c>
      <c r="G7570" t="n">
        <v>2</v>
      </c>
      <c r="H7570" t="n">
        <v>0</v>
      </c>
      <c r="I7570" t="n">
        <v>0</v>
      </c>
      <c r="J7570" t="n">
        <v>0</v>
      </c>
      <c r="K7570" t="n">
        <v>0</v>
      </c>
      <c r="L7570" t="n">
        <v>0</v>
      </c>
      <c r="M7570" t="n">
        <v>0</v>
      </c>
      <c r="N7570" t="n">
        <v>0</v>
      </c>
      <c r="O7570" t="n">
        <v>0</v>
      </c>
      <c r="P7570" t="n">
        <v>0</v>
      </c>
      <c r="Q7570" t="n">
        <v>0</v>
      </c>
      <c r="R7570" s="2" t="inlineStr"/>
    </row>
    <row r="7571" ht="15" customHeight="1">
      <c r="A7571" t="inlineStr">
        <is>
          <t>A 2443-2026</t>
        </is>
      </c>
      <c r="B7571" s="1" t="n">
        <v>46037.31042824074</v>
      </c>
      <c r="C7571" s="1" t="n">
        <v>46114</v>
      </c>
      <c r="D7571" t="inlineStr">
        <is>
          <t>DALARNAS LÄN</t>
        </is>
      </c>
      <c r="E7571" t="inlineStr">
        <is>
          <t>VANSBRO</t>
        </is>
      </c>
      <c r="G7571" t="n">
        <v>1.6</v>
      </c>
      <c r="H7571" t="n">
        <v>0</v>
      </c>
      <c r="I7571" t="n">
        <v>0</v>
      </c>
      <c r="J7571" t="n">
        <v>0</v>
      </c>
      <c r="K7571" t="n">
        <v>0</v>
      </c>
      <c r="L7571" t="n">
        <v>0</v>
      </c>
      <c r="M7571" t="n">
        <v>0</v>
      </c>
      <c r="N7571" t="n">
        <v>0</v>
      </c>
      <c r="O7571" t="n">
        <v>0</v>
      </c>
      <c r="P7571" t="n">
        <v>0</v>
      </c>
      <c r="Q7571" t="n">
        <v>0</v>
      </c>
      <c r="R7571" s="2" t="inlineStr"/>
    </row>
    <row r="7572" ht="15" customHeight="1">
      <c r="A7572" t="inlineStr">
        <is>
          <t>A 2464-2026</t>
        </is>
      </c>
      <c r="B7572" s="1" t="n">
        <v>46037.36033564815</v>
      </c>
      <c r="C7572" s="1" t="n">
        <v>46114</v>
      </c>
      <c r="D7572" t="inlineStr">
        <is>
          <t>DALARNAS LÄN</t>
        </is>
      </c>
      <c r="E7572" t="inlineStr">
        <is>
          <t>FALUN</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2110-2026</t>
        </is>
      </c>
      <c r="B7573" s="1" t="n">
        <v>46036</v>
      </c>
      <c r="C7573" s="1" t="n">
        <v>46114</v>
      </c>
      <c r="D7573" t="inlineStr">
        <is>
          <t>DALARNAS LÄN</t>
        </is>
      </c>
      <c r="E7573" t="inlineStr">
        <is>
          <t>MORA</t>
        </is>
      </c>
      <c r="G7573" t="n">
        <v>7.2</v>
      </c>
      <c r="H7573" t="n">
        <v>0</v>
      </c>
      <c r="I7573" t="n">
        <v>0</v>
      </c>
      <c r="J7573" t="n">
        <v>0</v>
      </c>
      <c r="K7573" t="n">
        <v>0</v>
      </c>
      <c r="L7573" t="n">
        <v>0</v>
      </c>
      <c r="M7573" t="n">
        <v>0</v>
      </c>
      <c r="N7573" t="n">
        <v>0</v>
      </c>
      <c r="O7573" t="n">
        <v>0</v>
      </c>
      <c r="P7573" t="n">
        <v>0</v>
      </c>
      <c r="Q7573" t="n">
        <v>0</v>
      </c>
      <c r="R7573" s="2" t="inlineStr"/>
    </row>
    <row r="7574" ht="15" customHeight="1">
      <c r="A7574" t="inlineStr">
        <is>
          <t>A 15100-2024</t>
        </is>
      </c>
      <c r="B7574" s="1" t="n">
        <v>45399.66118055556</v>
      </c>
      <c r="C7574" s="1" t="n">
        <v>46114</v>
      </c>
      <c r="D7574" t="inlineStr">
        <is>
          <t>DALARNAS LÄN</t>
        </is>
      </c>
      <c r="E7574" t="inlineStr">
        <is>
          <t>LUDVIKA</t>
        </is>
      </c>
      <c r="F7574" t="inlineStr">
        <is>
          <t>Bergvik skog väst AB</t>
        </is>
      </c>
      <c r="G7574" t="n">
        <v>2.2</v>
      </c>
      <c r="H7574" t="n">
        <v>0</v>
      </c>
      <c r="I7574" t="n">
        <v>0</v>
      </c>
      <c r="J7574" t="n">
        <v>0</v>
      </c>
      <c r="K7574" t="n">
        <v>0</v>
      </c>
      <c r="L7574" t="n">
        <v>0</v>
      </c>
      <c r="M7574" t="n">
        <v>0</v>
      </c>
      <c r="N7574" t="n">
        <v>0</v>
      </c>
      <c r="O7574" t="n">
        <v>0</v>
      </c>
      <c r="P7574" t="n">
        <v>0</v>
      </c>
      <c r="Q7574" t="n">
        <v>0</v>
      </c>
      <c r="R7574" s="2" t="inlineStr"/>
    </row>
    <row r="7575" ht="15" customHeight="1">
      <c r="A7575" t="inlineStr">
        <is>
          <t>A 2148-2026</t>
        </is>
      </c>
      <c r="B7575" s="1" t="n">
        <v>46036.4109837963</v>
      </c>
      <c r="C7575" s="1" t="n">
        <v>46114</v>
      </c>
      <c r="D7575" t="inlineStr">
        <is>
          <t>DALARNAS LÄN</t>
        </is>
      </c>
      <c r="E7575" t="inlineStr">
        <is>
          <t>MALUNG-SÄLEN</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2945-2026</t>
        </is>
      </c>
      <c r="B7576" s="1" t="n">
        <v>46037</v>
      </c>
      <c r="C7576" s="1" t="n">
        <v>46114</v>
      </c>
      <c r="D7576" t="inlineStr">
        <is>
          <t>DALARNAS LÄN</t>
        </is>
      </c>
      <c r="E7576" t="inlineStr">
        <is>
          <t>FALUN</t>
        </is>
      </c>
      <c r="G7576" t="n">
        <v>5.5</v>
      </c>
      <c r="H7576" t="n">
        <v>0</v>
      </c>
      <c r="I7576" t="n">
        <v>0</v>
      </c>
      <c r="J7576" t="n">
        <v>0</v>
      </c>
      <c r="K7576" t="n">
        <v>0</v>
      </c>
      <c r="L7576" t="n">
        <v>0</v>
      </c>
      <c r="M7576" t="n">
        <v>0</v>
      </c>
      <c r="N7576" t="n">
        <v>0</v>
      </c>
      <c r="O7576" t="n">
        <v>0</v>
      </c>
      <c r="P7576" t="n">
        <v>0</v>
      </c>
      <c r="Q7576" t="n">
        <v>0</v>
      </c>
      <c r="R7576" s="2" t="inlineStr"/>
    </row>
    <row r="7577" ht="15" customHeight="1">
      <c r="A7577" t="inlineStr">
        <is>
          <t>A 2654-2026</t>
        </is>
      </c>
      <c r="B7577" s="1" t="n">
        <v>46037.6291550926</v>
      </c>
      <c r="C7577" s="1" t="n">
        <v>46114</v>
      </c>
      <c r="D7577" t="inlineStr">
        <is>
          <t>DALARNAS LÄN</t>
        </is>
      </c>
      <c r="E7577" t="inlineStr">
        <is>
          <t>FALUN</t>
        </is>
      </c>
      <c r="G7577" t="n">
        <v>0.7</v>
      </c>
      <c r="H7577" t="n">
        <v>0</v>
      </c>
      <c r="I7577" t="n">
        <v>0</v>
      </c>
      <c r="J7577" t="n">
        <v>0</v>
      </c>
      <c r="K7577" t="n">
        <v>0</v>
      </c>
      <c r="L7577" t="n">
        <v>0</v>
      </c>
      <c r="M7577" t="n">
        <v>0</v>
      </c>
      <c r="N7577" t="n">
        <v>0</v>
      </c>
      <c r="O7577" t="n">
        <v>0</v>
      </c>
      <c r="P7577" t="n">
        <v>0</v>
      </c>
      <c r="Q7577" t="n">
        <v>0</v>
      </c>
      <c r="R7577" s="2" t="inlineStr"/>
    </row>
    <row r="7578" ht="15" customHeight="1">
      <c r="A7578" t="inlineStr">
        <is>
          <t>A 40570-2021</t>
        </is>
      </c>
      <c r="B7578" s="1" t="n">
        <v>44420</v>
      </c>
      <c r="C7578" s="1" t="n">
        <v>46114</v>
      </c>
      <c r="D7578" t="inlineStr">
        <is>
          <t>DALARNAS LÄN</t>
        </is>
      </c>
      <c r="E7578" t="inlineStr">
        <is>
          <t>BORLÄNGE</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2707-2026</t>
        </is>
      </c>
      <c r="B7579" s="1" t="n">
        <v>46037.71488425926</v>
      </c>
      <c r="C7579" s="1" t="n">
        <v>46114</v>
      </c>
      <c r="D7579" t="inlineStr">
        <is>
          <t>DALARNAS LÄN</t>
        </is>
      </c>
      <c r="E7579" t="inlineStr">
        <is>
          <t>GAGNEF</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2711-2026</t>
        </is>
      </c>
      <c r="B7580" s="1" t="n">
        <v>46037</v>
      </c>
      <c r="C7580" s="1" t="n">
        <v>46114</v>
      </c>
      <c r="D7580" t="inlineStr">
        <is>
          <t>DALARNAS LÄN</t>
        </is>
      </c>
      <c r="E7580" t="inlineStr">
        <is>
          <t>FALUN</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673-2026</t>
        </is>
      </c>
      <c r="B7581" s="1" t="n">
        <v>46029</v>
      </c>
      <c r="C7581" s="1" t="n">
        <v>46114</v>
      </c>
      <c r="D7581" t="inlineStr">
        <is>
          <t>DALARNAS LÄN</t>
        </is>
      </c>
      <c r="E7581" t="inlineStr">
        <is>
          <t>MORA</t>
        </is>
      </c>
      <c r="F7581" t="inlineStr">
        <is>
          <t>Kommuner</t>
        </is>
      </c>
      <c r="G7581" t="n">
        <v>25.8</v>
      </c>
      <c r="H7581" t="n">
        <v>0</v>
      </c>
      <c r="I7581" t="n">
        <v>0</v>
      </c>
      <c r="J7581" t="n">
        <v>0</v>
      </c>
      <c r="K7581" t="n">
        <v>0</v>
      </c>
      <c r="L7581" t="n">
        <v>0</v>
      </c>
      <c r="M7581" t="n">
        <v>0</v>
      </c>
      <c r="N7581" t="n">
        <v>0</v>
      </c>
      <c r="O7581" t="n">
        <v>0</v>
      </c>
      <c r="P7581" t="n">
        <v>0</v>
      </c>
      <c r="Q7581" t="n">
        <v>0</v>
      </c>
      <c r="R7581" s="2" t="inlineStr"/>
    </row>
    <row r="7582" ht="15" customHeight="1">
      <c r="A7582" t="inlineStr">
        <is>
          <t>A 45203-2024</t>
        </is>
      </c>
      <c r="B7582" s="1" t="n">
        <v>45575</v>
      </c>
      <c r="C7582" s="1" t="n">
        <v>46114</v>
      </c>
      <c r="D7582" t="inlineStr">
        <is>
          <t>DALARNAS LÄN</t>
        </is>
      </c>
      <c r="E7582" t="inlineStr">
        <is>
          <t>ÄLVDALEN</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2-2026</t>
        </is>
      </c>
      <c r="B7583" s="1" t="n">
        <v>46023</v>
      </c>
      <c r="C7583" s="1" t="n">
        <v>46114</v>
      </c>
      <c r="D7583" t="inlineStr">
        <is>
          <t>DALARNAS LÄN</t>
        </is>
      </c>
      <c r="E7583" t="inlineStr">
        <is>
          <t>FALUN</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4-2026</t>
        </is>
      </c>
      <c r="B7584" s="1" t="n">
        <v>46023</v>
      </c>
      <c r="C7584" s="1" t="n">
        <v>46114</v>
      </c>
      <c r="D7584" t="inlineStr">
        <is>
          <t>DALARNAS LÄN</t>
        </is>
      </c>
      <c r="E7584" t="inlineStr">
        <is>
          <t>FALUN</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2172-2026</t>
        </is>
      </c>
      <c r="B7585" s="1" t="n">
        <v>46036.44976851852</v>
      </c>
      <c r="C7585" s="1" t="n">
        <v>46114</v>
      </c>
      <c r="D7585" t="inlineStr">
        <is>
          <t>DALARNAS LÄN</t>
        </is>
      </c>
      <c r="E7585" t="inlineStr">
        <is>
          <t>GAGNEF</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2191-2026</t>
        </is>
      </c>
      <c r="B7586" s="1" t="n">
        <v>46036</v>
      </c>
      <c r="C7586" s="1" t="n">
        <v>46114</v>
      </c>
      <c r="D7586" t="inlineStr">
        <is>
          <t>DALARNAS LÄN</t>
        </is>
      </c>
      <c r="E7586" t="inlineStr">
        <is>
          <t>FALUN</t>
        </is>
      </c>
      <c r="F7586" t="inlineStr">
        <is>
          <t>Bergvik skog väst AB</t>
        </is>
      </c>
      <c r="G7586" t="n">
        <v>19.1</v>
      </c>
      <c r="H7586" t="n">
        <v>0</v>
      </c>
      <c r="I7586" t="n">
        <v>0</v>
      </c>
      <c r="J7586" t="n">
        <v>0</v>
      </c>
      <c r="K7586" t="n">
        <v>0</v>
      </c>
      <c r="L7586" t="n">
        <v>0</v>
      </c>
      <c r="M7586" t="n">
        <v>0</v>
      </c>
      <c r="N7586" t="n">
        <v>0</v>
      </c>
      <c r="O7586" t="n">
        <v>0</v>
      </c>
      <c r="P7586" t="n">
        <v>0</v>
      </c>
      <c r="Q7586" t="n">
        <v>0</v>
      </c>
      <c r="R7586" s="2" t="inlineStr"/>
    </row>
    <row r="7587" ht="15" customHeight="1">
      <c r="A7587" t="inlineStr">
        <is>
          <t>A 55542-2023</t>
        </is>
      </c>
      <c r="B7587" s="1" t="n">
        <v>45238</v>
      </c>
      <c r="C7587" s="1" t="n">
        <v>46114</v>
      </c>
      <c r="D7587" t="inlineStr">
        <is>
          <t>DALARNAS LÄN</t>
        </is>
      </c>
      <c r="E7587" t="inlineStr">
        <is>
          <t>FALUN</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2236-2026</t>
        </is>
      </c>
      <c r="B7588" s="1" t="n">
        <v>46036.5343287037</v>
      </c>
      <c r="C7588" s="1" t="n">
        <v>46114</v>
      </c>
      <c r="D7588" t="inlineStr">
        <is>
          <t>DALARNAS LÄN</t>
        </is>
      </c>
      <c r="E7588" t="inlineStr">
        <is>
          <t>FALUN</t>
        </is>
      </c>
      <c r="G7588" t="n">
        <v>7</v>
      </c>
      <c r="H7588" t="n">
        <v>0</v>
      </c>
      <c r="I7588" t="n">
        <v>0</v>
      </c>
      <c r="J7588" t="n">
        <v>0</v>
      </c>
      <c r="K7588" t="n">
        <v>0</v>
      </c>
      <c r="L7588" t="n">
        <v>0</v>
      </c>
      <c r="M7588" t="n">
        <v>0</v>
      </c>
      <c r="N7588" t="n">
        <v>0</v>
      </c>
      <c r="O7588" t="n">
        <v>0</v>
      </c>
      <c r="P7588" t="n">
        <v>0</v>
      </c>
      <c r="Q7588" t="n">
        <v>0</v>
      </c>
      <c r="R7588" s="2" t="inlineStr"/>
    </row>
    <row r="7589" ht="15" customHeight="1">
      <c r="A7589" t="inlineStr">
        <is>
          <t>A 2243-2026</t>
        </is>
      </c>
      <c r="B7589" s="1" t="n">
        <v>46036</v>
      </c>
      <c r="C7589" s="1" t="n">
        <v>46114</v>
      </c>
      <c r="D7589" t="inlineStr">
        <is>
          <t>DALARNAS LÄN</t>
        </is>
      </c>
      <c r="E7589" t="inlineStr">
        <is>
          <t>SMEDJEBACKEN</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2273-2026</t>
        </is>
      </c>
      <c r="B7590" s="1" t="n">
        <v>46036</v>
      </c>
      <c r="C7590" s="1" t="n">
        <v>46114</v>
      </c>
      <c r="D7590" t="inlineStr">
        <is>
          <t>DALARNAS LÄN</t>
        </is>
      </c>
      <c r="E7590" t="inlineStr">
        <is>
          <t>FALUN</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34467-2024</t>
        </is>
      </c>
      <c r="B7591" s="1" t="n">
        <v>45525.5819212963</v>
      </c>
      <c r="C7591" s="1" t="n">
        <v>46114</v>
      </c>
      <c r="D7591" t="inlineStr">
        <is>
          <t>DALARNAS LÄN</t>
        </is>
      </c>
      <c r="E7591" t="inlineStr">
        <is>
          <t>GAGNEF</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2288-2026</t>
        </is>
      </c>
      <c r="B7592" s="1" t="n">
        <v>46036</v>
      </c>
      <c r="C7592" s="1" t="n">
        <v>46114</v>
      </c>
      <c r="D7592" t="inlineStr">
        <is>
          <t>DALARNAS LÄN</t>
        </is>
      </c>
      <c r="E7592" t="inlineStr">
        <is>
          <t>FALUN</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2298-2026</t>
        </is>
      </c>
      <c r="B7593" s="1" t="n">
        <v>46036</v>
      </c>
      <c r="C7593" s="1" t="n">
        <v>46114</v>
      </c>
      <c r="D7593" t="inlineStr">
        <is>
          <t>DALARNAS LÄN</t>
        </is>
      </c>
      <c r="E7593" t="inlineStr">
        <is>
          <t>SÄTER</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2323-2026</t>
        </is>
      </c>
      <c r="B7594" s="1" t="n">
        <v>46036.60520833333</v>
      </c>
      <c r="C7594" s="1" t="n">
        <v>46114</v>
      </c>
      <c r="D7594" t="inlineStr">
        <is>
          <t>DALARNAS LÄN</t>
        </is>
      </c>
      <c r="E7594" t="inlineStr">
        <is>
          <t>FALUN</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2333-2026</t>
        </is>
      </c>
      <c r="B7595" s="1" t="n">
        <v>46036.60962962963</v>
      </c>
      <c r="C7595" s="1" t="n">
        <v>46114</v>
      </c>
      <c r="D7595" t="inlineStr">
        <is>
          <t>DALARNAS LÄN</t>
        </is>
      </c>
      <c r="E7595" t="inlineStr">
        <is>
          <t>FALUN</t>
        </is>
      </c>
      <c r="G7595" t="n">
        <v>2.9</v>
      </c>
      <c r="H7595" t="n">
        <v>0</v>
      </c>
      <c r="I7595" t="n">
        <v>0</v>
      </c>
      <c r="J7595" t="n">
        <v>0</v>
      </c>
      <c r="K7595" t="n">
        <v>0</v>
      </c>
      <c r="L7595" t="n">
        <v>0</v>
      </c>
      <c r="M7595" t="n">
        <v>0</v>
      </c>
      <c r="N7595" t="n">
        <v>0</v>
      </c>
      <c r="O7595" t="n">
        <v>0</v>
      </c>
      <c r="P7595" t="n">
        <v>0</v>
      </c>
      <c r="Q7595" t="n">
        <v>0</v>
      </c>
      <c r="R7595" s="2" t="inlineStr"/>
    </row>
    <row r="7596" ht="15" customHeight="1">
      <c r="A7596" t="inlineStr">
        <is>
          <t>A 2397-2026</t>
        </is>
      </c>
      <c r="B7596" s="1" t="n">
        <v>46036.67840277778</v>
      </c>
      <c r="C7596" s="1" t="n">
        <v>46114</v>
      </c>
      <c r="D7596" t="inlineStr">
        <is>
          <t>DALARNAS LÄN</t>
        </is>
      </c>
      <c r="E7596" t="inlineStr">
        <is>
          <t>LEKSAND</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2511-2026</t>
        </is>
      </c>
      <c r="B7597" s="1" t="n">
        <v>46037.41855324074</v>
      </c>
      <c r="C7597" s="1" t="n">
        <v>46114</v>
      </c>
      <c r="D7597" t="inlineStr">
        <is>
          <t>DALARNAS LÄN</t>
        </is>
      </c>
      <c r="E7597" t="inlineStr">
        <is>
          <t>FALUN</t>
        </is>
      </c>
      <c r="G7597" t="n">
        <v>23</v>
      </c>
      <c r="H7597" t="n">
        <v>0</v>
      </c>
      <c r="I7597" t="n">
        <v>0</v>
      </c>
      <c r="J7597" t="n">
        <v>0</v>
      </c>
      <c r="K7597" t="n">
        <v>0</v>
      </c>
      <c r="L7597" t="n">
        <v>0</v>
      </c>
      <c r="M7597" t="n">
        <v>0</v>
      </c>
      <c r="N7597" t="n">
        <v>0</v>
      </c>
      <c r="O7597" t="n">
        <v>0</v>
      </c>
      <c r="P7597" t="n">
        <v>0</v>
      </c>
      <c r="Q7597" t="n">
        <v>0</v>
      </c>
      <c r="R7597" s="2" t="inlineStr"/>
    </row>
    <row r="7598" ht="15" customHeight="1">
      <c r="A7598" t="inlineStr">
        <is>
          <t>A 20198-2025</t>
        </is>
      </c>
      <c r="B7598" s="1" t="n">
        <v>45772.61135416666</v>
      </c>
      <c r="C7598" s="1" t="n">
        <v>46114</v>
      </c>
      <c r="D7598" t="inlineStr">
        <is>
          <t>DALARNAS LÄN</t>
        </is>
      </c>
      <c r="E7598" t="inlineStr">
        <is>
          <t>RÄTTVIK</t>
        </is>
      </c>
      <c r="F7598" t="inlineStr">
        <is>
          <t>Sveaskog</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24694-2023</t>
        </is>
      </c>
      <c r="B7599" s="1" t="n">
        <v>45084.52873842593</v>
      </c>
      <c r="C7599" s="1" t="n">
        <v>46114</v>
      </c>
      <c r="D7599" t="inlineStr">
        <is>
          <t>DALARNAS LÄN</t>
        </is>
      </c>
      <c r="E7599" t="inlineStr">
        <is>
          <t>FALUN</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9701-2026</t>
        </is>
      </c>
      <c r="B7600" s="1" t="n">
        <v>46072</v>
      </c>
      <c r="C7600" s="1" t="n">
        <v>46114</v>
      </c>
      <c r="D7600" t="inlineStr">
        <is>
          <t>DALARNAS LÄN</t>
        </is>
      </c>
      <c r="E7600" t="inlineStr">
        <is>
          <t>ORSA</t>
        </is>
      </c>
      <c r="F7600" t="inlineStr">
        <is>
          <t>Bergvik skog öst AB</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9756-2026</t>
        </is>
      </c>
      <c r="B7601" s="1" t="n">
        <v>46072</v>
      </c>
      <c r="C7601" s="1" t="n">
        <v>46114</v>
      </c>
      <c r="D7601" t="inlineStr">
        <is>
          <t>DALARNAS LÄN</t>
        </is>
      </c>
      <c r="E7601" t="inlineStr">
        <is>
          <t>FALUN</t>
        </is>
      </c>
      <c r="F7601" t="inlineStr">
        <is>
          <t>Bergvik skog väst AB</t>
        </is>
      </c>
      <c r="G7601" t="n">
        <v>1.9</v>
      </c>
      <c r="H7601" t="n">
        <v>0</v>
      </c>
      <c r="I7601" t="n">
        <v>0</v>
      </c>
      <c r="J7601" t="n">
        <v>0</v>
      </c>
      <c r="K7601" t="n">
        <v>0</v>
      </c>
      <c r="L7601" t="n">
        <v>0</v>
      </c>
      <c r="M7601" t="n">
        <v>0</v>
      </c>
      <c r="N7601" t="n">
        <v>0</v>
      </c>
      <c r="O7601" t="n">
        <v>0</v>
      </c>
      <c r="P7601" t="n">
        <v>0</v>
      </c>
      <c r="Q7601" t="n">
        <v>0</v>
      </c>
      <c r="R7601" s="2" t="inlineStr"/>
    </row>
    <row r="7602" ht="15" customHeight="1">
      <c r="A7602" t="inlineStr">
        <is>
          <t>A 9719-2023</t>
        </is>
      </c>
      <c r="B7602" s="1" t="n">
        <v>44978</v>
      </c>
      <c r="C7602" s="1" t="n">
        <v>46114</v>
      </c>
      <c r="D7602" t="inlineStr">
        <is>
          <t>DALARNAS LÄN</t>
        </is>
      </c>
      <c r="E7602" t="inlineStr">
        <is>
          <t>ÄLVDALEN</t>
        </is>
      </c>
      <c r="G7602" t="n">
        <v>20.2</v>
      </c>
      <c r="H7602" t="n">
        <v>0</v>
      </c>
      <c r="I7602" t="n">
        <v>0</v>
      </c>
      <c r="J7602" t="n">
        <v>0</v>
      </c>
      <c r="K7602" t="n">
        <v>0</v>
      </c>
      <c r="L7602" t="n">
        <v>0</v>
      </c>
      <c r="M7602" t="n">
        <v>0</v>
      </c>
      <c r="N7602" t="n">
        <v>0</v>
      </c>
      <c r="O7602" t="n">
        <v>0</v>
      </c>
      <c r="P7602" t="n">
        <v>0</v>
      </c>
      <c r="Q7602" t="n">
        <v>0</v>
      </c>
      <c r="R7602" s="2" t="inlineStr"/>
    </row>
    <row r="7603" ht="15" customHeight="1">
      <c r="A7603" t="inlineStr">
        <is>
          <t>A 2213-2026</t>
        </is>
      </c>
      <c r="B7603" s="1" t="n">
        <v>46036.49554398148</v>
      </c>
      <c r="C7603" s="1" t="n">
        <v>46114</v>
      </c>
      <c r="D7603" t="inlineStr">
        <is>
          <t>DALARNAS LÄN</t>
        </is>
      </c>
      <c r="E7603" t="inlineStr">
        <is>
          <t>FALUN</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2228-2026</t>
        </is>
      </c>
      <c r="B7604" s="1" t="n">
        <v>46036.52232638889</v>
      </c>
      <c r="C7604" s="1" t="n">
        <v>46114</v>
      </c>
      <c r="D7604" t="inlineStr">
        <is>
          <t>DALARNAS LÄN</t>
        </is>
      </c>
      <c r="E7604" t="inlineStr">
        <is>
          <t>BORLÄNGE</t>
        </is>
      </c>
      <c r="G7604" t="n">
        <v>2.3</v>
      </c>
      <c r="H7604" t="n">
        <v>0</v>
      </c>
      <c r="I7604" t="n">
        <v>0</v>
      </c>
      <c r="J7604" t="n">
        <v>0</v>
      </c>
      <c r="K7604" t="n">
        <v>0</v>
      </c>
      <c r="L7604" t="n">
        <v>0</v>
      </c>
      <c r="M7604" t="n">
        <v>0</v>
      </c>
      <c r="N7604" t="n">
        <v>0</v>
      </c>
      <c r="O7604" t="n">
        <v>0</v>
      </c>
      <c r="P7604" t="n">
        <v>0</v>
      </c>
      <c r="Q7604" t="n">
        <v>0</v>
      </c>
      <c r="R7604" s="2" t="inlineStr"/>
    </row>
    <row r="7605" ht="15" customHeight="1">
      <c r="A7605" t="inlineStr">
        <is>
          <t>A 2507-2026</t>
        </is>
      </c>
      <c r="B7605" s="1" t="n">
        <v>46037</v>
      </c>
      <c r="C7605" s="1" t="n">
        <v>46114</v>
      </c>
      <c r="D7605" t="inlineStr">
        <is>
          <t>DALARNAS LÄN</t>
        </is>
      </c>
      <c r="E7605" t="inlineStr">
        <is>
          <t>SÄTER</t>
        </is>
      </c>
      <c r="G7605" t="n">
        <v>3.7</v>
      </c>
      <c r="H7605" t="n">
        <v>0</v>
      </c>
      <c r="I7605" t="n">
        <v>0</v>
      </c>
      <c r="J7605" t="n">
        <v>0</v>
      </c>
      <c r="K7605" t="n">
        <v>0</v>
      </c>
      <c r="L7605" t="n">
        <v>0</v>
      </c>
      <c r="M7605" t="n">
        <v>0</v>
      </c>
      <c r="N7605" t="n">
        <v>0</v>
      </c>
      <c r="O7605" t="n">
        <v>0</v>
      </c>
      <c r="P7605" t="n">
        <v>0</v>
      </c>
      <c r="Q7605" t="n">
        <v>0</v>
      </c>
      <c r="R7605" s="2" t="inlineStr"/>
    </row>
    <row r="7606" ht="15" customHeight="1">
      <c r="A7606" t="inlineStr">
        <is>
          <t>A 2519-2026</t>
        </is>
      </c>
      <c r="B7606" s="1" t="n">
        <v>46037</v>
      </c>
      <c r="C7606" s="1" t="n">
        <v>46114</v>
      </c>
      <c r="D7606" t="inlineStr">
        <is>
          <t>DALARNAS LÄN</t>
        </is>
      </c>
      <c r="E7606" t="inlineStr">
        <is>
          <t>RÄTTVIK</t>
        </is>
      </c>
      <c r="G7606" t="n">
        <v>10.6</v>
      </c>
      <c r="H7606" t="n">
        <v>0</v>
      </c>
      <c r="I7606" t="n">
        <v>0</v>
      </c>
      <c r="J7606" t="n">
        <v>0</v>
      </c>
      <c r="K7606" t="n">
        <v>0</v>
      </c>
      <c r="L7606" t="n">
        <v>0</v>
      </c>
      <c r="M7606" t="n">
        <v>0</v>
      </c>
      <c r="N7606" t="n">
        <v>0</v>
      </c>
      <c r="O7606" t="n">
        <v>0</v>
      </c>
      <c r="P7606" t="n">
        <v>0</v>
      </c>
      <c r="Q7606" t="n">
        <v>0</v>
      </c>
      <c r="R7606" s="2" t="inlineStr"/>
    </row>
    <row r="7607" ht="15" customHeight="1">
      <c r="A7607" t="inlineStr">
        <is>
          <t>A 51396-2022</t>
        </is>
      </c>
      <c r="B7607" s="1" t="n">
        <v>44869</v>
      </c>
      <c r="C7607" s="1" t="n">
        <v>46114</v>
      </c>
      <c r="D7607" t="inlineStr">
        <is>
          <t>DALARNAS LÄN</t>
        </is>
      </c>
      <c r="E7607" t="inlineStr">
        <is>
          <t>VANSBRO</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25024-2023</t>
        </is>
      </c>
      <c r="B7608" s="1" t="n">
        <v>45085</v>
      </c>
      <c r="C7608" s="1" t="n">
        <v>46114</v>
      </c>
      <c r="D7608" t="inlineStr">
        <is>
          <t>DALARNAS LÄN</t>
        </is>
      </c>
      <c r="E7608" t="inlineStr">
        <is>
          <t>GAGNEF</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2367-2026</t>
        </is>
      </c>
      <c r="B7609" s="1" t="n">
        <v>46036.64542824074</v>
      </c>
      <c r="C7609" s="1" t="n">
        <v>46114</v>
      </c>
      <c r="D7609" t="inlineStr">
        <is>
          <t>DALARNAS LÄN</t>
        </is>
      </c>
      <c r="E7609" t="inlineStr">
        <is>
          <t>FALUN</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10214-2026</t>
        </is>
      </c>
      <c r="B7610" s="1" t="n">
        <v>46076</v>
      </c>
      <c r="C7610" s="1" t="n">
        <v>46114</v>
      </c>
      <c r="D7610" t="inlineStr">
        <is>
          <t>DALARNAS LÄN</t>
        </is>
      </c>
      <c r="E7610" t="inlineStr">
        <is>
          <t>SÄTER</t>
        </is>
      </c>
      <c r="G7610" t="n">
        <v>7.1</v>
      </c>
      <c r="H7610" t="n">
        <v>0</v>
      </c>
      <c r="I7610" t="n">
        <v>0</v>
      </c>
      <c r="J7610" t="n">
        <v>0</v>
      </c>
      <c r="K7610" t="n">
        <v>0</v>
      </c>
      <c r="L7610" t="n">
        <v>0</v>
      </c>
      <c r="M7610" t="n">
        <v>0</v>
      </c>
      <c r="N7610" t="n">
        <v>0</v>
      </c>
      <c r="O7610" t="n">
        <v>0</v>
      </c>
      <c r="P7610" t="n">
        <v>0</v>
      </c>
      <c r="Q7610" t="n">
        <v>0</v>
      </c>
      <c r="R7610" s="2" t="inlineStr"/>
    </row>
    <row r="7611" ht="15" customHeight="1">
      <c r="A7611" t="inlineStr">
        <is>
          <t>A 10084-2026</t>
        </is>
      </c>
      <c r="B7611" s="1" t="n">
        <v>46073</v>
      </c>
      <c r="C7611" s="1" t="n">
        <v>46114</v>
      </c>
      <c r="D7611" t="inlineStr">
        <is>
          <t>DALARNAS LÄN</t>
        </is>
      </c>
      <c r="E7611" t="inlineStr">
        <is>
          <t>FALUN</t>
        </is>
      </c>
      <c r="F7611" t="inlineStr">
        <is>
          <t>Bergvik skog väst AB</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2141-2026</t>
        </is>
      </c>
      <c r="B7612" s="1" t="n">
        <v>46036.3975</v>
      </c>
      <c r="C7612" s="1" t="n">
        <v>46114</v>
      </c>
      <c r="D7612" t="inlineStr">
        <is>
          <t>DALARNAS LÄN</t>
        </is>
      </c>
      <c r="E7612" t="inlineStr">
        <is>
          <t>MALUNG-SÄLEN</t>
        </is>
      </c>
      <c r="G7612" t="n">
        <v>3.9</v>
      </c>
      <c r="H7612" t="n">
        <v>0</v>
      </c>
      <c r="I7612" t="n">
        <v>0</v>
      </c>
      <c r="J7612" t="n">
        <v>0</v>
      </c>
      <c r="K7612" t="n">
        <v>0</v>
      </c>
      <c r="L7612" t="n">
        <v>0</v>
      </c>
      <c r="M7612" t="n">
        <v>0</v>
      </c>
      <c r="N7612" t="n">
        <v>0</v>
      </c>
      <c r="O7612" t="n">
        <v>0</v>
      </c>
      <c r="P7612" t="n">
        <v>0</v>
      </c>
      <c r="Q7612" t="n">
        <v>0</v>
      </c>
      <c r="R7612" s="2" t="inlineStr"/>
    </row>
    <row r="7613" ht="15" customHeight="1">
      <c r="A7613" t="inlineStr">
        <is>
          <t>A 2142-2026</t>
        </is>
      </c>
      <c r="B7613" s="1" t="n">
        <v>46036.39993055556</v>
      </c>
      <c r="C7613" s="1" t="n">
        <v>46114</v>
      </c>
      <c r="D7613" t="inlineStr">
        <is>
          <t>DALARNAS LÄN</t>
        </is>
      </c>
      <c r="E7613" t="inlineStr">
        <is>
          <t>MALUNG-SÄLEN</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37219-2024</t>
        </is>
      </c>
      <c r="B7614" s="1" t="n">
        <v>45539.7515625</v>
      </c>
      <c r="C7614" s="1" t="n">
        <v>46114</v>
      </c>
      <c r="D7614" t="inlineStr">
        <is>
          <t>DALARNAS LÄN</t>
        </is>
      </c>
      <c r="E7614" t="inlineStr">
        <is>
          <t>VANSBRO</t>
        </is>
      </c>
      <c r="G7614" t="n">
        <v>5.3</v>
      </c>
      <c r="H7614" t="n">
        <v>0</v>
      </c>
      <c r="I7614" t="n">
        <v>0</v>
      </c>
      <c r="J7614" t="n">
        <v>0</v>
      </c>
      <c r="K7614" t="n">
        <v>0</v>
      </c>
      <c r="L7614" t="n">
        <v>0</v>
      </c>
      <c r="M7614" t="n">
        <v>0</v>
      </c>
      <c r="N7614" t="n">
        <v>0</v>
      </c>
      <c r="O7614" t="n">
        <v>0</v>
      </c>
      <c r="P7614" t="n">
        <v>0</v>
      </c>
      <c r="Q7614" t="n">
        <v>0</v>
      </c>
      <c r="R7614" s="2" t="inlineStr"/>
    </row>
    <row r="7615" ht="15" customHeight="1">
      <c r="A7615" t="inlineStr">
        <is>
          <t>A 2196-2026</t>
        </is>
      </c>
      <c r="B7615" s="1" t="n">
        <v>46036.47221064815</v>
      </c>
      <c r="C7615" s="1" t="n">
        <v>46114</v>
      </c>
      <c r="D7615" t="inlineStr">
        <is>
          <t>DALARNAS LÄN</t>
        </is>
      </c>
      <c r="E7615" t="inlineStr">
        <is>
          <t>VANSBRO</t>
        </is>
      </c>
      <c r="G7615" t="n">
        <v>1.1</v>
      </c>
      <c r="H7615" t="n">
        <v>0</v>
      </c>
      <c r="I7615" t="n">
        <v>0</v>
      </c>
      <c r="J7615" t="n">
        <v>0</v>
      </c>
      <c r="K7615" t="n">
        <v>0</v>
      </c>
      <c r="L7615" t="n">
        <v>0</v>
      </c>
      <c r="M7615" t="n">
        <v>0</v>
      </c>
      <c r="N7615" t="n">
        <v>0</v>
      </c>
      <c r="O7615" t="n">
        <v>0</v>
      </c>
      <c r="P7615" t="n">
        <v>0</v>
      </c>
      <c r="Q7615" t="n">
        <v>0</v>
      </c>
      <c r="R7615" s="2" t="inlineStr"/>
    </row>
    <row r="7616" ht="15" customHeight="1">
      <c r="A7616" t="inlineStr">
        <is>
          <t>A 2219-2026</t>
        </is>
      </c>
      <c r="B7616" s="1" t="n">
        <v>46036.50098379629</v>
      </c>
      <c r="C7616" s="1" t="n">
        <v>46114</v>
      </c>
      <c r="D7616" t="inlineStr">
        <is>
          <t>DALARNAS LÄN</t>
        </is>
      </c>
      <c r="E7616" t="inlineStr">
        <is>
          <t>FALUN</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2674-2026</t>
        </is>
      </c>
      <c r="B7617" s="1" t="n">
        <v>46037.64707175926</v>
      </c>
      <c r="C7617" s="1" t="n">
        <v>46114</v>
      </c>
      <c r="D7617" t="inlineStr">
        <is>
          <t>DALARNAS LÄN</t>
        </is>
      </c>
      <c r="E7617" t="inlineStr">
        <is>
          <t>ÄLVDALEN</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60187-2024</t>
        </is>
      </c>
      <c r="B7618" s="1" t="n">
        <v>45642.64803240741</v>
      </c>
      <c r="C7618" s="1" t="n">
        <v>46114</v>
      </c>
      <c r="D7618" t="inlineStr">
        <is>
          <t>DALARNAS LÄN</t>
        </is>
      </c>
      <c r="E7618" t="inlineStr">
        <is>
          <t>MORA</t>
        </is>
      </c>
      <c r="F7618" t="inlineStr">
        <is>
          <t>Allmännings- och besparingsskogar</t>
        </is>
      </c>
      <c r="G7618" t="n">
        <v>24.6</v>
      </c>
      <c r="H7618" t="n">
        <v>0</v>
      </c>
      <c r="I7618" t="n">
        <v>0</v>
      </c>
      <c r="J7618" t="n">
        <v>0</v>
      </c>
      <c r="K7618" t="n">
        <v>0</v>
      </c>
      <c r="L7618" t="n">
        <v>0</v>
      </c>
      <c r="M7618" t="n">
        <v>0</v>
      </c>
      <c r="N7618" t="n">
        <v>0</v>
      </c>
      <c r="O7618" t="n">
        <v>0</v>
      </c>
      <c r="P7618" t="n">
        <v>0</v>
      </c>
      <c r="Q7618" t="n">
        <v>0</v>
      </c>
      <c r="R7618" s="2" t="inlineStr"/>
    </row>
    <row r="7619" ht="15" customHeight="1">
      <c r="A7619" t="inlineStr">
        <is>
          <t>A 10136-2026</t>
        </is>
      </c>
      <c r="B7619" s="1" t="n">
        <v>46076</v>
      </c>
      <c r="C7619" s="1" t="n">
        <v>46114</v>
      </c>
      <c r="D7619" t="inlineStr">
        <is>
          <t>DALARNAS LÄN</t>
        </is>
      </c>
      <c r="E7619" t="inlineStr">
        <is>
          <t>FALUN</t>
        </is>
      </c>
      <c r="F7619" t="inlineStr">
        <is>
          <t>Bergvik skog väst AB</t>
        </is>
      </c>
      <c r="G7619" t="n">
        <v>7.9</v>
      </c>
      <c r="H7619" t="n">
        <v>0</v>
      </c>
      <c r="I7619" t="n">
        <v>0</v>
      </c>
      <c r="J7619" t="n">
        <v>0</v>
      </c>
      <c r="K7619" t="n">
        <v>0</v>
      </c>
      <c r="L7619" t="n">
        <v>0</v>
      </c>
      <c r="M7619" t="n">
        <v>0</v>
      </c>
      <c r="N7619" t="n">
        <v>0</v>
      </c>
      <c r="O7619" t="n">
        <v>0</v>
      </c>
      <c r="P7619" t="n">
        <v>0</v>
      </c>
      <c r="Q7619" t="n">
        <v>0</v>
      </c>
      <c r="R7619" s="2" t="inlineStr"/>
    </row>
    <row r="7620" ht="15" customHeight="1">
      <c r="A7620" t="inlineStr">
        <is>
          <t>A 10386-2026</t>
        </is>
      </c>
      <c r="B7620" s="1" t="n">
        <v>46077</v>
      </c>
      <c r="C7620" s="1" t="n">
        <v>46114</v>
      </c>
      <c r="D7620" t="inlineStr">
        <is>
          <t>DALARNAS LÄN</t>
        </is>
      </c>
      <c r="E7620" t="inlineStr">
        <is>
          <t>FALUN</t>
        </is>
      </c>
      <c r="F7620" t="inlineStr">
        <is>
          <t>Bergvik skog väst AB</t>
        </is>
      </c>
      <c r="G7620" t="n">
        <v>2.1</v>
      </c>
      <c r="H7620" t="n">
        <v>0</v>
      </c>
      <c r="I7620" t="n">
        <v>0</v>
      </c>
      <c r="J7620" t="n">
        <v>0</v>
      </c>
      <c r="K7620" t="n">
        <v>0</v>
      </c>
      <c r="L7620" t="n">
        <v>0</v>
      </c>
      <c r="M7620" t="n">
        <v>0</v>
      </c>
      <c r="N7620" t="n">
        <v>0</v>
      </c>
      <c r="O7620" t="n">
        <v>0</v>
      </c>
      <c r="P7620" t="n">
        <v>0</v>
      </c>
      <c r="Q7620" t="n">
        <v>0</v>
      </c>
      <c r="R7620" s="2" t="inlineStr"/>
    </row>
    <row r="7621" ht="15" customHeight="1">
      <c r="A7621" t="inlineStr">
        <is>
          <t>A 2132-2026</t>
        </is>
      </c>
      <c r="B7621" s="1" t="n">
        <v>46036</v>
      </c>
      <c r="C7621" s="1" t="n">
        <v>46114</v>
      </c>
      <c r="D7621" t="inlineStr">
        <is>
          <t>DALARNAS LÄN</t>
        </is>
      </c>
      <c r="E7621" t="inlineStr">
        <is>
          <t>BORLÄNGE</t>
        </is>
      </c>
      <c r="F7621" t="inlineStr">
        <is>
          <t>Bergvik skog väst AB</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2160-2026</t>
        </is>
      </c>
      <c r="B7622" s="1" t="n">
        <v>46036.4325</v>
      </c>
      <c r="C7622" s="1" t="n">
        <v>46114</v>
      </c>
      <c r="D7622" t="inlineStr">
        <is>
          <t>DALARNAS LÄN</t>
        </is>
      </c>
      <c r="E7622" t="inlineStr">
        <is>
          <t>BORLÄNGE</t>
        </is>
      </c>
      <c r="G7622" t="n">
        <v>9.5</v>
      </c>
      <c r="H7622" t="n">
        <v>0</v>
      </c>
      <c r="I7622" t="n">
        <v>0</v>
      </c>
      <c r="J7622" t="n">
        <v>0</v>
      </c>
      <c r="K7622" t="n">
        <v>0</v>
      </c>
      <c r="L7622" t="n">
        <v>0</v>
      </c>
      <c r="M7622" t="n">
        <v>0</v>
      </c>
      <c r="N7622" t="n">
        <v>0</v>
      </c>
      <c r="O7622" t="n">
        <v>0</v>
      </c>
      <c r="P7622" t="n">
        <v>0</v>
      </c>
      <c r="Q7622" t="n">
        <v>0</v>
      </c>
      <c r="R7622" s="2" t="inlineStr"/>
    </row>
    <row r="7623" ht="15" customHeight="1">
      <c r="A7623" t="inlineStr">
        <is>
          <t>A 2176-2026</t>
        </is>
      </c>
      <c r="B7623" s="1" t="n">
        <v>46036.45327546296</v>
      </c>
      <c r="C7623" s="1" t="n">
        <v>46114</v>
      </c>
      <c r="D7623" t="inlineStr">
        <is>
          <t>DALARNAS LÄN</t>
        </is>
      </c>
      <c r="E7623" t="inlineStr">
        <is>
          <t>SÄTER</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64122-2025</t>
        </is>
      </c>
      <c r="B7624" s="1" t="n">
        <v>46021</v>
      </c>
      <c r="C7624" s="1" t="n">
        <v>46114</v>
      </c>
      <c r="D7624" t="inlineStr">
        <is>
          <t>DALARNAS LÄN</t>
        </is>
      </c>
      <c r="E7624" t="inlineStr">
        <is>
          <t>BORLÄNGE</t>
        </is>
      </c>
      <c r="F7624" t="inlineStr">
        <is>
          <t>Bergvik skog väst AB</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2662-2026</t>
        </is>
      </c>
      <c r="B7625" s="1" t="n">
        <v>46037</v>
      </c>
      <c r="C7625" s="1" t="n">
        <v>46114</v>
      </c>
      <c r="D7625" t="inlineStr">
        <is>
          <t>DALARNAS LÄN</t>
        </is>
      </c>
      <c r="E7625" t="inlineStr">
        <is>
          <t>FALUN</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2188-2026</t>
        </is>
      </c>
      <c r="B7626" s="1" t="n">
        <v>46036.46501157407</v>
      </c>
      <c r="C7626" s="1" t="n">
        <v>46114</v>
      </c>
      <c r="D7626" t="inlineStr">
        <is>
          <t>DALARNAS LÄN</t>
        </is>
      </c>
      <c r="E7626" t="inlineStr">
        <is>
          <t>VANSBRO</t>
        </is>
      </c>
      <c r="G7626" t="n">
        <v>8.199999999999999</v>
      </c>
      <c r="H7626" t="n">
        <v>0</v>
      </c>
      <c r="I7626" t="n">
        <v>0</v>
      </c>
      <c r="J7626" t="n">
        <v>0</v>
      </c>
      <c r="K7626" t="n">
        <v>0</v>
      </c>
      <c r="L7626" t="n">
        <v>0</v>
      </c>
      <c r="M7626" t="n">
        <v>0</v>
      </c>
      <c r="N7626" t="n">
        <v>0</v>
      </c>
      <c r="O7626" t="n">
        <v>0</v>
      </c>
      <c r="P7626" t="n">
        <v>0</v>
      </c>
      <c r="Q7626" t="n">
        <v>0</v>
      </c>
      <c r="R7626" s="2" t="inlineStr"/>
    </row>
    <row r="7627" ht="15" customHeight="1">
      <c r="A7627" t="inlineStr">
        <is>
          <t>A 2190-2026</t>
        </is>
      </c>
      <c r="B7627" s="1" t="n">
        <v>46036.46664351852</v>
      </c>
      <c r="C7627" s="1" t="n">
        <v>46114</v>
      </c>
      <c r="D7627" t="inlineStr">
        <is>
          <t>DALARNAS LÄN</t>
        </is>
      </c>
      <c r="E7627" t="inlineStr">
        <is>
          <t>BORLÄNGE</t>
        </is>
      </c>
      <c r="G7627" t="n">
        <v>3.8</v>
      </c>
      <c r="H7627" t="n">
        <v>0</v>
      </c>
      <c r="I7627" t="n">
        <v>0</v>
      </c>
      <c r="J7627" t="n">
        <v>0</v>
      </c>
      <c r="K7627" t="n">
        <v>0</v>
      </c>
      <c r="L7627" t="n">
        <v>0</v>
      </c>
      <c r="M7627" t="n">
        <v>0</v>
      </c>
      <c r="N7627" t="n">
        <v>0</v>
      </c>
      <c r="O7627" t="n">
        <v>0</v>
      </c>
      <c r="P7627" t="n">
        <v>0</v>
      </c>
      <c r="Q7627" t="n">
        <v>0</v>
      </c>
      <c r="R7627" s="2" t="inlineStr"/>
    </row>
    <row r="7628" ht="15" customHeight="1">
      <c r="A7628" t="inlineStr">
        <is>
          <t>A 10070-2026</t>
        </is>
      </c>
      <c r="B7628" s="1" t="n">
        <v>46073</v>
      </c>
      <c r="C7628" s="1" t="n">
        <v>46114</v>
      </c>
      <c r="D7628" t="inlineStr">
        <is>
          <t>DALARNAS LÄN</t>
        </is>
      </c>
      <c r="E7628" t="inlineStr">
        <is>
          <t>FALUN</t>
        </is>
      </c>
      <c r="F7628" t="inlineStr">
        <is>
          <t>Bergvik skog väst AB</t>
        </is>
      </c>
      <c r="G7628" t="n">
        <v>45.7</v>
      </c>
      <c r="H7628" t="n">
        <v>0</v>
      </c>
      <c r="I7628" t="n">
        <v>0</v>
      </c>
      <c r="J7628" t="n">
        <v>0</v>
      </c>
      <c r="K7628" t="n">
        <v>0</v>
      </c>
      <c r="L7628" t="n">
        <v>0</v>
      </c>
      <c r="M7628" t="n">
        <v>0</v>
      </c>
      <c r="N7628" t="n">
        <v>0</v>
      </c>
      <c r="O7628" t="n">
        <v>0</v>
      </c>
      <c r="P7628" t="n">
        <v>0</v>
      </c>
      <c r="Q7628" t="n">
        <v>0</v>
      </c>
      <c r="R7628" s="2" t="inlineStr"/>
    </row>
    <row r="7629" ht="15" customHeight="1">
      <c r="A7629" t="inlineStr">
        <is>
          <t>A 59707-2022</t>
        </is>
      </c>
      <c r="B7629" s="1" t="n">
        <v>44908</v>
      </c>
      <c r="C7629" s="1" t="n">
        <v>46114</v>
      </c>
      <c r="D7629" t="inlineStr">
        <is>
          <t>DALARNAS LÄN</t>
        </is>
      </c>
      <c r="E7629" t="inlineStr">
        <is>
          <t>SÄTER</t>
        </is>
      </c>
      <c r="G7629" t="n">
        <v>4.6</v>
      </c>
      <c r="H7629" t="n">
        <v>0</v>
      </c>
      <c r="I7629" t="n">
        <v>0</v>
      </c>
      <c r="J7629" t="n">
        <v>0</v>
      </c>
      <c r="K7629" t="n">
        <v>0</v>
      </c>
      <c r="L7629" t="n">
        <v>0</v>
      </c>
      <c r="M7629" t="n">
        <v>0</v>
      </c>
      <c r="N7629" t="n">
        <v>0</v>
      </c>
      <c r="O7629" t="n">
        <v>0</v>
      </c>
      <c r="P7629" t="n">
        <v>0</v>
      </c>
      <c r="Q7629" t="n">
        <v>0</v>
      </c>
      <c r="R7629" s="2" t="inlineStr"/>
    </row>
    <row r="7630" ht="15" customHeight="1">
      <c r="A7630" t="inlineStr">
        <is>
          <t>A 2890-2026</t>
        </is>
      </c>
      <c r="B7630" s="1" t="n">
        <v>46037</v>
      </c>
      <c r="C7630" s="1" t="n">
        <v>46114</v>
      </c>
      <c r="D7630" t="inlineStr">
        <is>
          <t>DALARNAS LÄN</t>
        </is>
      </c>
      <c r="E7630" t="inlineStr">
        <is>
          <t>LUDVIKA</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10315-2026</t>
        </is>
      </c>
      <c r="B7631" s="1" t="n">
        <v>46076</v>
      </c>
      <c r="C7631" s="1" t="n">
        <v>46114</v>
      </c>
      <c r="D7631" t="inlineStr">
        <is>
          <t>DALARNAS LÄN</t>
        </is>
      </c>
      <c r="E7631" t="inlineStr">
        <is>
          <t>FALUN</t>
        </is>
      </c>
      <c r="F7631" t="inlineStr">
        <is>
          <t>Bergvik skog väst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10318-2026</t>
        </is>
      </c>
      <c r="B7632" s="1" t="n">
        <v>46076</v>
      </c>
      <c r="C7632" s="1" t="n">
        <v>46114</v>
      </c>
      <c r="D7632" t="inlineStr">
        <is>
          <t>DALARNAS LÄN</t>
        </is>
      </c>
      <c r="E7632" t="inlineStr">
        <is>
          <t>FALUN</t>
        </is>
      </c>
      <c r="F7632" t="inlineStr">
        <is>
          <t>Bergvik skog väst AB</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10388-2026</t>
        </is>
      </c>
      <c r="B7633" s="1" t="n">
        <v>46077</v>
      </c>
      <c r="C7633" s="1" t="n">
        <v>46114</v>
      </c>
      <c r="D7633" t="inlineStr">
        <is>
          <t>DALARNAS LÄN</t>
        </is>
      </c>
      <c r="E7633" t="inlineStr">
        <is>
          <t>FALUN</t>
        </is>
      </c>
      <c r="F7633" t="inlineStr">
        <is>
          <t>Bergvik skog väst AB</t>
        </is>
      </c>
      <c r="G7633" t="n">
        <v>1.8</v>
      </c>
      <c r="H7633" t="n">
        <v>0</v>
      </c>
      <c r="I7633" t="n">
        <v>0</v>
      </c>
      <c r="J7633" t="n">
        <v>0</v>
      </c>
      <c r="K7633" t="n">
        <v>0</v>
      </c>
      <c r="L7633" t="n">
        <v>0</v>
      </c>
      <c r="M7633" t="n">
        <v>0</v>
      </c>
      <c r="N7633" t="n">
        <v>0</v>
      </c>
      <c r="O7633" t="n">
        <v>0</v>
      </c>
      <c r="P7633" t="n">
        <v>0</v>
      </c>
      <c r="Q7633" t="n">
        <v>0</v>
      </c>
      <c r="R7633" s="2" t="inlineStr"/>
    </row>
    <row r="7634" ht="15" customHeight="1">
      <c r="A7634" t="inlineStr">
        <is>
          <t>A 10146-2026</t>
        </is>
      </c>
      <c r="B7634" s="1" t="n">
        <v>46076</v>
      </c>
      <c r="C7634" s="1" t="n">
        <v>46114</v>
      </c>
      <c r="D7634" t="inlineStr">
        <is>
          <t>DALARNAS LÄN</t>
        </is>
      </c>
      <c r="E7634" t="inlineStr">
        <is>
          <t>SÄTER</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10768-2026</t>
        </is>
      </c>
      <c r="B7635" s="1" t="n">
        <v>46078.56763888889</v>
      </c>
      <c r="C7635" s="1" t="n">
        <v>46114</v>
      </c>
      <c r="D7635" t="inlineStr">
        <is>
          <t>DALARNAS LÄN</t>
        </is>
      </c>
      <c r="E7635" t="inlineStr">
        <is>
          <t>ORSA</t>
        </is>
      </c>
      <c r="F7635" t="inlineStr">
        <is>
          <t>Övriga Aktiebolag</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10786-2026</t>
        </is>
      </c>
      <c r="B7636" s="1" t="n">
        <v>46078.58045138889</v>
      </c>
      <c r="C7636" s="1" t="n">
        <v>46114</v>
      </c>
      <c r="D7636" t="inlineStr">
        <is>
          <t>DALARNAS LÄN</t>
        </is>
      </c>
      <c r="E7636" t="inlineStr">
        <is>
          <t>FALUN</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2612-2026</t>
        </is>
      </c>
      <c r="B7637" s="1" t="n">
        <v>46037</v>
      </c>
      <c r="C7637" s="1" t="n">
        <v>46114</v>
      </c>
      <c r="D7637" t="inlineStr">
        <is>
          <t>DALARNAS LÄN</t>
        </is>
      </c>
      <c r="E7637" t="inlineStr">
        <is>
          <t>FALUN</t>
        </is>
      </c>
      <c r="F7637" t="inlineStr">
        <is>
          <t>Bergvik skog väst AB</t>
        </is>
      </c>
      <c r="G7637" t="n">
        <v>6.3</v>
      </c>
      <c r="H7637" t="n">
        <v>0</v>
      </c>
      <c r="I7637" t="n">
        <v>0</v>
      </c>
      <c r="J7637" t="n">
        <v>0</v>
      </c>
      <c r="K7637" t="n">
        <v>0</v>
      </c>
      <c r="L7637" t="n">
        <v>0</v>
      </c>
      <c r="M7637" t="n">
        <v>0</v>
      </c>
      <c r="N7637" t="n">
        <v>0</v>
      </c>
      <c r="O7637" t="n">
        <v>0</v>
      </c>
      <c r="P7637" t="n">
        <v>0</v>
      </c>
      <c r="Q7637" t="n">
        <v>0</v>
      </c>
      <c r="R7637" s="2" t="inlineStr"/>
    </row>
    <row r="7638" ht="15" customHeight="1">
      <c r="A7638" t="inlineStr">
        <is>
          <t>A 2629-2026</t>
        </is>
      </c>
      <c r="B7638" s="1" t="n">
        <v>46037.60666666667</v>
      </c>
      <c r="C7638" s="1" t="n">
        <v>46114</v>
      </c>
      <c r="D7638" t="inlineStr">
        <is>
          <t>DALARNAS LÄN</t>
        </is>
      </c>
      <c r="E7638" t="inlineStr">
        <is>
          <t>RÄTTVIK</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2630-2026</t>
        </is>
      </c>
      <c r="B7639" s="1" t="n">
        <v>46037</v>
      </c>
      <c r="C7639" s="1" t="n">
        <v>46114</v>
      </c>
      <c r="D7639" t="inlineStr">
        <is>
          <t>DALARNAS LÄN</t>
        </is>
      </c>
      <c r="E7639" t="inlineStr">
        <is>
          <t>FALUN</t>
        </is>
      </c>
      <c r="G7639" t="n">
        <v>11.2</v>
      </c>
      <c r="H7639" t="n">
        <v>0</v>
      </c>
      <c r="I7639" t="n">
        <v>0</v>
      </c>
      <c r="J7639" t="n">
        <v>0</v>
      </c>
      <c r="K7639" t="n">
        <v>0</v>
      </c>
      <c r="L7639" t="n">
        <v>0</v>
      </c>
      <c r="M7639" t="n">
        <v>0</v>
      </c>
      <c r="N7639" t="n">
        <v>0</v>
      </c>
      <c r="O7639" t="n">
        <v>0</v>
      </c>
      <c r="P7639" t="n">
        <v>0</v>
      </c>
      <c r="Q7639" t="n">
        <v>0</v>
      </c>
      <c r="R7639" s="2" t="inlineStr"/>
    </row>
    <row r="7640" ht="15" customHeight="1">
      <c r="A7640" t="inlineStr">
        <is>
          <t>A 2676-2026</t>
        </is>
      </c>
      <c r="B7640" s="1" t="n">
        <v>46037.65008101852</v>
      </c>
      <c r="C7640" s="1" t="n">
        <v>46114</v>
      </c>
      <c r="D7640" t="inlineStr">
        <is>
          <t>DALARNAS LÄN</t>
        </is>
      </c>
      <c r="E7640" t="inlineStr">
        <is>
          <t>FALUN</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2521-2026</t>
        </is>
      </c>
      <c r="B7641" s="1" t="n">
        <v>46037.42600694444</v>
      </c>
      <c r="C7641" s="1" t="n">
        <v>46114</v>
      </c>
      <c r="D7641" t="inlineStr">
        <is>
          <t>DALARNAS LÄN</t>
        </is>
      </c>
      <c r="E7641" t="inlineStr">
        <is>
          <t>MORA</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2600-2026</t>
        </is>
      </c>
      <c r="B7642" s="1" t="n">
        <v>46037.57398148148</v>
      </c>
      <c r="C7642" s="1" t="n">
        <v>46114</v>
      </c>
      <c r="D7642" t="inlineStr">
        <is>
          <t>DALARNAS LÄN</t>
        </is>
      </c>
      <c r="E7642" t="inlineStr">
        <is>
          <t>FALUN</t>
        </is>
      </c>
      <c r="G7642" t="n">
        <v>3.2</v>
      </c>
      <c r="H7642" t="n">
        <v>0</v>
      </c>
      <c r="I7642" t="n">
        <v>0</v>
      </c>
      <c r="J7642" t="n">
        <v>0</v>
      </c>
      <c r="K7642" t="n">
        <v>0</v>
      </c>
      <c r="L7642" t="n">
        <v>0</v>
      </c>
      <c r="M7642" t="n">
        <v>0</v>
      </c>
      <c r="N7642" t="n">
        <v>0</v>
      </c>
      <c r="O7642" t="n">
        <v>0</v>
      </c>
      <c r="P7642" t="n">
        <v>0</v>
      </c>
      <c r="Q7642" t="n">
        <v>0</v>
      </c>
      <c r="R7642" s="2" t="inlineStr"/>
    </row>
    <row r="7643" ht="15" customHeight="1">
      <c r="A7643" t="inlineStr">
        <is>
          <t>A 10387-2026</t>
        </is>
      </c>
      <c r="B7643" s="1" t="n">
        <v>46077</v>
      </c>
      <c r="C7643" s="1" t="n">
        <v>46114</v>
      </c>
      <c r="D7643" t="inlineStr">
        <is>
          <t>DALARNAS LÄN</t>
        </is>
      </c>
      <c r="E7643" t="inlineStr">
        <is>
          <t>FALUN</t>
        </is>
      </c>
      <c r="F7643" t="inlineStr">
        <is>
          <t>Bergvik skog väst AB</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10462-2026</t>
        </is>
      </c>
      <c r="B7644" s="1" t="n">
        <v>46077</v>
      </c>
      <c r="C7644" s="1" t="n">
        <v>46114</v>
      </c>
      <c r="D7644" t="inlineStr">
        <is>
          <t>DALARNAS LÄN</t>
        </is>
      </c>
      <c r="E7644" t="inlineStr">
        <is>
          <t>FALUN</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58004-2025</t>
        </is>
      </c>
      <c r="B7645" s="1" t="n">
        <v>45982.44721064815</v>
      </c>
      <c r="C7645" s="1" t="n">
        <v>46114</v>
      </c>
      <c r="D7645" t="inlineStr">
        <is>
          <t>DALARNAS LÄN</t>
        </is>
      </c>
      <c r="E7645" t="inlineStr">
        <is>
          <t>MALUNG-SÄLEN</t>
        </is>
      </c>
      <c r="F7645" t="inlineStr">
        <is>
          <t>Bergvik skog väst AB</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9105-2024</t>
        </is>
      </c>
      <c r="B7646" s="1" t="n">
        <v>45357</v>
      </c>
      <c r="C7646" s="1" t="n">
        <v>46114</v>
      </c>
      <c r="D7646" t="inlineStr">
        <is>
          <t>DALARNAS LÄN</t>
        </is>
      </c>
      <c r="E7646" t="inlineStr">
        <is>
          <t>LEKSAND</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8751-2024</t>
        </is>
      </c>
      <c r="B7647" s="1" t="n">
        <v>45356.50802083333</v>
      </c>
      <c r="C7647" s="1" t="n">
        <v>46114</v>
      </c>
      <c r="D7647" t="inlineStr">
        <is>
          <t>DALARNAS LÄN</t>
        </is>
      </c>
      <c r="E7647" t="inlineStr">
        <is>
          <t>FALUN</t>
        </is>
      </c>
      <c r="G7647" t="n">
        <v>6</v>
      </c>
      <c r="H7647" t="n">
        <v>0</v>
      </c>
      <c r="I7647" t="n">
        <v>0</v>
      </c>
      <c r="J7647" t="n">
        <v>0</v>
      </c>
      <c r="K7647" t="n">
        <v>0</v>
      </c>
      <c r="L7647" t="n">
        <v>0</v>
      </c>
      <c r="M7647" t="n">
        <v>0</v>
      </c>
      <c r="N7647" t="n">
        <v>0</v>
      </c>
      <c r="O7647" t="n">
        <v>0</v>
      </c>
      <c r="P7647" t="n">
        <v>0</v>
      </c>
      <c r="Q7647" t="n">
        <v>0</v>
      </c>
      <c r="R7647" s="2" t="inlineStr"/>
      <c r="U7647">
        <f>HYPERLINK("https://klasma.github.io/Logging_2080/knärot/A 8751-2024 karta knärot.png", "A 8751-2024")</f>
        <v/>
      </c>
      <c r="V7647">
        <f>HYPERLINK("https://klasma.github.io/Logging_2080/klagomål/A 8751-2024 FSC-klagomål.docx", "A 8751-2024")</f>
        <v/>
      </c>
      <c r="W7647">
        <f>HYPERLINK("https://klasma.github.io/Logging_2080/klagomålsmail/A 8751-2024 FSC-klagomål mail.docx", "A 8751-2024")</f>
        <v/>
      </c>
      <c r="X7647">
        <f>HYPERLINK("https://klasma.github.io/Logging_2080/tillsyn/A 8751-2024 tillsynsbegäran.docx", "A 8751-2024")</f>
        <v/>
      </c>
      <c r="Y7647">
        <f>HYPERLINK("https://klasma.github.io/Logging_2080/tillsynsmail/A 8751-2024 tillsynsbegäran mail.docx", "A 8751-2024")</f>
        <v/>
      </c>
    </row>
    <row r="7648" ht="15" customHeight="1">
      <c r="A7648" t="inlineStr">
        <is>
          <t>A 3084-2026</t>
        </is>
      </c>
      <c r="B7648" s="1" t="n">
        <v>46040.79166666666</v>
      </c>
      <c r="C7648" s="1" t="n">
        <v>46114</v>
      </c>
      <c r="D7648" t="inlineStr">
        <is>
          <t>DALARNAS LÄN</t>
        </is>
      </c>
      <c r="E7648" t="inlineStr">
        <is>
          <t>FALUN</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11349-2026</t>
        </is>
      </c>
      <c r="B7649" s="1" t="n">
        <v>46082.94174768519</v>
      </c>
      <c r="C7649" s="1" t="n">
        <v>46114</v>
      </c>
      <c r="D7649" t="inlineStr">
        <is>
          <t>DALARNAS LÄN</t>
        </is>
      </c>
      <c r="E7649" t="inlineStr">
        <is>
          <t>VANSBRO</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3185-2026</t>
        </is>
      </c>
      <c r="B7650" s="1" t="n">
        <v>46041.45488425926</v>
      </c>
      <c r="C7650" s="1" t="n">
        <v>46114</v>
      </c>
      <c r="D7650" t="inlineStr">
        <is>
          <t>DALARNAS LÄN</t>
        </is>
      </c>
      <c r="E7650" t="inlineStr">
        <is>
          <t>FALUN</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29120-2024</t>
        </is>
      </c>
      <c r="B7651" s="1" t="n">
        <v>45481.97899305556</v>
      </c>
      <c r="C7651" s="1" t="n">
        <v>46114</v>
      </c>
      <c r="D7651" t="inlineStr">
        <is>
          <t>DALARNAS LÄN</t>
        </is>
      </c>
      <c r="E7651" t="inlineStr">
        <is>
          <t>SMEDJEBACKEN</t>
        </is>
      </c>
      <c r="G7651" t="n">
        <v>4.1</v>
      </c>
      <c r="H7651" t="n">
        <v>0</v>
      </c>
      <c r="I7651" t="n">
        <v>0</v>
      </c>
      <c r="J7651" t="n">
        <v>0</v>
      </c>
      <c r="K7651" t="n">
        <v>0</v>
      </c>
      <c r="L7651" t="n">
        <v>0</v>
      </c>
      <c r="M7651" t="n">
        <v>0</v>
      </c>
      <c r="N7651" t="n">
        <v>0</v>
      </c>
      <c r="O7651" t="n">
        <v>0</v>
      </c>
      <c r="P7651" t="n">
        <v>0</v>
      </c>
      <c r="Q7651" t="n">
        <v>0</v>
      </c>
      <c r="R7651" s="2" t="inlineStr"/>
    </row>
    <row r="7652" ht="15" customHeight="1">
      <c r="A7652" t="inlineStr">
        <is>
          <t>A 68-2023</t>
        </is>
      </c>
      <c r="B7652" s="1" t="n">
        <v>44928.44793981482</v>
      </c>
      <c r="C7652" s="1" t="n">
        <v>46114</v>
      </c>
      <c r="D7652" t="inlineStr">
        <is>
          <t>DALARNAS LÄN</t>
        </is>
      </c>
      <c r="E7652" t="inlineStr">
        <is>
          <t>MALUNG-SÄLEN</t>
        </is>
      </c>
      <c r="G7652" t="n">
        <v>5.3</v>
      </c>
      <c r="H7652" t="n">
        <v>0</v>
      </c>
      <c r="I7652" t="n">
        <v>0</v>
      </c>
      <c r="J7652" t="n">
        <v>0</v>
      </c>
      <c r="K7652" t="n">
        <v>0</v>
      </c>
      <c r="L7652" t="n">
        <v>0</v>
      </c>
      <c r="M7652" t="n">
        <v>0</v>
      </c>
      <c r="N7652" t="n">
        <v>0</v>
      </c>
      <c r="O7652" t="n">
        <v>0</v>
      </c>
      <c r="P7652" t="n">
        <v>0</v>
      </c>
      <c r="Q7652" t="n">
        <v>0</v>
      </c>
      <c r="R7652" s="2" t="inlineStr"/>
    </row>
    <row r="7653" ht="15" customHeight="1">
      <c r="A7653" t="inlineStr">
        <is>
          <t>A 29129-2024</t>
        </is>
      </c>
      <c r="B7653" s="1" t="n">
        <v>45482.35762731481</v>
      </c>
      <c r="C7653" s="1" t="n">
        <v>46114</v>
      </c>
      <c r="D7653" t="inlineStr">
        <is>
          <t>DALARNAS LÄN</t>
        </is>
      </c>
      <c r="E7653" t="inlineStr">
        <is>
          <t>ÄLVDALEN</t>
        </is>
      </c>
      <c r="F7653" t="inlineStr">
        <is>
          <t>Allmännings- och besparingsskogar</t>
        </is>
      </c>
      <c r="G7653" t="n">
        <v>19.8</v>
      </c>
      <c r="H7653" t="n">
        <v>0</v>
      </c>
      <c r="I7653" t="n">
        <v>0</v>
      </c>
      <c r="J7653" t="n">
        <v>0</v>
      </c>
      <c r="K7653" t="n">
        <v>0</v>
      </c>
      <c r="L7653" t="n">
        <v>0</v>
      </c>
      <c r="M7653" t="n">
        <v>0</v>
      </c>
      <c r="N7653" t="n">
        <v>0</v>
      </c>
      <c r="O7653" t="n">
        <v>0</v>
      </c>
      <c r="P7653" t="n">
        <v>0</v>
      </c>
      <c r="Q7653" t="n">
        <v>0</v>
      </c>
      <c r="R7653" s="2" t="inlineStr"/>
    </row>
    <row r="7654" ht="15" customHeight="1">
      <c r="A7654" t="inlineStr">
        <is>
          <t>A 2603-2024</t>
        </is>
      </c>
      <c r="B7654" s="1" t="n">
        <v>45313.73107638889</v>
      </c>
      <c r="C7654" s="1" t="n">
        <v>46114</v>
      </c>
      <c r="D7654" t="inlineStr">
        <is>
          <t>DALARNAS LÄN</t>
        </is>
      </c>
      <c r="E7654" t="inlineStr">
        <is>
          <t>LUDVIKA</t>
        </is>
      </c>
      <c r="G7654" t="n">
        <v>0.8</v>
      </c>
      <c r="H7654" t="n">
        <v>0</v>
      </c>
      <c r="I7654" t="n">
        <v>0</v>
      </c>
      <c r="J7654" t="n">
        <v>0</v>
      </c>
      <c r="K7654" t="n">
        <v>0</v>
      </c>
      <c r="L7654" t="n">
        <v>0</v>
      </c>
      <c r="M7654" t="n">
        <v>0</v>
      </c>
      <c r="N7654" t="n">
        <v>0</v>
      </c>
      <c r="O7654" t="n">
        <v>0</v>
      </c>
      <c r="P7654" t="n">
        <v>0</v>
      </c>
      <c r="Q7654" t="n">
        <v>0</v>
      </c>
      <c r="R7654" s="2" t="inlineStr"/>
    </row>
    <row r="7655" ht="15" customHeight="1">
      <c r="A7655" t="inlineStr">
        <is>
          <t>A 3219-2026</t>
        </is>
      </c>
      <c r="B7655" s="1" t="n">
        <v>46041</v>
      </c>
      <c r="C7655" s="1" t="n">
        <v>46114</v>
      </c>
      <c r="D7655" t="inlineStr">
        <is>
          <t>DALARNAS LÄN</t>
        </is>
      </c>
      <c r="E7655" t="inlineStr">
        <is>
          <t>FALUN</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10291-2026</t>
        </is>
      </c>
      <c r="B7656" s="1" t="n">
        <v>46076</v>
      </c>
      <c r="C7656" s="1" t="n">
        <v>46114</v>
      </c>
      <c r="D7656" t="inlineStr">
        <is>
          <t>DALARNAS LÄN</t>
        </is>
      </c>
      <c r="E7656" t="inlineStr">
        <is>
          <t>FALUN</t>
        </is>
      </c>
      <c r="F7656" t="inlineStr">
        <is>
          <t>Bergvik skog väst AB</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10355-2026</t>
        </is>
      </c>
      <c r="B7657" s="1" t="n">
        <v>46076</v>
      </c>
      <c r="C7657" s="1" t="n">
        <v>46114</v>
      </c>
      <c r="D7657" t="inlineStr">
        <is>
          <t>DALARNAS LÄN</t>
        </is>
      </c>
      <c r="E7657" t="inlineStr">
        <is>
          <t>ORSA</t>
        </is>
      </c>
      <c r="G7657" t="n">
        <v>7.7</v>
      </c>
      <c r="H7657" t="n">
        <v>0</v>
      </c>
      <c r="I7657" t="n">
        <v>0</v>
      </c>
      <c r="J7657" t="n">
        <v>0</v>
      </c>
      <c r="K7657" t="n">
        <v>0</v>
      </c>
      <c r="L7657" t="n">
        <v>0</v>
      </c>
      <c r="M7657" t="n">
        <v>0</v>
      </c>
      <c r="N7657" t="n">
        <v>0</v>
      </c>
      <c r="O7657" t="n">
        <v>0</v>
      </c>
      <c r="P7657" t="n">
        <v>0</v>
      </c>
      <c r="Q7657" t="n">
        <v>0</v>
      </c>
      <c r="R7657" s="2" t="inlineStr"/>
    </row>
    <row r="7658" ht="15" customHeight="1">
      <c r="A7658" t="inlineStr">
        <is>
          <t>A 10759-2026</t>
        </is>
      </c>
      <c r="B7658" s="1" t="n">
        <v>46078</v>
      </c>
      <c r="C7658" s="1" t="n">
        <v>46114</v>
      </c>
      <c r="D7658" t="inlineStr">
        <is>
          <t>DALARNAS LÄN</t>
        </is>
      </c>
      <c r="E7658" t="inlineStr">
        <is>
          <t>RÄTTVIK</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24005-2024</t>
        </is>
      </c>
      <c r="B7659" s="1" t="n">
        <v>45456.39239583333</v>
      </c>
      <c r="C7659" s="1" t="n">
        <v>46114</v>
      </c>
      <c r="D7659" t="inlineStr">
        <is>
          <t>DALARNAS LÄN</t>
        </is>
      </c>
      <c r="E7659" t="inlineStr">
        <is>
          <t>LEKSAND</t>
        </is>
      </c>
      <c r="F7659" t="inlineStr">
        <is>
          <t>Bergvik skog väst AB</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11481-2026</t>
        </is>
      </c>
      <c r="B7660" s="1" t="n">
        <v>46083.60320601852</v>
      </c>
      <c r="C7660" s="1" t="n">
        <v>46114</v>
      </c>
      <c r="D7660" t="inlineStr">
        <is>
          <t>DALARNAS LÄN</t>
        </is>
      </c>
      <c r="E7660" t="inlineStr">
        <is>
          <t>FALUN</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11483-2026</t>
        </is>
      </c>
      <c r="B7661" s="1" t="n">
        <v>46083.61561342593</v>
      </c>
      <c r="C7661" s="1" t="n">
        <v>46114</v>
      </c>
      <c r="D7661" t="inlineStr">
        <is>
          <t>DALARNAS LÄN</t>
        </is>
      </c>
      <c r="E7661" t="inlineStr">
        <is>
          <t>VANSBRO</t>
        </is>
      </c>
      <c r="G7661" t="n">
        <v>7.1</v>
      </c>
      <c r="H7661" t="n">
        <v>0</v>
      </c>
      <c r="I7661" t="n">
        <v>0</v>
      </c>
      <c r="J7661" t="n">
        <v>0</v>
      </c>
      <c r="K7661" t="n">
        <v>0</v>
      </c>
      <c r="L7661" t="n">
        <v>0</v>
      </c>
      <c r="M7661" t="n">
        <v>0</v>
      </c>
      <c r="N7661" t="n">
        <v>0</v>
      </c>
      <c r="O7661" t="n">
        <v>0</v>
      </c>
      <c r="P7661" t="n">
        <v>0</v>
      </c>
      <c r="Q7661" t="n">
        <v>0</v>
      </c>
      <c r="R7661" s="2" t="inlineStr"/>
    </row>
    <row r="7662" ht="15" customHeight="1">
      <c r="A7662" t="inlineStr">
        <is>
          <t>A 11506-2026</t>
        </is>
      </c>
      <c r="B7662" s="1" t="n">
        <v>46083.65452546296</v>
      </c>
      <c r="C7662" s="1" t="n">
        <v>46114</v>
      </c>
      <c r="D7662" t="inlineStr">
        <is>
          <t>DALARNAS LÄN</t>
        </is>
      </c>
      <c r="E7662" t="inlineStr">
        <is>
          <t>ÄLVDALEN</t>
        </is>
      </c>
      <c r="G7662" t="n">
        <v>5.7</v>
      </c>
      <c r="H7662" t="n">
        <v>0</v>
      </c>
      <c r="I7662" t="n">
        <v>0</v>
      </c>
      <c r="J7662" t="n">
        <v>0</v>
      </c>
      <c r="K7662" t="n">
        <v>0</v>
      </c>
      <c r="L7662" t="n">
        <v>0</v>
      </c>
      <c r="M7662" t="n">
        <v>0</v>
      </c>
      <c r="N7662" t="n">
        <v>0</v>
      </c>
      <c r="O7662" t="n">
        <v>0</v>
      </c>
      <c r="P7662" t="n">
        <v>0</v>
      </c>
      <c r="Q7662" t="n">
        <v>0</v>
      </c>
      <c r="R7662" s="2" t="inlineStr"/>
    </row>
    <row r="7663" ht="15" customHeight="1">
      <c r="A7663" t="inlineStr">
        <is>
          <t>A 4150-2023</t>
        </is>
      </c>
      <c r="B7663" s="1" t="n">
        <v>44953</v>
      </c>
      <c r="C7663" s="1" t="n">
        <v>46114</v>
      </c>
      <c r="D7663" t="inlineStr">
        <is>
          <t>DALARNAS LÄN</t>
        </is>
      </c>
      <c r="E7663" t="inlineStr">
        <is>
          <t>RÄTTVIK</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13339-2023</t>
        </is>
      </c>
      <c r="B7664" s="1" t="n">
        <v>45005</v>
      </c>
      <c r="C7664" s="1" t="n">
        <v>46114</v>
      </c>
      <c r="D7664" t="inlineStr">
        <is>
          <t>DALARNAS LÄN</t>
        </is>
      </c>
      <c r="E7664" t="inlineStr">
        <is>
          <t>SÄTER</t>
        </is>
      </c>
      <c r="G7664" t="n">
        <v>8.6</v>
      </c>
      <c r="H7664" t="n">
        <v>0</v>
      </c>
      <c r="I7664" t="n">
        <v>0</v>
      </c>
      <c r="J7664" t="n">
        <v>0</v>
      </c>
      <c r="K7664" t="n">
        <v>0</v>
      </c>
      <c r="L7664" t="n">
        <v>0</v>
      </c>
      <c r="M7664" t="n">
        <v>0</v>
      </c>
      <c r="N7664" t="n">
        <v>0</v>
      </c>
      <c r="O7664" t="n">
        <v>0</v>
      </c>
      <c r="P7664" t="n">
        <v>0</v>
      </c>
      <c r="Q7664" t="n">
        <v>0</v>
      </c>
      <c r="R7664" s="2" t="inlineStr"/>
    </row>
    <row r="7665" ht="15" customHeight="1">
      <c r="A7665" t="inlineStr">
        <is>
          <t>A 337-2025</t>
        </is>
      </c>
      <c r="B7665" s="1" t="n">
        <v>45660.68168981482</v>
      </c>
      <c r="C7665" s="1" t="n">
        <v>46114</v>
      </c>
      <c r="D7665" t="inlineStr">
        <is>
          <t>DALARNAS LÄN</t>
        </is>
      </c>
      <c r="E7665" t="inlineStr">
        <is>
          <t>GAGNEF</t>
        </is>
      </c>
      <c r="G7665" t="n">
        <v>2.2</v>
      </c>
      <c r="H7665" t="n">
        <v>0</v>
      </c>
      <c r="I7665" t="n">
        <v>0</v>
      </c>
      <c r="J7665" t="n">
        <v>0</v>
      </c>
      <c r="K7665" t="n">
        <v>0</v>
      </c>
      <c r="L7665" t="n">
        <v>0</v>
      </c>
      <c r="M7665" t="n">
        <v>0</v>
      </c>
      <c r="N7665" t="n">
        <v>0</v>
      </c>
      <c r="O7665" t="n">
        <v>0</v>
      </c>
      <c r="P7665" t="n">
        <v>0</v>
      </c>
      <c r="Q7665" t="n">
        <v>0</v>
      </c>
      <c r="R7665" s="2" t="inlineStr"/>
    </row>
    <row r="7666" ht="15" customHeight="1">
      <c r="A7666" t="inlineStr">
        <is>
          <t>A 61222-2023</t>
        </is>
      </c>
      <c r="B7666" s="1" t="n">
        <v>45264</v>
      </c>
      <c r="C7666" s="1" t="n">
        <v>46114</v>
      </c>
      <c r="D7666" t="inlineStr">
        <is>
          <t>DALARNAS LÄN</t>
        </is>
      </c>
      <c r="E7666" t="inlineStr">
        <is>
          <t>MORA</t>
        </is>
      </c>
      <c r="F7666" t="inlineStr">
        <is>
          <t>Allmännings- och besparingsskogar</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61225-2023</t>
        </is>
      </c>
      <c r="B7667" s="1" t="n">
        <v>45264</v>
      </c>
      <c r="C7667" s="1" t="n">
        <v>46114</v>
      </c>
      <c r="D7667" t="inlineStr">
        <is>
          <t>DALARNAS LÄN</t>
        </is>
      </c>
      <c r="E7667" t="inlineStr">
        <is>
          <t>LEKSAND</t>
        </is>
      </c>
      <c r="G7667" t="n">
        <v>7</v>
      </c>
      <c r="H7667" t="n">
        <v>0</v>
      </c>
      <c r="I7667" t="n">
        <v>0</v>
      </c>
      <c r="J7667" t="n">
        <v>0</v>
      </c>
      <c r="K7667" t="n">
        <v>0</v>
      </c>
      <c r="L7667" t="n">
        <v>0</v>
      </c>
      <c r="M7667" t="n">
        <v>0</v>
      </c>
      <c r="N7667" t="n">
        <v>0</v>
      </c>
      <c r="O7667" t="n">
        <v>0</v>
      </c>
      <c r="P7667" t="n">
        <v>0</v>
      </c>
      <c r="Q7667" t="n">
        <v>0</v>
      </c>
      <c r="R7667" s="2" t="inlineStr"/>
    </row>
    <row r="7668" ht="15" customHeight="1">
      <c r="A7668" t="inlineStr">
        <is>
          <t>A 11275-2026</t>
        </is>
      </c>
      <c r="B7668" s="1" t="n">
        <v>46080.57898148148</v>
      </c>
      <c r="C7668" s="1" t="n">
        <v>46114</v>
      </c>
      <c r="D7668" t="inlineStr">
        <is>
          <t>DALARNAS LÄN</t>
        </is>
      </c>
      <c r="E7668" t="inlineStr">
        <is>
          <t>FALUN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11295-2026</t>
        </is>
      </c>
      <c r="B7669" s="1" t="n">
        <v>46080.61910879629</v>
      </c>
      <c r="C7669" s="1" t="n">
        <v>46114</v>
      </c>
      <c r="D7669" t="inlineStr">
        <is>
          <t>DALARNAS LÄN</t>
        </is>
      </c>
      <c r="E7669" t="inlineStr">
        <is>
          <t>FALUN</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9977-2026</t>
        </is>
      </c>
      <c r="B7670" s="1" t="n">
        <v>46073</v>
      </c>
      <c r="C7670" s="1" t="n">
        <v>46114</v>
      </c>
      <c r="D7670" t="inlineStr">
        <is>
          <t>DALARNAS LÄN</t>
        </is>
      </c>
      <c r="E7670" t="inlineStr">
        <is>
          <t>ORSA</t>
        </is>
      </c>
      <c r="F7670" t="inlineStr">
        <is>
          <t>Bergvik skog öst AB</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10303-2026</t>
        </is>
      </c>
      <c r="B7671" s="1" t="n">
        <v>46076</v>
      </c>
      <c r="C7671" s="1" t="n">
        <v>46114</v>
      </c>
      <c r="D7671" t="inlineStr">
        <is>
          <t>DALARNAS LÄN</t>
        </is>
      </c>
      <c r="E7671" t="inlineStr">
        <is>
          <t>FALUN</t>
        </is>
      </c>
      <c r="F7671" t="inlineStr">
        <is>
          <t>Bergvik skog väst AB</t>
        </is>
      </c>
      <c r="G7671" t="n">
        <v>1.9</v>
      </c>
      <c r="H7671" t="n">
        <v>0</v>
      </c>
      <c r="I7671" t="n">
        <v>0</v>
      </c>
      <c r="J7671" t="n">
        <v>0</v>
      </c>
      <c r="K7671" t="n">
        <v>0</v>
      </c>
      <c r="L7671" t="n">
        <v>0</v>
      </c>
      <c r="M7671" t="n">
        <v>0</v>
      </c>
      <c r="N7671" t="n">
        <v>0</v>
      </c>
      <c r="O7671" t="n">
        <v>0</v>
      </c>
      <c r="P7671" t="n">
        <v>0</v>
      </c>
      <c r="Q7671" t="n">
        <v>0</v>
      </c>
      <c r="R7671" s="2" t="inlineStr"/>
    </row>
    <row r="7672" ht="15" customHeight="1">
      <c r="A7672" t="inlineStr">
        <is>
          <t>A 10491-2026</t>
        </is>
      </c>
      <c r="B7672" s="1" t="n">
        <v>46076</v>
      </c>
      <c r="C7672" s="1" t="n">
        <v>46114</v>
      </c>
      <c r="D7672" t="inlineStr">
        <is>
          <t>DALARNAS LÄN</t>
        </is>
      </c>
      <c r="E7672" t="inlineStr">
        <is>
          <t>GAGNEF</t>
        </is>
      </c>
      <c r="G7672" t="n">
        <v>9.1</v>
      </c>
      <c r="H7672" t="n">
        <v>0</v>
      </c>
      <c r="I7672" t="n">
        <v>0</v>
      </c>
      <c r="J7672" t="n">
        <v>0</v>
      </c>
      <c r="K7672" t="n">
        <v>0</v>
      </c>
      <c r="L7672" t="n">
        <v>0</v>
      </c>
      <c r="M7672" t="n">
        <v>0</v>
      </c>
      <c r="N7672" t="n">
        <v>0</v>
      </c>
      <c r="O7672" t="n">
        <v>0</v>
      </c>
      <c r="P7672" t="n">
        <v>0</v>
      </c>
      <c r="Q7672" t="n">
        <v>0</v>
      </c>
      <c r="R7672" s="2" t="inlineStr"/>
    </row>
    <row r="7673" ht="15" customHeight="1">
      <c r="A7673" t="inlineStr">
        <is>
          <t>A 22941-2023</t>
        </is>
      </c>
      <c r="B7673" s="1" t="n">
        <v>45072.61394675926</v>
      </c>
      <c r="C7673" s="1" t="n">
        <v>46114</v>
      </c>
      <c r="D7673" t="inlineStr">
        <is>
          <t>DALARNAS LÄN</t>
        </is>
      </c>
      <c r="E7673" t="inlineStr">
        <is>
          <t>FALUN</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38473-2024</t>
        </is>
      </c>
      <c r="B7674" s="1" t="n">
        <v>45546.47719907408</v>
      </c>
      <c r="C7674" s="1" t="n">
        <v>46114</v>
      </c>
      <c r="D7674" t="inlineStr">
        <is>
          <t>DALARNAS LÄN</t>
        </is>
      </c>
      <c r="E7674" t="inlineStr">
        <is>
          <t>SMEDJEBACKEN</t>
        </is>
      </c>
      <c r="F7674" t="inlineStr">
        <is>
          <t>Sveaskog</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3226-2026</t>
        </is>
      </c>
      <c r="B7675" s="1" t="n">
        <v>46041.54016203704</v>
      </c>
      <c r="C7675" s="1" t="n">
        <v>46114</v>
      </c>
      <c r="D7675" t="inlineStr">
        <is>
          <t>DALARNAS LÄN</t>
        </is>
      </c>
      <c r="E7675" t="inlineStr">
        <is>
          <t>ORSA</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10181-2026</t>
        </is>
      </c>
      <c r="B7676" s="1" t="n">
        <v>46076</v>
      </c>
      <c r="C7676" s="1" t="n">
        <v>46114</v>
      </c>
      <c r="D7676" t="inlineStr">
        <is>
          <t>DALARNAS LÄN</t>
        </is>
      </c>
      <c r="E7676" t="inlineStr">
        <is>
          <t>MORA</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10302-2026</t>
        </is>
      </c>
      <c r="B7677" s="1" t="n">
        <v>46076</v>
      </c>
      <c r="C7677" s="1" t="n">
        <v>46114</v>
      </c>
      <c r="D7677" t="inlineStr">
        <is>
          <t>DALARNAS LÄN</t>
        </is>
      </c>
      <c r="E7677" t="inlineStr">
        <is>
          <t>SÄTER</t>
        </is>
      </c>
      <c r="F7677" t="inlineStr">
        <is>
          <t>Kommuner</t>
        </is>
      </c>
      <c r="G7677" t="n">
        <v>11.3</v>
      </c>
      <c r="H7677" t="n">
        <v>0</v>
      </c>
      <c r="I7677" t="n">
        <v>0</v>
      </c>
      <c r="J7677" t="n">
        <v>0</v>
      </c>
      <c r="K7677" t="n">
        <v>0</v>
      </c>
      <c r="L7677" t="n">
        <v>0</v>
      </c>
      <c r="M7677" t="n">
        <v>0</v>
      </c>
      <c r="N7677" t="n">
        <v>0</v>
      </c>
      <c r="O7677" t="n">
        <v>0</v>
      </c>
      <c r="P7677" t="n">
        <v>0</v>
      </c>
      <c r="Q7677" t="n">
        <v>0</v>
      </c>
      <c r="R7677" s="2" t="inlineStr"/>
    </row>
    <row r="7678" ht="15" customHeight="1">
      <c r="A7678" t="inlineStr">
        <is>
          <t>A 3120-2026</t>
        </is>
      </c>
      <c r="B7678" s="1" t="n">
        <v>46041.37177083334</v>
      </c>
      <c r="C7678" s="1" t="n">
        <v>46114</v>
      </c>
      <c r="D7678" t="inlineStr">
        <is>
          <t>DALARNAS LÄN</t>
        </is>
      </c>
      <c r="E7678" t="inlineStr">
        <is>
          <t>ÄLVDALEN</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3124-2026</t>
        </is>
      </c>
      <c r="B7679" s="1" t="n">
        <v>46041.37598379629</v>
      </c>
      <c r="C7679" s="1" t="n">
        <v>46114</v>
      </c>
      <c r="D7679" t="inlineStr">
        <is>
          <t>DALARNAS LÄN</t>
        </is>
      </c>
      <c r="E7679" t="inlineStr">
        <is>
          <t>ÄLVDALEN</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3231-2026</t>
        </is>
      </c>
      <c r="B7680" s="1" t="n">
        <v>46041</v>
      </c>
      <c r="C7680" s="1" t="n">
        <v>46114</v>
      </c>
      <c r="D7680" t="inlineStr">
        <is>
          <t>DALARNAS LÄN</t>
        </is>
      </c>
      <c r="E7680" t="inlineStr">
        <is>
          <t>ORSA</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20584-2025</t>
        </is>
      </c>
      <c r="B7681" s="1" t="n">
        <v>45775.695</v>
      </c>
      <c r="C7681" s="1" t="n">
        <v>46114</v>
      </c>
      <c r="D7681" t="inlineStr">
        <is>
          <t>DALARNAS LÄN</t>
        </is>
      </c>
      <c r="E7681" t="inlineStr">
        <is>
          <t>ÄLVDALEN</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20588-2025</t>
        </is>
      </c>
      <c r="B7682" s="1" t="n">
        <v>45775</v>
      </c>
      <c r="C7682" s="1" t="n">
        <v>46114</v>
      </c>
      <c r="D7682" t="inlineStr">
        <is>
          <t>DALARNAS LÄN</t>
        </is>
      </c>
      <c r="E7682" t="inlineStr">
        <is>
          <t>ORSA</t>
        </is>
      </c>
      <c r="G7682" t="n">
        <v>1.7</v>
      </c>
      <c r="H7682" t="n">
        <v>0</v>
      </c>
      <c r="I7682" t="n">
        <v>0</v>
      </c>
      <c r="J7682" t="n">
        <v>0</v>
      </c>
      <c r="K7682" t="n">
        <v>0</v>
      </c>
      <c r="L7682" t="n">
        <v>0</v>
      </c>
      <c r="M7682" t="n">
        <v>0</v>
      </c>
      <c r="N7682" t="n">
        <v>0</v>
      </c>
      <c r="O7682" t="n">
        <v>0</v>
      </c>
      <c r="P7682" t="n">
        <v>0</v>
      </c>
      <c r="Q7682" t="n">
        <v>0</v>
      </c>
      <c r="R7682" s="2" t="inlineStr"/>
    </row>
    <row r="7683" ht="15" customHeight="1">
      <c r="A7683" t="inlineStr">
        <is>
          <t>A 20589-2025</t>
        </is>
      </c>
      <c r="B7683" s="1" t="n">
        <v>45775</v>
      </c>
      <c r="C7683" s="1" t="n">
        <v>46114</v>
      </c>
      <c r="D7683" t="inlineStr">
        <is>
          <t>DALARNAS LÄN</t>
        </is>
      </c>
      <c r="E7683" t="inlineStr">
        <is>
          <t>ORSA</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40870-2023</t>
        </is>
      </c>
      <c r="B7684" s="1" t="n">
        <v>45173</v>
      </c>
      <c r="C7684" s="1" t="n">
        <v>46114</v>
      </c>
      <c r="D7684" t="inlineStr">
        <is>
          <t>DALARNAS LÄN</t>
        </is>
      </c>
      <c r="E7684" t="inlineStr">
        <is>
          <t>SMEDJEBACKEN</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40949-2023</t>
        </is>
      </c>
      <c r="B7685" s="1" t="n">
        <v>45173</v>
      </c>
      <c r="C7685" s="1" t="n">
        <v>46114</v>
      </c>
      <c r="D7685" t="inlineStr">
        <is>
          <t>DALARNAS LÄN</t>
        </is>
      </c>
      <c r="E7685" t="inlineStr">
        <is>
          <t>MORA</t>
        </is>
      </c>
      <c r="F7685" t="inlineStr">
        <is>
          <t>Kyrkan</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9851-2026</t>
        </is>
      </c>
      <c r="B7686" s="1" t="n">
        <v>46072</v>
      </c>
      <c r="C7686" s="1" t="n">
        <v>46114</v>
      </c>
      <c r="D7686" t="inlineStr">
        <is>
          <t>DALARNAS LÄN</t>
        </is>
      </c>
      <c r="E7686" t="inlineStr">
        <is>
          <t>LEKSAND</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2812-2026</t>
        </is>
      </c>
      <c r="B7687" s="1" t="n">
        <v>46038</v>
      </c>
      <c r="C7687" s="1" t="n">
        <v>46114</v>
      </c>
      <c r="D7687" t="inlineStr">
        <is>
          <t>DALARNAS LÄN</t>
        </is>
      </c>
      <c r="E7687" t="inlineStr">
        <is>
          <t>FALUN</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2932-2026</t>
        </is>
      </c>
      <c r="B7688" s="1" t="n">
        <v>46038.58458333334</v>
      </c>
      <c r="C7688" s="1" t="n">
        <v>46114</v>
      </c>
      <c r="D7688" t="inlineStr">
        <is>
          <t>DALARNAS LÄN</t>
        </is>
      </c>
      <c r="E7688" t="inlineStr">
        <is>
          <t>ÄLVDALEN</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2957-2026</t>
        </is>
      </c>
      <c r="B7689" s="1" t="n">
        <v>46038.60658564815</v>
      </c>
      <c r="C7689" s="1" t="n">
        <v>46114</v>
      </c>
      <c r="D7689" t="inlineStr">
        <is>
          <t>DALARNAS LÄN</t>
        </is>
      </c>
      <c r="E7689" t="inlineStr">
        <is>
          <t>ÄLVDALEN</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5216-2025</t>
        </is>
      </c>
      <c r="B7690" s="1" t="n">
        <v>45691.69671296296</v>
      </c>
      <c r="C7690" s="1" t="n">
        <v>46114</v>
      </c>
      <c r="D7690" t="inlineStr">
        <is>
          <t>DALARNAS LÄN</t>
        </is>
      </c>
      <c r="E7690" t="inlineStr">
        <is>
          <t>MORA</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11225-2026</t>
        </is>
      </c>
      <c r="B7691" s="1" t="n">
        <v>46080.48490740741</v>
      </c>
      <c r="C7691" s="1" t="n">
        <v>46114</v>
      </c>
      <c r="D7691" t="inlineStr">
        <is>
          <t>DALARNAS LÄN</t>
        </is>
      </c>
      <c r="E7691" t="inlineStr">
        <is>
          <t>FALUN</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3297-2026</t>
        </is>
      </c>
      <c r="B7692" s="1" t="n">
        <v>46041.65047453704</v>
      </c>
      <c r="C7692" s="1" t="n">
        <v>46114</v>
      </c>
      <c r="D7692" t="inlineStr">
        <is>
          <t>DALARNAS LÄN</t>
        </is>
      </c>
      <c r="E7692" t="inlineStr">
        <is>
          <t>FALUN</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45811-2023</t>
        </is>
      </c>
      <c r="B7693" s="1" t="n">
        <v>45195.49738425926</v>
      </c>
      <c r="C7693" s="1" t="n">
        <v>46114</v>
      </c>
      <c r="D7693" t="inlineStr">
        <is>
          <t>DALARNAS LÄN</t>
        </is>
      </c>
      <c r="E7693" t="inlineStr">
        <is>
          <t>MALUNG-SÄLEN</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59088-2023</t>
        </is>
      </c>
      <c r="B7694" s="1" t="n">
        <v>45252</v>
      </c>
      <c r="C7694" s="1" t="n">
        <v>46114</v>
      </c>
      <c r="D7694" t="inlineStr">
        <is>
          <t>DALARNAS LÄN</t>
        </is>
      </c>
      <c r="E7694" t="inlineStr">
        <is>
          <t>MALUNG-SÄLEN</t>
        </is>
      </c>
      <c r="G7694" t="n">
        <v>5.8</v>
      </c>
      <c r="H7694" t="n">
        <v>0</v>
      </c>
      <c r="I7694" t="n">
        <v>0</v>
      </c>
      <c r="J7694" t="n">
        <v>0</v>
      </c>
      <c r="K7694" t="n">
        <v>0</v>
      </c>
      <c r="L7694" t="n">
        <v>0</v>
      </c>
      <c r="M7694" t="n">
        <v>0</v>
      </c>
      <c r="N7694" t="n">
        <v>0</v>
      </c>
      <c r="O7694" t="n">
        <v>0</v>
      </c>
      <c r="P7694" t="n">
        <v>0</v>
      </c>
      <c r="Q7694" t="n">
        <v>0</v>
      </c>
      <c r="R7694" s="2" t="inlineStr"/>
    </row>
    <row r="7695" ht="15" customHeight="1">
      <c r="A7695" t="inlineStr">
        <is>
          <t>A 11321-2026</t>
        </is>
      </c>
      <c r="B7695" s="1" t="n">
        <v>46080.6941087963</v>
      </c>
      <c r="C7695" s="1" t="n">
        <v>46114</v>
      </c>
      <c r="D7695" t="inlineStr">
        <is>
          <t>DALARNAS LÄN</t>
        </is>
      </c>
      <c r="E7695" t="inlineStr">
        <is>
          <t>FALUN</t>
        </is>
      </c>
      <c r="F7695" t="inlineStr">
        <is>
          <t>Bergvik skog väst AB</t>
        </is>
      </c>
      <c r="G7695" t="n">
        <v>4.7</v>
      </c>
      <c r="H7695" t="n">
        <v>0</v>
      </c>
      <c r="I7695" t="n">
        <v>0</v>
      </c>
      <c r="J7695" t="n">
        <v>0</v>
      </c>
      <c r="K7695" t="n">
        <v>0</v>
      </c>
      <c r="L7695" t="n">
        <v>0</v>
      </c>
      <c r="M7695" t="n">
        <v>0</v>
      </c>
      <c r="N7695" t="n">
        <v>0</v>
      </c>
      <c r="O7695" t="n">
        <v>0</v>
      </c>
      <c r="P7695" t="n">
        <v>0</v>
      </c>
      <c r="Q7695" t="n">
        <v>0</v>
      </c>
      <c r="R7695" s="2" t="inlineStr"/>
    </row>
    <row r="7696" ht="15" customHeight="1">
      <c r="A7696" t="inlineStr">
        <is>
          <t>A 4294-2025</t>
        </is>
      </c>
      <c r="B7696" s="1" t="n">
        <v>45685.66542824074</v>
      </c>
      <c r="C7696" s="1" t="n">
        <v>46114</v>
      </c>
      <c r="D7696" t="inlineStr">
        <is>
          <t>DALARNAS LÄN</t>
        </is>
      </c>
      <c r="E7696" t="inlineStr">
        <is>
          <t>FALUN</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57563-2025</t>
        </is>
      </c>
      <c r="B7697" s="1" t="n">
        <v>45980.70671296296</v>
      </c>
      <c r="C7697" s="1" t="n">
        <v>46114</v>
      </c>
      <c r="D7697" t="inlineStr">
        <is>
          <t>DALARNAS LÄN</t>
        </is>
      </c>
      <c r="E7697" t="inlineStr">
        <is>
          <t>HEDEMORA</t>
        </is>
      </c>
      <c r="F7697" t="inlineStr">
        <is>
          <t>Sveaskog</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302-2026</t>
        </is>
      </c>
      <c r="B7698" s="1" t="n">
        <v>46027</v>
      </c>
      <c r="C7698" s="1" t="n">
        <v>46114</v>
      </c>
      <c r="D7698" t="inlineStr">
        <is>
          <t>DALARNAS LÄN</t>
        </is>
      </c>
      <c r="E7698" t="inlineStr">
        <is>
          <t>FALUN</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18572-2025</t>
        </is>
      </c>
      <c r="B7699" s="1" t="n">
        <v>45763</v>
      </c>
      <c r="C7699" s="1" t="n">
        <v>46114</v>
      </c>
      <c r="D7699" t="inlineStr">
        <is>
          <t>DALARNAS LÄN</t>
        </is>
      </c>
      <c r="E7699" t="inlineStr">
        <is>
          <t>HEDEMORA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3083-2026</t>
        </is>
      </c>
      <c r="B7700" s="1" t="n">
        <v>46040.78188657408</v>
      </c>
      <c r="C7700" s="1" t="n">
        <v>46114</v>
      </c>
      <c r="D7700" t="inlineStr">
        <is>
          <t>DALARNAS LÄN</t>
        </is>
      </c>
      <c r="E7700" t="inlineStr">
        <is>
          <t>FALUN</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3125-2026</t>
        </is>
      </c>
      <c r="B7701" s="1" t="n">
        <v>46041</v>
      </c>
      <c r="C7701" s="1" t="n">
        <v>46114</v>
      </c>
      <c r="D7701" t="inlineStr">
        <is>
          <t>DALARNAS LÄN</t>
        </is>
      </c>
      <c r="E7701" t="inlineStr">
        <is>
          <t>GAGNEF</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3260-2026</t>
        </is>
      </c>
      <c r="B7702" s="1" t="n">
        <v>46041</v>
      </c>
      <c r="C7702" s="1" t="n">
        <v>46114</v>
      </c>
      <c r="D7702" t="inlineStr">
        <is>
          <t>DALARNAS LÄN</t>
        </is>
      </c>
      <c r="E7702" t="inlineStr">
        <is>
          <t>MORA</t>
        </is>
      </c>
      <c r="G7702" t="n">
        <v>27.1</v>
      </c>
      <c r="H7702" t="n">
        <v>0</v>
      </c>
      <c r="I7702" t="n">
        <v>0</v>
      </c>
      <c r="J7702" t="n">
        <v>0</v>
      </c>
      <c r="K7702" t="n">
        <v>0</v>
      </c>
      <c r="L7702" t="n">
        <v>0</v>
      </c>
      <c r="M7702" t="n">
        <v>0</v>
      </c>
      <c r="N7702" t="n">
        <v>0</v>
      </c>
      <c r="O7702" t="n">
        <v>0</v>
      </c>
      <c r="P7702" t="n">
        <v>0</v>
      </c>
      <c r="Q7702" t="n">
        <v>0</v>
      </c>
      <c r="R7702" s="2" t="inlineStr"/>
    </row>
    <row r="7703" ht="15" customHeight="1">
      <c r="A7703" t="inlineStr">
        <is>
          <t>A 10703-2026</t>
        </is>
      </c>
      <c r="B7703" s="1" t="n">
        <v>46078</v>
      </c>
      <c r="C7703" s="1" t="n">
        <v>46114</v>
      </c>
      <c r="D7703" t="inlineStr">
        <is>
          <t>DALARNAS LÄN</t>
        </is>
      </c>
      <c r="E7703" t="inlineStr">
        <is>
          <t>RÄTTVIK</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15968-2025</t>
        </is>
      </c>
      <c r="B7704" s="1" t="n">
        <v>45749.54818287037</v>
      </c>
      <c r="C7704" s="1" t="n">
        <v>46114</v>
      </c>
      <c r="D7704" t="inlineStr">
        <is>
          <t>DALARNAS LÄN</t>
        </is>
      </c>
      <c r="E7704" t="inlineStr">
        <is>
          <t>LEKSAND</t>
        </is>
      </c>
      <c r="G7704" t="n">
        <v>3.2</v>
      </c>
      <c r="H7704" t="n">
        <v>0</v>
      </c>
      <c r="I7704" t="n">
        <v>0</v>
      </c>
      <c r="J7704" t="n">
        <v>0</v>
      </c>
      <c r="K7704" t="n">
        <v>0</v>
      </c>
      <c r="L7704" t="n">
        <v>0</v>
      </c>
      <c r="M7704" t="n">
        <v>0</v>
      </c>
      <c r="N7704" t="n">
        <v>0</v>
      </c>
      <c r="O7704" t="n">
        <v>0</v>
      </c>
      <c r="P7704" t="n">
        <v>0</v>
      </c>
      <c r="Q7704" t="n">
        <v>0</v>
      </c>
      <c r="R7704" s="2" t="inlineStr"/>
    </row>
    <row r="7705" ht="15" customHeight="1">
      <c r="A7705" t="inlineStr">
        <is>
          <t>A 15972-2025</t>
        </is>
      </c>
      <c r="B7705" s="1" t="n">
        <v>45749.55953703704</v>
      </c>
      <c r="C7705" s="1" t="n">
        <v>46114</v>
      </c>
      <c r="D7705" t="inlineStr">
        <is>
          <t>DALARNAS LÄN</t>
        </is>
      </c>
      <c r="E7705" t="inlineStr">
        <is>
          <t>VANSBRO</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15994-2025</t>
        </is>
      </c>
      <c r="B7706" s="1" t="n">
        <v>45749.58553240741</v>
      </c>
      <c r="C7706" s="1" t="n">
        <v>46114</v>
      </c>
      <c r="D7706" t="inlineStr">
        <is>
          <t>DALARNAS LÄN</t>
        </is>
      </c>
      <c r="E7706" t="inlineStr">
        <is>
          <t>MALUNG-SÄLEN</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15996-2025</t>
        </is>
      </c>
      <c r="B7707" s="1" t="n">
        <v>45749.58701388889</v>
      </c>
      <c r="C7707" s="1" t="n">
        <v>46114</v>
      </c>
      <c r="D7707" t="inlineStr">
        <is>
          <t>DALARNAS LÄN</t>
        </is>
      </c>
      <c r="E7707" t="inlineStr">
        <is>
          <t>MALUNG-SÄLEN</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11476-2026</t>
        </is>
      </c>
      <c r="B7708" s="1" t="n">
        <v>46083.59767361111</v>
      </c>
      <c r="C7708" s="1" t="n">
        <v>46114</v>
      </c>
      <c r="D7708" t="inlineStr">
        <is>
          <t>DALARNAS LÄN</t>
        </is>
      </c>
      <c r="E7708" t="inlineStr">
        <is>
          <t>RÄTTVIK</t>
        </is>
      </c>
      <c r="G7708" t="n">
        <v>7.4</v>
      </c>
      <c r="H7708" t="n">
        <v>0</v>
      </c>
      <c r="I7708" t="n">
        <v>0</v>
      </c>
      <c r="J7708" t="n">
        <v>0</v>
      </c>
      <c r="K7708" t="n">
        <v>0</v>
      </c>
      <c r="L7708" t="n">
        <v>0</v>
      </c>
      <c r="M7708" t="n">
        <v>0</v>
      </c>
      <c r="N7708" t="n">
        <v>0</v>
      </c>
      <c r="O7708" t="n">
        <v>0</v>
      </c>
      <c r="P7708" t="n">
        <v>0</v>
      </c>
      <c r="Q7708" t="n">
        <v>0</v>
      </c>
      <c r="R7708" s="2" t="inlineStr"/>
    </row>
    <row r="7709" ht="15" customHeight="1">
      <c r="A7709" t="inlineStr">
        <is>
          <t>A 11405-2026</t>
        </is>
      </c>
      <c r="B7709" s="1" t="n">
        <v>46083.45427083333</v>
      </c>
      <c r="C7709" s="1" t="n">
        <v>46114</v>
      </c>
      <c r="D7709" t="inlineStr">
        <is>
          <t>DALARNAS LÄN</t>
        </is>
      </c>
      <c r="E7709" t="inlineStr">
        <is>
          <t>SÄTER</t>
        </is>
      </c>
      <c r="F7709" t="inlineStr">
        <is>
          <t>Bergvik skog väst AB</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3308-2026</t>
        </is>
      </c>
      <c r="B7710" s="1" t="n">
        <v>46041.66767361111</v>
      </c>
      <c r="C7710" s="1" t="n">
        <v>46114</v>
      </c>
      <c r="D7710" t="inlineStr">
        <is>
          <t>DALARNAS LÄN</t>
        </is>
      </c>
      <c r="E7710" t="inlineStr">
        <is>
          <t>FALUN</t>
        </is>
      </c>
      <c r="G7710" t="n">
        <v>10.1</v>
      </c>
      <c r="H7710" t="n">
        <v>0</v>
      </c>
      <c r="I7710" t="n">
        <v>0</v>
      </c>
      <c r="J7710" t="n">
        <v>0</v>
      </c>
      <c r="K7710" t="n">
        <v>0</v>
      </c>
      <c r="L7710" t="n">
        <v>0</v>
      </c>
      <c r="M7710" t="n">
        <v>0</v>
      </c>
      <c r="N7710" t="n">
        <v>0</v>
      </c>
      <c r="O7710" t="n">
        <v>0</v>
      </c>
      <c r="P7710" t="n">
        <v>0</v>
      </c>
      <c r="Q7710" t="n">
        <v>0</v>
      </c>
      <c r="R7710" s="2" t="inlineStr"/>
    </row>
    <row r="7711" ht="15" customHeight="1">
      <c r="A7711" t="inlineStr">
        <is>
          <t>A 57231-2025</t>
        </is>
      </c>
      <c r="B7711" s="1" t="n">
        <v>45979.62025462963</v>
      </c>
      <c r="C7711" s="1" t="n">
        <v>46114</v>
      </c>
      <c r="D7711" t="inlineStr">
        <is>
          <t>DALARNAS LÄN</t>
        </is>
      </c>
      <c r="E7711" t="inlineStr">
        <is>
          <t>LEKSAND</t>
        </is>
      </c>
      <c r="G7711" t="n">
        <v>1.8</v>
      </c>
      <c r="H7711" t="n">
        <v>0</v>
      </c>
      <c r="I7711" t="n">
        <v>0</v>
      </c>
      <c r="J7711" t="n">
        <v>0</v>
      </c>
      <c r="K7711" t="n">
        <v>0</v>
      </c>
      <c r="L7711" t="n">
        <v>0</v>
      </c>
      <c r="M7711" t="n">
        <v>0</v>
      </c>
      <c r="N7711" t="n">
        <v>0</v>
      </c>
      <c r="O7711" t="n">
        <v>0</v>
      </c>
      <c r="P7711" t="n">
        <v>0</v>
      </c>
      <c r="Q7711" t="n">
        <v>0</v>
      </c>
      <c r="R7711" s="2" t="inlineStr"/>
    </row>
    <row r="7712" ht="15" customHeight="1">
      <c r="A7712" t="inlineStr">
        <is>
          <t>A 3000-2026</t>
        </is>
      </c>
      <c r="B7712" s="1" t="n">
        <v>46038</v>
      </c>
      <c r="C7712" s="1" t="n">
        <v>46114</v>
      </c>
      <c r="D7712" t="inlineStr">
        <is>
          <t>DALARNAS LÄN</t>
        </is>
      </c>
      <c r="E7712" t="inlineStr">
        <is>
          <t>ORSA</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3057-2026</t>
        </is>
      </c>
      <c r="B7713" s="1" t="n">
        <v>46039.55498842592</v>
      </c>
      <c r="C7713" s="1" t="n">
        <v>46114</v>
      </c>
      <c r="D7713" t="inlineStr">
        <is>
          <t>DALARNAS LÄN</t>
        </is>
      </c>
      <c r="E7713" t="inlineStr">
        <is>
          <t>FALUN</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3079-2026</t>
        </is>
      </c>
      <c r="B7714" s="1" t="n">
        <v>46040.76920138889</v>
      </c>
      <c r="C7714" s="1" t="n">
        <v>46114</v>
      </c>
      <c r="D7714" t="inlineStr">
        <is>
          <t>DALARNAS LÄN</t>
        </is>
      </c>
      <c r="E7714" t="inlineStr">
        <is>
          <t>FALUN</t>
        </is>
      </c>
      <c r="G7714" t="n">
        <v>0.9</v>
      </c>
      <c r="H7714" t="n">
        <v>0</v>
      </c>
      <c r="I7714" t="n">
        <v>0</v>
      </c>
      <c r="J7714" t="n">
        <v>0</v>
      </c>
      <c r="K7714" t="n">
        <v>0</v>
      </c>
      <c r="L7714" t="n">
        <v>0</v>
      </c>
      <c r="M7714" t="n">
        <v>0</v>
      </c>
      <c r="N7714" t="n">
        <v>0</v>
      </c>
      <c r="O7714" t="n">
        <v>0</v>
      </c>
      <c r="P7714" t="n">
        <v>0</v>
      </c>
      <c r="Q7714" t="n">
        <v>0</v>
      </c>
      <c r="R7714" s="2" t="inlineStr"/>
    </row>
    <row r="7715" ht="15" customHeight="1">
      <c r="A7715" t="inlineStr">
        <is>
          <t>A 3085-2026</t>
        </is>
      </c>
      <c r="B7715" s="1" t="n">
        <v>46040.80125</v>
      </c>
      <c r="C7715" s="1" t="n">
        <v>46114</v>
      </c>
      <c r="D7715" t="inlineStr">
        <is>
          <t>DALARNAS LÄN</t>
        </is>
      </c>
      <c r="E7715" t="inlineStr">
        <is>
          <t>FALUN</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2778-2026</t>
        </is>
      </c>
      <c r="B7716" s="1" t="n">
        <v>46038.38387731482</v>
      </c>
      <c r="C7716" s="1" t="n">
        <v>46114</v>
      </c>
      <c r="D7716" t="inlineStr">
        <is>
          <t>DALARNAS LÄN</t>
        </is>
      </c>
      <c r="E7716" t="inlineStr">
        <is>
          <t>ÄLVDALEN</t>
        </is>
      </c>
      <c r="G7716" t="n">
        <v>3.9</v>
      </c>
      <c r="H7716" t="n">
        <v>0</v>
      </c>
      <c r="I7716" t="n">
        <v>0</v>
      </c>
      <c r="J7716" t="n">
        <v>0</v>
      </c>
      <c r="K7716" t="n">
        <v>0</v>
      </c>
      <c r="L7716" t="n">
        <v>0</v>
      </c>
      <c r="M7716" t="n">
        <v>0</v>
      </c>
      <c r="N7716" t="n">
        <v>0</v>
      </c>
      <c r="O7716" t="n">
        <v>0</v>
      </c>
      <c r="P7716" t="n">
        <v>0</v>
      </c>
      <c r="Q7716" t="n">
        <v>0</v>
      </c>
      <c r="R7716" s="2" t="inlineStr"/>
    </row>
    <row r="7717" ht="15" customHeight="1">
      <c r="A7717" t="inlineStr">
        <is>
          <t>A 50695-2023</t>
        </is>
      </c>
      <c r="B7717" s="1" t="n">
        <v>45217.5497800926</v>
      </c>
      <c r="C7717" s="1" t="n">
        <v>46114</v>
      </c>
      <c r="D7717" t="inlineStr">
        <is>
          <t>DALARNAS LÄN</t>
        </is>
      </c>
      <c r="E7717" t="inlineStr">
        <is>
          <t>RÄTTVIK</t>
        </is>
      </c>
      <c r="G7717" t="n">
        <v>0.4</v>
      </c>
      <c r="H7717" t="n">
        <v>0</v>
      </c>
      <c r="I7717" t="n">
        <v>0</v>
      </c>
      <c r="J7717" t="n">
        <v>0</v>
      </c>
      <c r="K7717" t="n">
        <v>0</v>
      </c>
      <c r="L7717" t="n">
        <v>0</v>
      </c>
      <c r="M7717" t="n">
        <v>0</v>
      </c>
      <c r="N7717" t="n">
        <v>0</v>
      </c>
      <c r="O7717" t="n">
        <v>0</v>
      </c>
      <c r="P7717" t="n">
        <v>0</v>
      </c>
      <c r="Q7717" t="n">
        <v>0</v>
      </c>
      <c r="R7717" s="2" t="inlineStr"/>
    </row>
    <row r="7718" ht="15" customHeight="1">
      <c r="A7718" t="inlineStr">
        <is>
          <t>A 2917-2026</t>
        </is>
      </c>
      <c r="B7718" s="1" t="n">
        <v>46038.57403935185</v>
      </c>
      <c r="C7718" s="1" t="n">
        <v>46114</v>
      </c>
      <c r="D7718" t="inlineStr">
        <is>
          <t>DALARNAS LÄN</t>
        </is>
      </c>
      <c r="E7718" t="inlineStr">
        <is>
          <t>ÄLVDALEN</t>
        </is>
      </c>
      <c r="G7718" t="n">
        <v>4.6</v>
      </c>
      <c r="H7718" t="n">
        <v>0</v>
      </c>
      <c r="I7718" t="n">
        <v>0</v>
      </c>
      <c r="J7718" t="n">
        <v>0</v>
      </c>
      <c r="K7718" t="n">
        <v>0</v>
      </c>
      <c r="L7718" t="n">
        <v>0</v>
      </c>
      <c r="M7718" t="n">
        <v>0</v>
      </c>
      <c r="N7718" t="n">
        <v>0</v>
      </c>
      <c r="O7718" t="n">
        <v>0</v>
      </c>
      <c r="P7718" t="n">
        <v>0</v>
      </c>
      <c r="Q7718" t="n">
        <v>0</v>
      </c>
      <c r="R7718" s="2" t="inlineStr"/>
    </row>
    <row r="7719" ht="15" customHeight="1">
      <c r="A7719" t="inlineStr">
        <is>
          <t>A 2921-2026</t>
        </is>
      </c>
      <c r="B7719" s="1" t="n">
        <v>46038.57729166667</v>
      </c>
      <c r="C7719" s="1" t="n">
        <v>46114</v>
      </c>
      <c r="D7719" t="inlineStr">
        <is>
          <t>DALARNAS LÄN</t>
        </is>
      </c>
      <c r="E7719" t="inlineStr">
        <is>
          <t>ÄLVDALEN</t>
        </is>
      </c>
      <c r="G7719" t="n">
        <v>1.4</v>
      </c>
      <c r="H7719" t="n">
        <v>0</v>
      </c>
      <c r="I7719" t="n">
        <v>0</v>
      </c>
      <c r="J7719" t="n">
        <v>0</v>
      </c>
      <c r="K7719" t="n">
        <v>0</v>
      </c>
      <c r="L7719" t="n">
        <v>0</v>
      </c>
      <c r="M7719" t="n">
        <v>0</v>
      </c>
      <c r="N7719" t="n">
        <v>0</v>
      </c>
      <c r="O7719" t="n">
        <v>0</v>
      </c>
      <c r="P7719" t="n">
        <v>0</v>
      </c>
      <c r="Q7719" t="n">
        <v>0</v>
      </c>
      <c r="R7719" s="2" t="inlineStr"/>
    </row>
    <row r="7720" ht="15" customHeight="1">
      <c r="A7720" t="inlineStr">
        <is>
          <t>A 2788-2026</t>
        </is>
      </c>
      <c r="B7720" s="1" t="n">
        <v>46038.39409722222</v>
      </c>
      <c r="C7720" s="1" t="n">
        <v>46114</v>
      </c>
      <c r="D7720" t="inlineStr">
        <is>
          <t>DALARNAS LÄN</t>
        </is>
      </c>
      <c r="E7720" t="inlineStr">
        <is>
          <t>ÄLVDALEN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17854-2024</t>
        </is>
      </c>
      <c r="B7721" s="1" t="n">
        <v>45419.41003472222</v>
      </c>
      <c r="C7721" s="1" t="n">
        <v>46114</v>
      </c>
      <c r="D7721" t="inlineStr">
        <is>
          <t>DALARNAS LÄN</t>
        </is>
      </c>
      <c r="E7721" t="inlineStr">
        <is>
          <t>GAGNEF</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3247-2026</t>
        </is>
      </c>
      <c r="B7722" s="1" t="n">
        <v>46041</v>
      </c>
      <c r="C7722" s="1" t="n">
        <v>46114</v>
      </c>
      <c r="D7722" t="inlineStr">
        <is>
          <t>DALARNAS LÄN</t>
        </is>
      </c>
      <c r="E7722" t="inlineStr">
        <is>
          <t>MORA</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3313-2026</t>
        </is>
      </c>
      <c r="B7723" s="1" t="n">
        <v>46041</v>
      </c>
      <c r="C7723" s="1" t="n">
        <v>46114</v>
      </c>
      <c r="D7723" t="inlineStr">
        <is>
          <t>DALARNAS LÄN</t>
        </is>
      </c>
      <c r="E7723" t="inlineStr">
        <is>
          <t>RÄTTVIK</t>
        </is>
      </c>
      <c r="G7723" t="n">
        <v>2.1</v>
      </c>
      <c r="H7723" t="n">
        <v>0</v>
      </c>
      <c r="I7723" t="n">
        <v>0</v>
      </c>
      <c r="J7723" t="n">
        <v>0</v>
      </c>
      <c r="K7723" t="n">
        <v>0</v>
      </c>
      <c r="L7723" t="n">
        <v>0</v>
      </c>
      <c r="M7723" t="n">
        <v>0</v>
      </c>
      <c r="N7723" t="n">
        <v>0</v>
      </c>
      <c r="O7723" t="n">
        <v>0</v>
      </c>
      <c r="P7723" t="n">
        <v>0</v>
      </c>
      <c r="Q7723" t="n">
        <v>0</v>
      </c>
      <c r="R7723" s="2" t="inlineStr"/>
    </row>
    <row r="7724" ht="15" customHeight="1">
      <c r="A7724" t="inlineStr">
        <is>
          <t>A 3100-2026</t>
        </is>
      </c>
      <c r="B7724" s="1" t="n">
        <v>46041.28989583333</v>
      </c>
      <c r="C7724" s="1" t="n">
        <v>46114</v>
      </c>
      <c r="D7724" t="inlineStr">
        <is>
          <t>DALARNAS LÄN</t>
        </is>
      </c>
      <c r="E7724" t="inlineStr">
        <is>
          <t>FALUN</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9954-2026</t>
        </is>
      </c>
      <c r="B7725" s="1" t="n">
        <v>46073</v>
      </c>
      <c r="C7725" s="1" t="n">
        <v>46114</v>
      </c>
      <c r="D7725" t="inlineStr">
        <is>
          <t>DALARNAS LÄN</t>
        </is>
      </c>
      <c r="E7725" t="inlineStr">
        <is>
          <t>GAGNEF</t>
        </is>
      </c>
      <c r="G7725" t="n">
        <v>2.1</v>
      </c>
      <c r="H7725" t="n">
        <v>0</v>
      </c>
      <c r="I7725" t="n">
        <v>0</v>
      </c>
      <c r="J7725" t="n">
        <v>0</v>
      </c>
      <c r="K7725" t="n">
        <v>0</v>
      </c>
      <c r="L7725" t="n">
        <v>0</v>
      </c>
      <c r="M7725" t="n">
        <v>0</v>
      </c>
      <c r="N7725" t="n">
        <v>0</v>
      </c>
      <c r="O7725" t="n">
        <v>0</v>
      </c>
      <c r="P7725" t="n">
        <v>0</v>
      </c>
      <c r="Q7725" t="n">
        <v>0</v>
      </c>
      <c r="R7725" s="2" t="inlineStr"/>
    </row>
    <row r="7726" ht="15" customHeight="1">
      <c r="A7726" t="inlineStr">
        <is>
          <t>A 2903-2026</t>
        </is>
      </c>
      <c r="B7726" s="1" t="n">
        <v>46038</v>
      </c>
      <c r="C7726" s="1" t="n">
        <v>46114</v>
      </c>
      <c r="D7726" t="inlineStr">
        <is>
          <t>DALARNAS LÄN</t>
        </is>
      </c>
      <c r="E7726" t="inlineStr">
        <is>
          <t>FALUN</t>
        </is>
      </c>
      <c r="G7726" t="n">
        <v>5.7</v>
      </c>
      <c r="H7726" t="n">
        <v>0</v>
      </c>
      <c r="I7726" t="n">
        <v>0</v>
      </c>
      <c r="J7726" t="n">
        <v>0</v>
      </c>
      <c r="K7726" t="n">
        <v>0</v>
      </c>
      <c r="L7726" t="n">
        <v>0</v>
      </c>
      <c r="M7726" t="n">
        <v>0</v>
      </c>
      <c r="N7726" t="n">
        <v>0</v>
      </c>
      <c r="O7726" t="n">
        <v>0</v>
      </c>
      <c r="P7726" t="n">
        <v>0</v>
      </c>
      <c r="Q7726" t="n">
        <v>0</v>
      </c>
      <c r="R7726" s="2" t="inlineStr"/>
    </row>
    <row r="7727" ht="15" customHeight="1">
      <c r="A7727" t="inlineStr">
        <is>
          <t>A 2995-2026</t>
        </is>
      </c>
      <c r="B7727" s="1" t="n">
        <v>46038</v>
      </c>
      <c r="C7727" s="1" t="n">
        <v>46114</v>
      </c>
      <c r="D7727" t="inlineStr">
        <is>
          <t>DALARNAS LÄN</t>
        </is>
      </c>
      <c r="E7727" t="inlineStr">
        <is>
          <t>MORA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36855-2022</t>
        </is>
      </c>
      <c r="B7728" s="1" t="n">
        <v>44805</v>
      </c>
      <c r="C7728" s="1" t="n">
        <v>46114</v>
      </c>
      <c r="D7728" t="inlineStr">
        <is>
          <t>DALARNAS LÄN</t>
        </is>
      </c>
      <c r="E7728" t="inlineStr">
        <is>
          <t>VANSBRO</t>
        </is>
      </c>
      <c r="F7728" t="inlineStr">
        <is>
          <t>Bergvik skog väst AB</t>
        </is>
      </c>
      <c r="G7728" t="n">
        <v>5.6</v>
      </c>
      <c r="H7728" t="n">
        <v>0</v>
      </c>
      <c r="I7728" t="n">
        <v>0</v>
      </c>
      <c r="J7728" t="n">
        <v>0</v>
      </c>
      <c r="K7728" t="n">
        <v>0</v>
      </c>
      <c r="L7728" t="n">
        <v>0</v>
      </c>
      <c r="M7728" t="n">
        <v>0</v>
      </c>
      <c r="N7728" t="n">
        <v>0</v>
      </c>
      <c r="O7728" t="n">
        <v>0</v>
      </c>
      <c r="P7728" t="n">
        <v>0</v>
      </c>
      <c r="Q7728" t="n">
        <v>0</v>
      </c>
      <c r="R7728" s="2" t="inlineStr"/>
    </row>
    <row r="7729" ht="15" customHeight="1">
      <c r="A7729" t="inlineStr">
        <is>
          <t>A 30196-2023</t>
        </is>
      </c>
      <c r="B7729" s="1" t="n">
        <v>45110</v>
      </c>
      <c r="C7729" s="1" t="n">
        <v>46114</v>
      </c>
      <c r="D7729" t="inlineStr">
        <is>
          <t>DALARNAS LÄN</t>
        </is>
      </c>
      <c r="E7729" t="inlineStr">
        <is>
          <t>LEKSAND</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2786-2026</t>
        </is>
      </c>
      <c r="B7730" s="1" t="n">
        <v>46038.39023148148</v>
      </c>
      <c r="C7730" s="1" t="n">
        <v>46114</v>
      </c>
      <c r="D7730" t="inlineStr">
        <is>
          <t>DALARNAS LÄN</t>
        </is>
      </c>
      <c r="E7730" t="inlineStr">
        <is>
          <t>MORA</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11537-2026</t>
        </is>
      </c>
      <c r="B7731" s="1" t="n">
        <v>46083.81802083334</v>
      </c>
      <c r="C7731" s="1" t="n">
        <v>46114</v>
      </c>
      <c r="D7731" t="inlineStr">
        <is>
          <t>DALARNAS LÄN</t>
        </is>
      </c>
      <c r="E7731" t="inlineStr">
        <is>
          <t>RÄTTVIK</t>
        </is>
      </c>
      <c r="G7731" t="n">
        <v>2.4</v>
      </c>
      <c r="H7731" t="n">
        <v>0</v>
      </c>
      <c r="I7731" t="n">
        <v>0</v>
      </c>
      <c r="J7731" t="n">
        <v>0</v>
      </c>
      <c r="K7731" t="n">
        <v>0</v>
      </c>
      <c r="L7731" t="n">
        <v>0</v>
      </c>
      <c r="M7731" t="n">
        <v>0</v>
      </c>
      <c r="N7731" t="n">
        <v>0</v>
      </c>
      <c r="O7731" t="n">
        <v>0</v>
      </c>
      <c r="P7731" t="n">
        <v>0</v>
      </c>
      <c r="Q7731" t="n">
        <v>0</v>
      </c>
      <c r="R7731" s="2" t="inlineStr"/>
    </row>
    <row r="7732" ht="15" customHeight="1">
      <c r="A7732" t="inlineStr">
        <is>
          <t>A 11352-2026</t>
        </is>
      </c>
      <c r="B7732" s="1" t="n">
        <v>46082.99267361111</v>
      </c>
      <c r="C7732" s="1" t="n">
        <v>46114</v>
      </c>
      <c r="D7732" t="inlineStr">
        <is>
          <t>DALARNAS LÄN</t>
        </is>
      </c>
      <c r="E7732" t="inlineStr">
        <is>
          <t>VANSBRO</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41951-2024</t>
        </is>
      </c>
      <c r="B7733" s="1" t="n">
        <v>45561</v>
      </c>
      <c r="C7733" s="1" t="n">
        <v>46114</v>
      </c>
      <c r="D7733" t="inlineStr">
        <is>
          <t>DALARNAS LÄN</t>
        </is>
      </c>
      <c r="E7733" t="inlineStr">
        <is>
          <t>SÄTER</t>
        </is>
      </c>
      <c r="F7733" t="inlineStr">
        <is>
          <t>Bergvik skog väst AB</t>
        </is>
      </c>
      <c r="G7733" t="n">
        <v>10.8</v>
      </c>
      <c r="H7733" t="n">
        <v>0</v>
      </c>
      <c r="I7733" t="n">
        <v>0</v>
      </c>
      <c r="J7733" t="n">
        <v>0</v>
      </c>
      <c r="K7733" t="n">
        <v>0</v>
      </c>
      <c r="L7733" t="n">
        <v>0</v>
      </c>
      <c r="M7733" t="n">
        <v>0</v>
      </c>
      <c r="N7733" t="n">
        <v>0</v>
      </c>
      <c r="O7733" t="n">
        <v>0</v>
      </c>
      <c r="P7733" t="n">
        <v>0</v>
      </c>
      <c r="Q7733" t="n">
        <v>0</v>
      </c>
      <c r="R7733" s="2" t="inlineStr"/>
    </row>
    <row r="7734" ht="15" customHeight="1">
      <c r="A7734" t="inlineStr">
        <is>
          <t>A 41952-2024</t>
        </is>
      </c>
      <c r="B7734" s="1" t="n">
        <v>45561.58697916667</v>
      </c>
      <c r="C7734" s="1" t="n">
        <v>46114</v>
      </c>
      <c r="D7734" t="inlineStr">
        <is>
          <t>DALARNAS LÄN</t>
        </is>
      </c>
      <c r="E7734" t="inlineStr">
        <is>
          <t>GAGNEF</t>
        </is>
      </c>
      <c r="G7734" t="n">
        <v>1.5</v>
      </c>
      <c r="H7734" t="n">
        <v>0</v>
      </c>
      <c r="I7734" t="n">
        <v>0</v>
      </c>
      <c r="J7734" t="n">
        <v>0</v>
      </c>
      <c r="K7734" t="n">
        <v>0</v>
      </c>
      <c r="L7734" t="n">
        <v>0</v>
      </c>
      <c r="M7734" t="n">
        <v>0</v>
      </c>
      <c r="N7734" t="n">
        <v>0</v>
      </c>
      <c r="O7734" t="n">
        <v>0</v>
      </c>
      <c r="P7734" t="n">
        <v>0</v>
      </c>
      <c r="Q7734" t="n">
        <v>0</v>
      </c>
      <c r="R7734" s="2" t="inlineStr"/>
    </row>
    <row r="7735" ht="15" customHeight="1">
      <c r="A7735" t="inlineStr">
        <is>
          <t>A 41959-2024</t>
        </is>
      </c>
      <c r="B7735" s="1" t="n">
        <v>45561</v>
      </c>
      <c r="C7735" s="1" t="n">
        <v>46114</v>
      </c>
      <c r="D7735" t="inlineStr">
        <is>
          <t>DALARNAS LÄN</t>
        </is>
      </c>
      <c r="E7735" t="inlineStr">
        <is>
          <t>SÄTER</t>
        </is>
      </c>
      <c r="F7735" t="inlineStr">
        <is>
          <t>Bergvik skog väst AB</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11266-2026</t>
        </is>
      </c>
      <c r="B7736" s="1" t="n">
        <v>46080.57146990741</v>
      </c>
      <c r="C7736" s="1" t="n">
        <v>46114</v>
      </c>
      <c r="D7736" t="inlineStr">
        <is>
          <t>DALARNAS LÄN</t>
        </is>
      </c>
      <c r="E7736" t="inlineStr">
        <is>
          <t>FALUN</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3064-2026</t>
        </is>
      </c>
      <c r="B7737" s="1" t="n">
        <v>46040.43785879629</v>
      </c>
      <c r="C7737" s="1" t="n">
        <v>46114</v>
      </c>
      <c r="D7737" t="inlineStr">
        <is>
          <t>DALARNAS LÄN</t>
        </is>
      </c>
      <c r="E7737" t="inlineStr">
        <is>
          <t>FALUN</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3144-2026</t>
        </is>
      </c>
      <c r="B7738" s="1" t="n">
        <v>46041.40858796296</v>
      </c>
      <c r="C7738" s="1" t="n">
        <v>46114</v>
      </c>
      <c r="D7738" t="inlineStr">
        <is>
          <t>DALARNAS LÄN</t>
        </is>
      </c>
      <c r="E7738" t="inlineStr">
        <is>
          <t>LEKSAND</t>
        </is>
      </c>
      <c r="G7738" t="n">
        <v>4.8</v>
      </c>
      <c r="H7738" t="n">
        <v>0</v>
      </c>
      <c r="I7738" t="n">
        <v>0</v>
      </c>
      <c r="J7738" t="n">
        <v>0</v>
      </c>
      <c r="K7738" t="n">
        <v>0</v>
      </c>
      <c r="L7738" t="n">
        <v>0</v>
      </c>
      <c r="M7738" t="n">
        <v>0</v>
      </c>
      <c r="N7738" t="n">
        <v>0</v>
      </c>
      <c r="O7738" t="n">
        <v>0</v>
      </c>
      <c r="P7738" t="n">
        <v>0</v>
      </c>
      <c r="Q7738" t="n">
        <v>0</v>
      </c>
      <c r="R7738" s="2" t="inlineStr"/>
    </row>
    <row r="7739" ht="15" customHeight="1">
      <c r="A7739" t="inlineStr">
        <is>
          <t>A 61799-2025</t>
        </is>
      </c>
      <c r="B7739" s="1" t="n">
        <v>46002</v>
      </c>
      <c r="C7739" s="1" t="n">
        <v>46114</v>
      </c>
      <c r="D7739" t="inlineStr">
        <is>
          <t>DALARNAS LÄN</t>
        </is>
      </c>
      <c r="E7739" t="inlineStr">
        <is>
          <t>LUDVIKA</t>
        </is>
      </c>
      <c r="F7739" t="inlineStr">
        <is>
          <t>Bergvik skog väst AB</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2722-2026</t>
        </is>
      </c>
      <c r="B7740" s="1" t="n">
        <v>46037.81425925926</v>
      </c>
      <c r="C7740" s="1" t="n">
        <v>46114</v>
      </c>
      <c r="D7740" t="inlineStr">
        <is>
          <t>DALARNAS LÄN</t>
        </is>
      </c>
      <c r="E7740" t="inlineStr">
        <is>
          <t>FALUN</t>
        </is>
      </c>
      <c r="G7740" t="n">
        <v>5.1</v>
      </c>
      <c r="H7740" t="n">
        <v>0</v>
      </c>
      <c r="I7740" t="n">
        <v>0</v>
      </c>
      <c r="J7740" t="n">
        <v>0</v>
      </c>
      <c r="K7740" t="n">
        <v>0</v>
      </c>
      <c r="L7740" t="n">
        <v>0</v>
      </c>
      <c r="M7740" t="n">
        <v>0</v>
      </c>
      <c r="N7740" t="n">
        <v>0</v>
      </c>
      <c r="O7740" t="n">
        <v>0</v>
      </c>
      <c r="P7740" t="n">
        <v>0</v>
      </c>
      <c r="Q7740" t="n">
        <v>0</v>
      </c>
      <c r="R7740" s="2" t="inlineStr"/>
    </row>
    <row r="7741" ht="15" customHeight="1">
      <c r="A7741" t="inlineStr">
        <is>
          <t>A 54134-2024</t>
        </is>
      </c>
      <c r="B7741" s="1" t="n">
        <v>45616</v>
      </c>
      <c r="C7741" s="1" t="n">
        <v>46114</v>
      </c>
      <c r="D7741" t="inlineStr">
        <is>
          <t>DALARNAS LÄN</t>
        </is>
      </c>
      <c r="E7741" t="inlineStr">
        <is>
          <t>FALUN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2853-2026</t>
        </is>
      </c>
      <c r="B7742" s="1" t="n">
        <v>46038.48278935185</v>
      </c>
      <c r="C7742" s="1" t="n">
        <v>46114</v>
      </c>
      <c r="D7742" t="inlineStr">
        <is>
          <t>DALARNAS LÄN</t>
        </is>
      </c>
      <c r="E7742" t="inlineStr">
        <is>
          <t>LEKSAND</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57536-2025</t>
        </is>
      </c>
      <c r="B7743" s="1" t="n">
        <v>45980.64287037037</v>
      </c>
      <c r="C7743" s="1" t="n">
        <v>46114</v>
      </c>
      <c r="D7743" t="inlineStr">
        <is>
          <t>DALARNAS LÄN</t>
        </is>
      </c>
      <c r="E7743" t="inlineStr">
        <is>
          <t>LEKSAND</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10833-2023</t>
        </is>
      </c>
      <c r="B7744" s="1" t="n">
        <v>44990</v>
      </c>
      <c r="C7744" s="1" t="n">
        <v>46114</v>
      </c>
      <c r="D7744" t="inlineStr">
        <is>
          <t>DALARNAS LÄN</t>
        </is>
      </c>
      <c r="E7744" t="inlineStr">
        <is>
          <t>LEKSAND</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10834-2023</t>
        </is>
      </c>
      <c r="B7745" s="1" t="n">
        <v>44991.01483796296</v>
      </c>
      <c r="C7745" s="1" t="n">
        <v>46114</v>
      </c>
      <c r="D7745" t="inlineStr">
        <is>
          <t>DALARNAS LÄN</t>
        </is>
      </c>
      <c r="E7745" t="inlineStr">
        <is>
          <t>FALUN</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3240-2026</t>
        </is>
      </c>
      <c r="B7746" s="1" t="n">
        <v>46041.56834490741</v>
      </c>
      <c r="C7746" s="1" t="n">
        <v>46114</v>
      </c>
      <c r="D7746" t="inlineStr">
        <is>
          <t>DALARNAS LÄN</t>
        </is>
      </c>
      <c r="E7746" t="inlineStr">
        <is>
          <t>LEKSAND</t>
        </is>
      </c>
      <c r="G7746" t="n">
        <v>6.1</v>
      </c>
      <c r="H7746" t="n">
        <v>0</v>
      </c>
      <c r="I7746" t="n">
        <v>0</v>
      </c>
      <c r="J7746" t="n">
        <v>0</v>
      </c>
      <c r="K7746" t="n">
        <v>0</v>
      </c>
      <c r="L7746" t="n">
        <v>0</v>
      </c>
      <c r="M7746" t="n">
        <v>0</v>
      </c>
      <c r="N7746" t="n">
        <v>0</v>
      </c>
      <c r="O7746" t="n">
        <v>0</v>
      </c>
      <c r="P7746" t="n">
        <v>0</v>
      </c>
      <c r="Q7746" t="n">
        <v>0</v>
      </c>
      <c r="R7746" s="2" t="inlineStr"/>
    </row>
    <row r="7747" ht="15" customHeight="1">
      <c r="A7747" t="inlineStr">
        <is>
          <t>A 3244-2026</t>
        </is>
      </c>
      <c r="B7747" s="1" t="n">
        <v>46041.5733912037</v>
      </c>
      <c r="C7747" s="1" t="n">
        <v>46114</v>
      </c>
      <c r="D7747" t="inlineStr">
        <is>
          <t>DALARNAS LÄN</t>
        </is>
      </c>
      <c r="E7747" t="inlineStr">
        <is>
          <t>LEKSAND</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3255-2026</t>
        </is>
      </c>
      <c r="B7748" s="1" t="n">
        <v>46041.59100694444</v>
      </c>
      <c r="C7748" s="1" t="n">
        <v>46114</v>
      </c>
      <c r="D7748" t="inlineStr">
        <is>
          <t>DALARNAS LÄN</t>
        </is>
      </c>
      <c r="E7748" t="inlineStr">
        <is>
          <t>SÄTER</t>
        </is>
      </c>
      <c r="G7748" t="n">
        <v>3.7</v>
      </c>
      <c r="H7748" t="n">
        <v>0</v>
      </c>
      <c r="I7748" t="n">
        <v>0</v>
      </c>
      <c r="J7748" t="n">
        <v>0</v>
      </c>
      <c r="K7748" t="n">
        <v>0</v>
      </c>
      <c r="L7748" t="n">
        <v>0</v>
      </c>
      <c r="M7748" t="n">
        <v>0</v>
      </c>
      <c r="N7748" t="n">
        <v>0</v>
      </c>
      <c r="O7748" t="n">
        <v>0</v>
      </c>
      <c r="P7748" t="n">
        <v>0</v>
      </c>
      <c r="Q7748" t="n">
        <v>0</v>
      </c>
      <c r="R7748" s="2" t="inlineStr"/>
    </row>
    <row r="7749" ht="15" customHeight="1">
      <c r="A7749" t="inlineStr">
        <is>
          <t>A 3280-2026</t>
        </is>
      </c>
      <c r="B7749" s="1" t="n">
        <v>46041</v>
      </c>
      <c r="C7749" s="1" t="n">
        <v>46114</v>
      </c>
      <c r="D7749" t="inlineStr">
        <is>
          <t>DALARNAS LÄN</t>
        </is>
      </c>
      <c r="E7749" t="inlineStr">
        <is>
          <t>FALUN</t>
        </is>
      </c>
      <c r="G7749" t="n">
        <v>30</v>
      </c>
      <c r="H7749" t="n">
        <v>0</v>
      </c>
      <c r="I7749" t="n">
        <v>0</v>
      </c>
      <c r="J7749" t="n">
        <v>0</v>
      </c>
      <c r="K7749" t="n">
        <v>0</v>
      </c>
      <c r="L7749" t="n">
        <v>0</v>
      </c>
      <c r="M7749" t="n">
        <v>0</v>
      </c>
      <c r="N7749" t="n">
        <v>0</v>
      </c>
      <c r="O7749" t="n">
        <v>0</v>
      </c>
      <c r="P7749" t="n">
        <v>0</v>
      </c>
      <c r="Q7749" t="n">
        <v>0</v>
      </c>
      <c r="R7749" s="2" t="inlineStr"/>
    </row>
    <row r="7750" ht="15" customHeight="1">
      <c r="A7750" t="inlineStr">
        <is>
          <t>A 3303-2026</t>
        </is>
      </c>
      <c r="B7750" s="1" t="n">
        <v>46041.66077546297</v>
      </c>
      <c r="C7750" s="1" t="n">
        <v>46114</v>
      </c>
      <c r="D7750" t="inlineStr">
        <is>
          <t>DALARNAS LÄN</t>
        </is>
      </c>
      <c r="E7750" t="inlineStr">
        <is>
          <t>FALUN</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3339-2026</t>
        </is>
      </c>
      <c r="B7751" s="1" t="n">
        <v>46041</v>
      </c>
      <c r="C7751" s="1" t="n">
        <v>46114</v>
      </c>
      <c r="D7751" t="inlineStr">
        <is>
          <t>DALARNAS LÄN</t>
        </is>
      </c>
      <c r="E7751" t="inlineStr">
        <is>
          <t>FALUN</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9875-2026</t>
        </is>
      </c>
      <c r="B7752" s="1" t="n">
        <v>46073</v>
      </c>
      <c r="C7752" s="1" t="n">
        <v>46114</v>
      </c>
      <c r="D7752" t="inlineStr">
        <is>
          <t>DALARNAS LÄN</t>
        </is>
      </c>
      <c r="E7752" t="inlineStr">
        <is>
          <t>FALUN</t>
        </is>
      </c>
      <c r="G7752" t="n">
        <v>2.9</v>
      </c>
      <c r="H7752" t="n">
        <v>0</v>
      </c>
      <c r="I7752" t="n">
        <v>0</v>
      </c>
      <c r="J7752" t="n">
        <v>0</v>
      </c>
      <c r="K7752" t="n">
        <v>0</v>
      </c>
      <c r="L7752" t="n">
        <v>0</v>
      </c>
      <c r="M7752" t="n">
        <v>0</v>
      </c>
      <c r="N7752" t="n">
        <v>0</v>
      </c>
      <c r="O7752" t="n">
        <v>0</v>
      </c>
      <c r="P7752" t="n">
        <v>0</v>
      </c>
      <c r="Q7752" t="n">
        <v>0</v>
      </c>
      <c r="R7752" s="2" t="inlineStr"/>
    </row>
    <row r="7753" ht="15" customHeight="1">
      <c r="A7753" t="inlineStr">
        <is>
          <t>A 9956-2026</t>
        </is>
      </c>
      <c r="B7753" s="1" t="n">
        <v>46073</v>
      </c>
      <c r="C7753" s="1" t="n">
        <v>46114</v>
      </c>
      <c r="D7753" t="inlineStr">
        <is>
          <t>DALARNAS LÄN</t>
        </is>
      </c>
      <c r="E7753" t="inlineStr">
        <is>
          <t>GAGNEF</t>
        </is>
      </c>
      <c r="G7753" t="n">
        <v>4.6</v>
      </c>
      <c r="H7753" t="n">
        <v>0</v>
      </c>
      <c r="I7753" t="n">
        <v>0</v>
      </c>
      <c r="J7753" t="n">
        <v>0</v>
      </c>
      <c r="K7753" t="n">
        <v>0</v>
      </c>
      <c r="L7753" t="n">
        <v>0</v>
      </c>
      <c r="M7753" t="n">
        <v>0</v>
      </c>
      <c r="N7753" t="n">
        <v>0</v>
      </c>
      <c r="O7753" t="n">
        <v>0</v>
      </c>
      <c r="P7753" t="n">
        <v>0</v>
      </c>
      <c r="Q7753" t="n">
        <v>0</v>
      </c>
      <c r="R7753" s="2" t="inlineStr"/>
    </row>
    <row r="7754" ht="15" customHeight="1">
      <c r="A7754" t="inlineStr">
        <is>
          <t>A 2979-2026</t>
        </is>
      </c>
      <c r="B7754" s="1" t="n">
        <v>46038.62740740741</v>
      </c>
      <c r="C7754" s="1" t="n">
        <v>46114</v>
      </c>
      <c r="D7754" t="inlineStr">
        <is>
          <t>DALARNAS LÄN</t>
        </is>
      </c>
      <c r="E7754" t="inlineStr">
        <is>
          <t>LUDVIKA</t>
        </is>
      </c>
      <c r="G7754" t="n">
        <v>1.4</v>
      </c>
      <c r="H7754" t="n">
        <v>0</v>
      </c>
      <c r="I7754" t="n">
        <v>0</v>
      </c>
      <c r="J7754" t="n">
        <v>0</v>
      </c>
      <c r="K7754" t="n">
        <v>0</v>
      </c>
      <c r="L7754" t="n">
        <v>0</v>
      </c>
      <c r="M7754" t="n">
        <v>0</v>
      </c>
      <c r="N7754" t="n">
        <v>0</v>
      </c>
      <c r="O7754" t="n">
        <v>0</v>
      </c>
      <c r="P7754" t="n">
        <v>0</v>
      </c>
      <c r="Q7754" t="n">
        <v>0</v>
      </c>
      <c r="R7754" s="2" t="inlineStr"/>
    </row>
    <row r="7755" ht="15" customHeight="1">
      <c r="A7755" t="inlineStr">
        <is>
          <t>A 57223-2025</t>
        </is>
      </c>
      <c r="B7755" s="1" t="n">
        <v>45979.61486111111</v>
      </c>
      <c r="C7755" s="1" t="n">
        <v>46114</v>
      </c>
      <c r="D7755" t="inlineStr">
        <is>
          <t>DALARNAS LÄN</t>
        </is>
      </c>
      <c r="E7755" t="inlineStr">
        <is>
          <t>LEKSAND</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371-2026</t>
        </is>
      </c>
      <c r="B7756" s="1" t="n">
        <v>46027</v>
      </c>
      <c r="C7756" s="1" t="n">
        <v>46114</v>
      </c>
      <c r="D7756" t="inlineStr">
        <is>
          <t>DALARNAS LÄN</t>
        </is>
      </c>
      <c r="E7756" t="inlineStr">
        <is>
          <t>FALUN</t>
        </is>
      </c>
      <c r="G7756" t="n">
        <v>0.5</v>
      </c>
      <c r="H7756" t="n">
        <v>0</v>
      </c>
      <c r="I7756" t="n">
        <v>0</v>
      </c>
      <c r="J7756" t="n">
        <v>0</v>
      </c>
      <c r="K7756" t="n">
        <v>0</v>
      </c>
      <c r="L7756" t="n">
        <v>0</v>
      </c>
      <c r="M7756" t="n">
        <v>0</v>
      </c>
      <c r="N7756" t="n">
        <v>0</v>
      </c>
      <c r="O7756" t="n">
        <v>0</v>
      </c>
      <c r="P7756" t="n">
        <v>0</v>
      </c>
      <c r="Q7756" t="n">
        <v>0</v>
      </c>
      <c r="R7756" s="2" t="inlineStr"/>
    </row>
    <row r="7757" ht="15" customHeight="1">
      <c r="A7757" t="inlineStr">
        <is>
          <t>A 37981-2024</t>
        </is>
      </c>
      <c r="B7757" s="1" t="n">
        <v>45544</v>
      </c>
      <c r="C7757" s="1" t="n">
        <v>46114</v>
      </c>
      <c r="D7757" t="inlineStr">
        <is>
          <t>DALARNAS LÄN</t>
        </is>
      </c>
      <c r="E7757" t="inlineStr">
        <is>
          <t>ORSA</t>
        </is>
      </c>
      <c r="F7757" t="inlineStr">
        <is>
          <t>Allmännings- och besparingsskogar</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11156-2026</t>
        </is>
      </c>
      <c r="B7758" s="1" t="n">
        <v>46080</v>
      </c>
      <c r="C7758" s="1" t="n">
        <v>46114</v>
      </c>
      <c r="D7758" t="inlineStr">
        <is>
          <t>DALARNAS LÄN</t>
        </is>
      </c>
      <c r="E7758" t="inlineStr">
        <is>
          <t>FALUN</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11299-2026</t>
        </is>
      </c>
      <c r="B7759" s="1" t="n">
        <v>46080.62945601852</v>
      </c>
      <c r="C7759" s="1" t="n">
        <v>46114</v>
      </c>
      <c r="D7759" t="inlineStr">
        <is>
          <t>DALARNAS LÄN</t>
        </is>
      </c>
      <c r="E7759" t="inlineStr">
        <is>
          <t>FALUN</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11303-2026</t>
        </is>
      </c>
      <c r="B7760" s="1" t="n">
        <v>46080</v>
      </c>
      <c r="C7760" s="1" t="n">
        <v>46114</v>
      </c>
      <c r="D7760" t="inlineStr">
        <is>
          <t>DALARNAS LÄN</t>
        </is>
      </c>
      <c r="E7760" t="inlineStr">
        <is>
          <t>LEKSAND</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46315-2023</t>
        </is>
      </c>
      <c r="B7761" s="1" t="n">
        <v>45191</v>
      </c>
      <c r="C7761" s="1" t="n">
        <v>46114</v>
      </c>
      <c r="D7761" t="inlineStr">
        <is>
          <t>DALARNAS LÄN</t>
        </is>
      </c>
      <c r="E7761" t="inlineStr">
        <is>
          <t>AVESTA</t>
        </is>
      </c>
      <c r="F7761" t="inlineStr">
        <is>
          <t>Bergvik skog väst AB</t>
        </is>
      </c>
      <c r="G7761" t="n">
        <v>12.2</v>
      </c>
      <c r="H7761" t="n">
        <v>0</v>
      </c>
      <c r="I7761" t="n">
        <v>0</v>
      </c>
      <c r="J7761" t="n">
        <v>0</v>
      </c>
      <c r="K7761" t="n">
        <v>0</v>
      </c>
      <c r="L7761" t="n">
        <v>0</v>
      </c>
      <c r="M7761" t="n">
        <v>0</v>
      </c>
      <c r="N7761" t="n">
        <v>0</v>
      </c>
      <c r="O7761" t="n">
        <v>0</v>
      </c>
      <c r="P7761" t="n">
        <v>0</v>
      </c>
      <c r="Q7761" t="n">
        <v>0</v>
      </c>
      <c r="R7761" s="2" t="inlineStr"/>
    </row>
    <row r="7762" ht="15" customHeight="1">
      <c r="A7762" t="inlineStr">
        <is>
          <t>A 3742-2024</t>
        </is>
      </c>
      <c r="B7762" s="1" t="n">
        <v>45321.50072916667</v>
      </c>
      <c r="C7762" s="1" t="n">
        <v>46114</v>
      </c>
      <c r="D7762" t="inlineStr">
        <is>
          <t>DALARNAS LÄN</t>
        </is>
      </c>
      <c r="E7762" t="inlineStr">
        <is>
          <t>RÄTTVIK</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3792-2024</t>
        </is>
      </c>
      <c r="B7763" s="1" t="n">
        <v>45321</v>
      </c>
      <c r="C7763" s="1" t="n">
        <v>46114</v>
      </c>
      <c r="D7763" t="inlineStr">
        <is>
          <t>DALARNAS LÄN</t>
        </is>
      </c>
      <c r="E7763" t="inlineStr">
        <is>
          <t>MALUNG-SÄLEN</t>
        </is>
      </c>
      <c r="F7763" t="inlineStr">
        <is>
          <t>Bergvik skog öst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3078-2026</t>
        </is>
      </c>
      <c r="B7764" s="1" t="n">
        <v>46040.76850694444</v>
      </c>
      <c r="C7764" s="1" t="n">
        <v>46114</v>
      </c>
      <c r="D7764" t="inlineStr">
        <is>
          <t>DALARNAS LÄN</t>
        </is>
      </c>
      <c r="E7764" t="inlineStr">
        <is>
          <t>FALUN</t>
        </is>
      </c>
      <c r="G7764" t="n">
        <v>3.8</v>
      </c>
      <c r="H7764" t="n">
        <v>0</v>
      </c>
      <c r="I7764" t="n">
        <v>0</v>
      </c>
      <c r="J7764" t="n">
        <v>0</v>
      </c>
      <c r="K7764" t="n">
        <v>0</v>
      </c>
      <c r="L7764" t="n">
        <v>0</v>
      </c>
      <c r="M7764" t="n">
        <v>0</v>
      </c>
      <c r="N7764" t="n">
        <v>0</v>
      </c>
      <c r="O7764" t="n">
        <v>0</v>
      </c>
      <c r="P7764" t="n">
        <v>0</v>
      </c>
      <c r="Q7764" t="n">
        <v>0</v>
      </c>
      <c r="R7764" s="2" t="inlineStr"/>
    </row>
    <row r="7765" ht="15" customHeight="1">
      <c r="A7765" t="inlineStr">
        <is>
          <t>A 3081-2026</t>
        </is>
      </c>
      <c r="B7765" s="1" t="n">
        <v>46040.77619212963</v>
      </c>
      <c r="C7765" s="1" t="n">
        <v>46114</v>
      </c>
      <c r="D7765" t="inlineStr">
        <is>
          <t>DALARNAS LÄN</t>
        </is>
      </c>
      <c r="E7765" t="inlineStr">
        <is>
          <t>FALUN</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23129-2023</t>
        </is>
      </c>
      <c r="B7766" s="1" t="n">
        <v>45075</v>
      </c>
      <c r="C7766" s="1" t="n">
        <v>46114</v>
      </c>
      <c r="D7766" t="inlineStr">
        <is>
          <t>DALARNAS LÄN</t>
        </is>
      </c>
      <c r="E7766" t="inlineStr">
        <is>
          <t>ÄLVDALEN</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69744-2021</t>
        </is>
      </c>
      <c r="B7767" s="1" t="n">
        <v>44532.55016203703</v>
      </c>
      <c r="C7767" s="1" t="n">
        <v>46114</v>
      </c>
      <c r="D7767" t="inlineStr">
        <is>
          <t>DALARNAS LÄN</t>
        </is>
      </c>
      <c r="E7767" t="inlineStr">
        <is>
          <t>SÄTER</t>
        </is>
      </c>
      <c r="F7767" t="inlineStr">
        <is>
          <t>Bergvik skog väst AB</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57962-2025</t>
        </is>
      </c>
      <c r="B7768" s="1" t="n">
        <v>45982.37767361111</v>
      </c>
      <c r="C7768" s="1" t="n">
        <v>46114</v>
      </c>
      <c r="D7768" t="inlineStr">
        <is>
          <t>DALARNAS LÄN</t>
        </is>
      </c>
      <c r="E7768" t="inlineStr">
        <is>
          <t>LEKSAND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2831-2026</t>
        </is>
      </c>
      <c r="B7769" s="1" t="n">
        <v>46038.45591435185</v>
      </c>
      <c r="C7769" s="1" t="n">
        <v>46114</v>
      </c>
      <c r="D7769" t="inlineStr">
        <is>
          <t>DALARNAS LÄN</t>
        </is>
      </c>
      <c r="E7769" t="inlineStr">
        <is>
          <t>BORLÄNGE</t>
        </is>
      </c>
      <c r="G7769" t="n">
        <v>11.5</v>
      </c>
      <c r="H7769" t="n">
        <v>0</v>
      </c>
      <c r="I7769" t="n">
        <v>0</v>
      </c>
      <c r="J7769" t="n">
        <v>0</v>
      </c>
      <c r="K7769" t="n">
        <v>0</v>
      </c>
      <c r="L7769" t="n">
        <v>0</v>
      </c>
      <c r="M7769" t="n">
        <v>0</v>
      </c>
      <c r="N7769" t="n">
        <v>0</v>
      </c>
      <c r="O7769" t="n">
        <v>0</v>
      </c>
      <c r="P7769" t="n">
        <v>0</v>
      </c>
      <c r="Q7769" t="n">
        <v>0</v>
      </c>
      <c r="R7769" s="2" t="inlineStr"/>
    </row>
    <row r="7770" ht="15" customHeight="1">
      <c r="A7770" t="inlineStr">
        <is>
          <t>A 47064-2021</t>
        </is>
      </c>
      <c r="B7770" s="1" t="n">
        <v>44446.64893518519</v>
      </c>
      <c r="C7770" s="1" t="n">
        <v>46114</v>
      </c>
      <c r="D7770" t="inlineStr">
        <is>
          <t>DALARNAS LÄN</t>
        </is>
      </c>
      <c r="E7770" t="inlineStr">
        <is>
          <t>SÄTER</t>
        </is>
      </c>
      <c r="G7770" t="n">
        <v>2.9</v>
      </c>
      <c r="H7770" t="n">
        <v>0</v>
      </c>
      <c r="I7770" t="n">
        <v>0</v>
      </c>
      <c r="J7770" t="n">
        <v>0</v>
      </c>
      <c r="K7770" t="n">
        <v>0</v>
      </c>
      <c r="L7770" t="n">
        <v>0</v>
      </c>
      <c r="M7770" t="n">
        <v>0</v>
      </c>
      <c r="N7770" t="n">
        <v>0</v>
      </c>
      <c r="O7770" t="n">
        <v>0</v>
      </c>
      <c r="P7770" t="n">
        <v>0</v>
      </c>
      <c r="Q7770" t="n">
        <v>0</v>
      </c>
      <c r="R7770" s="2" t="inlineStr"/>
    </row>
    <row r="7771" ht="15" customHeight="1">
      <c r="A7771" t="inlineStr">
        <is>
          <t>A 47121-2021</t>
        </is>
      </c>
      <c r="B7771" s="1" t="n">
        <v>44446</v>
      </c>
      <c r="C7771" s="1" t="n">
        <v>46114</v>
      </c>
      <c r="D7771" t="inlineStr">
        <is>
          <t>DALARNAS LÄN</t>
        </is>
      </c>
      <c r="E7771" t="inlineStr">
        <is>
          <t>LEKSAND</t>
        </is>
      </c>
      <c r="G7771" t="n">
        <v>3.5</v>
      </c>
      <c r="H7771" t="n">
        <v>0</v>
      </c>
      <c r="I7771" t="n">
        <v>0</v>
      </c>
      <c r="J7771" t="n">
        <v>0</v>
      </c>
      <c r="K7771" t="n">
        <v>0</v>
      </c>
      <c r="L7771" t="n">
        <v>0</v>
      </c>
      <c r="M7771" t="n">
        <v>0</v>
      </c>
      <c r="N7771" t="n">
        <v>0</v>
      </c>
      <c r="O7771" t="n">
        <v>0</v>
      </c>
      <c r="P7771" t="n">
        <v>0</v>
      </c>
      <c r="Q7771" t="n">
        <v>0</v>
      </c>
      <c r="R7771" s="2" t="inlineStr"/>
    </row>
    <row r="7772" ht="15" customHeight="1">
      <c r="A7772" t="inlineStr">
        <is>
          <t>A 36444-2023</t>
        </is>
      </c>
      <c r="B7772" s="1" t="n">
        <v>45152.63138888889</v>
      </c>
      <c r="C7772" s="1" t="n">
        <v>46114</v>
      </c>
      <c r="D7772" t="inlineStr">
        <is>
          <t>DALARNAS LÄN</t>
        </is>
      </c>
      <c r="E7772" t="inlineStr">
        <is>
          <t>LEKSAND</t>
        </is>
      </c>
      <c r="G7772" t="n">
        <v>0.5</v>
      </c>
      <c r="H7772" t="n">
        <v>0</v>
      </c>
      <c r="I7772" t="n">
        <v>0</v>
      </c>
      <c r="J7772" t="n">
        <v>0</v>
      </c>
      <c r="K7772" t="n">
        <v>0</v>
      </c>
      <c r="L7772" t="n">
        <v>0</v>
      </c>
      <c r="M7772" t="n">
        <v>0</v>
      </c>
      <c r="N7772" t="n">
        <v>0</v>
      </c>
      <c r="O7772" t="n">
        <v>0</v>
      </c>
      <c r="P7772" t="n">
        <v>0</v>
      </c>
      <c r="Q7772" t="n">
        <v>0</v>
      </c>
      <c r="R7772" s="2" t="inlineStr"/>
    </row>
    <row r="7773" ht="15" customHeight="1">
      <c r="A7773" t="inlineStr">
        <is>
          <t>A 3060-2026</t>
        </is>
      </c>
      <c r="B7773" s="1" t="n">
        <v>46039.77504629629</v>
      </c>
      <c r="C7773" s="1" t="n">
        <v>46114</v>
      </c>
      <c r="D7773" t="inlineStr">
        <is>
          <t>DALARNAS LÄN</t>
        </is>
      </c>
      <c r="E7773" t="inlineStr">
        <is>
          <t>VANSBRO</t>
        </is>
      </c>
      <c r="G7773" t="n">
        <v>7</v>
      </c>
      <c r="H7773" t="n">
        <v>0</v>
      </c>
      <c r="I7773" t="n">
        <v>0</v>
      </c>
      <c r="J7773" t="n">
        <v>0</v>
      </c>
      <c r="K7773" t="n">
        <v>0</v>
      </c>
      <c r="L7773" t="n">
        <v>0</v>
      </c>
      <c r="M7773" t="n">
        <v>0</v>
      </c>
      <c r="N7773" t="n">
        <v>0</v>
      </c>
      <c r="O7773" t="n">
        <v>0</v>
      </c>
      <c r="P7773" t="n">
        <v>0</v>
      </c>
      <c r="Q7773" t="n">
        <v>0</v>
      </c>
      <c r="R7773" s="2" t="inlineStr"/>
    </row>
    <row r="7774" ht="15" customHeight="1">
      <c r="A7774" t="inlineStr">
        <is>
          <t>A 11236-2026</t>
        </is>
      </c>
      <c r="B7774" s="1" t="n">
        <v>46080.50869212963</v>
      </c>
      <c r="C7774" s="1" t="n">
        <v>46114</v>
      </c>
      <c r="D7774" t="inlineStr">
        <is>
          <t>DALARNAS LÄN</t>
        </is>
      </c>
      <c r="E7774" t="inlineStr">
        <is>
          <t>FALUN</t>
        </is>
      </c>
      <c r="G7774" t="n">
        <v>3.2</v>
      </c>
      <c r="H7774" t="n">
        <v>0</v>
      </c>
      <c r="I7774" t="n">
        <v>0</v>
      </c>
      <c r="J7774" t="n">
        <v>0</v>
      </c>
      <c r="K7774" t="n">
        <v>0</v>
      </c>
      <c r="L7774" t="n">
        <v>0</v>
      </c>
      <c r="M7774" t="n">
        <v>0</v>
      </c>
      <c r="N7774" t="n">
        <v>0</v>
      </c>
      <c r="O7774" t="n">
        <v>0</v>
      </c>
      <c r="P7774" t="n">
        <v>0</v>
      </c>
      <c r="Q7774" t="n">
        <v>0</v>
      </c>
      <c r="R7774" s="2" t="inlineStr"/>
    </row>
    <row r="7775" ht="15" customHeight="1">
      <c r="A7775" t="inlineStr">
        <is>
          <t>A 89-2026</t>
        </is>
      </c>
      <c r="B7775" s="1" t="n">
        <v>46016</v>
      </c>
      <c r="C7775" s="1" t="n">
        <v>46114</v>
      </c>
      <c r="D7775" t="inlineStr">
        <is>
          <t>DALARNAS LÄN</t>
        </is>
      </c>
      <c r="E7775" t="inlineStr">
        <is>
          <t>ORSA</t>
        </is>
      </c>
      <c r="G7775" t="n">
        <v>1.3</v>
      </c>
      <c r="H7775" t="n">
        <v>0</v>
      </c>
      <c r="I7775" t="n">
        <v>0</v>
      </c>
      <c r="J7775" t="n">
        <v>0</v>
      </c>
      <c r="K7775" t="n">
        <v>0</v>
      </c>
      <c r="L7775" t="n">
        <v>0</v>
      </c>
      <c r="M7775" t="n">
        <v>0</v>
      </c>
      <c r="N7775" t="n">
        <v>0</v>
      </c>
      <c r="O7775" t="n">
        <v>0</v>
      </c>
      <c r="P7775" t="n">
        <v>0</v>
      </c>
      <c r="Q7775" t="n">
        <v>0</v>
      </c>
      <c r="R7775" s="2" t="inlineStr"/>
    </row>
    <row r="7776" ht="15" customHeight="1">
      <c r="A7776" t="inlineStr">
        <is>
          <t>A 1530-2025</t>
        </is>
      </c>
      <c r="B7776" s="1" t="n">
        <v>45670.47900462963</v>
      </c>
      <c r="C7776" s="1" t="n">
        <v>46114</v>
      </c>
      <c r="D7776" t="inlineStr">
        <is>
          <t>DALARNAS LÄN</t>
        </is>
      </c>
      <c r="E7776" t="inlineStr">
        <is>
          <t>MALUNG-SÄLEN</t>
        </is>
      </c>
      <c r="G7776" t="n">
        <v>2.1</v>
      </c>
      <c r="H7776" t="n">
        <v>0</v>
      </c>
      <c r="I7776" t="n">
        <v>0</v>
      </c>
      <c r="J7776" t="n">
        <v>0</v>
      </c>
      <c r="K7776" t="n">
        <v>0</v>
      </c>
      <c r="L7776" t="n">
        <v>0</v>
      </c>
      <c r="M7776" t="n">
        <v>0</v>
      </c>
      <c r="N7776" t="n">
        <v>0</v>
      </c>
      <c r="O7776" t="n">
        <v>0</v>
      </c>
      <c r="P7776" t="n">
        <v>0</v>
      </c>
      <c r="Q7776" t="n">
        <v>0</v>
      </c>
      <c r="R7776" s="2" t="inlineStr"/>
    </row>
    <row r="7777" ht="15" customHeight="1">
      <c r="A7777" t="inlineStr">
        <is>
          <t>A 62188-2023</t>
        </is>
      </c>
      <c r="B7777" s="1" t="n">
        <v>45267</v>
      </c>
      <c r="C7777" s="1" t="n">
        <v>46114</v>
      </c>
      <c r="D7777" t="inlineStr">
        <is>
          <t>DALARNAS LÄN</t>
        </is>
      </c>
      <c r="E7777" t="inlineStr">
        <is>
          <t>HEDEMORA</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11351-2026</t>
        </is>
      </c>
      <c r="B7778" s="1" t="n">
        <v>46082.96141203704</v>
      </c>
      <c r="C7778" s="1" t="n">
        <v>46114</v>
      </c>
      <c r="D7778" t="inlineStr">
        <is>
          <t>DALARNAS LÄN</t>
        </is>
      </c>
      <c r="E7778" t="inlineStr">
        <is>
          <t>VANSBRO</t>
        </is>
      </c>
      <c r="G7778" t="n">
        <v>2.4</v>
      </c>
      <c r="H7778" t="n">
        <v>0</v>
      </c>
      <c r="I7778" t="n">
        <v>0</v>
      </c>
      <c r="J7778" t="n">
        <v>0</v>
      </c>
      <c r="K7778" t="n">
        <v>0</v>
      </c>
      <c r="L7778" t="n">
        <v>0</v>
      </c>
      <c r="M7778" t="n">
        <v>0</v>
      </c>
      <c r="N7778" t="n">
        <v>0</v>
      </c>
      <c r="O7778" t="n">
        <v>0</v>
      </c>
      <c r="P7778" t="n">
        <v>0</v>
      </c>
      <c r="Q7778" t="n">
        <v>0</v>
      </c>
      <c r="R7778" s="2" t="inlineStr"/>
    </row>
    <row r="7779" ht="15" customHeight="1">
      <c r="A7779" t="inlineStr">
        <is>
          <t>A 572-2024</t>
        </is>
      </c>
      <c r="B7779" s="1" t="n">
        <v>45299</v>
      </c>
      <c r="C7779" s="1" t="n">
        <v>46114</v>
      </c>
      <c r="D7779" t="inlineStr">
        <is>
          <t>DALARNAS LÄN</t>
        </is>
      </c>
      <c r="E7779" t="inlineStr">
        <is>
          <t>VANSBRO</t>
        </is>
      </c>
      <c r="G7779" t="n">
        <v>0.4</v>
      </c>
      <c r="H7779" t="n">
        <v>0</v>
      </c>
      <c r="I7779" t="n">
        <v>0</v>
      </c>
      <c r="J7779" t="n">
        <v>0</v>
      </c>
      <c r="K7779" t="n">
        <v>0</v>
      </c>
      <c r="L7779" t="n">
        <v>0</v>
      </c>
      <c r="M7779" t="n">
        <v>0</v>
      </c>
      <c r="N7779" t="n">
        <v>0</v>
      </c>
      <c r="O7779" t="n">
        <v>0</v>
      </c>
      <c r="P7779" t="n">
        <v>0</v>
      </c>
      <c r="Q7779" t="n">
        <v>0</v>
      </c>
      <c r="R7779" s="2" t="inlineStr"/>
    </row>
    <row r="7780" ht="15" customHeight="1">
      <c r="A7780" t="inlineStr">
        <is>
          <t>A 597-2024</t>
        </is>
      </c>
      <c r="B7780" s="1" t="n">
        <v>45299.63410879629</v>
      </c>
      <c r="C7780" s="1" t="n">
        <v>46114</v>
      </c>
      <c r="D7780" t="inlineStr">
        <is>
          <t>DALARNAS LÄN</t>
        </is>
      </c>
      <c r="E7780" t="inlineStr">
        <is>
          <t>ORSA</t>
        </is>
      </c>
      <c r="G7780" t="n">
        <v>4.4</v>
      </c>
      <c r="H7780" t="n">
        <v>0</v>
      </c>
      <c r="I7780" t="n">
        <v>0</v>
      </c>
      <c r="J7780" t="n">
        <v>0</v>
      </c>
      <c r="K7780" t="n">
        <v>0</v>
      </c>
      <c r="L7780" t="n">
        <v>0</v>
      </c>
      <c r="M7780" t="n">
        <v>0</v>
      </c>
      <c r="N7780" t="n">
        <v>0</v>
      </c>
      <c r="O7780" t="n">
        <v>0</v>
      </c>
      <c r="P7780" t="n">
        <v>0</v>
      </c>
      <c r="Q7780" t="n">
        <v>0</v>
      </c>
      <c r="R7780" s="2" t="inlineStr"/>
    </row>
    <row r="7781" ht="15" customHeight="1">
      <c r="A7781" t="inlineStr">
        <is>
          <t>A 62264-2023</t>
        </is>
      </c>
      <c r="B7781" s="1" t="n">
        <v>45267</v>
      </c>
      <c r="C7781" s="1" t="n">
        <v>46114</v>
      </c>
      <c r="D7781" t="inlineStr">
        <is>
          <t>DALARNAS LÄN</t>
        </is>
      </c>
      <c r="E7781" t="inlineStr">
        <is>
          <t>MALUNG-SÄLEN</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11454-2026</t>
        </is>
      </c>
      <c r="B7782" s="1" t="n">
        <v>46083.56106481481</v>
      </c>
      <c r="C7782" s="1" t="n">
        <v>46114</v>
      </c>
      <c r="D7782" t="inlineStr">
        <is>
          <t>DALARNAS LÄN</t>
        </is>
      </c>
      <c r="E7782" t="inlineStr">
        <is>
          <t>ORSA</t>
        </is>
      </c>
      <c r="F7782" t="inlineStr">
        <is>
          <t>Bergvik skog öst AB</t>
        </is>
      </c>
      <c r="G7782" t="n">
        <v>1.1</v>
      </c>
      <c r="H7782" t="n">
        <v>0</v>
      </c>
      <c r="I7782" t="n">
        <v>0</v>
      </c>
      <c r="J7782" t="n">
        <v>0</v>
      </c>
      <c r="K7782" t="n">
        <v>0</v>
      </c>
      <c r="L7782" t="n">
        <v>0</v>
      </c>
      <c r="M7782" t="n">
        <v>0</v>
      </c>
      <c r="N7782" t="n">
        <v>0</v>
      </c>
      <c r="O7782" t="n">
        <v>0</v>
      </c>
      <c r="P7782" t="n">
        <v>0</v>
      </c>
      <c r="Q7782" t="n">
        <v>0</v>
      </c>
      <c r="R7782" s="2" t="inlineStr"/>
    </row>
    <row r="7783" ht="15" customHeight="1">
      <c r="A7783" t="inlineStr">
        <is>
          <t>A 11482-2026</t>
        </is>
      </c>
      <c r="B7783" s="1" t="n">
        <v>46083.60938657408</v>
      </c>
      <c r="C7783" s="1" t="n">
        <v>46114</v>
      </c>
      <c r="D7783" t="inlineStr">
        <is>
          <t>DALARNAS LÄN</t>
        </is>
      </c>
      <c r="E7783" t="inlineStr">
        <is>
          <t>FALUN</t>
        </is>
      </c>
      <c r="F7783" t="inlineStr">
        <is>
          <t>Bergvik skog väst AB</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11510-2026</t>
        </is>
      </c>
      <c r="B7784" s="1" t="n">
        <v>46083.65681712963</v>
      </c>
      <c r="C7784" s="1" t="n">
        <v>46114</v>
      </c>
      <c r="D7784" t="inlineStr">
        <is>
          <t>DALARNAS LÄN</t>
        </is>
      </c>
      <c r="E7784" t="inlineStr">
        <is>
          <t>ORSA</t>
        </is>
      </c>
      <c r="F7784" t="inlineStr">
        <is>
          <t>Bergvik skog öst AB</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21402-2023</t>
        </is>
      </c>
      <c r="B7785" s="1" t="n">
        <v>45061</v>
      </c>
      <c r="C7785" s="1" t="n">
        <v>46114</v>
      </c>
      <c r="D7785" t="inlineStr">
        <is>
          <t>DALARNAS LÄN</t>
        </is>
      </c>
      <c r="E7785" t="inlineStr">
        <is>
          <t>LEKSAND</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20790-2021</t>
        </is>
      </c>
      <c r="B7786" s="1" t="n">
        <v>44316</v>
      </c>
      <c r="C7786" s="1" t="n">
        <v>46114</v>
      </c>
      <c r="D7786" t="inlineStr">
        <is>
          <t>DALARNAS LÄN</t>
        </is>
      </c>
      <c r="E7786" t="inlineStr">
        <is>
          <t>SMEDJEBACKEN</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2897-2026</t>
        </is>
      </c>
      <c r="B7787" s="1" t="n">
        <v>46038.55563657408</v>
      </c>
      <c r="C7787" s="1" t="n">
        <v>46114</v>
      </c>
      <c r="D7787" t="inlineStr">
        <is>
          <t>DALARNAS LÄN</t>
        </is>
      </c>
      <c r="E7787" t="inlineStr">
        <is>
          <t>ÄLVDALEN</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2914-2026</t>
        </is>
      </c>
      <c r="B7788" s="1" t="n">
        <v>46038.56950231481</v>
      </c>
      <c r="C7788" s="1" t="n">
        <v>46114</v>
      </c>
      <c r="D7788" t="inlineStr">
        <is>
          <t>DALARNAS LÄN</t>
        </is>
      </c>
      <c r="E7788" t="inlineStr">
        <is>
          <t>ÄLVDALEN</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33165-2024</t>
        </is>
      </c>
      <c r="B7789" s="1" t="n">
        <v>45518.41333333333</v>
      </c>
      <c r="C7789" s="1" t="n">
        <v>46114</v>
      </c>
      <c r="D7789" t="inlineStr">
        <is>
          <t>DALARNAS LÄN</t>
        </is>
      </c>
      <c r="E7789" t="inlineStr">
        <is>
          <t>RÄTTVIK</t>
        </is>
      </c>
      <c r="G7789" t="n">
        <v>0.2</v>
      </c>
      <c r="H7789" t="n">
        <v>0</v>
      </c>
      <c r="I7789" t="n">
        <v>0</v>
      </c>
      <c r="J7789" t="n">
        <v>0</v>
      </c>
      <c r="K7789" t="n">
        <v>0</v>
      </c>
      <c r="L7789" t="n">
        <v>0</v>
      </c>
      <c r="M7789" t="n">
        <v>0</v>
      </c>
      <c r="N7789" t="n">
        <v>0</v>
      </c>
      <c r="O7789" t="n">
        <v>0</v>
      </c>
      <c r="P7789" t="n">
        <v>0</v>
      </c>
      <c r="Q7789" t="n">
        <v>0</v>
      </c>
      <c r="R7789" s="2" t="inlineStr"/>
    </row>
    <row r="7790" ht="15" customHeight="1">
      <c r="A7790" t="inlineStr">
        <is>
          <t>A 33174-2024</t>
        </is>
      </c>
      <c r="B7790" s="1" t="n">
        <v>45518.43670138889</v>
      </c>
      <c r="C7790" s="1" t="n">
        <v>46114</v>
      </c>
      <c r="D7790" t="inlineStr">
        <is>
          <t>DALARNAS LÄN</t>
        </is>
      </c>
      <c r="E7790" t="inlineStr">
        <is>
          <t>RÄTTVIK</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31391-2024</t>
        </is>
      </c>
      <c r="B7791" s="1" t="n">
        <v>45505.46616898148</v>
      </c>
      <c r="C7791" s="1" t="n">
        <v>46114</v>
      </c>
      <c r="D7791" t="inlineStr">
        <is>
          <t>DALARNAS LÄN</t>
        </is>
      </c>
      <c r="E7791" t="inlineStr">
        <is>
          <t>LEKSAND</t>
        </is>
      </c>
      <c r="F7791" t="inlineStr">
        <is>
          <t>Bergvik skog väst AB</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2906-2026</t>
        </is>
      </c>
      <c r="B7792" s="1" t="n">
        <v>46038.56025462963</v>
      </c>
      <c r="C7792" s="1" t="n">
        <v>46114</v>
      </c>
      <c r="D7792" t="inlineStr">
        <is>
          <t>DALARNAS LÄN</t>
        </is>
      </c>
      <c r="E7792" t="inlineStr">
        <is>
          <t>ÄLVDALEN</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2927-2026</t>
        </is>
      </c>
      <c r="B7793" s="1" t="n">
        <v>46038.58077546296</v>
      </c>
      <c r="C7793" s="1" t="n">
        <v>46114</v>
      </c>
      <c r="D7793" t="inlineStr">
        <is>
          <t>DALARNAS LÄN</t>
        </is>
      </c>
      <c r="E7793" t="inlineStr">
        <is>
          <t>ÄLVDALEN</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167-2023</t>
        </is>
      </c>
      <c r="B7794" s="1" t="n">
        <v>44918</v>
      </c>
      <c r="C7794" s="1" t="n">
        <v>46114</v>
      </c>
      <c r="D7794" t="inlineStr">
        <is>
          <t>DALARNAS LÄN</t>
        </is>
      </c>
      <c r="E7794" t="inlineStr">
        <is>
          <t>LEKSAND</t>
        </is>
      </c>
      <c r="G7794" t="n">
        <v>0.5</v>
      </c>
      <c r="H7794" t="n">
        <v>0</v>
      </c>
      <c r="I7794" t="n">
        <v>0</v>
      </c>
      <c r="J7794" t="n">
        <v>0</v>
      </c>
      <c r="K7794" t="n">
        <v>0</v>
      </c>
      <c r="L7794" t="n">
        <v>0</v>
      </c>
      <c r="M7794" t="n">
        <v>0</v>
      </c>
      <c r="N7794" t="n">
        <v>0</v>
      </c>
      <c r="O7794" t="n">
        <v>0</v>
      </c>
      <c r="P7794" t="n">
        <v>0</v>
      </c>
      <c r="Q7794" t="n">
        <v>0</v>
      </c>
      <c r="R7794" s="2" t="inlineStr"/>
    </row>
    <row r="7795" ht="15" customHeight="1">
      <c r="A7795" t="inlineStr">
        <is>
          <t>A 6436-2022</t>
        </is>
      </c>
      <c r="B7795" s="1" t="n">
        <v>44601</v>
      </c>
      <c r="C7795" s="1" t="n">
        <v>46114</v>
      </c>
      <c r="D7795" t="inlineStr">
        <is>
          <t>DALARNAS LÄN</t>
        </is>
      </c>
      <c r="E7795" t="inlineStr">
        <is>
          <t>BORLÄNGE</t>
        </is>
      </c>
      <c r="G7795" t="n">
        <v>4.2</v>
      </c>
      <c r="H7795" t="n">
        <v>0</v>
      </c>
      <c r="I7795" t="n">
        <v>0</v>
      </c>
      <c r="J7795" t="n">
        <v>0</v>
      </c>
      <c r="K7795" t="n">
        <v>0</v>
      </c>
      <c r="L7795" t="n">
        <v>0</v>
      </c>
      <c r="M7795" t="n">
        <v>0</v>
      </c>
      <c r="N7795" t="n">
        <v>0</v>
      </c>
      <c r="O7795" t="n">
        <v>0</v>
      </c>
      <c r="P7795" t="n">
        <v>0</v>
      </c>
      <c r="Q7795" t="n">
        <v>0</v>
      </c>
      <c r="R7795" s="2" t="inlineStr"/>
    </row>
    <row r="7796" ht="15" customHeight="1">
      <c r="A7796" t="inlineStr">
        <is>
          <t>A 3276-2026</t>
        </is>
      </c>
      <c r="B7796" s="1" t="n">
        <v>46041</v>
      </c>
      <c r="C7796" s="1" t="n">
        <v>46114</v>
      </c>
      <c r="D7796" t="inlineStr">
        <is>
          <t>DALARNAS LÄN</t>
        </is>
      </c>
      <c r="E7796" t="inlineStr">
        <is>
          <t>FALUN</t>
        </is>
      </c>
      <c r="G7796" t="n">
        <v>17.3</v>
      </c>
      <c r="H7796" t="n">
        <v>0</v>
      </c>
      <c r="I7796" t="n">
        <v>0</v>
      </c>
      <c r="J7796" t="n">
        <v>0</v>
      </c>
      <c r="K7796" t="n">
        <v>0</v>
      </c>
      <c r="L7796" t="n">
        <v>0</v>
      </c>
      <c r="M7796" t="n">
        <v>0</v>
      </c>
      <c r="N7796" t="n">
        <v>0</v>
      </c>
      <c r="O7796" t="n">
        <v>0</v>
      </c>
      <c r="P7796" t="n">
        <v>0</v>
      </c>
      <c r="Q7796" t="n">
        <v>0</v>
      </c>
      <c r="R7796" s="2" t="inlineStr"/>
    </row>
    <row r="7797" ht="15" customHeight="1">
      <c r="A7797" t="inlineStr">
        <is>
          <t>A 3343-2026</t>
        </is>
      </c>
      <c r="B7797" s="1" t="n">
        <v>46041</v>
      </c>
      <c r="C7797" s="1" t="n">
        <v>46114</v>
      </c>
      <c r="D7797" t="inlineStr">
        <is>
          <t>DALARNAS LÄN</t>
        </is>
      </c>
      <c r="E7797" t="inlineStr">
        <is>
          <t>FALUN</t>
        </is>
      </c>
      <c r="G7797" t="n">
        <v>3.9</v>
      </c>
      <c r="H7797" t="n">
        <v>0</v>
      </c>
      <c r="I7797" t="n">
        <v>0</v>
      </c>
      <c r="J7797" t="n">
        <v>0</v>
      </c>
      <c r="K7797" t="n">
        <v>0</v>
      </c>
      <c r="L7797" t="n">
        <v>0</v>
      </c>
      <c r="M7797" t="n">
        <v>0</v>
      </c>
      <c r="N7797" t="n">
        <v>0</v>
      </c>
      <c r="O7797" t="n">
        <v>0</v>
      </c>
      <c r="P7797" t="n">
        <v>0</v>
      </c>
      <c r="Q7797" t="n">
        <v>0</v>
      </c>
      <c r="R7797" s="2" t="inlineStr"/>
    </row>
    <row r="7798" ht="15" customHeight="1">
      <c r="A7798" t="inlineStr">
        <is>
          <t>A 3347-2026</t>
        </is>
      </c>
      <c r="B7798" s="1" t="n">
        <v>46041</v>
      </c>
      <c r="C7798" s="1" t="n">
        <v>46114</v>
      </c>
      <c r="D7798" t="inlineStr">
        <is>
          <t>DALARNAS LÄN</t>
        </is>
      </c>
      <c r="E7798" t="inlineStr">
        <is>
          <t>FALUN</t>
        </is>
      </c>
      <c r="G7798" t="n">
        <v>5.9</v>
      </c>
      <c r="H7798" t="n">
        <v>0</v>
      </c>
      <c r="I7798" t="n">
        <v>0</v>
      </c>
      <c r="J7798" t="n">
        <v>0</v>
      </c>
      <c r="K7798" t="n">
        <v>0</v>
      </c>
      <c r="L7798" t="n">
        <v>0</v>
      </c>
      <c r="M7798" t="n">
        <v>0</v>
      </c>
      <c r="N7798" t="n">
        <v>0</v>
      </c>
      <c r="O7798" t="n">
        <v>0</v>
      </c>
      <c r="P7798" t="n">
        <v>0</v>
      </c>
      <c r="Q7798" t="n">
        <v>0</v>
      </c>
      <c r="R7798" s="2" t="inlineStr"/>
    </row>
    <row r="7799" ht="15" customHeight="1">
      <c r="A7799" t="inlineStr">
        <is>
          <t>A 2728-2026</t>
        </is>
      </c>
      <c r="B7799" s="1" t="n">
        <v>46037.82216435186</v>
      </c>
      <c r="C7799" s="1" t="n">
        <v>46114</v>
      </c>
      <c r="D7799" t="inlineStr">
        <is>
          <t>DALARNAS LÄN</t>
        </is>
      </c>
      <c r="E7799" t="inlineStr">
        <is>
          <t>VANSBRO</t>
        </is>
      </c>
      <c r="G7799" t="n">
        <v>6.5</v>
      </c>
      <c r="H7799" t="n">
        <v>0</v>
      </c>
      <c r="I7799" t="n">
        <v>0</v>
      </c>
      <c r="J7799" t="n">
        <v>0</v>
      </c>
      <c r="K7799" t="n">
        <v>0</v>
      </c>
      <c r="L7799" t="n">
        <v>0</v>
      </c>
      <c r="M7799" t="n">
        <v>0</v>
      </c>
      <c r="N7799" t="n">
        <v>0</v>
      </c>
      <c r="O7799" t="n">
        <v>0</v>
      </c>
      <c r="P7799" t="n">
        <v>0</v>
      </c>
      <c r="Q7799" t="n">
        <v>0</v>
      </c>
      <c r="R7799" s="2" t="inlineStr"/>
    </row>
    <row r="7800" ht="15" customHeight="1">
      <c r="A7800" t="inlineStr">
        <is>
          <t>A 4951-2025</t>
        </is>
      </c>
      <c r="B7800" s="1" t="n">
        <v>45689.46016203704</v>
      </c>
      <c r="C7800" s="1" t="n">
        <v>46114</v>
      </c>
      <c r="D7800" t="inlineStr">
        <is>
          <t>DALARNAS LÄN</t>
        </is>
      </c>
      <c r="E7800" t="inlineStr">
        <is>
          <t>VANSBRO</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4952-2025</t>
        </is>
      </c>
      <c r="B7801" s="1" t="n">
        <v>45689.51372685185</v>
      </c>
      <c r="C7801" s="1" t="n">
        <v>46114</v>
      </c>
      <c r="D7801" t="inlineStr">
        <is>
          <t>DALARNAS LÄN</t>
        </is>
      </c>
      <c r="E7801" t="inlineStr">
        <is>
          <t>VANSBRO</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3336-2026</t>
        </is>
      </c>
      <c r="B7802" s="1" t="n">
        <v>46041</v>
      </c>
      <c r="C7802" s="1" t="n">
        <v>46114</v>
      </c>
      <c r="D7802" t="inlineStr">
        <is>
          <t>DALARNAS LÄN</t>
        </is>
      </c>
      <c r="E7802" t="inlineStr">
        <is>
          <t>FALUN</t>
        </is>
      </c>
      <c r="G7802" t="n">
        <v>3</v>
      </c>
      <c r="H7802" t="n">
        <v>0</v>
      </c>
      <c r="I7802" t="n">
        <v>0</v>
      </c>
      <c r="J7802" t="n">
        <v>0</v>
      </c>
      <c r="K7802" t="n">
        <v>0</v>
      </c>
      <c r="L7802" t="n">
        <v>0</v>
      </c>
      <c r="M7802" t="n">
        <v>0</v>
      </c>
      <c r="N7802" t="n">
        <v>0</v>
      </c>
      <c r="O7802" t="n">
        <v>0</v>
      </c>
      <c r="P7802" t="n">
        <v>0</v>
      </c>
      <c r="Q7802" t="n">
        <v>0</v>
      </c>
      <c r="R7802" s="2" t="inlineStr"/>
    </row>
    <row r="7803" ht="15" customHeight="1">
      <c r="A7803" t="inlineStr">
        <is>
          <t>A 2742-2026</t>
        </is>
      </c>
      <c r="B7803" s="1" t="n">
        <v>46038.3058912037</v>
      </c>
      <c r="C7803" s="1" t="n">
        <v>46114</v>
      </c>
      <c r="D7803" t="inlineStr">
        <is>
          <t>DALARNAS LÄN</t>
        </is>
      </c>
      <c r="E7803" t="inlineStr">
        <is>
          <t>FALUN</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35981-2022</t>
        </is>
      </c>
      <c r="B7804" s="1" t="n">
        <v>44802.59116898148</v>
      </c>
      <c r="C7804" s="1" t="n">
        <v>46114</v>
      </c>
      <c r="D7804" t="inlineStr">
        <is>
          <t>DALARNAS LÄN</t>
        </is>
      </c>
      <c r="E7804" t="inlineStr">
        <is>
          <t>FALUN</t>
        </is>
      </c>
      <c r="G7804" t="n">
        <v>0.7</v>
      </c>
      <c r="H7804" t="n">
        <v>0</v>
      </c>
      <c r="I7804" t="n">
        <v>0</v>
      </c>
      <c r="J7804" t="n">
        <v>0</v>
      </c>
      <c r="K7804" t="n">
        <v>0</v>
      </c>
      <c r="L7804" t="n">
        <v>0</v>
      </c>
      <c r="M7804" t="n">
        <v>0</v>
      </c>
      <c r="N7804" t="n">
        <v>0</v>
      </c>
      <c r="O7804" t="n">
        <v>0</v>
      </c>
      <c r="P7804" t="n">
        <v>0</v>
      </c>
      <c r="Q7804" t="n">
        <v>0</v>
      </c>
      <c r="R7804" s="2" t="inlineStr"/>
    </row>
    <row r="7805" ht="15" customHeight="1">
      <c r="A7805" t="inlineStr">
        <is>
          <t>A 41933-2024</t>
        </is>
      </c>
      <c r="B7805" s="1" t="n">
        <v>45561.56449074074</v>
      </c>
      <c r="C7805" s="1" t="n">
        <v>46114</v>
      </c>
      <c r="D7805" t="inlineStr">
        <is>
          <t>DALARNAS LÄN</t>
        </is>
      </c>
      <c r="E7805" t="inlineStr">
        <is>
          <t>FALUN</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41954-2024</t>
        </is>
      </c>
      <c r="B7806" s="1" t="n">
        <v>45561</v>
      </c>
      <c r="C7806" s="1" t="n">
        <v>46114</v>
      </c>
      <c r="D7806" t="inlineStr">
        <is>
          <t>DALARNAS LÄN</t>
        </is>
      </c>
      <c r="E7806" t="inlineStr">
        <is>
          <t>SÄTER</t>
        </is>
      </c>
      <c r="F7806" t="inlineStr">
        <is>
          <t>Bergvik skog väst AB</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44531-2024</t>
        </is>
      </c>
      <c r="B7807" s="1" t="n">
        <v>45574.44925925926</v>
      </c>
      <c r="C7807" s="1" t="n">
        <v>46114</v>
      </c>
      <c r="D7807" t="inlineStr">
        <is>
          <t>DALARNAS LÄN</t>
        </is>
      </c>
      <c r="E7807" t="inlineStr">
        <is>
          <t>FALUN</t>
        </is>
      </c>
      <c r="F7807" t="inlineStr">
        <is>
          <t>Bergvik skog väst AB</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44534-2024</t>
        </is>
      </c>
      <c r="B7808" s="1" t="n">
        <v>45574.45234953704</v>
      </c>
      <c r="C7808" s="1" t="n">
        <v>46114</v>
      </c>
      <c r="D7808" t="inlineStr">
        <is>
          <t>DALARNAS LÄN</t>
        </is>
      </c>
      <c r="E7808" t="inlineStr">
        <is>
          <t>LUDVIKA</t>
        </is>
      </c>
      <c r="F7808" t="inlineStr">
        <is>
          <t>Bergvik skog väst AB</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44537-2024</t>
        </is>
      </c>
      <c r="B7809" s="1" t="n">
        <v>45574.45362268519</v>
      </c>
      <c r="C7809" s="1" t="n">
        <v>46114</v>
      </c>
      <c r="D7809" t="inlineStr">
        <is>
          <t>DALARNAS LÄN</t>
        </is>
      </c>
      <c r="E7809" t="inlineStr">
        <is>
          <t>LUDVIKA</t>
        </is>
      </c>
      <c r="F7809" t="inlineStr">
        <is>
          <t>Bergvik skog väst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3145-2026</t>
        </is>
      </c>
      <c r="B7810" s="1" t="n">
        <v>46041.41971064815</v>
      </c>
      <c r="C7810" s="1" t="n">
        <v>46114</v>
      </c>
      <c r="D7810" t="inlineStr">
        <is>
          <t>DALARNAS LÄN</t>
        </is>
      </c>
      <c r="E7810" t="inlineStr">
        <is>
          <t>MORA</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44574-2024</t>
        </is>
      </c>
      <c r="B7811" s="1" t="n">
        <v>45574.48344907408</v>
      </c>
      <c r="C7811" s="1" t="n">
        <v>46114</v>
      </c>
      <c r="D7811" t="inlineStr">
        <is>
          <t>DALARNAS LÄN</t>
        </is>
      </c>
      <c r="E7811" t="inlineStr">
        <is>
          <t>MALUNG-SÄLEN</t>
        </is>
      </c>
      <c r="F7811" t="inlineStr">
        <is>
          <t>Bergvik skog öst AB</t>
        </is>
      </c>
      <c r="G7811" t="n">
        <v>2.1</v>
      </c>
      <c r="H7811" t="n">
        <v>0</v>
      </c>
      <c r="I7811" t="n">
        <v>0</v>
      </c>
      <c r="J7811" t="n">
        <v>0</v>
      </c>
      <c r="K7811" t="n">
        <v>0</v>
      </c>
      <c r="L7811" t="n">
        <v>0</v>
      </c>
      <c r="M7811" t="n">
        <v>0</v>
      </c>
      <c r="N7811" t="n">
        <v>0</v>
      </c>
      <c r="O7811" t="n">
        <v>0</v>
      </c>
      <c r="P7811" t="n">
        <v>0</v>
      </c>
      <c r="Q7811" t="n">
        <v>0</v>
      </c>
      <c r="R7811" s="2" t="inlineStr"/>
    </row>
    <row r="7812" ht="15" customHeight="1">
      <c r="A7812" t="inlineStr">
        <is>
          <t>A 11350-2026</t>
        </is>
      </c>
      <c r="B7812" s="1" t="n">
        <v>46082.95100694444</v>
      </c>
      <c r="C7812" s="1" t="n">
        <v>46114</v>
      </c>
      <c r="D7812" t="inlineStr">
        <is>
          <t>DALARNAS LÄN</t>
        </is>
      </c>
      <c r="E7812" t="inlineStr">
        <is>
          <t>VANSBRO</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3027-2026</t>
        </is>
      </c>
      <c r="B7813" s="1" t="n">
        <v>46038.69246527777</v>
      </c>
      <c r="C7813" s="1" t="n">
        <v>46114</v>
      </c>
      <c r="D7813" t="inlineStr">
        <is>
          <t>DALARNAS LÄN</t>
        </is>
      </c>
      <c r="E7813" t="inlineStr">
        <is>
          <t>FALUN</t>
        </is>
      </c>
      <c r="G7813" t="n">
        <v>4.9</v>
      </c>
      <c r="H7813" t="n">
        <v>0</v>
      </c>
      <c r="I7813" t="n">
        <v>0</v>
      </c>
      <c r="J7813" t="n">
        <v>0</v>
      </c>
      <c r="K7813" t="n">
        <v>0</v>
      </c>
      <c r="L7813" t="n">
        <v>0</v>
      </c>
      <c r="M7813" t="n">
        <v>0</v>
      </c>
      <c r="N7813" t="n">
        <v>0</v>
      </c>
      <c r="O7813" t="n">
        <v>0</v>
      </c>
      <c r="P7813" t="n">
        <v>0</v>
      </c>
      <c r="Q7813" t="n">
        <v>0</v>
      </c>
      <c r="R7813" s="2" t="inlineStr"/>
    </row>
    <row r="7814" ht="15" customHeight="1">
      <c r="A7814" t="inlineStr">
        <is>
          <t>A 3149-2026</t>
        </is>
      </c>
      <c r="B7814" s="1" t="n">
        <v>46041.42416666666</v>
      </c>
      <c r="C7814" s="1" t="n">
        <v>46114</v>
      </c>
      <c r="D7814" t="inlineStr">
        <is>
          <t>DALARNAS LÄN</t>
        </is>
      </c>
      <c r="E7814" t="inlineStr">
        <is>
          <t>MORA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2939-2026</t>
        </is>
      </c>
      <c r="B7815" s="1" t="n">
        <v>46038.58866898148</v>
      </c>
      <c r="C7815" s="1" t="n">
        <v>46114</v>
      </c>
      <c r="D7815" t="inlineStr">
        <is>
          <t>DALARNAS LÄN</t>
        </is>
      </c>
      <c r="E7815" t="inlineStr">
        <is>
          <t>ÄLVDALEN</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2765-2026</t>
        </is>
      </c>
      <c r="B7816" s="1" t="n">
        <v>46038</v>
      </c>
      <c r="C7816" s="1" t="n">
        <v>46114</v>
      </c>
      <c r="D7816" t="inlineStr">
        <is>
          <t>DALARNAS LÄN</t>
        </is>
      </c>
      <c r="E7816" t="inlineStr">
        <is>
          <t>SMEDJEBACKEN</t>
        </is>
      </c>
      <c r="G7816" t="n">
        <v>3.9</v>
      </c>
      <c r="H7816" t="n">
        <v>0</v>
      </c>
      <c r="I7816" t="n">
        <v>0</v>
      </c>
      <c r="J7816" t="n">
        <v>0</v>
      </c>
      <c r="K7816" t="n">
        <v>0</v>
      </c>
      <c r="L7816" t="n">
        <v>0</v>
      </c>
      <c r="M7816" t="n">
        <v>0</v>
      </c>
      <c r="N7816" t="n">
        <v>0</v>
      </c>
      <c r="O7816" t="n">
        <v>0</v>
      </c>
      <c r="P7816" t="n">
        <v>0</v>
      </c>
      <c r="Q7816" t="n">
        <v>0</v>
      </c>
      <c r="R7816" s="2" t="inlineStr"/>
    </row>
    <row r="7817" ht="15" customHeight="1">
      <c r="A7817" t="inlineStr">
        <is>
          <t>A 32849-2024</t>
        </is>
      </c>
      <c r="B7817" s="1" t="n">
        <v>45516.63180555555</v>
      </c>
      <c r="C7817" s="1" t="n">
        <v>46114</v>
      </c>
      <c r="D7817" t="inlineStr">
        <is>
          <t>DALARNAS LÄN</t>
        </is>
      </c>
      <c r="E7817" t="inlineStr">
        <is>
          <t>VANSBRO</t>
        </is>
      </c>
      <c r="G7817" t="n">
        <v>5</v>
      </c>
      <c r="H7817" t="n">
        <v>0</v>
      </c>
      <c r="I7817" t="n">
        <v>0</v>
      </c>
      <c r="J7817" t="n">
        <v>0</v>
      </c>
      <c r="K7817" t="n">
        <v>0</v>
      </c>
      <c r="L7817" t="n">
        <v>0</v>
      </c>
      <c r="M7817" t="n">
        <v>0</v>
      </c>
      <c r="N7817" t="n">
        <v>0</v>
      </c>
      <c r="O7817" t="n">
        <v>0</v>
      </c>
      <c r="P7817" t="n">
        <v>0</v>
      </c>
      <c r="Q7817" t="n">
        <v>0</v>
      </c>
      <c r="R7817" s="2" t="inlineStr"/>
    </row>
    <row r="7818" ht="15" customHeight="1">
      <c r="A7818" t="inlineStr">
        <is>
          <t>A 45665-2024</t>
        </is>
      </c>
      <c r="B7818" s="1" t="n">
        <v>45579</v>
      </c>
      <c r="C7818" s="1" t="n">
        <v>46114</v>
      </c>
      <c r="D7818" t="inlineStr">
        <is>
          <t>DALARNAS LÄN</t>
        </is>
      </c>
      <c r="E7818" t="inlineStr">
        <is>
          <t>FALUN</t>
        </is>
      </c>
      <c r="G7818" t="n">
        <v>0.3</v>
      </c>
      <c r="H7818" t="n">
        <v>0</v>
      </c>
      <c r="I7818" t="n">
        <v>0</v>
      </c>
      <c r="J7818" t="n">
        <v>0</v>
      </c>
      <c r="K7818" t="n">
        <v>0</v>
      </c>
      <c r="L7818" t="n">
        <v>0</v>
      </c>
      <c r="M7818" t="n">
        <v>0</v>
      </c>
      <c r="N7818" t="n">
        <v>0</v>
      </c>
      <c r="O7818" t="n">
        <v>0</v>
      </c>
      <c r="P7818" t="n">
        <v>0</v>
      </c>
      <c r="Q7818" t="n">
        <v>0</v>
      </c>
      <c r="R7818" s="2" t="inlineStr"/>
    </row>
    <row r="7819" ht="15" customHeight="1">
      <c r="A7819" t="inlineStr">
        <is>
          <t>A 45674-2024</t>
        </is>
      </c>
      <c r="B7819" s="1" t="n">
        <v>45573</v>
      </c>
      <c r="C7819" s="1" t="n">
        <v>46114</v>
      </c>
      <c r="D7819" t="inlineStr">
        <is>
          <t>DALARNAS LÄN</t>
        </is>
      </c>
      <c r="E7819" t="inlineStr">
        <is>
          <t>MORA</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3854-2026</t>
        </is>
      </c>
      <c r="B7820" s="1" t="n">
        <v>46043</v>
      </c>
      <c r="C7820" s="1" t="n">
        <v>46114</v>
      </c>
      <c r="D7820" t="inlineStr">
        <is>
          <t>DALARNAS LÄN</t>
        </is>
      </c>
      <c r="E7820" t="inlineStr">
        <is>
          <t>MORA</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11819-2026</t>
        </is>
      </c>
      <c r="B7821" s="1" t="n">
        <v>46085.38835648148</v>
      </c>
      <c r="C7821" s="1" t="n">
        <v>46114</v>
      </c>
      <c r="D7821" t="inlineStr">
        <is>
          <t>DALARNAS LÄN</t>
        </is>
      </c>
      <c r="E7821" t="inlineStr">
        <is>
          <t>MORA</t>
        </is>
      </c>
      <c r="G7821" t="n">
        <v>0.6</v>
      </c>
      <c r="H7821" t="n">
        <v>0</v>
      </c>
      <c r="I7821" t="n">
        <v>0</v>
      </c>
      <c r="J7821" t="n">
        <v>0</v>
      </c>
      <c r="K7821" t="n">
        <v>0</v>
      </c>
      <c r="L7821" t="n">
        <v>0</v>
      </c>
      <c r="M7821" t="n">
        <v>0</v>
      </c>
      <c r="N7821" t="n">
        <v>0</v>
      </c>
      <c r="O7821" t="n">
        <v>0</v>
      </c>
      <c r="P7821" t="n">
        <v>0</v>
      </c>
      <c r="Q7821" t="n">
        <v>0</v>
      </c>
      <c r="R7821" s="2" t="inlineStr"/>
    </row>
    <row r="7822" ht="15" customHeight="1">
      <c r="A7822" t="inlineStr">
        <is>
          <t>A 3633-2026</t>
        </is>
      </c>
      <c r="B7822" s="1" t="n">
        <v>46043.3384375</v>
      </c>
      <c r="C7822" s="1" t="n">
        <v>46114</v>
      </c>
      <c r="D7822" t="inlineStr">
        <is>
          <t>DALARNAS LÄN</t>
        </is>
      </c>
      <c r="E7822" t="inlineStr">
        <is>
          <t>FALUN</t>
        </is>
      </c>
      <c r="G7822" t="n">
        <v>11.8</v>
      </c>
      <c r="H7822" t="n">
        <v>0</v>
      </c>
      <c r="I7822" t="n">
        <v>0</v>
      </c>
      <c r="J7822" t="n">
        <v>0</v>
      </c>
      <c r="K7822" t="n">
        <v>0</v>
      </c>
      <c r="L7822" t="n">
        <v>0</v>
      </c>
      <c r="M7822" t="n">
        <v>0</v>
      </c>
      <c r="N7822" t="n">
        <v>0</v>
      </c>
      <c r="O7822" t="n">
        <v>0</v>
      </c>
      <c r="P7822" t="n">
        <v>0</v>
      </c>
      <c r="Q7822" t="n">
        <v>0</v>
      </c>
      <c r="R7822" s="2" t="inlineStr"/>
    </row>
    <row r="7823" ht="15" customHeight="1">
      <c r="A7823" t="inlineStr">
        <is>
          <t>A 3648-2026</t>
        </is>
      </c>
      <c r="B7823" s="1" t="n">
        <v>46043.36582175926</v>
      </c>
      <c r="C7823" s="1" t="n">
        <v>46114</v>
      </c>
      <c r="D7823" t="inlineStr">
        <is>
          <t>DALARNAS LÄN</t>
        </is>
      </c>
      <c r="E7823" t="inlineStr">
        <is>
          <t>MALUNG-SÄLEN</t>
        </is>
      </c>
      <c r="F7823" t="inlineStr">
        <is>
          <t>Bergvik skog väst AB</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57898-2024</t>
        </is>
      </c>
      <c r="B7824" s="1" t="n">
        <v>45631.47834490741</v>
      </c>
      <c r="C7824" s="1" t="n">
        <v>46114</v>
      </c>
      <c r="D7824" t="inlineStr">
        <is>
          <t>DALARNAS LÄN</t>
        </is>
      </c>
      <c r="E7824" t="inlineStr">
        <is>
          <t>BORLÄNGE</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57904-2024</t>
        </is>
      </c>
      <c r="B7825" s="1" t="n">
        <v>45631.48799768519</v>
      </c>
      <c r="C7825" s="1" t="n">
        <v>46114</v>
      </c>
      <c r="D7825" t="inlineStr">
        <is>
          <t>DALARNAS LÄN</t>
        </is>
      </c>
      <c r="E7825" t="inlineStr">
        <is>
          <t>VANSBRO</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3440-2026</t>
        </is>
      </c>
      <c r="B7826" s="1" t="n">
        <v>46042.475625</v>
      </c>
      <c r="C7826" s="1" t="n">
        <v>46114</v>
      </c>
      <c r="D7826" t="inlineStr">
        <is>
          <t>DALARNAS LÄN</t>
        </is>
      </c>
      <c r="E7826" t="inlineStr">
        <is>
          <t>MORA</t>
        </is>
      </c>
      <c r="G7826" t="n">
        <v>6.7</v>
      </c>
      <c r="H7826" t="n">
        <v>0</v>
      </c>
      <c r="I7826" t="n">
        <v>0</v>
      </c>
      <c r="J7826" t="n">
        <v>0</v>
      </c>
      <c r="K7826" t="n">
        <v>0</v>
      </c>
      <c r="L7826" t="n">
        <v>0</v>
      </c>
      <c r="M7826" t="n">
        <v>0</v>
      </c>
      <c r="N7826" t="n">
        <v>0</v>
      </c>
      <c r="O7826" t="n">
        <v>0</v>
      </c>
      <c r="P7826" t="n">
        <v>0</v>
      </c>
      <c r="Q7826" t="n">
        <v>0</v>
      </c>
      <c r="R7826" s="2" t="inlineStr"/>
    </row>
    <row r="7827" ht="15" customHeight="1">
      <c r="A7827" t="inlineStr">
        <is>
          <t>A 3444-2026</t>
        </is>
      </c>
      <c r="B7827" s="1" t="n">
        <v>46042.48064814815</v>
      </c>
      <c r="C7827" s="1" t="n">
        <v>46114</v>
      </c>
      <c r="D7827" t="inlineStr">
        <is>
          <t>DALARNAS LÄN</t>
        </is>
      </c>
      <c r="E7827" t="inlineStr">
        <is>
          <t>FALUN</t>
        </is>
      </c>
      <c r="G7827" t="n">
        <v>6.6</v>
      </c>
      <c r="H7827" t="n">
        <v>0</v>
      </c>
      <c r="I7827" t="n">
        <v>0</v>
      </c>
      <c r="J7827" t="n">
        <v>0</v>
      </c>
      <c r="K7827" t="n">
        <v>0</v>
      </c>
      <c r="L7827" t="n">
        <v>0</v>
      </c>
      <c r="M7827" t="n">
        <v>0</v>
      </c>
      <c r="N7827" t="n">
        <v>0</v>
      </c>
      <c r="O7827" t="n">
        <v>0</v>
      </c>
      <c r="P7827" t="n">
        <v>0</v>
      </c>
      <c r="Q7827" t="n">
        <v>0</v>
      </c>
      <c r="R7827" s="2" t="inlineStr"/>
    </row>
    <row r="7828" ht="15" customHeight="1">
      <c r="A7828" t="inlineStr">
        <is>
          <t>A 3445-2026</t>
        </is>
      </c>
      <c r="B7828" s="1" t="n">
        <v>46042</v>
      </c>
      <c r="C7828" s="1" t="n">
        <v>46114</v>
      </c>
      <c r="D7828" t="inlineStr">
        <is>
          <t>DALARNAS LÄN</t>
        </is>
      </c>
      <c r="E7828" t="inlineStr">
        <is>
          <t>SÄTER</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3448-2026</t>
        </is>
      </c>
      <c r="B7829" s="1" t="n">
        <v>46042.48768518519</v>
      </c>
      <c r="C7829" s="1" t="n">
        <v>46114</v>
      </c>
      <c r="D7829" t="inlineStr">
        <is>
          <t>DALARNAS LÄN</t>
        </is>
      </c>
      <c r="E7829" t="inlineStr">
        <is>
          <t>RÄTTVIK</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11875-2026</t>
        </is>
      </c>
      <c r="B7830" s="1" t="n">
        <v>46085</v>
      </c>
      <c r="C7830" s="1" t="n">
        <v>46114</v>
      </c>
      <c r="D7830" t="inlineStr">
        <is>
          <t>DALARNAS LÄN</t>
        </is>
      </c>
      <c r="E7830" t="inlineStr">
        <is>
          <t>MORA</t>
        </is>
      </c>
      <c r="G7830" t="n">
        <v>3.7</v>
      </c>
      <c r="H7830" t="n">
        <v>0</v>
      </c>
      <c r="I7830" t="n">
        <v>0</v>
      </c>
      <c r="J7830" t="n">
        <v>0</v>
      </c>
      <c r="K7830" t="n">
        <v>0</v>
      </c>
      <c r="L7830" t="n">
        <v>0</v>
      </c>
      <c r="M7830" t="n">
        <v>0</v>
      </c>
      <c r="N7830" t="n">
        <v>0</v>
      </c>
      <c r="O7830" t="n">
        <v>0</v>
      </c>
      <c r="P7830" t="n">
        <v>0</v>
      </c>
      <c r="Q7830" t="n">
        <v>0</v>
      </c>
      <c r="R7830" s="2" t="inlineStr"/>
    </row>
    <row r="7831" ht="15" customHeight="1">
      <c r="A7831" t="inlineStr">
        <is>
          <t>A 11892-2026</t>
        </is>
      </c>
      <c r="B7831" s="1" t="n">
        <v>46085.52472222222</v>
      </c>
      <c r="C7831" s="1" t="n">
        <v>46114</v>
      </c>
      <c r="D7831" t="inlineStr">
        <is>
          <t>DALARNAS LÄN</t>
        </is>
      </c>
      <c r="E7831" t="inlineStr">
        <is>
          <t>MALUNG-SÄLEN</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15168-2025</t>
        </is>
      </c>
      <c r="B7832" s="1" t="n">
        <v>45744.49254629629</v>
      </c>
      <c r="C7832" s="1" t="n">
        <v>46114</v>
      </c>
      <c r="D7832" t="inlineStr">
        <is>
          <t>DALARNAS LÄN</t>
        </is>
      </c>
      <c r="E7832" t="inlineStr">
        <is>
          <t>BORLÄNGE</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3834-2026</t>
        </is>
      </c>
      <c r="B7833" s="1" t="n">
        <v>46043.59221064814</v>
      </c>
      <c r="C7833" s="1" t="n">
        <v>46114</v>
      </c>
      <c r="D7833" t="inlineStr">
        <is>
          <t>DALARNAS LÄN</t>
        </is>
      </c>
      <c r="E7833" t="inlineStr">
        <is>
          <t>LEKSAND</t>
        </is>
      </c>
      <c r="G7833" t="n">
        <v>14.4</v>
      </c>
      <c r="H7833" t="n">
        <v>0</v>
      </c>
      <c r="I7833" t="n">
        <v>0</v>
      </c>
      <c r="J7833" t="n">
        <v>0</v>
      </c>
      <c r="K7833" t="n">
        <v>0</v>
      </c>
      <c r="L7833" t="n">
        <v>0</v>
      </c>
      <c r="M7833" t="n">
        <v>0</v>
      </c>
      <c r="N7833" t="n">
        <v>0</v>
      </c>
      <c r="O7833" t="n">
        <v>0</v>
      </c>
      <c r="P7833" t="n">
        <v>0</v>
      </c>
      <c r="Q7833" t="n">
        <v>0</v>
      </c>
      <c r="R7833" s="2" t="inlineStr"/>
    </row>
    <row r="7834" ht="15" customHeight="1">
      <c r="A7834" t="inlineStr">
        <is>
          <t>A 23479-2023</t>
        </is>
      </c>
      <c r="B7834" s="1" t="n">
        <v>45072</v>
      </c>
      <c r="C7834" s="1" t="n">
        <v>46114</v>
      </c>
      <c r="D7834" t="inlineStr">
        <is>
          <t>DALARNAS LÄN</t>
        </is>
      </c>
      <c r="E7834" t="inlineStr">
        <is>
          <t>RÄTTVIK</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3645-2026</t>
        </is>
      </c>
      <c r="B7835" s="1" t="n">
        <v>46043.36129629629</v>
      </c>
      <c r="C7835" s="1" t="n">
        <v>46114</v>
      </c>
      <c r="D7835" t="inlineStr">
        <is>
          <t>DALARNAS LÄN</t>
        </is>
      </c>
      <c r="E7835" t="inlineStr">
        <is>
          <t>ÄLVDALEN</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3651-2026</t>
        </is>
      </c>
      <c r="B7836" s="1" t="n">
        <v>46043</v>
      </c>
      <c r="C7836" s="1" t="n">
        <v>46114</v>
      </c>
      <c r="D7836" t="inlineStr">
        <is>
          <t>DALARNAS LÄN</t>
        </is>
      </c>
      <c r="E7836" t="inlineStr">
        <is>
          <t>FALUN</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3406-2026</t>
        </is>
      </c>
      <c r="B7837" s="1" t="n">
        <v>46042</v>
      </c>
      <c r="C7837" s="1" t="n">
        <v>46114</v>
      </c>
      <c r="D7837" t="inlineStr">
        <is>
          <t>DALARNAS LÄN</t>
        </is>
      </c>
      <c r="E7837" t="inlineStr">
        <is>
          <t>FALUN</t>
        </is>
      </c>
      <c r="G7837" t="n">
        <v>8.4</v>
      </c>
      <c r="H7837" t="n">
        <v>0</v>
      </c>
      <c r="I7837" t="n">
        <v>0</v>
      </c>
      <c r="J7837" t="n">
        <v>0</v>
      </c>
      <c r="K7837" t="n">
        <v>0</v>
      </c>
      <c r="L7837" t="n">
        <v>0</v>
      </c>
      <c r="M7837" t="n">
        <v>0</v>
      </c>
      <c r="N7837" t="n">
        <v>0</v>
      </c>
      <c r="O7837" t="n">
        <v>0</v>
      </c>
      <c r="P7837" t="n">
        <v>0</v>
      </c>
      <c r="Q7837" t="n">
        <v>0</v>
      </c>
      <c r="R7837" s="2" t="inlineStr"/>
    </row>
    <row r="7838" ht="15" customHeight="1">
      <c r="A7838" t="inlineStr">
        <is>
          <t>A 3421-2026</t>
        </is>
      </c>
      <c r="B7838" s="1" t="n">
        <v>46042</v>
      </c>
      <c r="C7838" s="1" t="n">
        <v>46114</v>
      </c>
      <c r="D7838" t="inlineStr">
        <is>
          <t>DALARNAS LÄN</t>
        </is>
      </c>
      <c r="E7838" t="inlineStr">
        <is>
          <t>RÄTTVIK</t>
        </is>
      </c>
      <c r="G7838" t="n">
        <v>10.3</v>
      </c>
      <c r="H7838" t="n">
        <v>0</v>
      </c>
      <c r="I7838" t="n">
        <v>0</v>
      </c>
      <c r="J7838" t="n">
        <v>0</v>
      </c>
      <c r="K7838" t="n">
        <v>0</v>
      </c>
      <c r="L7838" t="n">
        <v>0</v>
      </c>
      <c r="M7838" t="n">
        <v>0</v>
      </c>
      <c r="N7838" t="n">
        <v>0</v>
      </c>
      <c r="O7838" t="n">
        <v>0</v>
      </c>
      <c r="P7838" t="n">
        <v>0</v>
      </c>
      <c r="Q7838" t="n">
        <v>0</v>
      </c>
      <c r="R7838" s="2" t="inlineStr"/>
    </row>
    <row r="7839" ht="15" customHeight="1">
      <c r="A7839" t="inlineStr">
        <is>
          <t>A 3432-2026</t>
        </is>
      </c>
      <c r="B7839" s="1" t="n">
        <v>46042.45846064815</v>
      </c>
      <c r="C7839" s="1" t="n">
        <v>46114</v>
      </c>
      <c r="D7839" t="inlineStr">
        <is>
          <t>DALARNAS LÄN</t>
        </is>
      </c>
      <c r="E7839" t="inlineStr">
        <is>
          <t>VANSBRO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3407-2026</t>
        </is>
      </c>
      <c r="B7840" s="1" t="n">
        <v>46042.40212962963</v>
      </c>
      <c r="C7840" s="1" t="n">
        <v>46114</v>
      </c>
      <c r="D7840" t="inlineStr">
        <is>
          <t>DALARNAS LÄN</t>
        </is>
      </c>
      <c r="E7840" t="inlineStr">
        <is>
          <t>HEDEMORA</t>
        </is>
      </c>
      <c r="G7840" t="n">
        <v>6.5</v>
      </c>
      <c r="H7840" t="n">
        <v>0</v>
      </c>
      <c r="I7840" t="n">
        <v>0</v>
      </c>
      <c r="J7840" t="n">
        <v>0</v>
      </c>
      <c r="K7840" t="n">
        <v>0</v>
      </c>
      <c r="L7840" t="n">
        <v>0</v>
      </c>
      <c r="M7840" t="n">
        <v>0</v>
      </c>
      <c r="N7840" t="n">
        <v>0</v>
      </c>
      <c r="O7840" t="n">
        <v>0</v>
      </c>
      <c r="P7840" t="n">
        <v>0</v>
      </c>
      <c r="Q7840" t="n">
        <v>0</v>
      </c>
      <c r="R7840" s="2" t="inlineStr"/>
    </row>
    <row r="7841" ht="15" customHeight="1">
      <c r="A7841" t="inlineStr">
        <is>
          <t>A 3413-2026</t>
        </is>
      </c>
      <c r="B7841" s="1" t="n">
        <v>46042</v>
      </c>
      <c r="C7841" s="1" t="n">
        <v>46114</v>
      </c>
      <c r="D7841" t="inlineStr">
        <is>
          <t>DALARNAS LÄN</t>
        </is>
      </c>
      <c r="E7841" t="inlineStr">
        <is>
          <t>FALUN</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3415-2026</t>
        </is>
      </c>
      <c r="B7842" s="1" t="n">
        <v>46042.41993055555</v>
      </c>
      <c r="C7842" s="1" t="n">
        <v>46114</v>
      </c>
      <c r="D7842" t="inlineStr">
        <is>
          <t>DALARNAS LÄN</t>
        </is>
      </c>
      <c r="E7842" t="inlineStr">
        <is>
          <t>HEDEMORA</t>
        </is>
      </c>
      <c r="G7842" t="n">
        <v>4.3</v>
      </c>
      <c r="H7842" t="n">
        <v>0</v>
      </c>
      <c r="I7842" t="n">
        <v>0</v>
      </c>
      <c r="J7842" t="n">
        <v>0</v>
      </c>
      <c r="K7842" t="n">
        <v>0</v>
      </c>
      <c r="L7842" t="n">
        <v>0</v>
      </c>
      <c r="M7842" t="n">
        <v>0</v>
      </c>
      <c r="N7842" t="n">
        <v>0</v>
      </c>
      <c r="O7842" t="n">
        <v>0</v>
      </c>
      <c r="P7842" t="n">
        <v>0</v>
      </c>
      <c r="Q7842" t="n">
        <v>0</v>
      </c>
      <c r="R7842" s="2" t="inlineStr"/>
    </row>
    <row r="7843" ht="15" customHeight="1">
      <c r="A7843" t="inlineStr">
        <is>
          <t>A 20573-2022</t>
        </is>
      </c>
      <c r="B7843" s="1" t="n">
        <v>44700.40244212963</v>
      </c>
      <c r="C7843" s="1" t="n">
        <v>46114</v>
      </c>
      <c r="D7843" t="inlineStr">
        <is>
          <t>DALARNAS LÄN</t>
        </is>
      </c>
      <c r="E7843" t="inlineStr">
        <is>
          <t>RÄTTVIK</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11212-2026</t>
        </is>
      </c>
      <c r="B7844" s="1" t="n">
        <v>46080</v>
      </c>
      <c r="C7844" s="1" t="n">
        <v>46114</v>
      </c>
      <c r="D7844" t="inlineStr">
        <is>
          <t>DALARNAS LÄN</t>
        </is>
      </c>
      <c r="E7844" t="inlineStr">
        <is>
          <t>BORLÄNGE</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3572-2026</t>
        </is>
      </c>
      <c r="B7845" s="1" t="n">
        <v>46042.6920949074</v>
      </c>
      <c r="C7845" s="1" t="n">
        <v>46114</v>
      </c>
      <c r="D7845" t="inlineStr">
        <is>
          <t>DALARNAS LÄN</t>
        </is>
      </c>
      <c r="E7845" t="inlineStr">
        <is>
          <t>FALUN</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3585-2026</t>
        </is>
      </c>
      <c r="B7846" s="1" t="n">
        <v>46042</v>
      </c>
      <c r="C7846" s="1" t="n">
        <v>46114</v>
      </c>
      <c r="D7846" t="inlineStr">
        <is>
          <t>DALARNAS LÄN</t>
        </is>
      </c>
      <c r="E7846" t="inlineStr">
        <is>
          <t>FALUN</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3586-2026</t>
        </is>
      </c>
      <c r="B7847" s="1" t="n">
        <v>46042.74631944444</v>
      </c>
      <c r="C7847" s="1" t="n">
        <v>46114</v>
      </c>
      <c r="D7847" t="inlineStr">
        <is>
          <t>DALARNAS LÄN</t>
        </is>
      </c>
      <c r="E7847" t="inlineStr">
        <is>
          <t>FALUN</t>
        </is>
      </c>
      <c r="G7847" t="n">
        <v>7.6</v>
      </c>
      <c r="H7847" t="n">
        <v>0</v>
      </c>
      <c r="I7847" t="n">
        <v>0</v>
      </c>
      <c r="J7847" t="n">
        <v>0</v>
      </c>
      <c r="K7847" t="n">
        <v>0</v>
      </c>
      <c r="L7847" t="n">
        <v>0</v>
      </c>
      <c r="M7847" t="n">
        <v>0</v>
      </c>
      <c r="N7847" t="n">
        <v>0</v>
      </c>
      <c r="O7847" t="n">
        <v>0</v>
      </c>
      <c r="P7847" t="n">
        <v>0</v>
      </c>
      <c r="Q7847" t="n">
        <v>0</v>
      </c>
      <c r="R7847" s="2" t="inlineStr"/>
    </row>
    <row r="7848" ht="15" customHeight="1">
      <c r="A7848" t="inlineStr">
        <is>
          <t>A 12847-2025</t>
        </is>
      </c>
      <c r="B7848" s="1" t="n">
        <v>45733.65178240741</v>
      </c>
      <c r="C7848" s="1" t="n">
        <v>46114</v>
      </c>
      <c r="D7848" t="inlineStr">
        <is>
          <t>DALARNAS LÄN</t>
        </is>
      </c>
      <c r="E7848" t="inlineStr">
        <is>
          <t>FALUN</t>
        </is>
      </c>
      <c r="G7848" t="n">
        <v>0.6</v>
      </c>
      <c r="H7848" t="n">
        <v>0</v>
      </c>
      <c r="I7848" t="n">
        <v>0</v>
      </c>
      <c r="J7848" t="n">
        <v>0</v>
      </c>
      <c r="K7848" t="n">
        <v>0</v>
      </c>
      <c r="L7848" t="n">
        <v>0</v>
      </c>
      <c r="M7848" t="n">
        <v>0</v>
      </c>
      <c r="N7848" t="n">
        <v>0</v>
      </c>
      <c r="O7848" t="n">
        <v>0</v>
      </c>
      <c r="P7848" t="n">
        <v>0</v>
      </c>
      <c r="Q7848" t="n">
        <v>0</v>
      </c>
      <c r="R7848" s="2" t="inlineStr"/>
    </row>
    <row r="7849" ht="15" customHeight="1">
      <c r="A7849" t="inlineStr">
        <is>
          <t>A 1921-2026</t>
        </is>
      </c>
      <c r="B7849" s="1" t="n">
        <v>46035</v>
      </c>
      <c r="C7849" s="1" t="n">
        <v>46114</v>
      </c>
      <c r="D7849" t="inlineStr">
        <is>
          <t>DALARNAS LÄN</t>
        </is>
      </c>
      <c r="E7849" t="inlineStr">
        <is>
          <t>BORLÄNGE</t>
        </is>
      </c>
      <c r="G7849" t="n">
        <v>3.1</v>
      </c>
      <c r="H7849" t="n">
        <v>0</v>
      </c>
      <c r="I7849" t="n">
        <v>0</v>
      </c>
      <c r="J7849" t="n">
        <v>0</v>
      </c>
      <c r="K7849" t="n">
        <v>0</v>
      </c>
      <c r="L7849" t="n">
        <v>0</v>
      </c>
      <c r="M7849" t="n">
        <v>0</v>
      </c>
      <c r="N7849" t="n">
        <v>0</v>
      </c>
      <c r="O7849" t="n">
        <v>0</v>
      </c>
      <c r="P7849" t="n">
        <v>0</v>
      </c>
      <c r="Q7849" t="n">
        <v>0</v>
      </c>
      <c r="R7849" s="2" t="inlineStr"/>
    </row>
    <row r="7850" ht="15" customHeight="1">
      <c r="A7850" t="inlineStr">
        <is>
          <t>A 2835-2026</t>
        </is>
      </c>
      <c r="B7850" s="1" t="n">
        <v>46038</v>
      </c>
      <c r="C7850" s="1" t="n">
        <v>46114</v>
      </c>
      <c r="D7850" t="inlineStr">
        <is>
          <t>DALARNAS LÄN</t>
        </is>
      </c>
      <c r="E7850" t="inlineStr">
        <is>
          <t>RÄTTVIK</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3712-2026</t>
        </is>
      </c>
      <c r="B7851" s="1" t="n">
        <v>46043.48607638889</v>
      </c>
      <c r="C7851" s="1" t="n">
        <v>46114</v>
      </c>
      <c r="D7851" t="inlineStr">
        <is>
          <t>DALARNAS LÄN</t>
        </is>
      </c>
      <c r="E7851" t="inlineStr">
        <is>
          <t>FALUN</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3587-2026</t>
        </is>
      </c>
      <c r="B7852" s="1" t="n">
        <v>46042.74783564815</v>
      </c>
      <c r="C7852" s="1" t="n">
        <v>46114</v>
      </c>
      <c r="D7852" t="inlineStr">
        <is>
          <t>DALARNAS LÄN</t>
        </is>
      </c>
      <c r="E7852" t="inlineStr">
        <is>
          <t>FALUN</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3589-2026</t>
        </is>
      </c>
      <c r="B7853" s="1" t="n">
        <v>46042.75324074074</v>
      </c>
      <c r="C7853" s="1" t="n">
        <v>46114</v>
      </c>
      <c r="D7853" t="inlineStr">
        <is>
          <t>DALARNAS LÄN</t>
        </is>
      </c>
      <c r="E7853" t="inlineStr">
        <is>
          <t>FALUN</t>
        </is>
      </c>
      <c r="G7853" t="n">
        <v>8.6</v>
      </c>
      <c r="H7853" t="n">
        <v>0</v>
      </c>
      <c r="I7853" t="n">
        <v>0</v>
      </c>
      <c r="J7853" t="n">
        <v>0</v>
      </c>
      <c r="K7853" t="n">
        <v>0</v>
      </c>
      <c r="L7853" t="n">
        <v>0</v>
      </c>
      <c r="M7853" t="n">
        <v>0</v>
      </c>
      <c r="N7853" t="n">
        <v>0</v>
      </c>
      <c r="O7853" t="n">
        <v>0</v>
      </c>
      <c r="P7853" t="n">
        <v>0</v>
      </c>
      <c r="Q7853" t="n">
        <v>0</v>
      </c>
      <c r="R7853" s="2" t="inlineStr"/>
    </row>
    <row r="7854" ht="15" customHeight="1">
      <c r="A7854" t="inlineStr">
        <is>
          <t>A 3654-2026</t>
        </is>
      </c>
      <c r="B7854" s="1" t="n">
        <v>46043.37592592592</v>
      </c>
      <c r="C7854" s="1" t="n">
        <v>46114</v>
      </c>
      <c r="D7854" t="inlineStr">
        <is>
          <t>DALARNAS LÄN</t>
        </is>
      </c>
      <c r="E7854" t="inlineStr">
        <is>
          <t>ÄLVDALEN</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55307-2024</t>
        </is>
      </c>
      <c r="B7855" s="1" t="n">
        <v>45621.65032407407</v>
      </c>
      <c r="C7855" s="1" t="n">
        <v>46114</v>
      </c>
      <c r="D7855" t="inlineStr">
        <is>
          <t>DALARNAS LÄN</t>
        </is>
      </c>
      <c r="E7855" t="inlineStr">
        <is>
          <t>MALUNG-SÄLEN</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56988-2023</t>
        </is>
      </c>
      <c r="B7856" s="1" t="n">
        <v>45244.66481481482</v>
      </c>
      <c r="C7856" s="1" t="n">
        <v>46114</v>
      </c>
      <c r="D7856" t="inlineStr">
        <is>
          <t>DALARNAS LÄN</t>
        </is>
      </c>
      <c r="E7856" t="inlineStr">
        <is>
          <t>VANSBRO</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3876-2026</t>
        </is>
      </c>
      <c r="B7857" s="1" t="n">
        <v>46043.64811342592</v>
      </c>
      <c r="C7857" s="1" t="n">
        <v>46114</v>
      </c>
      <c r="D7857" t="inlineStr">
        <is>
          <t>DALARNAS LÄN</t>
        </is>
      </c>
      <c r="E7857" t="inlineStr">
        <is>
          <t>MORA</t>
        </is>
      </c>
      <c r="F7857" t="inlineStr">
        <is>
          <t>Bergvik skog öst AB</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3674-2026</t>
        </is>
      </c>
      <c r="B7858" s="1" t="n">
        <v>46043.42109953704</v>
      </c>
      <c r="C7858" s="1" t="n">
        <v>46114</v>
      </c>
      <c r="D7858" t="inlineStr">
        <is>
          <t>DALARNAS LÄN</t>
        </is>
      </c>
      <c r="E7858" t="inlineStr">
        <is>
          <t>FALUN</t>
        </is>
      </c>
      <c r="G7858" t="n">
        <v>3.3</v>
      </c>
      <c r="H7858" t="n">
        <v>0</v>
      </c>
      <c r="I7858" t="n">
        <v>0</v>
      </c>
      <c r="J7858" t="n">
        <v>0</v>
      </c>
      <c r="K7858" t="n">
        <v>0</v>
      </c>
      <c r="L7858" t="n">
        <v>0</v>
      </c>
      <c r="M7858" t="n">
        <v>0</v>
      </c>
      <c r="N7858" t="n">
        <v>0</v>
      </c>
      <c r="O7858" t="n">
        <v>0</v>
      </c>
      <c r="P7858" t="n">
        <v>0</v>
      </c>
      <c r="Q7858" t="n">
        <v>0</v>
      </c>
      <c r="R7858" s="2" t="inlineStr"/>
    </row>
    <row r="7859" ht="15" customHeight="1">
      <c r="A7859" t="inlineStr">
        <is>
          <t>A 10100-2026</t>
        </is>
      </c>
      <c r="B7859" s="1" t="n">
        <v>46073</v>
      </c>
      <c r="C7859" s="1" t="n">
        <v>46114</v>
      </c>
      <c r="D7859" t="inlineStr">
        <is>
          <t>DALARNAS LÄN</t>
        </is>
      </c>
      <c r="E7859" t="inlineStr">
        <is>
          <t>SÄTER</t>
        </is>
      </c>
      <c r="G7859" t="n">
        <v>2.4</v>
      </c>
      <c r="H7859" t="n">
        <v>0</v>
      </c>
      <c r="I7859" t="n">
        <v>0</v>
      </c>
      <c r="J7859" t="n">
        <v>0</v>
      </c>
      <c r="K7859" t="n">
        <v>0</v>
      </c>
      <c r="L7859" t="n">
        <v>0</v>
      </c>
      <c r="M7859" t="n">
        <v>0</v>
      </c>
      <c r="N7859" t="n">
        <v>0</v>
      </c>
      <c r="O7859" t="n">
        <v>0</v>
      </c>
      <c r="P7859" t="n">
        <v>0</v>
      </c>
      <c r="Q7859" t="n">
        <v>0</v>
      </c>
      <c r="R7859" s="2" t="inlineStr"/>
    </row>
    <row r="7860" ht="15" customHeight="1">
      <c r="A7860" t="inlineStr">
        <is>
          <t>A 3364-2026</t>
        </is>
      </c>
      <c r="B7860" s="1" t="n">
        <v>46042</v>
      </c>
      <c r="C7860" s="1" t="n">
        <v>46114</v>
      </c>
      <c r="D7860" t="inlineStr">
        <is>
          <t>DALARNAS LÄN</t>
        </is>
      </c>
      <c r="E7860" t="inlineStr">
        <is>
          <t>ORSA</t>
        </is>
      </c>
      <c r="G7860" t="n">
        <v>1.1</v>
      </c>
      <c r="H7860" t="n">
        <v>0</v>
      </c>
      <c r="I7860" t="n">
        <v>0</v>
      </c>
      <c r="J7860" t="n">
        <v>0</v>
      </c>
      <c r="K7860" t="n">
        <v>0</v>
      </c>
      <c r="L7860" t="n">
        <v>0</v>
      </c>
      <c r="M7860" t="n">
        <v>0</v>
      </c>
      <c r="N7860" t="n">
        <v>0</v>
      </c>
      <c r="O7860" t="n">
        <v>0</v>
      </c>
      <c r="P7860" t="n">
        <v>0</v>
      </c>
      <c r="Q7860" t="n">
        <v>0</v>
      </c>
      <c r="R7860" s="2" t="inlineStr"/>
    </row>
    <row r="7861" ht="15" customHeight="1">
      <c r="A7861" t="inlineStr">
        <is>
          <t>A 3687-2026</t>
        </is>
      </c>
      <c r="B7861" s="1" t="n">
        <v>46043</v>
      </c>
      <c r="C7861" s="1" t="n">
        <v>46114</v>
      </c>
      <c r="D7861" t="inlineStr">
        <is>
          <t>DALARNAS LÄN</t>
        </is>
      </c>
      <c r="E7861" t="inlineStr">
        <is>
          <t>FALUN</t>
        </is>
      </c>
      <c r="G7861" t="n">
        <v>5</v>
      </c>
      <c r="H7861" t="n">
        <v>0</v>
      </c>
      <c r="I7861" t="n">
        <v>0</v>
      </c>
      <c r="J7861" t="n">
        <v>0</v>
      </c>
      <c r="K7861" t="n">
        <v>0</v>
      </c>
      <c r="L7861" t="n">
        <v>0</v>
      </c>
      <c r="M7861" t="n">
        <v>0</v>
      </c>
      <c r="N7861" t="n">
        <v>0</v>
      </c>
      <c r="O7861" t="n">
        <v>0</v>
      </c>
      <c r="P7861" t="n">
        <v>0</v>
      </c>
      <c r="Q7861" t="n">
        <v>0</v>
      </c>
      <c r="R7861" s="2" t="inlineStr"/>
    </row>
    <row r="7862" ht="15" customHeight="1">
      <c r="A7862" t="inlineStr">
        <is>
          <t>A 3683-2026</t>
        </is>
      </c>
      <c r="B7862" s="1" t="n">
        <v>46043.43420138889</v>
      </c>
      <c r="C7862" s="1" t="n">
        <v>46114</v>
      </c>
      <c r="D7862" t="inlineStr">
        <is>
          <t>DALARNAS LÄN</t>
        </is>
      </c>
      <c r="E7862" t="inlineStr">
        <is>
          <t>ORSA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3599-2026</t>
        </is>
      </c>
      <c r="B7863" s="1" t="n">
        <v>46042</v>
      </c>
      <c r="C7863" s="1" t="n">
        <v>46114</v>
      </c>
      <c r="D7863" t="inlineStr">
        <is>
          <t>DALARNAS LÄN</t>
        </is>
      </c>
      <c r="E7863" t="inlineStr">
        <is>
          <t>GAGNEF</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3602-2026</t>
        </is>
      </c>
      <c r="B7864" s="1" t="n">
        <v>46042</v>
      </c>
      <c r="C7864" s="1" t="n">
        <v>46114</v>
      </c>
      <c r="D7864" t="inlineStr">
        <is>
          <t>DALARNAS LÄN</t>
        </is>
      </c>
      <c r="E7864" t="inlineStr">
        <is>
          <t>LUDVIKA</t>
        </is>
      </c>
      <c r="G7864" t="n">
        <v>0.9</v>
      </c>
      <c r="H7864" t="n">
        <v>0</v>
      </c>
      <c r="I7864" t="n">
        <v>0</v>
      </c>
      <c r="J7864" t="n">
        <v>0</v>
      </c>
      <c r="K7864" t="n">
        <v>0</v>
      </c>
      <c r="L7864" t="n">
        <v>0</v>
      </c>
      <c r="M7864" t="n">
        <v>0</v>
      </c>
      <c r="N7864" t="n">
        <v>0</v>
      </c>
      <c r="O7864" t="n">
        <v>0</v>
      </c>
      <c r="P7864" t="n">
        <v>0</v>
      </c>
      <c r="Q7864" t="n">
        <v>0</v>
      </c>
      <c r="R7864" s="2" t="inlineStr"/>
    </row>
    <row r="7865" ht="15" customHeight="1">
      <c r="A7865" t="inlineStr">
        <is>
          <t>A 1917-2022</t>
        </is>
      </c>
      <c r="B7865" s="1" t="n">
        <v>44574</v>
      </c>
      <c r="C7865" s="1" t="n">
        <v>46114</v>
      </c>
      <c r="D7865" t="inlineStr">
        <is>
          <t>DALARNAS LÄN</t>
        </is>
      </c>
      <c r="E7865" t="inlineStr">
        <is>
          <t>HEDEMORA</t>
        </is>
      </c>
      <c r="F7865" t="inlineStr">
        <is>
          <t>Övriga Aktiebolag</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3345-2026</t>
        </is>
      </c>
      <c r="B7866" s="1" t="n">
        <v>46041.87370370371</v>
      </c>
      <c r="C7866" s="1" t="n">
        <v>46114</v>
      </c>
      <c r="D7866" t="inlineStr">
        <is>
          <t>DALARNAS LÄN</t>
        </is>
      </c>
      <c r="E7866" t="inlineStr">
        <is>
          <t>FALUN</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3389-2026</t>
        </is>
      </c>
      <c r="B7867" s="1" t="n">
        <v>46042.36956018519</v>
      </c>
      <c r="C7867" s="1" t="n">
        <v>46114</v>
      </c>
      <c r="D7867" t="inlineStr">
        <is>
          <t>DALARNAS LÄN</t>
        </is>
      </c>
      <c r="E7867" t="inlineStr">
        <is>
          <t>GAGNEF</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3396-2026</t>
        </is>
      </c>
      <c r="B7868" s="1" t="n">
        <v>46042.37716435185</v>
      </c>
      <c r="C7868" s="1" t="n">
        <v>46114</v>
      </c>
      <c r="D7868" t="inlineStr">
        <is>
          <t>DALARNAS LÄN</t>
        </is>
      </c>
      <c r="E7868" t="inlineStr">
        <is>
          <t>HEDEMORA</t>
        </is>
      </c>
      <c r="G7868" t="n">
        <v>18.1</v>
      </c>
      <c r="H7868" t="n">
        <v>0</v>
      </c>
      <c r="I7868" t="n">
        <v>0</v>
      </c>
      <c r="J7868" t="n">
        <v>0</v>
      </c>
      <c r="K7868" t="n">
        <v>0</v>
      </c>
      <c r="L7868" t="n">
        <v>0</v>
      </c>
      <c r="M7868" t="n">
        <v>0</v>
      </c>
      <c r="N7868" t="n">
        <v>0</v>
      </c>
      <c r="O7868" t="n">
        <v>0</v>
      </c>
      <c r="P7868" t="n">
        <v>0</v>
      </c>
      <c r="Q7868" t="n">
        <v>0</v>
      </c>
      <c r="R7868" s="2" t="inlineStr"/>
    </row>
    <row r="7869" ht="15" customHeight="1">
      <c r="A7869" t="inlineStr">
        <is>
          <t>A 3725-2026</t>
        </is>
      </c>
      <c r="B7869" s="1" t="n">
        <v>46043</v>
      </c>
      <c r="C7869" s="1" t="n">
        <v>46114</v>
      </c>
      <c r="D7869" t="inlineStr">
        <is>
          <t>DALARNAS LÄN</t>
        </is>
      </c>
      <c r="E7869" t="inlineStr">
        <is>
          <t>RÄTTVIK</t>
        </is>
      </c>
      <c r="G7869" t="n">
        <v>0.9</v>
      </c>
      <c r="H7869" t="n">
        <v>0</v>
      </c>
      <c r="I7869" t="n">
        <v>0</v>
      </c>
      <c r="J7869" t="n">
        <v>0</v>
      </c>
      <c r="K7869" t="n">
        <v>0</v>
      </c>
      <c r="L7869" t="n">
        <v>0</v>
      </c>
      <c r="M7869" t="n">
        <v>0</v>
      </c>
      <c r="N7869" t="n">
        <v>0</v>
      </c>
      <c r="O7869" t="n">
        <v>0</v>
      </c>
      <c r="P7869" t="n">
        <v>0</v>
      </c>
      <c r="Q7869" t="n">
        <v>0</v>
      </c>
      <c r="R7869" s="2" t="inlineStr"/>
    </row>
    <row r="7870" ht="15" customHeight="1">
      <c r="A7870" t="inlineStr">
        <is>
          <t>A 3728-2026</t>
        </is>
      </c>
      <c r="B7870" s="1" t="n">
        <v>46043.50650462963</v>
      </c>
      <c r="C7870" s="1" t="n">
        <v>46114</v>
      </c>
      <c r="D7870" t="inlineStr">
        <is>
          <t>DALARNAS LÄN</t>
        </is>
      </c>
      <c r="E7870" t="inlineStr">
        <is>
          <t>LEKSAND</t>
        </is>
      </c>
      <c r="G7870" t="n">
        <v>7</v>
      </c>
      <c r="H7870" t="n">
        <v>0</v>
      </c>
      <c r="I7870" t="n">
        <v>0</v>
      </c>
      <c r="J7870" t="n">
        <v>0</v>
      </c>
      <c r="K7870" t="n">
        <v>0</v>
      </c>
      <c r="L7870" t="n">
        <v>0</v>
      </c>
      <c r="M7870" t="n">
        <v>0</v>
      </c>
      <c r="N7870" t="n">
        <v>0</v>
      </c>
      <c r="O7870" t="n">
        <v>0</v>
      </c>
      <c r="P7870" t="n">
        <v>0</v>
      </c>
      <c r="Q7870" t="n">
        <v>0</v>
      </c>
      <c r="R7870" s="2" t="inlineStr"/>
    </row>
    <row r="7871" ht="15" customHeight="1">
      <c r="A7871" t="inlineStr">
        <is>
          <t>A 9989-2026</t>
        </is>
      </c>
      <c r="B7871" s="1" t="n">
        <v>46073</v>
      </c>
      <c r="C7871" s="1" t="n">
        <v>46114</v>
      </c>
      <c r="D7871" t="inlineStr">
        <is>
          <t>DALARNAS LÄN</t>
        </is>
      </c>
      <c r="E7871" t="inlineStr">
        <is>
          <t>RÄTTVIK</t>
        </is>
      </c>
      <c r="F7871" t="inlineStr">
        <is>
          <t>Bergvik skog väst AB</t>
        </is>
      </c>
      <c r="G7871" t="n">
        <v>0.6</v>
      </c>
      <c r="H7871" t="n">
        <v>0</v>
      </c>
      <c r="I7871" t="n">
        <v>0</v>
      </c>
      <c r="J7871" t="n">
        <v>0</v>
      </c>
      <c r="K7871" t="n">
        <v>0</v>
      </c>
      <c r="L7871" t="n">
        <v>0</v>
      </c>
      <c r="M7871" t="n">
        <v>0</v>
      </c>
      <c r="N7871" t="n">
        <v>0</v>
      </c>
      <c r="O7871" t="n">
        <v>0</v>
      </c>
      <c r="P7871" t="n">
        <v>0</v>
      </c>
      <c r="Q7871" t="n">
        <v>0</v>
      </c>
      <c r="R7871" s="2" t="inlineStr"/>
    </row>
    <row r="7872" ht="15" customHeight="1">
      <c r="A7872" t="inlineStr">
        <is>
          <t>A 9996-2026</t>
        </is>
      </c>
      <c r="B7872" s="1" t="n">
        <v>46073</v>
      </c>
      <c r="C7872" s="1" t="n">
        <v>46114</v>
      </c>
      <c r="D7872" t="inlineStr">
        <is>
          <t>DALARNAS LÄN</t>
        </is>
      </c>
      <c r="E7872" t="inlineStr">
        <is>
          <t>RÄTTVIK</t>
        </is>
      </c>
      <c r="F7872" t="inlineStr">
        <is>
          <t>Bergvik skog väst AB</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10008-2026</t>
        </is>
      </c>
      <c r="B7873" s="1" t="n">
        <v>46073</v>
      </c>
      <c r="C7873" s="1" t="n">
        <v>46114</v>
      </c>
      <c r="D7873" t="inlineStr">
        <is>
          <t>DALARNAS LÄN</t>
        </is>
      </c>
      <c r="E7873" t="inlineStr">
        <is>
          <t>RÄTTVIK</t>
        </is>
      </c>
      <c r="F7873" t="inlineStr">
        <is>
          <t>Bergvik skog väst AB</t>
        </is>
      </c>
      <c r="G7873" t="n">
        <v>8.5</v>
      </c>
      <c r="H7873" t="n">
        <v>0</v>
      </c>
      <c r="I7873" t="n">
        <v>0</v>
      </c>
      <c r="J7873" t="n">
        <v>0</v>
      </c>
      <c r="K7873" t="n">
        <v>0</v>
      </c>
      <c r="L7873" t="n">
        <v>0</v>
      </c>
      <c r="M7873" t="n">
        <v>0</v>
      </c>
      <c r="N7873" t="n">
        <v>0</v>
      </c>
      <c r="O7873" t="n">
        <v>0</v>
      </c>
      <c r="P7873" t="n">
        <v>0</v>
      </c>
      <c r="Q7873" t="n">
        <v>0</v>
      </c>
      <c r="R7873" s="2" t="inlineStr"/>
    </row>
    <row r="7874" ht="15" customHeight="1">
      <c r="A7874" t="inlineStr">
        <is>
          <t>A 27070-2022</t>
        </is>
      </c>
      <c r="B7874" s="1" t="n">
        <v>44741.39358796296</v>
      </c>
      <c r="C7874" s="1" t="n">
        <v>46114</v>
      </c>
      <c r="D7874" t="inlineStr">
        <is>
          <t>DALARNAS LÄN</t>
        </is>
      </c>
      <c r="E7874" t="inlineStr">
        <is>
          <t>SMEDJEBACKEN</t>
        </is>
      </c>
      <c r="F7874" t="inlineStr">
        <is>
          <t>Sveaskog</t>
        </is>
      </c>
      <c r="G7874" t="n">
        <v>3</v>
      </c>
      <c r="H7874" t="n">
        <v>0</v>
      </c>
      <c r="I7874" t="n">
        <v>0</v>
      </c>
      <c r="J7874" t="n">
        <v>0</v>
      </c>
      <c r="K7874" t="n">
        <v>0</v>
      </c>
      <c r="L7874" t="n">
        <v>0</v>
      </c>
      <c r="M7874" t="n">
        <v>0</v>
      </c>
      <c r="N7874" t="n">
        <v>0</v>
      </c>
      <c r="O7874" t="n">
        <v>0</v>
      </c>
      <c r="P7874" t="n">
        <v>0</v>
      </c>
      <c r="Q7874" t="n">
        <v>0</v>
      </c>
      <c r="R7874" s="2" t="inlineStr"/>
    </row>
    <row r="7875" ht="15" customHeight="1">
      <c r="A7875" t="inlineStr">
        <is>
          <t>A 3516-2026</t>
        </is>
      </c>
      <c r="B7875" s="1" t="n">
        <v>46042</v>
      </c>
      <c r="C7875" s="1" t="n">
        <v>46114</v>
      </c>
      <c r="D7875" t="inlineStr">
        <is>
          <t>DALARNAS LÄN</t>
        </is>
      </c>
      <c r="E7875" t="inlineStr">
        <is>
          <t>LEKSAND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54453-2024</t>
        </is>
      </c>
      <c r="B7876" s="1" t="n">
        <v>45617.52883101852</v>
      </c>
      <c r="C7876" s="1" t="n">
        <v>46114</v>
      </c>
      <c r="D7876" t="inlineStr">
        <is>
          <t>DALARNAS LÄN</t>
        </is>
      </c>
      <c r="E7876" t="inlineStr">
        <is>
          <t>VANSBRO</t>
        </is>
      </c>
      <c r="G7876" t="n">
        <v>0.4</v>
      </c>
      <c r="H7876" t="n">
        <v>0</v>
      </c>
      <c r="I7876" t="n">
        <v>0</v>
      </c>
      <c r="J7876" t="n">
        <v>0</v>
      </c>
      <c r="K7876" t="n">
        <v>0</v>
      </c>
      <c r="L7876" t="n">
        <v>0</v>
      </c>
      <c r="M7876" t="n">
        <v>0</v>
      </c>
      <c r="N7876" t="n">
        <v>0</v>
      </c>
      <c r="O7876" t="n">
        <v>0</v>
      </c>
      <c r="P7876" t="n">
        <v>0</v>
      </c>
      <c r="Q7876" t="n">
        <v>0</v>
      </c>
      <c r="R7876" s="2" t="inlineStr"/>
    </row>
    <row r="7877" ht="15" customHeight="1">
      <c r="A7877" t="inlineStr">
        <is>
          <t>A 10101-2026</t>
        </is>
      </c>
      <c r="B7877" s="1" t="n">
        <v>46073</v>
      </c>
      <c r="C7877" s="1" t="n">
        <v>46114</v>
      </c>
      <c r="D7877" t="inlineStr">
        <is>
          <t>DALARNAS LÄN</t>
        </is>
      </c>
      <c r="E7877" t="inlineStr">
        <is>
          <t>SÄTER</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3759-2026</t>
        </is>
      </c>
      <c r="B7878" s="1" t="n">
        <v>46043.55357638889</v>
      </c>
      <c r="C7878" s="1" t="n">
        <v>46114</v>
      </c>
      <c r="D7878" t="inlineStr">
        <is>
          <t>DALARNAS LÄN</t>
        </is>
      </c>
      <c r="E7878" t="inlineStr">
        <is>
          <t>HEDEMORA</t>
        </is>
      </c>
      <c r="G7878" t="n">
        <v>6.6</v>
      </c>
      <c r="H7878" t="n">
        <v>0</v>
      </c>
      <c r="I7878" t="n">
        <v>0</v>
      </c>
      <c r="J7878" t="n">
        <v>0</v>
      </c>
      <c r="K7878" t="n">
        <v>0</v>
      </c>
      <c r="L7878" t="n">
        <v>0</v>
      </c>
      <c r="M7878" t="n">
        <v>0</v>
      </c>
      <c r="N7878" t="n">
        <v>0</v>
      </c>
      <c r="O7878" t="n">
        <v>0</v>
      </c>
      <c r="P7878" t="n">
        <v>0</v>
      </c>
      <c r="Q7878" t="n">
        <v>0</v>
      </c>
      <c r="R7878" s="2" t="inlineStr"/>
    </row>
    <row r="7879" ht="15" customHeight="1">
      <c r="A7879" t="inlineStr">
        <is>
          <t>A 3410-2026</t>
        </is>
      </c>
      <c r="B7879" s="1" t="n">
        <v>46042.41484953704</v>
      </c>
      <c r="C7879" s="1" t="n">
        <v>46114</v>
      </c>
      <c r="D7879" t="inlineStr">
        <is>
          <t>DALARNAS LÄN</t>
        </is>
      </c>
      <c r="E7879" t="inlineStr">
        <is>
          <t>HEDEMORA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3412-2026</t>
        </is>
      </c>
      <c r="B7880" s="1" t="n">
        <v>46042.41658564815</v>
      </c>
      <c r="C7880" s="1" t="n">
        <v>46114</v>
      </c>
      <c r="D7880" t="inlineStr">
        <is>
          <t>DALARNAS LÄN</t>
        </is>
      </c>
      <c r="E7880" t="inlineStr">
        <is>
          <t>AVESTA</t>
        </is>
      </c>
      <c r="G7880" t="n">
        <v>6.4</v>
      </c>
      <c r="H7880" t="n">
        <v>0</v>
      </c>
      <c r="I7880" t="n">
        <v>0</v>
      </c>
      <c r="J7880" t="n">
        <v>0</v>
      </c>
      <c r="K7880" t="n">
        <v>0</v>
      </c>
      <c r="L7880" t="n">
        <v>0</v>
      </c>
      <c r="M7880" t="n">
        <v>0</v>
      </c>
      <c r="N7880" t="n">
        <v>0</v>
      </c>
      <c r="O7880" t="n">
        <v>0</v>
      </c>
      <c r="P7880" t="n">
        <v>0</v>
      </c>
      <c r="Q7880" t="n">
        <v>0</v>
      </c>
      <c r="R7880" s="2" t="inlineStr"/>
    </row>
    <row r="7881" ht="15" customHeight="1">
      <c r="A7881" t="inlineStr">
        <is>
          <t>A 10335-2026</t>
        </is>
      </c>
      <c r="B7881" s="1" t="n">
        <v>46076</v>
      </c>
      <c r="C7881" s="1" t="n">
        <v>46114</v>
      </c>
      <c r="D7881" t="inlineStr">
        <is>
          <t>DALARNAS LÄN</t>
        </is>
      </c>
      <c r="E7881" t="inlineStr">
        <is>
          <t>FALUN</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10342-2026</t>
        </is>
      </c>
      <c r="B7882" s="1" t="n">
        <v>46076</v>
      </c>
      <c r="C7882" s="1" t="n">
        <v>46114</v>
      </c>
      <c r="D7882" t="inlineStr">
        <is>
          <t>DALARNAS LÄN</t>
        </is>
      </c>
      <c r="E7882" t="inlineStr">
        <is>
          <t>FALUN</t>
        </is>
      </c>
      <c r="F7882" t="inlineStr">
        <is>
          <t>Bergvik skog väst AB</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60015-2024</t>
        </is>
      </c>
      <c r="B7883" s="1" t="n">
        <v>45642.43729166667</v>
      </c>
      <c r="C7883" s="1" t="n">
        <v>46114</v>
      </c>
      <c r="D7883" t="inlineStr">
        <is>
          <t>DALARNAS LÄN</t>
        </is>
      </c>
      <c r="E7883" t="inlineStr">
        <is>
          <t>MALUNG-SÄLEN</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3386-2026</t>
        </is>
      </c>
      <c r="B7884" s="1" t="n">
        <v>46042.36486111111</v>
      </c>
      <c r="C7884" s="1" t="n">
        <v>46114</v>
      </c>
      <c r="D7884" t="inlineStr">
        <is>
          <t>DALARNAS LÄN</t>
        </is>
      </c>
      <c r="E7884" t="inlineStr">
        <is>
          <t>ÄLVDALEN</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31804-2024</t>
        </is>
      </c>
      <c r="B7885" s="1" t="n">
        <v>45509.57237268519</v>
      </c>
      <c r="C7885" s="1" t="n">
        <v>46114</v>
      </c>
      <c r="D7885" t="inlineStr">
        <is>
          <t>DALARNAS LÄN</t>
        </is>
      </c>
      <c r="E7885" t="inlineStr">
        <is>
          <t>GAGNEF</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31825-2024</t>
        </is>
      </c>
      <c r="B7886" s="1" t="n">
        <v>45509.60949074074</v>
      </c>
      <c r="C7886" s="1" t="n">
        <v>46114</v>
      </c>
      <c r="D7886" t="inlineStr">
        <is>
          <t>DALARNAS LÄN</t>
        </is>
      </c>
      <c r="E7886" t="inlineStr">
        <is>
          <t>HEDEMORA</t>
        </is>
      </c>
      <c r="G7886" t="n">
        <v>0.1</v>
      </c>
      <c r="H7886" t="n">
        <v>0</v>
      </c>
      <c r="I7886" t="n">
        <v>0</v>
      </c>
      <c r="J7886" t="n">
        <v>0</v>
      </c>
      <c r="K7886" t="n">
        <v>0</v>
      </c>
      <c r="L7886" t="n">
        <v>0</v>
      </c>
      <c r="M7886" t="n">
        <v>0</v>
      </c>
      <c r="N7886" t="n">
        <v>0</v>
      </c>
      <c r="O7886" t="n">
        <v>0</v>
      </c>
      <c r="P7886" t="n">
        <v>0</v>
      </c>
      <c r="Q7886" t="n">
        <v>0</v>
      </c>
      <c r="R7886" s="2" t="inlineStr"/>
    </row>
    <row r="7887" ht="15" customHeight="1">
      <c r="A7887" t="inlineStr">
        <is>
          <t>A 3603-2026</t>
        </is>
      </c>
      <c r="B7887" s="1" t="n">
        <v>46042</v>
      </c>
      <c r="C7887" s="1" t="n">
        <v>46114</v>
      </c>
      <c r="D7887" t="inlineStr">
        <is>
          <t>DALARNAS LÄN</t>
        </is>
      </c>
      <c r="E7887" t="inlineStr">
        <is>
          <t>FALUN</t>
        </is>
      </c>
      <c r="G7887" t="n">
        <v>6.7</v>
      </c>
      <c r="H7887" t="n">
        <v>0</v>
      </c>
      <c r="I7887" t="n">
        <v>0</v>
      </c>
      <c r="J7887" t="n">
        <v>0</v>
      </c>
      <c r="K7887" t="n">
        <v>0</v>
      </c>
      <c r="L7887" t="n">
        <v>0</v>
      </c>
      <c r="M7887" t="n">
        <v>0</v>
      </c>
      <c r="N7887" t="n">
        <v>0</v>
      </c>
      <c r="O7887" t="n">
        <v>0</v>
      </c>
      <c r="P7887" t="n">
        <v>0</v>
      </c>
      <c r="Q7887" t="n">
        <v>0</v>
      </c>
      <c r="R7887" s="2" t="inlineStr"/>
    </row>
    <row r="7888" ht="15" customHeight="1">
      <c r="A7888" t="inlineStr">
        <is>
          <t>A 3630-2026</t>
        </is>
      </c>
      <c r="B7888" s="1" t="n">
        <v>46043.33224537037</v>
      </c>
      <c r="C7888" s="1" t="n">
        <v>46114</v>
      </c>
      <c r="D7888" t="inlineStr">
        <is>
          <t>DALARNAS LÄN</t>
        </is>
      </c>
      <c r="E7888" t="inlineStr">
        <is>
          <t>SMEDJEBACKEN</t>
        </is>
      </c>
      <c r="F7888" t="inlineStr">
        <is>
          <t>Övriga Aktiebolag</t>
        </is>
      </c>
      <c r="G7888" t="n">
        <v>2.2</v>
      </c>
      <c r="H7888" t="n">
        <v>0</v>
      </c>
      <c r="I7888" t="n">
        <v>0</v>
      </c>
      <c r="J7888" t="n">
        <v>0</v>
      </c>
      <c r="K7888" t="n">
        <v>0</v>
      </c>
      <c r="L7888" t="n">
        <v>0</v>
      </c>
      <c r="M7888" t="n">
        <v>0</v>
      </c>
      <c r="N7888" t="n">
        <v>0</v>
      </c>
      <c r="O7888" t="n">
        <v>0</v>
      </c>
      <c r="P7888" t="n">
        <v>0</v>
      </c>
      <c r="Q7888" t="n">
        <v>0</v>
      </c>
      <c r="R7888" s="2" t="inlineStr"/>
    </row>
    <row r="7889" ht="15" customHeight="1">
      <c r="A7889" t="inlineStr">
        <is>
          <t>A 31850-2024</t>
        </is>
      </c>
      <c r="B7889" s="1" t="n">
        <v>45509.67334490741</v>
      </c>
      <c r="C7889" s="1" t="n">
        <v>46114</v>
      </c>
      <c r="D7889" t="inlineStr">
        <is>
          <t>DALARNAS LÄN</t>
        </is>
      </c>
      <c r="E7889" t="inlineStr">
        <is>
          <t>LEKSAND</t>
        </is>
      </c>
      <c r="G7889" t="n">
        <v>0.5</v>
      </c>
      <c r="H7889" t="n">
        <v>0</v>
      </c>
      <c r="I7889" t="n">
        <v>0</v>
      </c>
      <c r="J7889" t="n">
        <v>0</v>
      </c>
      <c r="K7889" t="n">
        <v>0</v>
      </c>
      <c r="L7889" t="n">
        <v>0</v>
      </c>
      <c r="M7889" t="n">
        <v>0</v>
      </c>
      <c r="N7889" t="n">
        <v>0</v>
      </c>
      <c r="O7889" t="n">
        <v>0</v>
      </c>
      <c r="P7889" t="n">
        <v>0</v>
      </c>
      <c r="Q7889" t="n">
        <v>0</v>
      </c>
      <c r="R7889" s="2" t="inlineStr"/>
    </row>
    <row r="7890" ht="15" customHeight="1">
      <c r="A7890" t="inlineStr">
        <is>
          <t>A 11603-2026</t>
        </is>
      </c>
      <c r="B7890" s="1" t="n">
        <v>46084.43217592593</v>
      </c>
      <c r="C7890" s="1" t="n">
        <v>46114</v>
      </c>
      <c r="D7890" t="inlineStr">
        <is>
          <t>DALARNAS LÄN</t>
        </is>
      </c>
      <c r="E7890" t="inlineStr">
        <is>
          <t>VANSBRO</t>
        </is>
      </c>
      <c r="G7890" t="n">
        <v>1.9</v>
      </c>
      <c r="H7890" t="n">
        <v>0</v>
      </c>
      <c r="I7890" t="n">
        <v>0</v>
      </c>
      <c r="J7890" t="n">
        <v>0</v>
      </c>
      <c r="K7890" t="n">
        <v>0</v>
      </c>
      <c r="L7890" t="n">
        <v>0</v>
      </c>
      <c r="M7890" t="n">
        <v>0</v>
      </c>
      <c r="N7890" t="n">
        <v>0</v>
      </c>
      <c r="O7890" t="n">
        <v>0</v>
      </c>
      <c r="P7890" t="n">
        <v>0</v>
      </c>
      <c r="Q7890" t="n">
        <v>0</v>
      </c>
      <c r="R7890" s="2" t="inlineStr"/>
    </row>
    <row r="7891" ht="15" customHeight="1">
      <c r="A7891" t="inlineStr">
        <is>
          <t>A 36284-2024</t>
        </is>
      </c>
      <c r="B7891" s="1" t="n">
        <v>45534.5897337963</v>
      </c>
      <c r="C7891" s="1" t="n">
        <v>46114</v>
      </c>
      <c r="D7891" t="inlineStr">
        <is>
          <t>DALARNAS LÄN</t>
        </is>
      </c>
      <c r="E7891" t="inlineStr">
        <is>
          <t>ÄLVDALEN</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3704-2026</t>
        </is>
      </c>
      <c r="B7892" s="1" t="n">
        <v>46043.47447916667</v>
      </c>
      <c r="C7892" s="1" t="n">
        <v>46114</v>
      </c>
      <c r="D7892" t="inlineStr">
        <is>
          <t>DALARNAS LÄN</t>
        </is>
      </c>
      <c r="E7892" t="inlineStr">
        <is>
          <t>RÄTTVIK</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3714-2026</t>
        </is>
      </c>
      <c r="B7893" s="1" t="n">
        <v>46043</v>
      </c>
      <c r="C7893" s="1" t="n">
        <v>46114</v>
      </c>
      <c r="D7893" t="inlineStr">
        <is>
          <t>DALARNAS LÄN</t>
        </is>
      </c>
      <c r="E7893" t="inlineStr">
        <is>
          <t>RÄTTVIK</t>
        </is>
      </c>
      <c r="G7893" t="n">
        <v>4.3</v>
      </c>
      <c r="H7893" t="n">
        <v>0</v>
      </c>
      <c r="I7893" t="n">
        <v>0</v>
      </c>
      <c r="J7893" t="n">
        <v>0</v>
      </c>
      <c r="K7893" t="n">
        <v>0</v>
      </c>
      <c r="L7893" t="n">
        <v>0</v>
      </c>
      <c r="M7893" t="n">
        <v>0</v>
      </c>
      <c r="N7893" t="n">
        <v>0</v>
      </c>
      <c r="O7893" t="n">
        <v>0</v>
      </c>
      <c r="P7893" t="n">
        <v>0</v>
      </c>
      <c r="Q7893" t="n">
        <v>0</v>
      </c>
      <c r="R7893" s="2" t="inlineStr"/>
    </row>
    <row r="7894" ht="15" customHeight="1">
      <c r="A7894" t="inlineStr">
        <is>
          <t>A 3723-2026</t>
        </is>
      </c>
      <c r="B7894" s="1" t="n">
        <v>46043.49631944444</v>
      </c>
      <c r="C7894" s="1" t="n">
        <v>46114</v>
      </c>
      <c r="D7894" t="inlineStr">
        <is>
          <t>DALARNAS LÄN</t>
        </is>
      </c>
      <c r="E7894" t="inlineStr">
        <is>
          <t>LEKSAND</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3751-2026</t>
        </is>
      </c>
      <c r="B7895" s="1" t="n">
        <v>46043.5496875</v>
      </c>
      <c r="C7895" s="1" t="n">
        <v>46114</v>
      </c>
      <c r="D7895" t="inlineStr">
        <is>
          <t>DALARNAS LÄN</t>
        </is>
      </c>
      <c r="E7895" t="inlineStr">
        <is>
          <t>SÄTER</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3806-2026</t>
        </is>
      </c>
      <c r="B7896" s="1" t="n">
        <v>46043</v>
      </c>
      <c r="C7896" s="1" t="n">
        <v>46114</v>
      </c>
      <c r="D7896" t="inlineStr">
        <is>
          <t>DALARNAS LÄN</t>
        </is>
      </c>
      <c r="E7896" t="inlineStr">
        <is>
          <t>FALUN</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11783-2026</t>
        </is>
      </c>
      <c r="B7897" s="1" t="n">
        <v>46084.88636574074</v>
      </c>
      <c r="C7897" s="1" t="n">
        <v>46114</v>
      </c>
      <c r="D7897" t="inlineStr">
        <is>
          <t>DALARNAS LÄN</t>
        </is>
      </c>
      <c r="E7897" t="inlineStr">
        <is>
          <t>FALUN</t>
        </is>
      </c>
      <c r="F7897" t="inlineStr">
        <is>
          <t>Bergvik skog väst AB</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11801-2026</t>
        </is>
      </c>
      <c r="B7898" s="1" t="n">
        <v>46085.35175925926</v>
      </c>
      <c r="C7898" s="1" t="n">
        <v>46114</v>
      </c>
      <c r="D7898" t="inlineStr">
        <is>
          <t>DALARNAS LÄN</t>
        </is>
      </c>
      <c r="E7898" t="inlineStr">
        <is>
          <t>ÄLVDALEN</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10005-2026</t>
        </is>
      </c>
      <c r="B7899" s="1" t="n">
        <v>46073</v>
      </c>
      <c r="C7899" s="1" t="n">
        <v>46114</v>
      </c>
      <c r="D7899" t="inlineStr">
        <is>
          <t>DALARNAS LÄN</t>
        </is>
      </c>
      <c r="E7899" t="inlineStr">
        <is>
          <t>RÄTTVIK</t>
        </is>
      </c>
      <c r="F7899" t="inlineStr">
        <is>
          <t>Bergvik skog väst AB</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11577-2026</t>
        </is>
      </c>
      <c r="B7900" s="1" t="n">
        <v>46084.39524305556</v>
      </c>
      <c r="C7900" s="1" t="n">
        <v>46114</v>
      </c>
      <c r="D7900" t="inlineStr">
        <is>
          <t>DALARNAS LÄN</t>
        </is>
      </c>
      <c r="E7900" t="inlineStr">
        <is>
          <t>FALUN</t>
        </is>
      </c>
      <c r="G7900" t="n">
        <v>2.1</v>
      </c>
      <c r="H7900" t="n">
        <v>0</v>
      </c>
      <c r="I7900" t="n">
        <v>0</v>
      </c>
      <c r="J7900" t="n">
        <v>0</v>
      </c>
      <c r="K7900" t="n">
        <v>0</v>
      </c>
      <c r="L7900" t="n">
        <v>0</v>
      </c>
      <c r="M7900" t="n">
        <v>0</v>
      </c>
      <c r="N7900" t="n">
        <v>0</v>
      </c>
      <c r="O7900" t="n">
        <v>0</v>
      </c>
      <c r="P7900" t="n">
        <v>0</v>
      </c>
      <c r="Q7900" t="n">
        <v>0</v>
      </c>
      <c r="R7900" s="2" t="inlineStr"/>
    </row>
    <row r="7901" ht="15" customHeight="1">
      <c r="A7901" t="inlineStr">
        <is>
          <t>A 11602-2026</t>
        </is>
      </c>
      <c r="B7901" s="1" t="n">
        <v>46084.43215277778</v>
      </c>
      <c r="C7901" s="1" t="n">
        <v>46114</v>
      </c>
      <c r="D7901" t="inlineStr">
        <is>
          <t>DALARNAS LÄN</t>
        </is>
      </c>
      <c r="E7901" t="inlineStr">
        <is>
          <t>RÄTTVIK</t>
        </is>
      </c>
      <c r="G7901" t="n">
        <v>3.3</v>
      </c>
      <c r="H7901" t="n">
        <v>0</v>
      </c>
      <c r="I7901" t="n">
        <v>0</v>
      </c>
      <c r="J7901" t="n">
        <v>0</v>
      </c>
      <c r="K7901" t="n">
        <v>0</v>
      </c>
      <c r="L7901" t="n">
        <v>0</v>
      </c>
      <c r="M7901" t="n">
        <v>0</v>
      </c>
      <c r="N7901" t="n">
        <v>0</v>
      </c>
      <c r="O7901" t="n">
        <v>0</v>
      </c>
      <c r="P7901" t="n">
        <v>0</v>
      </c>
      <c r="Q7901" t="n">
        <v>0</v>
      </c>
      <c r="R7901" s="2" t="inlineStr"/>
    </row>
    <row r="7902" ht="15" customHeight="1">
      <c r="A7902" t="inlineStr">
        <is>
          <t>A 3679-2026</t>
        </is>
      </c>
      <c r="B7902" s="1" t="n">
        <v>46043</v>
      </c>
      <c r="C7902" s="1" t="n">
        <v>46114</v>
      </c>
      <c r="D7902" t="inlineStr">
        <is>
          <t>DALARNAS LÄN</t>
        </is>
      </c>
      <c r="E7902" t="inlineStr">
        <is>
          <t>FALUN</t>
        </is>
      </c>
      <c r="G7902" t="n">
        <v>1.5</v>
      </c>
      <c r="H7902" t="n">
        <v>0</v>
      </c>
      <c r="I7902" t="n">
        <v>0</v>
      </c>
      <c r="J7902" t="n">
        <v>0</v>
      </c>
      <c r="K7902" t="n">
        <v>0</v>
      </c>
      <c r="L7902" t="n">
        <v>0</v>
      </c>
      <c r="M7902" t="n">
        <v>0</v>
      </c>
      <c r="N7902" t="n">
        <v>0</v>
      </c>
      <c r="O7902" t="n">
        <v>0</v>
      </c>
      <c r="P7902" t="n">
        <v>0</v>
      </c>
      <c r="Q7902" t="n">
        <v>0</v>
      </c>
      <c r="R7902" s="2" t="inlineStr"/>
    </row>
    <row r="7903" ht="15" customHeight="1">
      <c r="A7903" t="inlineStr">
        <is>
          <t>A 26452-2024</t>
        </is>
      </c>
      <c r="B7903" s="1" t="n">
        <v>45469.51145833333</v>
      </c>
      <c r="C7903" s="1" t="n">
        <v>46114</v>
      </c>
      <c r="D7903" t="inlineStr">
        <is>
          <t>DALARNAS LÄN</t>
        </is>
      </c>
      <c r="E7903" t="inlineStr">
        <is>
          <t>HEDEMORA</t>
        </is>
      </c>
      <c r="G7903" t="n">
        <v>2.3</v>
      </c>
      <c r="H7903" t="n">
        <v>0</v>
      </c>
      <c r="I7903" t="n">
        <v>0</v>
      </c>
      <c r="J7903" t="n">
        <v>0</v>
      </c>
      <c r="K7903" t="n">
        <v>0</v>
      </c>
      <c r="L7903" t="n">
        <v>0</v>
      </c>
      <c r="M7903" t="n">
        <v>0</v>
      </c>
      <c r="N7903" t="n">
        <v>0</v>
      </c>
      <c r="O7903" t="n">
        <v>0</v>
      </c>
      <c r="P7903" t="n">
        <v>0</v>
      </c>
      <c r="Q7903" t="n">
        <v>0</v>
      </c>
      <c r="R7903" s="2" t="inlineStr"/>
    </row>
    <row r="7904" ht="15" customHeight="1">
      <c r="A7904" t="inlineStr">
        <is>
          <t>A 26456-2024</t>
        </is>
      </c>
      <c r="B7904" s="1" t="n">
        <v>45469.52028935185</v>
      </c>
      <c r="C7904" s="1" t="n">
        <v>46114</v>
      </c>
      <c r="D7904" t="inlineStr">
        <is>
          <t>DALARNAS LÄN</t>
        </is>
      </c>
      <c r="E7904" t="inlineStr">
        <is>
          <t>SÄTER</t>
        </is>
      </c>
      <c r="G7904" t="n">
        <v>1</v>
      </c>
      <c r="H7904" t="n">
        <v>0</v>
      </c>
      <c r="I7904" t="n">
        <v>0</v>
      </c>
      <c r="J7904" t="n">
        <v>0</v>
      </c>
      <c r="K7904" t="n">
        <v>0</v>
      </c>
      <c r="L7904" t="n">
        <v>0</v>
      </c>
      <c r="M7904" t="n">
        <v>0</v>
      </c>
      <c r="N7904" t="n">
        <v>0</v>
      </c>
      <c r="O7904" t="n">
        <v>0</v>
      </c>
      <c r="P7904" t="n">
        <v>0</v>
      </c>
      <c r="Q7904" t="n">
        <v>0</v>
      </c>
      <c r="R7904" s="2" t="inlineStr"/>
    </row>
    <row r="7905" ht="15" customHeight="1">
      <c r="A7905" t="inlineStr">
        <is>
          <t>A 48582-2024</t>
        </is>
      </c>
      <c r="B7905" s="1" t="n">
        <v>45593.41905092593</v>
      </c>
      <c r="C7905" s="1" t="n">
        <v>46114</v>
      </c>
      <c r="D7905" t="inlineStr">
        <is>
          <t>DALARNAS LÄN</t>
        </is>
      </c>
      <c r="E7905" t="inlineStr">
        <is>
          <t>RÄTTVIK</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3932-2026</t>
        </is>
      </c>
      <c r="B7906" s="1" t="n">
        <v>46043</v>
      </c>
      <c r="C7906" s="1" t="n">
        <v>46114</v>
      </c>
      <c r="D7906" t="inlineStr">
        <is>
          <t>DALARNAS LÄN</t>
        </is>
      </c>
      <c r="E7906" t="inlineStr">
        <is>
          <t>FALUN</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11672-2026</t>
        </is>
      </c>
      <c r="B7907" s="1" t="n">
        <v>46084.55969907407</v>
      </c>
      <c r="C7907" s="1" t="n">
        <v>46114</v>
      </c>
      <c r="D7907" t="inlineStr">
        <is>
          <t>DALARNAS LÄN</t>
        </is>
      </c>
      <c r="E7907" t="inlineStr">
        <is>
          <t>LUDVIKA</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11849-2026</t>
        </is>
      </c>
      <c r="B7908" s="1" t="n">
        <v>46085.46038194445</v>
      </c>
      <c r="C7908" s="1" t="n">
        <v>46114</v>
      </c>
      <c r="D7908" t="inlineStr">
        <is>
          <t>DALARNAS LÄN</t>
        </is>
      </c>
      <c r="E7908" t="inlineStr">
        <is>
          <t>RÄTTVIK</t>
        </is>
      </c>
      <c r="F7908" t="inlineStr">
        <is>
          <t>Bergvik skog väst AB</t>
        </is>
      </c>
      <c r="G7908" t="n">
        <v>7.2</v>
      </c>
      <c r="H7908" t="n">
        <v>0</v>
      </c>
      <c r="I7908" t="n">
        <v>0</v>
      </c>
      <c r="J7908" t="n">
        <v>0</v>
      </c>
      <c r="K7908" t="n">
        <v>0</v>
      </c>
      <c r="L7908" t="n">
        <v>0</v>
      </c>
      <c r="M7908" t="n">
        <v>0</v>
      </c>
      <c r="N7908" t="n">
        <v>0</v>
      </c>
      <c r="O7908" t="n">
        <v>0</v>
      </c>
      <c r="P7908" t="n">
        <v>0</v>
      </c>
      <c r="Q7908" t="n">
        <v>0</v>
      </c>
      <c r="R7908" s="2" t="inlineStr"/>
    </row>
    <row r="7909" ht="15" customHeight="1">
      <c r="A7909" t="inlineStr">
        <is>
          <t>A 3649-2026</t>
        </is>
      </c>
      <c r="B7909" s="1" t="n">
        <v>46043.36797453704</v>
      </c>
      <c r="C7909" s="1" t="n">
        <v>46114</v>
      </c>
      <c r="D7909" t="inlineStr">
        <is>
          <t>DALARNAS LÄN</t>
        </is>
      </c>
      <c r="E7909" t="inlineStr">
        <is>
          <t>ÄLVDALEN</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18139-2025</t>
        </is>
      </c>
      <c r="B7910" s="1" t="n">
        <v>45761.60459490741</v>
      </c>
      <c r="C7910" s="1" t="n">
        <v>46114</v>
      </c>
      <c r="D7910" t="inlineStr">
        <is>
          <t>DALARNAS LÄN</t>
        </is>
      </c>
      <c r="E7910" t="inlineStr">
        <is>
          <t>MORA</t>
        </is>
      </c>
      <c r="F7910" t="inlineStr">
        <is>
          <t>Bergvik skog öst AB</t>
        </is>
      </c>
      <c r="G7910" t="n">
        <v>3</v>
      </c>
      <c r="H7910" t="n">
        <v>0</v>
      </c>
      <c r="I7910" t="n">
        <v>0</v>
      </c>
      <c r="J7910" t="n">
        <v>0</v>
      </c>
      <c r="K7910" t="n">
        <v>0</v>
      </c>
      <c r="L7910" t="n">
        <v>0</v>
      </c>
      <c r="M7910" t="n">
        <v>0</v>
      </c>
      <c r="N7910" t="n">
        <v>0</v>
      </c>
      <c r="O7910" t="n">
        <v>0</v>
      </c>
      <c r="P7910" t="n">
        <v>0</v>
      </c>
      <c r="Q7910" t="n">
        <v>0</v>
      </c>
      <c r="R7910" s="2" t="inlineStr"/>
    </row>
    <row r="7911" ht="15" customHeight="1">
      <c r="A7911" t="inlineStr">
        <is>
          <t>A 3727-2026</t>
        </is>
      </c>
      <c r="B7911" s="1" t="n">
        <v>46043</v>
      </c>
      <c r="C7911" s="1" t="n">
        <v>46114</v>
      </c>
      <c r="D7911" t="inlineStr">
        <is>
          <t>DALARNAS LÄN</t>
        </is>
      </c>
      <c r="E7911" t="inlineStr">
        <is>
          <t>ORSA</t>
        </is>
      </c>
      <c r="G7911" t="n">
        <v>2.2</v>
      </c>
      <c r="H7911" t="n">
        <v>0</v>
      </c>
      <c r="I7911" t="n">
        <v>0</v>
      </c>
      <c r="J7911" t="n">
        <v>0</v>
      </c>
      <c r="K7911" t="n">
        <v>0</v>
      </c>
      <c r="L7911" t="n">
        <v>0</v>
      </c>
      <c r="M7911" t="n">
        <v>0</v>
      </c>
      <c r="N7911" t="n">
        <v>0</v>
      </c>
      <c r="O7911" t="n">
        <v>0</v>
      </c>
      <c r="P7911" t="n">
        <v>0</v>
      </c>
      <c r="Q7911" t="n">
        <v>0</v>
      </c>
      <c r="R7911" s="2" t="inlineStr"/>
    </row>
    <row r="7912" ht="15" customHeight="1">
      <c r="A7912" t="inlineStr">
        <is>
          <t>A 3734-2026</t>
        </is>
      </c>
      <c r="B7912" s="1" t="n">
        <v>46043.5185300926</v>
      </c>
      <c r="C7912" s="1" t="n">
        <v>46114</v>
      </c>
      <c r="D7912" t="inlineStr">
        <is>
          <t>DALARNAS LÄN</t>
        </is>
      </c>
      <c r="E7912" t="inlineStr">
        <is>
          <t>LEKSAND</t>
        </is>
      </c>
      <c r="G7912" t="n">
        <v>7.2</v>
      </c>
      <c r="H7912" t="n">
        <v>0</v>
      </c>
      <c r="I7912" t="n">
        <v>0</v>
      </c>
      <c r="J7912" t="n">
        <v>0</v>
      </c>
      <c r="K7912" t="n">
        <v>0</v>
      </c>
      <c r="L7912" t="n">
        <v>0</v>
      </c>
      <c r="M7912" t="n">
        <v>0</v>
      </c>
      <c r="N7912" t="n">
        <v>0</v>
      </c>
      <c r="O7912" t="n">
        <v>0</v>
      </c>
      <c r="P7912" t="n">
        <v>0</v>
      </c>
      <c r="Q7912" t="n">
        <v>0</v>
      </c>
      <c r="R7912" s="2" t="inlineStr"/>
    </row>
    <row r="7913" ht="15" customHeight="1">
      <c r="A7913" t="inlineStr">
        <is>
          <t>A 13567-2024</t>
        </is>
      </c>
      <c r="B7913" s="1" t="n">
        <v>45389.32982638889</v>
      </c>
      <c r="C7913" s="1" t="n">
        <v>46114</v>
      </c>
      <c r="D7913" t="inlineStr">
        <is>
          <t>DALARNAS LÄN</t>
        </is>
      </c>
      <c r="E7913" t="inlineStr">
        <is>
          <t>FALUN</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3480-2026</t>
        </is>
      </c>
      <c r="B7914" s="1" t="n">
        <v>46042.55565972222</v>
      </c>
      <c r="C7914" s="1" t="n">
        <v>46114</v>
      </c>
      <c r="D7914" t="inlineStr">
        <is>
          <t>DALARNAS LÄN</t>
        </is>
      </c>
      <c r="E7914" t="inlineStr">
        <is>
          <t>FALUN</t>
        </is>
      </c>
      <c r="G7914" t="n">
        <v>2.7</v>
      </c>
      <c r="H7914" t="n">
        <v>0</v>
      </c>
      <c r="I7914" t="n">
        <v>0</v>
      </c>
      <c r="J7914" t="n">
        <v>0</v>
      </c>
      <c r="K7914" t="n">
        <v>0</v>
      </c>
      <c r="L7914" t="n">
        <v>0</v>
      </c>
      <c r="M7914" t="n">
        <v>0</v>
      </c>
      <c r="N7914" t="n">
        <v>0</v>
      </c>
      <c r="O7914" t="n">
        <v>0</v>
      </c>
      <c r="P7914" t="n">
        <v>0</v>
      </c>
      <c r="Q7914" t="n">
        <v>0</v>
      </c>
      <c r="R7914" s="2" t="inlineStr"/>
    </row>
    <row r="7915" ht="15" customHeight="1">
      <c r="A7915" t="inlineStr">
        <is>
          <t>A 11751-2026</t>
        </is>
      </c>
      <c r="B7915" s="1" t="n">
        <v>46084</v>
      </c>
      <c r="C7915" s="1" t="n">
        <v>46114</v>
      </c>
      <c r="D7915" t="inlineStr">
        <is>
          <t>DALARNAS LÄN</t>
        </is>
      </c>
      <c r="E7915" t="inlineStr">
        <is>
          <t>BORLÄNGE</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11788-2026</t>
        </is>
      </c>
      <c r="B7916" s="1" t="n">
        <v>46085.29969907407</v>
      </c>
      <c r="C7916" s="1" t="n">
        <v>46114</v>
      </c>
      <c r="D7916" t="inlineStr">
        <is>
          <t>DALARNAS LÄN</t>
        </is>
      </c>
      <c r="E7916" t="inlineStr">
        <is>
          <t>RÄTTVIK</t>
        </is>
      </c>
      <c r="G7916" t="n">
        <v>2.5</v>
      </c>
      <c r="H7916" t="n">
        <v>0</v>
      </c>
      <c r="I7916" t="n">
        <v>0</v>
      </c>
      <c r="J7916" t="n">
        <v>0</v>
      </c>
      <c r="K7916" t="n">
        <v>0</v>
      </c>
      <c r="L7916" t="n">
        <v>0</v>
      </c>
      <c r="M7916" t="n">
        <v>0</v>
      </c>
      <c r="N7916" t="n">
        <v>0</v>
      </c>
      <c r="O7916" t="n">
        <v>0</v>
      </c>
      <c r="P7916" t="n">
        <v>0</v>
      </c>
      <c r="Q7916" t="n">
        <v>0</v>
      </c>
      <c r="R7916" s="2" t="inlineStr"/>
    </row>
    <row r="7917" ht="15" customHeight="1">
      <c r="A7917" t="inlineStr">
        <is>
          <t>A 51915-2022</t>
        </is>
      </c>
      <c r="B7917" s="1" t="n">
        <v>44872.62795138889</v>
      </c>
      <c r="C7917" s="1" t="n">
        <v>46114</v>
      </c>
      <c r="D7917" t="inlineStr">
        <is>
          <t>DALARNAS LÄN</t>
        </is>
      </c>
      <c r="E7917" t="inlineStr">
        <is>
          <t>ORSA</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59736-2022</t>
        </is>
      </c>
      <c r="B7918" s="1" t="n">
        <v>44908</v>
      </c>
      <c r="C7918" s="1" t="n">
        <v>46114</v>
      </c>
      <c r="D7918" t="inlineStr">
        <is>
          <t>DALARNAS LÄN</t>
        </is>
      </c>
      <c r="E7918" t="inlineStr">
        <is>
          <t>VANSBRO</t>
        </is>
      </c>
      <c r="G7918" t="n">
        <v>3</v>
      </c>
      <c r="H7918" t="n">
        <v>0</v>
      </c>
      <c r="I7918" t="n">
        <v>0</v>
      </c>
      <c r="J7918" t="n">
        <v>0</v>
      </c>
      <c r="K7918" t="n">
        <v>0</v>
      </c>
      <c r="L7918" t="n">
        <v>0</v>
      </c>
      <c r="M7918" t="n">
        <v>0</v>
      </c>
      <c r="N7918" t="n">
        <v>0</v>
      </c>
      <c r="O7918" t="n">
        <v>0</v>
      </c>
      <c r="P7918" t="n">
        <v>0</v>
      </c>
      <c r="Q7918" t="n">
        <v>0</v>
      </c>
      <c r="R7918" s="2" t="inlineStr"/>
    </row>
    <row r="7919" ht="15" customHeight="1">
      <c r="A7919" t="inlineStr">
        <is>
          <t>A 11705-2026</t>
        </is>
      </c>
      <c r="B7919" s="1" t="n">
        <v>46084.61635416667</v>
      </c>
      <c r="C7919" s="1" t="n">
        <v>46114</v>
      </c>
      <c r="D7919" t="inlineStr">
        <is>
          <t>DALARNAS LÄN</t>
        </is>
      </c>
      <c r="E7919" t="inlineStr">
        <is>
          <t>MORA</t>
        </is>
      </c>
      <c r="G7919" t="n">
        <v>4.2</v>
      </c>
      <c r="H7919" t="n">
        <v>0</v>
      </c>
      <c r="I7919" t="n">
        <v>0</v>
      </c>
      <c r="J7919" t="n">
        <v>0</v>
      </c>
      <c r="K7919" t="n">
        <v>0</v>
      </c>
      <c r="L7919" t="n">
        <v>0</v>
      </c>
      <c r="M7919" t="n">
        <v>0</v>
      </c>
      <c r="N7919" t="n">
        <v>0</v>
      </c>
      <c r="O7919" t="n">
        <v>0</v>
      </c>
      <c r="P7919" t="n">
        <v>0</v>
      </c>
      <c r="Q7919" t="n">
        <v>0</v>
      </c>
      <c r="R7919" s="2" t="inlineStr"/>
    </row>
    <row r="7920" ht="15" customHeight="1">
      <c r="A7920" t="inlineStr">
        <is>
          <t>A 3574-2026</t>
        </is>
      </c>
      <c r="B7920" s="1" t="n">
        <v>46042.70995370371</v>
      </c>
      <c r="C7920" s="1" t="n">
        <v>46114</v>
      </c>
      <c r="D7920" t="inlineStr">
        <is>
          <t>DALARNAS LÄN</t>
        </is>
      </c>
      <c r="E7920" t="inlineStr">
        <is>
          <t>ÄLVDALEN</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3604-2026</t>
        </is>
      </c>
      <c r="B7921" s="1" t="n">
        <v>46042.87021990741</v>
      </c>
      <c r="C7921" s="1" t="n">
        <v>46114</v>
      </c>
      <c r="D7921" t="inlineStr">
        <is>
          <t>DALARNAS LÄN</t>
        </is>
      </c>
      <c r="E7921" t="inlineStr">
        <is>
          <t>FALUN</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3506-2026</t>
        </is>
      </c>
      <c r="B7922" s="1" t="n">
        <v>46042.58100694444</v>
      </c>
      <c r="C7922" s="1" t="n">
        <v>46114</v>
      </c>
      <c r="D7922" t="inlineStr">
        <is>
          <t>DALARNAS LÄN</t>
        </is>
      </c>
      <c r="E7922" t="inlineStr">
        <is>
          <t>BORLÄNGE</t>
        </is>
      </c>
      <c r="G7922" t="n">
        <v>9.199999999999999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11759-2026</t>
        </is>
      </c>
      <c r="B7923" s="1" t="n">
        <v>46084.68773148148</v>
      </c>
      <c r="C7923" s="1" t="n">
        <v>46114</v>
      </c>
      <c r="D7923" t="inlineStr">
        <is>
          <t>DALARNAS LÄN</t>
        </is>
      </c>
      <c r="E7923" t="inlineStr">
        <is>
          <t>FALUN</t>
        </is>
      </c>
      <c r="F7923" t="inlineStr">
        <is>
          <t>Bergvik skog väst AB</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46845-2021</t>
        </is>
      </c>
      <c r="B7924" s="1" t="n">
        <v>44445</v>
      </c>
      <c r="C7924" s="1" t="n">
        <v>46114</v>
      </c>
      <c r="D7924" t="inlineStr">
        <is>
          <t>DALARNAS LÄN</t>
        </is>
      </c>
      <c r="E7924" t="inlineStr">
        <is>
          <t>MALUNG-SÄLEN</t>
        </is>
      </c>
      <c r="F7924" t="inlineStr">
        <is>
          <t>Allmännings- och besparingsskogar</t>
        </is>
      </c>
      <c r="G7924" t="n">
        <v>15.4</v>
      </c>
      <c r="H7924" t="n">
        <v>0</v>
      </c>
      <c r="I7924" t="n">
        <v>0</v>
      </c>
      <c r="J7924" t="n">
        <v>0</v>
      </c>
      <c r="K7924" t="n">
        <v>0</v>
      </c>
      <c r="L7924" t="n">
        <v>0</v>
      </c>
      <c r="M7924" t="n">
        <v>0</v>
      </c>
      <c r="N7924" t="n">
        <v>0</v>
      </c>
      <c r="O7924" t="n">
        <v>0</v>
      </c>
      <c r="P7924" t="n">
        <v>0</v>
      </c>
      <c r="Q7924" t="n">
        <v>0</v>
      </c>
      <c r="R7924" s="2" t="inlineStr"/>
    </row>
    <row r="7925" ht="15" customHeight="1">
      <c r="A7925" t="inlineStr">
        <is>
          <t>A 3363-2026</t>
        </is>
      </c>
      <c r="B7925" s="1" t="n">
        <v>46042.33083333333</v>
      </c>
      <c r="C7925" s="1" t="n">
        <v>46114</v>
      </c>
      <c r="D7925" t="inlineStr">
        <is>
          <t>DALARNAS LÄN</t>
        </is>
      </c>
      <c r="E7925" t="inlineStr">
        <is>
          <t>VANSBRO</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3372-2026</t>
        </is>
      </c>
      <c r="B7926" s="1" t="n">
        <v>46042</v>
      </c>
      <c r="C7926" s="1" t="n">
        <v>46114</v>
      </c>
      <c r="D7926" t="inlineStr">
        <is>
          <t>DALARNAS LÄN</t>
        </is>
      </c>
      <c r="E7926" t="inlineStr">
        <is>
          <t>FALUN</t>
        </is>
      </c>
      <c r="G7926" t="n">
        <v>2.6</v>
      </c>
      <c r="H7926" t="n">
        <v>0</v>
      </c>
      <c r="I7926" t="n">
        <v>0</v>
      </c>
      <c r="J7926" t="n">
        <v>0</v>
      </c>
      <c r="K7926" t="n">
        <v>0</v>
      </c>
      <c r="L7926" t="n">
        <v>0</v>
      </c>
      <c r="M7926" t="n">
        <v>0</v>
      </c>
      <c r="N7926" t="n">
        <v>0</v>
      </c>
      <c r="O7926" t="n">
        <v>0</v>
      </c>
      <c r="P7926" t="n">
        <v>0</v>
      </c>
      <c r="Q7926" t="n">
        <v>0</v>
      </c>
      <c r="R7926" s="2" t="inlineStr"/>
    </row>
    <row r="7927" ht="15" customHeight="1">
      <c r="A7927" t="inlineStr">
        <is>
          <t>A 11607-2026</t>
        </is>
      </c>
      <c r="B7927" s="1" t="n">
        <v>46084.43517361111</v>
      </c>
      <c r="C7927" s="1" t="n">
        <v>46114</v>
      </c>
      <c r="D7927" t="inlineStr">
        <is>
          <t>DALARNAS LÄN</t>
        </is>
      </c>
      <c r="E7927" t="inlineStr">
        <is>
          <t>FALUN</t>
        </is>
      </c>
      <c r="F7927" t="inlineStr">
        <is>
          <t>Bergvik skog väst AB</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11611-2026</t>
        </is>
      </c>
      <c r="B7928" s="1" t="n">
        <v>46084.44119212963</v>
      </c>
      <c r="C7928" s="1" t="n">
        <v>46114</v>
      </c>
      <c r="D7928" t="inlineStr">
        <is>
          <t>DALARNAS LÄN</t>
        </is>
      </c>
      <c r="E7928" t="inlineStr">
        <is>
          <t>VANSBRO</t>
        </is>
      </c>
      <c r="G7928" t="n">
        <v>2.1</v>
      </c>
      <c r="H7928" t="n">
        <v>0</v>
      </c>
      <c r="I7928" t="n">
        <v>0</v>
      </c>
      <c r="J7928" t="n">
        <v>0</v>
      </c>
      <c r="K7928" t="n">
        <v>0</v>
      </c>
      <c r="L7928" t="n">
        <v>0</v>
      </c>
      <c r="M7928" t="n">
        <v>0</v>
      </c>
      <c r="N7928" t="n">
        <v>0</v>
      </c>
      <c r="O7928" t="n">
        <v>0</v>
      </c>
      <c r="P7928" t="n">
        <v>0</v>
      </c>
      <c r="Q7928" t="n">
        <v>0</v>
      </c>
      <c r="R7928" s="2" t="inlineStr"/>
    </row>
    <row r="7929" ht="15" customHeight="1">
      <c r="A7929" t="inlineStr">
        <is>
          <t>A 3531-2026</t>
        </is>
      </c>
      <c r="B7929" s="1" t="n">
        <v>46042.6171875</v>
      </c>
      <c r="C7929" s="1" t="n">
        <v>46114</v>
      </c>
      <c r="D7929" t="inlineStr">
        <is>
          <t>DALARNAS LÄN</t>
        </is>
      </c>
      <c r="E7929" t="inlineStr">
        <is>
          <t>VANSBRO</t>
        </is>
      </c>
      <c r="G7929" t="n">
        <v>4.7</v>
      </c>
      <c r="H7929" t="n">
        <v>0</v>
      </c>
      <c r="I7929" t="n">
        <v>0</v>
      </c>
      <c r="J7929" t="n">
        <v>0</v>
      </c>
      <c r="K7929" t="n">
        <v>0</v>
      </c>
      <c r="L7929" t="n">
        <v>0</v>
      </c>
      <c r="M7929" t="n">
        <v>0</v>
      </c>
      <c r="N7929" t="n">
        <v>0</v>
      </c>
      <c r="O7929" t="n">
        <v>0</v>
      </c>
      <c r="P7929" t="n">
        <v>0</v>
      </c>
      <c r="Q7929" t="n">
        <v>0</v>
      </c>
      <c r="R7929" s="2" t="inlineStr"/>
    </row>
    <row r="7930" ht="15" customHeight="1">
      <c r="A7930" t="inlineStr">
        <is>
          <t>A 10560-2026</t>
        </is>
      </c>
      <c r="B7930" s="1" t="n">
        <v>46077</v>
      </c>
      <c r="C7930" s="1" t="n">
        <v>46114</v>
      </c>
      <c r="D7930" t="inlineStr">
        <is>
          <t>DALARNAS LÄN</t>
        </is>
      </c>
      <c r="E7930" t="inlineStr">
        <is>
          <t>RÄTTVIK</t>
        </is>
      </c>
      <c r="F7930" t="inlineStr">
        <is>
          <t>Bergvik skog väst AB</t>
        </is>
      </c>
      <c r="G7930" t="n">
        <v>21.4</v>
      </c>
      <c r="H7930" t="n">
        <v>0</v>
      </c>
      <c r="I7930" t="n">
        <v>0</v>
      </c>
      <c r="J7930" t="n">
        <v>0</v>
      </c>
      <c r="K7930" t="n">
        <v>0</v>
      </c>
      <c r="L7930" t="n">
        <v>0</v>
      </c>
      <c r="M7930" t="n">
        <v>0</v>
      </c>
      <c r="N7930" t="n">
        <v>0</v>
      </c>
      <c r="O7930" t="n">
        <v>0</v>
      </c>
      <c r="P7930" t="n">
        <v>0</v>
      </c>
      <c r="Q7930" t="n">
        <v>0</v>
      </c>
      <c r="R7930" s="2" t="inlineStr"/>
    </row>
    <row r="7931" ht="15" customHeight="1">
      <c r="A7931" t="inlineStr">
        <is>
          <t>A 47031-2024</t>
        </is>
      </c>
      <c r="B7931" s="1" t="n">
        <v>45586.42542824074</v>
      </c>
      <c r="C7931" s="1" t="n">
        <v>46114</v>
      </c>
      <c r="D7931" t="inlineStr">
        <is>
          <t>DALARNAS LÄN</t>
        </is>
      </c>
      <c r="E7931" t="inlineStr">
        <is>
          <t>RÄTTVIK</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40195-2022</t>
        </is>
      </c>
      <c r="B7932" s="1" t="n">
        <v>44818</v>
      </c>
      <c r="C7932" s="1" t="n">
        <v>46114</v>
      </c>
      <c r="D7932" t="inlineStr">
        <is>
          <t>DALARNAS LÄN</t>
        </is>
      </c>
      <c r="E7932" t="inlineStr">
        <is>
          <t>RÄTTVIK</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3887-2026</t>
        </is>
      </c>
      <c r="B7933" s="1" t="n">
        <v>46043.66733796296</v>
      </c>
      <c r="C7933" s="1" t="n">
        <v>46114</v>
      </c>
      <c r="D7933" t="inlineStr">
        <is>
          <t>DALARNAS LÄN</t>
        </is>
      </c>
      <c r="E7933" t="inlineStr">
        <is>
          <t>ÄLVDALEN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49635-2024</t>
        </is>
      </c>
      <c r="B7934" s="1" t="n">
        <v>45596.5975</v>
      </c>
      <c r="C7934" s="1" t="n">
        <v>46114</v>
      </c>
      <c r="D7934" t="inlineStr">
        <is>
          <t>DALARNAS LÄN</t>
        </is>
      </c>
      <c r="E7934" t="inlineStr">
        <is>
          <t>VANSBRO</t>
        </is>
      </c>
      <c r="F7934" t="inlineStr">
        <is>
          <t>Övriga statliga verk och myndigheter</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49642-2024</t>
        </is>
      </c>
      <c r="B7935" s="1" t="n">
        <v>45596.61127314815</v>
      </c>
      <c r="C7935" s="1" t="n">
        <v>46114</v>
      </c>
      <c r="D7935" t="inlineStr">
        <is>
          <t>DALARNAS LÄN</t>
        </is>
      </c>
      <c r="E7935" t="inlineStr">
        <is>
          <t>FALUN</t>
        </is>
      </c>
      <c r="F7935" t="inlineStr">
        <is>
          <t>Bergvik skog väst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60337-2025</t>
        </is>
      </c>
      <c r="B7936" s="1" t="n">
        <v>45994</v>
      </c>
      <c r="C7936" s="1" t="n">
        <v>46114</v>
      </c>
      <c r="D7936" t="inlineStr">
        <is>
          <t>DALARNAS LÄN</t>
        </is>
      </c>
      <c r="E7936" t="inlineStr">
        <is>
          <t>ORSA</t>
        </is>
      </c>
      <c r="G7936" t="n">
        <v>6.8</v>
      </c>
      <c r="H7936" t="n">
        <v>0</v>
      </c>
      <c r="I7936" t="n">
        <v>0</v>
      </c>
      <c r="J7936" t="n">
        <v>0</v>
      </c>
      <c r="K7936" t="n">
        <v>0</v>
      </c>
      <c r="L7936" t="n">
        <v>0</v>
      </c>
      <c r="M7936" t="n">
        <v>0</v>
      </c>
      <c r="N7936" t="n">
        <v>0</v>
      </c>
      <c r="O7936" t="n">
        <v>0</v>
      </c>
      <c r="P7936" t="n">
        <v>0</v>
      </c>
      <c r="Q7936" t="n">
        <v>0</v>
      </c>
      <c r="R7936" s="2" t="inlineStr"/>
    </row>
    <row r="7937" ht="15" customHeight="1">
      <c r="A7937" t="inlineStr">
        <is>
          <t>A 3915-2026</t>
        </is>
      </c>
      <c r="B7937" s="1" t="n">
        <v>46043</v>
      </c>
      <c r="C7937" s="1" t="n">
        <v>46114</v>
      </c>
      <c r="D7937" t="inlineStr">
        <is>
          <t>DALARNAS LÄN</t>
        </is>
      </c>
      <c r="E7937" t="inlineStr">
        <is>
          <t>FALUN</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3918-2026</t>
        </is>
      </c>
      <c r="B7938" s="1" t="n">
        <v>46043.74402777778</v>
      </c>
      <c r="C7938" s="1" t="n">
        <v>46114</v>
      </c>
      <c r="D7938" t="inlineStr">
        <is>
          <t>DALARNAS LÄN</t>
        </is>
      </c>
      <c r="E7938" t="inlineStr">
        <is>
          <t>VANSBRO</t>
        </is>
      </c>
      <c r="G7938" t="n">
        <v>6.2</v>
      </c>
      <c r="H7938" t="n">
        <v>0</v>
      </c>
      <c r="I7938" t="n">
        <v>0</v>
      </c>
      <c r="J7938" t="n">
        <v>0</v>
      </c>
      <c r="K7938" t="n">
        <v>0</v>
      </c>
      <c r="L7938" t="n">
        <v>0</v>
      </c>
      <c r="M7938" t="n">
        <v>0</v>
      </c>
      <c r="N7938" t="n">
        <v>0</v>
      </c>
      <c r="O7938" t="n">
        <v>0</v>
      </c>
      <c r="P7938" t="n">
        <v>0</v>
      </c>
      <c r="Q7938" t="n">
        <v>0</v>
      </c>
      <c r="R7938" s="2" t="inlineStr"/>
    </row>
    <row r="7939" ht="15" customHeight="1">
      <c r="A7939" t="inlineStr">
        <is>
          <t>A 49663-2024</t>
        </is>
      </c>
      <c r="B7939" s="1" t="n">
        <v>45596.64103009259</v>
      </c>
      <c r="C7939" s="1" t="n">
        <v>46114</v>
      </c>
      <c r="D7939" t="inlineStr">
        <is>
          <t>DALARNAS LÄN</t>
        </is>
      </c>
      <c r="E7939" t="inlineStr">
        <is>
          <t>FALUN</t>
        </is>
      </c>
      <c r="F7939" t="inlineStr">
        <is>
          <t>Bergvik skog väst AB</t>
        </is>
      </c>
      <c r="G7939" t="n">
        <v>6</v>
      </c>
      <c r="H7939" t="n">
        <v>0</v>
      </c>
      <c r="I7939" t="n">
        <v>0</v>
      </c>
      <c r="J7939" t="n">
        <v>0</v>
      </c>
      <c r="K7939" t="n">
        <v>0</v>
      </c>
      <c r="L7939" t="n">
        <v>0</v>
      </c>
      <c r="M7939" t="n">
        <v>0</v>
      </c>
      <c r="N7939" t="n">
        <v>0</v>
      </c>
      <c r="O7939" t="n">
        <v>0</v>
      </c>
      <c r="P7939" t="n">
        <v>0</v>
      </c>
      <c r="Q7939" t="n">
        <v>0</v>
      </c>
      <c r="R7939" s="2" t="inlineStr"/>
    </row>
    <row r="7940" ht="15" customHeight="1">
      <c r="A7940" t="inlineStr">
        <is>
          <t>A 3422-2026</t>
        </is>
      </c>
      <c r="B7940" s="1" t="n">
        <v>46042.431875</v>
      </c>
      <c r="C7940" s="1" t="n">
        <v>46114</v>
      </c>
      <c r="D7940" t="inlineStr">
        <is>
          <t>DALARNAS LÄN</t>
        </is>
      </c>
      <c r="E7940" t="inlineStr">
        <is>
          <t>VANSBRO</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3423-2026</t>
        </is>
      </c>
      <c r="B7941" s="1" t="n">
        <v>46042.43443287037</v>
      </c>
      <c r="C7941" s="1" t="n">
        <v>46114</v>
      </c>
      <c r="D7941" t="inlineStr">
        <is>
          <t>DALARNAS LÄN</t>
        </is>
      </c>
      <c r="E7941" t="inlineStr">
        <is>
          <t>SÄTER</t>
        </is>
      </c>
      <c r="G7941" t="n">
        <v>10.6</v>
      </c>
      <c r="H7941" t="n">
        <v>0</v>
      </c>
      <c r="I7941" t="n">
        <v>0</v>
      </c>
      <c r="J7941" t="n">
        <v>0</v>
      </c>
      <c r="K7941" t="n">
        <v>0</v>
      </c>
      <c r="L7941" t="n">
        <v>0</v>
      </c>
      <c r="M7941" t="n">
        <v>0</v>
      </c>
      <c r="N7941" t="n">
        <v>0</v>
      </c>
      <c r="O7941" t="n">
        <v>0</v>
      </c>
      <c r="P7941" t="n">
        <v>0</v>
      </c>
      <c r="Q7941" t="n">
        <v>0</v>
      </c>
      <c r="R7941" s="2" t="inlineStr"/>
    </row>
    <row r="7942" ht="15" customHeight="1">
      <c r="A7942" t="inlineStr">
        <is>
          <t>A 3428-2026</t>
        </is>
      </c>
      <c r="B7942" s="1" t="n">
        <v>46042.45342592592</v>
      </c>
      <c r="C7942" s="1" t="n">
        <v>46114</v>
      </c>
      <c r="D7942" t="inlineStr">
        <is>
          <t>DALARNAS LÄN</t>
        </is>
      </c>
      <c r="E7942" t="inlineStr">
        <is>
          <t>VANSBRO</t>
        </is>
      </c>
      <c r="G7942" t="n">
        <v>8.699999999999999</v>
      </c>
      <c r="H7942" t="n">
        <v>0</v>
      </c>
      <c r="I7942" t="n">
        <v>0</v>
      </c>
      <c r="J7942" t="n">
        <v>0</v>
      </c>
      <c r="K7942" t="n">
        <v>0</v>
      </c>
      <c r="L7942" t="n">
        <v>0</v>
      </c>
      <c r="M7942" t="n">
        <v>0</v>
      </c>
      <c r="N7942" t="n">
        <v>0</v>
      </c>
      <c r="O7942" t="n">
        <v>0</v>
      </c>
      <c r="P7942" t="n">
        <v>0</v>
      </c>
      <c r="Q7942" t="n">
        <v>0</v>
      </c>
      <c r="R7942" s="2" t="inlineStr"/>
    </row>
    <row r="7943" ht="15" customHeight="1">
      <c r="A7943" t="inlineStr">
        <is>
          <t>A 4068-2026</t>
        </is>
      </c>
      <c r="B7943" s="1" t="n">
        <v>46043</v>
      </c>
      <c r="C7943" s="1" t="n">
        <v>46114</v>
      </c>
      <c r="D7943" t="inlineStr">
        <is>
          <t>DALARNAS LÄN</t>
        </is>
      </c>
      <c r="E7943" t="inlineStr">
        <is>
          <t>FALUN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3669-2026</t>
        </is>
      </c>
      <c r="B7944" s="1" t="n">
        <v>46043.41603009259</v>
      </c>
      <c r="C7944" s="1" t="n">
        <v>46114</v>
      </c>
      <c r="D7944" t="inlineStr">
        <is>
          <t>DALARNAS LÄN</t>
        </is>
      </c>
      <c r="E7944" t="inlineStr">
        <is>
          <t>MORA</t>
        </is>
      </c>
      <c r="G7944" t="n">
        <v>4.6</v>
      </c>
      <c r="H7944" t="n">
        <v>0</v>
      </c>
      <c r="I7944" t="n">
        <v>0</v>
      </c>
      <c r="J7944" t="n">
        <v>0</v>
      </c>
      <c r="K7944" t="n">
        <v>0</v>
      </c>
      <c r="L7944" t="n">
        <v>0</v>
      </c>
      <c r="M7944" t="n">
        <v>0</v>
      </c>
      <c r="N7944" t="n">
        <v>0</v>
      </c>
      <c r="O7944" t="n">
        <v>0</v>
      </c>
      <c r="P7944" t="n">
        <v>0</v>
      </c>
      <c r="Q7944" t="n">
        <v>0</v>
      </c>
      <c r="R7944" s="2" t="inlineStr"/>
    </row>
    <row r="7945" ht="15" customHeight="1">
      <c r="A7945" t="inlineStr">
        <is>
          <t>A 10337-2026</t>
        </is>
      </c>
      <c r="B7945" s="1" t="n">
        <v>46076</v>
      </c>
      <c r="C7945" s="1" t="n">
        <v>46114</v>
      </c>
      <c r="D7945" t="inlineStr">
        <is>
          <t>DALARNAS LÄN</t>
        </is>
      </c>
      <c r="E7945" t="inlineStr">
        <is>
          <t>FALUN</t>
        </is>
      </c>
      <c r="F7945" t="inlineStr">
        <is>
          <t>Bergvik skog väst AB</t>
        </is>
      </c>
      <c r="G7945" t="n">
        <v>27.7</v>
      </c>
      <c r="H7945" t="n">
        <v>0</v>
      </c>
      <c r="I7945" t="n">
        <v>0</v>
      </c>
      <c r="J7945" t="n">
        <v>0</v>
      </c>
      <c r="K7945" t="n">
        <v>0</v>
      </c>
      <c r="L7945" t="n">
        <v>0</v>
      </c>
      <c r="M7945" t="n">
        <v>0</v>
      </c>
      <c r="N7945" t="n">
        <v>0</v>
      </c>
      <c r="O7945" t="n">
        <v>0</v>
      </c>
      <c r="P7945" t="n">
        <v>0</v>
      </c>
      <c r="Q7945" t="n">
        <v>0</v>
      </c>
      <c r="R7945" s="2" t="inlineStr"/>
    </row>
    <row r="7946" ht="15" customHeight="1">
      <c r="A7946" t="inlineStr">
        <is>
          <t>A 10338-2026</t>
        </is>
      </c>
      <c r="B7946" s="1" t="n">
        <v>46076</v>
      </c>
      <c r="C7946" s="1" t="n">
        <v>46114</v>
      </c>
      <c r="D7946" t="inlineStr">
        <is>
          <t>DALARNAS LÄN</t>
        </is>
      </c>
      <c r="E7946" t="inlineStr">
        <is>
          <t>FALUN</t>
        </is>
      </c>
      <c r="F7946" t="inlineStr">
        <is>
          <t>Bergvik skog väst AB</t>
        </is>
      </c>
      <c r="G7946" t="n">
        <v>1.9</v>
      </c>
      <c r="H7946" t="n">
        <v>0</v>
      </c>
      <c r="I7946" t="n">
        <v>0</v>
      </c>
      <c r="J7946" t="n">
        <v>0</v>
      </c>
      <c r="K7946" t="n">
        <v>0</v>
      </c>
      <c r="L7946" t="n">
        <v>0</v>
      </c>
      <c r="M7946" t="n">
        <v>0</v>
      </c>
      <c r="N7946" t="n">
        <v>0</v>
      </c>
      <c r="O7946" t="n">
        <v>0</v>
      </c>
      <c r="P7946" t="n">
        <v>0</v>
      </c>
      <c r="Q7946" t="n">
        <v>0</v>
      </c>
      <c r="R7946" s="2" t="inlineStr"/>
    </row>
    <row r="7947" ht="15" customHeight="1">
      <c r="A7947" t="inlineStr">
        <is>
          <t>A 10341-2026</t>
        </is>
      </c>
      <c r="B7947" s="1" t="n">
        <v>46076</v>
      </c>
      <c r="C7947" s="1" t="n">
        <v>46114</v>
      </c>
      <c r="D7947" t="inlineStr">
        <is>
          <t>DALARNAS LÄN</t>
        </is>
      </c>
      <c r="E7947" t="inlineStr">
        <is>
          <t>FALUN</t>
        </is>
      </c>
      <c r="F7947" t="inlineStr">
        <is>
          <t>Bergvik skog väst AB</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27244-2023</t>
        </is>
      </c>
      <c r="B7948" s="1" t="n">
        <v>45096</v>
      </c>
      <c r="C7948" s="1" t="n">
        <v>46114</v>
      </c>
      <c r="D7948" t="inlineStr">
        <is>
          <t>DALARNAS LÄN</t>
        </is>
      </c>
      <c r="E7948" t="inlineStr">
        <is>
          <t>LEKSAND</t>
        </is>
      </c>
      <c r="G7948" t="n">
        <v>5</v>
      </c>
      <c r="H7948" t="n">
        <v>0</v>
      </c>
      <c r="I7948" t="n">
        <v>0</v>
      </c>
      <c r="J7948" t="n">
        <v>0</v>
      </c>
      <c r="K7948" t="n">
        <v>0</v>
      </c>
      <c r="L7948" t="n">
        <v>0</v>
      </c>
      <c r="M7948" t="n">
        <v>0</v>
      </c>
      <c r="N7948" t="n">
        <v>0</v>
      </c>
      <c r="O7948" t="n">
        <v>0</v>
      </c>
      <c r="P7948" t="n">
        <v>0</v>
      </c>
      <c r="Q7948" t="n">
        <v>0</v>
      </c>
      <c r="R7948" s="2" t="inlineStr"/>
    </row>
    <row r="7949" ht="15" customHeight="1">
      <c r="A7949" t="inlineStr">
        <is>
          <t>A 52469-2022</t>
        </is>
      </c>
      <c r="B7949" s="1" t="n">
        <v>44874</v>
      </c>
      <c r="C7949" s="1" t="n">
        <v>46114</v>
      </c>
      <c r="D7949" t="inlineStr">
        <is>
          <t>DALARNAS LÄN</t>
        </is>
      </c>
      <c r="E7949" t="inlineStr">
        <is>
          <t>ÄLVDALEN</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43736-2024</t>
        </is>
      </c>
      <c r="B7950" s="1" t="n">
        <v>45569.65116898148</v>
      </c>
      <c r="C7950" s="1" t="n">
        <v>46114</v>
      </c>
      <c r="D7950" t="inlineStr">
        <is>
          <t>DALARNAS LÄN</t>
        </is>
      </c>
      <c r="E7950" t="inlineStr">
        <is>
          <t>FALUN</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11716-2026</t>
        </is>
      </c>
      <c r="B7951" s="1" t="n">
        <v>46084.62465277778</v>
      </c>
      <c r="C7951" s="1" t="n">
        <v>46114</v>
      </c>
      <c r="D7951" t="inlineStr">
        <is>
          <t>DALARNAS LÄN</t>
        </is>
      </c>
      <c r="E7951" t="inlineStr">
        <is>
          <t>MORA</t>
        </is>
      </c>
      <c r="G7951" t="n">
        <v>1.8</v>
      </c>
      <c r="H7951" t="n">
        <v>0</v>
      </c>
      <c r="I7951" t="n">
        <v>0</v>
      </c>
      <c r="J7951" t="n">
        <v>0</v>
      </c>
      <c r="K7951" t="n">
        <v>0</v>
      </c>
      <c r="L7951" t="n">
        <v>0</v>
      </c>
      <c r="M7951" t="n">
        <v>0</v>
      </c>
      <c r="N7951" t="n">
        <v>0</v>
      </c>
      <c r="O7951" t="n">
        <v>0</v>
      </c>
      <c r="P7951" t="n">
        <v>0</v>
      </c>
      <c r="Q7951" t="n">
        <v>0</v>
      </c>
      <c r="R7951" s="2" t="inlineStr"/>
    </row>
    <row r="7952" ht="15" customHeight="1">
      <c r="A7952" t="inlineStr">
        <is>
          <t>A 3525-2026</t>
        </is>
      </c>
      <c r="B7952" s="1" t="n">
        <v>46042.60645833334</v>
      </c>
      <c r="C7952" s="1" t="n">
        <v>46114</v>
      </c>
      <c r="D7952" t="inlineStr">
        <is>
          <t>DALARNAS LÄN</t>
        </is>
      </c>
      <c r="E7952" t="inlineStr">
        <is>
          <t>LEKSAND</t>
        </is>
      </c>
      <c r="F7952" t="inlineStr">
        <is>
          <t>Övriga Aktiebolag</t>
        </is>
      </c>
      <c r="G7952" t="n">
        <v>2.3</v>
      </c>
      <c r="H7952" t="n">
        <v>0</v>
      </c>
      <c r="I7952" t="n">
        <v>0</v>
      </c>
      <c r="J7952" t="n">
        <v>0</v>
      </c>
      <c r="K7952" t="n">
        <v>0</v>
      </c>
      <c r="L7952" t="n">
        <v>0</v>
      </c>
      <c r="M7952" t="n">
        <v>0</v>
      </c>
      <c r="N7952" t="n">
        <v>0</v>
      </c>
      <c r="O7952" t="n">
        <v>0</v>
      </c>
      <c r="P7952" t="n">
        <v>0</v>
      </c>
      <c r="Q7952" t="n">
        <v>0</v>
      </c>
      <c r="R7952" s="2" t="inlineStr"/>
    </row>
    <row r="7953" ht="15" customHeight="1">
      <c r="A7953" t="inlineStr">
        <is>
          <t>A 10339-2026</t>
        </is>
      </c>
      <c r="B7953" s="1" t="n">
        <v>46076</v>
      </c>
      <c r="C7953" s="1" t="n">
        <v>46114</v>
      </c>
      <c r="D7953" t="inlineStr">
        <is>
          <t>DALARNAS LÄN</t>
        </is>
      </c>
      <c r="E7953" t="inlineStr">
        <is>
          <t>FALUN</t>
        </is>
      </c>
      <c r="F7953" t="inlineStr">
        <is>
          <t>Bergvik skog väst AB</t>
        </is>
      </c>
      <c r="G7953" t="n">
        <v>10.2</v>
      </c>
      <c r="H7953" t="n">
        <v>0</v>
      </c>
      <c r="I7953" t="n">
        <v>0</v>
      </c>
      <c r="J7953" t="n">
        <v>0</v>
      </c>
      <c r="K7953" t="n">
        <v>0</v>
      </c>
      <c r="L7953" t="n">
        <v>0</v>
      </c>
      <c r="M7953" t="n">
        <v>0</v>
      </c>
      <c r="N7953" t="n">
        <v>0</v>
      </c>
      <c r="O7953" t="n">
        <v>0</v>
      </c>
      <c r="P7953" t="n">
        <v>0</v>
      </c>
      <c r="Q7953" t="n">
        <v>0</v>
      </c>
      <c r="R7953" s="2" t="inlineStr"/>
    </row>
    <row r="7954" ht="15" customHeight="1">
      <c r="A7954" t="inlineStr">
        <is>
          <t>A 10348-2026</t>
        </is>
      </c>
      <c r="B7954" s="1" t="n">
        <v>46076</v>
      </c>
      <c r="C7954" s="1" t="n">
        <v>46114</v>
      </c>
      <c r="D7954" t="inlineStr">
        <is>
          <t>DALARNAS LÄN</t>
        </is>
      </c>
      <c r="E7954" t="inlineStr">
        <is>
          <t>SMEDJEBACKEN</t>
        </is>
      </c>
      <c r="G7954" t="n">
        <v>0.8</v>
      </c>
      <c r="H7954" t="n">
        <v>0</v>
      </c>
      <c r="I7954" t="n">
        <v>0</v>
      </c>
      <c r="J7954" t="n">
        <v>0</v>
      </c>
      <c r="K7954" t="n">
        <v>0</v>
      </c>
      <c r="L7954" t="n">
        <v>0</v>
      </c>
      <c r="M7954" t="n">
        <v>0</v>
      </c>
      <c r="N7954" t="n">
        <v>0</v>
      </c>
      <c r="O7954" t="n">
        <v>0</v>
      </c>
      <c r="P7954" t="n">
        <v>0</v>
      </c>
      <c r="Q7954" t="n">
        <v>0</v>
      </c>
      <c r="R7954" s="2" t="inlineStr"/>
    </row>
    <row r="7955" ht="15" customHeight="1">
      <c r="A7955" t="inlineStr">
        <is>
          <t>A 3466-2026</t>
        </is>
      </c>
      <c r="B7955" s="1" t="n">
        <v>46042.5277199074</v>
      </c>
      <c r="C7955" s="1" t="n">
        <v>46114</v>
      </c>
      <c r="D7955" t="inlineStr">
        <is>
          <t>DALARNAS LÄN</t>
        </is>
      </c>
      <c r="E7955" t="inlineStr">
        <is>
          <t>RÄTTVIK</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28613-2022</t>
        </is>
      </c>
      <c r="B7956" s="1" t="n">
        <v>44748.57469907407</v>
      </c>
      <c r="C7956" s="1" t="n">
        <v>46114</v>
      </c>
      <c r="D7956" t="inlineStr">
        <is>
          <t>DALARNAS LÄN</t>
        </is>
      </c>
      <c r="E7956" t="inlineStr">
        <is>
          <t>SMEDJEBACKEN</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3742-2026</t>
        </is>
      </c>
      <c r="B7957" s="1" t="n">
        <v>46043</v>
      </c>
      <c r="C7957" s="1" t="n">
        <v>46114</v>
      </c>
      <c r="D7957" t="inlineStr">
        <is>
          <t>DALARNAS LÄN</t>
        </is>
      </c>
      <c r="E7957" t="inlineStr">
        <is>
          <t>MORA</t>
        </is>
      </c>
      <c r="G7957" t="n">
        <v>1.7</v>
      </c>
      <c r="H7957" t="n">
        <v>0</v>
      </c>
      <c r="I7957" t="n">
        <v>0</v>
      </c>
      <c r="J7957" t="n">
        <v>0</v>
      </c>
      <c r="K7957" t="n">
        <v>0</v>
      </c>
      <c r="L7957" t="n">
        <v>0</v>
      </c>
      <c r="M7957" t="n">
        <v>0</v>
      </c>
      <c r="N7957" t="n">
        <v>0</v>
      </c>
      <c r="O7957" t="n">
        <v>0</v>
      </c>
      <c r="P7957" t="n">
        <v>0</v>
      </c>
      <c r="Q7957" t="n">
        <v>0</v>
      </c>
      <c r="R7957" s="2" t="inlineStr"/>
    </row>
    <row r="7958" ht="15" customHeight="1">
      <c r="A7958" t="inlineStr">
        <is>
          <t>A 21992-2023</t>
        </is>
      </c>
      <c r="B7958" s="1" t="n">
        <v>45068.77065972222</v>
      </c>
      <c r="C7958" s="1" t="n">
        <v>46114</v>
      </c>
      <c r="D7958" t="inlineStr">
        <is>
          <t>DALARNAS LÄN</t>
        </is>
      </c>
      <c r="E7958" t="inlineStr">
        <is>
          <t>BORLÄNGE</t>
        </is>
      </c>
      <c r="G7958" t="n">
        <v>4.4</v>
      </c>
      <c r="H7958" t="n">
        <v>0</v>
      </c>
      <c r="I7958" t="n">
        <v>0</v>
      </c>
      <c r="J7958" t="n">
        <v>0</v>
      </c>
      <c r="K7958" t="n">
        <v>0</v>
      </c>
      <c r="L7958" t="n">
        <v>0</v>
      </c>
      <c r="M7958" t="n">
        <v>0</v>
      </c>
      <c r="N7958" t="n">
        <v>0</v>
      </c>
      <c r="O7958" t="n">
        <v>0</v>
      </c>
      <c r="P7958" t="n">
        <v>0</v>
      </c>
      <c r="Q7958" t="n">
        <v>0</v>
      </c>
      <c r="R7958" s="2" t="inlineStr"/>
    </row>
    <row r="7959" ht="15" customHeight="1">
      <c r="A7959" t="inlineStr">
        <is>
          <t>A 3449-2026</t>
        </is>
      </c>
      <c r="B7959" s="1" t="n">
        <v>46042.49140046296</v>
      </c>
      <c r="C7959" s="1" t="n">
        <v>46114</v>
      </c>
      <c r="D7959" t="inlineStr">
        <is>
          <t>DALARNAS LÄN</t>
        </is>
      </c>
      <c r="E7959" t="inlineStr">
        <is>
          <t>RÄTTVIK</t>
        </is>
      </c>
      <c r="G7959" t="n">
        <v>0.8</v>
      </c>
      <c r="H7959" t="n">
        <v>0</v>
      </c>
      <c r="I7959" t="n">
        <v>0</v>
      </c>
      <c r="J7959" t="n">
        <v>0</v>
      </c>
      <c r="K7959" t="n">
        <v>0</v>
      </c>
      <c r="L7959" t="n">
        <v>0</v>
      </c>
      <c r="M7959" t="n">
        <v>0</v>
      </c>
      <c r="N7959" t="n">
        <v>0</v>
      </c>
      <c r="O7959" t="n">
        <v>0</v>
      </c>
      <c r="P7959" t="n">
        <v>0</v>
      </c>
      <c r="Q7959" t="n">
        <v>0</v>
      </c>
      <c r="R7959" s="2" t="inlineStr"/>
    </row>
    <row r="7960" ht="15" customHeight="1">
      <c r="A7960" t="inlineStr">
        <is>
          <t>A 3453-2026</t>
        </is>
      </c>
      <c r="B7960" s="1" t="n">
        <v>46042.49667824074</v>
      </c>
      <c r="C7960" s="1" t="n">
        <v>46114</v>
      </c>
      <c r="D7960" t="inlineStr">
        <is>
          <t>DALARNAS LÄN</t>
        </is>
      </c>
      <c r="E7960" t="inlineStr">
        <is>
          <t>BORLÄNGE</t>
        </is>
      </c>
      <c r="G7960" t="n">
        <v>0.6</v>
      </c>
      <c r="H7960" t="n">
        <v>0</v>
      </c>
      <c r="I7960" t="n">
        <v>0</v>
      </c>
      <c r="J7960" t="n">
        <v>0</v>
      </c>
      <c r="K7960" t="n">
        <v>0</v>
      </c>
      <c r="L7960" t="n">
        <v>0</v>
      </c>
      <c r="M7960" t="n">
        <v>0</v>
      </c>
      <c r="N7960" t="n">
        <v>0</v>
      </c>
      <c r="O7960" t="n">
        <v>0</v>
      </c>
      <c r="P7960" t="n">
        <v>0</v>
      </c>
      <c r="Q7960" t="n">
        <v>0</v>
      </c>
      <c r="R7960" s="2" t="inlineStr"/>
      <c r="U7960">
        <f>HYPERLINK("https://klasma.github.io/Logging_2081/knärot/A 3453-2026 karta knärot.png", "A 3453-2026")</f>
        <v/>
      </c>
      <c r="V7960">
        <f>HYPERLINK("https://klasma.github.io/Logging_2081/klagomål/A 3453-2026 FSC-klagomål.docx", "A 3453-2026")</f>
        <v/>
      </c>
      <c r="W7960">
        <f>HYPERLINK("https://klasma.github.io/Logging_2081/klagomålsmail/A 3453-2026 FSC-klagomål mail.docx", "A 3453-2026")</f>
        <v/>
      </c>
      <c r="X7960">
        <f>HYPERLINK("https://klasma.github.io/Logging_2081/tillsyn/A 3453-2026 tillsynsbegäran.docx", "A 3453-2026")</f>
        <v/>
      </c>
      <c r="Y7960">
        <f>HYPERLINK("https://klasma.github.io/Logging_2081/tillsynsmail/A 3453-2026 tillsynsbegäran mail.docx", "A 3453-2026")</f>
        <v/>
      </c>
    </row>
    <row r="7961" ht="15" customHeight="1">
      <c r="A7961" t="inlineStr">
        <is>
          <t>A 3454-2026</t>
        </is>
      </c>
      <c r="B7961" s="1" t="n">
        <v>46042.49834490741</v>
      </c>
      <c r="C7961" s="1" t="n">
        <v>46114</v>
      </c>
      <c r="D7961" t="inlineStr">
        <is>
          <t>DALARNAS LÄN</t>
        </is>
      </c>
      <c r="E7961" t="inlineStr">
        <is>
          <t>FALUN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3476-2026</t>
        </is>
      </c>
      <c r="B7962" s="1" t="n">
        <v>46042.54991898148</v>
      </c>
      <c r="C7962" s="1" t="n">
        <v>46114</v>
      </c>
      <c r="D7962" t="inlineStr">
        <is>
          <t>DALARNAS LÄN</t>
        </is>
      </c>
      <c r="E7962" t="inlineStr">
        <is>
          <t>RÄTTVIK</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3791-2026</t>
        </is>
      </c>
      <c r="B7963" s="1" t="n">
        <v>46043</v>
      </c>
      <c r="C7963" s="1" t="n">
        <v>46114</v>
      </c>
      <c r="D7963" t="inlineStr">
        <is>
          <t>DALARNAS LÄN</t>
        </is>
      </c>
      <c r="E7963" t="inlineStr">
        <is>
          <t>FALUN</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3797-2026</t>
        </is>
      </c>
      <c r="B7964" s="1" t="n">
        <v>46043.58049768519</v>
      </c>
      <c r="C7964" s="1" t="n">
        <v>46114</v>
      </c>
      <c r="D7964" t="inlineStr">
        <is>
          <t>DALARNAS LÄN</t>
        </is>
      </c>
      <c r="E7964" t="inlineStr">
        <is>
          <t>RÄTTVIK</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3830-2026</t>
        </is>
      </c>
      <c r="B7965" s="1" t="n">
        <v>46043</v>
      </c>
      <c r="C7965" s="1" t="n">
        <v>46114</v>
      </c>
      <c r="D7965" t="inlineStr">
        <is>
          <t>DALARNAS LÄN</t>
        </is>
      </c>
      <c r="E7965" t="inlineStr">
        <is>
          <t>FALUN</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3831-2026</t>
        </is>
      </c>
      <c r="B7966" s="1" t="n">
        <v>46043</v>
      </c>
      <c r="C7966" s="1" t="n">
        <v>46114</v>
      </c>
      <c r="D7966" t="inlineStr">
        <is>
          <t>DALARNAS LÄN</t>
        </is>
      </c>
      <c r="E7966" t="inlineStr">
        <is>
          <t>LEKSAND</t>
        </is>
      </c>
      <c r="G7966" t="n">
        <v>1.7</v>
      </c>
      <c r="H7966" t="n">
        <v>0</v>
      </c>
      <c r="I7966" t="n">
        <v>0</v>
      </c>
      <c r="J7966" t="n">
        <v>0</v>
      </c>
      <c r="K7966" t="n">
        <v>0</v>
      </c>
      <c r="L7966" t="n">
        <v>0</v>
      </c>
      <c r="M7966" t="n">
        <v>0</v>
      </c>
      <c r="N7966" t="n">
        <v>0</v>
      </c>
      <c r="O7966" t="n">
        <v>0</v>
      </c>
      <c r="P7966" t="n">
        <v>0</v>
      </c>
      <c r="Q7966" t="n">
        <v>0</v>
      </c>
      <c r="R7966" s="2" t="inlineStr"/>
    </row>
    <row r="7967" ht="15" customHeight="1">
      <c r="A7967" t="inlineStr">
        <is>
          <t>A 10334-2026</t>
        </is>
      </c>
      <c r="B7967" s="1" t="n">
        <v>46076</v>
      </c>
      <c r="C7967" s="1" t="n">
        <v>46114</v>
      </c>
      <c r="D7967" t="inlineStr">
        <is>
          <t>DALARNAS LÄN</t>
        </is>
      </c>
      <c r="E7967" t="inlineStr">
        <is>
          <t>FALUN</t>
        </is>
      </c>
      <c r="F7967" t="inlineStr">
        <is>
          <t>Bergvik skog väst AB</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10336-2026</t>
        </is>
      </c>
      <c r="B7968" s="1" t="n">
        <v>46076</v>
      </c>
      <c r="C7968" s="1" t="n">
        <v>46114</v>
      </c>
      <c r="D7968" t="inlineStr">
        <is>
          <t>DALARNAS LÄN</t>
        </is>
      </c>
      <c r="E7968" t="inlineStr">
        <is>
          <t>FALUN</t>
        </is>
      </c>
      <c r="F7968" t="inlineStr">
        <is>
          <t>Bergvik skog väst AB</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2166-2025</t>
        </is>
      </c>
      <c r="B7969" s="1" t="n">
        <v>45672</v>
      </c>
      <c r="C7969" s="1" t="n">
        <v>46114</v>
      </c>
      <c r="D7969" t="inlineStr">
        <is>
          <t>DALARNAS LÄN</t>
        </is>
      </c>
      <c r="E7969" t="inlineStr">
        <is>
          <t>BORLÄNGE</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33548-2022</t>
        </is>
      </c>
      <c r="B7970" s="1" t="n">
        <v>44789</v>
      </c>
      <c r="C7970" s="1" t="n">
        <v>46114</v>
      </c>
      <c r="D7970" t="inlineStr">
        <is>
          <t>DALARNAS LÄN</t>
        </is>
      </c>
      <c r="E7970" t="inlineStr">
        <is>
          <t>FALUN</t>
        </is>
      </c>
      <c r="G7970" t="n">
        <v>4.7</v>
      </c>
      <c r="H7970" t="n">
        <v>0</v>
      </c>
      <c r="I7970" t="n">
        <v>0</v>
      </c>
      <c r="J7970" t="n">
        <v>0</v>
      </c>
      <c r="K7970" t="n">
        <v>0</v>
      </c>
      <c r="L7970" t="n">
        <v>0</v>
      </c>
      <c r="M7970" t="n">
        <v>0</v>
      </c>
      <c r="N7970" t="n">
        <v>0</v>
      </c>
      <c r="O7970" t="n">
        <v>0</v>
      </c>
      <c r="P7970" t="n">
        <v>0</v>
      </c>
      <c r="Q7970" t="n">
        <v>0</v>
      </c>
      <c r="R7970" s="2" t="inlineStr"/>
    </row>
    <row r="7971" ht="15" customHeight="1">
      <c r="A7971" t="inlineStr">
        <is>
          <t>A 3859-2026</t>
        </is>
      </c>
      <c r="B7971" s="1" t="n">
        <v>46043.6222337963</v>
      </c>
      <c r="C7971" s="1" t="n">
        <v>46114</v>
      </c>
      <c r="D7971" t="inlineStr">
        <is>
          <t>DALARNAS LÄN</t>
        </is>
      </c>
      <c r="E7971" t="inlineStr">
        <is>
          <t>ÄLVDALEN</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10331-2026</t>
        </is>
      </c>
      <c r="B7972" s="1" t="n">
        <v>46076</v>
      </c>
      <c r="C7972" s="1" t="n">
        <v>46114</v>
      </c>
      <c r="D7972" t="inlineStr">
        <is>
          <t>DALARNAS LÄN</t>
        </is>
      </c>
      <c r="E7972" t="inlineStr">
        <is>
          <t>BORLÄNGE</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3183-2025</t>
        </is>
      </c>
      <c r="B7973" s="1" t="n">
        <v>45679.40298611111</v>
      </c>
      <c r="C7973" s="1" t="n">
        <v>46114</v>
      </c>
      <c r="D7973" t="inlineStr">
        <is>
          <t>DALARNAS LÄN</t>
        </is>
      </c>
      <c r="E7973" t="inlineStr">
        <is>
          <t>LEKSAND</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57999-2023</t>
        </is>
      </c>
      <c r="B7974" s="1" t="n">
        <v>45247</v>
      </c>
      <c r="C7974" s="1" t="n">
        <v>46114</v>
      </c>
      <c r="D7974" t="inlineStr">
        <is>
          <t>DALARNAS LÄN</t>
        </is>
      </c>
      <c r="E7974" t="inlineStr">
        <is>
          <t>MORA</t>
        </is>
      </c>
      <c r="G7974" t="n">
        <v>0.4</v>
      </c>
      <c r="H7974" t="n">
        <v>0</v>
      </c>
      <c r="I7974" t="n">
        <v>0</v>
      </c>
      <c r="J7974" t="n">
        <v>0</v>
      </c>
      <c r="K7974" t="n">
        <v>0</v>
      </c>
      <c r="L7974" t="n">
        <v>0</v>
      </c>
      <c r="M7974" t="n">
        <v>0</v>
      </c>
      <c r="N7974" t="n">
        <v>0</v>
      </c>
      <c r="O7974" t="n">
        <v>0</v>
      </c>
      <c r="P7974" t="n">
        <v>0</v>
      </c>
      <c r="Q7974" t="n">
        <v>0</v>
      </c>
      <c r="R7974" s="2" t="inlineStr"/>
    </row>
    <row r="7975" ht="15" customHeight="1">
      <c r="A7975" t="inlineStr">
        <is>
          <t>A 58009-2023</t>
        </is>
      </c>
      <c r="B7975" s="1" t="n">
        <v>45247.61887731482</v>
      </c>
      <c r="C7975" s="1" t="n">
        <v>46114</v>
      </c>
      <c r="D7975" t="inlineStr">
        <is>
          <t>DALARNAS LÄN</t>
        </is>
      </c>
      <c r="E7975" t="inlineStr">
        <is>
          <t>VANSBRO</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3390-2026</t>
        </is>
      </c>
      <c r="B7976" s="1" t="n">
        <v>46042.37128472222</v>
      </c>
      <c r="C7976" s="1" t="n">
        <v>46114</v>
      </c>
      <c r="D7976" t="inlineStr">
        <is>
          <t>DALARNAS LÄN</t>
        </is>
      </c>
      <c r="E7976" t="inlineStr">
        <is>
          <t>ÄLVDALEN</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11780-2026</t>
        </is>
      </c>
      <c r="B7977" s="1" t="n">
        <v>46084.87475694445</v>
      </c>
      <c r="C7977" s="1" t="n">
        <v>46114</v>
      </c>
      <c r="D7977" t="inlineStr">
        <is>
          <t>DALARNAS LÄN</t>
        </is>
      </c>
      <c r="E7977" t="inlineStr">
        <is>
          <t>FALUN</t>
        </is>
      </c>
      <c r="F7977" t="inlineStr">
        <is>
          <t>Bergvik skog väst AB</t>
        </is>
      </c>
      <c r="G7977" t="n">
        <v>8.5</v>
      </c>
      <c r="H7977" t="n">
        <v>0</v>
      </c>
      <c r="I7977" t="n">
        <v>0</v>
      </c>
      <c r="J7977" t="n">
        <v>0</v>
      </c>
      <c r="K7977" t="n">
        <v>0</v>
      </c>
      <c r="L7977" t="n">
        <v>0</v>
      </c>
      <c r="M7977" t="n">
        <v>0</v>
      </c>
      <c r="N7977" t="n">
        <v>0</v>
      </c>
      <c r="O7977" t="n">
        <v>0</v>
      </c>
      <c r="P7977" t="n">
        <v>0</v>
      </c>
      <c r="Q7977" t="n">
        <v>0</v>
      </c>
      <c r="R7977" s="2" t="inlineStr"/>
    </row>
    <row r="7978" ht="15" customHeight="1">
      <c r="A7978" t="inlineStr">
        <is>
          <t>A 11782-2026</t>
        </is>
      </c>
      <c r="B7978" s="1" t="n">
        <v>46084.88075231481</v>
      </c>
      <c r="C7978" s="1" t="n">
        <v>46114</v>
      </c>
      <c r="D7978" t="inlineStr">
        <is>
          <t>DALARNAS LÄN</t>
        </is>
      </c>
      <c r="E7978" t="inlineStr">
        <is>
          <t>FALUN</t>
        </is>
      </c>
      <c r="F7978" t="inlineStr">
        <is>
          <t>Bergvik skog väst AB</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9788-2026</t>
        </is>
      </c>
      <c r="B7979" s="1" t="n">
        <v>46072</v>
      </c>
      <c r="C7979" s="1" t="n">
        <v>46114</v>
      </c>
      <c r="D7979" t="inlineStr">
        <is>
          <t>DALARNAS LÄN</t>
        </is>
      </c>
      <c r="E7979" t="inlineStr">
        <is>
          <t>MORA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10023-2026</t>
        </is>
      </c>
      <c r="B7980" s="1" t="n">
        <v>46073</v>
      </c>
      <c r="C7980" s="1" t="n">
        <v>46114</v>
      </c>
      <c r="D7980" t="inlineStr">
        <is>
          <t>DALARNAS LÄN</t>
        </is>
      </c>
      <c r="E7980" t="inlineStr">
        <is>
          <t>RÄTTVIK</t>
        </is>
      </c>
      <c r="F7980" t="inlineStr">
        <is>
          <t>Bergvik skog väst AB</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38356-2024</t>
        </is>
      </c>
      <c r="B7981" s="1" t="n">
        <v>45545.75784722222</v>
      </c>
      <c r="C7981" s="1" t="n">
        <v>46114</v>
      </c>
      <c r="D7981" t="inlineStr">
        <is>
          <t>DALARNAS LÄN</t>
        </is>
      </c>
      <c r="E7981" t="inlineStr">
        <is>
          <t>SMEDJEBACKEN</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12195-2026</t>
        </is>
      </c>
      <c r="B7982" s="1" t="n">
        <v>46086.86721064815</v>
      </c>
      <c r="C7982" s="1" t="n">
        <v>46114</v>
      </c>
      <c r="D7982" t="inlineStr">
        <is>
          <t>DALARNAS LÄN</t>
        </is>
      </c>
      <c r="E7982" t="inlineStr">
        <is>
          <t>FALUN</t>
        </is>
      </c>
      <c r="G7982" t="n">
        <v>3.6</v>
      </c>
      <c r="H7982" t="n">
        <v>0</v>
      </c>
      <c r="I7982" t="n">
        <v>0</v>
      </c>
      <c r="J7982" t="n">
        <v>0</v>
      </c>
      <c r="K7982" t="n">
        <v>0</v>
      </c>
      <c r="L7982" t="n">
        <v>0</v>
      </c>
      <c r="M7982" t="n">
        <v>0</v>
      </c>
      <c r="N7982" t="n">
        <v>0</v>
      </c>
      <c r="O7982" t="n">
        <v>0</v>
      </c>
      <c r="P7982" t="n">
        <v>0</v>
      </c>
      <c r="Q7982" t="n">
        <v>0</v>
      </c>
      <c r="R7982" s="2" t="inlineStr"/>
    </row>
    <row r="7983" ht="15" customHeight="1">
      <c r="A7983" t="inlineStr">
        <is>
          <t>A 41442-2024</t>
        </is>
      </c>
      <c r="B7983" s="1" t="n">
        <v>45560.39084490741</v>
      </c>
      <c r="C7983" s="1" t="n">
        <v>46114</v>
      </c>
      <c r="D7983" t="inlineStr">
        <is>
          <t>DALARNAS LÄN</t>
        </is>
      </c>
      <c r="E7983" t="inlineStr">
        <is>
          <t>GAGNEF</t>
        </is>
      </c>
      <c r="G7983" t="n">
        <v>2.2</v>
      </c>
      <c r="H7983" t="n">
        <v>0</v>
      </c>
      <c r="I7983" t="n">
        <v>0</v>
      </c>
      <c r="J7983" t="n">
        <v>0</v>
      </c>
      <c r="K7983" t="n">
        <v>0</v>
      </c>
      <c r="L7983" t="n">
        <v>0</v>
      </c>
      <c r="M7983" t="n">
        <v>0</v>
      </c>
      <c r="N7983" t="n">
        <v>0</v>
      </c>
      <c r="O7983" t="n">
        <v>0</v>
      </c>
      <c r="P7983" t="n">
        <v>0</v>
      </c>
      <c r="Q7983" t="n">
        <v>0</v>
      </c>
      <c r="R7983" s="2" t="inlineStr"/>
    </row>
    <row r="7984" ht="15" customHeight="1">
      <c r="A7984" t="inlineStr">
        <is>
          <t>A 10566-2026</t>
        </is>
      </c>
      <c r="B7984" s="1" t="n">
        <v>46077</v>
      </c>
      <c r="C7984" s="1" t="n">
        <v>46114</v>
      </c>
      <c r="D7984" t="inlineStr">
        <is>
          <t>DALARNAS LÄN</t>
        </is>
      </c>
      <c r="E7984" t="inlineStr">
        <is>
          <t>FALUN</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4901-2026</t>
        </is>
      </c>
      <c r="B7985" s="1" t="n">
        <v>46045</v>
      </c>
      <c r="C7985" s="1" t="n">
        <v>46114</v>
      </c>
      <c r="D7985" t="inlineStr">
        <is>
          <t>DALARNAS LÄN</t>
        </is>
      </c>
      <c r="E7985" t="inlineStr">
        <is>
          <t>AVESTA</t>
        </is>
      </c>
      <c r="F7985" t="inlineStr">
        <is>
          <t>Bergvik skog väst AB</t>
        </is>
      </c>
      <c r="G7985" t="n">
        <v>12.1</v>
      </c>
      <c r="H7985" t="n">
        <v>0</v>
      </c>
      <c r="I7985" t="n">
        <v>0</v>
      </c>
      <c r="J7985" t="n">
        <v>0</v>
      </c>
      <c r="K7985" t="n">
        <v>0</v>
      </c>
      <c r="L7985" t="n">
        <v>0</v>
      </c>
      <c r="M7985" t="n">
        <v>0</v>
      </c>
      <c r="N7985" t="n">
        <v>0</v>
      </c>
      <c r="O7985" t="n">
        <v>0</v>
      </c>
      <c r="P7985" t="n">
        <v>0</v>
      </c>
      <c r="Q7985" t="n">
        <v>0</v>
      </c>
      <c r="R7985" s="2" t="inlineStr"/>
    </row>
    <row r="7986" ht="15" customHeight="1">
      <c r="A7986" t="inlineStr">
        <is>
          <t>A 6007-2026</t>
        </is>
      </c>
      <c r="B7986" s="1" t="n">
        <v>46052</v>
      </c>
      <c r="C7986" s="1" t="n">
        <v>46114</v>
      </c>
      <c r="D7986" t="inlineStr">
        <is>
          <t>DALARNAS LÄN</t>
        </is>
      </c>
      <c r="E7986" t="inlineStr">
        <is>
          <t>RÄTTVIK</t>
        </is>
      </c>
      <c r="F7986" t="inlineStr">
        <is>
          <t>Kyrkan</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4183-2026</t>
        </is>
      </c>
      <c r="B7987" s="1" t="n">
        <v>46044.68712962963</v>
      </c>
      <c r="C7987" s="1" t="n">
        <v>46114</v>
      </c>
      <c r="D7987" t="inlineStr">
        <is>
          <t>DALARNAS LÄN</t>
        </is>
      </c>
      <c r="E7987" t="inlineStr">
        <is>
          <t>ORSA</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4162-2026</t>
        </is>
      </c>
      <c r="B7988" s="1" t="n">
        <v>46044</v>
      </c>
      <c r="C7988" s="1" t="n">
        <v>46114</v>
      </c>
      <c r="D7988" t="inlineStr">
        <is>
          <t>DALARNAS LÄN</t>
        </is>
      </c>
      <c r="E7988" t="inlineStr">
        <is>
          <t>RÄTTVIK</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986-2025</t>
        </is>
      </c>
      <c r="B7989" s="1" t="n">
        <v>45666.42952546296</v>
      </c>
      <c r="C7989" s="1" t="n">
        <v>46114</v>
      </c>
      <c r="D7989" t="inlineStr">
        <is>
          <t>DALARNAS LÄN</t>
        </is>
      </c>
      <c r="E7989" t="inlineStr">
        <is>
          <t>ORSA</t>
        </is>
      </c>
      <c r="G7989" t="n">
        <v>5.7</v>
      </c>
      <c r="H7989" t="n">
        <v>0</v>
      </c>
      <c r="I7989" t="n">
        <v>0</v>
      </c>
      <c r="J7989" t="n">
        <v>0</v>
      </c>
      <c r="K7989" t="n">
        <v>0</v>
      </c>
      <c r="L7989" t="n">
        <v>0</v>
      </c>
      <c r="M7989" t="n">
        <v>0</v>
      </c>
      <c r="N7989" t="n">
        <v>0</v>
      </c>
      <c r="O7989" t="n">
        <v>0</v>
      </c>
      <c r="P7989" t="n">
        <v>0</v>
      </c>
      <c r="Q7989" t="n">
        <v>0</v>
      </c>
      <c r="R7989" s="2" t="inlineStr"/>
    </row>
    <row r="7990" ht="15" customHeight="1">
      <c r="A7990" t="inlineStr">
        <is>
          <t>A 1083-2025</t>
        </is>
      </c>
      <c r="B7990" s="1" t="n">
        <v>45666.61783564815</v>
      </c>
      <c r="C7990" s="1" t="n">
        <v>46114</v>
      </c>
      <c r="D7990" t="inlineStr">
        <is>
          <t>DALARNAS LÄN</t>
        </is>
      </c>
      <c r="E7990" t="inlineStr">
        <is>
          <t>FALUN</t>
        </is>
      </c>
      <c r="G7990" t="n">
        <v>2.9</v>
      </c>
      <c r="H7990" t="n">
        <v>0</v>
      </c>
      <c r="I7990" t="n">
        <v>0</v>
      </c>
      <c r="J7990" t="n">
        <v>0</v>
      </c>
      <c r="K7990" t="n">
        <v>0</v>
      </c>
      <c r="L7990" t="n">
        <v>0</v>
      </c>
      <c r="M7990" t="n">
        <v>0</v>
      </c>
      <c r="N7990" t="n">
        <v>0</v>
      </c>
      <c r="O7990" t="n">
        <v>0</v>
      </c>
      <c r="P7990" t="n">
        <v>0</v>
      </c>
      <c r="Q7990" t="n">
        <v>0</v>
      </c>
      <c r="R7990" s="2" t="inlineStr"/>
    </row>
    <row r="7991" ht="15" customHeight="1">
      <c r="A7991" t="inlineStr">
        <is>
          <t>A 1085-2025</t>
        </is>
      </c>
      <c r="B7991" s="1" t="n">
        <v>45666.62012731482</v>
      </c>
      <c r="C7991" s="1" t="n">
        <v>46114</v>
      </c>
      <c r="D7991" t="inlineStr">
        <is>
          <t>DALARNAS LÄN</t>
        </is>
      </c>
      <c r="E7991" t="inlineStr">
        <is>
          <t>FALUN</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4246-2026</t>
        </is>
      </c>
      <c r="B7992" s="1" t="n">
        <v>46045.305</v>
      </c>
      <c r="C7992" s="1" t="n">
        <v>46114</v>
      </c>
      <c r="D7992" t="inlineStr">
        <is>
          <t>DALARNAS LÄN</t>
        </is>
      </c>
      <c r="E7992" t="inlineStr">
        <is>
          <t>FALUN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12318-2026</t>
        </is>
      </c>
      <c r="B7993" s="1" t="n">
        <v>46087.59929398148</v>
      </c>
      <c r="C7993" s="1" t="n">
        <v>46114</v>
      </c>
      <c r="D7993" t="inlineStr">
        <is>
          <t>DALARNAS LÄN</t>
        </is>
      </c>
      <c r="E7993" t="inlineStr">
        <is>
          <t>SÄTER</t>
        </is>
      </c>
      <c r="F7993" t="inlineStr">
        <is>
          <t>Bergvik skog väst AB</t>
        </is>
      </c>
      <c r="G7993" t="n">
        <v>0.8</v>
      </c>
      <c r="H7993" t="n">
        <v>0</v>
      </c>
      <c r="I7993" t="n">
        <v>0</v>
      </c>
      <c r="J7993" t="n">
        <v>0</v>
      </c>
      <c r="K7993" t="n">
        <v>0</v>
      </c>
      <c r="L7993" t="n">
        <v>0</v>
      </c>
      <c r="M7993" t="n">
        <v>0</v>
      </c>
      <c r="N7993" t="n">
        <v>0</v>
      </c>
      <c r="O7993" t="n">
        <v>0</v>
      </c>
      <c r="P7993" t="n">
        <v>0</v>
      </c>
      <c r="Q7993" t="n">
        <v>0</v>
      </c>
      <c r="R7993" s="2" t="inlineStr"/>
    </row>
    <row r="7994" ht="15" customHeight="1">
      <c r="A7994" t="inlineStr">
        <is>
          <t>A 59659-2024</t>
        </is>
      </c>
      <c r="B7994" s="1" t="n">
        <v>45639.35046296296</v>
      </c>
      <c r="C7994" s="1" t="n">
        <v>46114</v>
      </c>
      <c r="D7994" t="inlineStr">
        <is>
          <t>DALARNAS LÄN</t>
        </is>
      </c>
      <c r="E7994" t="inlineStr">
        <is>
          <t>FALUN</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847-2025</t>
        </is>
      </c>
      <c r="B7995" s="1" t="n">
        <v>45665.59894675926</v>
      </c>
      <c r="C7995" s="1" t="n">
        <v>46114</v>
      </c>
      <c r="D7995" t="inlineStr">
        <is>
          <t>DALARNAS LÄN</t>
        </is>
      </c>
      <c r="E7995" t="inlineStr">
        <is>
          <t>SÄTER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14951-2025</t>
        </is>
      </c>
      <c r="B7996" s="1" t="n">
        <v>45743.57695601852</v>
      </c>
      <c r="C7996" s="1" t="n">
        <v>46114</v>
      </c>
      <c r="D7996" t="inlineStr">
        <is>
          <t>DALARNAS LÄN</t>
        </is>
      </c>
      <c r="E7996" t="inlineStr">
        <is>
          <t>HEDEMORA</t>
        </is>
      </c>
      <c r="G7996" t="n">
        <v>1.6</v>
      </c>
      <c r="H7996" t="n">
        <v>0</v>
      </c>
      <c r="I7996" t="n">
        <v>0</v>
      </c>
      <c r="J7996" t="n">
        <v>0</v>
      </c>
      <c r="K7996" t="n">
        <v>0</v>
      </c>
      <c r="L7996" t="n">
        <v>0</v>
      </c>
      <c r="M7996" t="n">
        <v>0</v>
      </c>
      <c r="N7996" t="n">
        <v>0</v>
      </c>
      <c r="O7996" t="n">
        <v>0</v>
      </c>
      <c r="P7996" t="n">
        <v>0</v>
      </c>
      <c r="Q7996" t="n">
        <v>0</v>
      </c>
      <c r="R7996" s="2" t="inlineStr"/>
    </row>
    <row r="7997" ht="15" customHeight="1">
      <c r="A7997" t="inlineStr">
        <is>
          <t>A 4155-2026</t>
        </is>
      </c>
      <c r="B7997" s="1" t="n">
        <v>46044.6533449074</v>
      </c>
      <c r="C7997" s="1" t="n">
        <v>46114</v>
      </c>
      <c r="D7997" t="inlineStr">
        <is>
          <t>DALARNAS LÄN</t>
        </is>
      </c>
      <c r="E7997" t="inlineStr">
        <is>
          <t>MORA</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3261-2025</t>
        </is>
      </c>
      <c r="B7998" s="1" t="n">
        <v>45679.56291666667</v>
      </c>
      <c r="C7998" s="1" t="n">
        <v>46114</v>
      </c>
      <c r="D7998" t="inlineStr">
        <is>
          <t>DALARNAS LÄN</t>
        </is>
      </c>
      <c r="E7998" t="inlineStr">
        <is>
          <t>RÄTTVIK</t>
        </is>
      </c>
      <c r="G7998" t="n">
        <v>4.3</v>
      </c>
      <c r="H7998" t="n">
        <v>0</v>
      </c>
      <c r="I7998" t="n">
        <v>0</v>
      </c>
      <c r="J7998" t="n">
        <v>0</v>
      </c>
      <c r="K7998" t="n">
        <v>0</v>
      </c>
      <c r="L7998" t="n">
        <v>0</v>
      </c>
      <c r="M7998" t="n">
        <v>0</v>
      </c>
      <c r="N7998" t="n">
        <v>0</v>
      </c>
      <c r="O7998" t="n">
        <v>0</v>
      </c>
      <c r="P7998" t="n">
        <v>0</v>
      </c>
      <c r="Q7998" t="n">
        <v>0</v>
      </c>
      <c r="R7998" s="2" t="inlineStr"/>
    </row>
    <row r="7999" ht="15" customHeight="1">
      <c r="A7999" t="inlineStr">
        <is>
          <t>A 4224-2026</t>
        </is>
      </c>
      <c r="B7999" s="1" t="n">
        <v>46044.84688657407</v>
      </c>
      <c r="C7999" s="1" t="n">
        <v>46114</v>
      </c>
      <c r="D7999" t="inlineStr">
        <is>
          <t>DALARNAS LÄN</t>
        </is>
      </c>
      <c r="E7999" t="inlineStr">
        <is>
          <t>FALUN</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24335-2022</t>
        </is>
      </c>
      <c r="B8000" s="1" t="n">
        <v>44725</v>
      </c>
      <c r="C8000" s="1" t="n">
        <v>46114</v>
      </c>
      <c r="D8000" t="inlineStr">
        <is>
          <t>DALARNAS LÄN</t>
        </is>
      </c>
      <c r="E8000" t="inlineStr">
        <is>
          <t>MORA</t>
        </is>
      </c>
      <c r="G8000" t="n">
        <v>16</v>
      </c>
      <c r="H8000" t="n">
        <v>0</v>
      </c>
      <c r="I8000" t="n">
        <v>0</v>
      </c>
      <c r="J8000" t="n">
        <v>0</v>
      </c>
      <c r="K8000" t="n">
        <v>0</v>
      </c>
      <c r="L8000" t="n">
        <v>0</v>
      </c>
      <c r="M8000" t="n">
        <v>0</v>
      </c>
      <c r="N8000" t="n">
        <v>0</v>
      </c>
      <c r="O8000" t="n">
        <v>0</v>
      </c>
      <c r="P8000" t="n">
        <v>0</v>
      </c>
      <c r="Q8000" t="n">
        <v>0</v>
      </c>
      <c r="R8000" s="2" t="inlineStr"/>
    </row>
    <row r="8001" ht="15" customHeight="1">
      <c r="A8001" t="inlineStr">
        <is>
          <t>A 37931-2023</t>
        </is>
      </c>
      <c r="B8001" s="1" t="n">
        <v>45160.51721064815</v>
      </c>
      <c r="C8001" s="1" t="n">
        <v>46114</v>
      </c>
      <c r="D8001" t="inlineStr">
        <is>
          <t>DALARNAS LÄN</t>
        </is>
      </c>
      <c r="E8001" t="inlineStr">
        <is>
          <t>ORSA</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385-2024</t>
        </is>
      </c>
      <c r="B8002" s="1" t="n">
        <v>45296</v>
      </c>
      <c r="C8002" s="1" t="n">
        <v>46114</v>
      </c>
      <c r="D8002" t="inlineStr">
        <is>
          <t>DALARNAS LÄN</t>
        </is>
      </c>
      <c r="E8002" t="inlineStr">
        <is>
          <t>HEDEMORA</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4922-2026</t>
        </is>
      </c>
      <c r="B8003" s="1" t="n">
        <v>46045</v>
      </c>
      <c r="C8003" s="1" t="n">
        <v>46114</v>
      </c>
      <c r="D8003" t="inlineStr">
        <is>
          <t>DALARNAS LÄN</t>
        </is>
      </c>
      <c r="E8003" t="inlineStr">
        <is>
          <t>FALUN</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4932-2026</t>
        </is>
      </c>
      <c r="B8004" s="1" t="n">
        <v>46045</v>
      </c>
      <c r="C8004" s="1" t="n">
        <v>46114</v>
      </c>
      <c r="D8004" t="inlineStr">
        <is>
          <t>DALARNAS LÄN</t>
        </is>
      </c>
      <c r="E8004" t="inlineStr">
        <is>
          <t>FALUN</t>
        </is>
      </c>
      <c r="G8004" t="n">
        <v>4</v>
      </c>
      <c r="H8004" t="n">
        <v>0</v>
      </c>
      <c r="I8004" t="n">
        <v>0</v>
      </c>
      <c r="J8004" t="n">
        <v>0</v>
      </c>
      <c r="K8004" t="n">
        <v>0</v>
      </c>
      <c r="L8004" t="n">
        <v>0</v>
      </c>
      <c r="M8004" t="n">
        <v>0</v>
      </c>
      <c r="N8004" t="n">
        <v>0</v>
      </c>
      <c r="O8004" t="n">
        <v>0</v>
      </c>
      <c r="P8004" t="n">
        <v>0</v>
      </c>
      <c r="Q8004" t="n">
        <v>0</v>
      </c>
      <c r="R8004" s="2" t="inlineStr"/>
    </row>
    <row r="8005" ht="15" customHeight="1">
      <c r="A8005" t="inlineStr">
        <is>
          <t>A 12330-2026</t>
        </is>
      </c>
      <c r="B8005" s="1" t="n">
        <v>46087.62559027778</v>
      </c>
      <c r="C8005" s="1" t="n">
        <v>46114</v>
      </c>
      <c r="D8005" t="inlineStr">
        <is>
          <t>DALARNAS LÄN</t>
        </is>
      </c>
      <c r="E8005" t="inlineStr">
        <is>
          <t>SÄTER</t>
        </is>
      </c>
      <c r="G8005" t="n">
        <v>1.8</v>
      </c>
      <c r="H8005" t="n">
        <v>0</v>
      </c>
      <c r="I8005" t="n">
        <v>0</v>
      </c>
      <c r="J8005" t="n">
        <v>0</v>
      </c>
      <c r="K8005" t="n">
        <v>0</v>
      </c>
      <c r="L8005" t="n">
        <v>0</v>
      </c>
      <c r="M8005" t="n">
        <v>0</v>
      </c>
      <c r="N8005" t="n">
        <v>0</v>
      </c>
      <c r="O8005" t="n">
        <v>0</v>
      </c>
      <c r="P8005" t="n">
        <v>0</v>
      </c>
      <c r="Q8005" t="n">
        <v>0</v>
      </c>
      <c r="R8005" s="2" t="inlineStr"/>
    </row>
    <row r="8006" ht="15" customHeight="1">
      <c r="A8006" t="inlineStr">
        <is>
          <t>A 12257-2026</t>
        </is>
      </c>
      <c r="B8006" s="1" t="n">
        <v>46087.4794212963</v>
      </c>
      <c r="C8006" s="1" t="n">
        <v>46114</v>
      </c>
      <c r="D8006" t="inlineStr">
        <is>
          <t>DALARNAS LÄN</t>
        </is>
      </c>
      <c r="E8006" t="inlineStr">
        <is>
          <t>FALUN</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12320-2026</t>
        </is>
      </c>
      <c r="B8007" s="1" t="n">
        <v>46087.60482638889</v>
      </c>
      <c r="C8007" s="1" t="n">
        <v>46114</v>
      </c>
      <c r="D8007" t="inlineStr">
        <is>
          <t>DALARNAS LÄN</t>
        </is>
      </c>
      <c r="E8007" t="inlineStr">
        <is>
          <t>SÄTER</t>
        </is>
      </c>
      <c r="F8007" t="inlineStr">
        <is>
          <t>Bergvik skog väst AB</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12322-2026</t>
        </is>
      </c>
      <c r="B8008" s="1" t="n">
        <v>46087.6081712963</v>
      </c>
      <c r="C8008" s="1" t="n">
        <v>46114</v>
      </c>
      <c r="D8008" t="inlineStr">
        <is>
          <t>DALARNAS LÄN</t>
        </is>
      </c>
      <c r="E8008" t="inlineStr">
        <is>
          <t>SÄTER</t>
        </is>
      </c>
      <c r="F8008" t="inlineStr">
        <is>
          <t>Bergvik skog väst AB</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52857-2023</t>
        </is>
      </c>
      <c r="B8009" s="1" t="n">
        <v>45226</v>
      </c>
      <c r="C8009" s="1" t="n">
        <v>46114</v>
      </c>
      <c r="D8009" t="inlineStr">
        <is>
          <t>DALARNAS LÄN</t>
        </is>
      </c>
      <c r="E8009" t="inlineStr">
        <is>
          <t>MALUNG-SÄLEN</t>
        </is>
      </c>
      <c r="F8009" t="inlineStr">
        <is>
          <t>Bergvik skog öst AB</t>
        </is>
      </c>
      <c r="G8009" t="n">
        <v>3.6</v>
      </c>
      <c r="H8009" t="n">
        <v>0</v>
      </c>
      <c r="I8009" t="n">
        <v>0</v>
      </c>
      <c r="J8009" t="n">
        <v>0</v>
      </c>
      <c r="K8009" t="n">
        <v>0</v>
      </c>
      <c r="L8009" t="n">
        <v>0</v>
      </c>
      <c r="M8009" t="n">
        <v>0</v>
      </c>
      <c r="N8009" t="n">
        <v>0</v>
      </c>
      <c r="O8009" t="n">
        <v>0</v>
      </c>
      <c r="P8009" t="n">
        <v>0</v>
      </c>
      <c r="Q8009" t="n">
        <v>0</v>
      </c>
      <c r="R8009" s="2" t="inlineStr"/>
    </row>
    <row r="8010" ht="15" customHeight="1">
      <c r="A8010" t="inlineStr">
        <is>
          <t>A 4465-2026</t>
        </is>
      </c>
      <c r="B8010" s="1" t="n">
        <v>46045</v>
      </c>
      <c r="C8010" s="1" t="n">
        <v>46114</v>
      </c>
      <c r="D8010" t="inlineStr">
        <is>
          <t>DALARNAS LÄN</t>
        </is>
      </c>
      <c r="E8010" t="inlineStr">
        <is>
          <t>FALUN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4466-2026</t>
        </is>
      </c>
      <c r="B8011" s="1" t="n">
        <v>46045.65584490741</v>
      </c>
      <c r="C8011" s="1" t="n">
        <v>46114</v>
      </c>
      <c r="D8011" t="inlineStr">
        <is>
          <t>DALARNAS LÄN</t>
        </is>
      </c>
      <c r="E8011" t="inlineStr">
        <is>
          <t>SMEDJEBACKEN</t>
        </is>
      </c>
      <c r="G8011" t="n">
        <v>2.5</v>
      </c>
      <c r="H8011" t="n">
        <v>0</v>
      </c>
      <c r="I8011" t="n">
        <v>0</v>
      </c>
      <c r="J8011" t="n">
        <v>0</v>
      </c>
      <c r="K8011" t="n">
        <v>0</v>
      </c>
      <c r="L8011" t="n">
        <v>0</v>
      </c>
      <c r="M8011" t="n">
        <v>0</v>
      </c>
      <c r="N8011" t="n">
        <v>0</v>
      </c>
      <c r="O8011" t="n">
        <v>0</v>
      </c>
      <c r="P8011" t="n">
        <v>0</v>
      </c>
      <c r="Q8011" t="n">
        <v>0</v>
      </c>
      <c r="R8011" s="2" t="inlineStr"/>
    </row>
    <row r="8012" ht="15" customHeight="1">
      <c r="A8012" t="inlineStr">
        <is>
          <t>A 4490-2026</t>
        </is>
      </c>
      <c r="B8012" s="1" t="n">
        <v>46045</v>
      </c>
      <c r="C8012" s="1" t="n">
        <v>46114</v>
      </c>
      <c r="D8012" t="inlineStr">
        <is>
          <t>DALARNAS LÄN</t>
        </is>
      </c>
      <c r="E8012" t="inlineStr">
        <is>
          <t>FALUN</t>
        </is>
      </c>
      <c r="F8012" t="inlineStr">
        <is>
          <t>Kommuner</t>
        </is>
      </c>
      <c r="G8012" t="n">
        <v>7.2</v>
      </c>
      <c r="H8012" t="n">
        <v>0</v>
      </c>
      <c r="I8012" t="n">
        <v>0</v>
      </c>
      <c r="J8012" t="n">
        <v>0</v>
      </c>
      <c r="K8012" t="n">
        <v>0</v>
      </c>
      <c r="L8012" t="n">
        <v>0</v>
      </c>
      <c r="M8012" t="n">
        <v>0</v>
      </c>
      <c r="N8012" t="n">
        <v>0</v>
      </c>
      <c r="O8012" t="n">
        <v>0</v>
      </c>
      <c r="P8012" t="n">
        <v>0</v>
      </c>
      <c r="Q8012" t="n">
        <v>0</v>
      </c>
      <c r="R8012" s="2" t="inlineStr"/>
    </row>
    <row r="8013" ht="15" customHeight="1">
      <c r="A8013" t="inlineStr">
        <is>
          <t>A 14843-2023</t>
        </is>
      </c>
      <c r="B8013" s="1" t="n">
        <v>45014.76135416667</v>
      </c>
      <c r="C8013" s="1" t="n">
        <v>46114</v>
      </c>
      <c r="D8013" t="inlineStr">
        <is>
          <t>DALARNAS LÄN</t>
        </is>
      </c>
      <c r="E8013" t="inlineStr">
        <is>
          <t>SMEDJEBACKEN</t>
        </is>
      </c>
      <c r="G8013" t="n">
        <v>1.6</v>
      </c>
      <c r="H8013" t="n">
        <v>0</v>
      </c>
      <c r="I8013" t="n">
        <v>0</v>
      </c>
      <c r="J8013" t="n">
        <v>0</v>
      </c>
      <c r="K8013" t="n">
        <v>0</v>
      </c>
      <c r="L8013" t="n">
        <v>0</v>
      </c>
      <c r="M8013" t="n">
        <v>0</v>
      </c>
      <c r="N8013" t="n">
        <v>0</v>
      </c>
      <c r="O8013" t="n">
        <v>0</v>
      </c>
      <c r="P8013" t="n">
        <v>0</v>
      </c>
      <c r="Q8013" t="n">
        <v>0</v>
      </c>
      <c r="R8013" s="2" t="inlineStr"/>
    </row>
    <row r="8014" ht="15" customHeight="1">
      <c r="A8014" t="inlineStr">
        <is>
          <t>A 16592-2023</t>
        </is>
      </c>
      <c r="B8014" s="1" t="n">
        <v>45030</v>
      </c>
      <c r="C8014" s="1" t="n">
        <v>46114</v>
      </c>
      <c r="D8014" t="inlineStr">
        <is>
          <t>DALARNAS LÄN</t>
        </is>
      </c>
      <c r="E8014" t="inlineStr">
        <is>
          <t>LEKSAND</t>
        </is>
      </c>
      <c r="G8014" t="n">
        <v>11.5</v>
      </c>
      <c r="H8014" t="n">
        <v>0</v>
      </c>
      <c r="I8014" t="n">
        <v>0</v>
      </c>
      <c r="J8014" t="n">
        <v>0</v>
      </c>
      <c r="K8014" t="n">
        <v>0</v>
      </c>
      <c r="L8014" t="n">
        <v>0</v>
      </c>
      <c r="M8014" t="n">
        <v>0</v>
      </c>
      <c r="N8014" t="n">
        <v>0</v>
      </c>
      <c r="O8014" t="n">
        <v>0</v>
      </c>
      <c r="P8014" t="n">
        <v>0</v>
      </c>
      <c r="Q8014" t="n">
        <v>0</v>
      </c>
      <c r="R8014" s="2" t="inlineStr"/>
    </row>
    <row r="8015" ht="15" customHeight="1">
      <c r="A8015" t="inlineStr">
        <is>
          <t>A 4509-2026</t>
        </is>
      </c>
      <c r="B8015" s="1" t="n">
        <v>46045</v>
      </c>
      <c r="C8015" s="1" t="n">
        <v>46114</v>
      </c>
      <c r="D8015" t="inlineStr">
        <is>
          <t>DALARNAS LÄN</t>
        </is>
      </c>
      <c r="E8015" t="inlineStr">
        <is>
          <t>FALUN</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29123-2021</t>
        </is>
      </c>
      <c r="B8016" s="1" t="n">
        <v>44358</v>
      </c>
      <c r="C8016" s="1" t="n">
        <v>46114</v>
      </c>
      <c r="D8016" t="inlineStr">
        <is>
          <t>DALARNAS LÄN</t>
        </is>
      </c>
      <c r="E8016" t="inlineStr">
        <is>
          <t>HEDEMORA</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5661-2026</t>
        </is>
      </c>
      <c r="B8017" s="1" t="n">
        <v>46051</v>
      </c>
      <c r="C8017" s="1" t="n">
        <v>46114</v>
      </c>
      <c r="D8017" t="inlineStr">
        <is>
          <t>DALARNAS LÄN</t>
        </is>
      </c>
      <c r="E8017" t="inlineStr">
        <is>
          <t>FALUN</t>
        </is>
      </c>
      <c r="F8017" t="inlineStr">
        <is>
          <t>Kyrkan</t>
        </is>
      </c>
      <c r="G8017" t="n">
        <v>1.2</v>
      </c>
      <c r="H8017" t="n">
        <v>0</v>
      </c>
      <c r="I8017" t="n">
        <v>0</v>
      </c>
      <c r="J8017" t="n">
        <v>0</v>
      </c>
      <c r="K8017" t="n">
        <v>0</v>
      </c>
      <c r="L8017" t="n">
        <v>0</v>
      </c>
      <c r="M8017" t="n">
        <v>0</v>
      </c>
      <c r="N8017" t="n">
        <v>0</v>
      </c>
      <c r="O8017" t="n">
        <v>0</v>
      </c>
      <c r="P8017" t="n">
        <v>0</v>
      </c>
      <c r="Q8017" t="n">
        <v>0</v>
      </c>
      <c r="R8017" s="2" t="inlineStr"/>
    </row>
    <row r="8018" ht="15" customHeight="1">
      <c r="A8018" t="inlineStr">
        <is>
          <t>A 3988-2026</t>
        </is>
      </c>
      <c r="B8018" s="1" t="n">
        <v>46044.37626157407</v>
      </c>
      <c r="C8018" s="1" t="n">
        <v>46114</v>
      </c>
      <c r="D8018" t="inlineStr">
        <is>
          <t>DALARNAS LÄN</t>
        </is>
      </c>
      <c r="E8018" t="inlineStr">
        <is>
          <t>ORSA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4061-2026</t>
        </is>
      </c>
      <c r="B8019" s="1" t="n">
        <v>46044</v>
      </c>
      <c r="C8019" s="1" t="n">
        <v>46114</v>
      </c>
      <c r="D8019" t="inlineStr">
        <is>
          <t>DALARNAS LÄN</t>
        </is>
      </c>
      <c r="E8019" t="inlineStr">
        <is>
          <t>RÄTTVIK</t>
        </is>
      </c>
      <c r="G8019" t="n">
        <v>7.2</v>
      </c>
      <c r="H8019" t="n">
        <v>0</v>
      </c>
      <c r="I8019" t="n">
        <v>0</v>
      </c>
      <c r="J8019" t="n">
        <v>0</v>
      </c>
      <c r="K8019" t="n">
        <v>0</v>
      </c>
      <c r="L8019" t="n">
        <v>0</v>
      </c>
      <c r="M8019" t="n">
        <v>0</v>
      </c>
      <c r="N8019" t="n">
        <v>0</v>
      </c>
      <c r="O8019" t="n">
        <v>0</v>
      </c>
      <c r="P8019" t="n">
        <v>0</v>
      </c>
      <c r="Q8019" t="n">
        <v>0</v>
      </c>
      <c r="R8019" s="2" t="inlineStr"/>
    </row>
    <row r="8020" ht="15" customHeight="1">
      <c r="A8020" t="inlineStr">
        <is>
          <t>A 4072-2026</t>
        </is>
      </c>
      <c r="B8020" s="1" t="n">
        <v>46044.52929398148</v>
      </c>
      <c r="C8020" s="1" t="n">
        <v>46114</v>
      </c>
      <c r="D8020" t="inlineStr">
        <is>
          <t>DALARNAS LÄN</t>
        </is>
      </c>
      <c r="E8020" t="inlineStr">
        <is>
          <t>FALUN</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29984-2025</t>
        </is>
      </c>
      <c r="B8021" s="1" t="n">
        <v>45826</v>
      </c>
      <c r="C8021" s="1" t="n">
        <v>46114</v>
      </c>
      <c r="D8021" t="inlineStr">
        <is>
          <t>DALARNAS LÄN</t>
        </is>
      </c>
      <c r="E8021" t="inlineStr">
        <is>
          <t>ORSA</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4915-2026</t>
        </is>
      </c>
      <c r="B8022" s="1" t="n">
        <v>46045</v>
      </c>
      <c r="C8022" s="1" t="n">
        <v>46114</v>
      </c>
      <c r="D8022" t="inlineStr">
        <is>
          <t>DALARNAS LÄN</t>
        </is>
      </c>
      <c r="E8022" t="inlineStr">
        <is>
          <t>FALUN</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4920-2026</t>
        </is>
      </c>
      <c r="B8023" s="1" t="n">
        <v>46045</v>
      </c>
      <c r="C8023" s="1" t="n">
        <v>46114</v>
      </c>
      <c r="D8023" t="inlineStr">
        <is>
          <t>DALARNAS LÄN</t>
        </is>
      </c>
      <c r="E8023" t="inlineStr">
        <is>
          <t>FALUN</t>
        </is>
      </c>
      <c r="G8023" t="n">
        <v>1.8</v>
      </c>
      <c r="H8023" t="n">
        <v>0</v>
      </c>
      <c r="I8023" t="n">
        <v>0</v>
      </c>
      <c r="J8023" t="n">
        <v>0</v>
      </c>
      <c r="K8023" t="n">
        <v>0</v>
      </c>
      <c r="L8023" t="n">
        <v>0</v>
      </c>
      <c r="M8023" t="n">
        <v>0</v>
      </c>
      <c r="N8023" t="n">
        <v>0</v>
      </c>
      <c r="O8023" t="n">
        <v>0</v>
      </c>
      <c r="P8023" t="n">
        <v>0</v>
      </c>
      <c r="Q8023" t="n">
        <v>0</v>
      </c>
      <c r="R8023" s="2" t="inlineStr"/>
    </row>
    <row r="8024" ht="15" customHeight="1">
      <c r="A8024" t="inlineStr">
        <is>
          <t>A 4921-2026</t>
        </is>
      </c>
      <c r="B8024" s="1" t="n">
        <v>46045</v>
      </c>
      <c r="C8024" s="1" t="n">
        <v>46114</v>
      </c>
      <c r="D8024" t="inlineStr">
        <is>
          <t>DALARNAS LÄN</t>
        </is>
      </c>
      <c r="E8024" t="inlineStr">
        <is>
          <t>FALUN</t>
        </is>
      </c>
      <c r="G8024" t="n">
        <v>8.4</v>
      </c>
      <c r="H8024" t="n">
        <v>0</v>
      </c>
      <c r="I8024" t="n">
        <v>0</v>
      </c>
      <c r="J8024" t="n">
        <v>0</v>
      </c>
      <c r="K8024" t="n">
        <v>0</v>
      </c>
      <c r="L8024" t="n">
        <v>0</v>
      </c>
      <c r="M8024" t="n">
        <v>0</v>
      </c>
      <c r="N8024" t="n">
        <v>0</v>
      </c>
      <c r="O8024" t="n">
        <v>0</v>
      </c>
      <c r="P8024" t="n">
        <v>0</v>
      </c>
      <c r="Q8024" t="n">
        <v>0</v>
      </c>
      <c r="R8024" s="2" t="inlineStr"/>
    </row>
    <row r="8025" ht="15" customHeight="1">
      <c r="A8025" t="inlineStr">
        <is>
          <t>A 4210-2026</t>
        </is>
      </c>
      <c r="B8025" s="1" t="n">
        <v>46044.72825231482</v>
      </c>
      <c r="C8025" s="1" t="n">
        <v>46114</v>
      </c>
      <c r="D8025" t="inlineStr">
        <is>
          <t>DALARNAS LÄN</t>
        </is>
      </c>
      <c r="E8025" t="inlineStr">
        <is>
          <t>LEKSAND</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4218-2026</t>
        </is>
      </c>
      <c r="B8026" s="1" t="n">
        <v>46044</v>
      </c>
      <c r="C8026" s="1" t="n">
        <v>46114</v>
      </c>
      <c r="D8026" t="inlineStr">
        <is>
          <t>DALARNAS LÄN</t>
        </is>
      </c>
      <c r="E8026" t="inlineStr">
        <is>
          <t>FALUN</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1599-2026</t>
        </is>
      </c>
      <c r="B8027" s="1" t="n">
        <v>46031</v>
      </c>
      <c r="C8027" s="1" t="n">
        <v>46114</v>
      </c>
      <c r="D8027" t="inlineStr">
        <is>
          <t>DALARNAS LÄN</t>
        </is>
      </c>
      <c r="E8027" t="inlineStr">
        <is>
          <t>BORLÄNGE</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52351-2024</t>
        </is>
      </c>
      <c r="B8028" s="1" t="n">
        <v>45609</v>
      </c>
      <c r="C8028" s="1" t="n">
        <v>46114</v>
      </c>
      <c r="D8028" t="inlineStr">
        <is>
          <t>DALARNAS LÄN</t>
        </is>
      </c>
      <c r="E8028" t="inlineStr">
        <is>
          <t>LUDVIKA</t>
        </is>
      </c>
      <c r="F8028" t="inlineStr">
        <is>
          <t>Bergvik skog väst AB</t>
        </is>
      </c>
      <c r="G8028" t="n">
        <v>4.8</v>
      </c>
      <c r="H8028" t="n">
        <v>0</v>
      </c>
      <c r="I8028" t="n">
        <v>0</v>
      </c>
      <c r="J8028" t="n">
        <v>0</v>
      </c>
      <c r="K8028" t="n">
        <v>0</v>
      </c>
      <c r="L8028" t="n">
        <v>0</v>
      </c>
      <c r="M8028" t="n">
        <v>0</v>
      </c>
      <c r="N8028" t="n">
        <v>0</v>
      </c>
      <c r="O8028" t="n">
        <v>0</v>
      </c>
      <c r="P8028" t="n">
        <v>0</v>
      </c>
      <c r="Q8028" t="n">
        <v>0</v>
      </c>
      <c r="R8028" s="2" t="inlineStr"/>
    </row>
    <row r="8029" ht="15" customHeight="1">
      <c r="A8029" t="inlineStr">
        <is>
          <t>A 2056-2026</t>
        </is>
      </c>
      <c r="B8029" s="1" t="n">
        <v>46032</v>
      </c>
      <c r="C8029" s="1" t="n">
        <v>46114</v>
      </c>
      <c r="D8029" t="inlineStr">
        <is>
          <t>DALARNAS LÄN</t>
        </is>
      </c>
      <c r="E8029" t="inlineStr">
        <is>
          <t>HEDEMORA</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10820-2026</t>
        </is>
      </c>
      <c r="B8030" s="1" t="n">
        <v>46078</v>
      </c>
      <c r="C8030" s="1" t="n">
        <v>46114</v>
      </c>
      <c r="D8030" t="inlineStr">
        <is>
          <t>DALARNAS LÄN</t>
        </is>
      </c>
      <c r="E8030" t="inlineStr">
        <is>
          <t>SMEDJEBACKEN</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28324-2024</t>
        </is>
      </c>
      <c r="B8031" s="1" t="n">
        <v>45477.51149305556</v>
      </c>
      <c r="C8031" s="1" t="n">
        <v>46114</v>
      </c>
      <c r="D8031" t="inlineStr">
        <is>
          <t>DALARNAS LÄN</t>
        </is>
      </c>
      <c r="E8031" t="inlineStr">
        <is>
          <t>BORLÄNGE</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55120-2024</t>
        </is>
      </c>
      <c r="B8032" s="1" t="n">
        <v>45621.45765046297</v>
      </c>
      <c r="C8032" s="1" t="n">
        <v>46114</v>
      </c>
      <c r="D8032" t="inlineStr">
        <is>
          <t>DALARNAS LÄN</t>
        </is>
      </c>
      <c r="E8032" t="inlineStr">
        <is>
          <t>MORA</t>
        </is>
      </c>
      <c r="G8032" t="n">
        <v>1.9</v>
      </c>
      <c r="H8032" t="n">
        <v>0</v>
      </c>
      <c r="I8032" t="n">
        <v>0</v>
      </c>
      <c r="J8032" t="n">
        <v>0</v>
      </c>
      <c r="K8032" t="n">
        <v>0</v>
      </c>
      <c r="L8032" t="n">
        <v>0</v>
      </c>
      <c r="M8032" t="n">
        <v>0</v>
      </c>
      <c r="N8032" t="n">
        <v>0</v>
      </c>
      <c r="O8032" t="n">
        <v>0</v>
      </c>
      <c r="P8032" t="n">
        <v>0</v>
      </c>
      <c r="Q8032" t="n">
        <v>0</v>
      </c>
      <c r="R8032" s="2" t="inlineStr"/>
    </row>
    <row r="8033" ht="15" customHeight="1">
      <c r="A8033" t="inlineStr">
        <is>
          <t>A 4011-2026</t>
        </is>
      </c>
      <c r="B8033" s="1" t="n">
        <v>46044.41059027778</v>
      </c>
      <c r="C8033" s="1" t="n">
        <v>46114</v>
      </c>
      <c r="D8033" t="inlineStr">
        <is>
          <t>DALARNAS LÄN</t>
        </is>
      </c>
      <c r="E8033" t="inlineStr">
        <is>
          <t>ORSA</t>
        </is>
      </c>
      <c r="G8033" t="n">
        <v>3.6</v>
      </c>
      <c r="H8033" t="n">
        <v>0</v>
      </c>
      <c r="I8033" t="n">
        <v>0</v>
      </c>
      <c r="J8033" t="n">
        <v>0</v>
      </c>
      <c r="K8033" t="n">
        <v>0</v>
      </c>
      <c r="L8033" t="n">
        <v>0</v>
      </c>
      <c r="M8033" t="n">
        <v>0</v>
      </c>
      <c r="N8033" t="n">
        <v>0</v>
      </c>
      <c r="O8033" t="n">
        <v>0</v>
      </c>
      <c r="P8033" t="n">
        <v>0</v>
      </c>
      <c r="Q8033" t="n">
        <v>0</v>
      </c>
      <c r="R8033" s="2" t="inlineStr"/>
    </row>
    <row r="8034" ht="15" customHeight="1">
      <c r="A8034" t="inlineStr">
        <is>
          <t>A 5543-2022</t>
        </is>
      </c>
      <c r="B8034" s="1" t="n">
        <v>44595.60778935185</v>
      </c>
      <c r="C8034" s="1" t="n">
        <v>46114</v>
      </c>
      <c r="D8034" t="inlineStr">
        <is>
          <t>DALARNAS LÄN</t>
        </is>
      </c>
      <c r="E8034" t="inlineStr">
        <is>
          <t>SÄTER</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34660-2021</t>
        </is>
      </c>
      <c r="B8035" s="1" t="n">
        <v>44382.57981481482</v>
      </c>
      <c r="C8035" s="1" t="n">
        <v>46114</v>
      </c>
      <c r="D8035" t="inlineStr">
        <is>
          <t>DALARNAS LÄN</t>
        </is>
      </c>
      <c r="E8035" t="inlineStr">
        <is>
          <t>MORA</t>
        </is>
      </c>
      <c r="G8035" t="n">
        <v>7.5</v>
      </c>
      <c r="H8035" t="n">
        <v>0</v>
      </c>
      <c r="I8035" t="n">
        <v>0</v>
      </c>
      <c r="J8035" t="n">
        <v>0</v>
      </c>
      <c r="K8035" t="n">
        <v>0</v>
      </c>
      <c r="L8035" t="n">
        <v>0</v>
      </c>
      <c r="M8035" t="n">
        <v>0</v>
      </c>
      <c r="N8035" t="n">
        <v>0</v>
      </c>
      <c r="O8035" t="n">
        <v>0</v>
      </c>
      <c r="P8035" t="n">
        <v>0</v>
      </c>
      <c r="Q8035" t="n">
        <v>0</v>
      </c>
      <c r="R8035" s="2" t="inlineStr"/>
    </row>
    <row r="8036" ht="15" customHeight="1">
      <c r="A8036" t="inlineStr">
        <is>
          <t>A 34670-2021</t>
        </is>
      </c>
      <c r="B8036" s="1" t="n">
        <v>44382</v>
      </c>
      <c r="C8036" s="1" t="n">
        <v>46114</v>
      </c>
      <c r="D8036" t="inlineStr">
        <is>
          <t>DALARNAS LÄN</t>
        </is>
      </c>
      <c r="E8036" t="inlineStr">
        <is>
          <t>FALUN</t>
        </is>
      </c>
      <c r="G8036" t="n">
        <v>0.5</v>
      </c>
      <c r="H8036" t="n">
        <v>0</v>
      </c>
      <c r="I8036" t="n">
        <v>0</v>
      </c>
      <c r="J8036" t="n">
        <v>0</v>
      </c>
      <c r="K8036" t="n">
        <v>0</v>
      </c>
      <c r="L8036" t="n">
        <v>0</v>
      </c>
      <c r="M8036" t="n">
        <v>0</v>
      </c>
      <c r="N8036" t="n">
        <v>0</v>
      </c>
      <c r="O8036" t="n">
        <v>0</v>
      </c>
      <c r="P8036" t="n">
        <v>0</v>
      </c>
      <c r="Q8036" t="n">
        <v>0</v>
      </c>
      <c r="R8036" s="2" t="inlineStr"/>
    </row>
    <row r="8037" ht="15" customHeight="1">
      <c r="A8037" t="inlineStr">
        <is>
          <t>A 12290-2024</t>
        </is>
      </c>
      <c r="B8037" s="1" t="n">
        <v>45378.57877314815</v>
      </c>
      <c r="C8037" s="1" t="n">
        <v>46114</v>
      </c>
      <c r="D8037" t="inlineStr">
        <is>
          <t>DALARNAS LÄN</t>
        </is>
      </c>
      <c r="E8037" t="inlineStr">
        <is>
          <t>LEKSAND</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42513-2024</t>
        </is>
      </c>
      <c r="B8038" s="1" t="n">
        <v>45565.53810185185</v>
      </c>
      <c r="C8038" s="1" t="n">
        <v>46114</v>
      </c>
      <c r="D8038" t="inlineStr">
        <is>
          <t>DALARNAS LÄN</t>
        </is>
      </c>
      <c r="E8038" t="inlineStr">
        <is>
          <t>ORSA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42517-2024</t>
        </is>
      </c>
      <c r="B8039" s="1" t="n">
        <v>45565.54078703704</v>
      </c>
      <c r="C8039" s="1" t="n">
        <v>46114</v>
      </c>
      <c r="D8039" t="inlineStr">
        <is>
          <t>DALARNAS LÄN</t>
        </is>
      </c>
      <c r="E8039" t="inlineStr">
        <is>
          <t>ORSA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42523-2024</t>
        </is>
      </c>
      <c r="B8040" s="1" t="n">
        <v>45565</v>
      </c>
      <c r="C8040" s="1" t="n">
        <v>46114</v>
      </c>
      <c r="D8040" t="inlineStr">
        <is>
          <t>DALARNAS LÄN</t>
        </is>
      </c>
      <c r="E8040" t="inlineStr">
        <is>
          <t>SMEDJEBACKEN</t>
        </is>
      </c>
      <c r="G8040" t="n">
        <v>3.5</v>
      </c>
      <c r="H8040" t="n">
        <v>0</v>
      </c>
      <c r="I8040" t="n">
        <v>0</v>
      </c>
      <c r="J8040" t="n">
        <v>0</v>
      </c>
      <c r="K8040" t="n">
        <v>0</v>
      </c>
      <c r="L8040" t="n">
        <v>0</v>
      </c>
      <c r="M8040" t="n">
        <v>0</v>
      </c>
      <c r="N8040" t="n">
        <v>0</v>
      </c>
      <c r="O8040" t="n">
        <v>0</v>
      </c>
      <c r="P8040" t="n">
        <v>0</v>
      </c>
      <c r="Q8040" t="n">
        <v>0</v>
      </c>
      <c r="R8040" s="2" t="inlineStr"/>
    </row>
    <row r="8041" ht="15" customHeight="1">
      <c r="A8041" t="inlineStr">
        <is>
          <t>A 4397-2026</t>
        </is>
      </c>
      <c r="B8041" s="1" t="n">
        <v>46045.58430555555</v>
      </c>
      <c r="C8041" s="1" t="n">
        <v>46114</v>
      </c>
      <c r="D8041" t="inlineStr">
        <is>
          <t>DALARNAS LÄN</t>
        </is>
      </c>
      <c r="E8041" t="inlineStr">
        <is>
          <t>GAGNEF</t>
        </is>
      </c>
      <c r="G8041" t="n">
        <v>7.2</v>
      </c>
      <c r="H8041" t="n">
        <v>0</v>
      </c>
      <c r="I8041" t="n">
        <v>0</v>
      </c>
      <c r="J8041" t="n">
        <v>0</v>
      </c>
      <c r="K8041" t="n">
        <v>0</v>
      </c>
      <c r="L8041" t="n">
        <v>0</v>
      </c>
      <c r="M8041" t="n">
        <v>0</v>
      </c>
      <c r="N8041" t="n">
        <v>0</v>
      </c>
      <c r="O8041" t="n">
        <v>0</v>
      </c>
      <c r="P8041" t="n">
        <v>0</v>
      </c>
      <c r="Q8041" t="n">
        <v>0</v>
      </c>
      <c r="R8041" s="2" t="inlineStr"/>
    </row>
    <row r="8042" ht="15" customHeight="1">
      <c r="A8042" t="inlineStr">
        <is>
          <t>A 53474-2024</t>
        </is>
      </c>
      <c r="B8042" s="1" t="n">
        <v>45611</v>
      </c>
      <c r="C8042" s="1" t="n">
        <v>46114</v>
      </c>
      <c r="D8042" t="inlineStr">
        <is>
          <t>DALARNAS LÄN</t>
        </is>
      </c>
      <c r="E8042" t="inlineStr">
        <is>
          <t>SMEDJEBACKEN</t>
        </is>
      </c>
      <c r="G8042" t="n">
        <v>4.9</v>
      </c>
      <c r="H8042" t="n">
        <v>0</v>
      </c>
      <c r="I8042" t="n">
        <v>0</v>
      </c>
      <c r="J8042" t="n">
        <v>0</v>
      </c>
      <c r="K8042" t="n">
        <v>0</v>
      </c>
      <c r="L8042" t="n">
        <v>0</v>
      </c>
      <c r="M8042" t="n">
        <v>0</v>
      </c>
      <c r="N8042" t="n">
        <v>0</v>
      </c>
      <c r="O8042" t="n">
        <v>0</v>
      </c>
      <c r="P8042" t="n">
        <v>0</v>
      </c>
      <c r="Q8042" t="n">
        <v>0</v>
      </c>
      <c r="R8042" s="2" t="inlineStr"/>
    </row>
    <row r="8043" ht="15" customHeight="1">
      <c r="A8043" t="inlineStr">
        <is>
          <t>A 4398-2026</t>
        </is>
      </c>
      <c r="B8043" s="1" t="n">
        <v>46045</v>
      </c>
      <c r="C8043" s="1" t="n">
        <v>46114</v>
      </c>
      <c r="D8043" t="inlineStr">
        <is>
          <t>DALARNAS LÄN</t>
        </is>
      </c>
      <c r="E8043" t="inlineStr">
        <is>
          <t>FALUN</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33912-2024</t>
        </is>
      </c>
      <c r="B8044" s="1" t="n">
        <v>45523.38677083333</v>
      </c>
      <c r="C8044" s="1" t="n">
        <v>46114</v>
      </c>
      <c r="D8044" t="inlineStr">
        <is>
          <t>DALARNAS LÄN</t>
        </is>
      </c>
      <c r="E8044" t="inlineStr">
        <is>
          <t>FALUN</t>
        </is>
      </c>
      <c r="F8044" t="inlineStr">
        <is>
          <t>Allmännings- och besparingsskogar</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4505-2026</t>
        </is>
      </c>
      <c r="B8045" s="1" t="n">
        <v>46045</v>
      </c>
      <c r="C8045" s="1" t="n">
        <v>46114</v>
      </c>
      <c r="D8045" t="inlineStr">
        <is>
          <t>DALARNAS LÄN</t>
        </is>
      </c>
      <c r="E8045" t="inlineStr">
        <is>
          <t>FALUN</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4511-2026</t>
        </is>
      </c>
      <c r="B8046" s="1" t="n">
        <v>46045</v>
      </c>
      <c r="C8046" s="1" t="n">
        <v>46114</v>
      </c>
      <c r="D8046" t="inlineStr">
        <is>
          <t>DALARNAS LÄN</t>
        </is>
      </c>
      <c r="E8046" t="inlineStr">
        <is>
          <t>FALUN</t>
        </is>
      </c>
      <c r="G8046" t="n">
        <v>1.9</v>
      </c>
      <c r="H8046" t="n">
        <v>0</v>
      </c>
      <c r="I8046" t="n">
        <v>0</v>
      </c>
      <c r="J8046" t="n">
        <v>0</v>
      </c>
      <c r="K8046" t="n">
        <v>0</v>
      </c>
      <c r="L8046" t="n">
        <v>0</v>
      </c>
      <c r="M8046" t="n">
        <v>0</v>
      </c>
      <c r="N8046" t="n">
        <v>0</v>
      </c>
      <c r="O8046" t="n">
        <v>0</v>
      </c>
      <c r="P8046" t="n">
        <v>0</v>
      </c>
      <c r="Q8046" t="n">
        <v>0</v>
      </c>
      <c r="R8046" s="2" t="inlineStr"/>
    </row>
    <row r="8047" ht="15" customHeight="1">
      <c r="A8047" t="inlineStr">
        <is>
          <t>A 12094-2026</t>
        </is>
      </c>
      <c r="B8047" s="1" t="n">
        <v>46086.47299768519</v>
      </c>
      <c r="C8047" s="1" t="n">
        <v>46114</v>
      </c>
      <c r="D8047" t="inlineStr">
        <is>
          <t>DALARNAS LÄN</t>
        </is>
      </c>
      <c r="E8047" t="inlineStr">
        <is>
          <t>FALUN</t>
        </is>
      </c>
      <c r="F8047" t="inlineStr">
        <is>
          <t>Bergvik skog väst AB</t>
        </is>
      </c>
      <c r="G8047" t="n">
        <v>1.3</v>
      </c>
      <c r="H8047" t="n">
        <v>0</v>
      </c>
      <c r="I8047" t="n">
        <v>0</v>
      </c>
      <c r="J8047" t="n">
        <v>0</v>
      </c>
      <c r="K8047" t="n">
        <v>0</v>
      </c>
      <c r="L8047" t="n">
        <v>0</v>
      </c>
      <c r="M8047" t="n">
        <v>0</v>
      </c>
      <c r="N8047" t="n">
        <v>0</v>
      </c>
      <c r="O8047" t="n">
        <v>0</v>
      </c>
      <c r="P8047" t="n">
        <v>0</v>
      </c>
      <c r="Q8047" t="n">
        <v>0</v>
      </c>
      <c r="R8047" s="2" t="inlineStr"/>
    </row>
    <row r="8048" ht="15" customHeight="1">
      <c r="A8048" t="inlineStr">
        <is>
          <t>A 11032-2026</t>
        </is>
      </c>
      <c r="B8048" s="1" t="n">
        <v>46079</v>
      </c>
      <c r="C8048" s="1" t="n">
        <v>46114</v>
      </c>
      <c r="D8048" t="inlineStr">
        <is>
          <t>DALARNAS LÄN</t>
        </is>
      </c>
      <c r="E8048" t="inlineStr">
        <is>
          <t>RÄTTVIK</t>
        </is>
      </c>
      <c r="F8048" t="inlineStr">
        <is>
          <t>Bergvik skog väst AB</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3191-2026</t>
        </is>
      </c>
      <c r="B8049" s="1" t="n">
        <v>46041</v>
      </c>
      <c r="C8049" s="1" t="n">
        <v>46114</v>
      </c>
      <c r="D8049" t="inlineStr">
        <is>
          <t>DALARNAS LÄN</t>
        </is>
      </c>
      <c r="E8049" t="inlineStr">
        <is>
          <t>ÄLVDALEN</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3275-2026</t>
        </is>
      </c>
      <c r="B8050" s="1" t="n">
        <v>46041</v>
      </c>
      <c r="C8050" s="1" t="n">
        <v>46114</v>
      </c>
      <c r="D8050" t="inlineStr">
        <is>
          <t>DALARNAS LÄN</t>
        </is>
      </c>
      <c r="E8050" t="inlineStr">
        <is>
          <t>LUDVIKA</t>
        </is>
      </c>
      <c r="F8050" t="inlineStr">
        <is>
          <t>Bergvik skog väst AB</t>
        </is>
      </c>
      <c r="G8050" t="n">
        <v>0.8</v>
      </c>
      <c r="H8050" t="n">
        <v>0</v>
      </c>
      <c r="I8050" t="n">
        <v>0</v>
      </c>
      <c r="J8050" t="n">
        <v>0</v>
      </c>
      <c r="K8050" t="n">
        <v>0</v>
      </c>
      <c r="L8050" t="n">
        <v>0</v>
      </c>
      <c r="M8050" t="n">
        <v>0</v>
      </c>
      <c r="N8050" t="n">
        <v>0</v>
      </c>
      <c r="O8050" t="n">
        <v>0</v>
      </c>
      <c r="P8050" t="n">
        <v>0</v>
      </c>
      <c r="Q8050" t="n">
        <v>0</v>
      </c>
      <c r="R8050" s="2" t="inlineStr"/>
    </row>
    <row r="8051" ht="15" customHeight="1">
      <c r="A8051" t="inlineStr">
        <is>
          <t>A 58343-2023</t>
        </is>
      </c>
      <c r="B8051" s="1" t="n">
        <v>45250</v>
      </c>
      <c r="C8051" s="1" t="n">
        <v>46114</v>
      </c>
      <c r="D8051" t="inlineStr">
        <is>
          <t>DALARNAS LÄN</t>
        </is>
      </c>
      <c r="E8051" t="inlineStr">
        <is>
          <t>FALUN</t>
        </is>
      </c>
      <c r="G8051" t="n">
        <v>1.9</v>
      </c>
      <c r="H8051" t="n">
        <v>0</v>
      </c>
      <c r="I8051" t="n">
        <v>0</v>
      </c>
      <c r="J8051" t="n">
        <v>0</v>
      </c>
      <c r="K8051" t="n">
        <v>0</v>
      </c>
      <c r="L8051" t="n">
        <v>0</v>
      </c>
      <c r="M8051" t="n">
        <v>0</v>
      </c>
      <c r="N8051" t="n">
        <v>0</v>
      </c>
      <c r="O8051" t="n">
        <v>0</v>
      </c>
      <c r="P8051" t="n">
        <v>0</v>
      </c>
      <c r="Q8051" t="n">
        <v>0</v>
      </c>
      <c r="R8051" s="2" t="inlineStr"/>
    </row>
    <row r="8052" ht="15" customHeight="1">
      <c r="A8052" t="inlineStr">
        <is>
          <t>A 4089-2026</t>
        </is>
      </c>
      <c r="B8052" s="1" t="n">
        <v>46044.55276620371</v>
      </c>
      <c r="C8052" s="1" t="n">
        <v>46114</v>
      </c>
      <c r="D8052" t="inlineStr">
        <is>
          <t>DALARNAS LÄN</t>
        </is>
      </c>
      <c r="E8052" t="inlineStr">
        <is>
          <t>HEDEMORA</t>
        </is>
      </c>
      <c r="G8052" t="n">
        <v>1.6</v>
      </c>
      <c r="H8052" t="n">
        <v>0</v>
      </c>
      <c r="I8052" t="n">
        <v>0</v>
      </c>
      <c r="J8052" t="n">
        <v>0</v>
      </c>
      <c r="K8052" t="n">
        <v>0</v>
      </c>
      <c r="L8052" t="n">
        <v>0</v>
      </c>
      <c r="M8052" t="n">
        <v>0</v>
      </c>
      <c r="N8052" t="n">
        <v>0</v>
      </c>
      <c r="O8052" t="n">
        <v>0</v>
      </c>
      <c r="P8052" t="n">
        <v>0</v>
      </c>
      <c r="Q8052" t="n">
        <v>0</v>
      </c>
      <c r="R8052" s="2" t="inlineStr"/>
    </row>
    <row r="8053" ht="15" customHeight="1">
      <c r="A8053" t="inlineStr">
        <is>
          <t>A 4475-2026</t>
        </is>
      </c>
      <c r="B8053" s="1" t="n">
        <v>46045</v>
      </c>
      <c r="C8053" s="1" t="n">
        <v>46114</v>
      </c>
      <c r="D8053" t="inlineStr">
        <is>
          <t>DALARNAS LÄN</t>
        </is>
      </c>
      <c r="E8053" t="inlineStr">
        <is>
          <t>FALUN</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58388-2023</t>
        </is>
      </c>
      <c r="B8054" s="1" t="n">
        <v>45250</v>
      </c>
      <c r="C8054" s="1" t="n">
        <v>46114</v>
      </c>
      <c r="D8054" t="inlineStr">
        <is>
          <t>DALARNAS LÄN</t>
        </is>
      </c>
      <c r="E8054" t="inlineStr">
        <is>
          <t>FALUN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52572-2023</t>
        </is>
      </c>
      <c r="B8055" s="1" t="n">
        <v>45225.58869212963</v>
      </c>
      <c r="C8055" s="1" t="n">
        <v>46114</v>
      </c>
      <c r="D8055" t="inlineStr">
        <is>
          <t>DALARNAS LÄN</t>
        </is>
      </c>
      <c r="E8055" t="inlineStr">
        <is>
          <t>VANSBRO</t>
        </is>
      </c>
      <c r="F8055" t="inlineStr">
        <is>
          <t>Övriga statliga verk och myndigheter</t>
        </is>
      </c>
      <c r="G8055" t="n">
        <v>0.5</v>
      </c>
      <c r="H8055" t="n">
        <v>0</v>
      </c>
      <c r="I8055" t="n">
        <v>0</v>
      </c>
      <c r="J8055" t="n">
        <v>0</v>
      </c>
      <c r="K8055" t="n">
        <v>0</v>
      </c>
      <c r="L8055" t="n">
        <v>0</v>
      </c>
      <c r="M8055" t="n">
        <v>0</v>
      </c>
      <c r="N8055" t="n">
        <v>0</v>
      </c>
      <c r="O8055" t="n">
        <v>0</v>
      </c>
      <c r="P8055" t="n">
        <v>0</v>
      </c>
      <c r="Q8055" t="n">
        <v>0</v>
      </c>
      <c r="R8055" s="2" t="inlineStr"/>
    </row>
    <row r="8056" ht="15" customHeight="1">
      <c r="A8056" t="inlineStr">
        <is>
          <t>A 1581-2026</t>
        </is>
      </c>
      <c r="B8056" s="1" t="n">
        <v>46031</v>
      </c>
      <c r="C8056" s="1" t="n">
        <v>46114</v>
      </c>
      <c r="D8056" t="inlineStr">
        <is>
          <t>DALARNAS LÄN</t>
        </is>
      </c>
      <c r="E8056" t="inlineStr">
        <is>
          <t>FALUN</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1596-2026</t>
        </is>
      </c>
      <c r="B8057" s="1" t="n">
        <v>46031</v>
      </c>
      <c r="C8057" s="1" t="n">
        <v>46114</v>
      </c>
      <c r="D8057" t="inlineStr">
        <is>
          <t>DALARNAS LÄN</t>
        </is>
      </c>
      <c r="E8057" t="inlineStr">
        <is>
          <t>BORLÄNGE</t>
        </is>
      </c>
      <c r="G8057" t="n">
        <v>2.2</v>
      </c>
      <c r="H8057" t="n">
        <v>0</v>
      </c>
      <c r="I8057" t="n">
        <v>0</v>
      </c>
      <c r="J8057" t="n">
        <v>0</v>
      </c>
      <c r="K8057" t="n">
        <v>0</v>
      </c>
      <c r="L8057" t="n">
        <v>0</v>
      </c>
      <c r="M8057" t="n">
        <v>0</v>
      </c>
      <c r="N8057" t="n">
        <v>0</v>
      </c>
      <c r="O8057" t="n">
        <v>0</v>
      </c>
      <c r="P8057" t="n">
        <v>0</v>
      </c>
      <c r="Q8057" t="n">
        <v>0</v>
      </c>
      <c r="R8057" s="2" t="inlineStr"/>
    </row>
    <row r="8058" ht="15" customHeight="1">
      <c r="A8058" t="inlineStr">
        <is>
          <t>A 4508-2026</t>
        </is>
      </c>
      <c r="B8058" s="1" t="n">
        <v>46045</v>
      </c>
      <c r="C8058" s="1" t="n">
        <v>46114</v>
      </c>
      <c r="D8058" t="inlineStr">
        <is>
          <t>DALARNAS LÄN</t>
        </is>
      </c>
      <c r="E8058" t="inlineStr">
        <is>
          <t>FALUN</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4012-2026</t>
        </is>
      </c>
      <c r="B8059" s="1" t="n">
        <v>46044.41138888889</v>
      </c>
      <c r="C8059" s="1" t="n">
        <v>46114</v>
      </c>
      <c r="D8059" t="inlineStr">
        <is>
          <t>DALARNAS LÄN</t>
        </is>
      </c>
      <c r="E8059" t="inlineStr">
        <is>
          <t>FALUN</t>
        </is>
      </c>
      <c r="G8059" t="n">
        <v>3.2</v>
      </c>
      <c r="H8059" t="n">
        <v>0</v>
      </c>
      <c r="I8059" t="n">
        <v>0</v>
      </c>
      <c r="J8059" t="n">
        <v>0</v>
      </c>
      <c r="K8059" t="n">
        <v>0</v>
      </c>
      <c r="L8059" t="n">
        <v>0</v>
      </c>
      <c r="M8059" t="n">
        <v>0</v>
      </c>
      <c r="N8059" t="n">
        <v>0</v>
      </c>
      <c r="O8059" t="n">
        <v>0</v>
      </c>
      <c r="P8059" t="n">
        <v>0</v>
      </c>
      <c r="Q8059" t="n">
        <v>0</v>
      </c>
      <c r="R8059" s="2" t="inlineStr"/>
    </row>
    <row r="8060" ht="15" customHeight="1">
      <c r="A8060" t="inlineStr">
        <is>
          <t>A 4129-2026</t>
        </is>
      </c>
      <c r="B8060" s="1" t="n">
        <v>46044.61814814815</v>
      </c>
      <c r="C8060" s="1" t="n">
        <v>46114</v>
      </c>
      <c r="D8060" t="inlineStr">
        <is>
          <t>DALARNAS LÄN</t>
        </is>
      </c>
      <c r="E8060" t="inlineStr">
        <is>
          <t>BORLÄNGE</t>
        </is>
      </c>
      <c r="F8060" t="inlineStr">
        <is>
          <t>Bergvik skog väst AB</t>
        </is>
      </c>
      <c r="G8060" t="n">
        <v>23.9</v>
      </c>
      <c r="H8060" t="n">
        <v>0</v>
      </c>
      <c r="I8060" t="n">
        <v>0</v>
      </c>
      <c r="J8060" t="n">
        <v>0</v>
      </c>
      <c r="K8060" t="n">
        <v>0</v>
      </c>
      <c r="L8060" t="n">
        <v>0</v>
      </c>
      <c r="M8060" t="n">
        <v>0</v>
      </c>
      <c r="N8060" t="n">
        <v>0</v>
      </c>
      <c r="O8060" t="n">
        <v>0</v>
      </c>
      <c r="P8060" t="n">
        <v>0</v>
      </c>
      <c r="Q8060" t="n">
        <v>0</v>
      </c>
      <c r="R8060" s="2" t="inlineStr"/>
    </row>
    <row r="8061" ht="15" customHeight="1">
      <c r="A8061" t="inlineStr">
        <is>
          <t>A 4340-2026</t>
        </is>
      </c>
      <c r="B8061" s="1" t="n">
        <v>46045</v>
      </c>
      <c r="C8061" s="1" t="n">
        <v>46114</v>
      </c>
      <c r="D8061" t="inlineStr">
        <is>
          <t>DALARNAS LÄN</t>
        </is>
      </c>
      <c r="E8061" t="inlineStr">
        <is>
          <t>FALUN</t>
        </is>
      </c>
      <c r="G8061" t="n">
        <v>9.6</v>
      </c>
      <c r="H8061" t="n">
        <v>0</v>
      </c>
      <c r="I8061" t="n">
        <v>0</v>
      </c>
      <c r="J8061" t="n">
        <v>0</v>
      </c>
      <c r="K8061" t="n">
        <v>0</v>
      </c>
      <c r="L8061" t="n">
        <v>0</v>
      </c>
      <c r="M8061" t="n">
        <v>0</v>
      </c>
      <c r="N8061" t="n">
        <v>0</v>
      </c>
      <c r="O8061" t="n">
        <v>0</v>
      </c>
      <c r="P8061" t="n">
        <v>0</v>
      </c>
      <c r="Q8061" t="n">
        <v>0</v>
      </c>
      <c r="R8061" s="2" t="inlineStr"/>
    </row>
    <row r="8062" ht="15" customHeight="1">
      <c r="A8062" t="inlineStr">
        <is>
          <t>A 4346-2026</t>
        </is>
      </c>
      <c r="B8062" s="1" t="n">
        <v>46045.52084490741</v>
      </c>
      <c r="C8062" s="1" t="n">
        <v>46114</v>
      </c>
      <c r="D8062" t="inlineStr">
        <is>
          <t>DALARNAS LÄN</t>
        </is>
      </c>
      <c r="E8062" t="inlineStr">
        <is>
          <t>SÄTER</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28884-2023</t>
        </is>
      </c>
      <c r="B8063" s="1" t="n">
        <v>45104.48320601852</v>
      </c>
      <c r="C8063" s="1" t="n">
        <v>46114</v>
      </c>
      <c r="D8063" t="inlineStr">
        <is>
          <t>DALARNAS LÄN</t>
        </is>
      </c>
      <c r="E8063" t="inlineStr">
        <is>
          <t>ÄLVDALEN</t>
        </is>
      </c>
      <c r="F8063" t="inlineStr">
        <is>
          <t>Allmännings- och besparingsskogar</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3956-2026</t>
        </is>
      </c>
      <c r="B8064" s="1" t="n">
        <v>46044</v>
      </c>
      <c r="C8064" s="1" t="n">
        <v>46114</v>
      </c>
      <c r="D8064" t="inlineStr">
        <is>
          <t>DALARNAS LÄN</t>
        </is>
      </c>
      <c r="E8064" t="inlineStr">
        <is>
          <t>FALUN</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29344-2024</t>
        </is>
      </c>
      <c r="B8065" s="1" t="n">
        <v>45483.47208333333</v>
      </c>
      <c r="C8065" s="1" t="n">
        <v>46114</v>
      </c>
      <c r="D8065" t="inlineStr">
        <is>
          <t>DALARNAS LÄN</t>
        </is>
      </c>
      <c r="E8065" t="inlineStr">
        <is>
          <t>MALUNG-SÄLEN</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4378-2026</t>
        </is>
      </c>
      <c r="B8066" s="1" t="n">
        <v>46045</v>
      </c>
      <c r="C8066" s="1" t="n">
        <v>46114</v>
      </c>
      <c r="D8066" t="inlineStr">
        <is>
          <t>DALARNAS LÄN</t>
        </is>
      </c>
      <c r="E8066" t="inlineStr">
        <is>
          <t>FALUN</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12260-2026</t>
        </is>
      </c>
      <c r="B8067" s="1" t="n">
        <v>46087.48717592593</v>
      </c>
      <c r="C8067" s="1" t="n">
        <v>46114</v>
      </c>
      <c r="D8067" t="inlineStr">
        <is>
          <t>DALARNAS LÄN</t>
        </is>
      </c>
      <c r="E8067" t="inlineStr">
        <is>
          <t>FALUN</t>
        </is>
      </c>
      <c r="G8067" t="n">
        <v>23.9</v>
      </c>
      <c r="H8067" t="n">
        <v>0</v>
      </c>
      <c r="I8067" t="n">
        <v>0</v>
      </c>
      <c r="J8067" t="n">
        <v>0</v>
      </c>
      <c r="K8067" t="n">
        <v>0</v>
      </c>
      <c r="L8067" t="n">
        <v>0</v>
      </c>
      <c r="M8067" t="n">
        <v>0</v>
      </c>
      <c r="N8067" t="n">
        <v>0</v>
      </c>
      <c r="O8067" t="n">
        <v>0</v>
      </c>
      <c r="P8067" t="n">
        <v>0</v>
      </c>
      <c r="Q8067" t="n">
        <v>0</v>
      </c>
      <c r="R8067" s="2" t="inlineStr"/>
    </row>
    <row r="8068" ht="15" customHeight="1">
      <c r="A8068" t="inlineStr">
        <is>
          <t>A 12496-2024</t>
        </is>
      </c>
      <c r="B8068" s="1" t="n">
        <v>45379</v>
      </c>
      <c r="C8068" s="1" t="n">
        <v>46114</v>
      </c>
      <c r="D8068" t="inlineStr">
        <is>
          <t>DALARNAS LÄN</t>
        </is>
      </c>
      <c r="E8068" t="inlineStr">
        <is>
          <t>RÄTTVIK</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28675-2021</t>
        </is>
      </c>
      <c r="B8069" s="1" t="n">
        <v>44357</v>
      </c>
      <c r="C8069" s="1" t="n">
        <v>46114</v>
      </c>
      <c r="D8069" t="inlineStr">
        <is>
          <t>DALARNAS LÄN</t>
        </is>
      </c>
      <c r="E8069" t="inlineStr">
        <is>
          <t>SMEDJEBACKEN</t>
        </is>
      </c>
      <c r="F8069" t="inlineStr">
        <is>
          <t>Kommuner</t>
        </is>
      </c>
      <c r="G8069" t="n">
        <v>1.5</v>
      </c>
      <c r="H8069" t="n">
        <v>0</v>
      </c>
      <c r="I8069" t="n">
        <v>0</v>
      </c>
      <c r="J8069" t="n">
        <v>0</v>
      </c>
      <c r="K8069" t="n">
        <v>0</v>
      </c>
      <c r="L8069" t="n">
        <v>0</v>
      </c>
      <c r="M8069" t="n">
        <v>0</v>
      </c>
      <c r="N8069" t="n">
        <v>0</v>
      </c>
      <c r="O8069" t="n">
        <v>0</v>
      </c>
      <c r="P8069" t="n">
        <v>0</v>
      </c>
      <c r="Q8069" t="n">
        <v>0</v>
      </c>
      <c r="R8069" s="2" t="inlineStr"/>
    </row>
    <row r="8070" ht="15" customHeight="1">
      <c r="A8070" t="inlineStr">
        <is>
          <t>A 38947-2023</t>
        </is>
      </c>
      <c r="B8070" s="1" t="n">
        <v>45163.61209490741</v>
      </c>
      <c r="C8070" s="1" t="n">
        <v>46114</v>
      </c>
      <c r="D8070" t="inlineStr">
        <is>
          <t>DALARNAS LÄN</t>
        </is>
      </c>
      <c r="E8070" t="inlineStr">
        <is>
          <t>HEDEMORA</t>
        </is>
      </c>
      <c r="F8070" t="inlineStr">
        <is>
          <t>Sveaskog</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38951-2023</t>
        </is>
      </c>
      <c r="B8071" s="1" t="n">
        <v>45163.61413194444</v>
      </c>
      <c r="C8071" s="1" t="n">
        <v>46114</v>
      </c>
      <c r="D8071" t="inlineStr">
        <is>
          <t>DALARNAS LÄN</t>
        </is>
      </c>
      <c r="E8071" t="inlineStr">
        <is>
          <t>HEDEMORA</t>
        </is>
      </c>
      <c r="F8071" t="inlineStr">
        <is>
          <t>Sveaskog</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4040-2026</t>
        </is>
      </c>
      <c r="B8072" s="1" t="n">
        <v>46044</v>
      </c>
      <c r="C8072" s="1" t="n">
        <v>46114</v>
      </c>
      <c r="D8072" t="inlineStr">
        <is>
          <t>DALARNAS LÄN</t>
        </is>
      </c>
      <c r="E8072" t="inlineStr">
        <is>
          <t>ORSA</t>
        </is>
      </c>
      <c r="G8072" t="n">
        <v>4.3</v>
      </c>
      <c r="H8072" t="n">
        <v>0</v>
      </c>
      <c r="I8072" t="n">
        <v>0</v>
      </c>
      <c r="J8072" t="n">
        <v>0</v>
      </c>
      <c r="K8072" t="n">
        <v>0</v>
      </c>
      <c r="L8072" t="n">
        <v>0</v>
      </c>
      <c r="M8072" t="n">
        <v>0</v>
      </c>
      <c r="N8072" t="n">
        <v>0</v>
      </c>
      <c r="O8072" t="n">
        <v>0</v>
      </c>
      <c r="P8072" t="n">
        <v>0</v>
      </c>
      <c r="Q8072" t="n">
        <v>0</v>
      </c>
      <c r="R8072" s="2" t="inlineStr"/>
    </row>
    <row r="8073" ht="15" customHeight="1">
      <c r="A8073" t="inlineStr">
        <is>
          <t>A 4042-2026</t>
        </is>
      </c>
      <c r="B8073" s="1" t="n">
        <v>46044.4659375</v>
      </c>
      <c r="C8073" s="1" t="n">
        <v>46114</v>
      </c>
      <c r="D8073" t="inlineStr">
        <is>
          <t>DALARNAS LÄN</t>
        </is>
      </c>
      <c r="E8073" t="inlineStr">
        <is>
          <t>SÄTER</t>
        </is>
      </c>
      <c r="G8073" t="n">
        <v>1.8</v>
      </c>
      <c r="H8073" t="n">
        <v>0</v>
      </c>
      <c r="I8073" t="n">
        <v>0</v>
      </c>
      <c r="J8073" t="n">
        <v>0</v>
      </c>
      <c r="K8073" t="n">
        <v>0</v>
      </c>
      <c r="L8073" t="n">
        <v>0</v>
      </c>
      <c r="M8073" t="n">
        <v>0</v>
      </c>
      <c r="N8073" t="n">
        <v>0</v>
      </c>
      <c r="O8073" t="n">
        <v>0</v>
      </c>
      <c r="P8073" t="n">
        <v>0</v>
      </c>
      <c r="Q8073" t="n">
        <v>0</v>
      </c>
      <c r="R8073" s="2" t="inlineStr"/>
    </row>
    <row r="8074" ht="15" customHeight="1">
      <c r="A8074" t="inlineStr">
        <is>
          <t>A 60063-2024</t>
        </is>
      </c>
      <c r="B8074" s="1" t="n">
        <v>45642.49408564815</v>
      </c>
      <c r="C8074" s="1" t="n">
        <v>46114</v>
      </c>
      <c r="D8074" t="inlineStr">
        <is>
          <t>DALARNAS LÄN</t>
        </is>
      </c>
      <c r="E8074" t="inlineStr">
        <is>
          <t>MALUNG-SÄLEN</t>
        </is>
      </c>
      <c r="G8074" t="n">
        <v>3.8</v>
      </c>
      <c r="H8074" t="n">
        <v>0</v>
      </c>
      <c r="I8074" t="n">
        <v>0</v>
      </c>
      <c r="J8074" t="n">
        <v>0</v>
      </c>
      <c r="K8074" t="n">
        <v>0</v>
      </c>
      <c r="L8074" t="n">
        <v>0</v>
      </c>
      <c r="M8074" t="n">
        <v>0</v>
      </c>
      <c r="N8074" t="n">
        <v>0</v>
      </c>
      <c r="O8074" t="n">
        <v>0</v>
      </c>
      <c r="P8074" t="n">
        <v>0</v>
      </c>
      <c r="Q8074" t="n">
        <v>0</v>
      </c>
      <c r="R8074" s="2" t="inlineStr"/>
    </row>
    <row r="8075" ht="15" customHeight="1">
      <c r="A8075" t="inlineStr">
        <is>
          <t>A 4092-2026</t>
        </is>
      </c>
      <c r="B8075" s="1" t="n">
        <v>46044</v>
      </c>
      <c r="C8075" s="1" t="n">
        <v>46114</v>
      </c>
      <c r="D8075" t="inlineStr">
        <is>
          <t>DALARNAS LÄN</t>
        </is>
      </c>
      <c r="E8075" t="inlineStr">
        <is>
          <t>RÄTTVIK</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51414-2021</t>
        </is>
      </c>
      <c r="B8076" s="1" t="n">
        <v>44461</v>
      </c>
      <c r="C8076" s="1" t="n">
        <v>46114</v>
      </c>
      <c r="D8076" t="inlineStr">
        <is>
          <t>DALARNAS LÄN</t>
        </is>
      </c>
      <c r="E8076" t="inlineStr">
        <is>
          <t>VANSBRO</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19583-2025</t>
        </is>
      </c>
      <c r="B8077" s="1" t="n">
        <v>45770</v>
      </c>
      <c r="C8077" s="1" t="n">
        <v>46114</v>
      </c>
      <c r="D8077" t="inlineStr">
        <is>
          <t>DALARNAS LÄN</t>
        </is>
      </c>
      <c r="E8077" t="inlineStr">
        <is>
          <t>ÄLVDALEN</t>
        </is>
      </c>
      <c r="F8077" t="inlineStr">
        <is>
          <t>Sveaskog</t>
        </is>
      </c>
      <c r="G8077" t="n">
        <v>24.1</v>
      </c>
      <c r="H8077" t="n">
        <v>0</v>
      </c>
      <c r="I8077" t="n">
        <v>0</v>
      </c>
      <c r="J8077" t="n">
        <v>0</v>
      </c>
      <c r="K8077" t="n">
        <v>0</v>
      </c>
      <c r="L8077" t="n">
        <v>0</v>
      </c>
      <c r="M8077" t="n">
        <v>0</v>
      </c>
      <c r="N8077" t="n">
        <v>0</v>
      </c>
      <c r="O8077" t="n">
        <v>0</v>
      </c>
      <c r="P8077" t="n">
        <v>0</v>
      </c>
      <c r="Q8077" t="n">
        <v>0</v>
      </c>
      <c r="R8077" s="2" t="inlineStr"/>
    </row>
    <row r="8078" ht="15" customHeight="1">
      <c r="A8078" t="inlineStr">
        <is>
          <t>A 60655-2024</t>
        </is>
      </c>
      <c r="B8078" s="1" t="n">
        <v>45644.44140046297</v>
      </c>
      <c r="C8078" s="1" t="n">
        <v>46114</v>
      </c>
      <c r="D8078" t="inlineStr">
        <is>
          <t>DALARNAS LÄN</t>
        </is>
      </c>
      <c r="E8078" t="inlineStr">
        <is>
          <t>SÄTER</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1582-2026</t>
        </is>
      </c>
      <c r="B8079" s="1" t="n">
        <v>46031</v>
      </c>
      <c r="C8079" s="1" t="n">
        <v>46114</v>
      </c>
      <c r="D8079" t="inlineStr">
        <is>
          <t>DALARNAS LÄN</t>
        </is>
      </c>
      <c r="E8079" t="inlineStr">
        <is>
          <t>FALUN</t>
        </is>
      </c>
      <c r="G8079" t="n">
        <v>5.4</v>
      </c>
      <c r="H8079" t="n">
        <v>0</v>
      </c>
      <c r="I8079" t="n">
        <v>0</v>
      </c>
      <c r="J8079" t="n">
        <v>0</v>
      </c>
      <c r="K8079" t="n">
        <v>0</v>
      </c>
      <c r="L8079" t="n">
        <v>0</v>
      </c>
      <c r="M8079" t="n">
        <v>0</v>
      </c>
      <c r="N8079" t="n">
        <v>0</v>
      </c>
      <c r="O8079" t="n">
        <v>0</v>
      </c>
      <c r="P8079" t="n">
        <v>0</v>
      </c>
      <c r="Q8079" t="n">
        <v>0</v>
      </c>
      <c r="R8079" s="2" t="inlineStr"/>
    </row>
    <row r="8080" ht="15" customHeight="1">
      <c r="A8080" t="inlineStr">
        <is>
          <t>A 4277-2026</t>
        </is>
      </c>
      <c r="B8080" s="1" t="n">
        <v>46044</v>
      </c>
      <c r="C8080" s="1" t="n">
        <v>46114</v>
      </c>
      <c r="D8080" t="inlineStr">
        <is>
          <t>DALARNAS LÄN</t>
        </is>
      </c>
      <c r="E8080" t="inlineStr">
        <is>
          <t>FALUN</t>
        </is>
      </c>
      <c r="G8080" t="n">
        <v>13.2</v>
      </c>
      <c r="H8080" t="n">
        <v>0</v>
      </c>
      <c r="I8080" t="n">
        <v>0</v>
      </c>
      <c r="J8080" t="n">
        <v>0</v>
      </c>
      <c r="K8080" t="n">
        <v>0</v>
      </c>
      <c r="L8080" t="n">
        <v>0</v>
      </c>
      <c r="M8080" t="n">
        <v>0</v>
      </c>
      <c r="N8080" t="n">
        <v>0</v>
      </c>
      <c r="O8080" t="n">
        <v>0</v>
      </c>
      <c r="P8080" t="n">
        <v>0</v>
      </c>
      <c r="Q8080" t="n">
        <v>0</v>
      </c>
      <c r="R8080" s="2" t="inlineStr"/>
    </row>
    <row r="8081" ht="15" customHeight="1">
      <c r="A8081" t="inlineStr">
        <is>
          <t>A 56438-2023</t>
        </is>
      </c>
      <c r="B8081" s="1" t="n">
        <v>45243</v>
      </c>
      <c r="C8081" s="1" t="n">
        <v>46114</v>
      </c>
      <c r="D8081" t="inlineStr">
        <is>
          <t>DALARNAS LÄN</t>
        </is>
      </c>
      <c r="E8081" t="inlineStr">
        <is>
          <t>RÄTTVIK</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33505-2021</t>
        </is>
      </c>
      <c r="B8082" s="1" t="n">
        <v>44377</v>
      </c>
      <c r="C8082" s="1" t="n">
        <v>46114</v>
      </c>
      <c r="D8082" t="inlineStr">
        <is>
          <t>DALARNAS LÄN</t>
        </is>
      </c>
      <c r="E8082" t="inlineStr">
        <is>
          <t>LUDVIKA</t>
        </is>
      </c>
      <c r="F8082" t="inlineStr">
        <is>
          <t>Bergvik skog väst AB</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4322-2026</t>
        </is>
      </c>
      <c r="B8083" s="1" t="n">
        <v>46045</v>
      </c>
      <c r="C8083" s="1" t="n">
        <v>46114</v>
      </c>
      <c r="D8083" t="inlineStr">
        <is>
          <t>DALARNAS LÄN</t>
        </is>
      </c>
      <c r="E8083" t="inlineStr">
        <is>
          <t>FALUN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4510-2026</t>
        </is>
      </c>
      <c r="B8084" s="1" t="n">
        <v>46045</v>
      </c>
      <c r="C8084" s="1" t="n">
        <v>46114</v>
      </c>
      <c r="D8084" t="inlineStr">
        <is>
          <t>DALARNAS LÄN</t>
        </is>
      </c>
      <c r="E8084" t="inlineStr">
        <is>
          <t>FALUN</t>
        </is>
      </c>
      <c r="G8084" t="n">
        <v>5.1</v>
      </c>
      <c r="H8084" t="n">
        <v>0</v>
      </c>
      <c r="I8084" t="n">
        <v>0</v>
      </c>
      <c r="J8084" t="n">
        <v>0</v>
      </c>
      <c r="K8084" t="n">
        <v>0</v>
      </c>
      <c r="L8084" t="n">
        <v>0</v>
      </c>
      <c r="M8084" t="n">
        <v>0</v>
      </c>
      <c r="N8084" t="n">
        <v>0</v>
      </c>
      <c r="O8084" t="n">
        <v>0</v>
      </c>
      <c r="P8084" t="n">
        <v>0</v>
      </c>
      <c r="Q8084" t="n">
        <v>0</v>
      </c>
      <c r="R8084" s="2" t="inlineStr"/>
    </row>
    <row r="8085" ht="15" customHeight="1">
      <c r="A8085" t="inlineStr">
        <is>
          <t>A 10482-2026</t>
        </is>
      </c>
      <c r="B8085" s="1" t="n">
        <v>46077</v>
      </c>
      <c r="C8085" s="1" t="n">
        <v>46114</v>
      </c>
      <c r="D8085" t="inlineStr">
        <is>
          <t>DALARNAS LÄN</t>
        </is>
      </c>
      <c r="E8085" t="inlineStr">
        <is>
          <t>FALUN</t>
        </is>
      </c>
      <c r="F8085" t="inlineStr">
        <is>
          <t>Kyrkan</t>
        </is>
      </c>
      <c r="G8085" t="n">
        <v>5.1</v>
      </c>
      <c r="H8085" t="n">
        <v>0</v>
      </c>
      <c r="I8085" t="n">
        <v>0</v>
      </c>
      <c r="J8085" t="n">
        <v>0</v>
      </c>
      <c r="K8085" t="n">
        <v>0</v>
      </c>
      <c r="L8085" t="n">
        <v>0</v>
      </c>
      <c r="M8085" t="n">
        <v>0</v>
      </c>
      <c r="N8085" t="n">
        <v>0</v>
      </c>
      <c r="O8085" t="n">
        <v>0</v>
      </c>
      <c r="P8085" t="n">
        <v>0</v>
      </c>
      <c r="Q8085" t="n">
        <v>0</v>
      </c>
      <c r="R8085" s="2" t="inlineStr"/>
    </row>
    <row r="8086" ht="15" customHeight="1">
      <c r="A8086" t="inlineStr">
        <is>
          <t>A 5663-2026</t>
        </is>
      </c>
      <c r="B8086" s="1" t="n">
        <v>46051</v>
      </c>
      <c r="C8086" s="1" t="n">
        <v>46114</v>
      </c>
      <c r="D8086" t="inlineStr">
        <is>
          <t>DALARNAS LÄN</t>
        </is>
      </c>
      <c r="E8086" t="inlineStr">
        <is>
          <t>FALUN</t>
        </is>
      </c>
      <c r="F8086" t="inlineStr">
        <is>
          <t>Kyrkan</t>
        </is>
      </c>
      <c r="G8086" t="n">
        <v>3.4</v>
      </c>
      <c r="H8086" t="n">
        <v>0</v>
      </c>
      <c r="I8086" t="n">
        <v>0</v>
      </c>
      <c r="J8086" t="n">
        <v>0</v>
      </c>
      <c r="K8086" t="n">
        <v>0</v>
      </c>
      <c r="L8086" t="n">
        <v>0</v>
      </c>
      <c r="M8086" t="n">
        <v>0</v>
      </c>
      <c r="N8086" t="n">
        <v>0</v>
      </c>
      <c r="O8086" t="n">
        <v>0</v>
      </c>
      <c r="P8086" t="n">
        <v>0</v>
      </c>
      <c r="Q8086" t="n">
        <v>0</v>
      </c>
      <c r="R8086" s="2" t="inlineStr"/>
    </row>
    <row r="8087" ht="15" customHeight="1">
      <c r="A8087" t="inlineStr">
        <is>
          <t>A 4023-2026</t>
        </is>
      </c>
      <c r="B8087" s="1" t="n">
        <v>46044.42760416667</v>
      </c>
      <c r="C8087" s="1" t="n">
        <v>46114</v>
      </c>
      <c r="D8087" t="inlineStr">
        <is>
          <t>DALARNAS LÄN</t>
        </is>
      </c>
      <c r="E8087" t="inlineStr">
        <is>
          <t>ÄLVDALEN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4027-2026</t>
        </is>
      </c>
      <c r="B8088" s="1" t="n">
        <v>46044.44141203703</v>
      </c>
      <c r="C8088" s="1" t="n">
        <v>46114</v>
      </c>
      <c r="D8088" t="inlineStr">
        <is>
          <t>DALARNAS LÄN</t>
        </is>
      </c>
      <c r="E8088" t="inlineStr">
        <is>
          <t>VANSBRO</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10545-2026</t>
        </is>
      </c>
      <c r="B8089" s="1" t="n">
        <v>46077</v>
      </c>
      <c r="C8089" s="1" t="n">
        <v>46114</v>
      </c>
      <c r="D8089" t="inlineStr">
        <is>
          <t>DALARNAS LÄN</t>
        </is>
      </c>
      <c r="E8089" t="inlineStr">
        <is>
          <t>RÄTTVIK</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31180-2024</t>
        </is>
      </c>
      <c r="B8090" s="1" t="n">
        <v>45503</v>
      </c>
      <c r="C8090" s="1" t="n">
        <v>46114</v>
      </c>
      <c r="D8090" t="inlineStr">
        <is>
          <t>DALARNAS LÄN</t>
        </is>
      </c>
      <c r="E8090" t="inlineStr">
        <is>
          <t>MALUNG-SÄLEN</t>
        </is>
      </c>
      <c r="F8090" t="inlineStr">
        <is>
          <t>Allmännings- och besparingsskogar</t>
        </is>
      </c>
      <c r="G8090" t="n">
        <v>62.6</v>
      </c>
      <c r="H8090" t="n">
        <v>0</v>
      </c>
      <c r="I8090" t="n">
        <v>0</v>
      </c>
      <c r="J8090" t="n">
        <v>0</v>
      </c>
      <c r="K8090" t="n">
        <v>0</v>
      </c>
      <c r="L8090" t="n">
        <v>0</v>
      </c>
      <c r="M8090" t="n">
        <v>0</v>
      </c>
      <c r="N8090" t="n">
        <v>0</v>
      </c>
      <c r="O8090" t="n">
        <v>0</v>
      </c>
      <c r="P8090" t="n">
        <v>0</v>
      </c>
      <c r="Q8090" t="n">
        <v>0</v>
      </c>
      <c r="R8090" s="2" t="inlineStr"/>
    </row>
    <row r="8091" ht="15" customHeight="1">
      <c r="A8091" t="inlineStr">
        <is>
          <t>A 10569-2026</t>
        </is>
      </c>
      <c r="B8091" s="1" t="n">
        <v>46077</v>
      </c>
      <c r="C8091" s="1" t="n">
        <v>46114</v>
      </c>
      <c r="D8091" t="inlineStr">
        <is>
          <t>DALARNAS LÄN</t>
        </is>
      </c>
      <c r="E8091" t="inlineStr">
        <is>
          <t>FALUN</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11392-2026</t>
        </is>
      </c>
      <c r="B8092" s="1" t="n">
        <v>46083</v>
      </c>
      <c r="C8092" s="1" t="n">
        <v>46114</v>
      </c>
      <c r="D8092" t="inlineStr">
        <is>
          <t>DALARNAS LÄN</t>
        </is>
      </c>
      <c r="E8092" t="inlineStr">
        <is>
          <t>RÄTTVIK</t>
        </is>
      </c>
      <c r="F8092" t="inlineStr">
        <is>
          <t>Bergvik skog väst AB</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10523-2023</t>
        </is>
      </c>
      <c r="B8093" s="1" t="n">
        <v>44987</v>
      </c>
      <c r="C8093" s="1" t="n">
        <v>46114</v>
      </c>
      <c r="D8093" t="inlineStr">
        <is>
          <t>DALARNAS LÄN</t>
        </is>
      </c>
      <c r="E8093" t="inlineStr">
        <is>
          <t>FALUN</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9733-2026</t>
        </is>
      </c>
      <c r="B8094" s="1" t="n">
        <v>46072</v>
      </c>
      <c r="C8094" s="1" t="n">
        <v>46114</v>
      </c>
      <c r="D8094" t="inlineStr">
        <is>
          <t>DALARNAS LÄN</t>
        </is>
      </c>
      <c r="E8094" t="inlineStr">
        <is>
          <t>MORA</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9893-2026</t>
        </is>
      </c>
      <c r="B8095" s="1" t="n">
        <v>46073</v>
      </c>
      <c r="C8095" s="1" t="n">
        <v>46114</v>
      </c>
      <c r="D8095" t="inlineStr">
        <is>
          <t>DALARNAS LÄN</t>
        </is>
      </c>
      <c r="E8095" t="inlineStr">
        <is>
          <t>BORLÄNGE</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9896-2026</t>
        </is>
      </c>
      <c r="B8096" s="1" t="n">
        <v>46073</v>
      </c>
      <c r="C8096" s="1" t="n">
        <v>46114</v>
      </c>
      <c r="D8096" t="inlineStr">
        <is>
          <t>DALARNAS LÄN</t>
        </is>
      </c>
      <c r="E8096" t="inlineStr">
        <is>
          <t>BORLÄNGE</t>
        </is>
      </c>
      <c r="F8096" t="inlineStr">
        <is>
          <t>Bergvik skog väst AB</t>
        </is>
      </c>
      <c r="G8096" t="n">
        <v>0.6</v>
      </c>
      <c r="H8096" t="n">
        <v>0</v>
      </c>
      <c r="I8096" t="n">
        <v>0</v>
      </c>
      <c r="J8096" t="n">
        <v>0</v>
      </c>
      <c r="K8096" t="n">
        <v>0</v>
      </c>
      <c r="L8096" t="n">
        <v>0</v>
      </c>
      <c r="M8096" t="n">
        <v>0</v>
      </c>
      <c r="N8096" t="n">
        <v>0</v>
      </c>
      <c r="O8096" t="n">
        <v>0</v>
      </c>
      <c r="P8096" t="n">
        <v>0</v>
      </c>
      <c r="Q8096" t="n">
        <v>0</v>
      </c>
      <c r="R8096" s="2" t="inlineStr"/>
    </row>
    <row r="8097" ht="15" customHeight="1">
      <c r="A8097" t="inlineStr">
        <is>
          <t>A 10539-2026</t>
        </is>
      </c>
      <c r="B8097" s="1" t="n">
        <v>46077</v>
      </c>
      <c r="C8097" s="1" t="n">
        <v>46114</v>
      </c>
      <c r="D8097" t="inlineStr">
        <is>
          <t>DALARNAS LÄN</t>
        </is>
      </c>
      <c r="E8097" t="inlineStr">
        <is>
          <t>FALUN</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11306-2026</t>
        </is>
      </c>
      <c r="B8098" s="1" t="n">
        <v>46080</v>
      </c>
      <c r="C8098" s="1" t="n">
        <v>46114</v>
      </c>
      <c r="D8098" t="inlineStr">
        <is>
          <t>DALARNAS LÄN</t>
        </is>
      </c>
      <c r="E8098" t="inlineStr">
        <is>
          <t>FALUN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12057-2026</t>
        </is>
      </c>
      <c r="B8099" s="1" t="n">
        <v>46086</v>
      </c>
      <c r="C8099" s="1" t="n">
        <v>46114</v>
      </c>
      <c r="D8099" t="inlineStr">
        <is>
          <t>DALARNAS LÄN</t>
        </is>
      </c>
      <c r="E8099" t="inlineStr">
        <is>
          <t>RÄTTVIK</t>
        </is>
      </c>
      <c r="F8099" t="inlineStr">
        <is>
          <t>Bergvik skog väst AB</t>
        </is>
      </c>
      <c r="G8099" t="n">
        <v>16.1</v>
      </c>
      <c r="H8099" t="n">
        <v>0</v>
      </c>
      <c r="I8099" t="n">
        <v>0</v>
      </c>
      <c r="J8099" t="n">
        <v>0</v>
      </c>
      <c r="K8099" t="n">
        <v>0</v>
      </c>
      <c r="L8099" t="n">
        <v>0</v>
      </c>
      <c r="M8099" t="n">
        <v>0</v>
      </c>
      <c r="N8099" t="n">
        <v>0</v>
      </c>
      <c r="O8099" t="n">
        <v>0</v>
      </c>
      <c r="P8099" t="n">
        <v>0</v>
      </c>
      <c r="Q8099" t="n">
        <v>0</v>
      </c>
      <c r="R8099" s="2" t="inlineStr"/>
    </row>
    <row r="8100" ht="15" customHeight="1">
      <c r="A8100" t="inlineStr">
        <is>
          <t>A 22811-2023</t>
        </is>
      </c>
      <c r="B8100" s="1" t="n">
        <v>45072</v>
      </c>
      <c r="C8100" s="1" t="n">
        <v>46114</v>
      </c>
      <c r="D8100" t="inlineStr">
        <is>
          <t>DALARNAS LÄN</t>
        </is>
      </c>
      <c r="E8100" t="inlineStr">
        <is>
          <t>MALUNG-SÄLEN</t>
        </is>
      </c>
      <c r="F8100" t="inlineStr">
        <is>
          <t>Bergvik skog öst AB</t>
        </is>
      </c>
      <c r="G8100" t="n">
        <v>5.8</v>
      </c>
      <c r="H8100" t="n">
        <v>0</v>
      </c>
      <c r="I8100" t="n">
        <v>0</v>
      </c>
      <c r="J8100" t="n">
        <v>0</v>
      </c>
      <c r="K8100" t="n">
        <v>0</v>
      </c>
      <c r="L8100" t="n">
        <v>0</v>
      </c>
      <c r="M8100" t="n">
        <v>0</v>
      </c>
      <c r="N8100" t="n">
        <v>0</v>
      </c>
      <c r="O8100" t="n">
        <v>0</v>
      </c>
      <c r="P8100" t="n">
        <v>0</v>
      </c>
      <c r="Q8100" t="n">
        <v>0</v>
      </c>
      <c r="R8100" s="2" t="inlineStr"/>
    </row>
    <row r="8101" ht="15" customHeight="1">
      <c r="A8101" t="inlineStr">
        <is>
          <t>A 4338-2026</t>
        </is>
      </c>
      <c r="B8101" s="1" t="n">
        <v>46045.5033912037</v>
      </c>
      <c r="C8101" s="1" t="n">
        <v>46114</v>
      </c>
      <c r="D8101" t="inlineStr">
        <is>
          <t>DALARNAS LÄN</t>
        </is>
      </c>
      <c r="E8101" t="inlineStr">
        <is>
          <t>LEKSAND</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4345-2026</t>
        </is>
      </c>
      <c r="B8102" s="1" t="n">
        <v>46045.51796296296</v>
      </c>
      <c r="C8102" s="1" t="n">
        <v>46114</v>
      </c>
      <c r="D8102" t="inlineStr">
        <is>
          <t>DALARNAS LÄN</t>
        </is>
      </c>
      <c r="E8102" t="inlineStr">
        <is>
          <t>SÄTER</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3418-2024</t>
        </is>
      </c>
      <c r="B8103" s="1" t="n">
        <v>45319.81171296296</v>
      </c>
      <c r="C8103" s="1" t="n">
        <v>46114</v>
      </c>
      <c r="D8103" t="inlineStr">
        <is>
          <t>DALARNAS LÄN</t>
        </is>
      </c>
      <c r="E8103" t="inlineStr">
        <is>
          <t>SMEDJEBACKEN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42934-2024</t>
        </is>
      </c>
      <c r="B8104" s="1" t="n">
        <v>45567.33655092592</v>
      </c>
      <c r="C8104" s="1" t="n">
        <v>46114</v>
      </c>
      <c r="D8104" t="inlineStr">
        <is>
          <t>DALARNAS LÄN</t>
        </is>
      </c>
      <c r="E8104" t="inlineStr">
        <is>
          <t>MORA</t>
        </is>
      </c>
      <c r="G8104" t="n">
        <v>0.7</v>
      </c>
      <c r="H8104" t="n">
        <v>0</v>
      </c>
      <c r="I8104" t="n">
        <v>0</v>
      </c>
      <c r="J8104" t="n">
        <v>0</v>
      </c>
      <c r="K8104" t="n">
        <v>0</v>
      </c>
      <c r="L8104" t="n">
        <v>0</v>
      </c>
      <c r="M8104" t="n">
        <v>0</v>
      </c>
      <c r="N8104" t="n">
        <v>0</v>
      </c>
      <c r="O8104" t="n">
        <v>0</v>
      </c>
      <c r="P8104" t="n">
        <v>0</v>
      </c>
      <c r="Q8104" t="n">
        <v>0</v>
      </c>
      <c r="R8104" s="2" t="inlineStr"/>
    </row>
    <row r="8105" ht="15" customHeight="1">
      <c r="A8105" t="inlineStr">
        <is>
          <t>A 20486-2024</t>
        </is>
      </c>
      <c r="B8105" s="1" t="n">
        <v>45435.76391203704</v>
      </c>
      <c r="C8105" s="1" t="n">
        <v>46114</v>
      </c>
      <c r="D8105" t="inlineStr">
        <is>
          <t>DALARNAS LÄN</t>
        </is>
      </c>
      <c r="E8105" t="inlineStr">
        <is>
          <t>GAGNEF</t>
        </is>
      </c>
      <c r="G8105" t="n">
        <v>10.1</v>
      </c>
      <c r="H8105" t="n">
        <v>0</v>
      </c>
      <c r="I8105" t="n">
        <v>0</v>
      </c>
      <c r="J8105" t="n">
        <v>0</v>
      </c>
      <c r="K8105" t="n">
        <v>0</v>
      </c>
      <c r="L8105" t="n">
        <v>0</v>
      </c>
      <c r="M8105" t="n">
        <v>0</v>
      </c>
      <c r="N8105" t="n">
        <v>0</v>
      </c>
      <c r="O8105" t="n">
        <v>0</v>
      </c>
      <c r="P8105" t="n">
        <v>0</v>
      </c>
      <c r="Q8105" t="n">
        <v>0</v>
      </c>
      <c r="R8105" s="2" t="inlineStr"/>
    </row>
    <row r="8106" ht="15" customHeight="1">
      <c r="A8106" t="inlineStr">
        <is>
          <t>A 4216-2026</t>
        </is>
      </c>
      <c r="B8106" s="1" t="n">
        <v>46044</v>
      </c>
      <c r="C8106" s="1" t="n">
        <v>46114</v>
      </c>
      <c r="D8106" t="inlineStr">
        <is>
          <t>DALARNAS LÄN</t>
        </is>
      </c>
      <c r="E8106" t="inlineStr">
        <is>
          <t>FALUN</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4228-2026</t>
        </is>
      </c>
      <c r="B8107" s="1" t="n">
        <v>46044</v>
      </c>
      <c r="C8107" s="1" t="n">
        <v>46114</v>
      </c>
      <c r="D8107" t="inlineStr">
        <is>
          <t>DALARNAS LÄN</t>
        </is>
      </c>
      <c r="E8107" t="inlineStr">
        <is>
          <t>HEDEMORA</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17516-2024</t>
        </is>
      </c>
      <c r="B8108" s="1" t="n">
        <v>45415.58502314815</v>
      </c>
      <c r="C8108" s="1" t="n">
        <v>46114</v>
      </c>
      <c r="D8108" t="inlineStr">
        <is>
          <t>DALARNAS LÄN</t>
        </is>
      </c>
      <c r="E8108" t="inlineStr">
        <is>
          <t>MORA</t>
        </is>
      </c>
      <c r="G8108" t="n">
        <v>1.4</v>
      </c>
      <c r="H8108" t="n">
        <v>0</v>
      </c>
      <c r="I8108" t="n">
        <v>0</v>
      </c>
      <c r="J8108" t="n">
        <v>0</v>
      </c>
      <c r="K8108" t="n">
        <v>0</v>
      </c>
      <c r="L8108" t="n">
        <v>0</v>
      </c>
      <c r="M8108" t="n">
        <v>0</v>
      </c>
      <c r="N8108" t="n">
        <v>0</v>
      </c>
      <c r="O8108" t="n">
        <v>0</v>
      </c>
      <c r="P8108" t="n">
        <v>0</v>
      </c>
      <c r="Q8108" t="n">
        <v>0</v>
      </c>
      <c r="R8108" s="2" t="inlineStr"/>
    </row>
    <row r="8109" ht="15" customHeight="1">
      <c r="A8109" t="inlineStr">
        <is>
          <t>A 4244-2026</t>
        </is>
      </c>
      <c r="B8109" s="1" t="n">
        <v>46045.30012731482</v>
      </c>
      <c r="C8109" s="1" t="n">
        <v>46114</v>
      </c>
      <c r="D8109" t="inlineStr">
        <is>
          <t>DALARNAS LÄN</t>
        </is>
      </c>
      <c r="E8109" t="inlineStr">
        <is>
          <t>FALUN</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9774-2026</t>
        </is>
      </c>
      <c r="B8110" s="1" t="n">
        <v>46072</v>
      </c>
      <c r="C8110" s="1" t="n">
        <v>46114</v>
      </c>
      <c r="D8110" t="inlineStr">
        <is>
          <t>DALARNAS LÄN</t>
        </is>
      </c>
      <c r="E8110" t="inlineStr">
        <is>
          <t>FALUN</t>
        </is>
      </c>
      <c r="G8110" t="n">
        <v>5</v>
      </c>
      <c r="H8110" t="n">
        <v>0</v>
      </c>
      <c r="I8110" t="n">
        <v>0</v>
      </c>
      <c r="J8110" t="n">
        <v>0</v>
      </c>
      <c r="K8110" t="n">
        <v>0</v>
      </c>
      <c r="L8110" t="n">
        <v>0</v>
      </c>
      <c r="M8110" t="n">
        <v>0</v>
      </c>
      <c r="N8110" t="n">
        <v>0</v>
      </c>
      <c r="O8110" t="n">
        <v>0</v>
      </c>
      <c r="P8110" t="n">
        <v>0</v>
      </c>
      <c r="Q8110" t="n">
        <v>0</v>
      </c>
      <c r="R8110" s="2" t="inlineStr"/>
    </row>
    <row r="8111" ht="15" customHeight="1">
      <c r="A8111" t="inlineStr">
        <is>
          <t>A 17606-2024</t>
        </is>
      </c>
      <c r="B8111" s="1" t="n">
        <v>45415</v>
      </c>
      <c r="C8111" s="1" t="n">
        <v>46114</v>
      </c>
      <c r="D8111" t="inlineStr">
        <is>
          <t>DALARNAS LÄN</t>
        </is>
      </c>
      <c r="E8111" t="inlineStr">
        <is>
          <t>LEKSAND</t>
        </is>
      </c>
      <c r="G8111" t="n">
        <v>0.6</v>
      </c>
      <c r="H8111" t="n">
        <v>0</v>
      </c>
      <c r="I8111" t="n">
        <v>0</v>
      </c>
      <c r="J8111" t="n">
        <v>0</v>
      </c>
      <c r="K8111" t="n">
        <v>0</v>
      </c>
      <c r="L8111" t="n">
        <v>0</v>
      </c>
      <c r="M8111" t="n">
        <v>0</v>
      </c>
      <c r="N8111" t="n">
        <v>0</v>
      </c>
      <c r="O8111" t="n">
        <v>0</v>
      </c>
      <c r="P8111" t="n">
        <v>0</v>
      </c>
      <c r="Q8111" t="n">
        <v>0</v>
      </c>
      <c r="R8111" s="2" t="inlineStr"/>
    </row>
    <row r="8112" ht="15" customHeight="1">
      <c r="A8112" t="inlineStr">
        <is>
          <t>A 17628-2024</t>
        </is>
      </c>
      <c r="B8112" s="1" t="n">
        <v>45418.31195601852</v>
      </c>
      <c r="C8112" s="1" t="n">
        <v>46114</v>
      </c>
      <c r="D8112" t="inlineStr">
        <is>
          <t>DALARNAS LÄN</t>
        </is>
      </c>
      <c r="E8112" t="inlineStr">
        <is>
          <t>VANSBRO</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45697-2023</t>
        </is>
      </c>
      <c r="B8113" s="1" t="n">
        <v>45195.33619212963</v>
      </c>
      <c r="C8113" s="1" t="n">
        <v>46114</v>
      </c>
      <c r="D8113" t="inlineStr">
        <is>
          <t>DALARNAS LÄN</t>
        </is>
      </c>
      <c r="E8113" t="inlineStr">
        <is>
          <t>MALUNG-SÄLEN</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12029-2026</t>
        </is>
      </c>
      <c r="B8114" s="1" t="n">
        <v>46085.90086805556</v>
      </c>
      <c r="C8114" s="1" t="n">
        <v>46114</v>
      </c>
      <c r="D8114" t="inlineStr">
        <is>
          <t>DALARNAS LÄN</t>
        </is>
      </c>
      <c r="E8114" t="inlineStr">
        <is>
          <t>FALUN</t>
        </is>
      </c>
      <c r="G8114" t="n">
        <v>1.8</v>
      </c>
      <c r="H8114" t="n">
        <v>0</v>
      </c>
      <c r="I8114" t="n">
        <v>0</v>
      </c>
      <c r="J8114" t="n">
        <v>0</v>
      </c>
      <c r="K8114" t="n">
        <v>0</v>
      </c>
      <c r="L8114" t="n">
        <v>0</v>
      </c>
      <c r="M8114" t="n">
        <v>0</v>
      </c>
      <c r="N8114" t="n">
        <v>0</v>
      </c>
      <c r="O8114" t="n">
        <v>0</v>
      </c>
      <c r="P8114" t="n">
        <v>0</v>
      </c>
      <c r="Q8114" t="n">
        <v>0</v>
      </c>
      <c r="R8114" s="2" t="inlineStr"/>
    </row>
    <row r="8115" ht="15" customHeight="1">
      <c r="A8115" t="inlineStr">
        <is>
          <t>A 4416-2026</t>
        </is>
      </c>
      <c r="B8115" s="1" t="n">
        <v>46045.60434027778</v>
      </c>
      <c r="C8115" s="1" t="n">
        <v>46114</v>
      </c>
      <c r="D8115" t="inlineStr">
        <is>
          <t>DALARNAS LÄN</t>
        </is>
      </c>
      <c r="E8115" t="inlineStr">
        <is>
          <t>GAGNEF</t>
        </is>
      </c>
      <c r="G8115" t="n">
        <v>2.2</v>
      </c>
      <c r="H8115" t="n">
        <v>0</v>
      </c>
      <c r="I8115" t="n">
        <v>0</v>
      </c>
      <c r="J8115" t="n">
        <v>0</v>
      </c>
      <c r="K8115" t="n">
        <v>0</v>
      </c>
      <c r="L8115" t="n">
        <v>0</v>
      </c>
      <c r="M8115" t="n">
        <v>0</v>
      </c>
      <c r="N8115" t="n">
        <v>0</v>
      </c>
      <c r="O8115" t="n">
        <v>0</v>
      </c>
      <c r="P8115" t="n">
        <v>0</v>
      </c>
      <c r="Q8115" t="n">
        <v>0</v>
      </c>
      <c r="R8115" s="2" t="inlineStr"/>
    </row>
    <row r="8116" ht="15" customHeight="1">
      <c r="A8116" t="inlineStr">
        <is>
          <t>A 39819-2024</t>
        </is>
      </c>
      <c r="B8116" s="1" t="n">
        <v>45553.38774305556</v>
      </c>
      <c r="C8116" s="1" t="n">
        <v>46114</v>
      </c>
      <c r="D8116" t="inlineStr">
        <is>
          <t>DALARNAS LÄN</t>
        </is>
      </c>
      <c r="E8116" t="inlineStr">
        <is>
          <t>LEKSAND</t>
        </is>
      </c>
      <c r="F8116" t="inlineStr">
        <is>
          <t>Bergvik skog väst AB</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10040-2026</t>
        </is>
      </c>
      <c r="B8117" s="1" t="n">
        <v>46073</v>
      </c>
      <c r="C8117" s="1" t="n">
        <v>46114</v>
      </c>
      <c r="D8117" t="inlineStr">
        <is>
          <t>DALARNAS LÄN</t>
        </is>
      </c>
      <c r="E8117" t="inlineStr">
        <is>
          <t>FALUN</t>
        </is>
      </c>
      <c r="F8117" t="inlineStr">
        <is>
          <t>Bergvik skog väst AB</t>
        </is>
      </c>
      <c r="G8117" t="n">
        <v>15.5</v>
      </c>
      <c r="H8117" t="n">
        <v>0</v>
      </c>
      <c r="I8117" t="n">
        <v>0</v>
      </c>
      <c r="J8117" t="n">
        <v>0</v>
      </c>
      <c r="K8117" t="n">
        <v>0</v>
      </c>
      <c r="L8117" t="n">
        <v>0</v>
      </c>
      <c r="M8117" t="n">
        <v>0</v>
      </c>
      <c r="N8117" t="n">
        <v>0</v>
      </c>
      <c r="O8117" t="n">
        <v>0</v>
      </c>
      <c r="P8117" t="n">
        <v>0</v>
      </c>
      <c r="Q8117" t="n">
        <v>0</v>
      </c>
      <c r="R8117" s="2" t="inlineStr"/>
    </row>
    <row r="8118" ht="15" customHeight="1">
      <c r="A8118" t="inlineStr">
        <is>
          <t>A 11347-2026</t>
        </is>
      </c>
      <c r="B8118" s="1" t="n">
        <v>46082</v>
      </c>
      <c r="C8118" s="1" t="n">
        <v>46114</v>
      </c>
      <c r="D8118" t="inlineStr">
        <is>
          <t>DALARNAS LÄN</t>
        </is>
      </c>
      <c r="E8118" t="inlineStr">
        <is>
          <t>FALUN</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11541-2026</t>
        </is>
      </c>
      <c r="B8119" s="1" t="n">
        <v>46083</v>
      </c>
      <c r="C8119" s="1" t="n">
        <v>46114</v>
      </c>
      <c r="D8119" t="inlineStr">
        <is>
          <t>DALARNAS LÄN</t>
        </is>
      </c>
      <c r="E8119" t="inlineStr">
        <is>
          <t>HEDEMORA</t>
        </is>
      </c>
      <c r="G8119" t="n">
        <v>1.4</v>
      </c>
      <c r="H8119" t="n">
        <v>0</v>
      </c>
      <c r="I8119" t="n">
        <v>0</v>
      </c>
      <c r="J8119" t="n">
        <v>0</v>
      </c>
      <c r="K8119" t="n">
        <v>0</v>
      </c>
      <c r="L8119" t="n">
        <v>0</v>
      </c>
      <c r="M8119" t="n">
        <v>0</v>
      </c>
      <c r="N8119" t="n">
        <v>0</v>
      </c>
      <c r="O8119" t="n">
        <v>0</v>
      </c>
      <c r="P8119" t="n">
        <v>0</v>
      </c>
      <c r="Q8119" t="n">
        <v>0</v>
      </c>
      <c r="R8119" s="2" t="inlineStr"/>
    </row>
    <row r="8120" ht="15" customHeight="1">
      <c r="A8120" t="inlineStr">
        <is>
          <t>A 10325-2026</t>
        </is>
      </c>
      <c r="B8120" s="1" t="n">
        <v>46076</v>
      </c>
      <c r="C8120" s="1" t="n">
        <v>46114</v>
      </c>
      <c r="D8120" t="inlineStr">
        <is>
          <t>DALARNAS LÄN</t>
        </is>
      </c>
      <c r="E8120" t="inlineStr">
        <is>
          <t>FALUN</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10330-2026</t>
        </is>
      </c>
      <c r="B8121" s="1" t="n">
        <v>46076</v>
      </c>
      <c r="C8121" s="1" t="n">
        <v>46114</v>
      </c>
      <c r="D8121" t="inlineStr">
        <is>
          <t>DALARNAS LÄN</t>
        </is>
      </c>
      <c r="E8121" t="inlineStr">
        <is>
          <t>FALUN</t>
        </is>
      </c>
      <c r="F8121" t="inlineStr">
        <is>
          <t>Bergvik skog väst AB</t>
        </is>
      </c>
      <c r="G8121" t="n">
        <v>3.4</v>
      </c>
      <c r="H8121" t="n">
        <v>0</v>
      </c>
      <c r="I8121" t="n">
        <v>0</v>
      </c>
      <c r="J8121" t="n">
        <v>0</v>
      </c>
      <c r="K8121" t="n">
        <v>0</v>
      </c>
      <c r="L8121" t="n">
        <v>0</v>
      </c>
      <c r="M8121" t="n">
        <v>0</v>
      </c>
      <c r="N8121" t="n">
        <v>0</v>
      </c>
      <c r="O8121" t="n">
        <v>0</v>
      </c>
      <c r="P8121" t="n">
        <v>0</v>
      </c>
      <c r="Q8121" t="n">
        <v>0</v>
      </c>
      <c r="R8121" s="2" t="inlineStr"/>
    </row>
    <row r="8122" ht="15" customHeight="1">
      <c r="A8122" t="inlineStr">
        <is>
          <t>A 26770-2024</t>
        </is>
      </c>
      <c r="B8122" s="1" t="n">
        <v>45470.47375</v>
      </c>
      <c r="C8122" s="1" t="n">
        <v>46114</v>
      </c>
      <c r="D8122" t="inlineStr">
        <is>
          <t>DALARNAS LÄN</t>
        </is>
      </c>
      <c r="E8122" t="inlineStr">
        <is>
          <t>FALUN</t>
        </is>
      </c>
      <c r="G8122" t="n">
        <v>2</v>
      </c>
      <c r="H8122" t="n">
        <v>0</v>
      </c>
      <c r="I8122" t="n">
        <v>0</v>
      </c>
      <c r="J8122" t="n">
        <v>0</v>
      </c>
      <c r="K8122" t="n">
        <v>0</v>
      </c>
      <c r="L8122" t="n">
        <v>0</v>
      </c>
      <c r="M8122" t="n">
        <v>0</v>
      </c>
      <c r="N8122" t="n">
        <v>0</v>
      </c>
      <c r="O8122" t="n">
        <v>0</v>
      </c>
      <c r="P8122" t="n">
        <v>0</v>
      </c>
      <c r="Q8122" t="n">
        <v>0</v>
      </c>
      <c r="R8122" s="2" t="inlineStr"/>
    </row>
    <row r="8123" ht="15" customHeight="1">
      <c r="A8123" t="inlineStr">
        <is>
          <t>A 2019-2026</t>
        </is>
      </c>
      <c r="B8123" s="1" t="n">
        <v>46035</v>
      </c>
      <c r="C8123" s="1" t="n">
        <v>46114</v>
      </c>
      <c r="D8123" t="inlineStr">
        <is>
          <t>DALARNAS LÄN</t>
        </is>
      </c>
      <c r="E8123" t="inlineStr">
        <is>
          <t>FALUN</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44386-2021</t>
        </is>
      </c>
      <c r="B8124" s="1" t="n">
        <v>44435</v>
      </c>
      <c r="C8124" s="1" t="n">
        <v>46114</v>
      </c>
      <c r="D8124" t="inlineStr">
        <is>
          <t>DALARNAS LÄN</t>
        </is>
      </c>
      <c r="E8124" t="inlineStr">
        <is>
          <t>ÄLVDALEN</t>
        </is>
      </c>
      <c r="F8124" t="inlineStr">
        <is>
          <t>Sveaskog</t>
        </is>
      </c>
      <c r="G8124" t="n">
        <v>2.4</v>
      </c>
      <c r="H8124" t="n">
        <v>0</v>
      </c>
      <c r="I8124" t="n">
        <v>0</v>
      </c>
      <c r="J8124" t="n">
        <v>0</v>
      </c>
      <c r="K8124" t="n">
        <v>0</v>
      </c>
      <c r="L8124" t="n">
        <v>0</v>
      </c>
      <c r="M8124" t="n">
        <v>0</v>
      </c>
      <c r="N8124" t="n">
        <v>0</v>
      </c>
      <c r="O8124" t="n">
        <v>0</v>
      </c>
      <c r="P8124" t="n">
        <v>0</v>
      </c>
      <c r="Q8124" t="n">
        <v>0</v>
      </c>
      <c r="R8124" s="2" t="inlineStr"/>
    </row>
    <row r="8125" ht="15" customHeight="1">
      <c r="A8125" t="inlineStr">
        <is>
          <t>A 52159-2023</t>
        </is>
      </c>
      <c r="B8125" s="1" t="n">
        <v>45224</v>
      </c>
      <c r="C8125" s="1" t="n">
        <v>46114</v>
      </c>
      <c r="D8125" t="inlineStr">
        <is>
          <t>DALARNAS LÄN</t>
        </is>
      </c>
      <c r="E8125" t="inlineStr">
        <is>
          <t>GAGNEF</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1166-2025</t>
        </is>
      </c>
      <c r="B8126" s="1" t="n">
        <v>45666.93782407408</v>
      </c>
      <c r="C8126" s="1" t="n">
        <v>46114</v>
      </c>
      <c r="D8126" t="inlineStr">
        <is>
          <t>DALARNAS LÄN</t>
        </is>
      </c>
      <c r="E8126" t="inlineStr">
        <is>
          <t>BORLÄNGE</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10333-2026</t>
        </is>
      </c>
      <c r="B8127" s="1" t="n">
        <v>46076</v>
      </c>
      <c r="C8127" s="1" t="n">
        <v>46114</v>
      </c>
      <c r="D8127" t="inlineStr">
        <is>
          <t>DALARNAS LÄN</t>
        </is>
      </c>
      <c r="E8127" t="inlineStr">
        <is>
          <t>FALUN</t>
        </is>
      </c>
      <c r="F8127" t="inlineStr">
        <is>
          <t>Bergvik skog väst AB</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49159-2023</t>
        </is>
      </c>
      <c r="B8128" s="1" t="n">
        <v>45210</v>
      </c>
      <c r="C8128" s="1" t="n">
        <v>46114</v>
      </c>
      <c r="D8128" t="inlineStr">
        <is>
          <t>DALARNAS LÄN</t>
        </is>
      </c>
      <c r="E8128" t="inlineStr">
        <is>
          <t>MORA</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4105-2026</t>
        </is>
      </c>
      <c r="B8129" s="1" t="n">
        <v>46044</v>
      </c>
      <c r="C8129" s="1" t="n">
        <v>46114</v>
      </c>
      <c r="D8129" t="inlineStr">
        <is>
          <t>DALARNAS LÄN</t>
        </is>
      </c>
      <c r="E8129" t="inlineStr">
        <is>
          <t>GAGNEF</t>
        </is>
      </c>
      <c r="F8129" t="inlineStr">
        <is>
          <t>Bergvik skog väst AB</t>
        </is>
      </c>
      <c r="G8129" t="n">
        <v>5.5</v>
      </c>
      <c r="H8129" t="n">
        <v>0</v>
      </c>
      <c r="I8129" t="n">
        <v>0</v>
      </c>
      <c r="J8129" t="n">
        <v>0</v>
      </c>
      <c r="K8129" t="n">
        <v>0</v>
      </c>
      <c r="L8129" t="n">
        <v>0</v>
      </c>
      <c r="M8129" t="n">
        <v>0</v>
      </c>
      <c r="N8129" t="n">
        <v>0</v>
      </c>
      <c r="O8129" t="n">
        <v>0</v>
      </c>
      <c r="P8129" t="n">
        <v>0</v>
      </c>
      <c r="Q8129" t="n">
        <v>0</v>
      </c>
      <c r="R8129" s="2" t="inlineStr"/>
    </row>
    <row r="8130" ht="15" customHeight="1">
      <c r="A8130" t="inlineStr">
        <is>
          <t>A 8061-2026</t>
        </is>
      </c>
      <c r="B8130" s="1" t="n">
        <v>46063</v>
      </c>
      <c r="C8130" s="1" t="n">
        <v>46114</v>
      </c>
      <c r="D8130" t="inlineStr">
        <is>
          <t>DALARNAS LÄN</t>
        </is>
      </c>
      <c r="E8130" t="inlineStr">
        <is>
          <t>LEKSAND</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11879-2026</t>
        </is>
      </c>
      <c r="B8131" s="1" t="n">
        <v>46085</v>
      </c>
      <c r="C8131" s="1" t="n">
        <v>46114</v>
      </c>
      <c r="D8131" t="inlineStr">
        <is>
          <t>DALARNAS LÄN</t>
        </is>
      </c>
      <c r="E8131" t="inlineStr">
        <is>
          <t>RÄTTVIK</t>
        </is>
      </c>
      <c r="F8131" t="inlineStr">
        <is>
          <t>Bergvik skog väst AB</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1329-2026</t>
        </is>
      </c>
      <c r="B8132" s="1" t="n">
        <v>46029</v>
      </c>
      <c r="C8132" s="1" t="n">
        <v>46114</v>
      </c>
      <c r="D8132" t="inlineStr">
        <is>
          <t>DALARNAS LÄN</t>
        </is>
      </c>
      <c r="E8132" t="inlineStr">
        <is>
          <t>FALUN</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3968-2026</t>
        </is>
      </c>
      <c r="B8133" s="1" t="n">
        <v>46044.35184027778</v>
      </c>
      <c r="C8133" s="1" t="n">
        <v>46114</v>
      </c>
      <c r="D8133" t="inlineStr">
        <is>
          <t>DALARNAS LÄN</t>
        </is>
      </c>
      <c r="E8133" t="inlineStr">
        <is>
          <t>LEKSAND</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67310-2021</t>
        </is>
      </c>
      <c r="B8134" s="1" t="n">
        <v>44523.65627314815</v>
      </c>
      <c r="C8134" s="1" t="n">
        <v>46114</v>
      </c>
      <c r="D8134" t="inlineStr">
        <is>
          <t>DALARNAS LÄN</t>
        </is>
      </c>
      <c r="E8134" t="inlineStr">
        <is>
          <t>MALUNG-SÄLEN</t>
        </is>
      </c>
      <c r="F8134" t="inlineStr">
        <is>
          <t>Kyrkan</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10357-2026</t>
        </is>
      </c>
      <c r="B8135" s="1" t="n">
        <v>46076</v>
      </c>
      <c r="C8135" s="1" t="n">
        <v>46114</v>
      </c>
      <c r="D8135" t="inlineStr">
        <is>
          <t>DALARNAS LÄN</t>
        </is>
      </c>
      <c r="E8135" t="inlineStr">
        <is>
          <t>SÄTER</t>
        </is>
      </c>
      <c r="G8135" t="n">
        <v>1.3</v>
      </c>
      <c r="H8135" t="n">
        <v>0</v>
      </c>
      <c r="I8135" t="n">
        <v>0</v>
      </c>
      <c r="J8135" t="n">
        <v>0</v>
      </c>
      <c r="K8135" t="n">
        <v>0</v>
      </c>
      <c r="L8135" t="n">
        <v>0</v>
      </c>
      <c r="M8135" t="n">
        <v>0</v>
      </c>
      <c r="N8135" t="n">
        <v>0</v>
      </c>
      <c r="O8135" t="n">
        <v>0</v>
      </c>
      <c r="P8135" t="n">
        <v>0</v>
      </c>
      <c r="Q8135" t="n">
        <v>0</v>
      </c>
      <c r="R8135" s="2" t="inlineStr"/>
    </row>
    <row r="8136" ht="15" customHeight="1">
      <c r="A8136" t="inlineStr">
        <is>
          <t>A 10869-2026</t>
        </is>
      </c>
      <c r="B8136" s="1" t="n">
        <v>46078</v>
      </c>
      <c r="C8136" s="1" t="n">
        <v>46114</v>
      </c>
      <c r="D8136" t="inlineStr">
        <is>
          <t>DALARNAS LÄN</t>
        </is>
      </c>
      <c r="E8136" t="inlineStr">
        <is>
          <t>FALUN</t>
        </is>
      </c>
      <c r="F8136" t="inlineStr">
        <is>
          <t>Bergvik skog väst AB</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69306-2021</t>
        </is>
      </c>
      <c r="B8137" s="1" t="n">
        <v>44531.46664351852</v>
      </c>
      <c r="C8137" s="1" t="n">
        <v>46114</v>
      </c>
      <c r="D8137" t="inlineStr">
        <is>
          <t>DALARNAS LÄN</t>
        </is>
      </c>
      <c r="E8137" t="inlineStr">
        <is>
          <t>FALUN</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47971-2023</t>
        </is>
      </c>
      <c r="B8138" s="1" t="n">
        <v>45204.60543981481</v>
      </c>
      <c r="C8138" s="1" t="n">
        <v>46114</v>
      </c>
      <c r="D8138" t="inlineStr">
        <is>
          <t>DALARNAS LÄN</t>
        </is>
      </c>
      <c r="E8138" t="inlineStr">
        <is>
          <t>MALUNG-SÄLEN</t>
        </is>
      </c>
      <c r="F8138" t="inlineStr">
        <is>
          <t>Bergvik skog öst AB</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9740-2026</t>
        </is>
      </c>
      <c r="B8139" s="1" t="n">
        <v>46072</v>
      </c>
      <c r="C8139" s="1" t="n">
        <v>46114</v>
      </c>
      <c r="D8139" t="inlineStr">
        <is>
          <t>DALARNAS LÄN</t>
        </is>
      </c>
      <c r="E8139" t="inlineStr">
        <is>
          <t>MORA</t>
        </is>
      </c>
      <c r="G8139" t="n">
        <v>2</v>
      </c>
      <c r="H8139" t="n">
        <v>0</v>
      </c>
      <c r="I8139" t="n">
        <v>0</v>
      </c>
      <c r="J8139" t="n">
        <v>0</v>
      </c>
      <c r="K8139" t="n">
        <v>0</v>
      </c>
      <c r="L8139" t="n">
        <v>0</v>
      </c>
      <c r="M8139" t="n">
        <v>0</v>
      </c>
      <c r="N8139" t="n">
        <v>0</v>
      </c>
      <c r="O8139" t="n">
        <v>0</v>
      </c>
      <c r="P8139" t="n">
        <v>0</v>
      </c>
      <c r="Q8139" t="n">
        <v>0</v>
      </c>
      <c r="R8139" s="2" t="inlineStr"/>
    </row>
    <row r="8140" ht="15" customHeight="1">
      <c r="A8140" t="inlineStr">
        <is>
          <t>A 4456-2026</t>
        </is>
      </c>
      <c r="B8140" s="1" t="n">
        <v>46044</v>
      </c>
      <c r="C8140" s="1" t="n">
        <v>46114</v>
      </c>
      <c r="D8140" t="inlineStr">
        <is>
          <t>DALARNAS LÄN</t>
        </is>
      </c>
      <c r="E8140" t="inlineStr">
        <is>
          <t>ORSA</t>
        </is>
      </c>
      <c r="G8140" t="n">
        <v>5.9</v>
      </c>
      <c r="H8140" t="n">
        <v>0</v>
      </c>
      <c r="I8140" t="n">
        <v>0</v>
      </c>
      <c r="J8140" t="n">
        <v>0</v>
      </c>
      <c r="K8140" t="n">
        <v>0</v>
      </c>
      <c r="L8140" t="n">
        <v>0</v>
      </c>
      <c r="M8140" t="n">
        <v>0</v>
      </c>
      <c r="N8140" t="n">
        <v>0</v>
      </c>
      <c r="O8140" t="n">
        <v>0</v>
      </c>
      <c r="P8140" t="n">
        <v>0</v>
      </c>
      <c r="Q8140" t="n">
        <v>0</v>
      </c>
      <c r="R8140" s="2" t="inlineStr"/>
    </row>
    <row r="8141" ht="15" customHeight="1">
      <c r="A8141" t="inlineStr">
        <is>
          <t>A 11697-2026</t>
        </is>
      </c>
      <c r="B8141" s="1" t="n">
        <v>46084</v>
      </c>
      <c r="C8141" s="1" t="n">
        <v>46114</v>
      </c>
      <c r="D8141" t="inlineStr">
        <is>
          <t>DALARNAS LÄN</t>
        </is>
      </c>
      <c r="E8141" t="inlineStr">
        <is>
          <t>FALUN</t>
        </is>
      </c>
      <c r="F8141" t="inlineStr">
        <is>
          <t>Kyrkan</t>
        </is>
      </c>
      <c r="G8141" t="n">
        <v>1.2</v>
      </c>
      <c r="H8141" t="n">
        <v>0</v>
      </c>
      <c r="I8141" t="n">
        <v>0</v>
      </c>
      <c r="J8141" t="n">
        <v>0</v>
      </c>
      <c r="K8141" t="n">
        <v>0</v>
      </c>
      <c r="L8141" t="n">
        <v>0</v>
      </c>
      <c r="M8141" t="n">
        <v>0</v>
      </c>
      <c r="N8141" t="n">
        <v>0</v>
      </c>
      <c r="O8141" t="n">
        <v>0</v>
      </c>
      <c r="P8141" t="n">
        <v>0</v>
      </c>
      <c r="Q8141" t="n">
        <v>0</v>
      </c>
      <c r="R8141" s="2" t="inlineStr"/>
    </row>
    <row r="8142" ht="15" customHeight="1">
      <c r="A8142" t="inlineStr">
        <is>
          <t>A 62334-2025</t>
        </is>
      </c>
      <c r="B8142" s="1" t="n">
        <v>46005</v>
      </c>
      <c r="C8142" s="1" t="n">
        <v>46114</v>
      </c>
      <c r="D8142" t="inlineStr">
        <is>
          <t>DALARNAS LÄN</t>
        </is>
      </c>
      <c r="E8142" t="inlineStr">
        <is>
          <t>FALUN</t>
        </is>
      </c>
      <c r="G8142" t="n">
        <v>0.3</v>
      </c>
      <c r="H8142" t="n">
        <v>0</v>
      </c>
      <c r="I8142" t="n">
        <v>0</v>
      </c>
      <c r="J8142" t="n">
        <v>0</v>
      </c>
      <c r="K8142" t="n">
        <v>0</v>
      </c>
      <c r="L8142" t="n">
        <v>0</v>
      </c>
      <c r="M8142" t="n">
        <v>0</v>
      </c>
      <c r="N8142" t="n">
        <v>0</v>
      </c>
      <c r="O8142" t="n">
        <v>0</v>
      </c>
      <c r="P8142" t="n">
        <v>0</v>
      </c>
      <c r="Q8142" t="n">
        <v>0</v>
      </c>
      <c r="R8142" s="2" t="inlineStr"/>
    </row>
    <row r="8143" ht="15" customHeight="1">
      <c r="A8143" t="inlineStr">
        <is>
          <t>A 4026-2026</t>
        </is>
      </c>
      <c r="B8143" s="1" t="n">
        <v>46044.44135416667</v>
      </c>
      <c r="C8143" s="1" t="n">
        <v>46114</v>
      </c>
      <c r="D8143" t="inlineStr">
        <is>
          <t>DALARNAS LÄN</t>
        </is>
      </c>
      <c r="E8143" t="inlineStr">
        <is>
          <t>SÄTER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16768-2025</t>
        </is>
      </c>
      <c r="B8144" s="1" t="n">
        <v>45754</v>
      </c>
      <c r="C8144" s="1" t="n">
        <v>46114</v>
      </c>
      <c r="D8144" t="inlineStr">
        <is>
          <t>DALARNAS LÄN</t>
        </is>
      </c>
      <c r="E8144" t="inlineStr">
        <is>
          <t>LUDVIKA</t>
        </is>
      </c>
      <c r="F8144" t="inlineStr">
        <is>
          <t>Naturvårdsverket</t>
        </is>
      </c>
      <c r="G8144" t="n">
        <v>4.8</v>
      </c>
      <c r="H8144" t="n">
        <v>0</v>
      </c>
      <c r="I8144" t="n">
        <v>0</v>
      </c>
      <c r="J8144" t="n">
        <v>0</v>
      </c>
      <c r="K8144" t="n">
        <v>0</v>
      </c>
      <c r="L8144" t="n">
        <v>0</v>
      </c>
      <c r="M8144" t="n">
        <v>0</v>
      </c>
      <c r="N8144" t="n">
        <v>0</v>
      </c>
      <c r="O8144" t="n">
        <v>0</v>
      </c>
      <c r="P8144" t="n">
        <v>0</v>
      </c>
      <c r="Q8144" t="n">
        <v>0</v>
      </c>
      <c r="R8144" s="2" t="inlineStr"/>
    </row>
    <row r="8145" ht="15" customHeight="1">
      <c r="A8145" t="inlineStr">
        <is>
          <t>A 32703-2024</t>
        </is>
      </c>
      <c r="B8145" s="1" t="n">
        <v>45516.34715277778</v>
      </c>
      <c r="C8145" s="1" t="n">
        <v>46114</v>
      </c>
      <c r="D8145" t="inlineStr">
        <is>
          <t>DALARNAS LÄN</t>
        </is>
      </c>
      <c r="E8145" t="inlineStr">
        <is>
          <t>RÄTTVIK</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52354-2023</t>
        </is>
      </c>
      <c r="B8146" s="1" t="n">
        <v>45224.68380787037</v>
      </c>
      <c r="C8146" s="1" t="n">
        <v>46114</v>
      </c>
      <c r="D8146" t="inlineStr">
        <is>
          <t>DALARNAS LÄN</t>
        </is>
      </c>
      <c r="E8146" t="inlineStr">
        <is>
          <t>SMEDJEBACKEN</t>
        </is>
      </c>
      <c r="G8146" t="n">
        <v>14.9</v>
      </c>
      <c r="H8146" t="n">
        <v>0</v>
      </c>
      <c r="I8146" t="n">
        <v>0</v>
      </c>
      <c r="J8146" t="n">
        <v>0</v>
      </c>
      <c r="K8146" t="n">
        <v>0</v>
      </c>
      <c r="L8146" t="n">
        <v>0</v>
      </c>
      <c r="M8146" t="n">
        <v>0</v>
      </c>
      <c r="N8146" t="n">
        <v>0</v>
      </c>
      <c r="O8146" t="n">
        <v>0</v>
      </c>
      <c r="P8146" t="n">
        <v>0</v>
      </c>
      <c r="Q8146" t="n">
        <v>0</v>
      </c>
      <c r="R8146" s="2" t="inlineStr"/>
    </row>
    <row r="8147" ht="15" customHeight="1">
      <c r="A8147" t="inlineStr">
        <is>
          <t>A 4070-2026</t>
        </is>
      </c>
      <c r="B8147" s="1" t="n">
        <v>46044.5272800926</v>
      </c>
      <c r="C8147" s="1" t="n">
        <v>46114</v>
      </c>
      <c r="D8147" t="inlineStr">
        <is>
          <t>DALARNAS LÄN</t>
        </is>
      </c>
      <c r="E8147" t="inlineStr">
        <is>
          <t>HEDEMORA</t>
        </is>
      </c>
      <c r="G8147" t="n">
        <v>29.2</v>
      </c>
      <c r="H8147" t="n">
        <v>0</v>
      </c>
      <c r="I8147" t="n">
        <v>0</v>
      </c>
      <c r="J8147" t="n">
        <v>0</v>
      </c>
      <c r="K8147" t="n">
        <v>0</v>
      </c>
      <c r="L8147" t="n">
        <v>0</v>
      </c>
      <c r="M8147" t="n">
        <v>0</v>
      </c>
      <c r="N8147" t="n">
        <v>0</v>
      </c>
      <c r="O8147" t="n">
        <v>0</v>
      </c>
      <c r="P8147" t="n">
        <v>0</v>
      </c>
      <c r="Q8147" t="n">
        <v>0</v>
      </c>
      <c r="R8147" s="2" t="inlineStr"/>
    </row>
    <row r="8148" ht="15" customHeight="1">
      <c r="A8148" t="inlineStr">
        <is>
          <t>A 12304-2026</t>
        </is>
      </c>
      <c r="B8148" s="1" t="n">
        <v>46087.57564814815</v>
      </c>
      <c r="C8148" s="1" t="n">
        <v>46114</v>
      </c>
      <c r="D8148" t="inlineStr">
        <is>
          <t>DALARNAS LÄN</t>
        </is>
      </c>
      <c r="E8148" t="inlineStr">
        <is>
          <t>LEKSAND</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5264-2026</t>
        </is>
      </c>
      <c r="B8149" s="1" t="n">
        <v>46050</v>
      </c>
      <c r="C8149" s="1" t="n">
        <v>46114</v>
      </c>
      <c r="D8149" t="inlineStr">
        <is>
          <t>DALARNAS LÄN</t>
        </is>
      </c>
      <c r="E8149" t="inlineStr">
        <is>
          <t>FALUN</t>
        </is>
      </c>
      <c r="F8149" t="inlineStr">
        <is>
          <t>Kyrkan</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10132-2026</t>
        </is>
      </c>
      <c r="B8150" s="1" t="n">
        <v>46076</v>
      </c>
      <c r="C8150" s="1" t="n">
        <v>46114</v>
      </c>
      <c r="D8150" t="inlineStr">
        <is>
          <t>DALARNAS LÄN</t>
        </is>
      </c>
      <c r="E8150" t="inlineStr">
        <is>
          <t>FALUN</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10729-2026</t>
        </is>
      </c>
      <c r="B8151" s="1" t="n">
        <v>46078</v>
      </c>
      <c r="C8151" s="1" t="n">
        <v>46114</v>
      </c>
      <c r="D8151" t="inlineStr">
        <is>
          <t>DALARNAS LÄN</t>
        </is>
      </c>
      <c r="E8151" t="inlineStr">
        <is>
          <t>FALUN</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4199-2026</t>
        </is>
      </c>
      <c r="B8152" s="1" t="n">
        <v>46044.69938657407</v>
      </c>
      <c r="C8152" s="1" t="n">
        <v>46114</v>
      </c>
      <c r="D8152" t="inlineStr">
        <is>
          <t>DALARNAS LÄN</t>
        </is>
      </c>
      <c r="E8152" t="inlineStr">
        <is>
          <t>ÄLVDALEN</t>
        </is>
      </c>
      <c r="G8152" t="n">
        <v>1.2</v>
      </c>
      <c r="H8152" t="n">
        <v>0</v>
      </c>
      <c r="I8152" t="n">
        <v>0</v>
      </c>
      <c r="J8152" t="n">
        <v>0</v>
      </c>
      <c r="K8152" t="n">
        <v>0</v>
      </c>
      <c r="L8152" t="n">
        <v>0</v>
      </c>
      <c r="M8152" t="n">
        <v>0</v>
      </c>
      <c r="N8152" t="n">
        <v>0</v>
      </c>
      <c r="O8152" t="n">
        <v>0</v>
      </c>
      <c r="P8152" t="n">
        <v>0</v>
      </c>
      <c r="Q8152" t="n">
        <v>0</v>
      </c>
      <c r="R8152" s="2" t="inlineStr"/>
    </row>
    <row r="8153" ht="15" customHeight="1">
      <c r="A8153" t="inlineStr">
        <is>
          <t>A 1771-2026</t>
        </is>
      </c>
      <c r="B8153" s="1" t="n">
        <v>46034.70540509259</v>
      </c>
      <c r="C8153" s="1" t="n">
        <v>46114</v>
      </c>
      <c r="D8153" t="inlineStr">
        <is>
          <t>DALARNAS LÄN</t>
        </is>
      </c>
      <c r="E8153" t="inlineStr">
        <is>
          <t>MALUNG-SÄLEN</t>
        </is>
      </c>
      <c r="G8153" t="n">
        <v>13.2</v>
      </c>
      <c r="H8153" t="n">
        <v>0</v>
      </c>
      <c r="I8153" t="n">
        <v>0</v>
      </c>
      <c r="J8153" t="n">
        <v>0</v>
      </c>
      <c r="K8153" t="n">
        <v>0</v>
      </c>
      <c r="L8153" t="n">
        <v>0</v>
      </c>
      <c r="M8153" t="n">
        <v>0</v>
      </c>
      <c r="N8153" t="n">
        <v>0</v>
      </c>
      <c r="O8153" t="n">
        <v>0</v>
      </c>
      <c r="P8153" t="n">
        <v>0</v>
      </c>
      <c r="Q8153" t="n">
        <v>0</v>
      </c>
      <c r="R8153" s="2" t="inlineStr"/>
    </row>
    <row r="8154" ht="15" customHeight="1">
      <c r="A8154" t="inlineStr">
        <is>
          <t>A 9709-2026</t>
        </is>
      </c>
      <c r="B8154" s="1" t="n">
        <v>46072</v>
      </c>
      <c r="C8154" s="1" t="n">
        <v>46114</v>
      </c>
      <c r="D8154" t="inlineStr">
        <is>
          <t>DALARNAS LÄN</t>
        </is>
      </c>
      <c r="E8154" t="inlineStr">
        <is>
          <t>LUDVIKA</t>
        </is>
      </c>
      <c r="F8154" t="inlineStr">
        <is>
          <t>Bergvik skog väst AB</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38492-2021</t>
        </is>
      </c>
      <c r="B8155" s="1" t="n">
        <v>44405</v>
      </c>
      <c r="C8155" s="1" t="n">
        <v>46114</v>
      </c>
      <c r="D8155" t="inlineStr">
        <is>
          <t>DALARNAS LÄN</t>
        </is>
      </c>
      <c r="E8155" t="inlineStr">
        <is>
          <t>MALUNG-SÄLEN</t>
        </is>
      </c>
      <c r="F8155" t="inlineStr">
        <is>
          <t>Naturvårdsverket</t>
        </is>
      </c>
      <c r="G8155" t="n">
        <v>5.2</v>
      </c>
      <c r="H8155" t="n">
        <v>0</v>
      </c>
      <c r="I8155" t="n">
        <v>0</v>
      </c>
      <c r="J8155" t="n">
        <v>0</v>
      </c>
      <c r="K8155" t="n">
        <v>0</v>
      </c>
      <c r="L8155" t="n">
        <v>0</v>
      </c>
      <c r="M8155" t="n">
        <v>0</v>
      </c>
      <c r="N8155" t="n">
        <v>0</v>
      </c>
      <c r="O8155" t="n">
        <v>0</v>
      </c>
      <c r="P8155" t="n">
        <v>0</v>
      </c>
      <c r="Q8155" t="n">
        <v>0</v>
      </c>
      <c r="R8155" s="2" t="inlineStr"/>
    </row>
    <row r="8156" ht="15" customHeight="1">
      <c r="A8156" t="inlineStr">
        <is>
          <t>A 29084-2023</t>
        </is>
      </c>
      <c r="B8156" s="1" t="n">
        <v>45105</v>
      </c>
      <c r="C8156" s="1" t="n">
        <v>46114</v>
      </c>
      <c r="D8156" t="inlineStr">
        <is>
          <t>DALARNAS LÄN</t>
        </is>
      </c>
      <c r="E8156" t="inlineStr">
        <is>
          <t>FALUN</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29141-2023</t>
        </is>
      </c>
      <c r="B8157" s="1" t="n">
        <v>45105</v>
      </c>
      <c r="C8157" s="1" t="n">
        <v>46114</v>
      </c>
      <c r="D8157" t="inlineStr">
        <is>
          <t>DALARNAS LÄN</t>
        </is>
      </c>
      <c r="E8157" t="inlineStr">
        <is>
          <t>RÄTTVIK</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10667-2026</t>
        </is>
      </c>
      <c r="B8158" s="1" t="n">
        <v>46078</v>
      </c>
      <c r="C8158" s="1" t="n">
        <v>46114</v>
      </c>
      <c r="D8158" t="inlineStr">
        <is>
          <t>DALARNAS LÄN</t>
        </is>
      </c>
      <c r="E8158" t="inlineStr">
        <is>
          <t>RÄTTVIK</t>
        </is>
      </c>
      <c r="F8158" t="inlineStr">
        <is>
          <t>Bergvik skog väst AB</t>
        </is>
      </c>
      <c r="G8158" t="n">
        <v>71.3</v>
      </c>
      <c r="H8158" t="n">
        <v>0</v>
      </c>
      <c r="I8158" t="n">
        <v>0</v>
      </c>
      <c r="J8158" t="n">
        <v>0</v>
      </c>
      <c r="K8158" t="n">
        <v>0</v>
      </c>
      <c r="L8158" t="n">
        <v>0</v>
      </c>
      <c r="M8158" t="n">
        <v>0</v>
      </c>
      <c r="N8158" t="n">
        <v>0</v>
      </c>
      <c r="O8158" t="n">
        <v>0</v>
      </c>
      <c r="P8158" t="n">
        <v>0</v>
      </c>
      <c r="Q8158" t="n">
        <v>0</v>
      </c>
      <c r="R8158" s="2" t="inlineStr"/>
    </row>
    <row r="8159" ht="15" customHeight="1">
      <c r="A8159" t="inlineStr">
        <is>
          <t>A 29188-2023</t>
        </is>
      </c>
      <c r="B8159" s="1" t="n">
        <v>45105.54270833333</v>
      </c>
      <c r="C8159" s="1" t="n">
        <v>46114</v>
      </c>
      <c r="D8159" t="inlineStr">
        <is>
          <t>DALARNAS LÄN</t>
        </is>
      </c>
      <c r="E8159" t="inlineStr">
        <is>
          <t>MORA</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4304-2026</t>
        </is>
      </c>
      <c r="B8160" s="1" t="n">
        <v>46045</v>
      </c>
      <c r="C8160" s="1" t="n">
        <v>46114</v>
      </c>
      <c r="D8160" t="inlineStr">
        <is>
          <t>DALARNAS LÄN</t>
        </is>
      </c>
      <c r="E8160" t="inlineStr">
        <is>
          <t>RÄTTVIK</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4476-2026</t>
        </is>
      </c>
      <c r="B8161" s="1" t="n">
        <v>46045.66344907408</v>
      </c>
      <c r="C8161" s="1" t="n">
        <v>46114</v>
      </c>
      <c r="D8161" t="inlineStr">
        <is>
          <t>DALARNAS LÄN</t>
        </is>
      </c>
      <c r="E8161" t="inlineStr">
        <is>
          <t>LEKSAND</t>
        </is>
      </c>
      <c r="G8161" t="n">
        <v>2.3</v>
      </c>
      <c r="H8161" t="n">
        <v>0</v>
      </c>
      <c r="I8161" t="n">
        <v>0</v>
      </c>
      <c r="J8161" t="n">
        <v>0</v>
      </c>
      <c r="K8161" t="n">
        <v>0</v>
      </c>
      <c r="L8161" t="n">
        <v>0</v>
      </c>
      <c r="M8161" t="n">
        <v>0</v>
      </c>
      <c r="N8161" t="n">
        <v>0</v>
      </c>
      <c r="O8161" t="n">
        <v>0</v>
      </c>
      <c r="P8161" t="n">
        <v>0</v>
      </c>
      <c r="Q8161" t="n">
        <v>0</v>
      </c>
      <c r="R8161" s="2" t="inlineStr"/>
    </row>
    <row r="8162" ht="15" customHeight="1">
      <c r="A8162" t="inlineStr">
        <is>
          <t>A 9981-2026</t>
        </is>
      </c>
      <c r="B8162" s="1" t="n">
        <v>46073</v>
      </c>
      <c r="C8162" s="1" t="n">
        <v>46114</v>
      </c>
      <c r="D8162" t="inlineStr">
        <is>
          <t>DALARNAS LÄN</t>
        </is>
      </c>
      <c r="E8162" t="inlineStr">
        <is>
          <t>RÄTTVIK</t>
        </is>
      </c>
      <c r="F8162" t="inlineStr">
        <is>
          <t>Bergvik skog väst AB</t>
        </is>
      </c>
      <c r="G8162" t="n">
        <v>40.1</v>
      </c>
      <c r="H8162" t="n">
        <v>0</v>
      </c>
      <c r="I8162" t="n">
        <v>0</v>
      </c>
      <c r="J8162" t="n">
        <v>0</v>
      </c>
      <c r="K8162" t="n">
        <v>0</v>
      </c>
      <c r="L8162" t="n">
        <v>0</v>
      </c>
      <c r="M8162" t="n">
        <v>0</v>
      </c>
      <c r="N8162" t="n">
        <v>0</v>
      </c>
      <c r="O8162" t="n">
        <v>0</v>
      </c>
      <c r="P8162" t="n">
        <v>0</v>
      </c>
      <c r="Q8162" t="n">
        <v>0</v>
      </c>
      <c r="R8162" s="2" t="inlineStr"/>
    </row>
    <row r="8163" ht="15" customHeight="1">
      <c r="A8163" t="inlineStr">
        <is>
          <t>A 9992-2026</t>
        </is>
      </c>
      <c r="B8163" s="1" t="n">
        <v>46073</v>
      </c>
      <c r="C8163" s="1" t="n">
        <v>46114</v>
      </c>
      <c r="D8163" t="inlineStr">
        <is>
          <t>DALARNAS LÄN</t>
        </is>
      </c>
      <c r="E8163" t="inlineStr">
        <is>
          <t>FALUN</t>
        </is>
      </c>
      <c r="F8163" t="inlineStr">
        <is>
          <t>Kyrkan</t>
        </is>
      </c>
      <c r="G8163" t="n">
        <v>6.2</v>
      </c>
      <c r="H8163" t="n">
        <v>0</v>
      </c>
      <c r="I8163" t="n">
        <v>0</v>
      </c>
      <c r="J8163" t="n">
        <v>0</v>
      </c>
      <c r="K8163" t="n">
        <v>0</v>
      </c>
      <c r="L8163" t="n">
        <v>0</v>
      </c>
      <c r="M8163" t="n">
        <v>0</v>
      </c>
      <c r="N8163" t="n">
        <v>0</v>
      </c>
      <c r="O8163" t="n">
        <v>0</v>
      </c>
      <c r="P8163" t="n">
        <v>0</v>
      </c>
      <c r="Q8163" t="n">
        <v>0</v>
      </c>
      <c r="R8163" s="2" t="inlineStr"/>
    </row>
    <row r="8164" ht="15" customHeight="1">
      <c r="A8164" t="inlineStr">
        <is>
          <t>A 9999-2026</t>
        </is>
      </c>
      <c r="B8164" s="1" t="n">
        <v>46073</v>
      </c>
      <c r="C8164" s="1" t="n">
        <v>46114</v>
      </c>
      <c r="D8164" t="inlineStr">
        <is>
          <t>DALARNAS LÄN</t>
        </is>
      </c>
      <c r="E8164" t="inlineStr">
        <is>
          <t>RÄTTVIK</t>
        </is>
      </c>
      <c r="F8164" t="inlineStr">
        <is>
          <t>Bergvik skog väst AB</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3978-2026</t>
        </is>
      </c>
      <c r="B8165" s="1" t="n">
        <v>46044.36024305555</v>
      </c>
      <c r="C8165" s="1" t="n">
        <v>46114</v>
      </c>
      <c r="D8165" t="inlineStr">
        <is>
          <t>DALARNAS LÄN</t>
        </is>
      </c>
      <c r="E8165" t="inlineStr">
        <is>
          <t>LEKSAND</t>
        </is>
      </c>
      <c r="G8165" t="n">
        <v>1.2</v>
      </c>
      <c r="H8165" t="n">
        <v>0</v>
      </c>
      <c r="I8165" t="n">
        <v>0</v>
      </c>
      <c r="J8165" t="n">
        <v>0</v>
      </c>
      <c r="K8165" t="n">
        <v>0</v>
      </c>
      <c r="L8165" t="n">
        <v>0</v>
      </c>
      <c r="M8165" t="n">
        <v>0</v>
      </c>
      <c r="N8165" t="n">
        <v>0</v>
      </c>
      <c r="O8165" t="n">
        <v>0</v>
      </c>
      <c r="P8165" t="n">
        <v>0</v>
      </c>
      <c r="Q8165" t="n">
        <v>0</v>
      </c>
      <c r="R8165" s="2" t="inlineStr"/>
    </row>
    <row r="8166" ht="15" customHeight="1">
      <c r="A8166" t="inlineStr">
        <is>
          <t>A 4177-2026</t>
        </is>
      </c>
      <c r="B8166" s="1" t="n">
        <v>46044.67987268518</v>
      </c>
      <c r="C8166" s="1" t="n">
        <v>46114</v>
      </c>
      <c r="D8166" t="inlineStr">
        <is>
          <t>DALARNAS LÄN</t>
        </is>
      </c>
      <c r="E8166" t="inlineStr">
        <is>
          <t>MALUNG-SÄLEN</t>
        </is>
      </c>
      <c r="G8166" t="n">
        <v>7.9</v>
      </c>
      <c r="H8166" t="n">
        <v>0</v>
      </c>
      <c r="I8166" t="n">
        <v>0</v>
      </c>
      <c r="J8166" t="n">
        <v>0</v>
      </c>
      <c r="K8166" t="n">
        <v>0</v>
      </c>
      <c r="L8166" t="n">
        <v>0</v>
      </c>
      <c r="M8166" t="n">
        <v>0</v>
      </c>
      <c r="N8166" t="n">
        <v>0</v>
      </c>
      <c r="O8166" t="n">
        <v>0</v>
      </c>
      <c r="P8166" t="n">
        <v>0</v>
      </c>
      <c r="Q8166" t="n">
        <v>0</v>
      </c>
      <c r="R8166" s="2" t="inlineStr"/>
    </row>
    <row r="8167" ht="15" customHeight="1">
      <c r="A8167" t="inlineStr">
        <is>
          <t>A 4184-2026</t>
        </is>
      </c>
      <c r="B8167" s="1" t="n">
        <v>46044</v>
      </c>
      <c r="C8167" s="1" t="n">
        <v>46114</v>
      </c>
      <c r="D8167" t="inlineStr">
        <is>
          <t>DALARNAS LÄN</t>
        </is>
      </c>
      <c r="E8167" t="inlineStr">
        <is>
          <t>LEKSAND</t>
        </is>
      </c>
      <c r="G8167" t="n">
        <v>6</v>
      </c>
      <c r="H8167" t="n">
        <v>0</v>
      </c>
      <c r="I8167" t="n">
        <v>0</v>
      </c>
      <c r="J8167" t="n">
        <v>0</v>
      </c>
      <c r="K8167" t="n">
        <v>0</v>
      </c>
      <c r="L8167" t="n">
        <v>0</v>
      </c>
      <c r="M8167" t="n">
        <v>0</v>
      </c>
      <c r="N8167" t="n">
        <v>0</v>
      </c>
      <c r="O8167" t="n">
        <v>0</v>
      </c>
      <c r="P8167" t="n">
        <v>0</v>
      </c>
      <c r="Q8167" t="n">
        <v>0</v>
      </c>
      <c r="R8167" s="2" t="inlineStr"/>
    </row>
    <row r="8168" ht="15" customHeight="1">
      <c r="A8168" t="inlineStr">
        <is>
          <t>A 4213-2026</t>
        </is>
      </c>
      <c r="B8168" s="1" t="n">
        <v>46044.741875</v>
      </c>
      <c r="C8168" s="1" t="n">
        <v>46114</v>
      </c>
      <c r="D8168" t="inlineStr">
        <is>
          <t>DALARNAS LÄN</t>
        </is>
      </c>
      <c r="E8168" t="inlineStr">
        <is>
          <t>MORA</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4019-2026</t>
        </is>
      </c>
      <c r="B8169" s="1" t="n">
        <v>46044.42516203703</v>
      </c>
      <c r="C8169" s="1" t="n">
        <v>46114</v>
      </c>
      <c r="D8169" t="inlineStr">
        <is>
          <t>DALARNAS LÄN</t>
        </is>
      </c>
      <c r="E8169" t="inlineStr">
        <is>
          <t>MALUNG-SÄLEN</t>
        </is>
      </c>
      <c r="G8169" t="n">
        <v>4</v>
      </c>
      <c r="H8169" t="n">
        <v>0</v>
      </c>
      <c r="I8169" t="n">
        <v>0</v>
      </c>
      <c r="J8169" t="n">
        <v>0</v>
      </c>
      <c r="K8169" t="n">
        <v>0</v>
      </c>
      <c r="L8169" t="n">
        <v>0</v>
      </c>
      <c r="M8169" t="n">
        <v>0</v>
      </c>
      <c r="N8169" t="n">
        <v>0</v>
      </c>
      <c r="O8169" t="n">
        <v>0</v>
      </c>
      <c r="P8169" t="n">
        <v>0</v>
      </c>
      <c r="Q8169" t="n">
        <v>0</v>
      </c>
      <c r="R8169" s="2" t="inlineStr"/>
    </row>
    <row r="8170" ht="15" customHeight="1">
      <c r="A8170" t="inlineStr">
        <is>
          <t>A 4020-2026</t>
        </is>
      </c>
      <c r="B8170" s="1" t="n">
        <v>46044</v>
      </c>
      <c r="C8170" s="1" t="n">
        <v>46114</v>
      </c>
      <c r="D8170" t="inlineStr">
        <is>
          <t>DALARNAS LÄN</t>
        </is>
      </c>
      <c r="E8170" t="inlineStr">
        <is>
          <t>FALUN</t>
        </is>
      </c>
      <c r="F8170" t="inlineStr">
        <is>
          <t>Kyrkan</t>
        </is>
      </c>
      <c r="G8170" t="n">
        <v>21.5</v>
      </c>
      <c r="H8170" t="n">
        <v>0</v>
      </c>
      <c r="I8170" t="n">
        <v>0</v>
      </c>
      <c r="J8170" t="n">
        <v>0</v>
      </c>
      <c r="K8170" t="n">
        <v>0</v>
      </c>
      <c r="L8170" t="n">
        <v>0</v>
      </c>
      <c r="M8170" t="n">
        <v>0</v>
      </c>
      <c r="N8170" t="n">
        <v>0</v>
      </c>
      <c r="O8170" t="n">
        <v>0</v>
      </c>
      <c r="P8170" t="n">
        <v>0</v>
      </c>
      <c r="Q8170" t="n">
        <v>0</v>
      </c>
      <c r="R8170" s="2" t="inlineStr"/>
    </row>
    <row r="8171" ht="15" customHeight="1">
      <c r="A8171" t="inlineStr">
        <is>
          <t>A 12610-2026</t>
        </is>
      </c>
      <c r="B8171" s="1" t="n">
        <v>46091.38306712963</v>
      </c>
      <c r="C8171" s="1" t="n">
        <v>46114</v>
      </c>
      <c r="D8171" t="inlineStr">
        <is>
          <t>DALARNAS LÄN</t>
        </is>
      </c>
      <c r="E8171" t="inlineStr">
        <is>
          <t>MORA</t>
        </is>
      </c>
      <c r="G8171" t="n">
        <v>8.1</v>
      </c>
      <c r="H8171" t="n">
        <v>0</v>
      </c>
      <c r="I8171" t="n">
        <v>0</v>
      </c>
      <c r="J8171" t="n">
        <v>0</v>
      </c>
      <c r="K8171" t="n">
        <v>0</v>
      </c>
      <c r="L8171" t="n">
        <v>0</v>
      </c>
      <c r="M8171" t="n">
        <v>0</v>
      </c>
      <c r="N8171" t="n">
        <v>0</v>
      </c>
      <c r="O8171" t="n">
        <v>0</v>
      </c>
      <c r="P8171" t="n">
        <v>0</v>
      </c>
      <c r="Q8171" t="n">
        <v>0</v>
      </c>
      <c r="R8171" s="2" t="inlineStr"/>
    </row>
    <row r="8172" ht="15" customHeight="1">
      <c r="A8172" t="inlineStr">
        <is>
          <t>A 5970-2022</t>
        </is>
      </c>
      <c r="B8172" s="1" t="n">
        <v>44599</v>
      </c>
      <c r="C8172" s="1" t="n">
        <v>46114</v>
      </c>
      <c r="D8172" t="inlineStr">
        <is>
          <t>DALARNAS LÄN</t>
        </is>
      </c>
      <c r="E8172" t="inlineStr">
        <is>
          <t>LUDVIKA</t>
        </is>
      </c>
      <c r="G8172" t="n">
        <v>8.4</v>
      </c>
      <c r="H8172" t="n">
        <v>0</v>
      </c>
      <c r="I8172" t="n">
        <v>0</v>
      </c>
      <c r="J8172" t="n">
        <v>0</v>
      </c>
      <c r="K8172" t="n">
        <v>0</v>
      </c>
      <c r="L8172" t="n">
        <v>0</v>
      </c>
      <c r="M8172" t="n">
        <v>0</v>
      </c>
      <c r="N8172" t="n">
        <v>0</v>
      </c>
      <c r="O8172" t="n">
        <v>0</v>
      </c>
      <c r="P8172" t="n">
        <v>0</v>
      </c>
      <c r="Q8172" t="n">
        <v>0</v>
      </c>
      <c r="R8172" s="2" t="inlineStr"/>
    </row>
    <row r="8173" ht="15" customHeight="1">
      <c r="A8173" t="inlineStr">
        <is>
          <t>A 12496-2026</t>
        </is>
      </c>
      <c r="B8173" s="1" t="n">
        <v>46090.57137731482</v>
      </c>
      <c r="C8173" s="1" t="n">
        <v>46114</v>
      </c>
      <c r="D8173" t="inlineStr">
        <is>
          <t>DALARNAS LÄN</t>
        </is>
      </c>
      <c r="E8173" t="inlineStr">
        <is>
          <t>LEKSAND</t>
        </is>
      </c>
      <c r="F8173" t="inlineStr">
        <is>
          <t>Bergvik skog väst AB</t>
        </is>
      </c>
      <c r="G8173" t="n">
        <v>13.5</v>
      </c>
      <c r="H8173" t="n">
        <v>0</v>
      </c>
      <c r="I8173" t="n">
        <v>0</v>
      </c>
      <c r="J8173" t="n">
        <v>0</v>
      </c>
      <c r="K8173" t="n">
        <v>0</v>
      </c>
      <c r="L8173" t="n">
        <v>0</v>
      </c>
      <c r="M8173" t="n">
        <v>0</v>
      </c>
      <c r="N8173" t="n">
        <v>0</v>
      </c>
      <c r="O8173" t="n">
        <v>0</v>
      </c>
      <c r="P8173" t="n">
        <v>0</v>
      </c>
      <c r="Q8173" t="n">
        <v>0</v>
      </c>
      <c r="R8173" s="2" t="inlineStr"/>
    </row>
    <row r="8174" ht="15" customHeight="1">
      <c r="A8174" t="inlineStr">
        <is>
          <t>A 55881-2023</t>
        </is>
      </c>
      <c r="B8174" s="1" t="n">
        <v>45239</v>
      </c>
      <c r="C8174" s="1" t="n">
        <v>46114</v>
      </c>
      <c r="D8174" t="inlineStr">
        <is>
          <t>DALARNAS LÄN</t>
        </is>
      </c>
      <c r="E8174" t="inlineStr">
        <is>
          <t>HEDEMORA</t>
        </is>
      </c>
      <c r="F8174" t="inlineStr">
        <is>
          <t>Sveaskog</t>
        </is>
      </c>
      <c r="G8174" t="n">
        <v>3.9</v>
      </c>
      <c r="H8174" t="n">
        <v>0</v>
      </c>
      <c r="I8174" t="n">
        <v>0</v>
      </c>
      <c r="J8174" t="n">
        <v>0</v>
      </c>
      <c r="K8174" t="n">
        <v>0</v>
      </c>
      <c r="L8174" t="n">
        <v>0</v>
      </c>
      <c r="M8174" t="n">
        <v>0</v>
      </c>
      <c r="N8174" t="n">
        <v>0</v>
      </c>
      <c r="O8174" t="n">
        <v>0</v>
      </c>
      <c r="P8174" t="n">
        <v>0</v>
      </c>
      <c r="Q8174" t="n">
        <v>0</v>
      </c>
      <c r="R8174" s="2" t="inlineStr"/>
    </row>
    <row r="8175" ht="15" customHeight="1">
      <c r="A8175" t="inlineStr">
        <is>
          <t>A 59445-2024</t>
        </is>
      </c>
      <c r="B8175" s="1" t="n">
        <v>45638.45646990741</v>
      </c>
      <c r="C8175" s="1" t="n">
        <v>46114</v>
      </c>
      <c r="D8175" t="inlineStr">
        <is>
          <t>DALARNAS LÄN</t>
        </is>
      </c>
      <c r="E8175" t="inlineStr">
        <is>
          <t>SÄTER</t>
        </is>
      </c>
      <c r="G8175" t="n">
        <v>0.7</v>
      </c>
      <c r="H8175" t="n">
        <v>0</v>
      </c>
      <c r="I8175" t="n">
        <v>0</v>
      </c>
      <c r="J8175" t="n">
        <v>0</v>
      </c>
      <c r="K8175" t="n">
        <v>0</v>
      </c>
      <c r="L8175" t="n">
        <v>0</v>
      </c>
      <c r="M8175" t="n">
        <v>0</v>
      </c>
      <c r="N8175" t="n">
        <v>0</v>
      </c>
      <c r="O8175" t="n">
        <v>0</v>
      </c>
      <c r="P8175" t="n">
        <v>0</v>
      </c>
      <c r="Q8175" t="n">
        <v>0</v>
      </c>
      <c r="R8175" s="2" t="inlineStr"/>
    </row>
    <row r="8176" ht="15" customHeight="1">
      <c r="A8176" t="inlineStr">
        <is>
          <t>A 3552-2026</t>
        </is>
      </c>
      <c r="B8176" s="1" t="n">
        <v>46042</v>
      </c>
      <c r="C8176" s="1" t="n">
        <v>46114</v>
      </c>
      <c r="D8176" t="inlineStr">
        <is>
          <t>DALARNAS LÄN</t>
        </is>
      </c>
      <c r="E8176" t="inlineStr">
        <is>
          <t>FALUN</t>
        </is>
      </c>
      <c r="G8176" t="n">
        <v>3.8</v>
      </c>
      <c r="H8176" t="n">
        <v>0</v>
      </c>
      <c r="I8176" t="n">
        <v>0</v>
      </c>
      <c r="J8176" t="n">
        <v>0</v>
      </c>
      <c r="K8176" t="n">
        <v>0</v>
      </c>
      <c r="L8176" t="n">
        <v>0</v>
      </c>
      <c r="M8176" t="n">
        <v>0</v>
      </c>
      <c r="N8176" t="n">
        <v>0</v>
      </c>
      <c r="O8176" t="n">
        <v>0</v>
      </c>
      <c r="P8176" t="n">
        <v>0</v>
      </c>
      <c r="Q8176" t="n">
        <v>0</v>
      </c>
      <c r="R8176" s="2" t="inlineStr"/>
    </row>
    <row r="8177" ht="15" customHeight="1">
      <c r="A8177" t="inlineStr">
        <is>
          <t>A 10940-2026</t>
        </is>
      </c>
      <c r="B8177" s="1" t="n">
        <v>46079</v>
      </c>
      <c r="C8177" s="1" t="n">
        <v>46114</v>
      </c>
      <c r="D8177" t="inlineStr">
        <is>
          <t>DALARNAS LÄN</t>
        </is>
      </c>
      <c r="E8177" t="inlineStr">
        <is>
          <t>FALUN</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36450-2023</t>
        </is>
      </c>
      <c r="B8178" s="1" t="n">
        <v>45152.64842592592</v>
      </c>
      <c r="C8178" s="1" t="n">
        <v>46114</v>
      </c>
      <c r="D8178" t="inlineStr">
        <is>
          <t>DALARNAS LÄN</t>
        </is>
      </c>
      <c r="E8178" t="inlineStr">
        <is>
          <t>LEKSAND</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4644-2026</t>
        </is>
      </c>
      <c r="B8179" s="1" t="n">
        <v>46048</v>
      </c>
      <c r="C8179" s="1" t="n">
        <v>46114</v>
      </c>
      <c r="D8179" t="inlineStr">
        <is>
          <t>DALARNAS LÄN</t>
        </is>
      </c>
      <c r="E8179" t="inlineStr">
        <is>
          <t>RÄTTVIK</t>
        </is>
      </c>
      <c r="G8179" t="n">
        <v>13.1</v>
      </c>
      <c r="H8179" t="n">
        <v>0</v>
      </c>
      <c r="I8179" t="n">
        <v>0</v>
      </c>
      <c r="J8179" t="n">
        <v>0</v>
      </c>
      <c r="K8179" t="n">
        <v>0</v>
      </c>
      <c r="L8179" t="n">
        <v>0</v>
      </c>
      <c r="M8179" t="n">
        <v>0</v>
      </c>
      <c r="N8179" t="n">
        <v>0</v>
      </c>
      <c r="O8179" t="n">
        <v>0</v>
      </c>
      <c r="P8179" t="n">
        <v>0</v>
      </c>
      <c r="Q8179" t="n">
        <v>0</v>
      </c>
      <c r="R8179" s="2" t="inlineStr"/>
    </row>
    <row r="8180" ht="15" customHeight="1">
      <c r="A8180" t="inlineStr">
        <is>
          <t>A 26527-2022</t>
        </is>
      </c>
      <c r="B8180" s="1" t="n">
        <v>44739</v>
      </c>
      <c r="C8180" s="1" t="n">
        <v>46114</v>
      </c>
      <c r="D8180" t="inlineStr">
        <is>
          <t>DALARNAS LÄN</t>
        </is>
      </c>
      <c r="E8180" t="inlineStr">
        <is>
          <t>AVESTA</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4883-2026</t>
        </is>
      </c>
      <c r="B8181" s="1" t="n">
        <v>46048.65886574074</v>
      </c>
      <c r="C8181" s="1" t="n">
        <v>46114</v>
      </c>
      <c r="D8181" t="inlineStr">
        <is>
          <t>DALARNAS LÄN</t>
        </is>
      </c>
      <c r="E8181" t="inlineStr">
        <is>
          <t>FALUN</t>
        </is>
      </c>
      <c r="G8181" t="n">
        <v>3.6</v>
      </c>
      <c r="H8181" t="n">
        <v>0</v>
      </c>
      <c r="I8181" t="n">
        <v>0</v>
      </c>
      <c r="J8181" t="n">
        <v>0</v>
      </c>
      <c r="K8181" t="n">
        <v>0</v>
      </c>
      <c r="L8181" t="n">
        <v>0</v>
      </c>
      <c r="M8181" t="n">
        <v>0</v>
      </c>
      <c r="N8181" t="n">
        <v>0</v>
      </c>
      <c r="O8181" t="n">
        <v>0</v>
      </c>
      <c r="P8181" t="n">
        <v>0</v>
      </c>
      <c r="Q8181" t="n">
        <v>0</v>
      </c>
      <c r="R8181" s="2" t="inlineStr"/>
    </row>
    <row r="8182" ht="15" customHeight="1">
      <c r="A8182" t="inlineStr">
        <is>
          <t>A 4894-2026</t>
        </is>
      </c>
      <c r="B8182" s="1" t="n">
        <v>46048.67612268519</v>
      </c>
      <c r="C8182" s="1" t="n">
        <v>46114</v>
      </c>
      <c r="D8182" t="inlineStr">
        <is>
          <t>DALARNAS LÄN</t>
        </is>
      </c>
      <c r="E8182" t="inlineStr">
        <is>
          <t>FALUN</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33488-2024</t>
        </is>
      </c>
      <c r="B8183" s="1" t="n">
        <v>45519.61466435185</v>
      </c>
      <c r="C8183" s="1" t="n">
        <v>46114</v>
      </c>
      <c r="D8183" t="inlineStr">
        <is>
          <t>DALARNAS LÄN</t>
        </is>
      </c>
      <c r="E8183" t="inlineStr">
        <is>
          <t>ORSA</t>
        </is>
      </c>
      <c r="F8183" t="inlineStr">
        <is>
          <t>Övriga statliga verk och myndigheter</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4980-2026</t>
        </is>
      </c>
      <c r="B8184" s="1" t="n">
        <v>46049</v>
      </c>
      <c r="C8184" s="1" t="n">
        <v>46114</v>
      </c>
      <c r="D8184" t="inlineStr">
        <is>
          <t>DALARNAS LÄN</t>
        </is>
      </c>
      <c r="E8184" t="inlineStr">
        <is>
          <t>FALUN</t>
        </is>
      </c>
      <c r="G8184" t="n">
        <v>1.5</v>
      </c>
      <c r="H8184" t="n">
        <v>0</v>
      </c>
      <c r="I8184" t="n">
        <v>0</v>
      </c>
      <c r="J8184" t="n">
        <v>0</v>
      </c>
      <c r="K8184" t="n">
        <v>0</v>
      </c>
      <c r="L8184" t="n">
        <v>0</v>
      </c>
      <c r="M8184" t="n">
        <v>0</v>
      </c>
      <c r="N8184" t="n">
        <v>0</v>
      </c>
      <c r="O8184" t="n">
        <v>0</v>
      </c>
      <c r="P8184" t="n">
        <v>0</v>
      </c>
      <c r="Q8184" t="n">
        <v>0</v>
      </c>
      <c r="R8184" s="2" t="inlineStr"/>
    </row>
    <row r="8185" ht="15" customHeight="1">
      <c r="A8185" t="inlineStr">
        <is>
          <t>A 4985-2026</t>
        </is>
      </c>
      <c r="B8185" s="1" t="n">
        <v>46049.3872337963</v>
      </c>
      <c r="C8185" s="1" t="n">
        <v>46114</v>
      </c>
      <c r="D8185" t="inlineStr">
        <is>
          <t>DALARNAS LÄN</t>
        </is>
      </c>
      <c r="E8185" t="inlineStr">
        <is>
          <t>FALUN</t>
        </is>
      </c>
      <c r="F8185" t="inlineStr">
        <is>
          <t>Bergvik skog väst AB</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10952-2026</t>
        </is>
      </c>
      <c r="B8186" s="1" t="n">
        <v>46079</v>
      </c>
      <c r="C8186" s="1" t="n">
        <v>46114</v>
      </c>
      <c r="D8186" t="inlineStr">
        <is>
          <t>DALARNAS LÄN</t>
        </is>
      </c>
      <c r="E8186" t="inlineStr">
        <is>
          <t>FALUN</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11084-2026</t>
        </is>
      </c>
      <c r="B8187" s="1" t="n">
        <v>46079</v>
      </c>
      <c r="C8187" s="1" t="n">
        <v>46114</v>
      </c>
      <c r="D8187" t="inlineStr">
        <is>
          <t>DALARNAS LÄN</t>
        </is>
      </c>
      <c r="E8187" t="inlineStr">
        <is>
          <t>ÄLVDALEN</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12646-2026</t>
        </is>
      </c>
      <c r="B8188" s="1" t="n">
        <v>46091.47434027777</v>
      </c>
      <c r="C8188" s="1" t="n">
        <v>46114</v>
      </c>
      <c r="D8188" t="inlineStr">
        <is>
          <t>DALARNAS LÄN</t>
        </is>
      </c>
      <c r="E8188" t="inlineStr">
        <is>
          <t>SÄTER</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9750-2026</t>
        </is>
      </c>
      <c r="B8189" s="1" t="n">
        <v>46072.53517361111</v>
      </c>
      <c r="C8189" s="1" t="n">
        <v>46114</v>
      </c>
      <c r="D8189" t="inlineStr">
        <is>
          <t>DALARNAS LÄN</t>
        </is>
      </c>
      <c r="E8189" t="inlineStr">
        <is>
          <t>BORLÄNGE</t>
        </is>
      </c>
      <c r="F8189" t="inlineStr">
        <is>
          <t>Bergvik skog väst AB</t>
        </is>
      </c>
      <c r="G8189" t="n">
        <v>4</v>
      </c>
      <c r="H8189" t="n">
        <v>0</v>
      </c>
      <c r="I8189" t="n">
        <v>0</v>
      </c>
      <c r="J8189" t="n">
        <v>0</v>
      </c>
      <c r="K8189" t="n">
        <v>0</v>
      </c>
      <c r="L8189" t="n">
        <v>0</v>
      </c>
      <c r="M8189" t="n">
        <v>0</v>
      </c>
      <c r="N8189" t="n">
        <v>0</v>
      </c>
      <c r="O8189" t="n">
        <v>0</v>
      </c>
      <c r="P8189" t="n">
        <v>0</v>
      </c>
      <c r="Q8189" t="n">
        <v>0</v>
      </c>
      <c r="R8189" s="2" t="inlineStr"/>
    </row>
    <row r="8190" ht="15" customHeight="1">
      <c r="A8190" t="inlineStr">
        <is>
          <t>A 12677-2026</t>
        </is>
      </c>
      <c r="B8190" s="1" t="n">
        <v>46091.54840277778</v>
      </c>
      <c r="C8190" s="1" t="n">
        <v>46114</v>
      </c>
      <c r="D8190" t="inlineStr">
        <is>
          <t>DALARNAS LÄN</t>
        </is>
      </c>
      <c r="E8190" t="inlineStr">
        <is>
          <t>ORSA</t>
        </is>
      </c>
      <c r="F8190" t="inlineStr">
        <is>
          <t>Allmännings- och besparingsskogar</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12687-2026</t>
        </is>
      </c>
      <c r="B8191" s="1" t="n">
        <v>46091.56787037037</v>
      </c>
      <c r="C8191" s="1" t="n">
        <v>46114</v>
      </c>
      <c r="D8191" t="inlineStr">
        <is>
          <t>DALARNAS LÄN</t>
        </is>
      </c>
      <c r="E8191" t="inlineStr">
        <is>
          <t>HEDEMORA</t>
        </is>
      </c>
      <c r="F8191" t="inlineStr">
        <is>
          <t>Sveaskog</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4827-2026</t>
        </is>
      </c>
      <c r="B8192" s="1" t="n">
        <v>46048.59709490741</v>
      </c>
      <c r="C8192" s="1" t="n">
        <v>46114</v>
      </c>
      <c r="D8192" t="inlineStr">
        <is>
          <t>DALARNAS LÄN</t>
        </is>
      </c>
      <c r="E8192" t="inlineStr">
        <is>
          <t>RÄTTVIK</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29362-2023</t>
        </is>
      </c>
      <c r="B8193" s="1" t="n">
        <v>45106.35313657407</v>
      </c>
      <c r="C8193" s="1" t="n">
        <v>46114</v>
      </c>
      <c r="D8193" t="inlineStr">
        <is>
          <t>DALARNAS LÄN</t>
        </is>
      </c>
      <c r="E8193" t="inlineStr">
        <is>
          <t>MALUNG-SÄLEN</t>
        </is>
      </c>
      <c r="F8193" t="inlineStr">
        <is>
          <t>Övriga statliga verk och myndigheter</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5133-2026</t>
        </is>
      </c>
      <c r="B8194" s="1" t="n">
        <v>46049</v>
      </c>
      <c r="C8194" s="1" t="n">
        <v>46114</v>
      </c>
      <c r="D8194" t="inlineStr">
        <is>
          <t>DALARNAS LÄN</t>
        </is>
      </c>
      <c r="E8194" t="inlineStr">
        <is>
          <t>BORLÄNGE</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5141-2026</t>
        </is>
      </c>
      <c r="B8195" s="1" t="n">
        <v>46049.60092592592</v>
      </c>
      <c r="C8195" s="1" t="n">
        <v>46114</v>
      </c>
      <c r="D8195" t="inlineStr">
        <is>
          <t>DALARNAS LÄN</t>
        </is>
      </c>
      <c r="E8195" t="inlineStr">
        <is>
          <t>FALUN</t>
        </is>
      </c>
      <c r="G8195" t="n">
        <v>0.8</v>
      </c>
      <c r="H8195" t="n">
        <v>0</v>
      </c>
      <c r="I8195" t="n">
        <v>0</v>
      </c>
      <c r="J8195" t="n">
        <v>0</v>
      </c>
      <c r="K8195" t="n">
        <v>0</v>
      </c>
      <c r="L8195" t="n">
        <v>0</v>
      </c>
      <c r="M8195" t="n">
        <v>0</v>
      </c>
      <c r="N8195" t="n">
        <v>0</v>
      </c>
      <c r="O8195" t="n">
        <v>0</v>
      </c>
      <c r="P8195" t="n">
        <v>0</v>
      </c>
      <c r="Q8195" t="n">
        <v>0</v>
      </c>
      <c r="R8195" s="2" t="inlineStr"/>
    </row>
    <row r="8196" ht="15" customHeight="1">
      <c r="A8196" t="inlineStr">
        <is>
          <t>A 19559-2023</t>
        </is>
      </c>
      <c r="B8196" s="1" t="n">
        <v>45050</v>
      </c>
      <c r="C8196" s="1" t="n">
        <v>46114</v>
      </c>
      <c r="D8196" t="inlineStr">
        <is>
          <t>DALARNAS LÄN</t>
        </is>
      </c>
      <c r="E8196" t="inlineStr">
        <is>
          <t>LEKSAND</t>
        </is>
      </c>
      <c r="G8196" t="n">
        <v>0.1</v>
      </c>
      <c r="H8196" t="n">
        <v>0</v>
      </c>
      <c r="I8196" t="n">
        <v>0</v>
      </c>
      <c r="J8196" t="n">
        <v>0</v>
      </c>
      <c r="K8196" t="n">
        <v>0</v>
      </c>
      <c r="L8196" t="n">
        <v>0</v>
      </c>
      <c r="M8196" t="n">
        <v>0</v>
      </c>
      <c r="N8196" t="n">
        <v>0</v>
      </c>
      <c r="O8196" t="n">
        <v>0</v>
      </c>
      <c r="P8196" t="n">
        <v>0</v>
      </c>
      <c r="Q8196" t="n">
        <v>0</v>
      </c>
      <c r="R8196" s="2" t="inlineStr"/>
    </row>
    <row r="8197" ht="15" customHeight="1">
      <c r="A8197" t="inlineStr">
        <is>
          <t>A 29810-2022</t>
        </is>
      </c>
      <c r="B8197" s="1" t="n">
        <v>44755</v>
      </c>
      <c r="C8197" s="1" t="n">
        <v>46114</v>
      </c>
      <c r="D8197" t="inlineStr">
        <is>
          <t>DALARNAS LÄN</t>
        </is>
      </c>
      <c r="E8197" t="inlineStr">
        <is>
          <t>BORLÄNGE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2502-2026</t>
        </is>
      </c>
      <c r="B8198" s="1" t="n">
        <v>46037</v>
      </c>
      <c r="C8198" s="1" t="n">
        <v>46114</v>
      </c>
      <c r="D8198" t="inlineStr">
        <is>
          <t>DALARNAS LÄN</t>
        </is>
      </c>
      <c r="E8198" t="inlineStr">
        <is>
          <t>FALUN</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10713-2026</t>
        </is>
      </c>
      <c r="B8199" s="1" t="n">
        <v>46078</v>
      </c>
      <c r="C8199" s="1" t="n">
        <v>46114</v>
      </c>
      <c r="D8199" t="inlineStr">
        <is>
          <t>DALARNAS LÄN</t>
        </is>
      </c>
      <c r="E8199" t="inlineStr">
        <is>
          <t>FALUN</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10867-2026</t>
        </is>
      </c>
      <c r="B8200" s="1" t="n">
        <v>46078</v>
      </c>
      <c r="C8200" s="1" t="n">
        <v>46114</v>
      </c>
      <c r="D8200" t="inlineStr">
        <is>
          <t>DALARNAS LÄN</t>
        </is>
      </c>
      <c r="E8200" t="inlineStr">
        <is>
          <t>FALUN</t>
        </is>
      </c>
      <c r="F8200" t="inlineStr">
        <is>
          <t>Bergvik skog väst AB</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12475-2026</t>
        </is>
      </c>
      <c r="B8201" s="1" t="n">
        <v>46090.55519675926</v>
      </c>
      <c r="C8201" s="1" t="n">
        <v>46114</v>
      </c>
      <c r="D8201" t="inlineStr">
        <is>
          <t>DALARNAS LÄN</t>
        </is>
      </c>
      <c r="E8201" t="inlineStr">
        <is>
          <t>VANSBRO</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12483-2026</t>
        </is>
      </c>
      <c r="B8202" s="1" t="n">
        <v>46090.56381944445</v>
      </c>
      <c r="C8202" s="1" t="n">
        <v>46114</v>
      </c>
      <c r="D8202" t="inlineStr">
        <is>
          <t>DALARNAS LÄN</t>
        </is>
      </c>
      <c r="E8202" t="inlineStr">
        <is>
          <t>FALUN</t>
        </is>
      </c>
      <c r="F8202" t="inlineStr">
        <is>
          <t>Bergvik skog väst AB</t>
        </is>
      </c>
      <c r="G8202" t="n">
        <v>38.7</v>
      </c>
      <c r="H8202" t="n">
        <v>0</v>
      </c>
      <c r="I8202" t="n">
        <v>0</v>
      </c>
      <c r="J8202" t="n">
        <v>0</v>
      </c>
      <c r="K8202" t="n">
        <v>0</v>
      </c>
      <c r="L8202" t="n">
        <v>0</v>
      </c>
      <c r="M8202" t="n">
        <v>0</v>
      </c>
      <c r="N8202" t="n">
        <v>0</v>
      </c>
      <c r="O8202" t="n">
        <v>0</v>
      </c>
      <c r="P8202" t="n">
        <v>0</v>
      </c>
      <c r="Q8202" t="n">
        <v>0</v>
      </c>
      <c r="R8202" s="2" t="inlineStr"/>
    </row>
    <row r="8203" ht="15" customHeight="1">
      <c r="A8203" t="inlineStr">
        <is>
          <t>A 11835-2026</t>
        </is>
      </c>
      <c r="B8203" s="1" t="n">
        <v>46085</v>
      </c>
      <c r="C8203" s="1" t="n">
        <v>46114</v>
      </c>
      <c r="D8203" t="inlineStr">
        <is>
          <t>DALARNAS LÄN</t>
        </is>
      </c>
      <c r="E8203" t="inlineStr">
        <is>
          <t>RÄTTVIK</t>
        </is>
      </c>
      <c r="F8203" t="inlineStr">
        <is>
          <t>Bergvik skog väst AB</t>
        </is>
      </c>
      <c r="G8203" t="n">
        <v>11.8</v>
      </c>
      <c r="H8203" t="n">
        <v>0</v>
      </c>
      <c r="I8203" t="n">
        <v>0</v>
      </c>
      <c r="J8203" t="n">
        <v>0</v>
      </c>
      <c r="K8203" t="n">
        <v>0</v>
      </c>
      <c r="L8203" t="n">
        <v>0</v>
      </c>
      <c r="M8203" t="n">
        <v>0</v>
      </c>
      <c r="N8203" t="n">
        <v>0</v>
      </c>
      <c r="O8203" t="n">
        <v>0</v>
      </c>
      <c r="P8203" t="n">
        <v>0</v>
      </c>
      <c r="Q8203" t="n">
        <v>0</v>
      </c>
      <c r="R8203" s="2" t="inlineStr"/>
    </row>
    <row r="8204" ht="15" customHeight="1">
      <c r="A8204" t="inlineStr">
        <is>
          <t>A 35594-2022</t>
        </is>
      </c>
      <c r="B8204" s="1" t="n">
        <v>44799</v>
      </c>
      <c r="C8204" s="1" t="n">
        <v>46114</v>
      </c>
      <c r="D8204" t="inlineStr">
        <is>
          <t>DALARNAS LÄN</t>
        </is>
      </c>
      <c r="E8204" t="inlineStr">
        <is>
          <t>BORLÄNGE</t>
        </is>
      </c>
      <c r="F8204" t="inlineStr">
        <is>
          <t>Bergvik skog väst AB</t>
        </is>
      </c>
      <c r="G8204" t="n">
        <v>1.7</v>
      </c>
      <c r="H8204" t="n">
        <v>0</v>
      </c>
      <c r="I8204" t="n">
        <v>0</v>
      </c>
      <c r="J8204" t="n">
        <v>0</v>
      </c>
      <c r="K8204" t="n">
        <v>0</v>
      </c>
      <c r="L8204" t="n">
        <v>0</v>
      </c>
      <c r="M8204" t="n">
        <v>0</v>
      </c>
      <c r="N8204" t="n">
        <v>0</v>
      </c>
      <c r="O8204" t="n">
        <v>0</v>
      </c>
      <c r="P8204" t="n">
        <v>0</v>
      </c>
      <c r="Q8204" t="n">
        <v>0</v>
      </c>
      <c r="R8204" s="2" t="inlineStr"/>
    </row>
    <row r="8205" ht="15" customHeight="1">
      <c r="A8205" t="inlineStr">
        <is>
          <t>A 11890-2026</t>
        </is>
      </c>
      <c r="B8205" s="1" t="n">
        <v>46085</v>
      </c>
      <c r="C8205" s="1" t="n">
        <v>46114</v>
      </c>
      <c r="D8205" t="inlineStr">
        <is>
          <t>DALARNAS LÄN</t>
        </is>
      </c>
      <c r="E8205" t="inlineStr">
        <is>
          <t>RÄTTVIK</t>
        </is>
      </c>
      <c r="F8205" t="inlineStr">
        <is>
          <t>Bergvik skog väst AB</t>
        </is>
      </c>
      <c r="G8205" t="n">
        <v>3</v>
      </c>
      <c r="H8205" t="n">
        <v>0</v>
      </c>
      <c r="I8205" t="n">
        <v>0</v>
      </c>
      <c r="J8205" t="n">
        <v>0</v>
      </c>
      <c r="K8205" t="n">
        <v>0</v>
      </c>
      <c r="L8205" t="n">
        <v>0</v>
      </c>
      <c r="M8205" t="n">
        <v>0</v>
      </c>
      <c r="N8205" t="n">
        <v>0</v>
      </c>
      <c r="O8205" t="n">
        <v>0</v>
      </c>
      <c r="P8205" t="n">
        <v>0</v>
      </c>
      <c r="Q8205" t="n">
        <v>0</v>
      </c>
      <c r="R8205" s="2" t="inlineStr"/>
    </row>
    <row r="8206" ht="15" customHeight="1">
      <c r="A8206" t="inlineStr">
        <is>
          <t>A 11972-2026</t>
        </is>
      </c>
      <c r="B8206" s="1" t="n">
        <v>46085</v>
      </c>
      <c r="C8206" s="1" t="n">
        <v>46114</v>
      </c>
      <c r="D8206" t="inlineStr">
        <is>
          <t>DALARNAS LÄN</t>
        </is>
      </c>
      <c r="E8206" t="inlineStr">
        <is>
          <t>FALUN</t>
        </is>
      </c>
      <c r="G8206" t="n">
        <v>5.7</v>
      </c>
      <c r="H8206" t="n">
        <v>0</v>
      </c>
      <c r="I8206" t="n">
        <v>0</v>
      </c>
      <c r="J8206" t="n">
        <v>0</v>
      </c>
      <c r="K8206" t="n">
        <v>0</v>
      </c>
      <c r="L8206" t="n">
        <v>0</v>
      </c>
      <c r="M8206" t="n">
        <v>0</v>
      </c>
      <c r="N8206" t="n">
        <v>0</v>
      </c>
      <c r="O8206" t="n">
        <v>0</v>
      </c>
      <c r="P8206" t="n">
        <v>0</v>
      </c>
      <c r="Q8206" t="n">
        <v>0</v>
      </c>
      <c r="R8206" s="2" t="inlineStr"/>
    </row>
    <row r="8207" ht="15" customHeight="1">
      <c r="A8207" t="inlineStr">
        <is>
          <t>A 12678-2026</t>
        </is>
      </c>
      <c r="B8207" s="1" t="n">
        <v>46091.54976851852</v>
      </c>
      <c r="C8207" s="1" t="n">
        <v>46114</v>
      </c>
      <c r="D8207" t="inlineStr">
        <is>
          <t>DALARNAS LÄN</t>
        </is>
      </c>
      <c r="E8207" t="inlineStr">
        <is>
          <t>ORSA</t>
        </is>
      </c>
      <c r="F8207" t="inlineStr">
        <is>
          <t>Allmännings- och besparingsskogar</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48721-2023</t>
        </is>
      </c>
      <c r="B8208" s="1" t="n">
        <v>45203</v>
      </c>
      <c r="C8208" s="1" t="n">
        <v>46114</v>
      </c>
      <c r="D8208" t="inlineStr">
        <is>
          <t>DALARNAS LÄN</t>
        </is>
      </c>
      <c r="E8208" t="inlineStr">
        <is>
          <t>LEKSAND</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40290-2023</t>
        </is>
      </c>
      <c r="B8209" s="1" t="n">
        <v>45169</v>
      </c>
      <c r="C8209" s="1" t="n">
        <v>46114</v>
      </c>
      <c r="D8209" t="inlineStr">
        <is>
          <t>DALARNAS LÄN</t>
        </is>
      </c>
      <c r="E8209" t="inlineStr">
        <is>
          <t>VANSBRO</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40313-2023</t>
        </is>
      </c>
      <c r="B8210" s="1" t="n">
        <v>45168</v>
      </c>
      <c r="C8210" s="1" t="n">
        <v>46114</v>
      </c>
      <c r="D8210" t="inlineStr">
        <is>
          <t>DALARNAS LÄN</t>
        </is>
      </c>
      <c r="E8210" t="inlineStr">
        <is>
          <t>RÄTTVIK</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5100-2026</t>
        </is>
      </c>
      <c r="B8211" s="1" t="n">
        <v>46049</v>
      </c>
      <c r="C8211" s="1" t="n">
        <v>46114</v>
      </c>
      <c r="D8211" t="inlineStr">
        <is>
          <t>DALARNAS LÄN</t>
        </is>
      </c>
      <c r="E8211" t="inlineStr">
        <is>
          <t>ORSA</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54260-2022</t>
        </is>
      </c>
      <c r="B8212" s="1" t="n">
        <v>44882.25943287037</v>
      </c>
      <c r="C8212" s="1" t="n">
        <v>46114</v>
      </c>
      <c r="D8212" t="inlineStr">
        <is>
          <t>DALARNAS LÄN</t>
        </is>
      </c>
      <c r="E8212" t="inlineStr">
        <is>
          <t>SMEDJEBACKEN</t>
        </is>
      </c>
      <c r="F8212" t="inlineStr">
        <is>
          <t>Kyrkan</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43142-2024</t>
        </is>
      </c>
      <c r="B8213" s="1" t="n">
        <v>45567.62144675926</v>
      </c>
      <c r="C8213" s="1" t="n">
        <v>46114</v>
      </c>
      <c r="D8213" t="inlineStr">
        <is>
          <t>DALARNAS LÄN</t>
        </is>
      </c>
      <c r="E8213" t="inlineStr">
        <is>
          <t>LEKSAND</t>
        </is>
      </c>
      <c r="F8213" t="inlineStr">
        <is>
          <t>Bergvik skog väst AB</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5180-2026</t>
        </is>
      </c>
      <c r="B8214" s="1" t="n">
        <v>46049.65280092593</v>
      </c>
      <c r="C8214" s="1" t="n">
        <v>46114</v>
      </c>
      <c r="D8214" t="inlineStr">
        <is>
          <t>DALARNAS LÄN</t>
        </is>
      </c>
      <c r="E8214" t="inlineStr">
        <is>
          <t>FALUN</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4677-2026</t>
        </is>
      </c>
      <c r="B8215" s="1" t="n">
        <v>46048</v>
      </c>
      <c r="C8215" s="1" t="n">
        <v>46114</v>
      </c>
      <c r="D8215" t="inlineStr">
        <is>
          <t>DALARNAS LÄN</t>
        </is>
      </c>
      <c r="E8215" t="inlineStr">
        <is>
          <t>RÄTTVIK</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4648-2026</t>
        </is>
      </c>
      <c r="B8216" s="1" t="n">
        <v>46048.40478009259</v>
      </c>
      <c r="C8216" s="1" t="n">
        <v>46114</v>
      </c>
      <c r="D8216" t="inlineStr">
        <is>
          <t>DALARNAS LÄN</t>
        </is>
      </c>
      <c r="E8216" t="inlineStr">
        <is>
          <t>RÄTTVIK</t>
        </is>
      </c>
      <c r="G8216" t="n">
        <v>5.4</v>
      </c>
      <c r="H8216" t="n">
        <v>0</v>
      </c>
      <c r="I8216" t="n">
        <v>0</v>
      </c>
      <c r="J8216" t="n">
        <v>0</v>
      </c>
      <c r="K8216" t="n">
        <v>0</v>
      </c>
      <c r="L8216" t="n">
        <v>0</v>
      </c>
      <c r="M8216" t="n">
        <v>0</v>
      </c>
      <c r="N8216" t="n">
        <v>0</v>
      </c>
      <c r="O8216" t="n">
        <v>0</v>
      </c>
      <c r="P8216" t="n">
        <v>0</v>
      </c>
      <c r="Q8216" t="n">
        <v>0</v>
      </c>
      <c r="R8216" s="2" t="inlineStr"/>
    </row>
    <row r="8217" ht="15" customHeight="1">
      <c r="A8217" t="inlineStr">
        <is>
          <t>A 4682-2026</t>
        </is>
      </c>
      <c r="B8217" s="1" t="n">
        <v>46048.43288194444</v>
      </c>
      <c r="C8217" s="1" t="n">
        <v>46114</v>
      </c>
      <c r="D8217" t="inlineStr">
        <is>
          <t>DALARNAS LÄN</t>
        </is>
      </c>
      <c r="E8217" t="inlineStr">
        <is>
          <t>GAGNEF</t>
        </is>
      </c>
      <c r="G8217" t="n">
        <v>3.8</v>
      </c>
      <c r="H8217" t="n">
        <v>0</v>
      </c>
      <c r="I8217" t="n">
        <v>0</v>
      </c>
      <c r="J8217" t="n">
        <v>0</v>
      </c>
      <c r="K8217" t="n">
        <v>0</v>
      </c>
      <c r="L8217" t="n">
        <v>0</v>
      </c>
      <c r="M8217" t="n">
        <v>0</v>
      </c>
      <c r="N8217" t="n">
        <v>0</v>
      </c>
      <c r="O8217" t="n">
        <v>0</v>
      </c>
      <c r="P8217" t="n">
        <v>0</v>
      </c>
      <c r="Q8217" t="n">
        <v>0</v>
      </c>
      <c r="R8217" s="2" t="inlineStr"/>
    </row>
    <row r="8218" ht="15" customHeight="1">
      <c r="A8218" t="inlineStr">
        <is>
          <t>A 5139-2026</t>
        </is>
      </c>
      <c r="B8218" s="1" t="n">
        <v>46049.59921296296</v>
      </c>
      <c r="C8218" s="1" t="n">
        <v>46114</v>
      </c>
      <c r="D8218" t="inlineStr">
        <is>
          <t>DALARNAS LÄN</t>
        </is>
      </c>
      <c r="E8218" t="inlineStr">
        <is>
          <t>FALUN</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4817-2026</t>
        </is>
      </c>
      <c r="B8219" s="1" t="n">
        <v>46048</v>
      </c>
      <c r="C8219" s="1" t="n">
        <v>46114</v>
      </c>
      <c r="D8219" t="inlineStr">
        <is>
          <t>DALARNAS LÄN</t>
        </is>
      </c>
      <c r="E8219" t="inlineStr">
        <is>
          <t>RÄTTVIK</t>
        </is>
      </c>
      <c r="G8219" t="n">
        <v>8.5</v>
      </c>
      <c r="H8219" t="n">
        <v>0</v>
      </c>
      <c r="I8219" t="n">
        <v>0</v>
      </c>
      <c r="J8219" t="n">
        <v>0</v>
      </c>
      <c r="K8219" t="n">
        <v>0</v>
      </c>
      <c r="L8219" t="n">
        <v>0</v>
      </c>
      <c r="M8219" t="n">
        <v>0</v>
      </c>
      <c r="N8219" t="n">
        <v>0</v>
      </c>
      <c r="O8219" t="n">
        <v>0</v>
      </c>
      <c r="P8219" t="n">
        <v>0</v>
      </c>
      <c r="Q8219" t="n">
        <v>0</v>
      </c>
      <c r="R8219" s="2" t="inlineStr"/>
    </row>
    <row r="8220" ht="15" customHeight="1">
      <c r="A8220" t="inlineStr">
        <is>
          <t>A 12753-2026</t>
        </is>
      </c>
      <c r="B8220" s="1" t="n">
        <v>46091.65896990741</v>
      </c>
      <c r="C8220" s="1" t="n">
        <v>46114</v>
      </c>
      <c r="D8220" t="inlineStr">
        <is>
          <t>DALARNAS LÄN</t>
        </is>
      </c>
      <c r="E8220" t="inlineStr">
        <is>
          <t>RÄTTVIK</t>
        </is>
      </c>
      <c r="F8220" t="inlineStr">
        <is>
          <t>Bergvik skog väst AB</t>
        </is>
      </c>
      <c r="G8220" t="n">
        <v>3.3</v>
      </c>
      <c r="H8220" t="n">
        <v>0</v>
      </c>
      <c r="I8220" t="n">
        <v>0</v>
      </c>
      <c r="J8220" t="n">
        <v>0</v>
      </c>
      <c r="K8220" t="n">
        <v>0</v>
      </c>
      <c r="L8220" t="n">
        <v>0</v>
      </c>
      <c r="M8220" t="n">
        <v>0</v>
      </c>
      <c r="N8220" t="n">
        <v>0</v>
      </c>
      <c r="O8220" t="n">
        <v>0</v>
      </c>
      <c r="P8220" t="n">
        <v>0</v>
      </c>
      <c r="Q8220" t="n">
        <v>0</v>
      </c>
      <c r="R8220" s="2" t="inlineStr"/>
    </row>
    <row r="8221" ht="15" customHeight="1">
      <c r="A8221" t="inlineStr">
        <is>
          <t>A 4998-2026</t>
        </is>
      </c>
      <c r="B8221" s="1" t="n">
        <v>46049.42231481482</v>
      </c>
      <c r="C8221" s="1" t="n">
        <v>46114</v>
      </c>
      <c r="D8221" t="inlineStr">
        <is>
          <t>DALARNAS LÄN</t>
        </is>
      </c>
      <c r="E8221" t="inlineStr">
        <is>
          <t>VANSBRO</t>
        </is>
      </c>
      <c r="F8221" t="inlineStr">
        <is>
          <t>Bergvik skog väst AB</t>
        </is>
      </c>
      <c r="G8221" t="n">
        <v>5.7</v>
      </c>
      <c r="H8221" t="n">
        <v>0</v>
      </c>
      <c r="I8221" t="n">
        <v>0</v>
      </c>
      <c r="J8221" t="n">
        <v>0</v>
      </c>
      <c r="K8221" t="n">
        <v>0</v>
      </c>
      <c r="L8221" t="n">
        <v>0</v>
      </c>
      <c r="M8221" t="n">
        <v>0</v>
      </c>
      <c r="N8221" t="n">
        <v>0</v>
      </c>
      <c r="O8221" t="n">
        <v>0</v>
      </c>
      <c r="P8221" t="n">
        <v>0</v>
      </c>
      <c r="Q8221" t="n">
        <v>0</v>
      </c>
      <c r="R8221" s="2" t="inlineStr"/>
    </row>
    <row r="8222" ht="15" customHeight="1">
      <c r="A8222" t="inlineStr">
        <is>
          <t>A 5005-2026</t>
        </is>
      </c>
      <c r="B8222" s="1" t="n">
        <v>46049</v>
      </c>
      <c r="C8222" s="1" t="n">
        <v>46114</v>
      </c>
      <c r="D8222" t="inlineStr">
        <is>
          <t>DALARNAS LÄN</t>
        </is>
      </c>
      <c r="E8222" t="inlineStr">
        <is>
          <t>RÄTTVIK</t>
        </is>
      </c>
      <c r="G8222" t="n">
        <v>3.3</v>
      </c>
      <c r="H8222" t="n">
        <v>0</v>
      </c>
      <c r="I8222" t="n">
        <v>0</v>
      </c>
      <c r="J8222" t="n">
        <v>0</v>
      </c>
      <c r="K8222" t="n">
        <v>0</v>
      </c>
      <c r="L8222" t="n">
        <v>0</v>
      </c>
      <c r="M8222" t="n">
        <v>0</v>
      </c>
      <c r="N8222" t="n">
        <v>0</v>
      </c>
      <c r="O8222" t="n">
        <v>0</v>
      </c>
      <c r="P8222" t="n">
        <v>0</v>
      </c>
      <c r="Q8222" t="n">
        <v>0</v>
      </c>
      <c r="R8222" s="2" t="inlineStr"/>
    </row>
    <row r="8223" ht="15" customHeight="1">
      <c r="A8223" t="inlineStr">
        <is>
          <t>A 191-2026</t>
        </is>
      </c>
      <c r="B8223" s="1" t="n">
        <v>46025</v>
      </c>
      <c r="C8223" s="1" t="n">
        <v>46114</v>
      </c>
      <c r="D8223" t="inlineStr">
        <is>
          <t>DALARNAS LÄN</t>
        </is>
      </c>
      <c r="E8223" t="inlineStr">
        <is>
          <t>FALUN</t>
        </is>
      </c>
      <c r="G8223" t="n">
        <v>4.6</v>
      </c>
      <c r="H8223" t="n">
        <v>0</v>
      </c>
      <c r="I8223" t="n">
        <v>0</v>
      </c>
      <c r="J8223" t="n">
        <v>0</v>
      </c>
      <c r="K8223" t="n">
        <v>0</v>
      </c>
      <c r="L8223" t="n">
        <v>0</v>
      </c>
      <c r="M8223" t="n">
        <v>0</v>
      </c>
      <c r="N8223" t="n">
        <v>0</v>
      </c>
      <c r="O8223" t="n">
        <v>0</v>
      </c>
      <c r="P8223" t="n">
        <v>0</v>
      </c>
      <c r="Q8223" t="n">
        <v>0</v>
      </c>
      <c r="R8223" s="2" t="inlineStr"/>
    </row>
    <row r="8224" ht="15" customHeight="1">
      <c r="A8224" t="inlineStr">
        <is>
          <t>A 5040-2026</t>
        </is>
      </c>
      <c r="B8224" s="1" t="n">
        <v>46049.46439814815</v>
      </c>
      <c r="C8224" s="1" t="n">
        <v>46114</v>
      </c>
      <c r="D8224" t="inlineStr">
        <is>
          <t>DALARNAS LÄN</t>
        </is>
      </c>
      <c r="E8224" t="inlineStr">
        <is>
          <t>LEKSAND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1984-2025</t>
        </is>
      </c>
      <c r="B8225" s="1" t="n">
        <v>45670</v>
      </c>
      <c r="C8225" s="1" t="n">
        <v>46114</v>
      </c>
      <c r="D8225" t="inlineStr">
        <is>
          <t>DALARNAS LÄN</t>
        </is>
      </c>
      <c r="E8225" t="inlineStr">
        <is>
          <t>LEKSAND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2004-2025</t>
        </is>
      </c>
      <c r="B8226" s="1" t="n">
        <v>45671</v>
      </c>
      <c r="C8226" s="1" t="n">
        <v>46114</v>
      </c>
      <c r="D8226" t="inlineStr">
        <is>
          <t>DALARNAS LÄN</t>
        </is>
      </c>
      <c r="E8226" t="inlineStr">
        <is>
          <t>RÄTTVIK</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2010-2025</t>
        </is>
      </c>
      <c r="B8227" s="1" t="n">
        <v>45671</v>
      </c>
      <c r="C8227" s="1" t="n">
        <v>46114</v>
      </c>
      <c r="D8227" t="inlineStr">
        <is>
          <t>DALARNAS LÄN</t>
        </is>
      </c>
      <c r="E8227" t="inlineStr">
        <is>
          <t>RÄTTVIK</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2011-2025</t>
        </is>
      </c>
      <c r="B8228" s="1" t="n">
        <v>45672</v>
      </c>
      <c r="C8228" s="1" t="n">
        <v>46114</v>
      </c>
      <c r="D8228" t="inlineStr">
        <is>
          <t>DALARNAS LÄN</t>
        </is>
      </c>
      <c r="E8228" t="inlineStr">
        <is>
          <t>RÄTTVIK</t>
        </is>
      </c>
      <c r="G8228" t="n">
        <v>2.6</v>
      </c>
      <c r="H8228" t="n">
        <v>0</v>
      </c>
      <c r="I8228" t="n">
        <v>0</v>
      </c>
      <c r="J8228" t="n">
        <v>0</v>
      </c>
      <c r="K8228" t="n">
        <v>0</v>
      </c>
      <c r="L8228" t="n">
        <v>0</v>
      </c>
      <c r="M8228" t="n">
        <v>0</v>
      </c>
      <c r="N8228" t="n">
        <v>0</v>
      </c>
      <c r="O8228" t="n">
        <v>0</v>
      </c>
      <c r="P8228" t="n">
        <v>0</v>
      </c>
      <c r="Q8228" t="n">
        <v>0</v>
      </c>
      <c r="R8228" s="2" t="inlineStr"/>
    </row>
    <row r="8229" ht="15" customHeight="1">
      <c r="A8229" t="inlineStr">
        <is>
          <t>A 5051-2026</t>
        </is>
      </c>
      <c r="B8229" s="1" t="n">
        <v>46049.47159722223</v>
      </c>
      <c r="C8229" s="1" t="n">
        <v>46114</v>
      </c>
      <c r="D8229" t="inlineStr">
        <is>
          <t>DALARNAS LÄN</t>
        </is>
      </c>
      <c r="E8229" t="inlineStr">
        <is>
          <t>RÄTTVIK</t>
        </is>
      </c>
      <c r="G8229" t="n">
        <v>1.1</v>
      </c>
      <c r="H8229" t="n">
        <v>0</v>
      </c>
      <c r="I8229" t="n">
        <v>0</v>
      </c>
      <c r="J8229" t="n">
        <v>0</v>
      </c>
      <c r="K8229" t="n">
        <v>0</v>
      </c>
      <c r="L8229" t="n">
        <v>0</v>
      </c>
      <c r="M8229" t="n">
        <v>0</v>
      </c>
      <c r="N8229" t="n">
        <v>0</v>
      </c>
      <c r="O8229" t="n">
        <v>0</v>
      </c>
      <c r="P8229" t="n">
        <v>0</v>
      </c>
      <c r="Q8229" t="n">
        <v>0</v>
      </c>
      <c r="R8229" s="2" t="inlineStr"/>
    </row>
    <row r="8230" ht="15" customHeight="1">
      <c r="A8230" t="inlineStr">
        <is>
          <t>A 5127-2026</t>
        </is>
      </c>
      <c r="B8230" s="1" t="n">
        <v>46049</v>
      </c>
      <c r="C8230" s="1" t="n">
        <v>46114</v>
      </c>
      <c r="D8230" t="inlineStr">
        <is>
          <t>DALARNAS LÄN</t>
        </is>
      </c>
      <c r="E8230" t="inlineStr">
        <is>
          <t>BORLÄNGE</t>
        </is>
      </c>
      <c r="F8230" t="inlineStr">
        <is>
          <t>Bergvik skog väst AB</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12616-2026</t>
        </is>
      </c>
      <c r="B8231" s="1" t="n">
        <v>46090</v>
      </c>
      <c r="C8231" s="1" t="n">
        <v>46114</v>
      </c>
      <c r="D8231" t="inlineStr">
        <is>
          <t>DALARNAS LÄN</t>
        </is>
      </c>
      <c r="E8231" t="inlineStr">
        <is>
          <t>FALUN</t>
        </is>
      </c>
      <c r="G8231" t="n">
        <v>2.9</v>
      </c>
      <c r="H8231" t="n">
        <v>0</v>
      </c>
      <c r="I8231" t="n">
        <v>0</v>
      </c>
      <c r="J8231" t="n">
        <v>0</v>
      </c>
      <c r="K8231" t="n">
        <v>0</v>
      </c>
      <c r="L8231" t="n">
        <v>0</v>
      </c>
      <c r="M8231" t="n">
        <v>0</v>
      </c>
      <c r="N8231" t="n">
        <v>0</v>
      </c>
      <c r="O8231" t="n">
        <v>0</v>
      </c>
      <c r="P8231" t="n">
        <v>0</v>
      </c>
      <c r="Q8231" t="n">
        <v>0</v>
      </c>
      <c r="R8231" s="2" t="inlineStr"/>
    </row>
    <row r="8232" ht="15" customHeight="1">
      <c r="A8232" t="inlineStr">
        <is>
          <t>A 12404-2026</t>
        </is>
      </c>
      <c r="B8232" s="1" t="n">
        <v>46090.40299768518</v>
      </c>
      <c r="C8232" s="1" t="n">
        <v>46114</v>
      </c>
      <c r="D8232" t="inlineStr">
        <is>
          <t>DALARNAS LÄN</t>
        </is>
      </c>
      <c r="E8232" t="inlineStr">
        <is>
          <t>ORSA</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56790-2025</t>
        </is>
      </c>
      <c r="B8233" s="1" t="n">
        <v>45978</v>
      </c>
      <c r="C8233" s="1" t="n">
        <v>46114</v>
      </c>
      <c r="D8233" t="inlineStr">
        <is>
          <t>DALARNAS LÄN</t>
        </is>
      </c>
      <c r="E8233" t="inlineStr">
        <is>
          <t>LUDVIKA</t>
        </is>
      </c>
      <c r="F8233" t="inlineStr">
        <is>
          <t>Bergvik skog väst AB</t>
        </is>
      </c>
      <c r="G8233" t="n">
        <v>6.3</v>
      </c>
      <c r="H8233" t="n">
        <v>0</v>
      </c>
      <c r="I8233" t="n">
        <v>0</v>
      </c>
      <c r="J8233" t="n">
        <v>0</v>
      </c>
      <c r="K8233" t="n">
        <v>0</v>
      </c>
      <c r="L8233" t="n">
        <v>0</v>
      </c>
      <c r="M8233" t="n">
        <v>0</v>
      </c>
      <c r="N8233" t="n">
        <v>0</v>
      </c>
      <c r="O8233" t="n">
        <v>0</v>
      </c>
      <c r="P8233" t="n">
        <v>0</v>
      </c>
      <c r="Q8233" t="n">
        <v>0</v>
      </c>
      <c r="R8233" s="2" t="inlineStr"/>
    </row>
    <row r="8234" ht="15" customHeight="1">
      <c r="A8234" t="inlineStr">
        <is>
          <t>A 1443-2024</t>
        </is>
      </c>
      <c r="B8234" s="1" t="n">
        <v>45303</v>
      </c>
      <c r="C8234" s="1" t="n">
        <v>46114</v>
      </c>
      <c r="D8234" t="inlineStr">
        <is>
          <t>DALARNAS LÄN</t>
        </is>
      </c>
      <c r="E8234" t="inlineStr">
        <is>
          <t>LEKSAND</t>
        </is>
      </c>
      <c r="G8234" t="n">
        <v>9.800000000000001</v>
      </c>
      <c r="H8234" t="n">
        <v>0</v>
      </c>
      <c r="I8234" t="n">
        <v>0</v>
      </c>
      <c r="J8234" t="n">
        <v>0</v>
      </c>
      <c r="K8234" t="n">
        <v>0</v>
      </c>
      <c r="L8234" t="n">
        <v>0</v>
      </c>
      <c r="M8234" t="n">
        <v>0</v>
      </c>
      <c r="N8234" t="n">
        <v>0</v>
      </c>
      <c r="O8234" t="n">
        <v>0</v>
      </c>
      <c r="P8234" t="n">
        <v>0</v>
      </c>
      <c r="Q8234" t="n">
        <v>0</v>
      </c>
      <c r="R8234" s="2" t="inlineStr"/>
    </row>
    <row r="8235" ht="15" customHeight="1">
      <c r="A8235" t="inlineStr">
        <is>
          <t>A 30987-2023</t>
        </is>
      </c>
      <c r="B8235" s="1" t="n">
        <v>45113</v>
      </c>
      <c r="C8235" s="1" t="n">
        <v>46114</v>
      </c>
      <c r="D8235" t="inlineStr">
        <is>
          <t>DALARNAS LÄN</t>
        </is>
      </c>
      <c r="E8235" t="inlineStr">
        <is>
          <t>ÄLVDALEN</t>
        </is>
      </c>
      <c r="F8235" t="inlineStr">
        <is>
          <t>Allmännings- och besparingsskogar</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4937-2026</t>
        </is>
      </c>
      <c r="B8236" s="1" t="n">
        <v>46048.9335300926</v>
      </c>
      <c r="C8236" s="1" t="n">
        <v>46114</v>
      </c>
      <c r="D8236" t="inlineStr">
        <is>
          <t>DALARNAS LÄN</t>
        </is>
      </c>
      <c r="E8236" t="inlineStr">
        <is>
          <t>VANSBRO</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26314-2021</t>
        </is>
      </c>
      <c r="B8237" s="1" t="n">
        <v>44347</v>
      </c>
      <c r="C8237" s="1" t="n">
        <v>46114</v>
      </c>
      <c r="D8237" t="inlineStr">
        <is>
          <t>DALARNAS LÄN</t>
        </is>
      </c>
      <c r="E8237" t="inlineStr">
        <is>
          <t>MORA</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26341-2021</t>
        </is>
      </c>
      <c r="B8238" s="1" t="n">
        <v>44347</v>
      </c>
      <c r="C8238" s="1" t="n">
        <v>46114</v>
      </c>
      <c r="D8238" t="inlineStr">
        <is>
          <t>DALARNAS LÄN</t>
        </is>
      </c>
      <c r="E8238" t="inlineStr">
        <is>
          <t>MALUNG-SÄLEN</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4537-2026</t>
        </is>
      </c>
      <c r="B8239" s="1" t="n">
        <v>46046</v>
      </c>
      <c r="C8239" s="1" t="n">
        <v>46114</v>
      </c>
      <c r="D8239" t="inlineStr">
        <is>
          <t>DALARNAS LÄN</t>
        </is>
      </c>
      <c r="E8239" t="inlineStr">
        <is>
          <t>FALUN</t>
        </is>
      </c>
      <c r="G8239" t="n">
        <v>4.8</v>
      </c>
      <c r="H8239" t="n">
        <v>0</v>
      </c>
      <c r="I8239" t="n">
        <v>0</v>
      </c>
      <c r="J8239" t="n">
        <v>0</v>
      </c>
      <c r="K8239" t="n">
        <v>0</v>
      </c>
      <c r="L8239" t="n">
        <v>0</v>
      </c>
      <c r="M8239" t="n">
        <v>0</v>
      </c>
      <c r="N8239" t="n">
        <v>0</v>
      </c>
      <c r="O8239" t="n">
        <v>0</v>
      </c>
      <c r="P8239" t="n">
        <v>0</v>
      </c>
      <c r="Q8239" t="n">
        <v>0</v>
      </c>
      <c r="R8239" s="2" t="inlineStr"/>
      <c r="U8239">
        <f>HYPERLINK("https://klasma.github.io/Logging_2080/knärot/A 4537-2026 karta knärot.png", "A 4537-2026")</f>
        <v/>
      </c>
      <c r="V8239">
        <f>HYPERLINK("https://klasma.github.io/Logging_2080/klagomål/A 4537-2026 FSC-klagomål.docx", "A 4537-2026")</f>
        <v/>
      </c>
      <c r="W8239">
        <f>HYPERLINK("https://klasma.github.io/Logging_2080/klagomålsmail/A 4537-2026 FSC-klagomål mail.docx", "A 4537-2026")</f>
        <v/>
      </c>
      <c r="X8239">
        <f>HYPERLINK("https://klasma.github.io/Logging_2080/tillsyn/A 4537-2026 tillsynsbegäran.docx", "A 4537-2026")</f>
        <v/>
      </c>
      <c r="Y8239">
        <f>HYPERLINK("https://klasma.github.io/Logging_2080/tillsynsmail/A 4537-2026 tillsynsbegäran mail.docx", "A 4537-2026")</f>
        <v/>
      </c>
    </row>
    <row r="8240" ht="15" customHeight="1">
      <c r="A8240" t="inlineStr">
        <is>
          <t>A 4564-2026</t>
        </is>
      </c>
      <c r="B8240" s="1" t="n">
        <v>46047.78059027778</v>
      </c>
      <c r="C8240" s="1" t="n">
        <v>46114</v>
      </c>
      <c r="D8240" t="inlineStr">
        <is>
          <t>DALARNAS LÄN</t>
        </is>
      </c>
      <c r="E8240" t="inlineStr">
        <is>
          <t>FALUN</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4567-2026</t>
        </is>
      </c>
      <c r="B8241" s="1" t="n">
        <v>46047</v>
      </c>
      <c r="C8241" s="1" t="n">
        <v>46114</v>
      </c>
      <c r="D8241" t="inlineStr">
        <is>
          <t>DALARNAS LÄN</t>
        </is>
      </c>
      <c r="E8241" t="inlineStr">
        <is>
          <t>BORLÄNGE</t>
        </is>
      </c>
      <c r="G8241" t="n">
        <v>2.4</v>
      </c>
      <c r="H8241" t="n">
        <v>0</v>
      </c>
      <c r="I8241" t="n">
        <v>0</v>
      </c>
      <c r="J8241" t="n">
        <v>0</v>
      </c>
      <c r="K8241" t="n">
        <v>0</v>
      </c>
      <c r="L8241" t="n">
        <v>0</v>
      </c>
      <c r="M8241" t="n">
        <v>0</v>
      </c>
      <c r="N8241" t="n">
        <v>0</v>
      </c>
      <c r="O8241" t="n">
        <v>0</v>
      </c>
      <c r="P8241" t="n">
        <v>0</v>
      </c>
      <c r="Q8241" t="n">
        <v>0</v>
      </c>
      <c r="R8241" s="2" t="inlineStr"/>
    </row>
    <row r="8242" ht="15" customHeight="1">
      <c r="A8242" t="inlineStr">
        <is>
          <t>A 4614-2026</t>
        </is>
      </c>
      <c r="B8242" s="1" t="n">
        <v>46048.37003472223</v>
      </c>
      <c r="C8242" s="1" t="n">
        <v>46114</v>
      </c>
      <c r="D8242" t="inlineStr">
        <is>
          <t>DALARNAS LÄN</t>
        </is>
      </c>
      <c r="E8242" t="inlineStr">
        <is>
          <t>FALUN</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4636-2026</t>
        </is>
      </c>
      <c r="B8243" s="1" t="n">
        <v>46048</v>
      </c>
      <c r="C8243" s="1" t="n">
        <v>46114</v>
      </c>
      <c r="D8243" t="inlineStr">
        <is>
          <t>DALARNAS LÄN</t>
        </is>
      </c>
      <c r="E8243" t="inlineStr">
        <is>
          <t>FALUN</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31084-2023</t>
        </is>
      </c>
      <c r="B8244" s="1" t="n">
        <v>45113</v>
      </c>
      <c r="C8244" s="1" t="n">
        <v>46114</v>
      </c>
      <c r="D8244" t="inlineStr">
        <is>
          <t>DALARNAS LÄN</t>
        </is>
      </c>
      <c r="E8244" t="inlineStr">
        <is>
          <t>FALUN</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3284-2026</t>
        </is>
      </c>
      <c r="B8245" s="1" t="n">
        <v>46041</v>
      </c>
      <c r="C8245" s="1" t="n">
        <v>46114</v>
      </c>
      <c r="D8245" t="inlineStr">
        <is>
          <t>DALARNAS LÄN</t>
        </is>
      </c>
      <c r="E8245" t="inlineStr">
        <is>
          <t>FALUN</t>
        </is>
      </c>
      <c r="G8245" t="n">
        <v>3.5</v>
      </c>
      <c r="H8245" t="n">
        <v>0</v>
      </c>
      <c r="I8245" t="n">
        <v>0</v>
      </c>
      <c r="J8245" t="n">
        <v>0</v>
      </c>
      <c r="K8245" t="n">
        <v>0</v>
      </c>
      <c r="L8245" t="n">
        <v>0</v>
      </c>
      <c r="M8245" t="n">
        <v>0</v>
      </c>
      <c r="N8245" t="n">
        <v>0</v>
      </c>
      <c r="O8245" t="n">
        <v>0</v>
      </c>
      <c r="P8245" t="n">
        <v>0</v>
      </c>
      <c r="Q8245" t="n">
        <v>0</v>
      </c>
      <c r="R8245" s="2" t="inlineStr"/>
    </row>
    <row r="8246" ht="15" customHeight="1">
      <c r="A8246" t="inlineStr">
        <is>
          <t>A 4718-2026</t>
        </is>
      </c>
      <c r="B8246" s="1" t="n">
        <v>46048.46645833334</v>
      </c>
      <c r="C8246" s="1" t="n">
        <v>46114</v>
      </c>
      <c r="D8246" t="inlineStr">
        <is>
          <t>DALARNAS LÄN</t>
        </is>
      </c>
      <c r="E8246" t="inlineStr">
        <is>
          <t>GAGNEF</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4723-2026</t>
        </is>
      </c>
      <c r="B8247" s="1" t="n">
        <v>46048.47078703704</v>
      </c>
      <c r="C8247" s="1" t="n">
        <v>46114</v>
      </c>
      <c r="D8247" t="inlineStr">
        <is>
          <t>DALARNAS LÄN</t>
        </is>
      </c>
      <c r="E8247" t="inlineStr">
        <is>
          <t>FALUN</t>
        </is>
      </c>
      <c r="G8247" t="n">
        <v>3.9</v>
      </c>
      <c r="H8247" t="n">
        <v>0</v>
      </c>
      <c r="I8247" t="n">
        <v>0</v>
      </c>
      <c r="J8247" t="n">
        <v>0</v>
      </c>
      <c r="K8247" t="n">
        <v>0</v>
      </c>
      <c r="L8247" t="n">
        <v>0</v>
      </c>
      <c r="M8247" t="n">
        <v>0</v>
      </c>
      <c r="N8247" t="n">
        <v>0</v>
      </c>
      <c r="O8247" t="n">
        <v>0</v>
      </c>
      <c r="P8247" t="n">
        <v>0</v>
      </c>
      <c r="Q8247" t="n">
        <v>0</v>
      </c>
      <c r="R8247" s="2" t="inlineStr"/>
    </row>
    <row r="8248" ht="15" customHeight="1">
      <c r="A8248" t="inlineStr">
        <is>
          <t>A 4732-2026</t>
        </is>
      </c>
      <c r="B8248" s="1" t="n">
        <v>46048.4807175926</v>
      </c>
      <c r="C8248" s="1" t="n">
        <v>46114</v>
      </c>
      <c r="D8248" t="inlineStr">
        <is>
          <t>DALARNAS LÄN</t>
        </is>
      </c>
      <c r="E8248" t="inlineStr">
        <is>
          <t>FALUN</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41869-2023</t>
        </is>
      </c>
      <c r="B8249" s="1" t="n">
        <v>45176</v>
      </c>
      <c r="C8249" s="1" t="n">
        <v>46114</v>
      </c>
      <c r="D8249" t="inlineStr">
        <is>
          <t>DALARNAS LÄN</t>
        </is>
      </c>
      <c r="E8249" t="inlineStr">
        <is>
          <t>RÄTTVIK</t>
        </is>
      </c>
      <c r="G8249" t="n">
        <v>0.2</v>
      </c>
      <c r="H8249" t="n">
        <v>0</v>
      </c>
      <c r="I8249" t="n">
        <v>0</v>
      </c>
      <c r="J8249" t="n">
        <v>0</v>
      </c>
      <c r="K8249" t="n">
        <v>0</v>
      </c>
      <c r="L8249" t="n">
        <v>0</v>
      </c>
      <c r="M8249" t="n">
        <v>0</v>
      </c>
      <c r="N8249" t="n">
        <v>0</v>
      </c>
      <c r="O8249" t="n">
        <v>0</v>
      </c>
      <c r="P8249" t="n">
        <v>0</v>
      </c>
      <c r="Q8249" t="n">
        <v>0</v>
      </c>
      <c r="R8249" s="2" t="inlineStr"/>
    </row>
    <row r="8250" ht="15" customHeight="1">
      <c r="A8250" t="inlineStr">
        <is>
          <t>A 4738-2026</t>
        </is>
      </c>
      <c r="B8250" s="1" t="n">
        <v>46048.49013888889</v>
      </c>
      <c r="C8250" s="1" t="n">
        <v>46114</v>
      </c>
      <c r="D8250" t="inlineStr">
        <is>
          <t>DALARNAS LÄN</t>
        </is>
      </c>
      <c r="E8250" t="inlineStr">
        <is>
          <t>FALUN</t>
        </is>
      </c>
      <c r="G8250" t="n">
        <v>3.7</v>
      </c>
      <c r="H8250" t="n">
        <v>0</v>
      </c>
      <c r="I8250" t="n">
        <v>0</v>
      </c>
      <c r="J8250" t="n">
        <v>0</v>
      </c>
      <c r="K8250" t="n">
        <v>0</v>
      </c>
      <c r="L8250" t="n">
        <v>0</v>
      </c>
      <c r="M8250" t="n">
        <v>0</v>
      </c>
      <c r="N8250" t="n">
        <v>0</v>
      </c>
      <c r="O8250" t="n">
        <v>0</v>
      </c>
      <c r="P8250" t="n">
        <v>0</v>
      </c>
      <c r="Q8250" t="n">
        <v>0</v>
      </c>
      <c r="R8250" s="2" t="inlineStr"/>
    </row>
    <row r="8251" ht="15" customHeight="1">
      <c r="A8251" t="inlineStr">
        <is>
          <t>A 4790-2026</t>
        </is>
      </c>
      <c r="B8251" s="1" t="n">
        <v>46048.56425925926</v>
      </c>
      <c r="C8251" s="1" t="n">
        <v>46114</v>
      </c>
      <c r="D8251" t="inlineStr">
        <is>
          <t>DALARNAS LÄN</t>
        </is>
      </c>
      <c r="E8251" t="inlineStr">
        <is>
          <t>VANSBRO</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30985-2024</t>
        </is>
      </c>
      <c r="B8252" s="1" t="n">
        <v>45499.51721064815</v>
      </c>
      <c r="C8252" s="1" t="n">
        <v>46114</v>
      </c>
      <c r="D8252" t="inlineStr">
        <is>
          <t>DALARNAS LÄN</t>
        </is>
      </c>
      <c r="E8252" t="inlineStr">
        <is>
          <t>MORA</t>
        </is>
      </c>
      <c r="G8252" t="n">
        <v>0.7</v>
      </c>
      <c r="H8252" t="n">
        <v>0</v>
      </c>
      <c r="I8252" t="n">
        <v>0</v>
      </c>
      <c r="J8252" t="n">
        <v>0</v>
      </c>
      <c r="K8252" t="n">
        <v>0</v>
      </c>
      <c r="L8252" t="n">
        <v>0</v>
      </c>
      <c r="M8252" t="n">
        <v>0</v>
      </c>
      <c r="N8252" t="n">
        <v>0</v>
      </c>
      <c r="O8252" t="n">
        <v>0</v>
      </c>
      <c r="P8252" t="n">
        <v>0</v>
      </c>
      <c r="Q8252" t="n">
        <v>0</v>
      </c>
      <c r="R8252" s="2" t="inlineStr"/>
    </row>
    <row r="8253" ht="15" customHeight="1">
      <c r="A8253" t="inlineStr">
        <is>
          <t>A 4812-2026</t>
        </is>
      </c>
      <c r="B8253" s="1" t="n">
        <v>46048</v>
      </c>
      <c r="C8253" s="1" t="n">
        <v>46114</v>
      </c>
      <c r="D8253" t="inlineStr">
        <is>
          <t>DALARNAS LÄN</t>
        </is>
      </c>
      <c r="E8253" t="inlineStr">
        <is>
          <t>FALUN</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4824-2026</t>
        </is>
      </c>
      <c r="B8254" s="1" t="n">
        <v>46048</v>
      </c>
      <c r="C8254" s="1" t="n">
        <v>46114</v>
      </c>
      <c r="D8254" t="inlineStr">
        <is>
          <t>DALARNAS LÄN</t>
        </is>
      </c>
      <c r="E8254" t="inlineStr">
        <is>
          <t>RÄTTVIK</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4825-2026</t>
        </is>
      </c>
      <c r="B8255" s="1" t="n">
        <v>46048.59648148148</v>
      </c>
      <c r="C8255" s="1" t="n">
        <v>46114</v>
      </c>
      <c r="D8255" t="inlineStr">
        <is>
          <t>DALARNAS LÄN</t>
        </is>
      </c>
      <c r="E8255" t="inlineStr">
        <is>
          <t>FALUN</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4826-2026</t>
        </is>
      </c>
      <c r="B8256" s="1" t="n">
        <v>46048.59686342593</v>
      </c>
      <c r="C8256" s="1" t="n">
        <v>46114</v>
      </c>
      <c r="D8256" t="inlineStr">
        <is>
          <t>DALARNAS LÄN</t>
        </is>
      </c>
      <c r="E8256" t="inlineStr">
        <is>
          <t>GAGNEF</t>
        </is>
      </c>
      <c r="G8256" t="n">
        <v>8.699999999999999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46885-2024</t>
        </is>
      </c>
      <c r="B8257" s="1" t="n">
        <v>45583.65962962963</v>
      </c>
      <c r="C8257" s="1" t="n">
        <v>46114</v>
      </c>
      <c r="D8257" t="inlineStr">
        <is>
          <t>DALARNAS LÄN</t>
        </is>
      </c>
      <c r="E8257" t="inlineStr">
        <is>
          <t>MALUNG-SÄLEN</t>
        </is>
      </c>
      <c r="F8257" t="inlineStr">
        <is>
          <t>Bergvik skog väst AB</t>
        </is>
      </c>
      <c r="G8257" t="n">
        <v>10</v>
      </c>
      <c r="H8257" t="n">
        <v>0</v>
      </c>
      <c r="I8257" t="n">
        <v>0</v>
      </c>
      <c r="J8257" t="n">
        <v>0</v>
      </c>
      <c r="K8257" t="n">
        <v>0</v>
      </c>
      <c r="L8257" t="n">
        <v>0</v>
      </c>
      <c r="M8257" t="n">
        <v>0</v>
      </c>
      <c r="N8257" t="n">
        <v>0</v>
      </c>
      <c r="O8257" t="n">
        <v>0</v>
      </c>
      <c r="P8257" t="n">
        <v>0</v>
      </c>
      <c r="Q8257" t="n">
        <v>0</v>
      </c>
      <c r="R8257" s="2" t="inlineStr"/>
    </row>
    <row r="8258" ht="15" customHeight="1">
      <c r="A8258" t="inlineStr">
        <is>
          <t>A 10822-2026</t>
        </is>
      </c>
      <c r="B8258" s="1" t="n">
        <v>46078</v>
      </c>
      <c r="C8258" s="1" t="n">
        <v>46114</v>
      </c>
      <c r="D8258" t="inlineStr">
        <is>
          <t>DALARNAS LÄN</t>
        </is>
      </c>
      <c r="E8258" t="inlineStr">
        <is>
          <t>FALUN</t>
        </is>
      </c>
      <c r="F8258" t="inlineStr">
        <is>
          <t>Bergvik skog väst AB</t>
        </is>
      </c>
      <c r="G8258" t="n">
        <v>2.4</v>
      </c>
      <c r="H8258" t="n">
        <v>0</v>
      </c>
      <c r="I8258" t="n">
        <v>0</v>
      </c>
      <c r="J8258" t="n">
        <v>0</v>
      </c>
      <c r="K8258" t="n">
        <v>0</v>
      </c>
      <c r="L8258" t="n">
        <v>0</v>
      </c>
      <c r="M8258" t="n">
        <v>0</v>
      </c>
      <c r="N8258" t="n">
        <v>0</v>
      </c>
      <c r="O8258" t="n">
        <v>0</v>
      </c>
      <c r="P8258" t="n">
        <v>0</v>
      </c>
      <c r="Q8258" t="n">
        <v>0</v>
      </c>
      <c r="R8258" s="2" t="inlineStr"/>
    </row>
    <row r="8259" ht="15" customHeight="1">
      <c r="A8259" t="inlineStr">
        <is>
          <t>A 10866-2026</t>
        </is>
      </c>
      <c r="B8259" s="1" t="n">
        <v>46078</v>
      </c>
      <c r="C8259" s="1" t="n">
        <v>46114</v>
      </c>
      <c r="D8259" t="inlineStr">
        <is>
          <t>DALARNAS LÄN</t>
        </is>
      </c>
      <c r="E8259" t="inlineStr">
        <is>
          <t>FALUN</t>
        </is>
      </c>
      <c r="F8259" t="inlineStr">
        <is>
          <t>Bergvik skog väst AB</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10864-2026</t>
        </is>
      </c>
      <c r="B8260" s="1" t="n">
        <v>46078</v>
      </c>
      <c r="C8260" s="1" t="n">
        <v>46114</v>
      </c>
      <c r="D8260" t="inlineStr">
        <is>
          <t>DALARNAS LÄN</t>
        </is>
      </c>
      <c r="E8260" t="inlineStr">
        <is>
          <t>FALUN</t>
        </is>
      </c>
      <c r="F8260" t="inlineStr">
        <is>
          <t>Bergvik skog väst AB</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53981-2025</t>
        </is>
      </c>
      <c r="B8261" s="1" t="n">
        <v>45961</v>
      </c>
      <c r="C8261" s="1" t="n">
        <v>46114</v>
      </c>
      <c r="D8261" t="inlineStr">
        <is>
          <t>DALARNAS LÄN</t>
        </is>
      </c>
      <c r="E8261" t="inlineStr">
        <is>
          <t>LUDVIKA</t>
        </is>
      </c>
      <c r="F8261" t="inlineStr">
        <is>
          <t>Bergvik skog väst AB</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4766-2026</t>
        </is>
      </c>
      <c r="B8262" s="1" t="n">
        <v>46048</v>
      </c>
      <c r="C8262" s="1" t="n">
        <v>46114</v>
      </c>
      <c r="D8262" t="inlineStr">
        <is>
          <t>DALARNAS LÄN</t>
        </is>
      </c>
      <c r="E8262" t="inlineStr">
        <is>
          <t>FALUN</t>
        </is>
      </c>
      <c r="G8262" t="n">
        <v>2.7</v>
      </c>
      <c r="H8262" t="n">
        <v>0</v>
      </c>
      <c r="I8262" t="n">
        <v>0</v>
      </c>
      <c r="J8262" t="n">
        <v>0</v>
      </c>
      <c r="K8262" t="n">
        <v>0</v>
      </c>
      <c r="L8262" t="n">
        <v>0</v>
      </c>
      <c r="M8262" t="n">
        <v>0</v>
      </c>
      <c r="N8262" t="n">
        <v>0</v>
      </c>
      <c r="O8262" t="n">
        <v>0</v>
      </c>
      <c r="P8262" t="n">
        <v>0</v>
      </c>
      <c r="Q8262" t="n">
        <v>0</v>
      </c>
      <c r="R8262" s="2" t="inlineStr"/>
    </row>
    <row r="8263" ht="15" customHeight="1">
      <c r="A8263" t="inlineStr">
        <is>
          <t>A 18129-2024</t>
        </is>
      </c>
      <c r="B8263" s="1" t="n">
        <v>45420.56627314815</v>
      </c>
      <c r="C8263" s="1" t="n">
        <v>46114</v>
      </c>
      <c r="D8263" t="inlineStr">
        <is>
          <t>DALARNAS LÄN</t>
        </is>
      </c>
      <c r="E8263" t="inlineStr">
        <is>
          <t>RÄTTVIK</t>
        </is>
      </c>
      <c r="F8263" t="inlineStr">
        <is>
          <t>Sveaskog</t>
        </is>
      </c>
      <c r="G8263" t="n">
        <v>2.5</v>
      </c>
      <c r="H8263" t="n">
        <v>0</v>
      </c>
      <c r="I8263" t="n">
        <v>0</v>
      </c>
      <c r="J8263" t="n">
        <v>0</v>
      </c>
      <c r="K8263" t="n">
        <v>0</v>
      </c>
      <c r="L8263" t="n">
        <v>0</v>
      </c>
      <c r="M8263" t="n">
        <v>0</v>
      </c>
      <c r="N8263" t="n">
        <v>0</v>
      </c>
      <c r="O8263" t="n">
        <v>0</v>
      </c>
      <c r="P8263" t="n">
        <v>0</v>
      </c>
      <c r="Q8263" t="n">
        <v>0</v>
      </c>
      <c r="R8263" s="2" t="inlineStr"/>
    </row>
    <row r="8264" ht="15" customHeight="1">
      <c r="A8264" t="inlineStr">
        <is>
          <t>A 18133-2024</t>
        </is>
      </c>
      <c r="B8264" s="1" t="n">
        <v>45420.56997685185</v>
      </c>
      <c r="C8264" s="1" t="n">
        <v>46114</v>
      </c>
      <c r="D8264" t="inlineStr">
        <is>
          <t>DALARNAS LÄN</t>
        </is>
      </c>
      <c r="E8264" t="inlineStr">
        <is>
          <t>SMEDJEBACKEN</t>
        </is>
      </c>
      <c r="F8264" t="inlineStr">
        <is>
          <t>Sveaskog</t>
        </is>
      </c>
      <c r="G8264" t="n">
        <v>8.5</v>
      </c>
      <c r="H8264" t="n">
        <v>0</v>
      </c>
      <c r="I8264" t="n">
        <v>0</v>
      </c>
      <c r="J8264" t="n">
        <v>0</v>
      </c>
      <c r="K8264" t="n">
        <v>0</v>
      </c>
      <c r="L8264" t="n">
        <v>0</v>
      </c>
      <c r="M8264" t="n">
        <v>0</v>
      </c>
      <c r="N8264" t="n">
        <v>0</v>
      </c>
      <c r="O8264" t="n">
        <v>0</v>
      </c>
      <c r="P8264" t="n">
        <v>0</v>
      </c>
      <c r="Q8264" t="n">
        <v>0</v>
      </c>
      <c r="R8264" s="2" t="inlineStr"/>
    </row>
    <row r="8265" ht="15" customHeight="1">
      <c r="A8265" t="inlineStr">
        <is>
          <t>A 4970-2026</t>
        </is>
      </c>
      <c r="B8265" s="1" t="n">
        <v>46049.34185185185</v>
      </c>
      <c r="C8265" s="1" t="n">
        <v>46114</v>
      </c>
      <c r="D8265" t="inlineStr">
        <is>
          <t>DALARNAS LÄN</t>
        </is>
      </c>
      <c r="E8265" t="inlineStr">
        <is>
          <t>VANSBRO</t>
        </is>
      </c>
      <c r="F8265" t="inlineStr">
        <is>
          <t>Bergvik skog väst AB</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4971-2026</t>
        </is>
      </c>
      <c r="B8266" s="1" t="n">
        <v>46049.34407407408</v>
      </c>
      <c r="C8266" s="1" t="n">
        <v>46114</v>
      </c>
      <c r="D8266" t="inlineStr">
        <is>
          <t>DALARNAS LÄN</t>
        </is>
      </c>
      <c r="E8266" t="inlineStr">
        <is>
          <t>FALUN</t>
        </is>
      </c>
      <c r="G8266" t="n">
        <v>7.7</v>
      </c>
      <c r="H8266" t="n">
        <v>0</v>
      </c>
      <c r="I8266" t="n">
        <v>0</v>
      </c>
      <c r="J8266" t="n">
        <v>0</v>
      </c>
      <c r="K8266" t="n">
        <v>0</v>
      </c>
      <c r="L8266" t="n">
        <v>0</v>
      </c>
      <c r="M8266" t="n">
        <v>0</v>
      </c>
      <c r="N8266" t="n">
        <v>0</v>
      </c>
      <c r="O8266" t="n">
        <v>0</v>
      </c>
      <c r="P8266" t="n">
        <v>0</v>
      </c>
      <c r="Q8266" t="n">
        <v>0</v>
      </c>
      <c r="R8266" s="2" t="inlineStr"/>
    </row>
    <row r="8267" ht="15" customHeight="1">
      <c r="A8267" t="inlineStr">
        <is>
          <t>A 4995-2026</t>
        </is>
      </c>
      <c r="B8267" s="1" t="n">
        <v>46049.41674768519</v>
      </c>
      <c r="C8267" s="1" t="n">
        <v>46114</v>
      </c>
      <c r="D8267" t="inlineStr">
        <is>
          <t>DALARNAS LÄN</t>
        </is>
      </c>
      <c r="E8267" t="inlineStr">
        <is>
          <t>FALUN</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5001-2026</t>
        </is>
      </c>
      <c r="B8268" s="1" t="n">
        <v>46049.424375</v>
      </c>
      <c r="C8268" s="1" t="n">
        <v>46114</v>
      </c>
      <c r="D8268" t="inlineStr">
        <is>
          <t>DALARNAS LÄN</t>
        </is>
      </c>
      <c r="E8268" t="inlineStr">
        <is>
          <t>FALUN</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5012-2026</t>
        </is>
      </c>
      <c r="B8269" s="1" t="n">
        <v>46049.43098379629</v>
      </c>
      <c r="C8269" s="1" t="n">
        <v>46114</v>
      </c>
      <c r="D8269" t="inlineStr">
        <is>
          <t>DALARNAS LÄN</t>
        </is>
      </c>
      <c r="E8269" t="inlineStr">
        <is>
          <t>FALUN</t>
        </is>
      </c>
      <c r="G8269" t="n">
        <v>1</v>
      </c>
      <c r="H8269" t="n">
        <v>0</v>
      </c>
      <c r="I8269" t="n">
        <v>0</v>
      </c>
      <c r="J8269" t="n">
        <v>0</v>
      </c>
      <c r="K8269" t="n">
        <v>0</v>
      </c>
      <c r="L8269" t="n">
        <v>0</v>
      </c>
      <c r="M8269" t="n">
        <v>0</v>
      </c>
      <c r="N8269" t="n">
        <v>0</v>
      </c>
      <c r="O8269" t="n">
        <v>0</v>
      </c>
      <c r="P8269" t="n">
        <v>0</v>
      </c>
      <c r="Q8269" t="n">
        <v>0</v>
      </c>
      <c r="R8269" s="2" t="inlineStr"/>
    </row>
    <row r="8270" ht="15" customHeight="1">
      <c r="A8270" t="inlineStr">
        <is>
          <t>A 5017-2026</t>
        </is>
      </c>
      <c r="B8270" s="1" t="n">
        <v>46049.43462962963</v>
      </c>
      <c r="C8270" s="1" t="n">
        <v>46114</v>
      </c>
      <c r="D8270" t="inlineStr">
        <is>
          <t>DALARNAS LÄN</t>
        </is>
      </c>
      <c r="E8270" t="inlineStr">
        <is>
          <t>FALUN</t>
        </is>
      </c>
      <c r="G8270" t="n">
        <v>6.8</v>
      </c>
      <c r="H8270" t="n">
        <v>0</v>
      </c>
      <c r="I8270" t="n">
        <v>0</v>
      </c>
      <c r="J8270" t="n">
        <v>0</v>
      </c>
      <c r="K8270" t="n">
        <v>0</v>
      </c>
      <c r="L8270" t="n">
        <v>0</v>
      </c>
      <c r="M8270" t="n">
        <v>0</v>
      </c>
      <c r="N8270" t="n">
        <v>0</v>
      </c>
      <c r="O8270" t="n">
        <v>0</v>
      </c>
      <c r="P8270" t="n">
        <v>0</v>
      </c>
      <c r="Q8270" t="n">
        <v>0</v>
      </c>
      <c r="R8270" s="2" t="inlineStr"/>
    </row>
    <row r="8271" ht="15" customHeight="1">
      <c r="A8271" t="inlineStr">
        <is>
          <t>A 5023-2026</t>
        </is>
      </c>
      <c r="B8271" s="1" t="n">
        <v>46049.44555555555</v>
      </c>
      <c r="C8271" s="1" t="n">
        <v>46114</v>
      </c>
      <c r="D8271" t="inlineStr">
        <is>
          <t>DALARNAS LÄN</t>
        </is>
      </c>
      <c r="E8271" t="inlineStr">
        <is>
          <t>AVESTA</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5031-2026</t>
        </is>
      </c>
      <c r="B8272" s="1" t="n">
        <v>46049.45141203704</v>
      </c>
      <c r="C8272" s="1" t="n">
        <v>46114</v>
      </c>
      <c r="D8272" t="inlineStr">
        <is>
          <t>DALARNAS LÄN</t>
        </is>
      </c>
      <c r="E8272" t="inlineStr">
        <is>
          <t>AVESTA</t>
        </is>
      </c>
      <c r="G8272" t="n">
        <v>1.1</v>
      </c>
      <c r="H8272" t="n">
        <v>0</v>
      </c>
      <c r="I8272" t="n">
        <v>0</v>
      </c>
      <c r="J8272" t="n">
        <v>0</v>
      </c>
      <c r="K8272" t="n">
        <v>0</v>
      </c>
      <c r="L8272" t="n">
        <v>0</v>
      </c>
      <c r="M8272" t="n">
        <v>0</v>
      </c>
      <c r="N8272" t="n">
        <v>0</v>
      </c>
      <c r="O8272" t="n">
        <v>0</v>
      </c>
      <c r="P8272" t="n">
        <v>0</v>
      </c>
      <c r="Q8272" t="n">
        <v>0</v>
      </c>
      <c r="R8272" s="2" t="inlineStr"/>
    </row>
    <row r="8273" ht="15" customHeight="1">
      <c r="A8273" t="inlineStr">
        <is>
          <t>A 18202-2024</t>
        </is>
      </c>
      <c r="B8273" s="1" t="n">
        <v>45420.68172453704</v>
      </c>
      <c r="C8273" s="1" t="n">
        <v>46114</v>
      </c>
      <c r="D8273" t="inlineStr">
        <is>
          <t>DALARNAS LÄN</t>
        </is>
      </c>
      <c r="E8273" t="inlineStr">
        <is>
          <t>MORA</t>
        </is>
      </c>
      <c r="G8273" t="n">
        <v>2</v>
      </c>
      <c r="H8273" t="n">
        <v>0</v>
      </c>
      <c r="I8273" t="n">
        <v>0</v>
      </c>
      <c r="J8273" t="n">
        <v>0</v>
      </c>
      <c r="K8273" t="n">
        <v>0</v>
      </c>
      <c r="L8273" t="n">
        <v>0</v>
      </c>
      <c r="M8273" t="n">
        <v>0</v>
      </c>
      <c r="N8273" t="n">
        <v>0</v>
      </c>
      <c r="O8273" t="n">
        <v>0</v>
      </c>
      <c r="P8273" t="n">
        <v>0</v>
      </c>
      <c r="Q8273" t="n">
        <v>0</v>
      </c>
      <c r="R8273" s="2" t="inlineStr"/>
    </row>
    <row r="8274" ht="15" customHeight="1">
      <c r="A8274" t="inlineStr">
        <is>
          <t>A 40286-2024</t>
        </is>
      </c>
      <c r="B8274" s="1" t="n">
        <v>45554.6687037037</v>
      </c>
      <c r="C8274" s="1" t="n">
        <v>46114</v>
      </c>
      <c r="D8274" t="inlineStr">
        <is>
          <t>DALARNAS LÄN</t>
        </is>
      </c>
      <c r="E8274" t="inlineStr">
        <is>
          <t>MORA</t>
        </is>
      </c>
      <c r="G8274" t="n">
        <v>0.4</v>
      </c>
      <c r="H8274" t="n">
        <v>0</v>
      </c>
      <c r="I8274" t="n">
        <v>0</v>
      </c>
      <c r="J8274" t="n">
        <v>0</v>
      </c>
      <c r="K8274" t="n">
        <v>0</v>
      </c>
      <c r="L8274" t="n">
        <v>0</v>
      </c>
      <c r="M8274" t="n">
        <v>0</v>
      </c>
      <c r="N8274" t="n">
        <v>0</v>
      </c>
      <c r="O8274" t="n">
        <v>0</v>
      </c>
      <c r="P8274" t="n">
        <v>0</v>
      </c>
      <c r="Q8274" t="n">
        <v>0</v>
      </c>
      <c r="R8274" s="2" t="inlineStr"/>
    </row>
    <row r="8275" ht="15" customHeight="1">
      <c r="A8275" t="inlineStr">
        <is>
          <t>A 5071-2026</t>
        </is>
      </c>
      <c r="B8275" s="1" t="n">
        <v>46049</v>
      </c>
      <c r="C8275" s="1" t="n">
        <v>46114</v>
      </c>
      <c r="D8275" t="inlineStr">
        <is>
          <t>DALARNAS LÄN</t>
        </is>
      </c>
      <c r="E8275" t="inlineStr">
        <is>
          <t>FALUN</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4558-2026</t>
        </is>
      </c>
      <c r="B8276" s="1" t="n">
        <v>46047</v>
      </c>
      <c r="C8276" s="1" t="n">
        <v>46114</v>
      </c>
      <c r="D8276" t="inlineStr">
        <is>
          <t>DALARNAS LÄN</t>
        </is>
      </c>
      <c r="E8276" t="inlineStr">
        <is>
          <t>FALUN</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5225-2026</t>
        </is>
      </c>
      <c r="B8277" s="1" t="n">
        <v>46049</v>
      </c>
      <c r="C8277" s="1" t="n">
        <v>46114</v>
      </c>
      <c r="D8277" t="inlineStr">
        <is>
          <t>DALARNAS LÄN</t>
        </is>
      </c>
      <c r="E8277" t="inlineStr">
        <is>
          <t>FALUN</t>
        </is>
      </c>
      <c r="G8277" t="n">
        <v>1.5</v>
      </c>
      <c r="H8277" t="n">
        <v>0</v>
      </c>
      <c r="I8277" t="n">
        <v>0</v>
      </c>
      <c r="J8277" t="n">
        <v>0</v>
      </c>
      <c r="K8277" t="n">
        <v>0</v>
      </c>
      <c r="L8277" t="n">
        <v>0</v>
      </c>
      <c r="M8277" t="n">
        <v>0</v>
      </c>
      <c r="N8277" t="n">
        <v>0</v>
      </c>
      <c r="O8277" t="n">
        <v>0</v>
      </c>
      <c r="P8277" t="n">
        <v>0</v>
      </c>
      <c r="Q8277" t="n">
        <v>0</v>
      </c>
      <c r="R8277" s="2" t="inlineStr"/>
    </row>
    <row r="8278" ht="15" customHeight="1">
      <c r="A8278" t="inlineStr">
        <is>
          <t>A 33107-2023</t>
        </is>
      </c>
      <c r="B8278" s="1" t="n">
        <v>45114</v>
      </c>
      <c r="C8278" s="1" t="n">
        <v>46114</v>
      </c>
      <c r="D8278" t="inlineStr">
        <is>
          <t>DALARNAS LÄN</t>
        </is>
      </c>
      <c r="E8278" t="inlineStr">
        <is>
          <t>ÄLVDALEN</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27345-2024</t>
        </is>
      </c>
      <c r="B8279" s="1" t="n">
        <v>45473.51564814815</v>
      </c>
      <c r="C8279" s="1" t="n">
        <v>46114</v>
      </c>
      <c r="D8279" t="inlineStr">
        <is>
          <t>DALARNAS LÄN</t>
        </is>
      </c>
      <c r="E8279" t="inlineStr">
        <is>
          <t>AVESTA</t>
        </is>
      </c>
      <c r="G8279" t="n">
        <v>3.1</v>
      </c>
      <c r="H8279" t="n">
        <v>0</v>
      </c>
      <c r="I8279" t="n">
        <v>0</v>
      </c>
      <c r="J8279" t="n">
        <v>0</v>
      </c>
      <c r="K8279" t="n">
        <v>0</v>
      </c>
      <c r="L8279" t="n">
        <v>0</v>
      </c>
      <c r="M8279" t="n">
        <v>0</v>
      </c>
      <c r="N8279" t="n">
        <v>0</v>
      </c>
      <c r="O8279" t="n">
        <v>0</v>
      </c>
      <c r="P8279" t="n">
        <v>0</v>
      </c>
      <c r="Q8279" t="n">
        <v>0</v>
      </c>
      <c r="R8279" s="2" t="inlineStr"/>
    </row>
    <row r="8280" ht="15" customHeight="1">
      <c r="A8280" t="inlineStr">
        <is>
          <t>A 5242-2026</t>
        </is>
      </c>
      <c r="B8280" s="1" t="n">
        <v>46049</v>
      </c>
      <c r="C8280" s="1" t="n">
        <v>46114</v>
      </c>
      <c r="D8280" t="inlineStr">
        <is>
          <t>DALARNAS LÄN</t>
        </is>
      </c>
      <c r="E8280" t="inlineStr">
        <is>
          <t>FALUN</t>
        </is>
      </c>
      <c r="G8280" t="n">
        <v>8.300000000000001</v>
      </c>
      <c r="H8280" t="n">
        <v>0</v>
      </c>
      <c r="I8280" t="n">
        <v>0</v>
      </c>
      <c r="J8280" t="n">
        <v>0</v>
      </c>
      <c r="K8280" t="n">
        <v>0</v>
      </c>
      <c r="L8280" t="n">
        <v>0</v>
      </c>
      <c r="M8280" t="n">
        <v>0</v>
      </c>
      <c r="N8280" t="n">
        <v>0</v>
      </c>
      <c r="O8280" t="n">
        <v>0</v>
      </c>
      <c r="P8280" t="n">
        <v>0</v>
      </c>
      <c r="Q8280" t="n">
        <v>0</v>
      </c>
      <c r="R8280" s="2" t="inlineStr"/>
    </row>
    <row r="8281" ht="15" customHeight="1">
      <c r="A8281" t="inlineStr">
        <is>
          <t>A 10868-2026</t>
        </is>
      </c>
      <c r="B8281" s="1" t="n">
        <v>46078</v>
      </c>
      <c r="C8281" s="1" t="n">
        <v>46114</v>
      </c>
      <c r="D8281" t="inlineStr">
        <is>
          <t>DALARNAS LÄN</t>
        </is>
      </c>
      <c r="E8281" t="inlineStr">
        <is>
          <t>FALUN</t>
        </is>
      </c>
      <c r="F8281" t="inlineStr">
        <is>
          <t>Bergvik skog väst AB</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4543-2026</t>
        </is>
      </c>
      <c r="B8282" s="1" t="n">
        <v>46047.35318287037</v>
      </c>
      <c r="C8282" s="1" t="n">
        <v>46114</v>
      </c>
      <c r="D8282" t="inlineStr">
        <is>
          <t>DALARNAS LÄN</t>
        </is>
      </c>
      <c r="E8282" t="inlineStr">
        <is>
          <t>BORLÄNGE</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12512-2026</t>
        </is>
      </c>
      <c r="B8283" s="1" t="n">
        <v>46090.58297453704</v>
      </c>
      <c r="C8283" s="1" t="n">
        <v>46114</v>
      </c>
      <c r="D8283" t="inlineStr">
        <is>
          <t>DALARNAS LÄN</t>
        </is>
      </c>
      <c r="E8283" t="inlineStr">
        <is>
          <t>FALUN</t>
        </is>
      </c>
      <c r="F8283" t="inlineStr">
        <is>
          <t>Bergvik skog väst AB</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10963-2026</t>
        </is>
      </c>
      <c r="B8284" s="1" t="n">
        <v>46079</v>
      </c>
      <c r="C8284" s="1" t="n">
        <v>46114</v>
      </c>
      <c r="D8284" t="inlineStr">
        <is>
          <t>DALARNAS LÄN</t>
        </is>
      </c>
      <c r="E8284" t="inlineStr">
        <is>
          <t>FALUN</t>
        </is>
      </c>
      <c r="F8284" t="inlineStr">
        <is>
          <t>Bergvik skog väst AB</t>
        </is>
      </c>
      <c r="G8284" t="n">
        <v>5.1</v>
      </c>
      <c r="H8284" t="n">
        <v>0</v>
      </c>
      <c r="I8284" t="n">
        <v>0</v>
      </c>
      <c r="J8284" t="n">
        <v>0</v>
      </c>
      <c r="K8284" t="n">
        <v>0</v>
      </c>
      <c r="L8284" t="n">
        <v>0</v>
      </c>
      <c r="M8284" t="n">
        <v>0</v>
      </c>
      <c r="N8284" t="n">
        <v>0</v>
      </c>
      <c r="O8284" t="n">
        <v>0</v>
      </c>
      <c r="P8284" t="n">
        <v>0</v>
      </c>
      <c r="Q8284" t="n">
        <v>0</v>
      </c>
      <c r="R8284" s="2" t="inlineStr"/>
    </row>
    <row r="8285" ht="15" customHeight="1">
      <c r="A8285" t="inlineStr">
        <is>
          <t>A 1081-2025</t>
        </is>
      </c>
      <c r="B8285" s="1" t="n">
        <v>45666.61589120371</v>
      </c>
      <c r="C8285" s="1" t="n">
        <v>46114</v>
      </c>
      <c r="D8285" t="inlineStr">
        <is>
          <t>DALARNAS LÄN</t>
        </is>
      </c>
      <c r="E8285" t="inlineStr">
        <is>
          <t>ÄLVDALEN</t>
        </is>
      </c>
      <c r="G8285" t="n">
        <v>5.8</v>
      </c>
      <c r="H8285" t="n">
        <v>0</v>
      </c>
      <c r="I8285" t="n">
        <v>0</v>
      </c>
      <c r="J8285" t="n">
        <v>0</v>
      </c>
      <c r="K8285" t="n">
        <v>0</v>
      </c>
      <c r="L8285" t="n">
        <v>0</v>
      </c>
      <c r="M8285" t="n">
        <v>0</v>
      </c>
      <c r="N8285" t="n">
        <v>0</v>
      </c>
      <c r="O8285" t="n">
        <v>0</v>
      </c>
      <c r="P8285" t="n">
        <v>0</v>
      </c>
      <c r="Q8285" t="n">
        <v>0</v>
      </c>
      <c r="R8285" s="2" t="inlineStr"/>
    </row>
    <row r="8286" ht="15" customHeight="1">
      <c r="A8286" t="inlineStr">
        <is>
          <t>A 1088-2025</t>
        </is>
      </c>
      <c r="B8286" s="1" t="n">
        <v>45666.62162037037</v>
      </c>
      <c r="C8286" s="1" t="n">
        <v>46114</v>
      </c>
      <c r="D8286" t="inlineStr">
        <is>
          <t>DALARNAS LÄN</t>
        </is>
      </c>
      <c r="E8286" t="inlineStr">
        <is>
          <t>ÄLVDALEN</t>
        </is>
      </c>
      <c r="G8286" t="n">
        <v>5.4</v>
      </c>
      <c r="H8286" t="n">
        <v>0</v>
      </c>
      <c r="I8286" t="n">
        <v>0</v>
      </c>
      <c r="J8286" t="n">
        <v>0</v>
      </c>
      <c r="K8286" t="n">
        <v>0</v>
      </c>
      <c r="L8286" t="n">
        <v>0</v>
      </c>
      <c r="M8286" t="n">
        <v>0</v>
      </c>
      <c r="N8286" t="n">
        <v>0</v>
      </c>
      <c r="O8286" t="n">
        <v>0</v>
      </c>
      <c r="P8286" t="n">
        <v>0</v>
      </c>
      <c r="Q8286" t="n">
        <v>0</v>
      </c>
      <c r="R8286" s="2" t="inlineStr"/>
    </row>
    <row r="8287" ht="15" customHeight="1">
      <c r="A8287" t="inlineStr">
        <is>
          <t>A 15766-2025</t>
        </is>
      </c>
      <c r="B8287" s="1" t="n">
        <v>45748.58409722222</v>
      </c>
      <c r="C8287" s="1" t="n">
        <v>46114</v>
      </c>
      <c r="D8287" t="inlineStr">
        <is>
          <t>DALARNAS LÄN</t>
        </is>
      </c>
      <c r="E8287" t="inlineStr">
        <is>
          <t>ORSA</t>
        </is>
      </c>
      <c r="F8287" t="inlineStr">
        <is>
          <t>Bergvik skog öst AB</t>
        </is>
      </c>
      <c r="G8287" t="n">
        <v>9</v>
      </c>
      <c r="H8287" t="n">
        <v>0</v>
      </c>
      <c r="I8287" t="n">
        <v>0</v>
      </c>
      <c r="J8287" t="n">
        <v>0</v>
      </c>
      <c r="K8287" t="n">
        <v>0</v>
      </c>
      <c r="L8287" t="n">
        <v>0</v>
      </c>
      <c r="M8287" t="n">
        <v>0</v>
      </c>
      <c r="N8287" t="n">
        <v>0</v>
      </c>
      <c r="O8287" t="n">
        <v>0</v>
      </c>
      <c r="P8287" t="n">
        <v>0</v>
      </c>
      <c r="Q8287" t="n">
        <v>0</v>
      </c>
      <c r="R8287" s="2" t="inlineStr"/>
    </row>
    <row r="8288" ht="15" customHeight="1">
      <c r="A8288" t="inlineStr">
        <is>
          <t>A 12488-2026</t>
        </is>
      </c>
      <c r="B8288" s="1" t="n">
        <v>46090.56642361111</v>
      </c>
      <c r="C8288" s="1" t="n">
        <v>46114</v>
      </c>
      <c r="D8288" t="inlineStr">
        <is>
          <t>DALARNAS LÄN</t>
        </is>
      </c>
      <c r="E8288" t="inlineStr">
        <is>
          <t>LEKSAND</t>
        </is>
      </c>
      <c r="F8288" t="inlineStr">
        <is>
          <t>Bergvik skog väst AB</t>
        </is>
      </c>
      <c r="G8288" t="n">
        <v>6.9</v>
      </c>
      <c r="H8288" t="n">
        <v>0</v>
      </c>
      <c r="I8288" t="n">
        <v>0</v>
      </c>
      <c r="J8288" t="n">
        <v>0</v>
      </c>
      <c r="K8288" t="n">
        <v>0</v>
      </c>
      <c r="L8288" t="n">
        <v>0</v>
      </c>
      <c r="M8288" t="n">
        <v>0</v>
      </c>
      <c r="N8288" t="n">
        <v>0</v>
      </c>
      <c r="O8288" t="n">
        <v>0</v>
      </c>
      <c r="P8288" t="n">
        <v>0</v>
      </c>
      <c r="Q8288" t="n">
        <v>0</v>
      </c>
      <c r="R8288" s="2" t="inlineStr"/>
    </row>
    <row r="8289" ht="15" customHeight="1">
      <c r="A8289" t="inlineStr">
        <is>
          <t>A 12431-2026</t>
        </is>
      </c>
      <c r="B8289" s="1" t="n">
        <v>46090.46219907407</v>
      </c>
      <c r="C8289" s="1" t="n">
        <v>46114</v>
      </c>
      <c r="D8289" t="inlineStr">
        <is>
          <t>DALARNAS LÄN</t>
        </is>
      </c>
      <c r="E8289" t="inlineStr">
        <is>
          <t>FALUN</t>
        </is>
      </c>
      <c r="F8289" t="inlineStr">
        <is>
          <t>Bergvik skog väst AB</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29707-2023</t>
        </is>
      </c>
      <c r="B8290" s="1" t="n">
        <v>45107.41450231482</v>
      </c>
      <c r="C8290" s="1" t="n">
        <v>46114</v>
      </c>
      <c r="D8290" t="inlineStr">
        <is>
          <t>DALARNAS LÄN</t>
        </is>
      </c>
      <c r="E8290" t="inlineStr">
        <is>
          <t>RÄTTVIK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15833-2025</t>
        </is>
      </c>
      <c r="B8291" s="1" t="n">
        <v>45748.85107638889</v>
      </c>
      <c r="C8291" s="1" t="n">
        <v>46114</v>
      </c>
      <c r="D8291" t="inlineStr">
        <is>
          <t>DALARNAS LÄN</t>
        </is>
      </c>
      <c r="E8291" t="inlineStr">
        <is>
          <t>HEDEMORA</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2487-2026</t>
        </is>
      </c>
      <c r="B8292" s="1" t="n">
        <v>46037</v>
      </c>
      <c r="C8292" s="1" t="n">
        <v>46114</v>
      </c>
      <c r="D8292" t="inlineStr">
        <is>
          <t>DALARNAS LÄN</t>
        </is>
      </c>
      <c r="E8292" t="inlineStr">
        <is>
          <t>FALUN</t>
        </is>
      </c>
      <c r="G8292" t="n">
        <v>6</v>
      </c>
      <c r="H8292" t="n">
        <v>0</v>
      </c>
      <c r="I8292" t="n">
        <v>0</v>
      </c>
      <c r="J8292" t="n">
        <v>0</v>
      </c>
      <c r="K8292" t="n">
        <v>0</v>
      </c>
      <c r="L8292" t="n">
        <v>0</v>
      </c>
      <c r="M8292" t="n">
        <v>0</v>
      </c>
      <c r="N8292" t="n">
        <v>0</v>
      </c>
      <c r="O8292" t="n">
        <v>0</v>
      </c>
      <c r="P8292" t="n">
        <v>0</v>
      </c>
      <c r="Q8292" t="n">
        <v>0</v>
      </c>
      <c r="R8292" s="2" t="inlineStr"/>
    </row>
    <row r="8293" ht="15" customHeight="1">
      <c r="A8293" t="inlineStr">
        <is>
          <t>A 5041-2026</t>
        </is>
      </c>
      <c r="B8293" s="1" t="n">
        <v>46049.46445601852</v>
      </c>
      <c r="C8293" s="1" t="n">
        <v>46114</v>
      </c>
      <c r="D8293" t="inlineStr">
        <is>
          <t>DALARNAS LÄN</t>
        </is>
      </c>
      <c r="E8293" t="inlineStr">
        <is>
          <t>AVESTA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5045-2026</t>
        </is>
      </c>
      <c r="B8294" s="1" t="n">
        <v>46049</v>
      </c>
      <c r="C8294" s="1" t="n">
        <v>46114</v>
      </c>
      <c r="D8294" t="inlineStr">
        <is>
          <t>DALARNAS LÄN</t>
        </is>
      </c>
      <c r="E8294" t="inlineStr">
        <is>
          <t>ORSA</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9730-2026</t>
        </is>
      </c>
      <c r="B8295" s="1" t="n">
        <v>46071</v>
      </c>
      <c r="C8295" s="1" t="n">
        <v>46114</v>
      </c>
      <c r="D8295" t="inlineStr">
        <is>
          <t>DALARNAS LÄN</t>
        </is>
      </c>
      <c r="E8295" t="inlineStr">
        <is>
          <t>FALUN</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12364-2026</t>
        </is>
      </c>
      <c r="B8296" s="1" t="n">
        <v>46089.36495370371</v>
      </c>
      <c r="C8296" s="1" t="n">
        <v>46114</v>
      </c>
      <c r="D8296" t="inlineStr">
        <is>
          <t>DALARNAS LÄN</t>
        </is>
      </c>
      <c r="E8296" t="inlineStr">
        <is>
          <t>BORLÄNGE</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5019-2026</t>
        </is>
      </c>
      <c r="B8297" s="1" t="n">
        <v>46049.43729166667</v>
      </c>
      <c r="C8297" s="1" t="n">
        <v>46114</v>
      </c>
      <c r="D8297" t="inlineStr">
        <is>
          <t>DALARNAS LÄN</t>
        </is>
      </c>
      <c r="E8297" t="inlineStr">
        <is>
          <t>FALUN</t>
        </is>
      </c>
      <c r="G8297" t="n">
        <v>0.5</v>
      </c>
      <c r="H8297" t="n">
        <v>0</v>
      </c>
      <c r="I8297" t="n">
        <v>0</v>
      </c>
      <c r="J8297" t="n">
        <v>0</v>
      </c>
      <c r="K8297" t="n">
        <v>0</v>
      </c>
      <c r="L8297" t="n">
        <v>0</v>
      </c>
      <c r="M8297" t="n">
        <v>0</v>
      </c>
      <c r="N8297" t="n">
        <v>0</v>
      </c>
      <c r="O8297" t="n">
        <v>0</v>
      </c>
      <c r="P8297" t="n">
        <v>0</v>
      </c>
      <c r="Q8297" t="n">
        <v>0</v>
      </c>
      <c r="R8297" s="2" t="inlineStr"/>
    </row>
    <row r="8298" ht="15" customHeight="1">
      <c r="A8298" t="inlineStr">
        <is>
          <t>A 40435-2024</t>
        </is>
      </c>
      <c r="B8298" s="1" t="n">
        <v>45555.47621527778</v>
      </c>
      <c r="C8298" s="1" t="n">
        <v>46114</v>
      </c>
      <c r="D8298" t="inlineStr">
        <is>
          <t>DALARNAS LÄN</t>
        </is>
      </c>
      <c r="E8298" t="inlineStr">
        <is>
          <t>RÄTTVIK</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60228-2022</t>
        </is>
      </c>
      <c r="B8299" s="1" t="n">
        <v>44910.44016203703</v>
      </c>
      <c r="C8299" s="1" t="n">
        <v>46114</v>
      </c>
      <c r="D8299" t="inlineStr">
        <is>
          <t>DALARNAS LÄN</t>
        </is>
      </c>
      <c r="E8299" t="inlineStr">
        <is>
          <t>RÄTTVIK</t>
        </is>
      </c>
      <c r="G8299" t="n">
        <v>2.3</v>
      </c>
      <c r="H8299" t="n">
        <v>0</v>
      </c>
      <c r="I8299" t="n">
        <v>0</v>
      </c>
      <c r="J8299" t="n">
        <v>0</v>
      </c>
      <c r="K8299" t="n">
        <v>0</v>
      </c>
      <c r="L8299" t="n">
        <v>0</v>
      </c>
      <c r="M8299" t="n">
        <v>0</v>
      </c>
      <c r="N8299" t="n">
        <v>0</v>
      </c>
      <c r="O8299" t="n">
        <v>0</v>
      </c>
      <c r="P8299" t="n">
        <v>0</v>
      </c>
      <c r="Q8299" t="n">
        <v>0</v>
      </c>
      <c r="R8299" s="2" t="inlineStr"/>
    </row>
    <row r="8300" ht="15" customHeight="1">
      <c r="A8300" t="inlineStr">
        <is>
          <t>A 5120-2026</t>
        </is>
      </c>
      <c r="B8300" s="1" t="n">
        <v>46049.57993055556</v>
      </c>
      <c r="C8300" s="1" t="n">
        <v>46114</v>
      </c>
      <c r="D8300" t="inlineStr">
        <is>
          <t>DALARNAS LÄN</t>
        </is>
      </c>
      <c r="E8300" t="inlineStr">
        <is>
          <t>LEKSAND</t>
        </is>
      </c>
      <c r="G8300" t="n">
        <v>4.1</v>
      </c>
      <c r="H8300" t="n">
        <v>0</v>
      </c>
      <c r="I8300" t="n">
        <v>0</v>
      </c>
      <c r="J8300" t="n">
        <v>0</v>
      </c>
      <c r="K8300" t="n">
        <v>0</v>
      </c>
      <c r="L8300" t="n">
        <v>0</v>
      </c>
      <c r="M8300" t="n">
        <v>0</v>
      </c>
      <c r="N8300" t="n">
        <v>0</v>
      </c>
      <c r="O8300" t="n">
        <v>0</v>
      </c>
      <c r="P8300" t="n">
        <v>0</v>
      </c>
      <c r="Q8300" t="n">
        <v>0</v>
      </c>
      <c r="R8300" s="2" t="inlineStr"/>
    </row>
    <row r="8301" ht="15" customHeight="1">
      <c r="A8301" t="inlineStr">
        <is>
          <t>A 4623-2026</t>
        </is>
      </c>
      <c r="B8301" s="1" t="n">
        <v>46048</v>
      </c>
      <c r="C8301" s="1" t="n">
        <v>46114</v>
      </c>
      <c r="D8301" t="inlineStr">
        <is>
          <t>DALARNAS LÄN</t>
        </is>
      </c>
      <c r="E8301" t="inlineStr">
        <is>
          <t>FALUN</t>
        </is>
      </c>
      <c r="F8301" t="inlineStr">
        <is>
          <t>Bergvik skog väst AB</t>
        </is>
      </c>
      <c r="G8301" t="n">
        <v>18.4</v>
      </c>
      <c r="H8301" t="n">
        <v>0</v>
      </c>
      <c r="I8301" t="n">
        <v>0</v>
      </c>
      <c r="J8301" t="n">
        <v>0</v>
      </c>
      <c r="K8301" t="n">
        <v>0</v>
      </c>
      <c r="L8301" t="n">
        <v>0</v>
      </c>
      <c r="M8301" t="n">
        <v>0</v>
      </c>
      <c r="N8301" t="n">
        <v>0</v>
      </c>
      <c r="O8301" t="n">
        <v>0</v>
      </c>
      <c r="P8301" t="n">
        <v>0</v>
      </c>
      <c r="Q8301" t="n">
        <v>0</v>
      </c>
      <c r="R8301" s="2" t="inlineStr"/>
    </row>
    <row r="8302" ht="15" customHeight="1">
      <c r="A8302" t="inlineStr">
        <is>
          <t>A 5326-2026</t>
        </is>
      </c>
      <c r="B8302" s="1" t="n">
        <v>46048</v>
      </c>
      <c r="C8302" s="1" t="n">
        <v>46114</v>
      </c>
      <c r="D8302" t="inlineStr">
        <is>
          <t>DALARNAS LÄN</t>
        </is>
      </c>
      <c r="E8302" t="inlineStr">
        <is>
          <t>HEDEMORA</t>
        </is>
      </c>
      <c r="G8302" t="n">
        <v>3.5</v>
      </c>
      <c r="H8302" t="n">
        <v>0</v>
      </c>
      <c r="I8302" t="n">
        <v>0</v>
      </c>
      <c r="J8302" t="n">
        <v>0</v>
      </c>
      <c r="K8302" t="n">
        <v>0</v>
      </c>
      <c r="L8302" t="n">
        <v>0</v>
      </c>
      <c r="M8302" t="n">
        <v>0</v>
      </c>
      <c r="N8302" t="n">
        <v>0</v>
      </c>
      <c r="O8302" t="n">
        <v>0</v>
      </c>
      <c r="P8302" t="n">
        <v>0</v>
      </c>
      <c r="Q8302" t="n">
        <v>0</v>
      </c>
      <c r="R8302" s="2" t="inlineStr"/>
    </row>
    <row r="8303" ht="15" customHeight="1">
      <c r="A8303" t="inlineStr">
        <is>
          <t>A 10552-2026</t>
        </is>
      </c>
      <c r="B8303" s="1" t="n">
        <v>46077</v>
      </c>
      <c r="C8303" s="1" t="n">
        <v>46114</v>
      </c>
      <c r="D8303" t="inlineStr">
        <is>
          <t>DALARNAS LÄN</t>
        </is>
      </c>
      <c r="E8303" t="inlineStr">
        <is>
          <t>SÄTER</t>
        </is>
      </c>
      <c r="G8303" t="n">
        <v>3.7</v>
      </c>
      <c r="H8303" t="n">
        <v>0</v>
      </c>
      <c r="I8303" t="n">
        <v>0</v>
      </c>
      <c r="J8303" t="n">
        <v>0</v>
      </c>
      <c r="K8303" t="n">
        <v>0</v>
      </c>
      <c r="L8303" t="n">
        <v>0</v>
      </c>
      <c r="M8303" t="n">
        <v>0</v>
      </c>
      <c r="N8303" t="n">
        <v>0</v>
      </c>
      <c r="O8303" t="n">
        <v>0</v>
      </c>
      <c r="P8303" t="n">
        <v>0</v>
      </c>
      <c r="Q8303" t="n">
        <v>0</v>
      </c>
      <c r="R8303" s="2" t="inlineStr"/>
    </row>
    <row r="8304" ht="15" customHeight="1">
      <c r="A8304" t="inlineStr">
        <is>
          <t>A 10650-2026</t>
        </is>
      </c>
      <c r="B8304" s="1" t="n">
        <v>46078</v>
      </c>
      <c r="C8304" s="1" t="n">
        <v>46114</v>
      </c>
      <c r="D8304" t="inlineStr">
        <is>
          <t>DALARNAS LÄN</t>
        </is>
      </c>
      <c r="E8304" t="inlineStr">
        <is>
          <t>FALUN</t>
        </is>
      </c>
      <c r="G8304" t="n">
        <v>1.4</v>
      </c>
      <c r="H8304" t="n">
        <v>0</v>
      </c>
      <c r="I8304" t="n">
        <v>0</v>
      </c>
      <c r="J8304" t="n">
        <v>0</v>
      </c>
      <c r="K8304" t="n">
        <v>0</v>
      </c>
      <c r="L8304" t="n">
        <v>0</v>
      </c>
      <c r="M8304" t="n">
        <v>0</v>
      </c>
      <c r="N8304" t="n">
        <v>0</v>
      </c>
      <c r="O8304" t="n">
        <v>0</v>
      </c>
      <c r="P8304" t="n">
        <v>0</v>
      </c>
      <c r="Q8304" t="n">
        <v>0</v>
      </c>
      <c r="R8304" s="2" t="inlineStr"/>
    </row>
    <row r="8305" ht="15" customHeight="1">
      <c r="A8305" t="inlineStr">
        <is>
          <t>A 10975-2026</t>
        </is>
      </c>
      <c r="B8305" s="1" t="n">
        <v>46079</v>
      </c>
      <c r="C8305" s="1" t="n">
        <v>46114</v>
      </c>
      <c r="D8305" t="inlineStr">
        <is>
          <t>DALARNAS LÄN</t>
        </is>
      </c>
      <c r="E8305" t="inlineStr">
        <is>
          <t>LEKSAND</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4846-2026</t>
        </is>
      </c>
      <c r="B8306" s="1" t="n">
        <v>46048.61894675926</v>
      </c>
      <c r="C8306" s="1" t="n">
        <v>46114</v>
      </c>
      <c r="D8306" t="inlineStr">
        <is>
          <t>DALARNAS LÄN</t>
        </is>
      </c>
      <c r="E8306" t="inlineStr">
        <is>
          <t>AVESTA</t>
        </is>
      </c>
      <c r="G8306" t="n">
        <v>8.800000000000001</v>
      </c>
      <c r="H8306" t="n">
        <v>0</v>
      </c>
      <c r="I8306" t="n">
        <v>0</v>
      </c>
      <c r="J8306" t="n">
        <v>0</v>
      </c>
      <c r="K8306" t="n">
        <v>0</v>
      </c>
      <c r="L8306" t="n">
        <v>0</v>
      </c>
      <c r="M8306" t="n">
        <v>0</v>
      </c>
      <c r="N8306" t="n">
        <v>0</v>
      </c>
      <c r="O8306" t="n">
        <v>0</v>
      </c>
      <c r="P8306" t="n">
        <v>0</v>
      </c>
      <c r="Q8306" t="n">
        <v>0</v>
      </c>
      <c r="R8306" s="2" t="inlineStr"/>
    </row>
    <row r="8307" ht="15" customHeight="1">
      <c r="A8307" t="inlineStr">
        <is>
          <t>A 5229-2026</t>
        </is>
      </c>
      <c r="B8307" s="1" t="n">
        <v>46049</v>
      </c>
      <c r="C8307" s="1" t="n">
        <v>46114</v>
      </c>
      <c r="D8307" t="inlineStr">
        <is>
          <t>DALARNAS LÄN</t>
        </is>
      </c>
      <c r="E8307" t="inlineStr">
        <is>
          <t>FALUN</t>
        </is>
      </c>
      <c r="G8307" t="n">
        <v>5.9</v>
      </c>
      <c r="H8307" t="n">
        <v>0</v>
      </c>
      <c r="I8307" t="n">
        <v>0</v>
      </c>
      <c r="J8307" t="n">
        <v>0</v>
      </c>
      <c r="K8307" t="n">
        <v>0</v>
      </c>
      <c r="L8307" t="n">
        <v>0</v>
      </c>
      <c r="M8307" t="n">
        <v>0</v>
      </c>
      <c r="N8307" t="n">
        <v>0</v>
      </c>
      <c r="O8307" t="n">
        <v>0</v>
      </c>
      <c r="P8307" t="n">
        <v>0</v>
      </c>
      <c r="Q8307" t="n">
        <v>0</v>
      </c>
      <c r="R8307" s="2" t="inlineStr"/>
    </row>
    <row r="8308" ht="15" customHeight="1">
      <c r="A8308" t="inlineStr">
        <is>
          <t>A 4752-2026</t>
        </is>
      </c>
      <c r="B8308" s="1" t="n">
        <v>46048</v>
      </c>
      <c r="C8308" s="1" t="n">
        <v>46114</v>
      </c>
      <c r="D8308" t="inlineStr">
        <is>
          <t>DALARNAS LÄN</t>
        </is>
      </c>
      <c r="E8308" t="inlineStr">
        <is>
          <t>MORA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62046-2022</t>
        </is>
      </c>
      <c r="B8309" s="1" t="n">
        <v>44918.5633912037</v>
      </c>
      <c r="C8309" s="1" t="n">
        <v>46114</v>
      </c>
      <c r="D8309" t="inlineStr">
        <is>
          <t>DALARNAS LÄN</t>
        </is>
      </c>
      <c r="E8309" t="inlineStr">
        <is>
          <t>HEDEMORA</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12742-2026</t>
        </is>
      </c>
      <c r="B8310" s="1" t="n">
        <v>46091.64923611111</v>
      </c>
      <c r="C8310" s="1" t="n">
        <v>46114</v>
      </c>
      <c r="D8310" t="inlineStr">
        <is>
          <t>DALARNAS LÄN</t>
        </is>
      </c>
      <c r="E8310" t="inlineStr">
        <is>
          <t>RÄTTVIK</t>
        </is>
      </c>
      <c r="F8310" t="inlineStr">
        <is>
          <t>Bergvik skog väst AB</t>
        </is>
      </c>
      <c r="G8310" t="n">
        <v>10</v>
      </c>
      <c r="H8310" t="n">
        <v>0</v>
      </c>
      <c r="I8310" t="n">
        <v>0</v>
      </c>
      <c r="J8310" t="n">
        <v>0</v>
      </c>
      <c r="K8310" t="n">
        <v>0</v>
      </c>
      <c r="L8310" t="n">
        <v>0</v>
      </c>
      <c r="M8310" t="n">
        <v>0</v>
      </c>
      <c r="N8310" t="n">
        <v>0</v>
      </c>
      <c r="O8310" t="n">
        <v>0</v>
      </c>
      <c r="P8310" t="n">
        <v>0</v>
      </c>
      <c r="Q8310" t="n">
        <v>0</v>
      </c>
      <c r="R8310" s="2" t="inlineStr"/>
    </row>
    <row r="8311" ht="15" customHeight="1">
      <c r="A8311" t="inlineStr">
        <is>
          <t>A 12440-2026</t>
        </is>
      </c>
      <c r="B8311" s="1" t="n">
        <v>46090.47699074074</v>
      </c>
      <c r="C8311" s="1" t="n">
        <v>46114</v>
      </c>
      <c r="D8311" t="inlineStr">
        <is>
          <t>DALARNAS LÄN</t>
        </is>
      </c>
      <c r="E8311" t="inlineStr">
        <is>
          <t>ORSA</t>
        </is>
      </c>
      <c r="F8311" t="inlineStr">
        <is>
          <t>Bergvik skog öst AB</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54096-2024</t>
        </is>
      </c>
      <c r="B8312" s="1" t="n">
        <v>45616.51402777778</v>
      </c>
      <c r="C8312" s="1" t="n">
        <v>46114</v>
      </c>
      <c r="D8312" t="inlineStr">
        <is>
          <t>DALARNAS LÄN</t>
        </is>
      </c>
      <c r="E8312" t="inlineStr">
        <is>
          <t>LUDVIKA</t>
        </is>
      </c>
      <c r="F8312" t="inlineStr">
        <is>
          <t>Bergvik skog väst AB</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7813-2025</t>
        </is>
      </c>
      <c r="B8313" s="1" t="n">
        <v>45706</v>
      </c>
      <c r="C8313" s="1" t="n">
        <v>46114</v>
      </c>
      <c r="D8313" t="inlineStr">
        <is>
          <t>DALARNAS LÄN</t>
        </is>
      </c>
      <c r="E8313" t="inlineStr">
        <is>
          <t>FALUN</t>
        </is>
      </c>
      <c r="F8313" t="inlineStr">
        <is>
          <t>Övriga statliga verk och myndigheter</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5212-2026</t>
        </is>
      </c>
      <c r="B8314" s="1" t="n">
        <v>46049</v>
      </c>
      <c r="C8314" s="1" t="n">
        <v>46114</v>
      </c>
      <c r="D8314" t="inlineStr">
        <is>
          <t>DALARNAS LÄN</t>
        </is>
      </c>
      <c r="E8314" t="inlineStr">
        <is>
          <t>ORSA</t>
        </is>
      </c>
      <c r="G8314" t="n">
        <v>7</v>
      </c>
      <c r="H8314" t="n">
        <v>0</v>
      </c>
      <c r="I8314" t="n">
        <v>0</v>
      </c>
      <c r="J8314" t="n">
        <v>0</v>
      </c>
      <c r="K8314" t="n">
        <v>0</v>
      </c>
      <c r="L8314" t="n">
        <v>0</v>
      </c>
      <c r="M8314" t="n">
        <v>0</v>
      </c>
      <c r="N8314" t="n">
        <v>0</v>
      </c>
      <c r="O8314" t="n">
        <v>0</v>
      </c>
      <c r="P8314" t="n">
        <v>0</v>
      </c>
      <c r="Q8314" t="n">
        <v>0</v>
      </c>
      <c r="R8314" s="2" t="inlineStr"/>
    </row>
    <row r="8315" ht="15" customHeight="1">
      <c r="A8315" t="inlineStr">
        <is>
          <t>A 5244-2026</t>
        </is>
      </c>
      <c r="B8315" s="1" t="n">
        <v>46049</v>
      </c>
      <c r="C8315" s="1" t="n">
        <v>46114</v>
      </c>
      <c r="D8315" t="inlineStr">
        <is>
          <t>DALARNAS LÄN</t>
        </is>
      </c>
      <c r="E8315" t="inlineStr">
        <is>
          <t>FALUN</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10653-2026</t>
        </is>
      </c>
      <c r="B8316" s="1" t="n">
        <v>46078</v>
      </c>
      <c r="C8316" s="1" t="n">
        <v>46114</v>
      </c>
      <c r="D8316" t="inlineStr">
        <is>
          <t>DALARNAS LÄN</t>
        </is>
      </c>
      <c r="E8316" t="inlineStr">
        <is>
          <t>ORSA</t>
        </is>
      </c>
      <c r="F8316" t="inlineStr">
        <is>
          <t>Övriga Aktiebolag</t>
        </is>
      </c>
      <c r="G8316" t="n">
        <v>1.8</v>
      </c>
      <c r="H8316" t="n">
        <v>0</v>
      </c>
      <c r="I8316" t="n">
        <v>0</v>
      </c>
      <c r="J8316" t="n">
        <v>0</v>
      </c>
      <c r="K8316" t="n">
        <v>0</v>
      </c>
      <c r="L8316" t="n">
        <v>0</v>
      </c>
      <c r="M8316" t="n">
        <v>0</v>
      </c>
      <c r="N8316" t="n">
        <v>0</v>
      </c>
      <c r="O8316" t="n">
        <v>0</v>
      </c>
      <c r="P8316" t="n">
        <v>0</v>
      </c>
      <c r="Q8316" t="n">
        <v>0</v>
      </c>
      <c r="R8316" s="2" t="inlineStr"/>
    </row>
    <row r="8317" ht="15" customHeight="1">
      <c r="A8317" t="inlineStr">
        <is>
          <t>A 10717-2026</t>
        </is>
      </c>
      <c r="B8317" s="1" t="n">
        <v>46078</v>
      </c>
      <c r="C8317" s="1" t="n">
        <v>46114</v>
      </c>
      <c r="D8317" t="inlineStr">
        <is>
          <t>DALARNAS LÄN</t>
        </is>
      </c>
      <c r="E8317" t="inlineStr">
        <is>
          <t>FALUN</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10150-2025</t>
        </is>
      </c>
      <c r="B8318" s="1" t="n">
        <v>45719</v>
      </c>
      <c r="C8318" s="1" t="n">
        <v>46114</v>
      </c>
      <c r="D8318" t="inlineStr">
        <is>
          <t>DALARNAS LÄN</t>
        </is>
      </c>
      <c r="E8318" t="inlineStr">
        <is>
          <t>SÄTER</t>
        </is>
      </c>
      <c r="F8318" t="inlineStr">
        <is>
          <t>Bergvik skog väst AB</t>
        </is>
      </c>
      <c r="G8318" t="n">
        <v>0.7</v>
      </c>
      <c r="H8318" t="n">
        <v>0</v>
      </c>
      <c r="I8318" t="n">
        <v>0</v>
      </c>
      <c r="J8318" t="n">
        <v>0</v>
      </c>
      <c r="K8318" t="n">
        <v>0</v>
      </c>
      <c r="L8318" t="n">
        <v>0</v>
      </c>
      <c r="M8318" t="n">
        <v>0</v>
      </c>
      <c r="N8318" t="n">
        <v>0</v>
      </c>
      <c r="O8318" t="n">
        <v>0</v>
      </c>
      <c r="P8318" t="n">
        <v>0</v>
      </c>
      <c r="Q8318" t="n">
        <v>0</v>
      </c>
      <c r="R8318" s="2" t="inlineStr"/>
    </row>
    <row r="8319" ht="15" customHeight="1">
      <c r="A8319" t="inlineStr">
        <is>
          <t>A 10156-2025</t>
        </is>
      </c>
      <c r="B8319" s="1" t="n">
        <v>45719.64394675926</v>
      </c>
      <c r="C8319" s="1" t="n">
        <v>46114</v>
      </c>
      <c r="D8319" t="inlineStr">
        <is>
          <t>DALARNAS LÄN</t>
        </is>
      </c>
      <c r="E8319" t="inlineStr">
        <is>
          <t>BORLÄNGE</t>
        </is>
      </c>
      <c r="G8319" t="n">
        <v>4.4</v>
      </c>
      <c r="H8319" t="n">
        <v>0</v>
      </c>
      <c r="I8319" t="n">
        <v>0</v>
      </c>
      <c r="J8319" t="n">
        <v>0</v>
      </c>
      <c r="K8319" t="n">
        <v>0</v>
      </c>
      <c r="L8319" t="n">
        <v>0</v>
      </c>
      <c r="M8319" t="n">
        <v>0</v>
      </c>
      <c r="N8319" t="n">
        <v>0</v>
      </c>
      <c r="O8319" t="n">
        <v>0</v>
      </c>
      <c r="P8319" t="n">
        <v>0</v>
      </c>
      <c r="Q8319" t="n">
        <v>0</v>
      </c>
      <c r="R8319" s="2" t="inlineStr"/>
    </row>
    <row r="8320" ht="15" customHeight="1">
      <c r="A8320" t="inlineStr">
        <is>
          <t>A 44853-2023</t>
        </is>
      </c>
      <c r="B8320" s="1" t="n">
        <v>45190</v>
      </c>
      <c r="C8320" s="1" t="n">
        <v>46114</v>
      </c>
      <c r="D8320" t="inlineStr">
        <is>
          <t>DALARNAS LÄN</t>
        </is>
      </c>
      <c r="E8320" t="inlineStr">
        <is>
          <t>AVESTA</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4615-2026</t>
        </is>
      </c>
      <c r="B8321" s="1" t="n">
        <v>46048.37015046296</v>
      </c>
      <c r="C8321" s="1" t="n">
        <v>46114</v>
      </c>
      <c r="D8321" t="inlineStr">
        <is>
          <t>DALARNAS LÄN</t>
        </is>
      </c>
      <c r="E8321" t="inlineStr">
        <is>
          <t>GAGNEF</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4902-2026</t>
        </is>
      </c>
      <c r="B8322" s="1" t="n">
        <v>46048</v>
      </c>
      <c r="C8322" s="1" t="n">
        <v>46114</v>
      </c>
      <c r="D8322" t="inlineStr">
        <is>
          <t>DALARNAS LÄN</t>
        </is>
      </c>
      <c r="E8322" t="inlineStr">
        <is>
          <t>FALUN</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4917-2026</t>
        </is>
      </c>
      <c r="B8323" s="1" t="n">
        <v>46048</v>
      </c>
      <c r="C8323" s="1" t="n">
        <v>46114</v>
      </c>
      <c r="D8323" t="inlineStr">
        <is>
          <t>DALARNAS LÄN</t>
        </is>
      </c>
      <c r="E8323" t="inlineStr">
        <is>
          <t>FALUN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4918-2026</t>
        </is>
      </c>
      <c r="B8324" s="1" t="n">
        <v>46048</v>
      </c>
      <c r="C8324" s="1" t="n">
        <v>46114</v>
      </c>
      <c r="D8324" t="inlineStr">
        <is>
          <t>DALARNAS LÄN</t>
        </is>
      </c>
      <c r="E8324" t="inlineStr">
        <is>
          <t>FALUN</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5022-2026</t>
        </is>
      </c>
      <c r="B8325" s="1" t="n">
        <v>46049.44449074074</v>
      </c>
      <c r="C8325" s="1" t="n">
        <v>46114</v>
      </c>
      <c r="D8325" t="inlineStr">
        <is>
          <t>DALARNAS LÄN</t>
        </is>
      </c>
      <c r="E8325" t="inlineStr">
        <is>
          <t>LEKSAND</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41169-2023</t>
        </is>
      </c>
      <c r="B8326" s="1" t="n">
        <v>45174.34662037037</v>
      </c>
      <c r="C8326" s="1" t="n">
        <v>46114</v>
      </c>
      <c r="D8326" t="inlineStr">
        <is>
          <t>DALARNAS LÄN</t>
        </is>
      </c>
      <c r="E8326" t="inlineStr">
        <is>
          <t>MORA</t>
        </is>
      </c>
      <c r="G8326" t="n">
        <v>3</v>
      </c>
      <c r="H8326" t="n">
        <v>0</v>
      </c>
      <c r="I8326" t="n">
        <v>0</v>
      </c>
      <c r="J8326" t="n">
        <v>0</v>
      </c>
      <c r="K8326" t="n">
        <v>0</v>
      </c>
      <c r="L8326" t="n">
        <v>0</v>
      </c>
      <c r="M8326" t="n">
        <v>0</v>
      </c>
      <c r="N8326" t="n">
        <v>0</v>
      </c>
      <c r="O8326" t="n">
        <v>0</v>
      </c>
      <c r="P8326" t="n">
        <v>0</v>
      </c>
      <c r="Q8326" t="n">
        <v>0</v>
      </c>
      <c r="R8326" s="2" t="inlineStr"/>
    </row>
    <row r="8327" ht="15" customHeight="1">
      <c r="A8327" t="inlineStr">
        <is>
          <t>A 4601-2026</t>
        </is>
      </c>
      <c r="B8327" s="1" t="n">
        <v>46048</v>
      </c>
      <c r="C8327" s="1" t="n">
        <v>46114</v>
      </c>
      <c r="D8327" t="inlineStr">
        <is>
          <t>DALARNAS LÄN</t>
        </is>
      </c>
      <c r="E8327" t="inlineStr">
        <is>
          <t>GAGNEF</t>
        </is>
      </c>
      <c r="F8327" t="inlineStr">
        <is>
          <t>Bergvik skog väst AB</t>
        </is>
      </c>
      <c r="G8327" t="n">
        <v>5.5</v>
      </c>
      <c r="H8327" t="n">
        <v>0</v>
      </c>
      <c r="I8327" t="n">
        <v>0</v>
      </c>
      <c r="J8327" t="n">
        <v>0</v>
      </c>
      <c r="K8327" t="n">
        <v>0</v>
      </c>
      <c r="L8327" t="n">
        <v>0</v>
      </c>
      <c r="M8327" t="n">
        <v>0</v>
      </c>
      <c r="N8327" t="n">
        <v>0</v>
      </c>
      <c r="O8327" t="n">
        <v>0</v>
      </c>
      <c r="P8327" t="n">
        <v>0</v>
      </c>
      <c r="Q8327" t="n">
        <v>0</v>
      </c>
      <c r="R8327" s="2" t="inlineStr"/>
    </row>
    <row r="8328" ht="15" customHeight="1">
      <c r="A8328" t="inlineStr">
        <is>
          <t>A 4613-2026</t>
        </is>
      </c>
      <c r="B8328" s="1" t="n">
        <v>46048</v>
      </c>
      <c r="C8328" s="1" t="n">
        <v>46114</v>
      </c>
      <c r="D8328" t="inlineStr">
        <is>
          <t>DALARNAS LÄN</t>
        </is>
      </c>
      <c r="E8328" t="inlineStr">
        <is>
          <t>ORSA</t>
        </is>
      </c>
      <c r="F8328" t="inlineStr">
        <is>
          <t>Kommuner</t>
        </is>
      </c>
      <c r="G8328" t="n">
        <v>3</v>
      </c>
      <c r="H8328" t="n">
        <v>0</v>
      </c>
      <c r="I8328" t="n">
        <v>0</v>
      </c>
      <c r="J8328" t="n">
        <v>0</v>
      </c>
      <c r="K8328" t="n">
        <v>0</v>
      </c>
      <c r="L8328" t="n">
        <v>0</v>
      </c>
      <c r="M8328" t="n">
        <v>0</v>
      </c>
      <c r="N8328" t="n">
        <v>0</v>
      </c>
      <c r="O8328" t="n">
        <v>0</v>
      </c>
      <c r="P8328" t="n">
        <v>0</v>
      </c>
      <c r="Q8328" t="n">
        <v>0</v>
      </c>
      <c r="R8328" s="2" t="inlineStr"/>
    </row>
    <row r="8329" ht="15" customHeight="1">
      <c r="A8329" t="inlineStr">
        <is>
          <t>A 4667-2026</t>
        </is>
      </c>
      <c r="B8329" s="1" t="n">
        <v>46048.41368055555</v>
      </c>
      <c r="C8329" s="1" t="n">
        <v>46114</v>
      </c>
      <c r="D8329" t="inlineStr">
        <is>
          <t>DALARNAS LÄN</t>
        </is>
      </c>
      <c r="E8329" t="inlineStr">
        <is>
          <t>LEKSAND</t>
        </is>
      </c>
      <c r="F8329" t="inlineStr">
        <is>
          <t>Kommuner</t>
        </is>
      </c>
      <c r="G8329" t="n">
        <v>1.6</v>
      </c>
      <c r="H8329" t="n">
        <v>0</v>
      </c>
      <c r="I8329" t="n">
        <v>0</v>
      </c>
      <c r="J8329" t="n">
        <v>0</v>
      </c>
      <c r="K8329" t="n">
        <v>0</v>
      </c>
      <c r="L8329" t="n">
        <v>0</v>
      </c>
      <c r="M8329" t="n">
        <v>0</v>
      </c>
      <c r="N8329" t="n">
        <v>0</v>
      </c>
      <c r="O8329" t="n">
        <v>0</v>
      </c>
      <c r="P8329" t="n">
        <v>0</v>
      </c>
      <c r="Q8329" t="n">
        <v>0</v>
      </c>
      <c r="R8329" s="2" t="inlineStr"/>
    </row>
    <row r="8330" ht="15" customHeight="1">
      <c r="A8330" t="inlineStr">
        <is>
          <t>A 4690-2026</t>
        </is>
      </c>
      <c r="B8330" s="1" t="n">
        <v>46048</v>
      </c>
      <c r="C8330" s="1" t="n">
        <v>46114</v>
      </c>
      <c r="D8330" t="inlineStr">
        <is>
          <t>DALARNAS LÄN</t>
        </is>
      </c>
      <c r="E8330" t="inlineStr">
        <is>
          <t>ORSA</t>
        </is>
      </c>
      <c r="G8330" t="n">
        <v>14.2</v>
      </c>
      <c r="H8330" t="n">
        <v>0</v>
      </c>
      <c r="I8330" t="n">
        <v>0</v>
      </c>
      <c r="J8330" t="n">
        <v>0</v>
      </c>
      <c r="K8330" t="n">
        <v>0</v>
      </c>
      <c r="L8330" t="n">
        <v>0</v>
      </c>
      <c r="M8330" t="n">
        <v>0</v>
      </c>
      <c r="N8330" t="n">
        <v>0</v>
      </c>
      <c r="O8330" t="n">
        <v>0</v>
      </c>
      <c r="P8330" t="n">
        <v>0</v>
      </c>
      <c r="Q8330" t="n">
        <v>0</v>
      </c>
      <c r="R8330" s="2" t="inlineStr"/>
    </row>
    <row r="8331" ht="15" customHeight="1">
      <c r="A8331" t="inlineStr">
        <is>
          <t>A 4707-2026</t>
        </is>
      </c>
      <c r="B8331" s="1" t="n">
        <v>46048.45552083333</v>
      </c>
      <c r="C8331" s="1" t="n">
        <v>46114</v>
      </c>
      <c r="D8331" t="inlineStr">
        <is>
          <t>DALARNAS LÄN</t>
        </is>
      </c>
      <c r="E8331" t="inlineStr">
        <is>
          <t>RÄTTVIK</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4514-2026</t>
        </is>
      </c>
      <c r="B8332" s="1" t="n">
        <v>46045.83878472223</v>
      </c>
      <c r="C8332" s="1" t="n">
        <v>46114</v>
      </c>
      <c r="D8332" t="inlineStr">
        <is>
          <t>DALARNAS LÄN</t>
        </is>
      </c>
      <c r="E8332" t="inlineStr">
        <is>
          <t>FALUN</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4517-2026</t>
        </is>
      </c>
      <c r="B8333" s="1" t="n">
        <v>46045.95393518519</v>
      </c>
      <c r="C8333" s="1" t="n">
        <v>46114</v>
      </c>
      <c r="D8333" t="inlineStr">
        <is>
          <t>DALARNAS LÄN</t>
        </is>
      </c>
      <c r="E8333" t="inlineStr">
        <is>
          <t>FALUN</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12390-2026</t>
        </is>
      </c>
      <c r="B8334" s="1" t="n">
        <v>46090.37628472222</v>
      </c>
      <c r="C8334" s="1" t="n">
        <v>46114</v>
      </c>
      <c r="D8334" t="inlineStr">
        <is>
          <t>DALARNAS LÄN</t>
        </is>
      </c>
      <c r="E8334" t="inlineStr">
        <is>
          <t>FALUN</t>
        </is>
      </c>
      <c r="G8334" t="n">
        <v>2.7</v>
      </c>
      <c r="H8334" t="n">
        <v>0</v>
      </c>
      <c r="I8334" t="n">
        <v>0</v>
      </c>
      <c r="J8334" t="n">
        <v>0</v>
      </c>
      <c r="K8334" t="n">
        <v>0</v>
      </c>
      <c r="L8334" t="n">
        <v>0</v>
      </c>
      <c r="M8334" t="n">
        <v>0</v>
      </c>
      <c r="N8334" t="n">
        <v>0</v>
      </c>
      <c r="O8334" t="n">
        <v>0</v>
      </c>
      <c r="P8334" t="n">
        <v>0</v>
      </c>
      <c r="Q8334" t="n">
        <v>0</v>
      </c>
      <c r="R8334" s="2" t="inlineStr"/>
    </row>
    <row r="8335" ht="15" customHeight="1">
      <c r="A8335" t="inlineStr">
        <is>
          <t>A 12441-2026</t>
        </is>
      </c>
      <c r="B8335" s="1" t="n">
        <v>46090.47815972222</v>
      </c>
      <c r="C8335" s="1" t="n">
        <v>46114</v>
      </c>
      <c r="D8335" t="inlineStr">
        <is>
          <t>DALARNAS LÄN</t>
        </is>
      </c>
      <c r="E8335" t="inlineStr">
        <is>
          <t>SMEDJEBACKEN</t>
        </is>
      </c>
      <c r="G8335" t="n">
        <v>5.4</v>
      </c>
      <c r="H8335" t="n">
        <v>0</v>
      </c>
      <c r="I8335" t="n">
        <v>0</v>
      </c>
      <c r="J8335" t="n">
        <v>0</v>
      </c>
      <c r="K8335" t="n">
        <v>0</v>
      </c>
      <c r="L8335" t="n">
        <v>0</v>
      </c>
      <c r="M8335" t="n">
        <v>0</v>
      </c>
      <c r="N8335" t="n">
        <v>0</v>
      </c>
      <c r="O8335" t="n">
        <v>0</v>
      </c>
      <c r="P8335" t="n">
        <v>0</v>
      </c>
      <c r="Q8335" t="n">
        <v>0</v>
      </c>
      <c r="R8335" s="2" t="inlineStr"/>
    </row>
    <row r="8336" ht="15" customHeight="1">
      <c r="A8336" t="inlineStr">
        <is>
          <t>A 4536-2026</t>
        </is>
      </c>
      <c r="B8336" s="1" t="n">
        <v>46046</v>
      </c>
      <c r="C8336" s="1" t="n">
        <v>46114</v>
      </c>
      <c r="D8336" t="inlineStr">
        <is>
          <t>DALARNAS LÄN</t>
        </is>
      </c>
      <c r="E8336" t="inlineStr">
        <is>
          <t>FALUN</t>
        </is>
      </c>
      <c r="G8336" t="n">
        <v>4.5</v>
      </c>
      <c r="H8336" t="n">
        <v>0</v>
      </c>
      <c r="I8336" t="n">
        <v>0</v>
      </c>
      <c r="J8336" t="n">
        <v>0</v>
      </c>
      <c r="K8336" t="n">
        <v>0</v>
      </c>
      <c r="L8336" t="n">
        <v>0</v>
      </c>
      <c r="M8336" t="n">
        <v>0</v>
      </c>
      <c r="N8336" t="n">
        <v>0</v>
      </c>
      <c r="O8336" t="n">
        <v>0</v>
      </c>
      <c r="P8336" t="n">
        <v>0</v>
      </c>
      <c r="Q8336" t="n">
        <v>0</v>
      </c>
      <c r="R8336" s="2" t="inlineStr"/>
    </row>
    <row r="8337" ht="15" customHeight="1">
      <c r="A8337" t="inlineStr">
        <is>
          <t>A 12447-2026</t>
        </is>
      </c>
      <c r="B8337" s="1" t="n">
        <v>46090.49002314815</v>
      </c>
      <c r="C8337" s="1" t="n">
        <v>46114</v>
      </c>
      <c r="D8337" t="inlineStr">
        <is>
          <t>DALARNAS LÄN</t>
        </is>
      </c>
      <c r="E8337" t="inlineStr">
        <is>
          <t>SMEDJEBACKEN</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53820-2023</t>
        </is>
      </c>
      <c r="B8338" s="1" t="n">
        <v>45231.406875</v>
      </c>
      <c r="C8338" s="1" t="n">
        <v>46114</v>
      </c>
      <c r="D8338" t="inlineStr">
        <is>
          <t>DALARNAS LÄN</t>
        </is>
      </c>
      <c r="E8338" t="inlineStr">
        <is>
          <t>AVESTA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5243-2026</t>
        </is>
      </c>
      <c r="B8339" s="1" t="n">
        <v>46049</v>
      </c>
      <c r="C8339" s="1" t="n">
        <v>46114</v>
      </c>
      <c r="D8339" t="inlineStr">
        <is>
          <t>DALARNAS LÄN</t>
        </is>
      </c>
      <c r="E8339" t="inlineStr">
        <is>
          <t>FALUN</t>
        </is>
      </c>
      <c r="G8339" t="n">
        <v>1.3</v>
      </c>
      <c r="H8339" t="n">
        <v>0</v>
      </c>
      <c r="I8339" t="n">
        <v>0</v>
      </c>
      <c r="J8339" t="n">
        <v>0</v>
      </c>
      <c r="K8339" t="n">
        <v>0</v>
      </c>
      <c r="L8339" t="n">
        <v>0</v>
      </c>
      <c r="M8339" t="n">
        <v>0</v>
      </c>
      <c r="N8339" t="n">
        <v>0</v>
      </c>
      <c r="O8339" t="n">
        <v>0</v>
      </c>
      <c r="P8339" t="n">
        <v>0</v>
      </c>
      <c r="Q8339" t="n">
        <v>0</v>
      </c>
      <c r="R8339" s="2" t="inlineStr"/>
    </row>
    <row r="8340" ht="15" customHeight="1">
      <c r="A8340" t="inlineStr">
        <is>
          <t>A 10564-2026</t>
        </is>
      </c>
      <c r="B8340" s="1" t="n">
        <v>46077</v>
      </c>
      <c r="C8340" s="1" t="n">
        <v>46114</v>
      </c>
      <c r="D8340" t="inlineStr">
        <is>
          <t>DALARNAS LÄN</t>
        </is>
      </c>
      <c r="E8340" t="inlineStr">
        <is>
          <t>ORSA</t>
        </is>
      </c>
      <c r="F8340" t="inlineStr">
        <is>
          <t>Övriga Aktiebolag</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56510-2024</t>
        </is>
      </c>
      <c r="B8341" s="1" t="n">
        <v>45625.52276620371</v>
      </c>
      <c r="C8341" s="1" t="n">
        <v>46114</v>
      </c>
      <c r="D8341" t="inlineStr">
        <is>
          <t>DALARNAS LÄN</t>
        </is>
      </c>
      <c r="E8341" t="inlineStr">
        <is>
          <t>SMEDJEBACKEN</t>
        </is>
      </c>
      <c r="F8341" t="inlineStr">
        <is>
          <t>Sveaskog</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4906-2026</t>
        </is>
      </c>
      <c r="B8342" s="1" t="n">
        <v>46048.70013888889</v>
      </c>
      <c r="C8342" s="1" t="n">
        <v>46114</v>
      </c>
      <c r="D8342" t="inlineStr">
        <is>
          <t>DALARNAS LÄN</t>
        </is>
      </c>
      <c r="E8342" t="inlineStr">
        <is>
          <t>MORA</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4982-2026</t>
        </is>
      </c>
      <c r="B8343" s="1" t="n">
        <v>46049.37361111111</v>
      </c>
      <c r="C8343" s="1" t="n">
        <v>46114</v>
      </c>
      <c r="D8343" t="inlineStr">
        <is>
          <t>DALARNAS LÄN</t>
        </is>
      </c>
      <c r="E8343" t="inlineStr">
        <is>
          <t>LEKSAND</t>
        </is>
      </c>
      <c r="F8343" t="inlineStr">
        <is>
          <t>Bergvik skog väst AB</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4984-2026</t>
        </is>
      </c>
      <c r="B8344" s="1" t="n">
        <v>46049</v>
      </c>
      <c r="C8344" s="1" t="n">
        <v>46114</v>
      </c>
      <c r="D8344" t="inlineStr">
        <is>
          <t>DALARNAS LÄN</t>
        </is>
      </c>
      <c r="E8344" t="inlineStr">
        <is>
          <t>RÄTTVIK</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4904-2026</t>
        </is>
      </c>
      <c r="B8345" s="1" t="n">
        <v>46048</v>
      </c>
      <c r="C8345" s="1" t="n">
        <v>46114</v>
      </c>
      <c r="D8345" t="inlineStr">
        <is>
          <t>DALARNAS LÄN</t>
        </is>
      </c>
      <c r="E8345" t="inlineStr">
        <is>
          <t>FALUN</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11095-2026</t>
        </is>
      </c>
      <c r="B8346" s="1" t="n">
        <v>46079</v>
      </c>
      <c r="C8346" s="1" t="n">
        <v>46114</v>
      </c>
      <c r="D8346" t="inlineStr">
        <is>
          <t>DALARNAS LÄN</t>
        </is>
      </c>
      <c r="E8346" t="inlineStr">
        <is>
          <t>AVESTA</t>
        </is>
      </c>
      <c r="G8346" t="n">
        <v>0.9</v>
      </c>
      <c r="H8346" t="n">
        <v>0</v>
      </c>
      <c r="I8346" t="n">
        <v>0</v>
      </c>
      <c r="J8346" t="n">
        <v>0</v>
      </c>
      <c r="K8346" t="n">
        <v>0</v>
      </c>
      <c r="L8346" t="n">
        <v>0</v>
      </c>
      <c r="M8346" t="n">
        <v>0</v>
      </c>
      <c r="N8346" t="n">
        <v>0</v>
      </c>
      <c r="O8346" t="n">
        <v>0</v>
      </c>
      <c r="P8346" t="n">
        <v>0</v>
      </c>
      <c r="Q8346" t="n">
        <v>0</v>
      </c>
      <c r="R8346" s="2" t="inlineStr"/>
    </row>
    <row r="8347" ht="15" customHeight="1">
      <c r="A8347" t="inlineStr">
        <is>
          <t>A 11533-2026</t>
        </is>
      </c>
      <c r="B8347" s="1" t="n">
        <v>46083</v>
      </c>
      <c r="C8347" s="1" t="n">
        <v>46114</v>
      </c>
      <c r="D8347" t="inlineStr">
        <is>
          <t>DALARNAS LÄN</t>
        </is>
      </c>
      <c r="E8347" t="inlineStr">
        <is>
          <t>SÄTER</t>
        </is>
      </c>
      <c r="F8347" t="inlineStr">
        <is>
          <t>Kommuner</t>
        </is>
      </c>
      <c r="G8347" t="n">
        <v>6</v>
      </c>
      <c r="H8347" t="n">
        <v>0</v>
      </c>
      <c r="I8347" t="n">
        <v>0</v>
      </c>
      <c r="J8347" t="n">
        <v>0</v>
      </c>
      <c r="K8347" t="n">
        <v>0</v>
      </c>
      <c r="L8347" t="n">
        <v>0</v>
      </c>
      <c r="M8347" t="n">
        <v>0</v>
      </c>
      <c r="N8347" t="n">
        <v>0</v>
      </c>
      <c r="O8347" t="n">
        <v>0</v>
      </c>
      <c r="P8347" t="n">
        <v>0</v>
      </c>
      <c r="Q8347" t="n">
        <v>0</v>
      </c>
      <c r="R8347" s="2" t="inlineStr"/>
    </row>
    <row r="8348" ht="15" customHeight="1">
      <c r="A8348" t="inlineStr">
        <is>
          <t>A 4919-2026</t>
        </is>
      </c>
      <c r="B8348" s="1" t="n">
        <v>46048</v>
      </c>
      <c r="C8348" s="1" t="n">
        <v>46114</v>
      </c>
      <c r="D8348" t="inlineStr">
        <is>
          <t>DALARNAS LÄN</t>
        </is>
      </c>
      <c r="E8348" t="inlineStr">
        <is>
          <t>FALUN</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47564-2023</t>
        </is>
      </c>
      <c r="B8349" s="1" t="n">
        <v>45203.40004629629</v>
      </c>
      <c r="C8349" s="1" t="n">
        <v>46114</v>
      </c>
      <c r="D8349" t="inlineStr">
        <is>
          <t>DALARNAS LÄN</t>
        </is>
      </c>
      <c r="E8349" t="inlineStr">
        <is>
          <t>ORSA</t>
        </is>
      </c>
      <c r="F8349" t="inlineStr">
        <is>
          <t>Allmännings- och besparingsskogar</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30985-2023</t>
        </is>
      </c>
      <c r="B8350" s="1" t="n">
        <v>45113</v>
      </c>
      <c r="C8350" s="1" t="n">
        <v>46114</v>
      </c>
      <c r="D8350" t="inlineStr">
        <is>
          <t>DALARNAS LÄN</t>
        </is>
      </c>
      <c r="E8350" t="inlineStr">
        <is>
          <t>ÄLVDALEN</t>
        </is>
      </c>
      <c r="F8350" t="inlineStr">
        <is>
          <t>Allmännings- och besparingsskogar</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4990-2026</t>
        </is>
      </c>
      <c r="B8351" s="1" t="n">
        <v>46049</v>
      </c>
      <c r="C8351" s="1" t="n">
        <v>46114</v>
      </c>
      <c r="D8351" t="inlineStr">
        <is>
          <t>DALARNAS LÄN</t>
        </is>
      </c>
      <c r="E8351" t="inlineStr">
        <is>
          <t>RÄTTVIK</t>
        </is>
      </c>
      <c r="F8351" t="inlineStr">
        <is>
          <t>Bergvik skog väst AB</t>
        </is>
      </c>
      <c r="G8351" t="n">
        <v>68.2</v>
      </c>
      <c r="H8351" t="n">
        <v>0</v>
      </c>
      <c r="I8351" t="n">
        <v>0</v>
      </c>
      <c r="J8351" t="n">
        <v>0</v>
      </c>
      <c r="K8351" t="n">
        <v>0</v>
      </c>
      <c r="L8351" t="n">
        <v>0</v>
      </c>
      <c r="M8351" t="n">
        <v>0</v>
      </c>
      <c r="N8351" t="n">
        <v>0</v>
      </c>
      <c r="O8351" t="n">
        <v>0</v>
      </c>
      <c r="P8351" t="n">
        <v>0</v>
      </c>
      <c r="Q8351" t="n">
        <v>0</v>
      </c>
      <c r="R8351" s="2" t="inlineStr"/>
    </row>
    <row r="8352" ht="15" customHeight="1">
      <c r="A8352" t="inlineStr">
        <is>
          <t>A 27446-2024</t>
        </is>
      </c>
      <c r="B8352" s="1" t="n">
        <v>45474.42671296297</v>
      </c>
      <c r="C8352" s="1" t="n">
        <v>46114</v>
      </c>
      <c r="D8352" t="inlineStr">
        <is>
          <t>DALARNAS LÄN</t>
        </is>
      </c>
      <c r="E8352" t="inlineStr">
        <is>
          <t>LEKSAND</t>
        </is>
      </c>
      <c r="G8352" t="n">
        <v>2.9</v>
      </c>
      <c r="H8352" t="n">
        <v>0</v>
      </c>
      <c r="I8352" t="n">
        <v>0</v>
      </c>
      <c r="J8352" t="n">
        <v>0</v>
      </c>
      <c r="K8352" t="n">
        <v>0</v>
      </c>
      <c r="L8352" t="n">
        <v>0</v>
      </c>
      <c r="M8352" t="n">
        <v>0</v>
      </c>
      <c r="N8352" t="n">
        <v>0</v>
      </c>
      <c r="O8352" t="n">
        <v>0</v>
      </c>
      <c r="P8352" t="n">
        <v>0</v>
      </c>
      <c r="Q8352" t="n">
        <v>0</v>
      </c>
      <c r="R8352" s="2" t="inlineStr"/>
    </row>
    <row r="8353" ht="15" customHeight="1">
      <c r="A8353" t="inlineStr">
        <is>
          <t>A 50061-2024</t>
        </is>
      </c>
      <c r="B8353" s="1" t="n">
        <v>45600.34721064815</v>
      </c>
      <c r="C8353" s="1" t="n">
        <v>46114</v>
      </c>
      <c r="D8353" t="inlineStr">
        <is>
          <t>DALARNAS LÄN</t>
        </is>
      </c>
      <c r="E8353" t="inlineStr">
        <is>
          <t>ORSA</t>
        </is>
      </c>
      <c r="G8353" t="n">
        <v>1.3</v>
      </c>
      <c r="H8353" t="n">
        <v>0</v>
      </c>
      <c r="I8353" t="n">
        <v>0</v>
      </c>
      <c r="J8353" t="n">
        <v>0</v>
      </c>
      <c r="K8353" t="n">
        <v>0</v>
      </c>
      <c r="L8353" t="n">
        <v>0</v>
      </c>
      <c r="M8353" t="n">
        <v>0</v>
      </c>
      <c r="N8353" t="n">
        <v>0</v>
      </c>
      <c r="O8353" t="n">
        <v>0</v>
      </c>
      <c r="P8353" t="n">
        <v>0</v>
      </c>
      <c r="Q8353" t="n">
        <v>0</v>
      </c>
      <c r="R8353" s="2" t="inlineStr"/>
    </row>
    <row r="8354" ht="15" customHeight="1">
      <c r="A8354" t="inlineStr">
        <is>
          <t>A 4553-2026</t>
        </is>
      </c>
      <c r="B8354" s="1" t="n">
        <v>46047.57818287037</v>
      </c>
      <c r="C8354" s="1" t="n">
        <v>46114</v>
      </c>
      <c r="D8354" t="inlineStr">
        <is>
          <t>DALARNAS LÄN</t>
        </is>
      </c>
      <c r="E8354" t="inlineStr">
        <is>
          <t>LEKSAND</t>
        </is>
      </c>
      <c r="G8354" t="n">
        <v>22.9</v>
      </c>
      <c r="H8354" t="n">
        <v>0</v>
      </c>
      <c r="I8354" t="n">
        <v>0</v>
      </c>
      <c r="J8354" t="n">
        <v>0</v>
      </c>
      <c r="K8354" t="n">
        <v>0</v>
      </c>
      <c r="L8354" t="n">
        <v>0</v>
      </c>
      <c r="M8354" t="n">
        <v>0</v>
      </c>
      <c r="N8354" t="n">
        <v>0</v>
      </c>
      <c r="O8354" t="n">
        <v>0</v>
      </c>
      <c r="P8354" t="n">
        <v>0</v>
      </c>
      <c r="Q8354" t="n">
        <v>0</v>
      </c>
      <c r="R8354" s="2" t="inlineStr"/>
    </row>
    <row r="8355" ht="15" customHeight="1">
      <c r="A8355" t="inlineStr">
        <is>
          <t>A 56818-2023</t>
        </is>
      </c>
      <c r="B8355" s="1" t="n">
        <v>45244.45287037037</v>
      </c>
      <c r="C8355" s="1" t="n">
        <v>46114</v>
      </c>
      <c r="D8355" t="inlineStr">
        <is>
          <t>DALARNAS LÄN</t>
        </is>
      </c>
      <c r="E8355" t="inlineStr">
        <is>
          <t>LUDVIKA</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4739-2026</t>
        </is>
      </c>
      <c r="B8356" s="1" t="n">
        <v>46048.49618055556</v>
      </c>
      <c r="C8356" s="1" t="n">
        <v>46114</v>
      </c>
      <c r="D8356" t="inlineStr">
        <is>
          <t>DALARNAS LÄN</t>
        </is>
      </c>
      <c r="E8356" t="inlineStr">
        <is>
          <t>FALUN</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4792-2026</t>
        </is>
      </c>
      <c r="B8357" s="1" t="n">
        <v>46048.56504629629</v>
      </c>
      <c r="C8357" s="1" t="n">
        <v>46114</v>
      </c>
      <c r="D8357" t="inlineStr">
        <is>
          <t>DALARNAS LÄN</t>
        </is>
      </c>
      <c r="E8357" t="inlineStr">
        <is>
          <t>FALUN</t>
        </is>
      </c>
      <c r="G8357" t="n">
        <v>4</v>
      </c>
      <c r="H8357" t="n">
        <v>0</v>
      </c>
      <c r="I8357" t="n">
        <v>0</v>
      </c>
      <c r="J8357" t="n">
        <v>0</v>
      </c>
      <c r="K8357" t="n">
        <v>0</v>
      </c>
      <c r="L8357" t="n">
        <v>0</v>
      </c>
      <c r="M8357" t="n">
        <v>0</v>
      </c>
      <c r="N8357" t="n">
        <v>0</v>
      </c>
      <c r="O8357" t="n">
        <v>0</v>
      </c>
      <c r="P8357" t="n">
        <v>0</v>
      </c>
      <c r="Q8357" t="n">
        <v>0</v>
      </c>
      <c r="R8357" s="2" t="inlineStr"/>
    </row>
    <row r="8358" ht="15" customHeight="1">
      <c r="A8358" t="inlineStr">
        <is>
          <t>A 5116-2026</t>
        </is>
      </c>
      <c r="B8358" s="1" t="n">
        <v>46049.57591435185</v>
      </c>
      <c r="C8358" s="1" t="n">
        <v>46114</v>
      </c>
      <c r="D8358" t="inlineStr">
        <is>
          <t>DALARNAS LÄN</t>
        </is>
      </c>
      <c r="E8358" t="inlineStr">
        <is>
          <t>MORA</t>
        </is>
      </c>
      <c r="F8358" t="inlineStr">
        <is>
          <t>Bergvik skog öst AB</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56745-2023</t>
        </is>
      </c>
      <c r="B8359" s="1" t="n">
        <v>45244</v>
      </c>
      <c r="C8359" s="1" t="n">
        <v>46114</v>
      </c>
      <c r="D8359" t="inlineStr">
        <is>
          <t>DALARNAS LÄN</t>
        </is>
      </c>
      <c r="E8359" t="inlineStr">
        <is>
          <t>MALUNG-SÄLEN</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10579-2026</t>
        </is>
      </c>
      <c r="B8360" s="1" t="n">
        <v>46077</v>
      </c>
      <c r="C8360" s="1" t="n">
        <v>46114</v>
      </c>
      <c r="D8360" t="inlineStr">
        <is>
          <t>DALARNAS LÄN</t>
        </is>
      </c>
      <c r="E8360" t="inlineStr">
        <is>
          <t>ORSA</t>
        </is>
      </c>
      <c r="F8360" t="inlineStr">
        <is>
          <t>Övriga Aktiebolag</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4840-2026</t>
        </is>
      </c>
      <c r="B8361" s="1" t="n">
        <v>46048.61525462963</v>
      </c>
      <c r="C8361" s="1" t="n">
        <v>46114</v>
      </c>
      <c r="D8361" t="inlineStr">
        <is>
          <t>DALARNAS LÄN</t>
        </is>
      </c>
      <c r="E8361" t="inlineStr">
        <is>
          <t>FALUN</t>
        </is>
      </c>
      <c r="G8361" t="n">
        <v>4.8</v>
      </c>
      <c r="H8361" t="n">
        <v>0</v>
      </c>
      <c r="I8361" t="n">
        <v>0</v>
      </c>
      <c r="J8361" t="n">
        <v>0</v>
      </c>
      <c r="K8361" t="n">
        <v>0</v>
      </c>
      <c r="L8361" t="n">
        <v>0</v>
      </c>
      <c r="M8361" t="n">
        <v>0</v>
      </c>
      <c r="N8361" t="n">
        <v>0</v>
      </c>
      <c r="O8361" t="n">
        <v>0</v>
      </c>
      <c r="P8361" t="n">
        <v>0</v>
      </c>
      <c r="Q8361" t="n">
        <v>0</v>
      </c>
      <c r="R8361" s="2" t="inlineStr"/>
    </row>
    <row r="8362" ht="15" customHeight="1">
      <c r="A8362" t="inlineStr">
        <is>
          <t>A 58094-2022</t>
        </is>
      </c>
      <c r="B8362" s="1" t="n">
        <v>44900</v>
      </c>
      <c r="C8362" s="1" t="n">
        <v>46114</v>
      </c>
      <c r="D8362" t="inlineStr">
        <is>
          <t>DALARNAS LÄN</t>
        </is>
      </c>
      <c r="E8362" t="inlineStr">
        <is>
          <t>AVESTA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4847-2026</t>
        </is>
      </c>
      <c r="B8363" s="1" t="n">
        <v>46048</v>
      </c>
      <c r="C8363" s="1" t="n">
        <v>46114</v>
      </c>
      <c r="D8363" t="inlineStr">
        <is>
          <t>DALARNAS LÄN</t>
        </is>
      </c>
      <c r="E8363" t="inlineStr">
        <is>
          <t>LEKSAND</t>
        </is>
      </c>
      <c r="G8363" t="n">
        <v>5.2</v>
      </c>
      <c r="H8363" t="n">
        <v>0</v>
      </c>
      <c r="I8363" t="n">
        <v>0</v>
      </c>
      <c r="J8363" t="n">
        <v>0</v>
      </c>
      <c r="K8363" t="n">
        <v>0</v>
      </c>
      <c r="L8363" t="n">
        <v>0</v>
      </c>
      <c r="M8363" t="n">
        <v>0</v>
      </c>
      <c r="N8363" t="n">
        <v>0</v>
      </c>
      <c r="O8363" t="n">
        <v>0</v>
      </c>
      <c r="P8363" t="n">
        <v>0</v>
      </c>
      <c r="Q8363" t="n">
        <v>0</v>
      </c>
      <c r="R8363" s="2" t="inlineStr"/>
    </row>
    <row r="8364" ht="15" customHeight="1">
      <c r="A8364" t="inlineStr">
        <is>
          <t>A 4856-2026</t>
        </is>
      </c>
      <c r="B8364" s="1" t="n">
        <v>46048.63493055556</v>
      </c>
      <c r="C8364" s="1" t="n">
        <v>46114</v>
      </c>
      <c r="D8364" t="inlineStr">
        <is>
          <t>DALARNAS LÄN</t>
        </is>
      </c>
      <c r="E8364" t="inlineStr">
        <is>
          <t>FALUN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4871-2026</t>
        </is>
      </c>
      <c r="B8365" s="1" t="n">
        <v>46048.64840277778</v>
      </c>
      <c r="C8365" s="1" t="n">
        <v>46114</v>
      </c>
      <c r="D8365" t="inlineStr">
        <is>
          <t>DALARNAS LÄN</t>
        </is>
      </c>
      <c r="E8365" t="inlineStr">
        <is>
          <t>GAGNEF</t>
        </is>
      </c>
      <c r="G8365" t="n">
        <v>2.8</v>
      </c>
      <c r="H8365" t="n">
        <v>0</v>
      </c>
      <c r="I8365" t="n">
        <v>0</v>
      </c>
      <c r="J8365" t="n">
        <v>0</v>
      </c>
      <c r="K8365" t="n">
        <v>0</v>
      </c>
      <c r="L8365" t="n">
        <v>0</v>
      </c>
      <c r="M8365" t="n">
        <v>0</v>
      </c>
      <c r="N8365" t="n">
        <v>0</v>
      </c>
      <c r="O8365" t="n">
        <v>0</v>
      </c>
      <c r="P8365" t="n">
        <v>0</v>
      </c>
      <c r="Q8365" t="n">
        <v>0</v>
      </c>
      <c r="R8365" s="2" t="inlineStr"/>
    </row>
    <row r="8366" ht="15" customHeight="1">
      <c r="A8366" t="inlineStr">
        <is>
          <t>A 4885-2026</t>
        </is>
      </c>
      <c r="B8366" s="1" t="n">
        <v>46048</v>
      </c>
      <c r="C8366" s="1" t="n">
        <v>46114</v>
      </c>
      <c r="D8366" t="inlineStr">
        <is>
          <t>DALARNAS LÄN</t>
        </is>
      </c>
      <c r="E8366" t="inlineStr">
        <is>
          <t>LEKSAND</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4784-2026</t>
        </is>
      </c>
      <c r="B8367" s="1" t="n">
        <v>46048</v>
      </c>
      <c r="C8367" s="1" t="n">
        <v>46114</v>
      </c>
      <c r="D8367" t="inlineStr">
        <is>
          <t>DALARNAS LÄN</t>
        </is>
      </c>
      <c r="E8367" t="inlineStr">
        <is>
          <t>FALUN</t>
        </is>
      </c>
      <c r="G8367" t="n">
        <v>3.2</v>
      </c>
      <c r="H8367" t="n">
        <v>0</v>
      </c>
      <c r="I8367" t="n">
        <v>0</v>
      </c>
      <c r="J8367" t="n">
        <v>0</v>
      </c>
      <c r="K8367" t="n">
        <v>0</v>
      </c>
      <c r="L8367" t="n">
        <v>0</v>
      </c>
      <c r="M8367" t="n">
        <v>0</v>
      </c>
      <c r="N8367" t="n">
        <v>0</v>
      </c>
      <c r="O8367" t="n">
        <v>0</v>
      </c>
      <c r="P8367" t="n">
        <v>0</v>
      </c>
      <c r="Q8367" t="n">
        <v>0</v>
      </c>
      <c r="R8367" s="2" t="inlineStr"/>
    </row>
    <row r="8368" ht="15" customHeight="1">
      <c r="A8368" t="inlineStr">
        <is>
          <t>A 4975-2026</t>
        </is>
      </c>
      <c r="B8368" s="1" t="n">
        <v>46049</v>
      </c>
      <c r="C8368" s="1" t="n">
        <v>46114</v>
      </c>
      <c r="D8368" t="inlineStr">
        <is>
          <t>DALARNAS LÄN</t>
        </is>
      </c>
      <c r="E8368" t="inlineStr">
        <is>
          <t>LUDVIKA</t>
        </is>
      </c>
      <c r="F8368" t="inlineStr">
        <is>
          <t>Bergvik skog väst AB</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53817-2023</t>
        </is>
      </c>
      <c r="B8369" s="1" t="n">
        <v>45231.40488425926</v>
      </c>
      <c r="C8369" s="1" t="n">
        <v>46114</v>
      </c>
      <c r="D8369" t="inlineStr">
        <is>
          <t>DALARNAS LÄN</t>
        </is>
      </c>
      <c r="E8369" t="inlineStr">
        <is>
          <t>LEKSAND</t>
        </is>
      </c>
      <c r="G8369" t="n">
        <v>1.2</v>
      </c>
      <c r="H8369" t="n">
        <v>0</v>
      </c>
      <c r="I8369" t="n">
        <v>0</v>
      </c>
      <c r="J8369" t="n">
        <v>0</v>
      </c>
      <c r="K8369" t="n">
        <v>0</v>
      </c>
      <c r="L8369" t="n">
        <v>0</v>
      </c>
      <c r="M8369" t="n">
        <v>0</v>
      </c>
      <c r="N8369" t="n">
        <v>0</v>
      </c>
      <c r="O8369" t="n">
        <v>0</v>
      </c>
      <c r="P8369" t="n">
        <v>0</v>
      </c>
      <c r="Q8369" t="n">
        <v>0</v>
      </c>
      <c r="R8369" s="2" t="inlineStr"/>
    </row>
    <row r="8370" ht="15" customHeight="1">
      <c r="A8370" t="inlineStr">
        <is>
          <t>A 7173-2023</t>
        </is>
      </c>
      <c r="B8370" s="1" t="n">
        <v>44970.50298611111</v>
      </c>
      <c r="C8370" s="1" t="n">
        <v>46114</v>
      </c>
      <c r="D8370" t="inlineStr">
        <is>
          <t>DALARNAS LÄN</t>
        </is>
      </c>
      <c r="E8370" t="inlineStr">
        <is>
          <t>LUDVIKA</t>
        </is>
      </c>
      <c r="F8370" t="inlineStr">
        <is>
          <t>Övriga Aktiebolag</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5064-2026</t>
        </is>
      </c>
      <c r="B8371" s="1" t="n">
        <v>46049</v>
      </c>
      <c r="C8371" s="1" t="n">
        <v>46114</v>
      </c>
      <c r="D8371" t="inlineStr">
        <is>
          <t>DALARNAS LÄN</t>
        </is>
      </c>
      <c r="E8371" t="inlineStr">
        <is>
          <t>ORSA</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5080-2026</t>
        </is>
      </c>
      <c r="B8372" s="1" t="n">
        <v>46049</v>
      </c>
      <c r="C8372" s="1" t="n">
        <v>46114</v>
      </c>
      <c r="D8372" t="inlineStr">
        <is>
          <t>DALARNAS LÄN</t>
        </is>
      </c>
      <c r="E8372" t="inlineStr">
        <is>
          <t>VANSBRO</t>
        </is>
      </c>
      <c r="G8372" t="n">
        <v>2.1</v>
      </c>
      <c r="H8372" t="n">
        <v>0</v>
      </c>
      <c r="I8372" t="n">
        <v>0</v>
      </c>
      <c r="J8372" t="n">
        <v>0</v>
      </c>
      <c r="K8372" t="n">
        <v>0</v>
      </c>
      <c r="L8372" t="n">
        <v>0</v>
      </c>
      <c r="M8372" t="n">
        <v>0</v>
      </c>
      <c r="N8372" t="n">
        <v>0</v>
      </c>
      <c r="O8372" t="n">
        <v>0</v>
      </c>
      <c r="P8372" t="n">
        <v>0</v>
      </c>
      <c r="Q8372" t="n">
        <v>0</v>
      </c>
      <c r="R8372" s="2" t="inlineStr"/>
    </row>
    <row r="8373" ht="15" customHeight="1">
      <c r="A8373" t="inlineStr">
        <is>
          <t>A 53979-2025</t>
        </is>
      </c>
      <c r="B8373" s="1" t="n">
        <v>45961</v>
      </c>
      <c r="C8373" s="1" t="n">
        <v>46114</v>
      </c>
      <c r="D8373" t="inlineStr">
        <is>
          <t>DALARNAS LÄN</t>
        </is>
      </c>
      <c r="E8373" t="inlineStr">
        <is>
          <t>LUDVIKA</t>
        </is>
      </c>
      <c r="F8373" t="inlineStr">
        <is>
          <t>Bergvik skog väst AB</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4686-2026</t>
        </is>
      </c>
      <c r="B8374" s="1" t="n">
        <v>46048.43784722222</v>
      </c>
      <c r="C8374" s="1" t="n">
        <v>46114</v>
      </c>
      <c r="D8374" t="inlineStr">
        <is>
          <t>DALARNAS LÄN</t>
        </is>
      </c>
      <c r="E8374" t="inlineStr">
        <is>
          <t>GAGNEF</t>
        </is>
      </c>
      <c r="G8374" t="n">
        <v>4</v>
      </c>
      <c r="H8374" t="n">
        <v>0</v>
      </c>
      <c r="I8374" t="n">
        <v>0</v>
      </c>
      <c r="J8374" t="n">
        <v>0</v>
      </c>
      <c r="K8374" t="n">
        <v>0</v>
      </c>
      <c r="L8374" t="n">
        <v>0</v>
      </c>
      <c r="M8374" t="n">
        <v>0</v>
      </c>
      <c r="N8374" t="n">
        <v>0</v>
      </c>
      <c r="O8374" t="n">
        <v>0</v>
      </c>
      <c r="P8374" t="n">
        <v>0</v>
      </c>
      <c r="Q8374" t="n">
        <v>0</v>
      </c>
      <c r="R8374" s="2" t="inlineStr"/>
    </row>
    <row r="8375" ht="15" customHeight="1">
      <c r="A8375" t="inlineStr">
        <is>
          <t>A 4744-2026</t>
        </is>
      </c>
      <c r="B8375" s="1" t="n">
        <v>46048</v>
      </c>
      <c r="C8375" s="1" t="n">
        <v>46114</v>
      </c>
      <c r="D8375" t="inlineStr">
        <is>
          <t>DALARNAS LÄN</t>
        </is>
      </c>
      <c r="E8375" t="inlineStr">
        <is>
          <t>MORA</t>
        </is>
      </c>
      <c r="G8375" t="n">
        <v>15.8</v>
      </c>
      <c r="H8375" t="n">
        <v>0</v>
      </c>
      <c r="I8375" t="n">
        <v>0</v>
      </c>
      <c r="J8375" t="n">
        <v>0</v>
      </c>
      <c r="K8375" t="n">
        <v>0</v>
      </c>
      <c r="L8375" t="n">
        <v>0</v>
      </c>
      <c r="M8375" t="n">
        <v>0</v>
      </c>
      <c r="N8375" t="n">
        <v>0</v>
      </c>
      <c r="O8375" t="n">
        <v>0</v>
      </c>
      <c r="P8375" t="n">
        <v>0</v>
      </c>
      <c r="Q8375" t="n">
        <v>0</v>
      </c>
      <c r="R8375" s="2" t="inlineStr"/>
    </row>
    <row r="8376" ht="15" customHeight="1">
      <c r="A8376" t="inlineStr">
        <is>
          <t>A 54697-2023</t>
        </is>
      </c>
      <c r="B8376" s="1" t="n">
        <v>45236.30247685185</v>
      </c>
      <c r="C8376" s="1" t="n">
        <v>46114</v>
      </c>
      <c r="D8376" t="inlineStr">
        <is>
          <t>DALARNAS LÄN</t>
        </is>
      </c>
      <c r="E8376" t="inlineStr">
        <is>
          <t>RÄTTVIK</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12125-2024</t>
        </is>
      </c>
      <c r="B8377" s="1" t="n">
        <v>45377</v>
      </c>
      <c r="C8377" s="1" t="n">
        <v>46114</v>
      </c>
      <c r="D8377" t="inlineStr">
        <is>
          <t>DALARNAS LÄN</t>
        </is>
      </c>
      <c r="E8377" t="inlineStr">
        <is>
          <t>SMEDJEBACKEN</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29301-2023</t>
        </is>
      </c>
      <c r="B8378" s="1" t="n">
        <v>45105</v>
      </c>
      <c r="C8378" s="1" t="n">
        <v>46114</v>
      </c>
      <c r="D8378" t="inlineStr">
        <is>
          <t>DALARNAS LÄN</t>
        </is>
      </c>
      <c r="E8378" t="inlineStr">
        <is>
          <t>HEDEMORA</t>
        </is>
      </c>
      <c r="F8378" t="inlineStr">
        <is>
          <t>Sveaskog</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4899-2026</t>
        </is>
      </c>
      <c r="B8379" s="1" t="n">
        <v>46048.68466435185</v>
      </c>
      <c r="C8379" s="1" t="n">
        <v>46114</v>
      </c>
      <c r="D8379" t="inlineStr">
        <is>
          <t>DALARNAS LÄN</t>
        </is>
      </c>
      <c r="E8379" t="inlineStr">
        <is>
          <t>FALUN</t>
        </is>
      </c>
      <c r="G8379" t="n">
        <v>10.6</v>
      </c>
      <c r="H8379" t="n">
        <v>0</v>
      </c>
      <c r="I8379" t="n">
        <v>0</v>
      </c>
      <c r="J8379" t="n">
        <v>0</v>
      </c>
      <c r="K8379" t="n">
        <v>0</v>
      </c>
      <c r="L8379" t="n">
        <v>0</v>
      </c>
      <c r="M8379" t="n">
        <v>0</v>
      </c>
      <c r="N8379" t="n">
        <v>0</v>
      </c>
      <c r="O8379" t="n">
        <v>0</v>
      </c>
      <c r="P8379" t="n">
        <v>0</v>
      </c>
      <c r="Q8379" t="n">
        <v>0</v>
      </c>
      <c r="R8379" s="2" t="inlineStr"/>
    </row>
    <row r="8380" ht="15" customHeight="1">
      <c r="A8380" t="inlineStr">
        <is>
          <t>A 10531-2026</t>
        </is>
      </c>
      <c r="B8380" s="1" t="n">
        <v>46077</v>
      </c>
      <c r="C8380" s="1" t="n">
        <v>46114</v>
      </c>
      <c r="D8380" t="inlineStr">
        <is>
          <t>DALARNAS LÄN</t>
        </is>
      </c>
      <c r="E8380" t="inlineStr">
        <is>
          <t>FALUN</t>
        </is>
      </c>
      <c r="G8380" t="n">
        <v>0.5</v>
      </c>
      <c r="H8380" t="n">
        <v>0</v>
      </c>
      <c r="I8380" t="n">
        <v>0</v>
      </c>
      <c r="J8380" t="n">
        <v>0</v>
      </c>
      <c r="K8380" t="n">
        <v>0</v>
      </c>
      <c r="L8380" t="n">
        <v>0</v>
      </c>
      <c r="M8380" t="n">
        <v>0</v>
      </c>
      <c r="N8380" t="n">
        <v>0</v>
      </c>
      <c r="O8380" t="n">
        <v>0</v>
      </c>
      <c r="P8380" t="n">
        <v>0</v>
      </c>
      <c r="Q8380" t="n">
        <v>0</v>
      </c>
      <c r="R8380" s="2" t="inlineStr"/>
    </row>
    <row r="8381" ht="15" customHeight="1">
      <c r="A8381" t="inlineStr">
        <is>
          <t>A 12598-2026</t>
        </is>
      </c>
      <c r="B8381" s="1" t="n">
        <v>46091</v>
      </c>
      <c r="C8381" s="1" t="n">
        <v>46114</v>
      </c>
      <c r="D8381" t="inlineStr">
        <is>
          <t>DALARNAS LÄN</t>
        </is>
      </c>
      <c r="E8381" t="inlineStr">
        <is>
          <t>FALUN</t>
        </is>
      </c>
      <c r="G8381" t="n">
        <v>0.8</v>
      </c>
      <c r="H8381" t="n">
        <v>0</v>
      </c>
      <c r="I8381" t="n">
        <v>0</v>
      </c>
      <c r="J8381" t="n">
        <v>0</v>
      </c>
      <c r="K8381" t="n">
        <v>0</v>
      </c>
      <c r="L8381" t="n">
        <v>0</v>
      </c>
      <c r="M8381" t="n">
        <v>0</v>
      </c>
      <c r="N8381" t="n">
        <v>0</v>
      </c>
      <c r="O8381" t="n">
        <v>0</v>
      </c>
      <c r="P8381" t="n">
        <v>0</v>
      </c>
      <c r="Q8381" t="n">
        <v>0</v>
      </c>
      <c r="R8381" s="2" t="inlineStr"/>
    </row>
    <row r="8382" ht="15" customHeight="1">
      <c r="A8382" t="inlineStr">
        <is>
          <t>A 10561-2026</t>
        </is>
      </c>
      <c r="B8382" s="1" t="n">
        <v>46077</v>
      </c>
      <c r="C8382" s="1" t="n">
        <v>46114</v>
      </c>
      <c r="D8382" t="inlineStr">
        <is>
          <t>DALARNAS LÄN</t>
        </is>
      </c>
      <c r="E8382" t="inlineStr">
        <is>
          <t>ORSA</t>
        </is>
      </c>
      <c r="F8382" t="inlineStr">
        <is>
          <t>Övriga Aktiebolag</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25853-2024</t>
        </is>
      </c>
      <c r="B8383" s="1" t="n">
        <v>45467.44922453703</v>
      </c>
      <c r="C8383" s="1" t="n">
        <v>46114</v>
      </c>
      <c r="D8383" t="inlineStr">
        <is>
          <t>DALARNAS LÄN</t>
        </is>
      </c>
      <c r="E8383" t="inlineStr">
        <is>
          <t>GAGNEF</t>
        </is>
      </c>
      <c r="F8383" t="inlineStr">
        <is>
          <t>Bergvik skog väst AB</t>
        </is>
      </c>
      <c r="G8383" t="n">
        <v>0.3</v>
      </c>
      <c r="H8383" t="n">
        <v>0</v>
      </c>
      <c r="I8383" t="n">
        <v>0</v>
      </c>
      <c r="J8383" t="n">
        <v>0</v>
      </c>
      <c r="K8383" t="n">
        <v>0</v>
      </c>
      <c r="L8383" t="n">
        <v>0</v>
      </c>
      <c r="M8383" t="n">
        <v>0</v>
      </c>
      <c r="N8383" t="n">
        <v>0</v>
      </c>
      <c r="O8383" t="n">
        <v>0</v>
      </c>
      <c r="P8383" t="n">
        <v>0</v>
      </c>
      <c r="Q8383" t="n">
        <v>0</v>
      </c>
      <c r="R8383" s="2" t="inlineStr"/>
    </row>
    <row r="8384" ht="15" customHeight="1">
      <c r="A8384" t="inlineStr">
        <is>
          <t>A 46656-2023</t>
        </is>
      </c>
      <c r="B8384" s="1" t="n">
        <v>45198.46518518519</v>
      </c>
      <c r="C8384" s="1" t="n">
        <v>46114</v>
      </c>
      <c r="D8384" t="inlineStr">
        <is>
          <t>DALARNAS LÄN</t>
        </is>
      </c>
      <c r="E8384" t="inlineStr">
        <is>
          <t>LUDVIKA</t>
        </is>
      </c>
      <c r="F8384" t="inlineStr">
        <is>
          <t>Bergvik skog väst AB</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38700-2023</t>
        </is>
      </c>
      <c r="B8385" s="1" t="n">
        <v>45163</v>
      </c>
      <c r="C8385" s="1" t="n">
        <v>46114</v>
      </c>
      <c r="D8385" t="inlineStr">
        <is>
          <t>DALARNAS LÄN</t>
        </is>
      </c>
      <c r="E8385" t="inlineStr">
        <is>
          <t>SÄTER</t>
        </is>
      </c>
      <c r="G8385" t="n">
        <v>2.5</v>
      </c>
      <c r="H8385" t="n">
        <v>0</v>
      </c>
      <c r="I8385" t="n">
        <v>0</v>
      </c>
      <c r="J8385" t="n">
        <v>0</v>
      </c>
      <c r="K8385" t="n">
        <v>0</v>
      </c>
      <c r="L8385" t="n">
        <v>0</v>
      </c>
      <c r="M8385" t="n">
        <v>0</v>
      </c>
      <c r="N8385" t="n">
        <v>0</v>
      </c>
      <c r="O8385" t="n">
        <v>0</v>
      </c>
      <c r="P8385" t="n">
        <v>0</v>
      </c>
      <c r="Q8385" t="n">
        <v>0</v>
      </c>
      <c r="R8385" s="2" t="inlineStr"/>
    </row>
    <row r="8386" ht="15" customHeight="1">
      <c r="A8386" t="inlineStr">
        <is>
          <t>A 38746-2023</t>
        </is>
      </c>
      <c r="B8386" s="1" t="n">
        <v>45163</v>
      </c>
      <c r="C8386" s="1" t="n">
        <v>46114</v>
      </c>
      <c r="D8386" t="inlineStr">
        <is>
          <t>DALARNAS LÄN</t>
        </is>
      </c>
      <c r="E8386" t="inlineStr">
        <is>
          <t>SMEDJEBACKEN</t>
        </is>
      </c>
      <c r="F8386" t="inlineStr">
        <is>
          <t>Sveaskog</t>
        </is>
      </c>
      <c r="G8386" t="n">
        <v>2.4</v>
      </c>
      <c r="H8386" t="n">
        <v>0</v>
      </c>
      <c r="I8386" t="n">
        <v>0</v>
      </c>
      <c r="J8386" t="n">
        <v>0</v>
      </c>
      <c r="K8386" t="n">
        <v>0</v>
      </c>
      <c r="L8386" t="n">
        <v>0</v>
      </c>
      <c r="M8386" t="n">
        <v>0</v>
      </c>
      <c r="N8386" t="n">
        <v>0</v>
      </c>
      <c r="O8386" t="n">
        <v>0</v>
      </c>
      <c r="P8386" t="n">
        <v>0</v>
      </c>
      <c r="Q8386" t="n">
        <v>0</v>
      </c>
      <c r="R8386" s="2" t="inlineStr"/>
    </row>
    <row r="8387" ht="15" customHeight="1">
      <c r="A8387" t="inlineStr">
        <is>
          <t>A 38767-2023</t>
        </is>
      </c>
      <c r="B8387" s="1" t="n">
        <v>45163.42113425926</v>
      </c>
      <c r="C8387" s="1" t="n">
        <v>46114</v>
      </c>
      <c r="D8387" t="inlineStr">
        <is>
          <t>DALARNAS LÄN</t>
        </is>
      </c>
      <c r="E8387" t="inlineStr">
        <is>
          <t>SMEDJEBACKEN</t>
        </is>
      </c>
      <c r="F8387" t="inlineStr">
        <is>
          <t>Sveaskog</t>
        </is>
      </c>
      <c r="G8387" t="n">
        <v>6.5</v>
      </c>
      <c r="H8387" t="n">
        <v>0</v>
      </c>
      <c r="I8387" t="n">
        <v>0</v>
      </c>
      <c r="J8387" t="n">
        <v>0</v>
      </c>
      <c r="K8387" t="n">
        <v>0</v>
      </c>
      <c r="L8387" t="n">
        <v>0</v>
      </c>
      <c r="M8387" t="n">
        <v>0</v>
      </c>
      <c r="N8387" t="n">
        <v>0</v>
      </c>
      <c r="O8387" t="n">
        <v>0</v>
      </c>
      <c r="P8387" t="n">
        <v>0</v>
      </c>
      <c r="Q8387" t="n">
        <v>0</v>
      </c>
      <c r="R8387" s="2" t="inlineStr"/>
    </row>
    <row r="8388" ht="15" customHeight="1">
      <c r="A8388" t="inlineStr">
        <is>
          <t>A 51837-2024</t>
        </is>
      </c>
      <c r="B8388" s="1" t="n">
        <v>45607.509375</v>
      </c>
      <c r="C8388" s="1" t="n">
        <v>46114</v>
      </c>
      <c r="D8388" t="inlineStr">
        <is>
          <t>DALARNAS LÄN</t>
        </is>
      </c>
      <c r="E8388" t="inlineStr">
        <is>
          <t>FALUN</t>
        </is>
      </c>
      <c r="F8388" t="inlineStr">
        <is>
          <t>Bergvik skog väst AB</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20931-2022</t>
        </is>
      </c>
      <c r="B8389" s="1" t="n">
        <v>44701</v>
      </c>
      <c r="C8389" s="1" t="n">
        <v>46114</v>
      </c>
      <c r="D8389" t="inlineStr">
        <is>
          <t>DALARNAS LÄN</t>
        </is>
      </c>
      <c r="E8389" t="inlineStr">
        <is>
          <t>VANSBRO</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45683-2024</t>
        </is>
      </c>
      <c r="B8390" s="1" t="n">
        <v>45579</v>
      </c>
      <c r="C8390" s="1" t="n">
        <v>46114</v>
      </c>
      <c r="D8390" t="inlineStr">
        <is>
          <t>DALARNAS LÄN</t>
        </is>
      </c>
      <c r="E8390" t="inlineStr">
        <is>
          <t>SMEDJEBACKEN</t>
        </is>
      </c>
      <c r="F8390" t="inlineStr">
        <is>
          <t>Bergvik skog väst AB</t>
        </is>
      </c>
      <c r="G8390" t="n">
        <v>7.5</v>
      </c>
      <c r="H8390" t="n">
        <v>0</v>
      </c>
      <c r="I8390" t="n">
        <v>0</v>
      </c>
      <c r="J8390" t="n">
        <v>0</v>
      </c>
      <c r="K8390" t="n">
        <v>0</v>
      </c>
      <c r="L8390" t="n">
        <v>0</v>
      </c>
      <c r="M8390" t="n">
        <v>0</v>
      </c>
      <c r="N8390" t="n">
        <v>0</v>
      </c>
      <c r="O8390" t="n">
        <v>0</v>
      </c>
      <c r="P8390" t="n">
        <v>0</v>
      </c>
      <c r="Q8390" t="n">
        <v>0</v>
      </c>
      <c r="R8390" s="2" t="inlineStr"/>
    </row>
    <row r="8391" ht="15" customHeight="1">
      <c r="A8391" t="inlineStr">
        <is>
          <t>A 7282-2025</t>
        </is>
      </c>
      <c r="B8391" s="1" t="n">
        <v>45702.63570601852</v>
      </c>
      <c r="C8391" s="1" t="n">
        <v>46114</v>
      </c>
      <c r="D8391" t="inlineStr">
        <is>
          <t>DALARNAS LÄN</t>
        </is>
      </c>
      <c r="E8391" t="inlineStr">
        <is>
          <t>FALUN</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5648-2026</t>
        </is>
      </c>
      <c r="B8392" s="1" t="n">
        <v>46051.42921296296</v>
      </c>
      <c r="C8392" s="1" t="n">
        <v>46114</v>
      </c>
      <c r="D8392" t="inlineStr">
        <is>
          <t>DALARNAS LÄN</t>
        </is>
      </c>
      <c r="E8392" t="inlineStr">
        <is>
          <t>VANSBRO</t>
        </is>
      </c>
      <c r="G8392" t="n">
        <v>13.9</v>
      </c>
      <c r="H8392" t="n">
        <v>0</v>
      </c>
      <c r="I8392" t="n">
        <v>0</v>
      </c>
      <c r="J8392" t="n">
        <v>0</v>
      </c>
      <c r="K8392" t="n">
        <v>0</v>
      </c>
      <c r="L8392" t="n">
        <v>0</v>
      </c>
      <c r="M8392" t="n">
        <v>0</v>
      </c>
      <c r="N8392" t="n">
        <v>0</v>
      </c>
      <c r="O8392" t="n">
        <v>0</v>
      </c>
      <c r="P8392" t="n">
        <v>0</v>
      </c>
      <c r="Q8392" t="n">
        <v>0</v>
      </c>
      <c r="R8392" s="2" t="inlineStr"/>
    </row>
    <row r="8393" ht="15" customHeight="1">
      <c r="A8393" t="inlineStr">
        <is>
          <t>A 26837-2024</t>
        </is>
      </c>
      <c r="B8393" s="1" t="n">
        <v>45470.57494212963</v>
      </c>
      <c r="C8393" s="1" t="n">
        <v>46114</v>
      </c>
      <c r="D8393" t="inlineStr">
        <is>
          <t>DALARNAS LÄN</t>
        </is>
      </c>
      <c r="E8393" t="inlineStr">
        <is>
          <t>MALUNG-SÄLEN</t>
        </is>
      </c>
      <c r="F8393" t="inlineStr">
        <is>
          <t>Bergvik skog väst AB</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33100-2023</t>
        </is>
      </c>
      <c r="B8394" s="1" t="n">
        <v>45114</v>
      </c>
      <c r="C8394" s="1" t="n">
        <v>46114</v>
      </c>
      <c r="D8394" t="inlineStr">
        <is>
          <t>DALARNAS LÄN</t>
        </is>
      </c>
      <c r="E8394" t="inlineStr">
        <is>
          <t>ÄLVDALEN</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12397-2026</t>
        </is>
      </c>
      <c r="B8395" s="1" t="n">
        <v>46087</v>
      </c>
      <c r="C8395" s="1" t="n">
        <v>46114</v>
      </c>
      <c r="D8395" t="inlineStr">
        <is>
          <t>DALARNAS LÄN</t>
        </is>
      </c>
      <c r="E8395" t="inlineStr">
        <is>
          <t>FALUN</t>
        </is>
      </c>
      <c r="F8395" t="inlineStr">
        <is>
          <t>Allmännings- och besparingsskogar</t>
        </is>
      </c>
      <c r="G8395" t="n">
        <v>44.4</v>
      </c>
      <c r="H8395" t="n">
        <v>0</v>
      </c>
      <c r="I8395" t="n">
        <v>0</v>
      </c>
      <c r="J8395" t="n">
        <v>0</v>
      </c>
      <c r="K8395" t="n">
        <v>0</v>
      </c>
      <c r="L8395" t="n">
        <v>0</v>
      </c>
      <c r="M8395" t="n">
        <v>0</v>
      </c>
      <c r="N8395" t="n">
        <v>0</v>
      </c>
      <c r="O8395" t="n">
        <v>0</v>
      </c>
      <c r="P8395" t="n">
        <v>0</v>
      </c>
      <c r="Q8395" t="n">
        <v>0</v>
      </c>
      <c r="R8395" s="2" t="inlineStr"/>
    </row>
    <row r="8396" ht="15" customHeight="1">
      <c r="A8396" t="inlineStr">
        <is>
          <t>A 12965-2026</t>
        </is>
      </c>
      <c r="B8396" s="1" t="n">
        <v>46092.64688657408</v>
      </c>
      <c r="C8396" s="1" t="n">
        <v>46114</v>
      </c>
      <c r="D8396" t="inlineStr">
        <is>
          <t>DALARNAS LÄN</t>
        </is>
      </c>
      <c r="E8396" t="inlineStr">
        <is>
          <t>SÄTER</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5590-2026</t>
        </is>
      </c>
      <c r="B8397" s="1" t="n">
        <v>46051</v>
      </c>
      <c r="C8397" s="1" t="n">
        <v>46114</v>
      </c>
      <c r="D8397" t="inlineStr">
        <is>
          <t>DALARNAS LÄN</t>
        </is>
      </c>
      <c r="E8397" t="inlineStr">
        <is>
          <t>LEKSAND</t>
        </is>
      </c>
      <c r="G8397" t="n">
        <v>1.2</v>
      </c>
      <c r="H8397" t="n">
        <v>0</v>
      </c>
      <c r="I8397" t="n">
        <v>0</v>
      </c>
      <c r="J8397" t="n">
        <v>0</v>
      </c>
      <c r="K8397" t="n">
        <v>0</v>
      </c>
      <c r="L8397" t="n">
        <v>0</v>
      </c>
      <c r="M8397" t="n">
        <v>0</v>
      </c>
      <c r="N8397" t="n">
        <v>0</v>
      </c>
      <c r="O8397" t="n">
        <v>0</v>
      </c>
      <c r="P8397" t="n">
        <v>0</v>
      </c>
      <c r="Q8397" t="n">
        <v>0</v>
      </c>
      <c r="R8397" s="2" t="inlineStr"/>
    </row>
    <row r="8398" ht="15" customHeight="1">
      <c r="A8398" t="inlineStr">
        <is>
          <t>A 49807-2024</t>
        </is>
      </c>
      <c r="B8398" s="1" t="n">
        <v>45597.38804398148</v>
      </c>
      <c r="C8398" s="1" t="n">
        <v>46114</v>
      </c>
      <c r="D8398" t="inlineStr">
        <is>
          <t>DALARNAS LÄN</t>
        </is>
      </c>
      <c r="E8398" t="inlineStr">
        <is>
          <t>MALUNG-SÄLEN</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5300-2026</t>
        </is>
      </c>
      <c r="B8399" s="1" t="n">
        <v>46050</v>
      </c>
      <c r="C8399" s="1" t="n">
        <v>46114</v>
      </c>
      <c r="D8399" t="inlineStr">
        <is>
          <t>DALARNAS LÄN</t>
        </is>
      </c>
      <c r="E8399" t="inlineStr">
        <is>
          <t>FALUN</t>
        </is>
      </c>
      <c r="F8399" t="inlineStr">
        <is>
          <t>Bergvik skog väst AB</t>
        </is>
      </c>
      <c r="G8399" t="n">
        <v>19.4</v>
      </c>
      <c r="H8399" t="n">
        <v>0</v>
      </c>
      <c r="I8399" t="n">
        <v>0</v>
      </c>
      <c r="J8399" t="n">
        <v>0</v>
      </c>
      <c r="K8399" t="n">
        <v>0</v>
      </c>
      <c r="L8399" t="n">
        <v>0</v>
      </c>
      <c r="M8399" t="n">
        <v>0</v>
      </c>
      <c r="N8399" t="n">
        <v>0</v>
      </c>
      <c r="O8399" t="n">
        <v>0</v>
      </c>
      <c r="P8399" t="n">
        <v>0</v>
      </c>
      <c r="Q8399" t="n">
        <v>0</v>
      </c>
      <c r="R8399" s="2" t="inlineStr"/>
    </row>
    <row r="8400" ht="15" customHeight="1">
      <c r="A8400" t="inlineStr">
        <is>
          <t>A 5304-2026</t>
        </is>
      </c>
      <c r="B8400" s="1" t="n">
        <v>46050.34916666667</v>
      </c>
      <c r="C8400" s="1" t="n">
        <v>46114</v>
      </c>
      <c r="D8400" t="inlineStr">
        <is>
          <t>DALARNAS LÄN</t>
        </is>
      </c>
      <c r="E8400" t="inlineStr">
        <is>
          <t>RÄTTVIK</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5597-2026</t>
        </is>
      </c>
      <c r="B8401" s="1" t="n">
        <v>46051</v>
      </c>
      <c r="C8401" s="1" t="n">
        <v>46114</v>
      </c>
      <c r="D8401" t="inlineStr">
        <is>
          <t>DALARNAS LÄN</t>
        </is>
      </c>
      <c r="E8401" t="inlineStr">
        <is>
          <t>LEKSAND</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5599-2026</t>
        </is>
      </c>
      <c r="B8402" s="1" t="n">
        <v>46051</v>
      </c>
      <c r="C8402" s="1" t="n">
        <v>46114</v>
      </c>
      <c r="D8402" t="inlineStr">
        <is>
          <t>DALARNAS LÄN</t>
        </is>
      </c>
      <c r="E8402" t="inlineStr">
        <is>
          <t>FALUN</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5305-2026</t>
        </is>
      </c>
      <c r="B8403" s="1" t="n">
        <v>46050</v>
      </c>
      <c r="C8403" s="1" t="n">
        <v>46114</v>
      </c>
      <c r="D8403" t="inlineStr">
        <is>
          <t>DALARNAS LÄN</t>
        </is>
      </c>
      <c r="E8403" t="inlineStr">
        <is>
          <t>FALUN</t>
        </is>
      </c>
      <c r="F8403" t="inlineStr">
        <is>
          <t>Bergvik skog väst AB</t>
        </is>
      </c>
      <c r="G8403" t="n">
        <v>14.1</v>
      </c>
      <c r="H8403" t="n">
        <v>0</v>
      </c>
      <c r="I8403" t="n">
        <v>0</v>
      </c>
      <c r="J8403" t="n">
        <v>0</v>
      </c>
      <c r="K8403" t="n">
        <v>0</v>
      </c>
      <c r="L8403" t="n">
        <v>0</v>
      </c>
      <c r="M8403" t="n">
        <v>0</v>
      </c>
      <c r="N8403" t="n">
        <v>0</v>
      </c>
      <c r="O8403" t="n">
        <v>0</v>
      </c>
      <c r="P8403" t="n">
        <v>0</v>
      </c>
      <c r="Q8403" t="n">
        <v>0</v>
      </c>
      <c r="R8403" s="2" t="inlineStr"/>
    </row>
    <row r="8404" ht="15" customHeight="1">
      <c r="A8404" t="inlineStr">
        <is>
          <t>A 5586-2026</t>
        </is>
      </c>
      <c r="B8404" s="1" t="n">
        <v>46051</v>
      </c>
      <c r="C8404" s="1" t="n">
        <v>46114</v>
      </c>
      <c r="D8404" t="inlineStr">
        <is>
          <t>DALARNAS LÄN</t>
        </is>
      </c>
      <c r="E8404" t="inlineStr">
        <is>
          <t>LEKSAND</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5341-2026</t>
        </is>
      </c>
      <c r="B8405" s="1" t="n">
        <v>46050</v>
      </c>
      <c r="C8405" s="1" t="n">
        <v>46114</v>
      </c>
      <c r="D8405" t="inlineStr">
        <is>
          <t>DALARNAS LÄN</t>
        </is>
      </c>
      <c r="E8405" t="inlineStr">
        <is>
          <t>HEDEMORA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36928-2024</t>
        </is>
      </c>
      <c r="B8406" s="1" t="n">
        <v>45538</v>
      </c>
      <c r="C8406" s="1" t="n">
        <v>46114</v>
      </c>
      <c r="D8406" t="inlineStr">
        <is>
          <t>DALARNAS LÄN</t>
        </is>
      </c>
      <c r="E8406" t="inlineStr">
        <is>
          <t>MALUNG-SÄLEN</t>
        </is>
      </c>
      <c r="G8406" t="n">
        <v>14.7</v>
      </c>
      <c r="H8406" t="n">
        <v>0</v>
      </c>
      <c r="I8406" t="n">
        <v>0</v>
      </c>
      <c r="J8406" t="n">
        <v>0</v>
      </c>
      <c r="K8406" t="n">
        <v>0</v>
      </c>
      <c r="L8406" t="n">
        <v>0</v>
      </c>
      <c r="M8406" t="n">
        <v>0</v>
      </c>
      <c r="N8406" t="n">
        <v>0</v>
      </c>
      <c r="O8406" t="n">
        <v>0</v>
      </c>
      <c r="P8406" t="n">
        <v>0</v>
      </c>
      <c r="Q8406" t="n">
        <v>0</v>
      </c>
      <c r="R8406" s="2" t="inlineStr"/>
    </row>
    <row r="8407" ht="15" customHeight="1">
      <c r="A8407" t="inlineStr">
        <is>
          <t>A 5607-2026</t>
        </is>
      </c>
      <c r="B8407" s="1" t="n">
        <v>46051</v>
      </c>
      <c r="C8407" s="1" t="n">
        <v>46114</v>
      </c>
      <c r="D8407" t="inlineStr">
        <is>
          <t>DALARNAS LÄN</t>
        </is>
      </c>
      <c r="E8407" t="inlineStr">
        <is>
          <t>FALUN</t>
        </is>
      </c>
      <c r="G8407" t="n">
        <v>3.7</v>
      </c>
      <c r="H8407" t="n">
        <v>0</v>
      </c>
      <c r="I8407" t="n">
        <v>0</v>
      </c>
      <c r="J8407" t="n">
        <v>0</v>
      </c>
      <c r="K8407" t="n">
        <v>0</v>
      </c>
      <c r="L8407" t="n">
        <v>0</v>
      </c>
      <c r="M8407" t="n">
        <v>0</v>
      </c>
      <c r="N8407" t="n">
        <v>0</v>
      </c>
      <c r="O8407" t="n">
        <v>0</v>
      </c>
      <c r="P8407" t="n">
        <v>0</v>
      </c>
      <c r="Q8407" t="n">
        <v>0</v>
      </c>
      <c r="R8407" s="2" t="inlineStr"/>
    </row>
    <row r="8408" ht="15" customHeight="1">
      <c r="A8408" t="inlineStr">
        <is>
          <t>A 5701-2026</t>
        </is>
      </c>
      <c r="B8408" s="1" t="n">
        <v>46051.50493055556</v>
      </c>
      <c r="C8408" s="1" t="n">
        <v>46114</v>
      </c>
      <c r="D8408" t="inlineStr">
        <is>
          <t>DALARNAS LÄN</t>
        </is>
      </c>
      <c r="E8408" t="inlineStr">
        <is>
          <t>SMEDJEBACKEN</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5620-2026</t>
        </is>
      </c>
      <c r="B8409" s="1" t="n">
        <v>46051</v>
      </c>
      <c r="C8409" s="1" t="n">
        <v>46114</v>
      </c>
      <c r="D8409" t="inlineStr">
        <is>
          <t>DALARNAS LÄN</t>
        </is>
      </c>
      <c r="E8409" t="inlineStr">
        <is>
          <t>HEDEMORA</t>
        </is>
      </c>
      <c r="G8409" t="n">
        <v>9.5</v>
      </c>
      <c r="H8409" t="n">
        <v>0</v>
      </c>
      <c r="I8409" t="n">
        <v>0</v>
      </c>
      <c r="J8409" t="n">
        <v>0</v>
      </c>
      <c r="K8409" t="n">
        <v>0</v>
      </c>
      <c r="L8409" t="n">
        <v>0</v>
      </c>
      <c r="M8409" t="n">
        <v>0</v>
      </c>
      <c r="N8409" t="n">
        <v>0</v>
      </c>
      <c r="O8409" t="n">
        <v>0</v>
      </c>
      <c r="P8409" t="n">
        <v>0</v>
      </c>
      <c r="Q8409" t="n">
        <v>0</v>
      </c>
      <c r="R8409" s="2" t="inlineStr"/>
    </row>
    <row r="8410" ht="15" customHeight="1">
      <c r="A8410" t="inlineStr">
        <is>
          <t>A 5622-2026</t>
        </is>
      </c>
      <c r="B8410" s="1" t="n">
        <v>46051.38525462963</v>
      </c>
      <c r="C8410" s="1" t="n">
        <v>46114</v>
      </c>
      <c r="D8410" t="inlineStr">
        <is>
          <t>DALARNAS LÄN</t>
        </is>
      </c>
      <c r="E8410" t="inlineStr">
        <is>
          <t>FALUN</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5706-2026</t>
        </is>
      </c>
      <c r="B8411" s="1" t="n">
        <v>46051.50975694445</v>
      </c>
      <c r="C8411" s="1" t="n">
        <v>46114</v>
      </c>
      <c r="D8411" t="inlineStr">
        <is>
          <t>DALARNAS LÄN</t>
        </is>
      </c>
      <c r="E8411" t="inlineStr">
        <is>
          <t>SMEDJEBACKEN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5723-2026</t>
        </is>
      </c>
      <c r="B8412" s="1" t="n">
        <v>46051</v>
      </c>
      <c r="C8412" s="1" t="n">
        <v>46114</v>
      </c>
      <c r="D8412" t="inlineStr">
        <is>
          <t>DALARNAS LÄN</t>
        </is>
      </c>
      <c r="E8412" t="inlineStr">
        <is>
          <t>SÄTER</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11825-2026</t>
        </is>
      </c>
      <c r="B8413" s="1" t="n">
        <v>46085</v>
      </c>
      <c r="C8413" s="1" t="n">
        <v>46114</v>
      </c>
      <c r="D8413" t="inlineStr">
        <is>
          <t>DALARNAS LÄN</t>
        </is>
      </c>
      <c r="E8413" t="inlineStr">
        <is>
          <t>AVESTA</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48459-2023</t>
        </is>
      </c>
      <c r="B8414" s="1" t="n">
        <v>45206.81862268518</v>
      </c>
      <c r="C8414" s="1" t="n">
        <v>46114</v>
      </c>
      <c r="D8414" t="inlineStr">
        <is>
          <t>DALARNAS LÄN</t>
        </is>
      </c>
      <c r="E8414" t="inlineStr">
        <is>
          <t>SMEDJEBACKEN</t>
        </is>
      </c>
      <c r="F8414" t="inlineStr">
        <is>
          <t>Sveaskog</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5362-2026</t>
        </is>
      </c>
      <c r="B8415" s="1" t="n">
        <v>46050.45054398148</v>
      </c>
      <c r="C8415" s="1" t="n">
        <v>46114</v>
      </c>
      <c r="D8415" t="inlineStr">
        <is>
          <t>DALARNAS LÄN</t>
        </is>
      </c>
      <c r="E8415" t="inlineStr">
        <is>
          <t>FALUN</t>
        </is>
      </c>
      <c r="F8415" t="inlineStr">
        <is>
          <t>Övriga statliga verk och myndigheter</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18522-2021</t>
        </is>
      </c>
      <c r="B8416" s="1" t="n">
        <v>44306.4405787037</v>
      </c>
      <c r="C8416" s="1" t="n">
        <v>46114</v>
      </c>
      <c r="D8416" t="inlineStr">
        <is>
          <t>DALARNAS LÄN</t>
        </is>
      </c>
      <c r="E8416" t="inlineStr">
        <is>
          <t>HEDEMORA</t>
        </is>
      </c>
      <c r="G8416" t="n">
        <v>7</v>
      </c>
      <c r="H8416" t="n">
        <v>0</v>
      </c>
      <c r="I8416" t="n">
        <v>0</v>
      </c>
      <c r="J8416" t="n">
        <v>0</v>
      </c>
      <c r="K8416" t="n">
        <v>0</v>
      </c>
      <c r="L8416" t="n">
        <v>0</v>
      </c>
      <c r="M8416" t="n">
        <v>0</v>
      </c>
      <c r="N8416" t="n">
        <v>0</v>
      </c>
      <c r="O8416" t="n">
        <v>0</v>
      </c>
      <c r="P8416" t="n">
        <v>0</v>
      </c>
      <c r="Q8416" t="n">
        <v>0</v>
      </c>
      <c r="R8416" s="2" t="inlineStr"/>
    </row>
    <row r="8417" ht="15" customHeight="1">
      <c r="A8417" t="inlineStr">
        <is>
          <t>A 5615-2026</t>
        </is>
      </c>
      <c r="B8417" s="1" t="n">
        <v>46051</v>
      </c>
      <c r="C8417" s="1" t="n">
        <v>46114</v>
      </c>
      <c r="D8417" t="inlineStr">
        <is>
          <t>DALARNAS LÄN</t>
        </is>
      </c>
      <c r="E8417" t="inlineStr">
        <is>
          <t>LEKSAND</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62993-2023</t>
        </is>
      </c>
      <c r="B8418" s="1" t="n">
        <v>45272</v>
      </c>
      <c r="C8418" s="1" t="n">
        <v>46114</v>
      </c>
      <c r="D8418" t="inlineStr">
        <is>
          <t>DALARNAS LÄN</t>
        </is>
      </c>
      <c r="E8418" t="inlineStr">
        <is>
          <t>LEKSAND</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57474-2023</t>
        </is>
      </c>
      <c r="B8419" s="1" t="n">
        <v>45246.37835648148</v>
      </c>
      <c r="C8419" s="1" t="n">
        <v>46114</v>
      </c>
      <c r="D8419" t="inlineStr">
        <is>
          <t>DALARNAS LÄN</t>
        </is>
      </c>
      <c r="E8419" t="inlineStr">
        <is>
          <t>MALUNG-SÄLEN</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26085-2021</t>
        </is>
      </c>
      <c r="B8420" s="1" t="n">
        <v>44344.89642361111</v>
      </c>
      <c r="C8420" s="1" t="n">
        <v>46114</v>
      </c>
      <c r="D8420" t="inlineStr">
        <is>
          <t>DALARNAS LÄN</t>
        </is>
      </c>
      <c r="E8420" t="inlineStr">
        <is>
          <t>AVESTA</t>
        </is>
      </c>
      <c r="F8420" t="inlineStr">
        <is>
          <t>Sveaskog</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11265-2026</t>
        </is>
      </c>
      <c r="B8421" s="1" t="n">
        <v>46080</v>
      </c>
      <c r="C8421" s="1" t="n">
        <v>46114</v>
      </c>
      <c r="D8421" t="inlineStr">
        <is>
          <t>DALARNAS LÄN</t>
        </is>
      </c>
      <c r="E8421" t="inlineStr">
        <is>
          <t>FALUN</t>
        </is>
      </c>
      <c r="G8421" t="n">
        <v>10.4</v>
      </c>
      <c r="H8421" t="n">
        <v>0</v>
      </c>
      <c r="I8421" t="n">
        <v>0</v>
      </c>
      <c r="J8421" t="n">
        <v>0</v>
      </c>
      <c r="K8421" t="n">
        <v>0</v>
      </c>
      <c r="L8421" t="n">
        <v>0</v>
      </c>
      <c r="M8421" t="n">
        <v>0</v>
      </c>
      <c r="N8421" t="n">
        <v>0</v>
      </c>
      <c r="O8421" t="n">
        <v>0</v>
      </c>
      <c r="P8421" t="n">
        <v>0</v>
      </c>
      <c r="Q8421" t="n">
        <v>0</v>
      </c>
      <c r="R8421" s="2" t="inlineStr"/>
    </row>
    <row r="8422" ht="15" customHeight="1">
      <c r="A8422" t="inlineStr">
        <is>
          <t>A 5376-2026</t>
        </is>
      </c>
      <c r="B8422" s="1" t="n">
        <v>46050</v>
      </c>
      <c r="C8422" s="1" t="n">
        <v>46114</v>
      </c>
      <c r="D8422" t="inlineStr">
        <is>
          <t>DALARNAS LÄN</t>
        </is>
      </c>
      <c r="E8422" t="inlineStr">
        <is>
          <t>RÄTTVIK</t>
        </is>
      </c>
      <c r="G8422" t="n">
        <v>1.7</v>
      </c>
      <c r="H8422" t="n">
        <v>0</v>
      </c>
      <c r="I8422" t="n">
        <v>0</v>
      </c>
      <c r="J8422" t="n">
        <v>0</v>
      </c>
      <c r="K8422" t="n">
        <v>0</v>
      </c>
      <c r="L8422" t="n">
        <v>0</v>
      </c>
      <c r="M8422" t="n">
        <v>0</v>
      </c>
      <c r="N8422" t="n">
        <v>0</v>
      </c>
      <c r="O8422" t="n">
        <v>0</v>
      </c>
      <c r="P8422" t="n">
        <v>0</v>
      </c>
      <c r="Q8422" t="n">
        <v>0</v>
      </c>
      <c r="R8422" s="2" t="inlineStr"/>
    </row>
    <row r="8423" ht="15" customHeight="1">
      <c r="A8423" t="inlineStr">
        <is>
          <t>A 45373-2023</t>
        </is>
      </c>
      <c r="B8423" s="1" t="n">
        <v>45193.76826388889</v>
      </c>
      <c r="C8423" s="1" t="n">
        <v>46114</v>
      </c>
      <c r="D8423" t="inlineStr">
        <is>
          <t>DALARNAS LÄN</t>
        </is>
      </c>
      <c r="E8423" t="inlineStr">
        <is>
          <t>SMEDJEBACKEN</t>
        </is>
      </c>
      <c r="F8423" t="inlineStr">
        <is>
          <t>Sveaskog</t>
        </is>
      </c>
      <c r="G8423" t="n">
        <v>1.3</v>
      </c>
      <c r="H8423" t="n">
        <v>0</v>
      </c>
      <c r="I8423" t="n">
        <v>0</v>
      </c>
      <c r="J8423" t="n">
        <v>0</v>
      </c>
      <c r="K8423" t="n">
        <v>0</v>
      </c>
      <c r="L8423" t="n">
        <v>0</v>
      </c>
      <c r="M8423" t="n">
        <v>0</v>
      </c>
      <c r="N8423" t="n">
        <v>0</v>
      </c>
      <c r="O8423" t="n">
        <v>0</v>
      </c>
      <c r="P8423" t="n">
        <v>0</v>
      </c>
      <c r="Q8423" t="n">
        <v>0</v>
      </c>
      <c r="R8423" s="2" t="inlineStr"/>
    </row>
    <row r="8424" ht="15" customHeight="1">
      <c r="A8424" t="inlineStr">
        <is>
          <t>A 380-2024</t>
        </is>
      </c>
      <c r="B8424" s="1" t="n">
        <v>45296.36752314815</v>
      </c>
      <c r="C8424" s="1" t="n">
        <v>46114</v>
      </c>
      <c r="D8424" t="inlineStr">
        <is>
          <t>DALARNAS LÄN</t>
        </is>
      </c>
      <c r="E8424" t="inlineStr">
        <is>
          <t>VANSBRO</t>
        </is>
      </c>
      <c r="G8424" t="n">
        <v>4</v>
      </c>
      <c r="H8424" t="n">
        <v>0</v>
      </c>
      <c r="I8424" t="n">
        <v>0</v>
      </c>
      <c r="J8424" t="n">
        <v>0</v>
      </c>
      <c r="K8424" t="n">
        <v>0</v>
      </c>
      <c r="L8424" t="n">
        <v>0</v>
      </c>
      <c r="M8424" t="n">
        <v>0</v>
      </c>
      <c r="N8424" t="n">
        <v>0</v>
      </c>
      <c r="O8424" t="n">
        <v>0</v>
      </c>
      <c r="P8424" t="n">
        <v>0</v>
      </c>
      <c r="Q8424" t="n">
        <v>0</v>
      </c>
      <c r="R8424" s="2" t="inlineStr"/>
    </row>
    <row r="8425" ht="15" customHeight="1">
      <c r="A8425" t="inlineStr">
        <is>
          <t>A 10807-2025</t>
        </is>
      </c>
      <c r="B8425" s="1" t="n">
        <v>45722.53209490741</v>
      </c>
      <c r="C8425" s="1" t="n">
        <v>46114</v>
      </c>
      <c r="D8425" t="inlineStr">
        <is>
          <t>DALARNAS LÄN</t>
        </is>
      </c>
      <c r="E8425" t="inlineStr">
        <is>
          <t>RÄTTVIK</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5409-2026</t>
        </is>
      </c>
      <c r="B8426" s="1" t="n">
        <v>46050</v>
      </c>
      <c r="C8426" s="1" t="n">
        <v>46114</v>
      </c>
      <c r="D8426" t="inlineStr">
        <is>
          <t>DALARNAS LÄN</t>
        </is>
      </c>
      <c r="E8426" t="inlineStr">
        <is>
          <t>FALUN</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5272-2026</t>
        </is>
      </c>
      <c r="B8427" s="1" t="n">
        <v>46050.31886574074</v>
      </c>
      <c r="C8427" s="1" t="n">
        <v>46114</v>
      </c>
      <c r="D8427" t="inlineStr">
        <is>
          <t>DALARNAS LÄN</t>
        </is>
      </c>
      <c r="E8427" t="inlineStr">
        <is>
          <t>RÄTTVIK</t>
        </is>
      </c>
      <c r="G8427" t="n">
        <v>2.4</v>
      </c>
      <c r="H8427" t="n">
        <v>0</v>
      </c>
      <c r="I8427" t="n">
        <v>0</v>
      </c>
      <c r="J8427" t="n">
        <v>0</v>
      </c>
      <c r="K8427" t="n">
        <v>0</v>
      </c>
      <c r="L8427" t="n">
        <v>0</v>
      </c>
      <c r="M8427" t="n">
        <v>0</v>
      </c>
      <c r="N8427" t="n">
        <v>0</v>
      </c>
      <c r="O8427" t="n">
        <v>0</v>
      </c>
      <c r="P8427" t="n">
        <v>0</v>
      </c>
      <c r="Q8427" t="n">
        <v>0</v>
      </c>
      <c r="R8427" s="2" t="inlineStr"/>
    </row>
    <row r="8428" ht="15" customHeight="1">
      <c r="A8428" t="inlineStr">
        <is>
          <t>A 5788-2026</t>
        </is>
      </c>
      <c r="B8428" s="1" t="n">
        <v>46051.67444444444</v>
      </c>
      <c r="C8428" s="1" t="n">
        <v>46114</v>
      </c>
      <c r="D8428" t="inlineStr">
        <is>
          <t>DALARNAS LÄN</t>
        </is>
      </c>
      <c r="E8428" t="inlineStr">
        <is>
          <t>BORLÄNGE</t>
        </is>
      </c>
      <c r="G8428" t="n">
        <v>3.6</v>
      </c>
      <c r="H8428" t="n">
        <v>0</v>
      </c>
      <c r="I8428" t="n">
        <v>0</v>
      </c>
      <c r="J8428" t="n">
        <v>0</v>
      </c>
      <c r="K8428" t="n">
        <v>0</v>
      </c>
      <c r="L8428" t="n">
        <v>0</v>
      </c>
      <c r="M8428" t="n">
        <v>0</v>
      </c>
      <c r="N8428" t="n">
        <v>0</v>
      </c>
      <c r="O8428" t="n">
        <v>0</v>
      </c>
      <c r="P8428" t="n">
        <v>0</v>
      </c>
      <c r="Q8428" t="n">
        <v>0</v>
      </c>
      <c r="R8428" s="2" t="inlineStr"/>
    </row>
    <row r="8429" ht="15" customHeight="1">
      <c r="A8429" t="inlineStr">
        <is>
          <t>A 5803-2026</t>
        </is>
      </c>
      <c r="B8429" s="1" t="n">
        <v>46051</v>
      </c>
      <c r="C8429" s="1" t="n">
        <v>46114</v>
      </c>
      <c r="D8429" t="inlineStr">
        <is>
          <t>DALARNAS LÄN</t>
        </is>
      </c>
      <c r="E8429" t="inlineStr">
        <is>
          <t>MORA</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61202-2024</t>
        </is>
      </c>
      <c r="B8430" s="1" t="n">
        <v>45645.63621527778</v>
      </c>
      <c r="C8430" s="1" t="n">
        <v>46114</v>
      </c>
      <c r="D8430" t="inlineStr">
        <is>
          <t>DALARNAS LÄN</t>
        </is>
      </c>
      <c r="E8430" t="inlineStr">
        <is>
          <t>MALUNG-SÄLEN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5481-2026</t>
        </is>
      </c>
      <c r="B8431" s="1" t="n">
        <v>46050.60578703704</v>
      </c>
      <c r="C8431" s="1" t="n">
        <v>46114</v>
      </c>
      <c r="D8431" t="inlineStr">
        <is>
          <t>DALARNAS LÄN</t>
        </is>
      </c>
      <c r="E8431" t="inlineStr">
        <is>
          <t>FALUN</t>
        </is>
      </c>
      <c r="G8431" t="n">
        <v>0.5</v>
      </c>
      <c r="H8431" t="n">
        <v>0</v>
      </c>
      <c r="I8431" t="n">
        <v>0</v>
      </c>
      <c r="J8431" t="n">
        <v>0</v>
      </c>
      <c r="K8431" t="n">
        <v>0</v>
      </c>
      <c r="L8431" t="n">
        <v>0</v>
      </c>
      <c r="M8431" t="n">
        <v>0</v>
      </c>
      <c r="N8431" t="n">
        <v>0</v>
      </c>
      <c r="O8431" t="n">
        <v>0</v>
      </c>
      <c r="P8431" t="n">
        <v>0</v>
      </c>
      <c r="Q8431" t="n">
        <v>0</v>
      </c>
      <c r="R8431" s="2" t="inlineStr"/>
    </row>
    <row r="8432" ht="15" customHeight="1">
      <c r="A8432" t="inlineStr">
        <is>
          <t>A 5496-2026</t>
        </is>
      </c>
      <c r="B8432" s="1" t="n">
        <v>46050.61864583333</v>
      </c>
      <c r="C8432" s="1" t="n">
        <v>46114</v>
      </c>
      <c r="D8432" t="inlineStr">
        <is>
          <t>DALARNAS LÄN</t>
        </is>
      </c>
      <c r="E8432" t="inlineStr">
        <is>
          <t>FALUN</t>
        </is>
      </c>
      <c r="G8432" t="n">
        <v>1.6</v>
      </c>
      <c r="H8432" t="n">
        <v>0</v>
      </c>
      <c r="I8432" t="n">
        <v>0</v>
      </c>
      <c r="J8432" t="n">
        <v>0</v>
      </c>
      <c r="K8432" t="n">
        <v>0</v>
      </c>
      <c r="L8432" t="n">
        <v>0</v>
      </c>
      <c r="M8432" t="n">
        <v>0</v>
      </c>
      <c r="N8432" t="n">
        <v>0</v>
      </c>
      <c r="O8432" t="n">
        <v>0</v>
      </c>
      <c r="P8432" t="n">
        <v>0</v>
      </c>
      <c r="Q8432" t="n">
        <v>0</v>
      </c>
      <c r="R8432" s="2" t="inlineStr"/>
    </row>
    <row r="8433" ht="15" customHeight="1">
      <c r="A8433" t="inlineStr">
        <is>
          <t>A 12424-2026</t>
        </is>
      </c>
      <c r="B8433" s="1" t="n">
        <v>46090</v>
      </c>
      <c r="C8433" s="1" t="n">
        <v>46114</v>
      </c>
      <c r="D8433" t="inlineStr">
        <is>
          <t>DALARNAS LÄN</t>
        </is>
      </c>
      <c r="E8433" t="inlineStr">
        <is>
          <t>FALUN</t>
        </is>
      </c>
      <c r="F8433" t="inlineStr">
        <is>
          <t>Bergvik skog väst AB</t>
        </is>
      </c>
      <c r="G8433" t="n">
        <v>5.7</v>
      </c>
      <c r="H8433" t="n">
        <v>0</v>
      </c>
      <c r="I8433" t="n">
        <v>0</v>
      </c>
      <c r="J8433" t="n">
        <v>0</v>
      </c>
      <c r="K8433" t="n">
        <v>0</v>
      </c>
      <c r="L8433" t="n">
        <v>0</v>
      </c>
      <c r="M8433" t="n">
        <v>0</v>
      </c>
      <c r="N8433" t="n">
        <v>0</v>
      </c>
      <c r="O8433" t="n">
        <v>0</v>
      </c>
      <c r="P8433" t="n">
        <v>0</v>
      </c>
      <c r="Q8433" t="n">
        <v>0</v>
      </c>
      <c r="R8433" s="2" t="inlineStr"/>
    </row>
    <row r="8434" ht="15" customHeight="1">
      <c r="A8434" t="inlineStr">
        <is>
          <t>A 5793-2026</t>
        </is>
      </c>
      <c r="B8434" s="1" t="n">
        <v>46051</v>
      </c>
      <c r="C8434" s="1" t="n">
        <v>46114</v>
      </c>
      <c r="D8434" t="inlineStr">
        <is>
          <t>DALARNAS LÄN</t>
        </is>
      </c>
      <c r="E8434" t="inlineStr">
        <is>
          <t>RÄTTVIK</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5617-2026</t>
        </is>
      </c>
      <c r="B8435" s="1" t="n">
        <v>46051</v>
      </c>
      <c r="C8435" s="1" t="n">
        <v>46114</v>
      </c>
      <c r="D8435" t="inlineStr">
        <is>
          <t>DALARNAS LÄN</t>
        </is>
      </c>
      <c r="E8435" t="inlineStr">
        <is>
          <t>HEDEMORA</t>
        </is>
      </c>
      <c r="G8435" t="n">
        <v>4.3</v>
      </c>
      <c r="H8435" t="n">
        <v>0</v>
      </c>
      <c r="I8435" t="n">
        <v>0</v>
      </c>
      <c r="J8435" t="n">
        <v>0</v>
      </c>
      <c r="K8435" t="n">
        <v>0</v>
      </c>
      <c r="L8435" t="n">
        <v>0</v>
      </c>
      <c r="M8435" t="n">
        <v>0</v>
      </c>
      <c r="N8435" t="n">
        <v>0</v>
      </c>
      <c r="O8435" t="n">
        <v>0</v>
      </c>
      <c r="P8435" t="n">
        <v>0</v>
      </c>
      <c r="Q8435" t="n">
        <v>0</v>
      </c>
      <c r="R8435" s="2" t="inlineStr"/>
    </row>
    <row r="8436" ht="15" customHeight="1">
      <c r="A8436" t="inlineStr">
        <is>
          <t>A 5659-2026</t>
        </is>
      </c>
      <c r="B8436" s="1" t="n">
        <v>46051.45114583334</v>
      </c>
      <c r="C8436" s="1" t="n">
        <v>46114</v>
      </c>
      <c r="D8436" t="inlineStr">
        <is>
          <t>DALARNAS LÄN</t>
        </is>
      </c>
      <c r="E8436" t="inlineStr">
        <is>
          <t>VANSBRO</t>
        </is>
      </c>
      <c r="G8436" t="n">
        <v>5</v>
      </c>
      <c r="H8436" t="n">
        <v>0</v>
      </c>
      <c r="I8436" t="n">
        <v>0</v>
      </c>
      <c r="J8436" t="n">
        <v>0</v>
      </c>
      <c r="K8436" t="n">
        <v>0</v>
      </c>
      <c r="L8436" t="n">
        <v>0</v>
      </c>
      <c r="M8436" t="n">
        <v>0</v>
      </c>
      <c r="N8436" t="n">
        <v>0</v>
      </c>
      <c r="O8436" t="n">
        <v>0</v>
      </c>
      <c r="P8436" t="n">
        <v>0</v>
      </c>
      <c r="Q8436" t="n">
        <v>0</v>
      </c>
      <c r="R8436" s="2" t="inlineStr"/>
    </row>
    <row r="8437" ht="15" customHeight="1">
      <c r="A8437" t="inlineStr">
        <is>
          <t>A 5686-2026</t>
        </is>
      </c>
      <c r="B8437" s="1" t="n">
        <v>46051.48701388889</v>
      </c>
      <c r="C8437" s="1" t="n">
        <v>46114</v>
      </c>
      <c r="D8437" t="inlineStr">
        <is>
          <t>DALARNAS LÄN</t>
        </is>
      </c>
      <c r="E8437" t="inlineStr">
        <is>
          <t>GAGNEF</t>
        </is>
      </c>
      <c r="G8437" t="n">
        <v>1</v>
      </c>
      <c r="H8437" t="n">
        <v>0</v>
      </c>
      <c r="I8437" t="n">
        <v>0</v>
      </c>
      <c r="J8437" t="n">
        <v>0</v>
      </c>
      <c r="K8437" t="n">
        <v>0</v>
      </c>
      <c r="L8437" t="n">
        <v>0</v>
      </c>
      <c r="M8437" t="n">
        <v>0</v>
      </c>
      <c r="N8437" t="n">
        <v>0</v>
      </c>
      <c r="O8437" t="n">
        <v>0</v>
      </c>
      <c r="P8437" t="n">
        <v>0</v>
      </c>
      <c r="Q8437" t="n">
        <v>0</v>
      </c>
      <c r="R8437" s="2" t="inlineStr"/>
    </row>
    <row r="8438" ht="15" customHeight="1">
      <c r="A8438" t="inlineStr">
        <is>
          <t>A 5691-2026</t>
        </is>
      </c>
      <c r="B8438" s="1" t="n">
        <v>46051.49348379629</v>
      </c>
      <c r="C8438" s="1" t="n">
        <v>46114</v>
      </c>
      <c r="D8438" t="inlineStr">
        <is>
          <t>DALARNAS LÄN</t>
        </is>
      </c>
      <c r="E8438" t="inlineStr">
        <is>
          <t>LEKSAND</t>
        </is>
      </c>
      <c r="G8438" t="n">
        <v>2.9</v>
      </c>
      <c r="H8438" t="n">
        <v>0</v>
      </c>
      <c r="I8438" t="n">
        <v>0</v>
      </c>
      <c r="J8438" t="n">
        <v>0</v>
      </c>
      <c r="K8438" t="n">
        <v>0</v>
      </c>
      <c r="L8438" t="n">
        <v>0</v>
      </c>
      <c r="M8438" t="n">
        <v>0</v>
      </c>
      <c r="N8438" t="n">
        <v>0</v>
      </c>
      <c r="O8438" t="n">
        <v>0</v>
      </c>
      <c r="P8438" t="n">
        <v>0</v>
      </c>
      <c r="Q8438" t="n">
        <v>0</v>
      </c>
      <c r="R8438" s="2" t="inlineStr"/>
    </row>
    <row r="8439" ht="15" customHeight="1">
      <c r="A8439" t="inlineStr">
        <is>
          <t>A 5473-2026</t>
        </is>
      </c>
      <c r="B8439" s="1" t="n">
        <v>46050</v>
      </c>
      <c r="C8439" s="1" t="n">
        <v>46114</v>
      </c>
      <c r="D8439" t="inlineStr">
        <is>
          <t>DALARNAS LÄN</t>
        </is>
      </c>
      <c r="E8439" t="inlineStr">
        <is>
          <t>MORA</t>
        </is>
      </c>
      <c r="G8439" t="n">
        <v>10.2</v>
      </c>
      <c r="H8439" t="n">
        <v>0</v>
      </c>
      <c r="I8439" t="n">
        <v>0</v>
      </c>
      <c r="J8439" t="n">
        <v>0</v>
      </c>
      <c r="K8439" t="n">
        <v>0</v>
      </c>
      <c r="L8439" t="n">
        <v>0</v>
      </c>
      <c r="M8439" t="n">
        <v>0</v>
      </c>
      <c r="N8439" t="n">
        <v>0</v>
      </c>
      <c r="O8439" t="n">
        <v>0</v>
      </c>
      <c r="P8439" t="n">
        <v>0</v>
      </c>
      <c r="Q8439" t="n">
        <v>0</v>
      </c>
      <c r="R8439" s="2" t="inlineStr"/>
    </row>
    <row r="8440" ht="15" customHeight="1">
      <c r="A8440" t="inlineStr">
        <is>
          <t>A 5767-2026</t>
        </is>
      </c>
      <c r="B8440" s="1" t="n">
        <v>46051</v>
      </c>
      <c r="C8440" s="1" t="n">
        <v>46114</v>
      </c>
      <c r="D8440" t="inlineStr">
        <is>
          <t>DALARNAS LÄN</t>
        </is>
      </c>
      <c r="E8440" t="inlineStr">
        <is>
          <t>FALUN</t>
        </is>
      </c>
      <c r="G8440" t="n">
        <v>2.4</v>
      </c>
      <c r="H8440" t="n">
        <v>0</v>
      </c>
      <c r="I8440" t="n">
        <v>0</v>
      </c>
      <c r="J8440" t="n">
        <v>0</v>
      </c>
      <c r="K8440" t="n">
        <v>0</v>
      </c>
      <c r="L8440" t="n">
        <v>0</v>
      </c>
      <c r="M8440" t="n">
        <v>0</v>
      </c>
      <c r="N8440" t="n">
        <v>0</v>
      </c>
      <c r="O8440" t="n">
        <v>0</v>
      </c>
      <c r="P8440" t="n">
        <v>0</v>
      </c>
      <c r="Q8440" t="n">
        <v>0</v>
      </c>
      <c r="R8440" s="2" t="inlineStr"/>
    </row>
    <row r="8441" ht="15" customHeight="1">
      <c r="A8441" t="inlineStr">
        <is>
          <t>A 5768-2026</t>
        </is>
      </c>
      <c r="B8441" s="1" t="n">
        <v>46051</v>
      </c>
      <c r="C8441" s="1" t="n">
        <v>46114</v>
      </c>
      <c r="D8441" t="inlineStr">
        <is>
          <t>DALARNAS LÄN</t>
        </is>
      </c>
      <c r="E8441" t="inlineStr">
        <is>
          <t>FALUN</t>
        </is>
      </c>
      <c r="G8441" t="n">
        <v>5.9</v>
      </c>
      <c r="H8441" t="n">
        <v>0</v>
      </c>
      <c r="I8441" t="n">
        <v>0</v>
      </c>
      <c r="J8441" t="n">
        <v>0</v>
      </c>
      <c r="K8441" t="n">
        <v>0</v>
      </c>
      <c r="L8441" t="n">
        <v>0</v>
      </c>
      <c r="M8441" t="n">
        <v>0</v>
      </c>
      <c r="N8441" t="n">
        <v>0</v>
      </c>
      <c r="O8441" t="n">
        <v>0</v>
      </c>
      <c r="P8441" t="n">
        <v>0</v>
      </c>
      <c r="Q8441" t="n">
        <v>0</v>
      </c>
      <c r="R8441" s="2" t="inlineStr"/>
    </row>
    <row r="8442" ht="15" customHeight="1">
      <c r="A8442" t="inlineStr">
        <is>
          <t>A 5770-2026</t>
        </is>
      </c>
      <c r="B8442" s="1" t="n">
        <v>46051.64297453704</v>
      </c>
      <c r="C8442" s="1" t="n">
        <v>46114</v>
      </c>
      <c r="D8442" t="inlineStr">
        <is>
          <t>DALARNAS LÄN</t>
        </is>
      </c>
      <c r="E8442" t="inlineStr">
        <is>
          <t>FALUN</t>
        </is>
      </c>
      <c r="G8442" t="n">
        <v>9</v>
      </c>
      <c r="H8442" t="n">
        <v>0</v>
      </c>
      <c r="I8442" t="n">
        <v>0</v>
      </c>
      <c r="J8442" t="n">
        <v>0</v>
      </c>
      <c r="K8442" t="n">
        <v>0</v>
      </c>
      <c r="L8442" t="n">
        <v>0</v>
      </c>
      <c r="M8442" t="n">
        <v>0</v>
      </c>
      <c r="N8442" t="n">
        <v>0</v>
      </c>
      <c r="O8442" t="n">
        <v>0</v>
      </c>
      <c r="P8442" t="n">
        <v>0</v>
      </c>
      <c r="Q8442" t="n">
        <v>0</v>
      </c>
      <c r="R8442" s="2" t="inlineStr"/>
    </row>
    <row r="8443" ht="15" customHeight="1">
      <c r="A8443" t="inlineStr">
        <is>
          <t>A 5784-2026</t>
        </is>
      </c>
      <c r="B8443" s="1" t="n">
        <v>46051</v>
      </c>
      <c r="C8443" s="1" t="n">
        <v>46114</v>
      </c>
      <c r="D8443" t="inlineStr">
        <is>
          <t>DALARNAS LÄN</t>
        </is>
      </c>
      <c r="E8443" t="inlineStr">
        <is>
          <t>HEDEMORA</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5811-2026</t>
        </is>
      </c>
      <c r="B8444" s="1" t="n">
        <v>46051</v>
      </c>
      <c r="C8444" s="1" t="n">
        <v>46114</v>
      </c>
      <c r="D8444" t="inlineStr">
        <is>
          <t>DALARNAS LÄN</t>
        </is>
      </c>
      <c r="E8444" t="inlineStr">
        <is>
          <t>FALUN</t>
        </is>
      </c>
      <c r="G8444" t="n">
        <v>3.8</v>
      </c>
      <c r="H8444" t="n">
        <v>0</v>
      </c>
      <c r="I8444" t="n">
        <v>0</v>
      </c>
      <c r="J8444" t="n">
        <v>0</v>
      </c>
      <c r="K8444" t="n">
        <v>0</v>
      </c>
      <c r="L8444" t="n">
        <v>0</v>
      </c>
      <c r="M8444" t="n">
        <v>0</v>
      </c>
      <c r="N8444" t="n">
        <v>0</v>
      </c>
      <c r="O8444" t="n">
        <v>0</v>
      </c>
      <c r="P8444" t="n">
        <v>0</v>
      </c>
      <c r="Q8444" t="n">
        <v>0</v>
      </c>
      <c r="R8444" s="2" t="inlineStr"/>
    </row>
    <row r="8445" ht="15" customHeight="1">
      <c r="A8445" t="inlineStr">
        <is>
          <t>A 5762-2026</t>
        </is>
      </c>
      <c r="B8445" s="1" t="n">
        <v>46051</v>
      </c>
      <c r="C8445" s="1" t="n">
        <v>46114</v>
      </c>
      <c r="D8445" t="inlineStr">
        <is>
          <t>DALARNAS LÄN</t>
        </is>
      </c>
      <c r="E8445" t="inlineStr">
        <is>
          <t>FALUN</t>
        </is>
      </c>
      <c r="G8445" t="n">
        <v>7</v>
      </c>
      <c r="H8445" t="n">
        <v>0</v>
      </c>
      <c r="I8445" t="n">
        <v>0</v>
      </c>
      <c r="J8445" t="n">
        <v>0</v>
      </c>
      <c r="K8445" t="n">
        <v>0</v>
      </c>
      <c r="L8445" t="n">
        <v>0</v>
      </c>
      <c r="M8445" t="n">
        <v>0</v>
      </c>
      <c r="N8445" t="n">
        <v>0</v>
      </c>
      <c r="O8445" t="n">
        <v>0</v>
      </c>
      <c r="P8445" t="n">
        <v>0</v>
      </c>
      <c r="Q8445" t="n">
        <v>0</v>
      </c>
      <c r="R8445" s="2" t="inlineStr"/>
    </row>
    <row r="8446" ht="15" customHeight="1">
      <c r="A8446" t="inlineStr">
        <is>
          <t>A 10659-2026</t>
        </is>
      </c>
      <c r="B8446" s="1" t="n">
        <v>46078</v>
      </c>
      <c r="C8446" s="1" t="n">
        <v>46114</v>
      </c>
      <c r="D8446" t="inlineStr">
        <is>
          <t>DALARNAS LÄN</t>
        </is>
      </c>
      <c r="E8446" t="inlineStr">
        <is>
          <t>LEKSAND</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5297-2026</t>
        </is>
      </c>
      <c r="B8447" s="1" t="n">
        <v>46050</v>
      </c>
      <c r="C8447" s="1" t="n">
        <v>46114</v>
      </c>
      <c r="D8447" t="inlineStr">
        <is>
          <t>DALARNAS LÄN</t>
        </is>
      </c>
      <c r="E8447" t="inlineStr">
        <is>
          <t>FALUN</t>
        </is>
      </c>
      <c r="F8447" t="inlineStr">
        <is>
          <t>Bergvik skog väst AB</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10712-2026</t>
        </is>
      </c>
      <c r="B8448" s="1" t="n">
        <v>46078</v>
      </c>
      <c r="C8448" s="1" t="n">
        <v>46114</v>
      </c>
      <c r="D8448" t="inlineStr">
        <is>
          <t>DALARNAS LÄN</t>
        </is>
      </c>
      <c r="E8448" t="inlineStr">
        <is>
          <t>FALUN</t>
        </is>
      </c>
      <c r="F8448" t="inlineStr">
        <is>
          <t>Bergvik skog väst AB</t>
        </is>
      </c>
      <c r="G8448" t="n">
        <v>15.2</v>
      </c>
      <c r="H8448" t="n">
        <v>0</v>
      </c>
      <c r="I8448" t="n">
        <v>0</v>
      </c>
      <c r="J8448" t="n">
        <v>0</v>
      </c>
      <c r="K8448" t="n">
        <v>0</v>
      </c>
      <c r="L8448" t="n">
        <v>0</v>
      </c>
      <c r="M8448" t="n">
        <v>0</v>
      </c>
      <c r="N8448" t="n">
        <v>0</v>
      </c>
      <c r="O8448" t="n">
        <v>0</v>
      </c>
      <c r="P8448" t="n">
        <v>0</v>
      </c>
      <c r="Q8448" t="n">
        <v>0</v>
      </c>
      <c r="R8448" s="2" t="inlineStr"/>
    </row>
    <row r="8449" ht="15" customHeight="1">
      <c r="A8449" t="inlineStr">
        <is>
          <t>A 5306-2026</t>
        </is>
      </c>
      <c r="B8449" s="1" t="n">
        <v>46050.34967592593</v>
      </c>
      <c r="C8449" s="1" t="n">
        <v>46114</v>
      </c>
      <c r="D8449" t="inlineStr">
        <is>
          <t>DALARNAS LÄN</t>
        </is>
      </c>
      <c r="E8449" t="inlineStr">
        <is>
          <t>FALUN</t>
        </is>
      </c>
      <c r="F8449" t="inlineStr">
        <is>
          <t>Bergvik skog väst AB</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5377-2026</t>
        </is>
      </c>
      <c r="B8450" s="1" t="n">
        <v>46050.46118055555</v>
      </c>
      <c r="C8450" s="1" t="n">
        <v>46114</v>
      </c>
      <c r="D8450" t="inlineStr">
        <is>
          <t>DALARNAS LÄN</t>
        </is>
      </c>
      <c r="E8450" t="inlineStr">
        <is>
          <t>ORSA</t>
        </is>
      </c>
      <c r="G8450" t="n">
        <v>0.9</v>
      </c>
      <c r="H8450" t="n">
        <v>0</v>
      </c>
      <c r="I8450" t="n">
        <v>0</v>
      </c>
      <c r="J8450" t="n">
        <v>0</v>
      </c>
      <c r="K8450" t="n">
        <v>0</v>
      </c>
      <c r="L8450" t="n">
        <v>0</v>
      </c>
      <c r="M8450" t="n">
        <v>0</v>
      </c>
      <c r="N8450" t="n">
        <v>0</v>
      </c>
      <c r="O8450" t="n">
        <v>0</v>
      </c>
      <c r="P8450" t="n">
        <v>0</v>
      </c>
      <c r="Q8450" t="n">
        <v>0</v>
      </c>
      <c r="R8450" s="2" t="inlineStr"/>
    </row>
    <row r="8451" ht="15" customHeight="1">
      <c r="A8451" t="inlineStr">
        <is>
          <t>A 20328-2025</t>
        </is>
      </c>
      <c r="B8451" s="1" t="n">
        <v>45775.36009259259</v>
      </c>
      <c r="C8451" s="1" t="n">
        <v>46114</v>
      </c>
      <c r="D8451" t="inlineStr">
        <is>
          <t>DALARNAS LÄN</t>
        </is>
      </c>
      <c r="E8451" t="inlineStr">
        <is>
          <t>MALUNG-SÄLEN</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5430-2026</t>
        </is>
      </c>
      <c r="B8452" s="1" t="n">
        <v>46050.55347222222</v>
      </c>
      <c r="C8452" s="1" t="n">
        <v>46114</v>
      </c>
      <c r="D8452" t="inlineStr">
        <is>
          <t>DALARNAS LÄN</t>
        </is>
      </c>
      <c r="E8452" t="inlineStr">
        <is>
          <t>RÄTTVIK</t>
        </is>
      </c>
      <c r="G8452" t="n">
        <v>0.6</v>
      </c>
      <c r="H8452" t="n">
        <v>0</v>
      </c>
      <c r="I8452" t="n">
        <v>0</v>
      </c>
      <c r="J8452" t="n">
        <v>0</v>
      </c>
      <c r="K8452" t="n">
        <v>0</v>
      </c>
      <c r="L8452" t="n">
        <v>0</v>
      </c>
      <c r="M8452" t="n">
        <v>0</v>
      </c>
      <c r="N8452" t="n">
        <v>0</v>
      </c>
      <c r="O8452" t="n">
        <v>0</v>
      </c>
      <c r="P8452" t="n">
        <v>0</v>
      </c>
      <c r="Q8452" t="n">
        <v>0</v>
      </c>
      <c r="R8452" s="2" t="inlineStr"/>
    </row>
    <row r="8453" ht="15" customHeight="1">
      <c r="A8453" t="inlineStr">
        <is>
          <t>A 61377-2021</t>
        </is>
      </c>
      <c r="B8453" s="1" t="n">
        <v>44500.39388888889</v>
      </c>
      <c r="C8453" s="1" t="n">
        <v>46114</v>
      </c>
      <c r="D8453" t="inlineStr">
        <is>
          <t>DALARNAS LÄN</t>
        </is>
      </c>
      <c r="E8453" t="inlineStr">
        <is>
          <t>FALUN</t>
        </is>
      </c>
      <c r="F8453" t="inlineStr">
        <is>
          <t>Bergvik skog väst AB</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48223-2024</t>
        </is>
      </c>
      <c r="B8454" s="1" t="n">
        <v>45590.36722222222</v>
      </c>
      <c r="C8454" s="1" t="n">
        <v>46114</v>
      </c>
      <c r="D8454" t="inlineStr">
        <is>
          <t>DALARNAS LÄN</t>
        </is>
      </c>
      <c r="E8454" t="inlineStr">
        <is>
          <t>RÄTTVIK</t>
        </is>
      </c>
      <c r="F8454" t="inlineStr">
        <is>
          <t>Bergvik skog väst AB</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48296-2024</t>
        </is>
      </c>
      <c r="B8455" s="1" t="n">
        <v>45590.4653125</v>
      </c>
      <c r="C8455" s="1" t="n">
        <v>46114</v>
      </c>
      <c r="D8455" t="inlineStr">
        <is>
          <t>DALARNAS LÄN</t>
        </is>
      </c>
      <c r="E8455" t="inlineStr">
        <is>
          <t>FALUN</t>
        </is>
      </c>
      <c r="F8455" t="inlineStr">
        <is>
          <t>Bergvik skog väst AB</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24077-2021</t>
        </is>
      </c>
      <c r="B8456" s="1" t="n">
        <v>44336</v>
      </c>
      <c r="C8456" s="1" t="n">
        <v>46114</v>
      </c>
      <c r="D8456" t="inlineStr">
        <is>
          <t>DALARNAS LÄN</t>
        </is>
      </c>
      <c r="E8456" t="inlineStr">
        <is>
          <t>VANSBRO</t>
        </is>
      </c>
      <c r="F8456" t="inlineStr">
        <is>
          <t>Bergvik skog öst AB</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37438-2024</t>
        </is>
      </c>
      <c r="B8457" s="1" t="n">
        <v>45540</v>
      </c>
      <c r="C8457" s="1" t="n">
        <v>46114</v>
      </c>
      <c r="D8457" t="inlineStr">
        <is>
          <t>DALARNAS LÄN</t>
        </is>
      </c>
      <c r="E8457" t="inlineStr">
        <is>
          <t>ÄLVDALEN</t>
        </is>
      </c>
      <c r="G8457" t="n">
        <v>3.9</v>
      </c>
      <c r="H8457" t="n">
        <v>0</v>
      </c>
      <c r="I8457" t="n">
        <v>0</v>
      </c>
      <c r="J8457" t="n">
        <v>0</v>
      </c>
      <c r="K8457" t="n">
        <v>0</v>
      </c>
      <c r="L8457" t="n">
        <v>0</v>
      </c>
      <c r="M8457" t="n">
        <v>0</v>
      </c>
      <c r="N8457" t="n">
        <v>0</v>
      </c>
      <c r="O8457" t="n">
        <v>0</v>
      </c>
      <c r="P8457" t="n">
        <v>0</v>
      </c>
      <c r="Q8457" t="n">
        <v>0</v>
      </c>
      <c r="R8457" s="2" t="inlineStr"/>
    </row>
    <row r="8458" ht="15" customHeight="1">
      <c r="A8458" t="inlineStr">
        <is>
          <t>A 5546-2026</t>
        </is>
      </c>
      <c r="B8458" s="1" t="n">
        <v>46050.70265046296</v>
      </c>
      <c r="C8458" s="1" t="n">
        <v>46114</v>
      </c>
      <c r="D8458" t="inlineStr">
        <is>
          <t>DALARNAS LÄN</t>
        </is>
      </c>
      <c r="E8458" t="inlineStr">
        <is>
          <t>FALUN</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5556-2026</t>
        </is>
      </c>
      <c r="B8459" s="1" t="n">
        <v>46050</v>
      </c>
      <c r="C8459" s="1" t="n">
        <v>46114</v>
      </c>
      <c r="D8459" t="inlineStr">
        <is>
          <t>DALARNAS LÄN</t>
        </is>
      </c>
      <c r="E8459" t="inlineStr">
        <is>
          <t>ORSA</t>
        </is>
      </c>
      <c r="G8459" t="n">
        <v>4.5</v>
      </c>
      <c r="H8459" t="n">
        <v>0</v>
      </c>
      <c r="I8459" t="n">
        <v>0</v>
      </c>
      <c r="J8459" t="n">
        <v>0</v>
      </c>
      <c r="K8459" t="n">
        <v>0</v>
      </c>
      <c r="L8459" t="n">
        <v>0</v>
      </c>
      <c r="M8459" t="n">
        <v>0</v>
      </c>
      <c r="N8459" t="n">
        <v>0</v>
      </c>
      <c r="O8459" t="n">
        <v>0</v>
      </c>
      <c r="P8459" t="n">
        <v>0</v>
      </c>
      <c r="Q8459" t="n">
        <v>0</v>
      </c>
      <c r="R8459" s="2" t="inlineStr"/>
    </row>
    <row r="8460" ht="15" customHeight="1">
      <c r="A8460" t="inlineStr">
        <is>
          <t>A 5568-2026</t>
        </is>
      </c>
      <c r="B8460" s="1" t="n">
        <v>46050</v>
      </c>
      <c r="C8460" s="1" t="n">
        <v>46114</v>
      </c>
      <c r="D8460" t="inlineStr">
        <is>
          <t>DALARNAS LÄN</t>
        </is>
      </c>
      <c r="E8460" t="inlineStr">
        <is>
          <t>RÄTTVIK</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12231-2026</t>
        </is>
      </c>
      <c r="B8461" s="1" t="n">
        <v>46087</v>
      </c>
      <c r="C8461" s="1" t="n">
        <v>46114</v>
      </c>
      <c r="D8461" t="inlineStr">
        <is>
          <t>DALARNAS LÄN</t>
        </is>
      </c>
      <c r="E8461" t="inlineStr">
        <is>
          <t>FALUN</t>
        </is>
      </c>
      <c r="F8461" t="inlineStr">
        <is>
          <t>Bergvik skog väst AB</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12527-2026</t>
        </is>
      </c>
      <c r="B8462" s="1" t="n">
        <v>46090</v>
      </c>
      <c r="C8462" s="1" t="n">
        <v>46114</v>
      </c>
      <c r="D8462" t="inlineStr">
        <is>
          <t>DALARNAS LÄN</t>
        </is>
      </c>
      <c r="E8462" t="inlineStr">
        <is>
          <t>MORA</t>
        </is>
      </c>
      <c r="G8462" t="n">
        <v>17.5</v>
      </c>
      <c r="H8462" t="n">
        <v>0</v>
      </c>
      <c r="I8462" t="n">
        <v>0</v>
      </c>
      <c r="J8462" t="n">
        <v>0</v>
      </c>
      <c r="K8462" t="n">
        <v>0</v>
      </c>
      <c r="L8462" t="n">
        <v>0</v>
      </c>
      <c r="M8462" t="n">
        <v>0</v>
      </c>
      <c r="N8462" t="n">
        <v>0</v>
      </c>
      <c r="O8462" t="n">
        <v>0</v>
      </c>
      <c r="P8462" t="n">
        <v>0</v>
      </c>
      <c r="Q8462" t="n">
        <v>0</v>
      </c>
      <c r="R8462" s="2" t="inlineStr"/>
    </row>
    <row r="8463" ht="15" customHeight="1">
      <c r="A8463" t="inlineStr">
        <is>
          <t>A 32384-2022</t>
        </is>
      </c>
      <c r="B8463" s="1" t="n">
        <v>44782</v>
      </c>
      <c r="C8463" s="1" t="n">
        <v>46114</v>
      </c>
      <c r="D8463" t="inlineStr">
        <is>
          <t>DALARNAS LÄN</t>
        </is>
      </c>
      <c r="E8463" t="inlineStr">
        <is>
          <t>SMEDJEBACKEN</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4170-2025</t>
        </is>
      </c>
      <c r="B8464" s="1" t="n">
        <v>45685.42325231482</v>
      </c>
      <c r="C8464" s="1" t="n">
        <v>46114</v>
      </c>
      <c r="D8464" t="inlineStr">
        <is>
          <t>DALARNAS LÄN</t>
        </is>
      </c>
      <c r="E8464" t="inlineStr">
        <is>
          <t>LUDVIKA</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43826-2022</t>
        </is>
      </c>
      <c r="B8465" s="1" t="n">
        <v>44838</v>
      </c>
      <c r="C8465" s="1" t="n">
        <v>46114</v>
      </c>
      <c r="D8465" t="inlineStr">
        <is>
          <t>DALARNAS LÄN</t>
        </is>
      </c>
      <c r="E8465" t="inlineStr">
        <is>
          <t>MORA</t>
        </is>
      </c>
      <c r="G8465" t="n">
        <v>9.800000000000001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17455-2022</t>
        </is>
      </c>
      <c r="B8466" s="1" t="n">
        <v>44679.3775</v>
      </c>
      <c r="C8466" s="1" t="n">
        <v>46114</v>
      </c>
      <c r="D8466" t="inlineStr">
        <is>
          <t>DALARNAS LÄN</t>
        </is>
      </c>
      <c r="E8466" t="inlineStr">
        <is>
          <t>LEKSAND</t>
        </is>
      </c>
      <c r="F8466" t="inlineStr">
        <is>
          <t>Bergvik skog väst AB</t>
        </is>
      </c>
      <c r="G8466" t="n">
        <v>1.8</v>
      </c>
      <c r="H8466" t="n">
        <v>0</v>
      </c>
      <c r="I8466" t="n">
        <v>0</v>
      </c>
      <c r="J8466" t="n">
        <v>0</v>
      </c>
      <c r="K8466" t="n">
        <v>0</v>
      </c>
      <c r="L8466" t="n">
        <v>0</v>
      </c>
      <c r="M8466" t="n">
        <v>0</v>
      </c>
      <c r="N8466" t="n">
        <v>0</v>
      </c>
      <c r="O8466" t="n">
        <v>0</v>
      </c>
      <c r="P8466" t="n">
        <v>0</v>
      </c>
      <c r="Q8466" t="n">
        <v>0</v>
      </c>
      <c r="R8466" s="2" t="inlineStr"/>
    </row>
    <row r="8467" ht="15" customHeight="1">
      <c r="A8467" t="inlineStr">
        <is>
          <t>A 19903-2022</t>
        </is>
      </c>
      <c r="B8467" s="1" t="n">
        <v>44697</v>
      </c>
      <c r="C8467" s="1" t="n">
        <v>46114</v>
      </c>
      <c r="D8467" t="inlineStr">
        <is>
          <t>DALARNAS LÄN</t>
        </is>
      </c>
      <c r="E8467" t="inlineStr">
        <is>
          <t>FALUN</t>
        </is>
      </c>
      <c r="G8467" t="n">
        <v>3.2</v>
      </c>
      <c r="H8467" t="n">
        <v>0</v>
      </c>
      <c r="I8467" t="n">
        <v>0</v>
      </c>
      <c r="J8467" t="n">
        <v>0</v>
      </c>
      <c r="K8467" t="n">
        <v>0</v>
      </c>
      <c r="L8467" t="n">
        <v>0</v>
      </c>
      <c r="M8467" t="n">
        <v>0</v>
      </c>
      <c r="N8467" t="n">
        <v>0</v>
      </c>
      <c r="O8467" t="n">
        <v>0</v>
      </c>
      <c r="P8467" t="n">
        <v>0</v>
      </c>
      <c r="Q8467" t="n">
        <v>0</v>
      </c>
      <c r="R8467" s="2" t="inlineStr"/>
    </row>
    <row r="8468" ht="15" customHeight="1">
      <c r="A8468" t="inlineStr">
        <is>
          <t>A 61277-2023</t>
        </is>
      </c>
      <c r="B8468" s="1" t="n">
        <v>45264.52465277778</v>
      </c>
      <c r="C8468" s="1" t="n">
        <v>46114</v>
      </c>
      <c r="D8468" t="inlineStr">
        <is>
          <t>DALARNAS LÄN</t>
        </is>
      </c>
      <c r="E8468" t="inlineStr">
        <is>
          <t>ORSA</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21412-2023</t>
        </is>
      </c>
      <c r="B8469" s="1" t="n">
        <v>45058</v>
      </c>
      <c r="C8469" s="1" t="n">
        <v>46114</v>
      </c>
      <c r="D8469" t="inlineStr">
        <is>
          <t>DALARNAS LÄN</t>
        </is>
      </c>
      <c r="E8469" t="inlineStr">
        <is>
          <t>AVESTA</t>
        </is>
      </c>
      <c r="F8469" t="inlineStr">
        <is>
          <t>Bergvik skog väst AB</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15759-2024</t>
        </is>
      </c>
      <c r="B8470" s="1" t="n">
        <v>45404</v>
      </c>
      <c r="C8470" s="1" t="n">
        <v>46114</v>
      </c>
      <c r="D8470" t="inlineStr">
        <is>
          <t>DALARNAS LÄN</t>
        </is>
      </c>
      <c r="E8470" t="inlineStr">
        <is>
          <t>ÄLVDALEN</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5486-2026</t>
        </is>
      </c>
      <c r="B8471" s="1" t="n">
        <v>46050.60962962963</v>
      </c>
      <c r="C8471" s="1" t="n">
        <v>46114</v>
      </c>
      <c r="D8471" t="inlineStr">
        <is>
          <t>DALARNAS LÄN</t>
        </is>
      </c>
      <c r="E8471" t="inlineStr">
        <is>
          <t>FALUN</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5747-2026</t>
        </is>
      </c>
      <c r="B8472" s="1" t="n">
        <v>46051.59634259259</v>
      </c>
      <c r="C8472" s="1" t="n">
        <v>46114</v>
      </c>
      <c r="D8472" t="inlineStr">
        <is>
          <t>DALARNAS LÄN</t>
        </is>
      </c>
      <c r="E8472" t="inlineStr">
        <is>
          <t>VANSBRO</t>
        </is>
      </c>
      <c r="F8472" t="inlineStr">
        <is>
          <t>Bergvik skog väst AB</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10364-2025</t>
        </is>
      </c>
      <c r="B8473" s="1" t="n">
        <v>45720.54408564815</v>
      </c>
      <c r="C8473" s="1" t="n">
        <v>46114</v>
      </c>
      <c r="D8473" t="inlineStr">
        <is>
          <t>DALARNAS LÄN</t>
        </is>
      </c>
      <c r="E8473" t="inlineStr">
        <is>
          <t>MALUNG-SÄLEN</t>
        </is>
      </c>
      <c r="G8473" t="n">
        <v>17.1</v>
      </c>
      <c r="H8473" t="n">
        <v>0</v>
      </c>
      <c r="I8473" t="n">
        <v>0</v>
      </c>
      <c r="J8473" t="n">
        <v>0</v>
      </c>
      <c r="K8473" t="n">
        <v>0</v>
      </c>
      <c r="L8473" t="n">
        <v>0</v>
      </c>
      <c r="M8473" t="n">
        <v>0</v>
      </c>
      <c r="N8473" t="n">
        <v>0</v>
      </c>
      <c r="O8473" t="n">
        <v>0</v>
      </c>
      <c r="P8473" t="n">
        <v>0</v>
      </c>
      <c r="Q8473" t="n">
        <v>0</v>
      </c>
      <c r="R8473" s="2" t="inlineStr"/>
    </row>
    <row r="8474" ht="15" customHeight="1">
      <c r="A8474" t="inlineStr">
        <is>
          <t>A 12957-2026</t>
        </is>
      </c>
      <c r="B8474" s="1" t="n">
        <v>46092.63783564815</v>
      </c>
      <c r="C8474" s="1" t="n">
        <v>46114</v>
      </c>
      <c r="D8474" t="inlineStr">
        <is>
          <t>DALARNAS LÄN</t>
        </is>
      </c>
      <c r="E8474" t="inlineStr">
        <is>
          <t>SÄTER</t>
        </is>
      </c>
      <c r="G8474" t="n">
        <v>9.800000000000001</v>
      </c>
      <c r="H8474" t="n">
        <v>0</v>
      </c>
      <c r="I8474" t="n">
        <v>0</v>
      </c>
      <c r="J8474" t="n">
        <v>0</v>
      </c>
      <c r="K8474" t="n">
        <v>0</v>
      </c>
      <c r="L8474" t="n">
        <v>0</v>
      </c>
      <c r="M8474" t="n">
        <v>0</v>
      </c>
      <c r="N8474" t="n">
        <v>0</v>
      </c>
      <c r="O8474" t="n">
        <v>0</v>
      </c>
      <c r="P8474" t="n">
        <v>0</v>
      </c>
      <c r="Q8474" t="n">
        <v>0</v>
      </c>
      <c r="R8474" s="2" t="inlineStr"/>
    </row>
    <row r="8475" ht="15" customHeight="1">
      <c r="A8475" t="inlineStr">
        <is>
          <t>A 30537-2024</t>
        </is>
      </c>
      <c r="B8475" s="1" t="n">
        <v>45492.61072916666</v>
      </c>
      <c r="C8475" s="1" t="n">
        <v>46114</v>
      </c>
      <c r="D8475" t="inlineStr">
        <is>
          <t>DALARNAS LÄN</t>
        </is>
      </c>
      <c r="E8475" t="inlineStr">
        <is>
          <t>FALUN</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5523-2026</t>
        </is>
      </c>
      <c r="B8476" s="1" t="n">
        <v>46050</v>
      </c>
      <c r="C8476" s="1" t="n">
        <v>46114</v>
      </c>
      <c r="D8476" t="inlineStr">
        <is>
          <t>DALARNAS LÄN</t>
        </is>
      </c>
      <c r="E8476" t="inlineStr">
        <is>
          <t>RÄTTVIK</t>
        </is>
      </c>
      <c r="G8476" t="n">
        <v>4.8</v>
      </c>
      <c r="H8476" t="n">
        <v>0</v>
      </c>
      <c r="I8476" t="n">
        <v>0</v>
      </c>
      <c r="J8476" t="n">
        <v>0</v>
      </c>
      <c r="K8476" t="n">
        <v>0</v>
      </c>
      <c r="L8476" t="n">
        <v>0</v>
      </c>
      <c r="M8476" t="n">
        <v>0</v>
      </c>
      <c r="N8476" t="n">
        <v>0</v>
      </c>
      <c r="O8476" t="n">
        <v>0</v>
      </c>
      <c r="P8476" t="n">
        <v>0</v>
      </c>
      <c r="Q8476" t="n">
        <v>0</v>
      </c>
      <c r="R8476" s="2" t="inlineStr"/>
    </row>
    <row r="8477" ht="15" customHeight="1">
      <c r="A8477" t="inlineStr">
        <is>
          <t>A 5548-2026</t>
        </is>
      </c>
      <c r="B8477" s="1" t="n">
        <v>46050.71394675926</v>
      </c>
      <c r="C8477" s="1" t="n">
        <v>46114</v>
      </c>
      <c r="D8477" t="inlineStr">
        <is>
          <t>DALARNAS LÄN</t>
        </is>
      </c>
      <c r="E8477" t="inlineStr">
        <is>
          <t>GAGNEF</t>
        </is>
      </c>
      <c r="G8477" t="n">
        <v>3</v>
      </c>
      <c r="H8477" t="n">
        <v>0</v>
      </c>
      <c r="I8477" t="n">
        <v>0</v>
      </c>
      <c r="J8477" t="n">
        <v>0</v>
      </c>
      <c r="K8477" t="n">
        <v>0</v>
      </c>
      <c r="L8477" t="n">
        <v>0</v>
      </c>
      <c r="M8477" t="n">
        <v>0</v>
      </c>
      <c r="N8477" t="n">
        <v>0</v>
      </c>
      <c r="O8477" t="n">
        <v>0</v>
      </c>
      <c r="P8477" t="n">
        <v>0</v>
      </c>
      <c r="Q8477" t="n">
        <v>0</v>
      </c>
      <c r="R8477" s="2" t="inlineStr"/>
    </row>
    <row r="8478" ht="15" customHeight="1">
      <c r="A8478" t="inlineStr">
        <is>
          <t>A 33945-2022</t>
        </is>
      </c>
      <c r="B8478" s="1" t="n">
        <v>44790.66212962963</v>
      </c>
      <c r="C8478" s="1" t="n">
        <v>46114</v>
      </c>
      <c r="D8478" t="inlineStr">
        <is>
          <t>DALARNAS LÄN</t>
        </is>
      </c>
      <c r="E8478" t="inlineStr">
        <is>
          <t>ORSA</t>
        </is>
      </c>
      <c r="F8478" t="inlineStr">
        <is>
          <t>Bergvik skog öst AB</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5550-2026</t>
        </is>
      </c>
      <c r="B8479" s="1" t="n">
        <v>46050</v>
      </c>
      <c r="C8479" s="1" t="n">
        <v>46114</v>
      </c>
      <c r="D8479" t="inlineStr">
        <is>
          <t>DALARNAS LÄN</t>
        </is>
      </c>
      <c r="E8479" t="inlineStr">
        <is>
          <t>FALUN</t>
        </is>
      </c>
      <c r="G8479" t="n">
        <v>1.9</v>
      </c>
      <c r="H8479" t="n">
        <v>0</v>
      </c>
      <c r="I8479" t="n">
        <v>0</v>
      </c>
      <c r="J8479" t="n">
        <v>0</v>
      </c>
      <c r="K8479" t="n">
        <v>0</v>
      </c>
      <c r="L8479" t="n">
        <v>0</v>
      </c>
      <c r="M8479" t="n">
        <v>0</v>
      </c>
      <c r="N8479" t="n">
        <v>0</v>
      </c>
      <c r="O8479" t="n">
        <v>0</v>
      </c>
      <c r="P8479" t="n">
        <v>0</v>
      </c>
      <c r="Q8479" t="n">
        <v>0</v>
      </c>
      <c r="R8479" s="2" t="inlineStr"/>
    </row>
    <row r="8480" ht="15" customHeight="1">
      <c r="A8480" t="inlineStr">
        <is>
          <t>A 5220-2026</t>
        </is>
      </c>
      <c r="B8480" s="1" t="n">
        <v>46049.76733796296</v>
      </c>
      <c r="C8480" s="1" t="n">
        <v>46114</v>
      </c>
      <c r="D8480" t="inlineStr">
        <is>
          <t>DALARNAS LÄN</t>
        </is>
      </c>
      <c r="E8480" t="inlineStr">
        <is>
          <t>FALUN</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5335-2026</t>
        </is>
      </c>
      <c r="B8481" s="1" t="n">
        <v>46050.40844907407</v>
      </c>
      <c r="C8481" s="1" t="n">
        <v>46114</v>
      </c>
      <c r="D8481" t="inlineStr">
        <is>
          <t>DALARNAS LÄN</t>
        </is>
      </c>
      <c r="E8481" t="inlineStr">
        <is>
          <t>VANSBRO</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5345-2026</t>
        </is>
      </c>
      <c r="B8482" s="1" t="n">
        <v>46050</v>
      </c>
      <c r="C8482" s="1" t="n">
        <v>46114</v>
      </c>
      <c r="D8482" t="inlineStr">
        <is>
          <t>DALARNAS LÄN</t>
        </is>
      </c>
      <c r="E8482" t="inlineStr">
        <is>
          <t>FALUN</t>
        </is>
      </c>
      <c r="G8482" t="n">
        <v>2.2</v>
      </c>
      <c r="H8482" t="n">
        <v>0</v>
      </c>
      <c r="I8482" t="n">
        <v>0</v>
      </c>
      <c r="J8482" t="n">
        <v>0</v>
      </c>
      <c r="K8482" t="n">
        <v>0</v>
      </c>
      <c r="L8482" t="n">
        <v>0</v>
      </c>
      <c r="M8482" t="n">
        <v>0</v>
      </c>
      <c r="N8482" t="n">
        <v>0</v>
      </c>
      <c r="O8482" t="n">
        <v>0</v>
      </c>
      <c r="P8482" t="n">
        <v>0</v>
      </c>
      <c r="Q8482" t="n">
        <v>0</v>
      </c>
      <c r="R8482" s="2" t="inlineStr"/>
    </row>
    <row r="8483" ht="15" customHeight="1">
      <c r="A8483" t="inlineStr">
        <is>
          <t>A 5393-2026</t>
        </is>
      </c>
      <c r="B8483" s="1" t="n">
        <v>46050.47733796296</v>
      </c>
      <c r="C8483" s="1" t="n">
        <v>46114</v>
      </c>
      <c r="D8483" t="inlineStr">
        <is>
          <t>DALARNAS LÄN</t>
        </is>
      </c>
      <c r="E8483" t="inlineStr">
        <is>
          <t>ORSA</t>
        </is>
      </c>
      <c r="G8483" t="n">
        <v>4.2</v>
      </c>
      <c r="H8483" t="n">
        <v>0</v>
      </c>
      <c r="I8483" t="n">
        <v>0</v>
      </c>
      <c r="J8483" t="n">
        <v>0</v>
      </c>
      <c r="K8483" t="n">
        <v>0</v>
      </c>
      <c r="L8483" t="n">
        <v>0</v>
      </c>
      <c r="M8483" t="n">
        <v>0</v>
      </c>
      <c r="N8483" t="n">
        <v>0</v>
      </c>
      <c r="O8483" t="n">
        <v>0</v>
      </c>
      <c r="P8483" t="n">
        <v>0</v>
      </c>
      <c r="Q8483" t="n">
        <v>0</v>
      </c>
      <c r="R8483" s="2" t="inlineStr"/>
    </row>
    <row r="8484" ht="15" customHeight="1">
      <c r="A8484" t="inlineStr">
        <is>
          <t>A 12213-2026</t>
        </is>
      </c>
      <c r="B8484" s="1" t="n">
        <v>46087</v>
      </c>
      <c r="C8484" s="1" t="n">
        <v>46114</v>
      </c>
      <c r="D8484" t="inlineStr">
        <is>
          <t>DALARNAS LÄN</t>
        </is>
      </c>
      <c r="E8484" t="inlineStr">
        <is>
          <t>LUDVIKA</t>
        </is>
      </c>
      <c r="F8484" t="inlineStr">
        <is>
          <t>Bergvik skog väst AB</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5541-2026</t>
        </is>
      </c>
      <c r="B8485" s="1" t="n">
        <v>46050.67326388889</v>
      </c>
      <c r="C8485" s="1" t="n">
        <v>46114</v>
      </c>
      <c r="D8485" t="inlineStr">
        <is>
          <t>DALARNAS LÄN</t>
        </is>
      </c>
      <c r="E8485" t="inlineStr">
        <is>
          <t>LEKSAND</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44106-2023</t>
        </is>
      </c>
      <c r="B8486" s="1" t="n">
        <v>45188</v>
      </c>
      <c r="C8486" s="1" t="n">
        <v>46114</v>
      </c>
      <c r="D8486" t="inlineStr">
        <is>
          <t>DALARNAS LÄN</t>
        </is>
      </c>
      <c r="E8486" t="inlineStr">
        <is>
          <t>MORA</t>
        </is>
      </c>
      <c r="G8486" t="n">
        <v>10.1</v>
      </c>
      <c r="H8486" t="n">
        <v>0</v>
      </c>
      <c r="I8486" t="n">
        <v>0</v>
      </c>
      <c r="J8486" t="n">
        <v>0</v>
      </c>
      <c r="K8486" t="n">
        <v>0</v>
      </c>
      <c r="L8486" t="n">
        <v>0</v>
      </c>
      <c r="M8486" t="n">
        <v>0</v>
      </c>
      <c r="N8486" t="n">
        <v>0</v>
      </c>
      <c r="O8486" t="n">
        <v>0</v>
      </c>
      <c r="P8486" t="n">
        <v>0</v>
      </c>
      <c r="Q8486" t="n">
        <v>0</v>
      </c>
      <c r="R8486" s="2" t="inlineStr"/>
    </row>
    <row r="8487" ht="15" customHeight="1">
      <c r="A8487" t="inlineStr">
        <is>
          <t>A 6318-2026</t>
        </is>
      </c>
      <c r="B8487" s="1" t="n">
        <v>46051</v>
      </c>
      <c r="C8487" s="1" t="n">
        <v>46114</v>
      </c>
      <c r="D8487" t="inlineStr">
        <is>
          <t>DALARNAS LÄN</t>
        </is>
      </c>
      <c r="E8487" t="inlineStr">
        <is>
          <t>SÄTER</t>
        </is>
      </c>
      <c r="F8487" t="inlineStr">
        <is>
          <t>Kommuner</t>
        </is>
      </c>
      <c r="G8487" t="n">
        <v>42.6</v>
      </c>
      <c r="H8487" t="n">
        <v>0</v>
      </c>
      <c r="I8487" t="n">
        <v>0</v>
      </c>
      <c r="J8487" t="n">
        <v>0</v>
      </c>
      <c r="K8487" t="n">
        <v>0</v>
      </c>
      <c r="L8487" t="n">
        <v>0</v>
      </c>
      <c r="M8487" t="n">
        <v>0</v>
      </c>
      <c r="N8487" t="n">
        <v>0</v>
      </c>
      <c r="O8487" t="n">
        <v>0</v>
      </c>
      <c r="P8487" t="n">
        <v>0</v>
      </c>
      <c r="Q8487" t="n">
        <v>0</v>
      </c>
      <c r="R8487" s="2" t="inlineStr"/>
    </row>
    <row r="8488" ht="15" customHeight="1">
      <c r="A8488" t="inlineStr">
        <is>
          <t>A 5230-2026</t>
        </is>
      </c>
      <c r="B8488" s="1" t="n">
        <v>46049.81304398148</v>
      </c>
      <c r="C8488" s="1" t="n">
        <v>46114</v>
      </c>
      <c r="D8488" t="inlineStr">
        <is>
          <t>DALARNAS LÄN</t>
        </is>
      </c>
      <c r="E8488" t="inlineStr">
        <is>
          <t>HEDEMORA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5256-2026</t>
        </is>
      </c>
      <c r="B8489" s="1" t="n">
        <v>46050</v>
      </c>
      <c r="C8489" s="1" t="n">
        <v>46114</v>
      </c>
      <c r="D8489" t="inlineStr">
        <is>
          <t>DALARNAS LÄN</t>
        </is>
      </c>
      <c r="E8489" t="inlineStr">
        <is>
          <t>GAGNEF</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12743-2026</t>
        </is>
      </c>
      <c r="B8490" s="1" t="n">
        <v>46091</v>
      </c>
      <c r="C8490" s="1" t="n">
        <v>46114</v>
      </c>
      <c r="D8490" t="inlineStr">
        <is>
          <t>DALARNAS LÄN</t>
        </is>
      </c>
      <c r="E8490" t="inlineStr">
        <is>
          <t>FALUN</t>
        </is>
      </c>
      <c r="G8490" t="n">
        <v>3.5</v>
      </c>
      <c r="H8490" t="n">
        <v>0</v>
      </c>
      <c r="I8490" t="n">
        <v>0</v>
      </c>
      <c r="J8490" t="n">
        <v>0</v>
      </c>
      <c r="K8490" t="n">
        <v>0</v>
      </c>
      <c r="L8490" t="n">
        <v>0</v>
      </c>
      <c r="M8490" t="n">
        <v>0</v>
      </c>
      <c r="N8490" t="n">
        <v>0</v>
      </c>
      <c r="O8490" t="n">
        <v>0</v>
      </c>
      <c r="P8490" t="n">
        <v>0</v>
      </c>
      <c r="Q8490" t="n">
        <v>0</v>
      </c>
      <c r="R8490" s="2" t="inlineStr"/>
    </row>
    <row r="8491" ht="15" customHeight="1">
      <c r="A8491" t="inlineStr">
        <is>
          <t>A 5316-2026</t>
        </is>
      </c>
      <c r="B8491" s="1" t="n">
        <v>46050</v>
      </c>
      <c r="C8491" s="1" t="n">
        <v>46114</v>
      </c>
      <c r="D8491" t="inlineStr">
        <is>
          <t>DALARNAS LÄN</t>
        </is>
      </c>
      <c r="E8491" t="inlineStr">
        <is>
          <t>HEDEMORA</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13200-2026</t>
        </is>
      </c>
      <c r="B8492" s="1" t="n">
        <v>46093.60365740741</v>
      </c>
      <c r="C8492" s="1" t="n">
        <v>46114</v>
      </c>
      <c r="D8492" t="inlineStr">
        <is>
          <t>DALARNAS LÄN</t>
        </is>
      </c>
      <c r="E8492" t="inlineStr">
        <is>
          <t>FALUN</t>
        </is>
      </c>
      <c r="F8492" t="inlineStr">
        <is>
          <t>Bergvik skog väst AB</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29315-2024</t>
        </is>
      </c>
      <c r="B8493" s="1" t="n">
        <v>45483.40959490741</v>
      </c>
      <c r="C8493" s="1" t="n">
        <v>46114</v>
      </c>
      <c r="D8493" t="inlineStr">
        <is>
          <t>DALARNAS LÄN</t>
        </is>
      </c>
      <c r="E8493" t="inlineStr">
        <is>
          <t>RÄTTVIK</t>
        </is>
      </c>
      <c r="F8493" t="inlineStr">
        <is>
          <t>Allmännings- och besparingsskogar</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29350-2024</t>
        </is>
      </c>
      <c r="B8494" s="1" t="n">
        <v>45483.48921296297</v>
      </c>
      <c r="C8494" s="1" t="n">
        <v>46114</v>
      </c>
      <c r="D8494" t="inlineStr">
        <is>
          <t>DALARNAS LÄN</t>
        </is>
      </c>
      <c r="E8494" t="inlineStr">
        <is>
          <t>MALUNG-SÄLEN</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44990-2024</t>
        </is>
      </c>
      <c r="B8495" s="1" t="n">
        <v>45575.47936342593</v>
      </c>
      <c r="C8495" s="1" t="n">
        <v>46114</v>
      </c>
      <c r="D8495" t="inlineStr">
        <is>
          <t>DALARNAS LÄN</t>
        </is>
      </c>
      <c r="E8495" t="inlineStr">
        <is>
          <t>VANSBRO</t>
        </is>
      </c>
      <c r="G8495" t="n">
        <v>13.9</v>
      </c>
      <c r="H8495" t="n">
        <v>0</v>
      </c>
      <c r="I8495" t="n">
        <v>0</v>
      </c>
      <c r="J8495" t="n">
        <v>0</v>
      </c>
      <c r="K8495" t="n">
        <v>0</v>
      </c>
      <c r="L8495" t="n">
        <v>0</v>
      </c>
      <c r="M8495" t="n">
        <v>0</v>
      </c>
      <c r="N8495" t="n">
        <v>0</v>
      </c>
      <c r="O8495" t="n">
        <v>0</v>
      </c>
      <c r="P8495" t="n">
        <v>0</v>
      </c>
      <c r="Q8495" t="n">
        <v>0</v>
      </c>
      <c r="R8495" s="2" t="inlineStr"/>
    </row>
    <row r="8496" ht="15" customHeight="1">
      <c r="A8496" t="inlineStr">
        <is>
          <t>A 5222-2026</t>
        </is>
      </c>
      <c r="B8496" s="1" t="n">
        <v>46049.7696412037</v>
      </c>
      <c r="C8496" s="1" t="n">
        <v>46114</v>
      </c>
      <c r="D8496" t="inlineStr">
        <is>
          <t>DALARNAS LÄN</t>
        </is>
      </c>
      <c r="E8496" t="inlineStr">
        <is>
          <t>FALUN</t>
        </is>
      </c>
      <c r="G8496" t="n">
        <v>5.7</v>
      </c>
      <c r="H8496" t="n">
        <v>0</v>
      </c>
      <c r="I8496" t="n">
        <v>0</v>
      </c>
      <c r="J8496" t="n">
        <v>0</v>
      </c>
      <c r="K8496" t="n">
        <v>0</v>
      </c>
      <c r="L8496" t="n">
        <v>0</v>
      </c>
      <c r="M8496" t="n">
        <v>0</v>
      </c>
      <c r="N8496" t="n">
        <v>0</v>
      </c>
      <c r="O8496" t="n">
        <v>0</v>
      </c>
      <c r="P8496" t="n">
        <v>0</v>
      </c>
      <c r="Q8496" t="n">
        <v>0</v>
      </c>
      <c r="R8496" s="2" t="inlineStr"/>
    </row>
    <row r="8497" ht="15" customHeight="1">
      <c r="A8497" t="inlineStr">
        <is>
          <t>A 5268-2026</t>
        </is>
      </c>
      <c r="B8497" s="1" t="n">
        <v>46050.31621527778</v>
      </c>
      <c r="C8497" s="1" t="n">
        <v>46114</v>
      </c>
      <c r="D8497" t="inlineStr">
        <is>
          <t>DALARNAS LÄN</t>
        </is>
      </c>
      <c r="E8497" t="inlineStr">
        <is>
          <t>RÄTTVIK</t>
        </is>
      </c>
      <c r="G8497" t="n">
        <v>2.8</v>
      </c>
      <c r="H8497" t="n">
        <v>0</v>
      </c>
      <c r="I8497" t="n">
        <v>0</v>
      </c>
      <c r="J8497" t="n">
        <v>0</v>
      </c>
      <c r="K8497" t="n">
        <v>0</v>
      </c>
      <c r="L8497" t="n">
        <v>0</v>
      </c>
      <c r="M8497" t="n">
        <v>0</v>
      </c>
      <c r="N8497" t="n">
        <v>0</v>
      </c>
      <c r="O8497" t="n">
        <v>0</v>
      </c>
      <c r="P8497" t="n">
        <v>0</v>
      </c>
      <c r="Q8497" t="n">
        <v>0</v>
      </c>
      <c r="R8497" s="2" t="inlineStr"/>
    </row>
    <row r="8498" ht="15" customHeight="1">
      <c r="A8498" t="inlineStr">
        <is>
          <t>A 5269-2026</t>
        </is>
      </c>
      <c r="B8498" s="1" t="n">
        <v>46050.31758101852</v>
      </c>
      <c r="C8498" s="1" t="n">
        <v>46114</v>
      </c>
      <c r="D8498" t="inlineStr">
        <is>
          <t>DALARNAS LÄN</t>
        </is>
      </c>
      <c r="E8498" t="inlineStr">
        <is>
          <t>RÄTTVIK</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17209-2025</t>
        </is>
      </c>
      <c r="B8499" s="1" t="n">
        <v>45756.43478009259</v>
      </c>
      <c r="C8499" s="1" t="n">
        <v>46114</v>
      </c>
      <c r="D8499" t="inlineStr">
        <is>
          <t>DALARNAS LÄN</t>
        </is>
      </c>
      <c r="E8499" t="inlineStr">
        <is>
          <t>MALUNG-SÄLEN</t>
        </is>
      </c>
      <c r="F8499" t="inlineStr">
        <is>
          <t>Bergvik skog öst AB</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5621-2026</t>
        </is>
      </c>
      <c r="B8500" s="1" t="n">
        <v>46051</v>
      </c>
      <c r="C8500" s="1" t="n">
        <v>46114</v>
      </c>
      <c r="D8500" t="inlineStr">
        <is>
          <t>DALARNAS LÄN</t>
        </is>
      </c>
      <c r="E8500" t="inlineStr">
        <is>
          <t>FALUN</t>
        </is>
      </c>
      <c r="G8500" t="n">
        <v>2.6</v>
      </c>
      <c r="H8500" t="n">
        <v>0</v>
      </c>
      <c r="I8500" t="n">
        <v>0</v>
      </c>
      <c r="J8500" t="n">
        <v>0</v>
      </c>
      <c r="K8500" t="n">
        <v>0</v>
      </c>
      <c r="L8500" t="n">
        <v>0</v>
      </c>
      <c r="M8500" t="n">
        <v>0</v>
      </c>
      <c r="N8500" t="n">
        <v>0</v>
      </c>
      <c r="O8500" t="n">
        <v>0</v>
      </c>
      <c r="P8500" t="n">
        <v>0</v>
      </c>
      <c r="Q8500" t="n">
        <v>0</v>
      </c>
      <c r="R8500" s="2" t="inlineStr"/>
    </row>
    <row r="8501" ht="15" customHeight="1">
      <c r="A8501" t="inlineStr">
        <is>
          <t>A 13047-2026</t>
        </is>
      </c>
      <c r="B8501" s="1" t="n">
        <v>46093</v>
      </c>
      <c r="C8501" s="1" t="n">
        <v>46114</v>
      </c>
      <c r="D8501" t="inlineStr">
        <is>
          <t>DALARNAS LÄN</t>
        </is>
      </c>
      <c r="E8501" t="inlineStr">
        <is>
          <t>FALUN</t>
        </is>
      </c>
      <c r="G8501" t="n">
        <v>0.8</v>
      </c>
      <c r="H8501" t="n">
        <v>0</v>
      </c>
      <c r="I8501" t="n">
        <v>0</v>
      </c>
      <c r="J8501" t="n">
        <v>0</v>
      </c>
      <c r="K8501" t="n">
        <v>0</v>
      </c>
      <c r="L8501" t="n">
        <v>0</v>
      </c>
      <c r="M8501" t="n">
        <v>0</v>
      </c>
      <c r="N8501" t="n">
        <v>0</v>
      </c>
      <c r="O8501" t="n">
        <v>0</v>
      </c>
      <c r="P8501" t="n">
        <v>0</v>
      </c>
      <c r="Q8501" t="n">
        <v>0</v>
      </c>
      <c r="R8501" s="2" t="inlineStr"/>
    </row>
    <row r="8502" ht="15" customHeight="1">
      <c r="A8502" t="inlineStr">
        <is>
          <t>A 5510-2026</t>
        </is>
      </c>
      <c r="B8502" s="1" t="n">
        <v>46050</v>
      </c>
      <c r="C8502" s="1" t="n">
        <v>46114</v>
      </c>
      <c r="D8502" t="inlineStr">
        <is>
          <t>DALARNAS LÄN</t>
        </is>
      </c>
      <c r="E8502" t="inlineStr">
        <is>
          <t>FALUN</t>
        </is>
      </c>
      <c r="F8502" t="inlineStr">
        <is>
          <t>Bergvik skog väst AB</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5559-2026</t>
        </is>
      </c>
      <c r="B8503" s="1" t="n">
        <v>46050</v>
      </c>
      <c r="C8503" s="1" t="n">
        <v>46114</v>
      </c>
      <c r="D8503" t="inlineStr">
        <is>
          <t>DALARNAS LÄN</t>
        </is>
      </c>
      <c r="E8503" t="inlineStr">
        <is>
          <t>FALUN</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5570-2026</t>
        </is>
      </c>
      <c r="B8504" s="1" t="n">
        <v>46050</v>
      </c>
      <c r="C8504" s="1" t="n">
        <v>46114</v>
      </c>
      <c r="D8504" t="inlineStr">
        <is>
          <t>DALARNAS LÄN</t>
        </is>
      </c>
      <c r="E8504" t="inlineStr">
        <is>
          <t>RÄTTVIK</t>
        </is>
      </c>
      <c r="G8504" t="n">
        <v>2.7</v>
      </c>
      <c r="H8504" t="n">
        <v>0</v>
      </c>
      <c r="I8504" t="n">
        <v>0</v>
      </c>
      <c r="J8504" t="n">
        <v>0</v>
      </c>
      <c r="K8504" t="n">
        <v>0</v>
      </c>
      <c r="L8504" t="n">
        <v>0</v>
      </c>
      <c r="M8504" t="n">
        <v>0</v>
      </c>
      <c r="N8504" t="n">
        <v>0</v>
      </c>
      <c r="O8504" t="n">
        <v>0</v>
      </c>
      <c r="P8504" t="n">
        <v>0</v>
      </c>
      <c r="Q8504" t="n">
        <v>0</v>
      </c>
      <c r="R8504" s="2" t="inlineStr"/>
    </row>
    <row r="8505" ht="15" customHeight="1">
      <c r="A8505" t="inlineStr">
        <is>
          <t>A 11270-2026</t>
        </is>
      </c>
      <c r="B8505" s="1" t="n">
        <v>46080</v>
      </c>
      <c r="C8505" s="1" t="n">
        <v>46114</v>
      </c>
      <c r="D8505" t="inlineStr">
        <is>
          <t>DALARNAS LÄN</t>
        </is>
      </c>
      <c r="E8505" t="inlineStr">
        <is>
          <t>FALUN</t>
        </is>
      </c>
      <c r="G8505" t="n">
        <v>3</v>
      </c>
      <c r="H8505" t="n">
        <v>0</v>
      </c>
      <c r="I8505" t="n">
        <v>0</v>
      </c>
      <c r="J8505" t="n">
        <v>0</v>
      </c>
      <c r="K8505" t="n">
        <v>0</v>
      </c>
      <c r="L8505" t="n">
        <v>0</v>
      </c>
      <c r="M8505" t="n">
        <v>0</v>
      </c>
      <c r="N8505" t="n">
        <v>0</v>
      </c>
      <c r="O8505" t="n">
        <v>0</v>
      </c>
      <c r="P8505" t="n">
        <v>0</v>
      </c>
      <c r="Q8505" t="n">
        <v>0</v>
      </c>
      <c r="R8505" s="2" t="inlineStr"/>
    </row>
    <row r="8506" ht="15" customHeight="1">
      <c r="A8506" t="inlineStr">
        <is>
          <t>A 20419-2025</t>
        </is>
      </c>
      <c r="B8506" s="1" t="n">
        <v>45775.46444444444</v>
      </c>
      <c r="C8506" s="1" t="n">
        <v>46114</v>
      </c>
      <c r="D8506" t="inlineStr">
        <is>
          <t>DALARNAS LÄN</t>
        </is>
      </c>
      <c r="E8506" t="inlineStr">
        <is>
          <t>VANSBRO</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20500-2025</t>
        </is>
      </c>
      <c r="B8507" s="1" t="n">
        <v>45775.57885416667</v>
      </c>
      <c r="C8507" s="1" t="n">
        <v>46114</v>
      </c>
      <c r="D8507" t="inlineStr">
        <is>
          <t>DALARNAS LÄN</t>
        </is>
      </c>
      <c r="E8507" t="inlineStr">
        <is>
          <t>SÄTER</t>
        </is>
      </c>
      <c r="G8507" t="n">
        <v>6.4</v>
      </c>
      <c r="H8507" t="n">
        <v>0</v>
      </c>
      <c r="I8507" t="n">
        <v>0</v>
      </c>
      <c r="J8507" t="n">
        <v>0</v>
      </c>
      <c r="K8507" t="n">
        <v>0</v>
      </c>
      <c r="L8507" t="n">
        <v>0</v>
      </c>
      <c r="M8507" t="n">
        <v>0</v>
      </c>
      <c r="N8507" t="n">
        <v>0</v>
      </c>
      <c r="O8507" t="n">
        <v>0</v>
      </c>
      <c r="P8507" t="n">
        <v>0</v>
      </c>
      <c r="Q8507" t="n">
        <v>0</v>
      </c>
      <c r="R8507" s="2" t="inlineStr"/>
    </row>
    <row r="8508" ht="15" customHeight="1">
      <c r="A8508" t="inlineStr">
        <is>
          <t>A 18022-2024</t>
        </is>
      </c>
      <c r="B8508" s="1" t="n">
        <v>45420.30623842592</v>
      </c>
      <c r="C8508" s="1" t="n">
        <v>46114</v>
      </c>
      <c r="D8508" t="inlineStr">
        <is>
          <t>DALARNAS LÄN</t>
        </is>
      </c>
      <c r="E8508" t="inlineStr">
        <is>
          <t>SMEDJEBACKEN</t>
        </is>
      </c>
      <c r="F8508" t="inlineStr">
        <is>
          <t>Sveaskog</t>
        </is>
      </c>
      <c r="G8508" t="n">
        <v>0.3</v>
      </c>
      <c r="H8508" t="n">
        <v>0</v>
      </c>
      <c r="I8508" t="n">
        <v>0</v>
      </c>
      <c r="J8508" t="n">
        <v>0</v>
      </c>
      <c r="K8508" t="n">
        <v>0</v>
      </c>
      <c r="L8508" t="n">
        <v>0</v>
      </c>
      <c r="M8508" t="n">
        <v>0</v>
      </c>
      <c r="N8508" t="n">
        <v>0</v>
      </c>
      <c r="O8508" t="n">
        <v>0</v>
      </c>
      <c r="P8508" t="n">
        <v>0</v>
      </c>
      <c r="Q8508" t="n">
        <v>0</v>
      </c>
      <c r="R8508" s="2" t="inlineStr"/>
    </row>
    <row r="8509" ht="15" customHeight="1">
      <c r="A8509" t="inlineStr">
        <is>
          <t>A 59002-2024</t>
        </is>
      </c>
      <c r="B8509" s="1" t="n">
        <v>45636</v>
      </c>
      <c r="C8509" s="1" t="n">
        <v>46114</v>
      </c>
      <c r="D8509" t="inlineStr">
        <is>
          <t>DALARNAS LÄN</t>
        </is>
      </c>
      <c r="E8509" t="inlineStr">
        <is>
          <t>MORA</t>
        </is>
      </c>
      <c r="F8509" t="inlineStr">
        <is>
          <t>Bergvik skog väst AB</t>
        </is>
      </c>
      <c r="G8509" t="n">
        <v>24.8</v>
      </c>
      <c r="H8509" t="n">
        <v>0</v>
      </c>
      <c r="I8509" t="n">
        <v>0</v>
      </c>
      <c r="J8509" t="n">
        <v>0</v>
      </c>
      <c r="K8509" t="n">
        <v>0</v>
      </c>
      <c r="L8509" t="n">
        <v>0</v>
      </c>
      <c r="M8509" t="n">
        <v>0</v>
      </c>
      <c r="N8509" t="n">
        <v>0</v>
      </c>
      <c r="O8509" t="n">
        <v>0</v>
      </c>
      <c r="P8509" t="n">
        <v>0</v>
      </c>
      <c r="Q8509" t="n">
        <v>0</v>
      </c>
      <c r="R8509" s="2" t="inlineStr"/>
    </row>
    <row r="8510" ht="15" customHeight="1">
      <c r="A8510" t="inlineStr">
        <is>
          <t>A 12420-2026</t>
        </is>
      </c>
      <c r="B8510" s="1" t="n">
        <v>46090</v>
      </c>
      <c r="C8510" s="1" t="n">
        <v>46114</v>
      </c>
      <c r="D8510" t="inlineStr">
        <is>
          <t>DALARNAS LÄN</t>
        </is>
      </c>
      <c r="E8510" t="inlineStr">
        <is>
          <t>FALUN</t>
        </is>
      </c>
      <c r="F8510" t="inlineStr">
        <is>
          <t>Bergvik skog väst AB</t>
        </is>
      </c>
      <c r="G8510" t="n">
        <v>21.8</v>
      </c>
      <c r="H8510" t="n">
        <v>0</v>
      </c>
      <c r="I8510" t="n">
        <v>0</v>
      </c>
      <c r="J8510" t="n">
        <v>0</v>
      </c>
      <c r="K8510" t="n">
        <v>0</v>
      </c>
      <c r="L8510" t="n">
        <v>0</v>
      </c>
      <c r="M8510" t="n">
        <v>0</v>
      </c>
      <c r="N8510" t="n">
        <v>0</v>
      </c>
      <c r="O8510" t="n">
        <v>0</v>
      </c>
      <c r="P8510" t="n">
        <v>0</v>
      </c>
      <c r="Q8510" t="n">
        <v>0</v>
      </c>
      <c r="R8510" s="2" t="inlineStr"/>
    </row>
    <row r="8511" ht="15" customHeight="1">
      <c r="A8511" t="inlineStr">
        <is>
          <t>A 12467-2026</t>
        </is>
      </c>
      <c r="B8511" s="1" t="n">
        <v>46090</v>
      </c>
      <c r="C8511" s="1" t="n">
        <v>46114</v>
      </c>
      <c r="D8511" t="inlineStr">
        <is>
          <t>DALARNAS LÄN</t>
        </is>
      </c>
      <c r="E8511" t="inlineStr">
        <is>
          <t>LEKSAND</t>
        </is>
      </c>
      <c r="F8511" t="inlineStr">
        <is>
          <t>Bergvik skog väst AB</t>
        </is>
      </c>
      <c r="G8511" t="n">
        <v>40.1</v>
      </c>
      <c r="H8511" t="n">
        <v>0</v>
      </c>
      <c r="I8511" t="n">
        <v>0</v>
      </c>
      <c r="J8511" t="n">
        <v>0</v>
      </c>
      <c r="K8511" t="n">
        <v>0</v>
      </c>
      <c r="L8511" t="n">
        <v>0</v>
      </c>
      <c r="M8511" t="n">
        <v>0</v>
      </c>
      <c r="N8511" t="n">
        <v>0</v>
      </c>
      <c r="O8511" t="n">
        <v>0</v>
      </c>
      <c r="P8511" t="n">
        <v>0</v>
      </c>
      <c r="Q8511" t="n">
        <v>0</v>
      </c>
      <c r="R8511" s="2" t="inlineStr"/>
    </row>
    <row r="8512" ht="15" customHeight="1">
      <c r="A8512" t="inlineStr">
        <is>
          <t>A 13101-2026</t>
        </is>
      </c>
      <c r="B8512" s="1" t="n">
        <v>46093.41653935185</v>
      </c>
      <c r="C8512" s="1" t="n">
        <v>46114</v>
      </c>
      <c r="D8512" t="inlineStr">
        <is>
          <t>DALARNAS LÄN</t>
        </is>
      </c>
      <c r="E8512" t="inlineStr">
        <is>
          <t>FALUN</t>
        </is>
      </c>
      <c r="G8512" t="n">
        <v>3</v>
      </c>
      <c r="H8512" t="n">
        <v>0</v>
      </c>
      <c r="I8512" t="n">
        <v>0</v>
      </c>
      <c r="J8512" t="n">
        <v>0</v>
      </c>
      <c r="K8512" t="n">
        <v>0</v>
      </c>
      <c r="L8512" t="n">
        <v>0</v>
      </c>
      <c r="M8512" t="n">
        <v>0</v>
      </c>
      <c r="N8512" t="n">
        <v>0</v>
      </c>
      <c r="O8512" t="n">
        <v>0</v>
      </c>
      <c r="P8512" t="n">
        <v>0</v>
      </c>
      <c r="Q8512" t="n">
        <v>0</v>
      </c>
      <c r="R8512" s="2" t="inlineStr"/>
    </row>
    <row r="8513" ht="15" customHeight="1">
      <c r="A8513" t="inlineStr">
        <is>
          <t>A 13106-2026</t>
        </is>
      </c>
      <c r="B8513" s="1" t="n">
        <v>46093.424375</v>
      </c>
      <c r="C8513" s="1" t="n">
        <v>46114</v>
      </c>
      <c r="D8513" t="inlineStr">
        <is>
          <t>DALARNAS LÄN</t>
        </is>
      </c>
      <c r="E8513" t="inlineStr">
        <is>
          <t>MALUNG-SÄLEN</t>
        </is>
      </c>
      <c r="G8513" t="n">
        <v>1.6</v>
      </c>
      <c r="H8513" t="n">
        <v>0</v>
      </c>
      <c r="I8513" t="n">
        <v>0</v>
      </c>
      <c r="J8513" t="n">
        <v>0</v>
      </c>
      <c r="K8513" t="n">
        <v>0</v>
      </c>
      <c r="L8513" t="n">
        <v>0</v>
      </c>
      <c r="M8513" t="n">
        <v>0</v>
      </c>
      <c r="N8513" t="n">
        <v>0</v>
      </c>
      <c r="O8513" t="n">
        <v>0</v>
      </c>
      <c r="P8513" t="n">
        <v>0</v>
      </c>
      <c r="Q8513" t="n">
        <v>0</v>
      </c>
      <c r="R8513" s="2" t="inlineStr"/>
    </row>
    <row r="8514" ht="15" customHeight="1">
      <c r="A8514" t="inlineStr">
        <is>
          <t>A 13113-2026</t>
        </is>
      </c>
      <c r="B8514" s="1" t="n">
        <v>46093.42853009259</v>
      </c>
      <c r="C8514" s="1" t="n">
        <v>46114</v>
      </c>
      <c r="D8514" t="inlineStr">
        <is>
          <t>DALARNAS LÄN</t>
        </is>
      </c>
      <c r="E8514" t="inlineStr">
        <is>
          <t>MALUNG-SÄLEN</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5363-2026</t>
        </is>
      </c>
      <c r="B8515" s="1" t="n">
        <v>46050</v>
      </c>
      <c r="C8515" s="1" t="n">
        <v>46114</v>
      </c>
      <c r="D8515" t="inlineStr">
        <is>
          <t>DALARNAS LÄN</t>
        </is>
      </c>
      <c r="E8515" t="inlineStr">
        <is>
          <t>FALUN</t>
        </is>
      </c>
      <c r="F8515" t="inlineStr">
        <is>
          <t>Kommuner</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11540-2026</t>
        </is>
      </c>
      <c r="B8516" s="1" t="n">
        <v>46083</v>
      </c>
      <c r="C8516" s="1" t="n">
        <v>46114</v>
      </c>
      <c r="D8516" t="inlineStr">
        <is>
          <t>DALARNAS LÄN</t>
        </is>
      </c>
      <c r="E8516" t="inlineStr">
        <is>
          <t>FALUN</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5279-2026</t>
        </is>
      </c>
      <c r="B8517" s="1" t="n">
        <v>46050</v>
      </c>
      <c r="C8517" s="1" t="n">
        <v>46114</v>
      </c>
      <c r="D8517" t="inlineStr">
        <is>
          <t>DALARNAS LÄN</t>
        </is>
      </c>
      <c r="E8517" t="inlineStr">
        <is>
          <t>FALUN</t>
        </is>
      </c>
      <c r="F8517" t="inlineStr">
        <is>
          <t>Bergvik skog väst AB</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12942-2026</t>
        </is>
      </c>
      <c r="B8518" s="1" t="n">
        <v>46092.62490740741</v>
      </c>
      <c r="C8518" s="1" t="n">
        <v>46114</v>
      </c>
      <c r="D8518" t="inlineStr">
        <is>
          <t>DALARNAS LÄN</t>
        </is>
      </c>
      <c r="E8518" t="inlineStr">
        <is>
          <t>SÄTER</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12963-2026</t>
        </is>
      </c>
      <c r="B8519" s="1" t="n">
        <v>46092.64525462963</v>
      </c>
      <c r="C8519" s="1" t="n">
        <v>46114</v>
      </c>
      <c r="D8519" t="inlineStr">
        <is>
          <t>DALARNAS LÄN</t>
        </is>
      </c>
      <c r="E8519" t="inlineStr">
        <is>
          <t>MALUNG-SÄLEN</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5980-2025</t>
        </is>
      </c>
      <c r="B8520" s="1" t="n">
        <v>45695.54651620371</v>
      </c>
      <c r="C8520" s="1" t="n">
        <v>46114</v>
      </c>
      <c r="D8520" t="inlineStr">
        <is>
          <t>DALARNAS LÄN</t>
        </is>
      </c>
      <c r="E8520" t="inlineStr">
        <is>
          <t>MORA</t>
        </is>
      </c>
      <c r="G8520" t="n">
        <v>2.7</v>
      </c>
      <c r="H8520" t="n">
        <v>0</v>
      </c>
      <c r="I8520" t="n">
        <v>0</v>
      </c>
      <c r="J8520" t="n">
        <v>0</v>
      </c>
      <c r="K8520" t="n">
        <v>0</v>
      </c>
      <c r="L8520" t="n">
        <v>0</v>
      </c>
      <c r="M8520" t="n">
        <v>0</v>
      </c>
      <c r="N8520" t="n">
        <v>0</v>
      </c>
      <c r="O8520" t="n">
        <v>0</v>
      </c>
      <c r="P8520" t="n">
        <v>0</v>
      </c>
      <c r="Q8520" t="n">
        <v>0</v>
      </c>
      <c r="R8520" s="2" t="inlineStr"/>
    </row>
    <row r="8521" ht="15" customHeight="1">
      <c r="A8521" t="inlineStr">
        <is>
          <t>A 53923-2024</t>
        </is>
      </c>
      <c r="B8521" s="1" t="n">
        <v>45615.79806712963</v>
      </c>
      <c r="C8521" s="1" t="n">
        <v>46114</v>
      </c>
      <c r="D8521" t="inlineStr">
        <is>
          <t>DALARNAS LÄN</t>
        </is>
      </c>
      <c r="E8521" t="inlineStr">
        <is>
          <t>HEDEMORA</t>
        </is>
      </c>
      <c r="F8521" t="inlineStr">
        <is>
          <t>Sveaskog</t>
        </is>
      </c>
      <c r="G8521" t="n">
        <v>1.5</v>
      </c>
      <c r="H8521" t="n">
        <v>0</v>
      </c>
      <c r="I8521" t="n">
        <v>0</v>
      </c>
      <c r="J8521" t="n">
        <v>0</v>
      </c>
      <c r="K8521" t="n">
        <v>0</v>
      </c>
      <c r="L8521" t="n">
        <v>0</v>
      </c>
      <c r="M8521" t="n">
        <v>0</v>
      </c>
      <c r="N8521" t="n">
        <v>0</v>
      </c>
      <c r="O8521" t="n">
        <v>0</v>
      </c>
      <c r="P8521" t="n">
        <v>0</v>
      </c>
      <c r="Q8521" t="n">
        <v>0</v>
      </c>
      <c r="R8521" s="2" t="inlineStr"/>
    </row>
    <row r="8522" ht="15" customHeight="1">
      <c r="A8522" t="inlineStr">
        <is>
          <t>A 46674-2024</t>
        </is>
      </c>
      <c r="B8522" s="1" t="n">
        <v>45583.38296296296</v>
      </c>
      <c r="C8522" s="1" t="n">
        <v>46114</v>
      </c>
      <c r="D8522" t="inlineStr">
        <is>
          <t>DALARNAS LÄN</t>
        </is>
      </c>
      <c r="E8522" t="inlineStr">
        <is>
          <t>AVESTA</t>
        </is>
      </c>
      <c r="F8522" t="inlineStr">
        <is>
          <t>Sveaskog</t>
        </is>
      </c>
      <c r="G8522" t="n">
        <v>2.6</v>
      </c>
      <c r="H8522" t="n">
        <v>0</v>
      </c>
      <c r="I8522" t="n">
        <v>0</v>
      </c>
      <c r="J8522" t="n">
        <v>0</v>
      </c>
      <c r="K8522" t="n">
        <v>0</v>
      </c>
      <c r="L8522" t="n">
        <v>0</v>
      </c>
      <c r="M8522" t="n">
        <v>0</v>
      </c>
      <c r="N8522" t="n">
        <v>0</v>
      </c>
      <c r="O8522" t="n">
        <v>0</v>
      </c>
      <c r="P8522" t="n">
        <v>0</v>
      </c>
      <c r="Q8522" t="n">
        <v>0</v>
      </c>
      <c r="R8522" s="2" t="inlineStr"/>
    </row>
    <row r="8523" ht="15" customHeight="1">
      <c r="A8523" t="inlineStr">
        <is>
          <t>A 5677-2026</t>
        </is>
      </c>
      <c r="B8523" s="1" t="n">
        <v>46051.47321759259</v>
      </c>
      <c r="C8523" s="1" t="n">
        <v>46114</v>
      </c>
      <c r="D8523" t="inlineStr">
        <is>
          <t>DALARNAS LÄN</t>
        </is>
      </c>
      <c r="E8523" t="inlineStr">
        <is>
          <t>HEDEMORA</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5682-2026</t>
        </is>
      </c>
      <c r="B8524" s="1" t="n">
        <v>46051.48131944444</v>
      </c>
      <c r="C8524" s="1" t="n">
        <v>46114</v>
      </c>
      <c r="D8524" t="inlineStr">
        <is>
          <t>DALARNAS LÄN</t>
        </is>
      </c>
      <c r="E8524" t="inlineStr">
        <is>
          <t>GAGNEF</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5695-2026</t>
        </is>
      </c>
      <c r="B8525" s="1" t="n">
        <v>46051</v>
      </c>
      <c r="C8525" s="1" t="n">
        <v>46114</v>
      </c>
      <c r="D8525" t="inlineStr">
        <is>
          <t>DALARNAS LÄN</t>
        </is>
      </c>
      <c r="E8525" t="inlineStr">
        <is>
          <t>FALUN</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46679-2024</t>
        </is>
      </c>
      <c r="B8526" s="1" t="n">
        <v>45583</v>
      </c>
      <c r="C8526" s="1" t="n">
        <v>46114</v>
      </c>
      <c r="D8526" t="inlineStr">
        <is>
          <t>DALARNAS LÄN</t>
        </is>
      </c>
      <c r="E8526" t="inlineStr">
        <is>
          <t>AVESTA</t>
        </is>
      </c>
      <c r="F8526" t="inlineStr">
        <is>
          <t>Sveaskog</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39219-2024</t>
        </is>
      </c>
      <c r="B8527" s="1" t="n">
        <v>45549.47034722222</v>
      </c>
      <c r="C8527" s="1" t="n">
        <v>46114</v>
      </c>
      <c r="D8527" t="inlineStr">
        <is>
          <t>DALARNAS LÄN</t>
        </is>
      </c>
      <c r="E8527" t="inlineStr">
        <is>
          <t>AVESTA</t>
        </is>
      </c>
      <c r="F8527" t="inlineStr">
        <is>
          <t>Sveaskog</t>
        </is>
      </c>
      <c r="G8527" t="n">
        <v>4.9</v>
      </c>
      <c r="H8527" t="n">
        <v>0</v>
      </c>
      <c r="I8527" t="n">
        <v>0</v>
      </c>
      <c r="J8527" t="n">
        <v>0</v>
      </c>
      <c r="K8527" t="n">
        <v>0</v>
      </c>
      <c r="L8527" t="n">
        <v>0</v>
      </c>
      <c r="M8527" t="n">
        <v>0</v>
      </c>
      <c r="N8527" t="n">
        <v>0</v>
      </c>
      <c r="O8527" t="n">
        <v>0</v>
      </c>
      <c r="P8527" t="n">
        <v>0</v>
      </c>
      <c r="Q8527" t="n">
        <v>0</v>
      </c>
      <c r="R8527" s="2" t="inlineStr"/>
    </row>
    <row r="8528" ht="15" customHeight="1">
      <c r="A8528" t="inlineStr">
        <is>
          <t>A 14883-2024</t>
        </is>
      </c>
      <c r="B8528" s="1" t="n">
        <v>45398.54752314815</v>
      </c>
      <c r="C8528" s="1" t="n">
        <v>46114</v>
      </c>
      <c r="D8528" t="inlineStr">
        <is>
          <t>DALARNAS LÄN</t>
        </is>
      </c>
      <c r="E8528" t="inlineStr">
        <is>
          <t>FALUN</t>
        </is>
      </c>
      <c r="G8528" t="n">
        <v>7</v>
      </c>
      <c r="H8528" t="n">
        <v>0</v>
      </c>
      <c r="I8528" t="n">
        <v>0</v>
      </c>
      <c r="J8528" t="n">
        <v>0</v>
      </c>
      <c r="K8528" t="n">
        <v>0</v>
      </c>
      <c r="L8528" t="n">
        <v>0</v>
      </c>
      <c r="M8528" t="n">
        <v>0</v>
      </c>
      <c r="N8528" t="n">
        <v>0</v>
      </c>
      <c r="O8528" t="n">
        <v>0</v>
      </c>
      <c r="P8528" t="n">
        <v>0</v>
      </c>
      <c r="Q8528" t="n">
        <v>0</v>
      </c>
      <c r="R8528" s="2" t="inlineStr"/>
    </row>
    <row r="8529" ht="15" customHeight="1">
      <c r="A8529" t="inlineStr">
        <is>
          <t>A 5278-2026</t>
        </is>
      </c>
      <c r="B8529" s="1" t="n">
        <v>46050</v>
      </c>
      <c r="C8529" s="1" t="n">
        <v>46114</v>
      </c>
      <c r="D8529" t="inlineStr">
        <is>
          <t>DALARNAS LÄN</t>
        </is>
      </c>
      <c r="E8529" t="inlineStr">
        <is>
          <t>FALUN</t>
        </is>
      </c>
      <c r="F8529" t="inlineStr">
        <is>
          <t>Bergvik skog väst AB</t>
        </is>
      </c>
      <c r="G8529" t="n">
        <v>3.2</v>
      </c>
      <c r="H8529" t="n">
        <v>0</v>
      </c>
      <c r="I8529" t="n">
        <v>0</v>
      </c>
      <c r="J8529" t="n">
        <v>0</v>
      </c>
      <c r="K8529" t="n">
        <v>0</v>
      </c>
      <c r="L8529" t="n">
        <v>0</v>
      </c>
      <c r="M8529" t="n">
        <v>0</v>
      </c>
      <c r="N8529" t="n">
        <v>0</v>
      </c>
      <c r="O8529" t="n">
        <v>0</v>
      </c>
      <c r="P8529" t="n">
        <v>0</v>
      </c>
      <c r="Q8529" t="n">
        <v>0</v>
      </c>
      <c r="R8529" s="2" t="inlineStr"/>
    </row>
    <row r="8530" ht="15" customHeight="1">
      <c r="A8530" t="inlineStr">
        <is>
          <t>A 5351-2026</t>
        </is>
      </c>
      <c r="B8530" s="1" t="n">
        <v>46050.43736111111</v>
      </c>
      <c r="C8530" s="1" t="n">
        <v>46114</v>
      </c>
      <c r="D8530" t="inlineStr">
        <is>
          <t>DALARNAS LÄN</t>
        </is>
      </c>
      <c r="E8530" t="inlineStr">
        <is>
          <t>FALUN</t>
        </is>
      </c>
      <c r="F8530" t="inlineStr">
        <is>
          <t>Övriga statliga verk och myndigheter</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1923-2026</t>
        </is>
      </c>
      <c r="B8531" s="1" t="n">
        <v>46035.56564814815</v>
      </c>
      <c r="C8531" s="1" t="n">
        <v>46114</v>
      </c>
      <c r="D8531" t="inlineStr">
        <is>
          <t>DALARNAS LÄN</t>
        </is>
      </c>
      <c r="E8531" t="inlineStr">
        <is>
          <t>BORLÄNGE</t>
        </is>
      </c>
      <c r="G8531" t="n">
        <v>1.6</v>
      </c>
      <c r="H8531" t="n">
        <v>0</v>
      </c>
      <c r="I8531" t="n">
        <v>0</v>
      </c>
      <c r="J8531" t="n">
        <v>0</v>
      </c>
      <c r="K8531" t="n">
        <v>0</v>
      </c>
      <c r="L8531" t="n">
        <v>0</v>
      </c>
      <c r="M8531" t="n">
        <v>0</v>
      </c>
      <c r="N8531" t="n">
        <v>0</v>
      </c>
      <c r="O8531" t="n">
        <v>0</v>
      </c>
      <c r="P8531" t="n">
        <v>0</v>
      </c>
      <c r="Q8531" t="n">
        <v>0</v>
      </c>
      <c r="R8531" s="2" t="inlineStr"/>
    </row>
    <row r="8532" ht="15" customHeight="1">
      <c r="A8532" t="inlineStr">
        <is>
          <t>A 5379-2026</t>
        </is>
      </c>
      <c r="B8532" s="1" t="n">
        <v>46050</v>
      </c>
      <c r="C8532" s="1" t="n">
        <v>46114</v>
      </c>
      <c r="D8532" t="inlineStr">
        <is>
          <t>DALARNAS LÄN</t>
        </is>
      </c>
      <c r="E8532" t="inlineStr">
        <is>
          <t>ORSA</t>
        </is>
      </c>
      <c r="F8532" t="inlineStr">
        <is>
          <t>Bergvik skog öst AB</t>
        </is>
      </c>
      <c r="G8532" t="n">
        <v>6.4</v>
      </c>
      <c r="H8532" t="n">
        <v>0</v>
      </c>
      <c r="I8532" t="n">
        <v>0</v>
      </c>
      <c r="J8532" t="n">
        <v>0</v>
      </c>
      <c r="K8532" t="n">
        <v>0</v>
      </c>
      <c r="L8532" t="n">
        <v>0</v>
      </c>
      <c r="M8532" t="n">
        <v>0</v>
      </c>
      <c r="N8532" t="n">
        <v>0</v>
      </c>
      <c r="O8532" t="n">
        <v>0</v>
      </c>
      <c r="P8532" t="n">
        <v>0</v>
      </c>
      <c r="Q8532" t="n">
        <v>0</v>
      </c>
      <c r="R8532" s="2" t="inlineStr"/>
    </row>
    <row r="8533" ht="15" customHeight="1">
      <c r="A8533" t="inlineStr">
        <is>
          <t>A 10280-2026</t>
        </is>
      </c>
      <c r="B8533" s="1" t="n">
        <v>46076</v>
      </c>
      <c r="C8533" s="1" t="n">
        <v>46114</v>
      </c>
      <c r="D8533" t="inlineStr">
        <is>
          <t>DALARNAS LÄN</t>
        </is>
      </c>
      <c r="E8533" t="inlineStr">
        <is>
          <t>HEDEMORA</t>
        </is>
      </c>
      <c r="F8533" t="inlineStr">
        <is>
          <t>Sveaskog</t>
        </is>
      </c>
      <c r="G8533" t="n">
        <v>3.6</v>
      </c>
      <c r="H8533" t="n">
        <v>0</v>
      </c>
      <c r="I8533" t="n">
        <v>0</v>
      </c>
      <c r="J8533" t="n">
        <v>0</v>
      </c>
      <c r="K8533" t="n">
        <v>0</v>
      </c>
      <c r="L8533" t="n">
        <v>0</v>
      </c>
      <c r="M8533" t="n">
        <v>0</v>
      </c>
      <c r="N8533" t="n">
        <v>0</v>
      </c>
      <c r="O8533" t="n">
        <v>0</v>
      </c>
      <c r="P8533" t="n">
        <v>0</v>
      </c>
      <c r="Q8533" t="n">
        <v>0</v>
      </c>
      <c r="R8533" s="2" t="inlineStr"/>
    </row>
    <row r="8534" ht="15" customHeight="1">
      <c r="A8534" t="inlineStr">
        <is>
          <t>A 12740-2026</t>
        </is>
      </c>
      <c r="B8534" s="1" t="n">
        <v>46091</v>
      </c>
      <c r="C8534" s="1" t="n">
        <v>46114</v>
      </c>
      <c r="D8534" t="inlineStr">
        <is>
          <t>DALARNAS LÄN</t>
        </is>
      </c>
      <c r="E8534" t="inlineStr">
        <is>
          <t>FALUN</t>
        </is>
      </c>
      <c r="G8534" t="n">
        <v>7.9</v>
      </c>
      <c r="H8534" t="n">
        <v>0</v>
      </c>
      <c r="I8534" t="n">
        <v>0</v>
      </c>
      <c r="J8534" t="n">
        <v>0</v>
      </c>
      <c r="K8534" t="n">
        <v>0</v>
      </c>
      <c r="L8534" t="n">
        <v>0</v>
      </c>
      <c r="M8534" t="n">
        <v>0</v>
      </c>
      <c r="N8534" t="n">
        <v>0</v>
      </c>
      <c r="O8534" t="n">
        <v>0</v>
      </c>
      <c r="P8534" t="n">
        <v>0</v>
      </c>
      <c r="Q8534" t="n">
        <v>0</v>
      </c>
      <c r="R8534" s="2" t="inlineStr"/>
    </row>
    <row r="8535" ht="15" customHeight="1">
      <c r="A8535" t="inlineStr">
        <is>
          <t>A 26216-2023</t>
        </is>
      </c>
      <c r="B8535" s="1" t="n">
        <v>45091.55979166667</v>
      </c>
      <c r="C8535" s="1" t="n">
        <v>46114</v>
      </c>
      <c r="D8535" t="inlineStr">
        <is>
          <t>DALARNAS LÄN</t>
        </is>
      </c>
      <c r="E8535" t="inlineStr">
        <is>
          <t>BORLÄNGE</t>
        </is>
      </c>
      <c r="G8535" t="n">
        <v>6.2</v>
      </c>
      <c r="H8535" t="n">
        <v>0</v>
      </c>
      <c r="I8535" t="n">
        <v>0</v>
      </c>
      <c r="J8535" t="n">
        <v>0</v>
      </c>
      <c r="K8535" t="n">
        <v>0</v>
      </c>
      <c r="L8535" t="n">
        <v>0</v>
      </c>
      <c r="M8535" t="n">
        <v>0</v>
      </c>
      <c r="N8535" t="n">
        <v>0</v>
      </c>
      <c r="O8535" t="n">
        <v>0</v>
      </c>
      <c r="P8535" t="n">
        <v>0</v>
      </c>
      <c r="Q8535" t="n">
        <v>0</v>
      </c>
      <c r="R8535" s="2" t="inlineStr"/>
    </row>
    <row r="8536" ht="15" customHeight="1">
      <c r="A8536" t="inlineStr">
        <is>
          <t>A 593-2026</t>
        </is>
      </c>
      <c r="B8536" s="1" t="n">
        <v>46029</v>
      </c>
      <c r="C8536" s="1" t="n">
        <v>46114</v>
      </c>
      <c r="D8536" t="inlineStr">
        <is>
          <t>DALARNAS LÄN</t>
        </is>
      </c>
      <c r="E8536" t="inlineStr">
        <is>
          <t>LEKSAND</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39487-2022</t>
        </is>
      </c>
      <c r="B8537" s="1" t="n">
        <v>44817</v>
      </c>
      <c r="C8537" s="1" t="n">
        <v>46114</v>
      </c>
      <c r="D8537" t="inlineStr">
        <is>
          <t>DALARNAS LÄN</t>
        </is>
      </c>
      <c r="E8537" t="inlineStr">
        <is>
          <t>SÄTER</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5366-2026</t>
        </is>
      </c>
      <c r="B8538" s="1" t="n">
        <v>46050.45471064815</v>
      </c>
      <c r="C8538" s="1" t="n">
        <v>46114</v>
      </c>
      <c r="D8538" t="inlineStr">
        <is>
          <t>DALARNAS LÄN</t>
        </is>
      </c>
      <c r="E8538" t="inlineStr">
        <is>
          <t>FALUN</t>
        </is>
      </c>
      <c r="F8538" t="inlineStr">
        <is>
          <t>Övriga statliga verk och myndigheter</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5460-2026</t>
        </is>
      </c>
      <c r="B8539" s="1" t="n">
        <v>46050</v>
      </c>
      <c r="C8539" s="1" t="n">
        <v>46114</v>
      </c>
      <c r="D8539" t="inlineStr">
        <is>
          <t>DALARNAS LÄN</t>
        </is>
      </c>
      <c r="E8539" t="inlineStr">
        <is>
          <t>ORSA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5709-2026</t>
        </is>
      </c>
      <c r="B8540" s="1" t="n">
        <v>46051</v>
      </c>
      <c r="C8540" s="1" t="n">
        <v>46114</v>
      </c>
      <c r="D8540" t="inlineStr">
        <is>
          <t>DALARNAS LÄN</t>
        </is>
      </c>
      <c r="E8540" t="inlineStr">
        <is>
          <t>MORA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5724-2026</t>
        </is>
      </c>
      <c r="B8541" s="1" t="n">
        <v>46051</v>
      </c>
      <c r="C8541" s="1" t="n">
        <v>46114</v>
      </c>
      <c r="D8541" t="inlineStr">
        <is>
          <t>DALARNAS LÄN</t>
        </is>
      </c>
      <c r="E8541" t="inlineStr">
        <is>
          <t>LEKSAND</t>
        </is>
      </c>
      <c r="F8541" t="inlineStr">
        <is>
          <t>Bergvik skog väst AB</t>
        </is>
      </c>
      <c r="G8541" t="n">
        <v>4.3</v>
      </c>
      <c r="H8541" t="n">
        <v>0</v>
      </c>
      <c r="I8541" t="n">
        <v>0</v>
      </c>
      <c r="J8541" t="n">
        <v>0</v>
      </c>
      <c r="K8541" t="n">
        <v>0</v>
      </c>
      <c r="L8541" t="n">
        <v>0</v>
      </c>
      <c r="M8541" t="n">
        <v>0</v>
      </c>
      <c r="N8541" t="n">
        <v>0</v>
      </c>
      <c r="O8541" t="n">
        <v>0</v>
      </c>
      <c r="P8541" t="n">
        <v>0</v>
      </c>
      <c r="Q8541" t="n">
        <v>0</v>
      </c>
      <c r="R8541" s="2" t="inlineStr"/>
    </row>
    <row r="8542" ht="15" customHeight="1">
      <c r="A8542" t="inlineStr">
        <is>
          <t>A 5734-2026</t>
        </is>
      </c>
      <c r="B8542" s="1" t="n">
        <v>46051.57579861111</v>
      </c>
      <c r="C8542" s="1" t="n">
        <v>46114</v>
      </c>
      <c r="D8542" t="inlineStr">
        <is>
          <t>DALARNAS LÄN</t>
        </is>
      </c>
      <c r="E8542" t="inlineStr">
        <is>
          <t>FALUN</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5750-2026</t>
        </is>
      </c>
      <c r="B8543" s="1" t="n">
        <v>46051.60039351852</v>
      </c>
      <c r="C8543" s="1" t="n">
        <v>46114</v>
      </c>
      <c r="D8543" t="inlineStr">
        <is>
          <t>DALARNAS LÄN</t>
        </is>
      </c>
      <c r="E8543" t="inlineStr">
        <is>
          <t>FALUN</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5228-2026</t>
        </is>
      </c>
      <c r="B8544" s="1" t="n">
        <v>46049.80768518519</v>
      </c>
      <c r="C8544" s="1" t="n">
        <v>46114</v>
      </c>
      <c r="D8544" t="inlineStr">
        <is>
          <t>DALARNAS LÄN</t>
        </is>
      </c>
      <c r="E8544" t="inlineStr">
        <is>
          <t>HEDEMORA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5299-2026</t>
        </is>
      </c>
      <c r="B8545" s="1" t="n">
        <v>46050</v>
      </c>
      <c r="C8545" s="1" t="n">
        <v>46114</v>
      </c>
      <c r="D8545" t="inlineStr">
        <is>
          <t>DALARNAS LÄN</t>
        </is>
      </c>
      <c r="E8545" t="inlineStr">
        <is>
          <t>FALUN</t>
        </is>
      </c>
      <c r="F8545" t="inlineStr">
        <is>
          <t>Bergvik skog väst AB</t>
        </is>
      </c>
      <c r="G8545" t="n">
        <v>4.6</v>
      </c>
      <c r="H8545" t="n">
        <v>0</v>
      </c>
      <c r="I8545" t="n">
        <v>0</v>
      </c>
      <c r="J8545" t="n">
        <v>0</v>
      </c>
      <c r="K8545" t="n">
        <v>0</v>
      </c>
      <c r="L8545" t="n">
        <v>0</v>
      </c>
      <c r="M8545" t="n">
        <v>0</v>
      </c>
      <c r="N8545" t="n">
        <v>0</v>
      </c>
      <c r="O8545" t="n">
        <v>0</v>
      </c>
      <c r="P8545" t="n">
        <v>0</v>
      </c>
      <c r="Q8545" t="n">
        <v>0</v>
      </c>
      <c r="R8545" s="2" t="inlineStr"/>
    </row>
    <row r="8546" ht="15" customHeight="1">
      <c r="A8546" t="inlineStr">
        <is>
          <t>A 5303-2026</t>
        </is>
      </c>
      <c r="B8546" s="1" t="n">
        <v>46050</v>
      </c>
      <c r="C8546" s="1" t="n">
        <v>46114</v>
      </c>
      <c r="D8546" t="inlineStr">
        <is>
          <t>DALARNAS LÄN</t>
        </is>
      </c>
      <c r="E8546" t="inlineStr">
        <is>
          <t>FALUN</t>
        </is>
      </c>
      <c r="F8546" t="inlineStr">
        <is>
          <t>Bergvik skog väst AB</t>
        </is>
      </c>
      <c r="G8546" t="n">
        <v>5.7</v>
      </c>
      <c r="H8546" t="n">
        <v>0</v>
      </c>
      <c r="I8546" t="n">
        <v>0</v>
      </c>
      <c r="J8546" t="n">
        <v>0</v>
      </c>
      <c r="K8546" t="n">
        <v>0</v>
      </c>
      <c r="L8546" t="n">
        <v>0</v>
      </c>
      <c r="M8546" t="n">
        <v>0</v>
      </c>
      <c r="N8546" t="n">
        <v>0</v>
      </c>
      <c r="O8546" t="n">
        <v>0</v>
      </c>
      <c r="P8546" t="n">
        <v>0</v>
      </c>
      <c r="Q8546" t="n">
        <v>0</v>
      </c>
      <c r="R8546" s="2" t="inlineStr"/>
    </row>
    <row r="8547" ht="15" customHeight="1">
      <c r="A8547" t="inlineStr">
        <is>
          <t>A 16747-2025</t>
        </is>
      </c>
      <c r="B8547" s="1" t="n">
        <v>45754</v>
      </c>
      <c r="C8547" s="1" t="n">
        <v>46114</v>
      </c>
      <c r="D8547" t="inlineStr">
        <is>
          <t>DALARNAS LÄN</t>
        </is>
      </c>
      <c r="E8547" t="inlineStr">
        <is>
          <t>VANSBRO</t>
        </is>
      </c>
      <c r="F8547" t="inlineStr">
        <is>
          <t>Bergvik skog väst AB</t>
        </is>
      </c>
      <c r="G8547" t="n">
        <v>7.6</v>
      </c>
      <c r="H8547" t="n">
        <v>0</v>
      </c>
      <c r="I8547" t="n">
        <v>0</v>
      </c>
      <c r="J8547" t="n">
        <v>0</v>
      </c>
      <c r="K8547" t="n">
        <v>0</v>
      </c>
      <c r="L8547" t="n">
        <v>0</v>
      </c>
      <c r="M8547" t="n">
        <v>0</v>
      </c>
      <c r="N8547" t="n">
        <v>0</v>
      </c>
      <c r="O8547" t="n">
        <v>0</v>
      </c>
      <c r="P8547" t="n">
        <v>0</v>
      </c>
      <c r="Q8547" t="n">
        <v>0</v>
      </c>
      <c r="R8547" s="2" t="inlineStr"/>
    </row>
    <row r="8548" ht="15" customHeight="1">
      <c r="A8548" t="inlineStr">
        <is>
          <t>A 5698-2024</t>
        </is>
      </c>
      <c r="B8548" s="1" t="n">
        <v>45334.72344907407</v>
      </c>
      <c r="C8548" s="1" t="n">
        <v>46114</v>
      </c>
      <c r="D8548" t="inlineStr">
        <is>
          <t>DALARNAS LÄN</t>
        </is>
      </c>
      <c r="E8548" t="inlineStr">
        <is>
          <t>SÄTER</t>
        </is>
      </c>
      <c r="F8548" t="inlineStr">
        <is>
          <t>Kommuner</t>
        </is>
      </c>
      <c r="G8548" t="n">
        <v>3.2</v>
      </c>
      <c r="H8548" t="n">
        <v>0</v>
      </c>
      <c r="I8548" t="n">
        <v>0</v>
      </c>
      <c r="J8548" t="n">
        <v>0</v>
      </c>
      <c r="K8548" t="n">
        <v>0</v>
      </c>
      <c r="L8548" t="n">
        <v>0</v>
      </c>
      <c r="M8548" t="n">
        <v>0</v>
      </c>
      <c r="N8548" t="n">
        <v>0</v>
      </c>
      <c r="O8548" t="n">
        <v>0</v>
      </c>
      <c r="P8548" t="n">
        <v>0</v>
      </c>
      <c r="Q8548" t="n">
        <v>0</v>
      </c>
      <c r="R8548" s="2" t="inlineStr"/>
    </row>
    <row r="8549" ht="15" customHeight="1">
      <c r="A8549" t="inlineStr">
        <is>
          <t>A 627-2025</t>
        </is>
      </c>
      <c r="B8549" s="1" t="n">
        <v>45660</v>
      </c>
      <c r="C8549" s="1" t="n">
        <v>46114</v>
      </c>
      <c r="D8549" t="inlineStr">
        <is>
          <t>DALARNAS LÄN</t>
        </is>
      </c>
      <c r="E8549" t="inlineStr">
        <is>
          <t>ÄLVDALEN</t>
        </is>
      </c>
      <c r="F8549" t="inlineStr">
        <is>
          <t>Allmännings- och besparingsskogar</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14057-2023</t>
        </is>
      </c>
      <c r="B8550" s="1" t="n">
        <v>45008.82340277778</v>
      </c>
      <c r="C8550" s="1" t="n">
        <v>46114</v>
      </c>
      <c r="D8550" t="inlineStr">
        <is>
          <t>DALARNAS LÄN</t>
        </is>
      </c>
      <c r="E8550" t="inlineStr">
        <is>
          <t>VANSBRO</t>
        </is>
      </c>
      <c r="G8550" t="n">
        <v>0.6</v>
      </c>
      <c r="H8550" t="n">
        <v>0</v>
      </c>
      <c r="I8550" t="n">
        <v>0</v>
      </c>
      <c r="J8550" t="n">
        <v>0</v>
      </c>
      <c r="K8550" t="n">
        <v>0</v>
      </c>
      <c r="L8550" t="n">
        <v>0</v>
      </c>
      <c r="M8550" t="n">
        <v>0</v>
      </c>
      <c r="N8550" t="n">
        <v>0</v>
      </c>
      <c r="O8550" t="n">
        <v>0</v>
      </c>
      <c r="P8550" t="n">
        <v>0</v>
      </c>
      <c r="Q8550" t="n">
        <v>0</v>
      </c>
      <c r="R8550" s="2" t="inlineStr"/>
    </row>
    <row r="8551" ht="15" customHeight="1">
      <c r="A8551" t="inlineStr">
        <is>
          <t>A 17645-2022</t>
        </is>
      </c>
      <c r="B8551" s="1" t="n">
        <v>44680.47903935185</v>
      </c>
      <c r="C8551" s="1" t="n">
        <v>46114</v>
      </c>
      <c r="D8551" t="inlineStr">
        <is>
          <t>DALARNAS LÄN</t>
        </is>
      </c>
      <c r="E8551" t="inlineStr">
        <is>
          <t>HEDEMORA</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6566-2022</t>
        </is>
      </c>
      <c r="B8552" s="1" t="n">
        <v>44601</v>
      </c>
      <c r="C8552" s="1" t="n">
        <v>46114</v>
      </c>
      <c r="D8552" t="inlineStr">
        <is>
          <t>DALARNAS LÄN</t>
        </is>
      </c>
      <c r="E8552" t="inlineStr">
        <is>
          <t>GAGNEF</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49240-2023</t>
        </is>
      </c>
      <c r="B8553" s="1" t="n">
        <v>45210.64642361111</v>
      </c>
      <c r="C8553" s="1" t="n">
        <v>46114</v>
      </c>
      <c r="D8553" t="inlineStr">
        <is>
          <t>DALARNAS LÄN</t>
        </is>
      </c>
      <c r="E8553" t="inlineStr">
        <is>
          <t>RÄTTVIK</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54413-2024</t>
        </is>
      </c>
      <c r="B8554" s="1" t="n">
        <v>45617.47939814815</v>
      </c>
      <c r="C8554" s="1" t="n">
        <v>46114</v>
      </c>
      <c r="D8554" t="inlineStr">
        <is>
          <t>DALARNAS LÄN</t>
        </is>
      </c>
      <c r="E8554" t="inlineStr">
        <is>
          <t>VANSBRO</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13134-2026</t>
        </is>
      </c>
      <c r="B8555" s="1" t="n">
        <v>46093.48041666667</v>
      </c>
      <c r="C8555" s="1" t="n">
        <v>46114</v>
      </c>
      <c r="D8555" t="inlineStr">
        <is>
          <t>DALARNAS LÄN</t>
        </is>
      </c>
      <c r="E8555" t="inlineStr">
        <is>
          <t>MALUNG-SÄLEN</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19299-2024</t>
        </is>
      </c>
      <c r="B8556" s="1" t="n">
        <v>45428</v>
      </c>
      <c r="C8556" s="1" t="n">
        <v>46114</v>
      </c>
      <c r="D8556" t="inlineStr">
        <is>
          <t>DALARNAS LÄN</t>
        </is>
      </c>
      <c r="E8556" t="inlineStr">
        <is>
          <t>FALUN</t>
        </is>
      </c>
      <c r="F8556" t="inlineStr">
        <is>
          <t>Bergvik skog väst AB</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7417-2024</t>
        </is>
      </c>
      <c r="B8557" s="1" t="n">
        <v>45345.62378472222</v>
      </c>
      <c r="C8557" s="1" t="n">
        <v>46114</v>
      </c>
      <c r="D8557" t="inlineStr">
        <is>
          <t>DALARNAS LÄN</t>
        </is>
      </c>
      <c r="E8557" t="inlineStr">
        <is>
          <t>LEKSAND</t>
        </is>
      </c>
      <c r="G8557" t="n">
        <v>2.8</v>
      </c>
      <c r="H8557" t="n">
        <v>0</v>
      </c>
      <c r="I8557" t="n">
        <v>0</v>
      </c>
      <c r="J8557" t="n">
        <v>0</v>
      </c>
      <c r="K8557" t="n">
        <v>0</v>
      </c>
      <c r="L8557" t="n">
        <v>0</v>
      </c>
      <c r="M8557" t="n">
        <v>0</v>
      </c>
      <c r="N8557" t="n">
        <v>0</v>
      </c>
      <c r="O8557" t="n">
        <v>0</v>
      </c>
      <c r="P8557" t="n">
        <v>0</v>
      </c>
      <c r="Q8557" t="n">
        <v>0</v>
      </c>
      <c r="R8557" s="2" t="inlineStr"/>
    </row>
    <row r="8558" ht="15" customHeight="1">
      <c r="A8558" t="inlineStr">
        <is>
          <t>A 13242-2026</t>
        </is>
      </c>
      <c r="B8558" s="1" t="n">
        <v>46093.65078703704</v>
      </c>
      <c r="C8558" s="1" t="n">
        <v>46114</v>
      </c>
      <c r="D8558" t="inlineStr">
        <is>
          <t>DALARNAS LÄN</t>
        </is>
      </c>
      <c r="E8558" t="inlineStr">
        <is>
          <t>ORSA</t>
        </is>
      </c>
      <c r="F8558" t="inlineStr">
        <is>
          <t>Bergvik skog öst AB</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4613-2025</t>
        </is>
      </c>
      <c r="B8559" s="1" t="n">
        <v>45687.58771990741</v>
      </c>
      <c r="C8559" s="1" t="n">
        <v>46114</v>
      </c>
      <c r="D8559" t="inlineStr">
        <is>
          <t>DALARNAS LÄN</t>
        </is>
      </c>
      <c r="E8559" t="inlineStr">
        <is>
          <t>MALUNG-SÄLEN</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22925-2023</t>
        </is>
      </c>
      <c r="B8560" s="1" t="n">
        <v>45072.59862268518</v>
      </c>
      <c r="C8560" s="1" t="n">
        <v>46114</v>
      </c>
      <c r="D8560" t="inlineStr">
        <is>
          <t>DALARNAS LÄN</t>
        </is>
      </c>
      <c r="E8560" t="inlineStr">
        <is>
          <t>FALUN</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5477-2026</t>
        </is>
      </c>
      <c r="B8561" s="1" t="n">
        <v>46050.60140046296</v>
      </c>
      <c r="C8561" s="1" t="n">
        <v>46114</v>
      </c>
      <c r="D8561" t="inlineStr">
        <is>
          <t>DALARNAS LÄN</t>
        </is>
      </c>
      <c r="E8561" t="inlineStr">
        <is>
          <t>FALUN</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5501-2026</t>
        </is>
      </c>
      <c r="B8562" s="1" t="n">
        <v>46050.62105324074</v>
      </c>
      <c r="C8562" s="1" t="n">
        <v>46114</v>
      </c>
      <c r="D8562" t="inlineStr">
        <is>
          <t>DALARNAS LÄN</t>
        </is>
      </c>
      <c r="E8562" t="inlineStr">
        <is>
          <t>FALUN</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44334-2024</t>
        </is>
      </c>
      <c r="B8563" s="1" t="n">
        <v>45573.60828703704</v>
      </c>
      <c r="C8563" s="1" t="n">
        <v>46114</v>
      </c>
      <c r="D8563" t="inlineStr">
        <is>
          <t>DALARNAS LÄN</t>
        </is>
      </c>
      <c r="E8563" t="inlineStr">
        <is>
          <t>GAGNEF</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5395-2026</t>
        </is>
      </c>
      <c r="B8564" s="1" t="n">
        <v>46050.47840277778</v>
      </c>
      <c r="C8564" s="1" t="n">
        <v>46114</v>
      </c>
      <c r="D8564" t="inlineStr">
        <is>
          <t>DALARNAS LÄN</t>
        </is>
      </c>
      <c r="E8564" t="inlineStr">
        <is>
          <t>ORSA</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5619-2026</t>
        </is>
      </c>
      <c r="B8565" s="1" t="n">
        <v>46051</v>
      </c>
      <c r="C8565" s="1" t="n">
        <v>46114</v>
      </c>
      <c r="D8565" t="inlineStr">
        <is>
          <t>DALARNAS LÄN</t>
        </is>
      </c>
      <c r="E8565" t="inlineStr">
        <is>
          <t>HEDEMORA</t>
        </is>
      </c>
      <c r="G8565" t="n">
        <v>8</v>
      </c>
      <c r="H8565" t="n">
        <v>0</v>
      </c>
      <c r="I8565" t="n">
        <v>0</v>
      </c>
      <c r="J8565" t="n">
        <v>0</v>
      </c>
      <c r="K8565" t="n">
        <v>0</v>
      </c>
      <c r="L8565" t="n">
        <v>0</v>
      </c>
      <c r="M8565" t="n">
        <v>0</v>
      </c>
      <c r="N8565" t="n">
        <v>0</v>
      </c>
      <c r="O8565" t="n">
        <v>0</v>
      </c>
      <c r="P8565" t="n">
        <v>0</v>
      </c>
      <c r="Q8565" t="n">
        <v>0</v>
      </c>
      <c r="R8565" s="2" t="inlineStr"/>
    </row>
    <row r="8566" ht="15" customHeight="1">
      <c r="A8566" t="inlineStr">
        <is>
          <t>A 11233-2022</t>
        </is>
      </c>
      <c r="B8566" s="1" t="n">
        <v>44629.5853125</v>
      </c>
      <c r="C8566" s="1" t="n">
        <v>46114</v>
      </c>
      <c r="D8566" t="inlineStr">
        <is>
          <t>DALARNAS LÄN</t>
        </is>
      </c>
      <c r="E8566" t="inlineStr">
        <is>
          <t>FALUN</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44384-2024</t>
        </is>
      </c>
      <c r="B8567" s="1" t="n">
        <v>45573.67782407408</v>
      </c>
      <c r="C8567" s="1" t="n">
        <v>46114</v>
      </c>
      <c r="D8567" t="inlineStr">
        <is>
          <t>DALARNAS LÄN</t>
        </is>
      </c>
      <c r="E8567" t="inlineStr">
        <is>
          <t>HEDEMORA</t>
        </is>
      </c>
      <c r="F8567" t="inlineStr">
        <is>
          <t>Bergvik skog väst AB</t>
        </is>
      </c>
      <c r="G8567" t="n">
        <v>9.800000000000001</v>
      </c>
      <c r="H8567" t="n">
        <v>0</v>
      </c>
      <c r="I8567" t="n">
        <v>0</v>
      </c>
      <c r="J8567" t="n">
        <v>0</v>
      </c>
      <c r="K8567" t="n">
        <v>0</v>
      </c>
      <c r="L8567" t="n">
        <v>0</v>
      </c>
      <c r="M8567" t="n">
        <v>0</v>
      </c>
      <c r="N8567" t="n">
        <v>0</v>
      </c>
      <c r="O8567" t="n">
        <v>0</v>
      </c>
      <c r="P8567" t="n">
        <v>0</v>
      </c>
      <c r="Q8567" t="n">
        <v>0</v>
      </c>
      <c r="R8567" s="2" t="inlineStr"/>
    </row>
    <row r="8568" ht="15" customHeight="1">
      <c r="A8568" t="inlineStr">
        <is>
          <t>A 44388-2024</t>
        </is>
      </c>
      <c r="B8568" s="1" t="n">
        <v>45573.68875</v>
      </c>
      <c r="C8568" s="1" t="n">
        <v>46114</v>
      </c>
      <c r="D8568" t="inlineStr">
        <is>
          <t>DALARNAS LÄN</t>
        </is>
      </c>
      <c r="E8568" t="inlineStr">
        <is>
          <t>HEDEMORA</t>
        </is>
      </c>
      <c r="F8568" t="inlineStr">
        <is>
          <t>Bergvik skog väst AB</t>
        </is>
      </c>
      <c r="G8568" t="n">
        <v>0.8</v>
      </c>
      <c r="H8568" t="n">
        <v>0</v>
      </c>
      <c r="I8568" t="n">
        <v>0</v>
      </c>
      <c r="J8568" t="n">
        <v>0</v>
      </c>
      <c r="K8568" t="n">
        <v>0</v>
      </c>
      <c r="L8568" t="n">
        <v>0</v>
      </c>
      <c r="M8568" t="n">
        <v>0</v>
      </c>
      <c r="N8568" t="n">
        <v>0</v>
      </c>
      <c r="O8568" t="n">
        <v>0</v>
      </c>
      <c r="P8568" t="n">
        <v>0</v>
      </c>
      <c r="Q8568" t="n">
        <v>0</v>
      </c>
      <c r="R8568" s="2" t="inlineStr"/>
    </row>
    <row r="8569" ht="15" customHeight="1">
      <c r="A8569" t="inlineStr">
        <is>
          <t>A 53620-2022</t>
        </is>
      </c>
      <c r="B8569" s="1" t="n">
        <v>44879.81773148148</v>
      </c>
      <c r="C8569" s="1" t="n">
        <v>46114</v>
      </c>
      <c r="D8569" t="inlineStr">
        <is>
          <t>DALARNAS LÄN</t>
        </is>
      </c>
      <c r="E8569" t="inlineStr">
        <is>
          <t>LUDVIKA</t>
        </is>
      </c>
      <c r="G8569" t="n">
        <v>3.7</v>
      </c>
      <c r="H8569" t="n">
        <v>0</v>
      </c>
      <c r="I8569" t="n">
        <v>0</v>
      </c>
      <c r="J8569" t="n">
        <v>0</v>
      </c>
      <c r="K8569" t="n">
        <v>0</v>
      </c>
      <c r="L8569" t="n">
        <v>0</v>
      </c>
      <c r="M8569" t="n">
        <v>0</v>
      </c>
      <c r="N8569" t="n">
        <v>0</v>
      </c>
      <c r="O8569" t="n">
        <v>0</v>
      </c>
      <c r="P8569" t="n">
        <v>0</v>
      </c>
      <c r="Q8569" t="n">
        <v>0</v>
      </c>
      <c r="R8569" s="2" t="inlineStr"/>
    </row>
    <row r="8570" ht="15" customHeight="1">
      <c r="A8570" t="inlineStr">
        <is>
          <t>A 5484-2026</t>
        </is>
      </c>
      <c r="B8570" s="1" t="n">
        <v>46050.60809027778</v>
      </c>
      <c r="C8570" s="1" t="n">
        <v>46114</v>
      </c>
      <c r="D8570" t="inlineStr">
        <is>
          <t>DALARNAS LÄN</t>
        </is>
      </c>
      <c r="E8570" t="inlineStr">
        <is>
          <t>FALUN</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5694-2026</t>
        </is>
      </c>
      <c r="B8571" s="1" t="n">
        <v>46051.49476851852</v>
      </c>
      <c r="C8571" s="1" t="n">
        <v>46114</v>
      </c>
      <c r="D8571" t="inlineStr">
        <is>
          <t>DALARNAS LÄN</t>
        </is>
      </c>
      <c r="E8571" t="inlineStr">
        <is>
          <t>FALUN</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12938-2026</t>
        </is>
      </c>
      <c r="B8572" s="1" t="n">
        <v>46092.6208912037</v>
      </c>
      <c r="C8572" s="1" t="n">
        <v>46114</v>
      </c>
      <c r="D8572" t="inlineStr">
        <is>
          <t>DALARNAS LÄN</t>
        </is>
      </c>
      <c r="E8572" t="inlineStr">
        <is>
          <t>SÄTER</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13265-2026</t>
        </is>
      </c>
      <c r="B8573" s="1" t="n">
        <v>46093.68387731481</v>
      </c>
      <c r="C8573" s="1" t="n">
        <v>46114</v>
      </c>
      <c r="D8573" t="inlineStr">
        <is>
          <t>DALARNAS LÄN</t>
        </is>
      </c>
      <c r="E8573" t="inlineStr">
        <is>
          <t>SÄTER</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4833-2024</t>
        </is>
      </c>
      <c r="B8574" s="1" t="n">
        <v>45329</v>
      </c>
      <c r="C8574" s="1" t="n">
        <v>46114</v>
      </c>
      <c r="D8574" t="inlineStr">
        <is>
          <t>DALARNAS LÄN</t>
        </is>
      </c>
      <c r="E8574" t="inlineStr">
        <is>
          <t>RÄTTVIK</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1005-2022</t>
        </is>
      </c>
      <c r="B8575" s="1" t="n">
        <v>44571.60844907408</v>
      </c>
      <c r="C8575" s="1" t="n">
        <v>46114</v>
      </c>
      <c r="D8575" t="inlineStr">
        <is>
          <t>DALARNAS LÄN</t>
        </is>
      </c>
      <c r="E8575" t="inlineStr">
        <is>
          <t>RÄTTVIK</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5221-2026</t>
        </is>
      </c>
      <c r="B8576" s="1" t="n">
        <v>46049.76851851852</v>
      </c>
      <c r="C8576" s="1" t="n">
        <v>46114</v>
      </c>
      <c r="D8576" t="inlineStr">
        <is>
          <t>DALARNAS LÄN</t>
        </is>
      </c>
      <c r="E8576" t="inlineStr">
        <is>
          <t>FALUN</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6411-2026</t>
        </is>
      </c>
      <c r="B8577" s="1" t="n">
        <v>46055.67510416666</v>
      </c>
      <c r="C8577" s="1" t="n">
        <v>46114</v>
      </c>
      <c r="D8577" t="inlineStr">
        <is>
          <t>DALARNAS LÄN</t>
        </is>
      </c>
      <c r="E8577" t="inlineStr">
        <is>
          <t>FALUN</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1174-2026</t>
        </is>
      </c>
      <c r="B8578" s="1" t="n">
        <v>46031</v>
      </c>
      <c r="C8578" s="1" t="n">
        <v>46114</v>
      </c>
      <c r="D8578" t="inlineStr">
        <is>
          <t>DALARNAS LÄN</t>
        </is>
      </c>
      <c r="E8578" t="inlineStr">
        <is>
          <t>MORA</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22756-2024</t>
        </is>
      </c>
      <c r="B8579" s="1" t="n">
        <v>45448.42597222222</v>
      </c>
      <c r="C8579" s="1" t="n">
        <v>46114</v>
      </c>
      <c r="D8579" t="inlineStr">
        <is>
          <t>DALARNAS LÄN</t>
        </is>
      </c>
      <c r="E8579" t="inlineStr">
        <is>
          <t>VANSBRO</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6397-2026</t>
        </is>
      </c>
      <c r="B8580" s="1" t="n">
        <v>46055.65570601852</v>
      </c>
      <c r="C8580" s="1" t="n">
        <v>46114</v>
      </c>
      <c r="D8580" t="inlineStr">
        <is>
          <t>DALARNAS LÄN</t>
        </is>
      </c>
      <c r="E8580" t="inlineStr">
        <is>
          <t>BORLÄNGE</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41137-2024</t>
        </is>
      </c>
      <c r="B8581" s="1" t="n">
        <v>45559.46734953704</v>
      </c>
      <c r="C8581" s="1" t="n">
        <v>46114</v>
      </c>
      <c r="D8581" t="inlineStr">
        <is>
          <t>DALARNAS LÄN</t>
        </is>
      </c>
      <c r="E8581" t="inlineStr">
        <is>
          <t>ÄLVDALEN</t>
        </is>
      </c>
      <c r="G8581" t="n">
        <v>4.8</v>
      </c>
      <c r="H8581" t="n">
        <v>0</v>
      </c>
      <c r="I8581" t="n">
        <v>0</v>
      </c>
      <c r="J8581" t="n">
        <v>0</v>
      </c>
      <c r="K8581" t="n">
        <v>0</v>
      </c>
      <c r="L8581" t="n">
        <v>0</v>
      </c>
      <c r="M8581" t="n">
        <v>0</v>
      </c>
      <c r="N8581" t="n">
        <v>0</v>
      </c>
      <c r="O8581" t="n">
        <v>0</v>
      </c>
      <c r="P8581" t="n">
        <v>0</v>
      </c>
      <c r="Q8581" t="n">
        <v>0</v>
      </c>
      <c r="R8581" s="2" t="inlineStr"/>
    </row>
    <row r="8582" ht="15" customHeight="1">
      <c r="A8582" t="inlineStr">
        <is>
          <t>A 39530-2024</t>
        </is>
      </c>
      <c r="B8582" s="1" t="n">
        <v>45551</v>
      </c>
      <c r="C8582" s="1" t="n">
        <v>46114</v>
      </c>
      <c r="D8582" t="inlineStr">
        <is>
          <t>DALARNAS LÄN</t>
        </is>
      </c>
      <c r="E8582" t="inlineStr">
        <is>
          <t>HEDEMORA</t>
        </is>
      </c>
      <c r="F8582" t="inlineStr">
        <is>
          <t>Bergvik skog väst AB</t>
        </is>
      </c>
      <c r="G8582" t="n">
        <v>13.8</v>
      </c>
      <c r="H8582" t="n">
        <v>0</v>
      </c>
      <c r="I8582" t="n">
        <v>0</v>
      </c>
      <c r="J8582" t="n">
        <v>0</v>
      </c>
      <c r="K8582" t="n">
        <v>0</v>
      </c>
      <c r="L8582" t="n">
        <v>0</v>
      </c>
      <c r="M8582" t="n">
        <v>0</v>
      </c>
      <c r="N8582" t="n">
        <v>0</v>
      </c>
      <c r="O8582" t="n">
        <v>0</v>
      </c>
      <c r="P8582" t="n">
        <v>0</v>
      </c>
      <c r="Q8582" t="n">
        <v>0</v>
      </c>
      <c r="R8582" s="2" t="inlineStr"/>
    </row>
    <row r="8583" ht="15" customHeight="1">
      <c r="A8583" t="inlineStr">
        <is>
          <t>A 6455-2026</t>
        </is>
      </c>
      <c r="B8583" s="1" t="n">
        <v>46055</v>
      </c>
      <c r="C8583" s="1" t="n">
        <v>46114</v>
      </c>
      <c r="D8583" t="inlineStr">
        <is>
          <t>DALARNAS LÄN</t>
        </is>
      </c>
      <c r="E8583" t="inlineStr">
        <is>
          <t>FALUN</t>
        </is>
      </c>
      <c r="G8583" t="n">
        <v>4.2</v>
      </c>
      <c r="H8583" t="n">
        <v>0</v>
      </c>
      <c r="I8583" t="n">
        <v>0</v>
      </c>
      <c r="J8583" t="n">
        <v>0</v>
      </c>
      <c r="K8583" t="n">
        <v>0</v>
      </c>
      <c r="L8583" t="n">
        <v>0</v>
      </c>
      <c r="M8583" t="n">
        <v>0</v>
      </c>
      <c r="N8583" t="n">
        <v>0</v>
      </c>
      <c r="O8583" t="n">
        <v>0</v>
      </c>
      <c r="P8583" t="n">
        <v>0</v>
      </c>
      <c r="Q8583" t="n">
        <v>0</v>
      </c>
      <c r="R8583" s="2" t="inlineStr"/>
    </row>
    <row r="8584" ht="15" customHeight="1">
      <c r="A8584" t="inlineStr">
        <is>
          <t>A 6456-2026</t>
        </is>
      </c>
      <c r="B8584" s="1" t="n">
        <v>46055</v>
      </c>
      <c r="C8584" s="1" t="n">
        <v>46114</v>
      </c>
      <c r="D8584" t="inlineStr">
        <is>
          <t>DALARNAS LÄN</t>
        </is>
      </c>
      <c r="E8584" t="inlineStr">
        <is>
          <t>FALUN</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39531-2024</t>
        </is>
      </c>
      <c r="B8585" s="1" t="n">
        <v>45551</v>
      </c>
      <c r="C8585" s="1" t="n">
        <v>46114</v>
      </c>
      <c r="D8585" t="inlineStr">
        <is>
          <t>DALARNAS LÄN</t>
        </is>
      </c>
      <c r="E8585" t="inlineStr">
        <is>
          <t>HEDEMORA</t>
        </is>
      </c>
      <c r="F8585" t="inlineStr">
        <is>
          <t>Bergvik skog väst AB</t>
        </is>
      </c>
      <c r="G8585" t="n">
        <v>1.9</v>
      </c>
      <c r="H8585" t="n">
        <v>0</v>
      </c>
      <c r="I8585" t="n">
        <v>0</v>
      </c>
      <c r="J8585" t="n">
        <v>0</v>
      </c>
      <c r="K8585" t="n">
        <v>0</v>
      </c>
      <c r="L8585" t="n">
        <v>0</v>
      </c>
      <c r="M8585" t="n">
        <v>0</v>
      </c>
      <c r="N8585" t="n">
        <v>0</v>
      </c>
      <c r="O8585" t="n">
        <v>0</v>
      </c>
      <c r="P8585" t="n">
        <v>0</v>
      </c>
      <c r="Q8585" t="n">
        <v>0</v>
      </c>
      <c r="R8585" s="2" t="inlineStr"/>
    </row>
    <row r="8586" ht="15" customHeight="1">
      <c r="A8586" t="inlineStr">
        <is>
          <t>A 39552-2024</t>
        </is>
      </c>
      <c r="B8586" s="1" t="n">
        <v>45551</v>
      </c>
      <c r="C8586" s="1" t="n">
        <v>46114</v>
      </c>
      <c r="D8586" t="inlineStr">
        <is>
          <t>DALARNAS LÄN</t>
        </is>
      </c>
      <c r="E8586" t="inlineStr">
        <is>
          <t>HEDEMORA</t>
        </is>
      </c>
      <c r="F8586" t="inlineStr">
        <is>
          <t>Bergvik skog väst AB</t>
        </is>
      </c>
      <c r="G8586" t="n">
        <v>24.1</v>
      </c>
      <c r="H8586" t="n">
        <v>0</v>
      </c>
      <c r="I8586" t="n">
        <v>0</v>
      </c>
      <c r="J8586" t="n">
        <v>0</v>
      </c>
      <c r="K8586" t="n">
        <v>0</v>
      </c>
      <c r="L8586" t="n">
        <v>0</v>
      </c>
      <c r="M8586" t="n">
        <v>0</v>
      </c>
      <c r="N8586" t="n">
        <v>0</v>
      </c>
      <c r="O8586" t="n">
        <v>0</v>
      </c>
      <c r="P8586" t="n">
        <v>0</v>
      </c>
      <c r="Q8586" t="n">
        <v>0</v>
      </c>
      <c r="R8586" s="2" t="inlineStr"/>
    </row>
    <row r="8587" ht="15" customHeight="1">
      <c r="A8587" t="inlineStr">
        <is>
          <t>A 13476-2026</t>
        </is>
      </c>
      <c r="B8587" s="1" t="n">
        <v>46094.57229166666</v>
      </c>
      <c r="C8587" s="1" t="n">
        <v>46114</v>
      </c>
      <c r="D8587" t="inlineStr">
        <is>
          <t>DALARNAS LÄN</t>
        </is>
      </c>
      <c r="E8587" t="inlineStr">
        <is>
          <t>MORA</t>
        </is>
      </c>
      <c r="F8587" t="inlineStr">
        <is>
          <t>Bergvik skog öst AB</t>
        </is>
      </c>
      <c r="G8587" t="n">
        <v>11.5</v>
      </c>
      <c r="H8587" t="n">
        <v>0</v>
      </c>
      <c r="I8587" t="n">
        <v>0</v>
      </c>
      <c r="J8587" t="n">
        <v>0</v>
      </c>
      <c r="K8587" t="n">
        <v>0</v>
      </c>
      <c r="L8587" t="n">
        <v>0</v>
      </c>
      <c r="M8587" t="n">
        <v>0</v>
      </c>
      <c r="N8587" t="n">
        <v>0</v>
      </c>
      <c r="O8587" t="n">
        <v>0</v>
      </c>
      <c r="P8587" t="n">
        <v>0</v>
      </c>
      <c r="Q8587" t="n">
        <v>0</v>
      </c>
      <c r="R8587" s="2" t="inlineStr"/>
    </row>
    <row r="8588" ht="15" customHeight="1">
      <c r="A8588" t="inlineStr">
        <is>
          <t>A 13483-2026</t>
        </is>
      </c>
      <c r="B8588" s="1" t="n">
        <v>46094</v>
      </c>
      <c r="C8588" s="1" t="n">
        <v>46114</v>
      </c>
      <c r="D8588" t="inlineStr">
        <is>
          <t>DALARNAS LÄN</t>
        </is>
      </c>
      <c r="E8588" t="inlineStr">
        <is>
          <t>MORA</t>
        </is>
      </c>
      <c r="G8588" t="n">
        <v>4</v>
      </c>
      <c r="H8588" t="n">
        <v>0</v>
      </c>
      <c r="I8588" t="n">
        <v>0</v>
      </c>
      <c r="J8588" t="n">
        <v>0</v>
      </c>
      <c r="K8588" t="n">
        <v>0</v>
      </c>
      <c r="L8588" t="n">
        <v>0</v>
      </c>
      <c r="M8588" t="n">
        <v>0</v>
      </c>
      <c r="N8588" t="n">
        <v>0</v>
      </c>
      <c r="O8588" t="n">
        <v>0</v>
      </c>
      <c r="P8588" t="n">
        <v>0</v>
      </c>
      <c r="Q8588" t="n">
        <v>0</v>
      </c>
      <c r="R8588" s="2" t="inlineStr"/>
    </row>
    <row r="8589" ht="15" customHeight="1">
      <c r="A8589" t="inlineStr">
        <is>
          <t>A 6301-2026</t>
        </is>
      </c>
      <c r="B8589" s="1" t="n">
        <v>46055.56746527777</v>
      </c>
      <c r="C8589" s="1" t="n">
        <v>46114</v>
      </c>
      <c r="D8589" t="inlineStr">
        <is>
          <t>DALARNAS LÄN</t>
        </is>
      </c>
      <c r="E8589" t="inlineStr">
        <is>
          <t>FALUN</t>
        </is>
      </c>
      <c r="G8589" t="n">
        <v>12.4</v>
      </c>
      <c r="H8589" t="n">
        <v>0</v>
      </c>
      <c r="I8589" t="n">
        <v>0</v>
      </c>
      <c r="J8589" t="n">
        <v>0</v>
      </c>
      <c r="K8589" t="n">
        <v>0</v>
      </c>
      <c r="L8589" t="n">
        <v>0</v>
      </c>
      <c r="M8589" t="n">
        <v>0</v>
      </c>
      <c r="N8589" t="n">
        <v>0</v>
      </c>
      <c r="O8589" t="n">
        <v>0</v>
      </c>
      <c r="P8589" t="n">
        <v>0</v>
      </c>
      <c r="Q8589" t="n">
        <v>0</v>
      </c>
      <c r="R8589" s="2" t="inlineStr"/>
    </row>
    <row r="8590" ht="15" customHeight="1">
      <c r="A8590" t="inlineStr">
        <is>
          <t>A 6303-2026</t>
        </is>
      </c>
      <c r="B8590" s="1" t="n">
        <v>46055.56982638889</v>
      </c>
      <c r="C8590" s="1" t="n">
        <v>46114</v>
      </c>
      <c r="D8590" t="inlineStr">
        <is>
          <t>DALARNAS LÄN</t>
        </is>
      </c>
      <c r="E8590" t="inlineStr">
        <is>
          <t>GAGNEF</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6245-2026</t>
        </is>
      </c>
      <c r="B8591" s="1" t="n">
        <v>46055.4678125</v>
      </c>
      <c r="C8591" s="1" t="n">
        <v>46114</v>
      </c>
      <c r="D8591" t="inlineStr">
        <is>
          <t>DALARNAS LÄN</t>
        </is>
      </c>
      <c r="E8591" t="inlineStr">
        <is>
          <t>LEKSAND</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9437-2024</t>
        </is>
      </c>
      <c r="B8592" s="1" t="n">
        <v>45359.4921875</v>
      </c>
      <c r="C8592" s="1" t="n">
        <v>46114</v>
      </c>
      <c r="D8592" t="inlineStr">
        <is>
          <t>DALARNAS LÄN</t>
        </is>
      </c>
      <c r="E8592" t="inlineStr">
        <is>
          <t>VANSBRO</t>
        </is>
      </c>
      <c r="G8592" t="n">
        <v>8.4</v>
      </c>
      <c r="H8592" t="n">
        <v>0</v>
      </c>
      <c r="I8592" t="n">
        <v>0</v>
      </c>
      <c r="J8592" t="n">
        <v>0</v>
      </c>
      <c r="K8592" t="n">
        <v>0</v>
      </c>
      <c r="L8592" t="n">
        <v>0</v>
      </c>
      <c r="M8592" t="n">
        <v>0</v>
      </c>
      <c r="N8592" t="n">
        <v>0</v>
      </c>
      <c r="O8592" t="n">
        <v>0</v>
      </c>
      <c r="P8592" t="n">
        <v>0</v>
      </c>
      <c r="Q8592" t="n">
        <v>0</v>
      </c>
      <c r="R8592" s="2" t="inlineStr"/>
    </row>
    <row r="8593" ht="15" customHeight="1">
      <c r="A8593" t="inlineStr">
        <is>
          <t>A 6412-2026</t>
        </is>
      </c>
      <c r="B8593" s="1" t="n">
        <v>46055.67755787037</v>
      </c>
      <c r="C8593" s="1" t="n">
        <v>46114</v>
      </c>
      <c r="D8593" t="inlineStr">
        <is>
          <t>DALARNAS LÄN</t>
        </is>
      </c>
      <c r="E8593" t="inlineStr">
        <is>
          <t>FALUN</t>
        </is>
      </c>
      <c r="G8593" t="n">
        <v>6.9</v>
      </c>
      <c r="H8593" t="n">
        <v>0</v>
      </c>
      <c r="I8593" t="n">
        <v>0</v>
      </c>
      <c r="J8593" t="n">
        <v>0</v>
      </c>
      <c r="K8593" t="n">
        <v>0</v>
      </c>
      <c r="L8593" t="n">
        <v>0</v>
      </c>
      <c r="M8593" t="n">
        <v>0</v>
      </c>
      <c r="N8593" t="n">
        <v>0</v>
      </c>
      <c r="O8593" t="n">
        <v>0</v>
      </c>
      <c r="P8593" t="n">
        <v>0</v>
      </c>
      <c r="Q8593" t="n">
        <v>0</v>
      </c>
      <c r="R8593" s="2" t="inlineStr"/>
    </row>
    <row r="8594" ht="15" customHeight="1">
      <c r="A8594" t="inlineStr">
        <is>
          <t>A 6324-2026</t>
        </is>
      </c>
      <c r="B8594" s="1" t="n">
        <v>46055.58623842592</v>
      </c>
      <c r="C8594" s="1" t="n">
        <v>46114</v>
      </c>
      <c r="D8594" t="inlineStr">
        <is>
          <t>DALARNAS LÄN</t>
        </is>
      </c>
      <c r="E8594" t="inlineStr">
        <is>
          <t>BORLÄNGE</t>
        </is>
      </c>
      <c r="G8594" t="n">
        <v>2.5</v>
      </c>
      <c r="H8594" t="n">
        <v>0</v>
      </c>
      <c r="I8594" t="n">
        <v>0</v>
      </c>
      <c r="J8594" t="n">
        <v>0</v>
      </c>
      <c r="K8594" t="n">
        <v>0</v>
      </c>
      <c r="L8594" t="n">
        <v>0</v>
      </c>
      <c r="M8594" t="n">
        <v>0</v>
      </c>
      <c r="N8594" t="n">
        <v>0</v>
      </c>
      <c r="O8594" t="n">
        <v>0</v>
      </c>
      <c r="P8594" t="n">
        <v>0</v>
      </c>
      <c r="Q8594" t="n">
        <v>0</v>
      </c>
      <c r="R8594" s="2" t="inlineStr"/>
    </row>
    <row r="8595" ht="15" customHeight="1">
      <c r="A8595" t="inlineStr">
        <is>
          <t>A 6337-2026</t>
        </is>
      </c>
      <c r="B8595" s="1" t="n">
        <v>46055.59717592593</v>
      </c>
      <c r="C8595" s="1" t="n">
        <v>46114</v>
      </c>
      <c r="D8595" t="inlineStr">
        <is>
          <t>DALARNAS LÄN</t>
        </is>
      </c>
      <c r="E8595" t="inlineStr">
        <is>
          <t>AVESTA</t>
        </is>
      </c>
      <c r="G8595" t="n">
        <v>2.2</v>
      </c>
      <c r="H8595" t="n">
        <v>0</v>
      </c>
      <c r="I8595" t="n">
        <v>0</v>
      </c>
      <c r="J8595" t="n">
        <v>0</v>
      </c>
      <c r="K8595" t="n">
        <v>0</v>
      </c>
      <c r="L8595" t="n">
        <v>0</v>
      </c>
      <c r="M8595" t="n">
        <v>0</v>
      </c>
      <c r="N8595" t="n">
        <v>0</v>
      </c>
      <c r="O8595" t="n">
        <v>0</v>
      </c>
      <c r="P8595" t="n">
        <v>0</v>
      </c>
      <c r="Q8595" t="n">
        <v>0</v>
      </c>
      <c r="R8595" s="2" t="inlineStr"/>
    </row>
    <row r="8596" ht="15" customHeight="1">
      <c r="A8596" t="inlineStr">
        <is>
          <t>A 6378-2026</t>
        </is>
      </c>
      <c r="B8596" s="1" t="n">
        <v>46055</v>
      </c>
      <c r="C8596" s="1" t="n">
        <v>46114</v>
      </c>
      <c r="D8596" t="inlineStr">
        <is>
          <t>DALARNAS LÄN</t>
        </is>
      </c>
      <c r="E8596" t="inlineStr">
        <is>
          <t>HEDEMORA</t>
        </is>
      </c>
      <c r="F8596" t="inlineStr">
        <is>
          <t>Sveaskog</t>
        </is>
      </c>
      <c r="G8596" t="n">
        <v>2.3</v>
      </c>
      <c r="H8596" t="n">
        <v>0</v>
      </c>
      <c r="I8596" t="n">
        <v>0</v>
      </c>
      <c r="J8596" t="n">
        <v>0</v>
      </c>
      <c r="K8596" t="n">
        <v>0</v>
      </c>
      <c r="L8596" t="n">
        <v>0</v>
      </c>
      <c r="M8596" t="n">
        <v>0</v>
      </c>
      <c r="N8596" t="n">
        <v>0</v>
      </c>
      <c r="O8596" t="n">
        <v>0</v>
      </c>
      <c r="P8596" t="n">
        <v>0</v>
      </c>
      <c r="Q8596" t="n">
        <v>0</v>
      </c>
      <c r="R8596" s="2" t="inlineStr"/>
    </row>
    <row r="8597" ht="15" customHeight="1">
      <c r="A8597" t="inlineStr">
        <is>
          <t>A 13102-2026</t>
        </is>
      </c>
      <c r="B8597" s="1" t="n">
        <v>46093</v>
      </c>
      <c r="C8597" s="1" t="n">
        <v>46114</v>
      </c>
      <c r="D8597" t="inlineStr">
        <is>
          <t>DALARNAS LÄN</t>
        </is>
      </c>
      <c r="E8597" t="inlineStr">
        <is>
          <t>FALUN</t>
        </is>
      </c>
      <c r="F8597" t="inlineStr">
        <is>
          <t>Allmännings- och besparingsskogar</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1973-2022</t>
        </is>
      </c>
      <c r="B8598" s="1" t="n">
        <v>44575</v>
      </c>
      <c r="C8598" s="1" t="n">
        <v>46114</v>
      </c>
      <c r="D8598" t="inlineStr">
        <is>
          <t>DALARNAS LÄN</t>
        </is>
      </c>
      <c r="E8598" t="inlineStr">
        <is>
          <t>HEDEMORA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6399-2026</t>
        </is>
      </c>
      <c r="B8599" s="1" t="n">
        <v>46055.65700231482</v>
      </c>
      <c r="C8599" s="1" t="n">
        <v>46114</v>
      </c>
      <c r="D8599" t="inlineStr">
        <is>
          <t>DALARNAS LÄN</t>
        </is>
      </c>
      <c r="E8599" t="inlineStr">
        <is>
          <t>BORLÄNGE</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6211-2026</t>
        </is>
      </c>
      <c r="B8600" s="1" t="n">
        <v>46055.42453703703</v>
      </c>
      <c r="C8600" s="1" t="n">
        <v>46114</v>
      </c>
      <c r="D8600" t="inlineStr">
        <is>
          <t>DALARNAS LÄN</t>
        </is>
      </c>
      <c r="E8600" t="inlineStr">
        <is>
          <t>FALUN</t>
        </is>
      </c>
      <c r="G8600" t="n">
        <v>5.4</v>
      </c>
      <c r="H8600" t="n">
        <v>0</v>
      </c>
      <c r="I8600" t="n">
        <v>0</v>
      </c>
      <c r="J8600" t="n">
        <v>0</v>
      </c>
      <c r="K8600" t="n">
        <v>0</v>
      </c>
      <c r="L8600" t="n">
        <v>0</v>
      </c>
      <c r="M8600" t="n">
        <v>0</v>
      </c>
      <c r="N8600" t="n">
        <v>0</v>
      </c>
      <c r="O8600" t="n">
        <v>0</v>
      </c>
      <c r="P8600" t="n">
        <v>0</v>
      </c>
      <c r="Q8600" t="n">
        <v>0</v>
      </c>
      <c r="R8600" s="2" t="inlineStr"/>
    </row>
    <row r="8601" ht="15" customHeight="1">
      <c r="A8601" t="inlineStr">
        <is>
          <t>A 6231-2026</t>
        </is>
      </c>
      <c r="B8601" s="1" t="n">
        <v>46055.4462037037</v>
      </c>
      <c r="C8601" s="1" t="n">
        <v>46114</v>
      </c>
      <c r="D8601" t="inlineStr">
        <is>
          <t>DALARNAS LÄN</t>
        </is>
      </c>
      <c r="E8601" t="inlineStr">
        <is>
          <t>FALUN</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13262-2026</t>
        </is>
      </c>
      <c r="B8602" s="1" t="n">
        <v>46093</v>
      </c>
      <c r="C8602" s="1" t="n">
        <v>46114</v>
      </c>
      <c r="D8602" t="inlineStr">
        <is>
          <t>DALARNAS LÄN</t>
        </is>
      </c>
      <c r="E8602" t="inlineStr">
        <is>
          <t>FALUN</t>
        </is>
      </c>
      <c r="G8602" t="n">
        <v>3.8</v>
      </c>
      <c r="H8602" t="n">
        <v>0</v>
      </c>
      <c r="I8602" t="n">
        <v>0</v>
      </c>
      <c r="J8602" t="n">
        <v>0</v>
      </c>
      <c r="K8602" t="n">
        <v>0</v>
      </c>
      <c r="L8602" t="n">
        <v>0</v>
      </c>
      <c r="M8602" t="n">
        <v>0</v>
      </c>
      <c r="N8602" t="n">
        <v>0</v>
      </c>
      <c r="O8602" t="n">
        <v>0</v>
      </c>
      <c r="P8602" t="n">
        <v>0</v>
      </c>
      <c r="Q8602" t="n">
        <v>0</v>
      </c>
      <c r="R8602" s="2" t="inlineStr"/>
    </row>
    <row r="8603" ht="15" customHeight="1">
      <c r="A8603" t="inlineStr">
        <is>
          <t>A 11455-2026</t>
        </is>
      </c>
      <c r="B8603" s="1" t="n">
        <v>46083</v>
      </c>
      <c r="C8603" s="1" t="n">
        <v>46114</v>
      </c>
      <c r="D8603" t="inlineStr">
        <is>
          <t>DALARNAS LÄN</t>
        </is>
      </c>
      <c r="E8603" t="inlineStr">
        <is>
          <t>FALUN</t>
        </is>
      </c>
      <c r="G8603" t="n">
        <v>3</v>
      </c>
      <c r="H8603" t="n">
        <v>0</v>
      </c>
      <c r="I8603" t="n">
        <v>0</v>
      </c>
      <c r="J8603" t="n">
        <v>0</v>
      </c>
      <c r="K8603" t="n">
        <v>0</v>
      </c>
      <c r="L8603" t="n">
        <v>0</v>
      </c>
      <c r="M8603" t="n">
        <v>0</v>
      </c>
      <c r="N8603" t="n">
        <v>0</v>
      </c>
      <c r="O8603" t="n">
        <v>0</v>
      </c>
      <c r="P8603" t="n">
        <v>0</v>
      </c>
      <c r="Q8603" t="n">
        <v>0</v>
      </c>
      <c r="R8603" s="2" t="inlineStr"/>
    </row>
    <row r="8604" ht="15" customHeight="1">
      <c r="A8604" t="inlineStr">
        <is>
          <t>A 13316-2026</t>
        </is>
      </c>
      <c r="B8604" s="1" t="n">
        <v>46094.34741898148</v>
      </c>
      <c r="C8604" s="1" t="n">
        <v>46114</v>
      </c>
      <c r="D8604" t="inlineStr">
        <is>
          <t>DALARNAS LÄN</t>
        </is>
      </c>
      <c r="E8604" t="inlineStr">
        <is>
          <t>ORSA</t>
        </is>
      </c>
      <c r="F8604" t="inlineStr">
        <is>
          <t>Bergvik skog öst AB</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41556-2021</t>
        </is>
      </c>
      <c r="B8605" s="1" t="n">
        <v>44425</v>
      </c>
      <c r="C8605" s="1" t="n">
        <v>46114</v>
      </c>
      <c r="D8605" t="inlineStr">
        <is>
          <t>DALARNAS LÄN</t>
        </is>
      </c>
      <c r="E8605" t="inlineStr">
        <is>
          <t>SÄTER</t>
        </is>
      </c>
      <c r="G8605" t="n">
        <v>10.8</v>
      </c>
      <c r="H8605" t="n">
        <v>0</v>
      </c>
      <c r="I8605" t="n">
        <v>0</v>
      </c>
      <c r="J8605" t="n">
        <v>0</v>
      </c>
      <c r="K8605" t="n">
        <v>0</v>
      </c>
      <c r="L8605" t="n">
        <v>0</v>
      </c>
      <c r="M8605" t="n">
        <v>0</v>
      </c>
      <c r="N8605" t="n">
        <v>0</v>
      </c>
      <c r="O8605" t="n">
        <v>0</v>
      </c>
      <c r="P8605" t="n">
        <v>0</v>
      </c>
      <c r="Q8605" t="n">
        <v>0</v>
      </c>
      <c r="R8605" s="2" t="inlineStr"/>
    </row>
    <row r="8606" ht="15" customHeight="1">
      <c r="A8606" t="inlineStr">
        <is>
          <t>A 6029-2026</t>
        </is>
      </c>
      <c r="B8606" s="1" t="n">
        <v>46052</v>
      </c>
      <c r="C8606" s="1" t="n">
        <v>46114</v>
      </c>
      <c r="D8606" t="inlineStr">
        <is>
          <t>DALARNAS LÄN</t>
        </is>
      </c>
      <c r="E8606" t="inlineStr">
        <is>
          <t>FALUN</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11176-2026</t>
        </is>
      </c>
      <c r="B8607" s="1" t="n">
        <v>46080</v>
      </c>
      <c r="C8607" s="1" t="n">
        <v>46114</v>
      </c>
      <c r="D8607" t="inlineStr">
        <is>
          <t>DALARNAS LÄN</t>
        </is>
      </c>
      <c r="E8607" t="inlineStr">
        <is>
          <t>MORA</t>
        </is>
      </c>
      <c r="G8607" t="n">
        <v>1.3</v>
      </c>
      <c r="H8607" t="n">
        <v>0</v>
      </c>
      <c r="I8607" t="n">
        <v>0</v>
      </c>
      <c r="J8607" t="n">
        <v>0</v>
      </c>
      <c r="K8607" t="n">
        <v>0</v>
      </c>
      <c r="L8607" t="n">
        <v>0</v>
      </c>
      <c r="M8607" t="n">
        <v>0</v>
      </c>
      <c r="N8607" t="n">
        <v>0</v>
      </c>
      <c r="O8607" t="n">
        <v>0</v>
      </c>
      <c r="P8607" t="n">
        <v>0</v>
      </c>
      <c r="Q8607" t="n">
        <v>0</v>
      </c>
      <c r="R8607" s="2" t="inlineStr"/>
    </row>
    <row r="8608" ht="15" customHeight="1">
      <c r="A8608" t="inlineStr">
        <is>
          <t>A 24640-2024</t>
        </is>
      </c>
      <c r="B8608" s="1" t="n">
        <v>45460.55043981481</v>
      </c>
      <c r="C8608" s="1" t="n">
        <v>46114</v>
      </c>
      <c r="D8608" t="inlineStr">
        <is>
          <t>DALARNAS LÄN</t>
        </is>
      </c>
      <c r="E8608" t="inlineStr">
        <is>
          <t>FALUN</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12805-2026</t>
        </is>
      </c>
      <c r="B8609" s="1" t="n">
        <v>46092</v>
      </c>
      <c r="C8609" s="1" t="n">
        <v>46114</v>
      </c>
      <c r="D8609" t="inlineStr">
        <is>
          <t>DALARNAS LÄN</t>
        </is>
      </c>
      <c r="E8609" t="inlineStr">
        <is>
          <t>ORSA</t>
        </is>
      </c>
      <c r="G8609" t="n">
        <v>0.6</v>
      </c>
      <c r="H8609" t="n">
        <v>0</v>
      </c>
      <c r="I8609" t="n">
        <v>0</v>
      </c>
      <c r="J8609" t="n">
        <v>0</v>
      </c>
      <c r="K8609" t="n">
        <v>0</v>
      </c>
      <c r="L8609" t="n">
        <v>0</v>
      </c>
      <c r="M8609" t="n">
        <v>0</v>
      </c>
      <c r="N8609" t="n">
        <v>0</v>
      </c>
      <c r="O8609" t="n">
        <v>0</v>
      </c>
      <c r="P8609" t="n">
        <v>0</v>
      </c>
      <c r="Q8609" t="n">
        <v>0</v>
      </c>
      <c r="R8609" s="2" t="inlineStr"/>
    </row>
    <row r="8610" ht="15" customHeight="1">
      <c r="A8610" t="inlineStr">
        <is>
          <t>A 5989-2026</t>
        </is>
      </c>
      <c r="B8610" s="1" t="n">
        <v>46052.56319444445</v>
      </c>
      <c r="C8610" s="1" t="n">
        <v>46114</v>
      </c>
      <c r="D8610" t="inlineStr">
        <is>
          <t>DALARNAS LÄN</t>
        </is>
      </c>
      <c r="E8610" t="inlineStr">
        <is>
          <t>LEKSAND</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5916-2026</t>
        </is>
      </c>
      <c r="B8611" s="1" t="n">
        <v>46052.45172453704</v>
      </c>
      <c r="C8611" s="1" t="n">
        <v>46114</v>
      </c>
      <c r="D8611" t="inlineStr">
        <is>
          <t>DALARNAS LÄN</t>
        </is>
      </c>
      <c r="E8611" t="inlineStr">
        <is>
          <t>FALUN</t>
        </is>
      </c>
      <c r="G8611" t="n">
        <v>0.4</v>
      </c>
      <c r="H8611" t="n">
        <v>0</v>
      </c>
      <c r="I8611" t="n">
        <v>0</v>
      </c>
      <c r="J8611" t="n">
        <v>0</v>
      </c>
      <c r="K8611" t="n">
        <v>0</v>
      </c>
      <c r="L8611" t="n">
        <v>0</v>
      </c>
      <c r="M8611" t="n">
        <v>0</v>
      </c>
      <c r="N8611" t="n">
        <v>0</v>
      </c>
      <c r="O8611" t="n">
        <v>0</v>
      </c>
      <c r="P8611" t="n">
        <v>0</v>
      </c>
      <c r="Q8611" t="n">
        <v>0</v>
      </c>
      <c r="R8611" s="2" t="inlineStr"/>
    </row>
    <row r="8612" ht="15" customHeight="1">
      <c r="A8612" t="inlineStr">
        <is>
          <t>A 6329-2026</t>
        </is>
      </c>
      <c r="B8612" s="1" t="n">
        <v>46055.58894675926</v>
      </c>
      <c r="C8612" s="1" t="n">
        <v>46114</v>
      </c>
      <c r="D8612" t="inlineStr">
        <is>
          <t>DALARNAS LÄN</t>
        </is>
      </c>
      <c r="E8612" t="inlineStr">
        <is>
          <t>AVESTA</t>
        </is>
      </c>
      <c r="G8612" t="n">
        <v>0.6</v>
      </c>
      <c r="H8612" t="n">
        <v>0</v>
      </c>
      <c r="I8612" t="n">
        <v>0</v>
      </c>
      <c r="J8612" t="n">
        <v>0</v>
      </c>
      <c r="K8612" t="n">
        <v>0</v>
      </c>
      <c r="L8612" t="n">
        <v>0</v>
      </c>
      <c r="M8612" t="n">
        <v>0</v>
      </c>
      <c r="N8612" t="n">
        <v>0</v>
      </c>
      <c r="O8612" t="n">
        <v>0</v>
      </c>
      <c r="P8612" t="n">
        <v>0</v>
      </c>
      <c r="Q8612" t="n">
        <v>0</v>
      </c>
      <c r="R8612" s="2" t="inlineStr"/>
    </row>
    <row r="8613" ht="15" customHeight="1">
      <c r="A8613" t="inlineStr">
        <is>
          <t>A 13495-2026</t>
        </is>
      </c>
      <c r="B8613" s="1" t="n">
        <v>46094.58943287037</v>
      </c>
      <c r="C8613" s="1" t="n">
        <v>46114</v>
      </c>
      <c r="D8613" t="inlineStr">
        <is>
          <t>DALARNAS LÄN</t>
        </is>
      </c>
      <c r="E8613" t="inlineStr">
        <is>
          <t>VANSBRO</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13506-2026</t>
        </is>
      </c>
      <c r="B8614" s="1" t="n">
        <v>46094.59888888889</v>
      </c>
      <c r="C8614" s="1" t="n">
        <v>46114</v>
      </c>
      <c r="D8614" t="inlineStr">
        <is>
          <t>DALARNAS LÄN</t>
        </is>
      </c>
      <c r="E8614" t="inlineStr">
        <is>
          <t>VANSBRO</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13535-2026</t>
        </is>
      </c>
      <c r="B8615" s="1" t="n">
        <v>46094.66163194444</v>
      </c>
      <c r="C8615" s="1" t="n">
        <v>46114</v>
      </c>
      <c r="D8615" t="inlineStr">
        <is>
          <t>DALARNAS LÄN</t>
        </is>
      </c>
      <c r="E8615" t="inlineStr">
        <is>
          <t>SMEDJEBACKEN</t>
        </is>
      </c>
      <c r="F8615" t="inlineStr">
        <is>
          <t>Övriga Aktiebolag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12053-2026</t>
        </is>
      </c>
      <c r="B8616" s="1" t="n">
        <v>46086</v>
      </c>
      <c r="C8616" s="1" t="n">
        <v>46114</v>
      </c>
      <c r="D8616" t="inlineStr">
        <is>
          <t>DALARNAS LÄN</t>
        </is>
      </c>
      <c r="E8616" t="inlineStr">
        <is>
          <t>RÄTTVIK</t>
        </is>
      </c>
      <c r="G8616" t="n">
        <v>1.1</v>
      </c>
      <c r="H8616" t="n">
        <v>0</v>
      </c>
      <c r="I8616" t="n">
        <v>0</v>
      </c>
      <c r="J8616" t="n">
        <v>0</v>
      </c>
      <c r="K8616" t="n">
        <v>0</v>
      </c>
      <c r="L8616" t="n">
        <v>0</v>
      </c>
      <c r="M8616" t="n">
        <v>0</v>
      </c>
      <c r="N8616" t="n">
        <v>0</v>
      </c>
      <c r="O8616" t="n">
        <v>0</v>
      </c>
      <c r="P8616" t="n">
        <v>0</v>
      </c>
      <c r="Q8616" t="n">
        <v>0</v>
      </c>
      <c r="R8616" s="2" t="inlineStr"/>
    </row>
    <row r="8617" ht="15" customHeight="1">
      <c r="A8617" t="inlineStr">
        <is>
          <t>A 1308-2026</t>
        </is>
      </c>
      <c r="B8617" s="1" t="n">
        <v>46031</v>
      </c>
      <c r="C8617" s="1" t="n">
        <v>46114</v>
      </c>
      <c r="D8617" t="inlineStr">
        <is>
          <t>DALARNAS LÄN</t>
        </is>
      </c>
      <c r="E8617" t="inlineStr">
        <is>
          <t>FALUN</t>
        </is>
      </c>
      <c r="G8617" t="n">
        <v>9.5</v>
      </c>
      <c r="H8617" t="n">
        <v>0</v>
      </c>
      <c r="I8617" t="n">
        <v>0</v>
      </c>
      <c r="J8617" t="n">
        <v>0</v>
      </c>
      <c r="K8617" t="n">
        <v>0</v>
      </c>
      <c r="L8617" t="n">
        <v>0</v>
      </c>
      <c r="M8617" t="n">
        <v>0</v>
      </c>
      <c r="N8617" t="n">
        <v>0</v>
      </c>
      <c r="O8617" t="n">
        <v>0</v>
      </c>
      <c r="P8617" t="n">
        <v>0</v>
      </c>
      <c r="Q8617" t="n">
        <v>0</v>
      </c>
      <c r="R8617" s="2" t="inlineStr"/>
    </row>
    <row r="8618" ht="15" customHeight="1">
      <c r="A8618" t="inlineStr">
        <is>
          <t>A 12184-2026</t>
        </is>
      </c>
      <c r="B8618" s="1" t="n">
        <v>46086</v>
      </c>
      <c r="C8618" s="1" t="n">
        <v>46114</v>
      </c>
      <c r="D8618" t="inlineStr">
        <is>
          <t>DALARNAS LÄN</t>
        </is>
      </c>
      <c r="E8618" t="inlineStr">
        <is>
          <t>SÄTER</t>
        </is>
      </c>
      <c r="F8618" t="inlineStr">
        <is>
          <t>Kyrkan</t>
        </is>
      </c>
      <c r="G8618" t="n">
        <v>3.1</v>
      </c>
      <c r="H8618" t="n">
        <v>0</v>
      </c>
      <c r="I8618" t="n">
        <v>0</v>
      </c>
      <c r="J8618" t="n">
        <v>0</v>
      </c>
      <c r="K8618" t="n">
        <v>0</v>
      </c>
      <c r="L8618" t="n">
        <v>0</v>
      </c>
      <c r="M8618" t="n">
        <v>0</v>
      </c>
      <c r="N8618" t="n">
        <v>0</v>
      </c>
      <c r="O8618" t="n">
        <v>0</v>
      </c>
      <c r="P8618" t="n">
        <v>0</v>
      </c>
      <c r="Q8618" t="n">
        <v>0</v>
      </c>
      <c r="R8618" s="2" t="inlineStr"/>
    </row>
    <row r="8619" ht="15" customHeight="1">
      <c r="A8619" t="inlineStr">
        <is>
          <t>A 5835-2026</t>
        </is>
      </c>
      <c r="B8619" s="1" t="n">
        <v>46052</v>
      </c>
      <c r="C8619" s="1" t="n">
        <v>46114</v>
      </c>
      <c r="D8619" t="inlineStr">
        <is>
          <t>DALARNAS LÄN</t>
        </is>
      </c>
      <c r="E8619" t="inlineStr">
        <is>
          <t>FALUN</t>
        </is>
      </c>
      <c r="G8619" t="n">
        <v>10</v>
      </c>
      <c r="H8619" t="n">
        <v>0</v>
      </c>
      <c r="I8619" t="n">
        <v>0</v>
      </c>
      <c r="J8619" t="n">
        <v>0</v>
      </c>
      <c r="K8619" t="n">
        <v>0</v>
      </c>
      <c r="L8619" t="n">
        <v>0</v>
      </c>
      <c r="M8619" t="n">
        <v>0</v>
      </c>
      <c r="N8619" t="n">
        <v>0</v>
      </c>
      <c r="O8619" t="n">
        <v>0</v>
      </c>
      <c r="P8619" t="n">
        <v>0</v>
      </c>
      <c r="Q8619" t="n">
        <v>0</v>
      </c>
      <c r="R8619" s="2" t="inlineStr"/>
    </row>
    <row r="8620" ht="15" customHeight="1">
      <c r="A8620" t="inlineStr">
        <is>
          <t>A 61871-2024</t>
        </is>
      </c>
      <c r="B8620" s="1" t="n">
        <v>45651.8659375</v>
      </c>
      <c r="C8620" s="1" t="n">
        <v>46114</v>
      </c>
      <c r="D8620" t="inlineStr">
        <is>
          <t>DALARNAS LÄN</t>
        </is>
      </c>
      <c r="E8620" t="inlineStr">
        <is>
          <t>GAGNEF</t>
        </is>
      </c>
      <c r="F8620" t="inlineStr">
        <is>
          <t>Bergvik skog väst AB</t>
        </is>
      </c>
      <c r="G8620" t="n">
        <v>10</v>
      </c>
      <c r="H8620" t="n">
        <v>0</v>
      </c>
      <c r="I8620" t="n">
        <v>0</v>
      </c>
      <c r="J8620" t="n">
        <v>0</v>
      </c>
      <c r="K8620" t="n">
        <v>0</v>
      </c>
      <c r="L8620" t="n">
        <v>0</v>
      </c>
      <c r="M8620" t="n">
        <v>0</v>
      </c>
      <c r="N8620" t="n">
        <v>0</v>
      </c>
      <c r="O8620" t="n">
        <v>0</v>
      </c>
      <c r="P8620" t="n">
        <v>0</v>
      </c>
      <c r="Q8620" t="n">
        <v>0</v>
      </c>
      <c r="R8620" s="2" t="inlineStr"/>
    </row>
    <row r="8621" ht="15" customHeight="1">
      <c r="A8621" t="inlineStr">
        <is>
          <t>A 6069-2026</t>
        </is>
      </c>
      <c r="B8621" s="1" t="n">
        <v>46052</v>
      </c>
      <c r="C8621" s="1" t="n">
        <v>46114</v>
      </c>
      <c r="D8621" t="inlineStr">
        <is>
          <t>DALARNAS LÄN</t>
        </is>
      </c>
      <c r="E8621" t="inlineStr">
        <is>
          <t>FALUN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11330-2026</t>
        </is>
      </c>
      <c r="B8622" s="1" t="n">
        <v>46081</v>
      </c>
      <c r="C8622" s="1" t="n">
        <v>46114</v>
      </c>
      <c r="D8622" t="inlineStr">
        <is>
          <t>DALARNAS LÄN</t>
        </is>
      </c>
      <c r="E8622" t="inlineStr">
        <is>
          <t>FALUN</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11514-2024</t>
        </is>
      </c>
      <c r="B8623" s="1" t="n">
        <v>45372</v>
      </c>
      <c r="C8623" s="1" t="n">
        <v>46114</v>
      </c>
      <c r="D8623" t="inlineStr">
        <is>
          <t>DALARNAS LÄN</t>
        </is>
      </c>
      <c r="E8623" t="inlineStr">
        <is>
          <t>SMEDJEBACKEN</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13570-2026</t>
        </is>
      </c>
      <c r="B8624" s="1" t="n">
        <v>46095.57178240741</v>
      </c>
      <c r="C8624" s="1" t="n">
        <v>46114</v>
      </c>
      <c r="D8624" t="inlineStr">
        <is>
          <t>DALARNAS LÄN</t>
        </is>
      </c>
      <c r="E8624" t="inlineStr">
        <is>
          <t>BORLÄNGE</t>
        </is>
      </c>
      <c r="G8624" t="n">
        <v>22.7</v>
      </c>
      <c r="H8624" t="n">
        <v>0</v>
      </c>
      <c r="I8624" t="n">
        <v>0</v>
      </c>
      <c r="J8624" t="n">
        <v>0</v>
      </c>
      <c r="K8624" t="n">
        <v>0</v>
      </c>
      <c r="L8624" t="n">
        <v>0</v>
      </c>
      <c r="M8624" t="n">
        <v>0</v>
      </c>
      <c r="N8624" t="n">
        <v>0</v>
      </c>
      <c r="O8624" t="n">
        <v>0</v>
      </c>
      <c r="P8624" t="n">
        <v>0</v>
      </c>
      <c r="Q8624" t="n">
        <v>0</v>
      </c>
      <c r="R8624" s="2" t="inlineStr"/>
    </row>
    <row r="8625" ht="15" customHeight="1">
      <c r="A8625" t="inlineStr">
        <is>
          <t>A 6284-2026</t>
        </is>
      </c>
      <c r="B8625" s="1" t="n">
        <v>46055.54618055555</v>
      </c>
      <c r="C8625" s="1" t="n">
        <v>46114</v>
      </c>
      <c r="D8625" t="inlineStr">
        <is>
          <t>DALARNAS LÄN</t>
        </is>
      </c>
      <c r="E8625" t="inlineStr">
        <is>
          <t>FALUN</t>
        </is>
      </c>
      <c r="G8625" t="n">
        <v>7.5</v>
      </c>
      <c r="H8625" t="n">
        <v>0</v>
      </c>
      <c r="I8625" t="n">
        <v>0</v>
      </c>
      <c r="J8625" t="n">
        <v>0</v>
      </c>
      <c r="K8625" t="n">
        <v>0</v>
      </c>
      <c r="L8625" t="n">
        <v>0</v>
      </c>
      <c r="M8625" t="n">
        <v>0</v>
      </c>
      <c r="N8625" t="n">
        <v>0</v>
      </c>
      <c r="O8625" t="n">
        <v>0</v>
      </c>
      <c r="P8625" t="n">
        <v>0</v>
      </c>
      <c r="Q8625" t="n">
        <v>0</v>
      </c>
      <c r="R8625" s="2" t="inlineStr"/>
    </row>
    <row r="8626" ht="15" customHeight="1">
      <c r="A8626" t="inlineStr">
        <is>
          <t>A 8076-2025</t>
        </is>
      </c>
      <c r="B8626" s="1" t="n">
        <v>45707.65648148148</v>
      </c>
      <c r="C8626" s="1" t="n">
        <v>46114</v>
      </c>
      <c r="D8626" t="inlineStr">
        <is>
          <t>DALARNAS LÄN</t>
        </is>
      </c>
      <c r="E8626" t="inlineStr">
        <is>
          <t>VANSBRO</t>
        </is>
      </c>
      <c r="G8626" t="n">
        <v>13.5</v>
      </c>
      <c r="H8626" t="n">
        <v>0</v>
      </c>
      <c r="I8626" t="n">
        <v>0</v>
      </c>
      <c r="J8626" t="n">
        <v>0</v>
      </c>
      <c r="K8626" t="n">
        <v>0</v>
      </c>
      <c r="L8626" t="n">
        <v>0</v>
      </c>
      <c r="M8626" t="n">
        <v>0</v>
      </c>
      <c r="N8626" t="n">
        <v>0</v>
      </c>
      <c r="O8626" t="n">
        <v>0</v>
      </c>
      <c r="P8626" t="n">
        <v>0</v>
      </c>
      <c r="Q8626" t="n">
        <v>0</v>
      </c>
      <c r="R8626" s="2" t="inlineStr"/>
    </row>
    <row r="8627" ht="15" customHeight="1">
      <c r="A8627" t="inlineStr">
        <is>
          <t>A 17560-2025</t>
        </is>
      </c>
      <c r="B8627" s="1" t="n">
        <v>45757.63572916666</v>
      </c>
      <c r="C8627" s="1" t="n">
        <v>46114</v>
      </c>
      <c r="D8627" t="inlineStr">
        <is>
          <t>DALARNAS LÄN</t>
        </is>
      </c>
      <c r="E8627" t="inlineStr">
        <is>
          <t>BORLÄNGE</t>
        </is>
      </c>
      <c r="F8627" t="inlineStr">
        <is>
          <t>Bergvik skog väst AB</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6339-2026</t>
        </is>
      </c>
      <c r="B8628" s="1" t="n">
        <v>46055</v>
      </c>
      <c r="C8628" s="1" t="n">
        <v>46114</v>
      </c>
      <c r="D8628" t="inlineStr">
        <is>
          <t>DALARNAS LÄN</t>
        </is>
      </c>
      <c r="E8628" t="inlineStr">
        <is>
          <t>HEDEMORA</t>
        </is>
      </c>
      <c r="G8628" t="n">
        <v>1.4</v>
      </c>
      <c r="H8628" t="n">
        <v>0</v>
      </c>
      <c r="I8628" t="n">
        <v>0</v>
      </c>
      <c r="J8628" t="n">
        <v>0</v>
      </c>
      <c r="K8628" t="n">
        <v>0</v>
      </c>
      <c r="L8628" t="n">
        <v>0</v>
      </c>
      <c r="M8628" t="n">
        <v>0</v>
      </c>
      <c r="N8628" t="n">
        <v>0</v>
      </c>
      <c r="O8628" t="n">
        <v>0</v>
      </c>
      <c r="P8628" t="n">
        <v>0</v>
      </c>
      <c r="Q8628" t="n">
        <v>0</v>
      </c>
      <c r="R8628" s="2" t="inlineStr"/>
      <c r="U8628">
        <f>HYPERLINK("https://klasma.github.io/Logging_2083/knärot/A 6339-2026 karta knärot.png", "A 6339-2026")</f>
        <v/>
      </c>
      <c r="V8628">
        <f>HYPERLINK("https://klasma.github.io/Logging_2083/klagomål/A 6339-2026 FSC-klagomål.docx", "A 6339-2026")</f>
        <v/>
      </c>
      <c r="W8628">
        <f>HYPERLINK("https://klasma.github.io/Logging_2083/klagomålsmail/A 6339-2026 FSC-klagomål mail.docx", "A 6339-2026")</f>
        <v/>
      </c>
      <c r="X8628">
        <f>HYPERLINK("https://klasma.github.io/Logging_2083/tillsyn/A 6339-2026 tillsynsbegäran.docx", "A 6339-2026")</f>
        <v/>
      </c>
      <c r="Y8628">
        <f>HYPERLINK("https://klasma.github.io/Logging_2083/tillsynsmail/A 6339-2026 tillsynsbegäran mail.docx", "A 6339-2026")</f>
        <v/>
      </c>
    </row>
    <row r="8629" ht="15" customHeight="1">
      <c r="A8629" t="inlineStr">
        <is>
          <t>A 5875-2026</t>
        </is>
      </c>
      <c r="B8629" s="1" t="n">
        <v>46052.37825231482</v>
      </c>
      <c r="C8629" s="1" t="n">
        <v>46114</v>
      </c>
      <c r="D8629" t="inlineStr">
        <is>
          <t>DALARNAS LÄN</t>
        </is>
      </c>
      <c r="E8629" t="inlineStr">
        <is>
          <t>ÄLVDALEN</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5913-2026</t>
        </is>
      </c>
      <c r="B8630" s="1" t="n">
        <v>46052</v>
      </c>
      <c r="C8630" s="1" t="n">
        <v>46114</v>
      </c>
      <c r="D8630" t="inlineStr">
        <is>
          <t>DALARNAS LÄN</t>
        </is>
      </c>
      <c r="E8630" t="inlineStr">
        <is>
          <t>FALUN</t>
        </is>
      </c>
      <c r="G8630" t="n">
        <v>1.5</v>
      </c>
      <c r="H8630" t="n">
        <v>0</v>
      </c>
      <c r="I8630" t="n">
        <v>0</v>
      </c>
      <c r="J8630" t="n">
        <v>0</v>
      </c>
      <c r="K8630" t="n">
        <v>0</v>
      </c>
      <c r="L8630" t="n">
        <v>0</v>
      </c>
      <c r="M8630" t="n">
        <v>0</v>
      </c>
      <c r="N8630" t="n">
        <v>0</v>
      </c>
      <c r="O8630" t="n">
        <v>0</v>
      </c>
      <c r="P8630" t="n">
        <v>0</v>
      </c>
      <c r="Q8630" t="n">
        <v>0</v>
      </c>
      <c r="R8630" s="2" t="inlineStr"/>
    </row>
    <row r="8631" ht="15" customHeight="1">
      <c r="A8631" t="inlineStr">
        <is>
          <t>A 5914-2026</t>
        </is>
      </c>
      <c r="B8631" s="1" t="n">
        <v>46052</v>
      </c>
      <c r="C8631" s="1" t="n">
        <v>46114</v>
      </c>
      <c r="D8631" t="inlineStr">
        <is>
          <t>DALARNAS LÄN</t>
        </is>
      </c>
      <c r="E8631" t="inlineStr">
        <is>
          <t>FALUN</t>
        </is>
      </c>
      <c r="G8631" t="n">
        <v>2</v>
      </c>
      <c r="H8631" t="n">
        <v>0</v>
      </c>
      <c r="I8631" t="n">
        <v>0</v>
      </c>
      <c r="J8631" t="n">
        <v>0</v>
      </c>
      <c r="K8631" t="n">
        <v>0</v>
      </c>
      <c r="L8631" t="n">
        <v>0</v>
      </c>
      <c r="M8631" t="n">
        <v>0</v>
      </c>
      <c r="N8631" t="n">
        <v>0</v>
      </c>
      <c r="O8631" t="n">
        <v>0</v>
      </c>
      <c r="P8631" t="n">
        <v>0</v>
      </c>
      <c r="Q8631" t="n">
        <v>0</v>
      </c>
      <c r="R8631" s="2" t="inlineStr"/>
    </row>
    <row r="8632" ht="15" customHeight="1">
      <c r="A8632" t="inlineStr">
        <is>
          <t>A 17600-2025</t>
        </is>
      </c>
      <c r="B8632" s="1" t="n">
        <v>45757.71063657408</v>
      </c>
      <c r="C8632" s="1" t="n">
        <v>46114</v>
      </c>
      <c r="D8632" t="inlineStr">
        <is>
          <t>DALARNAS LÄN</t>
        </is>
      </c>
      <c r="E8632" t="inlineStr">
        <is>
          <t>HEDEMORA</t>
        </is>
      </c>
      <c r="G8632" t="n">
        <v>1.4</v>
      </c>
      <c r="H8632" t="n">
        <v>0</v>
      </c>
      <c r="I8632" t="n">
        <v>0</v>
      </c>
      <c r="J8632" t="n">
        <v>0</v>
      </c>
      <c r="K8632" t="n">
        <v>0</v>
      </c>
      <c r="L8632" t="n">
        <v>0</v>
      </c>
      <c r="M8632" t="n">
        <v>0</v>
      </c>
      <c r="N8632" t="n">
        <v>0</v>
      </c>
      <c r="O8632" t="n">
        <v>0</v>
      </c>
      <c r="P8632" t="n">
        <v>0</v>
      </c>
      <c r="Q8632" t="n">
        <v>0</v>
      </c>
      <c r="R8632" s="2" t="inlineStr"/>
    </row>
    <row r="8633" ht="15" customHeight="1">
      <c r="A8633" t="inlineStr">
        <is>
          <t>A 11724-2026</t>
        </is>
      </c>
      <c r="B8633" s="1" t="n">
        <v>46084</v>
      </c>
      <c r="C8633" s="1" t="n">
        <v>46114</v>
      </c>
      <c r="D8633" t="inlineStr">
        <is>
          <t>DALARNAS LÄN</t>
        </is>
      </c>
      <c r="E8633" t="inlineStr">
        <is>
          <t>FALUN</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13341-2025</t>
        </is>
      </c>
      <c r="B8634" s="1" t="n">
        <v>45735.62751157407</v>
      </c>
      <c r="C8634" s="1" t="n">
        <v>46114</v>
      </c>
      <c r="D8634" t="inlineStr">
        <is>
          <t>DALARNAS LÄN</t>
        </is>
      </c>
      <c r="E8634" t="inlineStr">
        <is>
          <t>VANSBRO</t>
        </is>
      </c>
      <c r="F8634" t="inlineStr">
        <is>
          <t>Bergvik skog väst AB</t>
        </is>
      </c>
      <c r="G8634" t="n">
        <v>4.1</v>
      </c>
      <c r="H8634" t="n">
        <v>0</v>
      </c>
      <c r="I8634" t="n">
        <v>0</v>
      </c>
      <c r="J8634" t="n">
        <v>0</v>
      </c>
      <c r="K8634" t="n">
        <v>0</v>
      </c>
      <c r="L8634" t="n">
        <v>0</v>
      </c>
      <c r="M8634" t="n">
        <v>0</v>
      </c>
      <c r="N8634" t="n">
        <v>0</v>
      </c>
      <c r="O8634" t="n">
        <v>0</v>
      </c>
      <c r="P8634" t="n">
        <v>0</v>
      </c>
      <c r="Q8634" t="n">
        <v>0</v>
      </c>
      <c r="R8634" s="2" t="inlineStr"/>
    </row>
    <row r="8635" ht="15" customHeight="1">
      <c r="A8635" t="inlineStr">
        <is>
          <t>A 4460-2026</t>
        </is>
      </c>
      <c r="B8635" s="1" t="n">
        <v>46045</v>
      </c>
      <c r="C8635" s="1" t="n">
        <v>46114</v>
      </c>
      <c r="D8635" t="inlineStr">
        <is>
          <t>DALARNAS LÄN</t>
        </is>
      </c>
      <c r="E8635" t="inlineStr">
        <is>
          <t>LEKSAND</t>
        </is>
      </c>
      <c r="G8635" t="n">
        <v>11.6</v>
      </c>
      <c r="H8635" t="n">
        <v>0</v>
      </c>
      <c r="I8635" t="n">
        <v>0</v>
      </c>
      <c r="J8635" t="n">
        <v>0</v>
      </c>
      <c r="K8635" t="n">
        <v>0</v>
      </c>
      <c r="L8635" t="n">
        <v>0</v>
      </c>
      <c r="M8635" t="n">
        <v>0</v>
      </c>
      <c r="N8635" t="n">
        <v>0</v>
      </c>
      <c r="O8635" t="n">
        <v>0</v>
      </c>
      <c r="P8635" t="n">
        <v>0</v>
      </c>
      <c r="Q8635" t="n">
        <v>0</v>
      </c>
      <c r="R8635" s="2" t="inlineStr"/>
    </row>
    <row r="8636" ht="15" customHeight="1">
      <c r="A8636" t="inlineStr">
        <is>
          <t>A 11930-2026</t>
        </is>
      </c>
      <c r="B8636" s="1" t="n">
        <v>46085</v>
      </c>
      <c r="C8636" s="1" t="n">
        <v>46114</v>
      </c>
      <c r="D8636" t="inlineStr">
        <is>
          <t>DALARNAS LÄN</t>
        </is>
      </c>
      <c r="E8636" t="inlineStr">
        <is>
          <t>FALUN</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11391-2026</t>
        </is>
      </c>
      <c r="B8637" s="1" t="n">
        <v>46083</v>
      </c>
      <c r="C8637" s="1" t="n">
        <v>46114</v>
      </c>
      <c r="D8637" t="inlineStr">
        <is>
          <t>DALARNAS LÄN</t>
        </is>
      </c>
      <c r="E8637" t="inlineStr">
        <is>
          <t>FALUN</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6249-2026</t>
        </is>
      </c>
      <c r="B8638" s="1" t="n">
        <v>46055.47015046296</v>
      </c>
      <c r="C8638" s="1" t="n">
        <v>46114</v>
      </c>
      <c r="D8638" t="inlineStr">
        <is>
          <t>DALARNAS LÄN</t>
        </is>
      </c>
      <c r="E8638" t="inlineStr">
        <is>
          <t>LEKSAND</t>
        </is>
      </c>
      <c r="G8638" t="n">
        <v>3.4</v>
      </c>
      <c r="H8638" t="n">
        <v>0</v>
      </c>
      <c r="I8638" t="n">
        <v>0</v>
      </c>
      <c r="J8638" t="n">
        <v>0</v>
      </c>
      <c r="K8638" t="n">
        <v>0</v>
      </c>
      <c r="L8638" t="n">
        <v>0</v>
      </c>
      <c r="M8638" t="n">
        <v>0</v>
      </c>
      <c r="N8638" t="n">
        <v>0</v>
      </c>
      <c r="O8638" t="n">
        <v>0</v>
      </c>
      <c r="P8638" t="n">
        <v>0</v>
      </c>
      <c r="Q8638" t="n">
        <v>0</v>
      </c>
      <c r="R8638" s="2" t="inlineStr"/>
    </row>
    <row r="8639" ht="15" customHeight="1">
      <c r="A8639" t="inlineStr">
        <is>
          <t>A 53471-2023</t>
        </is>
      </c>
      <c r="B8639" s="1" t="n">
        <v>45230.33048611111</v>
      </c>
      <c r="C8639" s="1" t="n">
        <v>46114</v>
      </c>
      <c r="D8639" t="inlineStr">
        <is>
          <t>DALARNAS LÄN</t>
        </is>
      </c>
      <c r="E8639" t="inlineStr">
        <is>
          <t>RÄTTVIK</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49798-2021</t>
        </is>
      </c>
      <c r="B8640" s="1" t="n">
        <v>44455</v>
      </c>
      <c r="C8640" s="1" t="n">
        <v>46114</v>
      </c>
      <c r="D8640" t="inlineStr">
        <is>
          <t>DALARNAS LÄN</t>
        </is>
      </c>
      <c r="E8640" t="inlineStr">
        <is>
          <t>MALUNG-SÄLEN</t>
        </is>
      </c>
      <c r="G8640" t="n">
        <v>6</v>
      </c>
      <c r="H8640" t="n">
        <v>0</v>
      </c>
      <c r="I8640" t="n">
        <v>0</v>
      </c>
      <c r="J8640" t="n">
        <v>0</v>
      </c>
      <c r="K8640" t="n">
        <v>0</v>
      </c>
      <c r="L8640" t="n">
        <v>0</v>
      </c>
      <c r="M8640" t="n">
        <v>0</v>
      </c>
      <c r="N8640" t="n">
        <v>0</v>
      </c>
      <c r="O8640" t="n">
        <v>0</v>
      </c>
      <c r="P8640" t="n">
        <v>0</v>
      </c>
      <c r="Q8640" t="n">
        <v>0</v>
      </c>
      <c r="R8640" s="2" t="inlineStr"/>
    </row>
    <row r="8641" ht="15" customHeight="1">
      <c r="A8641" t="inlineStr">
        <is>
          <t>A 4923-2024</t>
        </is>
      </c>
      <c r="B8641" s="1" t="n">
        <v>45329</v>
      </c>
      <c r="C8641" s="1" t="n">
        <v>46114</v>
      </c>
      <c r="D8641" t="inlineStr">
        <is>
          <t>DALARNAS LÄN</t>
        </is>
      </c>
      <c r="E8641" t="inlineStr">
        <is>
          <t>FALUN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6076-2026</t>
        </is>
      </c>
      <c r="B8642" s="1" t="n">
        <v>46052.66626157407</v>
      </c>
      <c r="C8642" s="1" t="n">
        <v>46114</v>
      </c>
      <c r="D8642" t="inlineStr">
        <is>
          <t>DALARNAS LÄN</t>
        </is>
      </c>
      <c r="E8642" t="inlineStr">
        <is>
          <t>VANSBRO</t>
        </is>
      </c>
      <c r="G8642" t="n">
        <v>8.5</v>
      </c>
      <c r="H8642" t="n">
        <v>0</v>
      </c>
      <c r="I8642" t="n">
        <v>0</v>
      </c>
      <c r="J8642" t="n">
        <v>0</v>
      </c>
      <c r="K8642" t="n">
        <v>0</v>
      </c>
      <c r="L8642" t="n">
        <v>0</v>
      </c>
      <c r="M8642" t="n">
        <v>0</v>
      </c>
      <c r="N8642" t="n">
        <v>0</v>
      </c>
      <c r="O8642" t="n">
        <v>0</v>
      </c>
      <c r="P8642" t="n">
        <v>0</v>
      </c>
      <c r="Q8642" t="n">
        <v>0</v>
      </c>
      <c r="R8642" s="2" t="inlineStr"/>
    </row>
    <row r="8643" ht="15" customHeight="1">
      <c r="A8643" t="inlineStr">
        <is>
          <t>A 6088-2026</t>
        </is>
      </c>
      <c r="B8643" s="1" t="n">
        <v>46052</v>
      </c>
      <c r="C8643" s="1" t="n">
        <v>46114</v>
      </c>
      <c r="D8643" t="inlineStr">
        <is>
          <t>DALARNAS LÄN</t>
        </is>
      </c>
      <c r="E8643" t="inlineStr">
        <is>
          <t>RÄTTVIK</t>
        </is>
      </c>
      <c r="F8643" t="inlineStr">
        <is>
          <t>Bergvik skog väst AB</t>
        </is>
      </c>
      <c r="G8643" t="n">
        <v>60.6</v>
      </c>
      <c r="H8643" t="n">
        <v>0</v>
      </c>
      <c r="I8643" t="n">
        <v>0</v>
      </c>
      <c r="J8643" t="n">
        <v>0</v>
      </c>
      <c r="K8643" t="n">
        <v>0</v>
      </c>
      <c r="L8643" t="n">
        <v>0</v>
      </c>
      <c r="M8643" t="n">
        <v>0</v>
      </c>
      <c r="N8643" t="n">
        <v>0</v>
      </c>
      <c r="O8643" t="n">
        <v>0</v>
      </c>
      <c r="P8643" t="n">
        <v>0</v>
      </c>
      <c r="Q8643" t="n">
        <v>0</v>
      </c>
      <c r="R8643" s="2" t="inlineStr"/>
    </row>
    <row r="8644" ht="15" customHeight="1">
      <c r="A8644" t="inlineStr">
        <is>
          <t>A 6453-2026</t>
        </is>
      </c>
      <c r="B8644" s="1" t="n">
        <v>46055</v>
      </c>
      <c r="C8644" s="1" t="n">
        <v>46114</v>
      </c>
      <c r="D8644" t="inlineStr">
        <is>
          <t>DALARNAS LÄN</t>
        </is>
      </c>
      <c r="E8644" t="inlineStr">
        <is>
          <t>FALUN</t>
        </is>
      </c>
      <c r="F8644" t="inlineStr">
        <is>
          <t>Bergvik skog väst AB</t>
        </is>
      </c>
      <c r="G8644" t="n">
        <v>2.6</v>
      </c>
      <c r="H8644" t="n">
        <v>0</v>
      </c>
      <c r="I8644" t="n">
        <v>0</v>
      </c>
      <c r="J8644" t="n">
        <v>0</v>
      </c>
      <c r="K8644" t="n">
        <v>0</v>
      </c>
      <c r="L8644" t="n">
        <v>0</v>
      </c>
      <c r="M8644" t="n">
        <v>0</v>
      </c>
      <c r="N8644" t="n">
        <v>0</v>
      </c>
      <c r="O8644" t="n">
        <v>0</v>
      </c>
      <c r="P8644" t="n">
        <v>0</v>
      </c>
      <c r="Q8644" t="n">
        <v>0</v>
      </c>
      <c r="R8644" s="2" t="inlineStr"/>
    </row>
    <row r="8645" ht="15" customHeight="1">
      <c r="A8645" t="inlineStr">
        <is>
          <t>A 6454-2026</t>
        </is>
      </c>
      <c r="B8645" s="1" t="n">
        <v>46055</v>
      </c>
      <c r="C8645" s="1" t="n">
        <v>46114</v>
      </c>
      <c r="D8645" t="inlineStr">
        <is>
          <t>DALARNAS LÄN</t>
        </is>
      </c>
      <c r="E8645" t="inlineStr">
        <is>
          <t>FALUN</t>
        </is>
      </c>
      <c r="G8645" t="n">
        <v>5.3</v>
      </c>
      <c r="H8645" t="n">
        <v>0</v>
      </c>
      <c r="I8645" t="n">
        <v>0</v>
      </c>
      <c r="J8645" t="n">
        <v>0</v>
      </c>
      <c r="K8645" t="n">
        <v>0</v>
      </c>
      <c r="L8645" t="n">
        <v>0</v>
      </c>
      <c r="M8645" t="n">
        <v>0</v>
      </c>
      <c r="N8645" t="n">
        <v>0</v>
      </c>
      <c r="O8645" t="n">
        <v>0</v>
      </c>
      <c r="P8645" t="n">
        <v>0</v>
      </c>
      <c r="Q8645" t="n">
        <v>0</v>
      </c>
      <c r="R8645" s="2" t="inlineStr"/>
    </row>
    <row r="8646" ht="15" customHeight="1">
      <c r="A8646" t="inlineStr">
        <is>
          <t>A 6609-2026</t>
        </is>
      </c>
      <c r="B8646" s="1" t="n">
        <v>46052</v>
      </c>
      <c r="C8646" s="1" t="n">
        <v>46114</v>
      </c>
      <c r="D8646" t="inlineStr">
        <is>
          <t>DALARNAS LÄN</t>
        </is>
      </c>
      <c r="E8646" t="inlineStr">
        <is>
          <t>FALUN</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12800-2026</t>
        </is>
      </c>
      <c r="B8647" s="1" t="n">
        <v>46092</v>
      </c>
      <c r="C8647" s="1" t="n">
        <v>46114</v>
      </c>
      <c r="D8647" t="inlineStr">
        <is>
          <t>DALARNAS LÄN</t>
        </is>
      </c>
      <c r="E8647" t="inlineStr">
        <is>
          <t>ORSA</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56544-2023</t>
        </is>
      </c>
      <c r="B8648" s="1" t="n">
        <v>45243.58079861111</v>
      </c>
      <c r="C8648" s="1" t="n">
        <v>46114</v>
      </c>
      <c r="D8648" t="inlineStr">
        <is>
          <t>DALARNAS LÄN</t>
        </is>
      </c>
      <c r="E8648" t="inlineStr">
        <is>
          <t>RÄTTVIK</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11003-2026</t>
        </is>
      </c>
      <c r="B8649" s="1" t="n">
        <v>46079</v>
      </c>
      <c r="C8649" s="1" t="n">
        <v>46114</v>
      </c>
      <c r="D8649" t="inlineStr">
        <is>
          <t>DALARNAS LÄN</t>
        </is>
      </c>
      <c r="E8649" t="inlineStr">
        <is>
          <t>RÄTTVIK</t>
        </is>
      </c>
      <c r="G8649" t="n">
        <v>2.6</v>
      </c>
      <c r="H8649" t="n">
        <v>0</v>
      </c>
      <c r="I8649" t="n">
        <v>0</v>
      </c>
      <c r="J8649" t="n">
        <v>0</v>
      </c>
      <c r="K8649" t="n">
        <v>0</v>
      </c>
      <c r="L8649" t="n">
        <v>0</v>
      </c>
      <c r="M8649" t="n">
        <v>0</v>
      </c>
      <c r="N8649" t="n">
        <v>0</v>
      </c>
      <c r="O8649" t="n">
        <v>0</v>
      </c>
      <c r="P8649" t="n">
        <v>0</v>
      </c>
      <c r="Q8649" t="n">
        <v>0</v>
      </c>
      <c r="R8649" s="2" t="inlineStr"/>
    </row>
    <row r="8650" ht="15" customHeight="1">
      <c r="A8650" t="inlineStr">
        <is>
          <t>A 11598-2026</t>
        </is>
      </c>
      <c r="B8650" s="1" t="n">
        <v>46084</v>
      </c>
      <c r="C8650" s="1" t="n">
        <v>46114</v>
      </c>
      <c r="D8650" t="inlineStr">
        <is>
          <t>DALARNAS LÄN</t>
        </is>
      </c>
      <c r="E8650" t="inlineStr">
        <is>
          <t>FALUN</t>
        </is>
      </c>
      <c r="G8650" t="n">
        <v>9.9</v>
      </c>
      <c r="H8650" t="n">
        <v>0</v>
      </c>
      <c r="I8650" t="n">
        <v>0</v>
      </c>
      <c r="J8650" t="n">
        <v>0</v>
      </c>
      <c r="K8650" t="n">
        <v>0</v>
      </c>
      <c r="L8650" t="n">
        <v>0</v>
      </c>
      <c r="M8650" t="n">
        <v>0</v>
      </c>
      <c r="N8650" t="n">
        <v>0</v>
      </c>
      <c r="O8650" t="n">
        <v>0</v>
      </c>
      <c r="P8650" t="n">
        <v>0</v>
      </c>
      <c r="Q8650" t="n">
        <v>0</v>
      </c>
      <c r="R8650" s="2" t="inlineStr"/>
    </row>
    <row r="8651" ht="15" customHeight="1">
      <c r="A8651" t="inlineStr">
        <is>
          <t>A 12569-2026</t>
        </is>
      </c>
      <c r="B8651" s="1" t="n">
        <v>46090</v>
      </c>
      <c r="C8651" s="1" t="n">
        <v>46114</v>
      </c>
      <c r="D8651" t="inlineStr">
        <is>
          <t>DALARNAS LÄN</t>
        </is>
      </c>
      <c r="E8651" t="inlineStr">
        <is>
          <t>FALUN</t>
        </is>
      </c>
      <c r="G8651" t="n">
        <v>1.2</v>
      </c>
      <c r="H8651" t="n">
        <v>0</v>
      </c>
      <c r="I8651" t="n">
        <v>0</v>
      </c>
      <c r="J8651" t="n">
        <v>0</v>
      </c>
      <c r="K8651" t="n">
        <v>0</v>
      </c>
      <c r="L8651" t="n">
        <v>0</v>
      </c>
      <c r="M8651" t="n">
        <v>0</v>
      </c>
      <c r="N8651" t="n">
        <v>0</v>
      </c>
      <c r="O8651" t="n">
        <v>0</v>
      </c>
      <c r="P8651" t="n">
        <v>0</v>
      </c>
      <c r="Q8651" t="n">
        <v>0</v>
      </c>
      <c r="R8651" s="2" t="inlineStr"/>
    </row>
    <row r="8652" ht="15" customHeight="1">
      <c r="A8652" t="inlineStr">
        <is>
          <t>A 5527-2024</t>
        </is>
      </c>
      <c r="B8652" s="1" t="n">
        <v>45334.38981481481</v>
      </c>
      <c r="C8652" s="1" t="n">
        <v>46114</v>
      </c>
      <c r="D8652" t="inlineStr">
        <is>
          <t>DALARNAS LÄN</t>
        </is>
      </c>
      <c r="E8652" t="inlineStr">
        <is>
          <t>MORA</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5574-2024</t>
        </is>
      </c>
      <c r="B8653" s="1" t="n">
        <v>45334</v>
      </c>
      <c r="C8653" s="1" t="n">
        <v>46114</v>
      </c>
      <c r="D8653" t="inlineStr">
        <is>
          <t>DALARNAS LÄN</t>
        </is>
      </c>
      <c r="E8653" t="inlineStr">
        <is>
          <t>LEKSAND</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6291-2026</t>
        </is>
      </c>
      <c r="B8654" s="1" t="n">
        <v>46055</v>
      </c>
      <c r="C8654" s="1" t="n">
        <v>46114</v>
      </c>
      <c r="D8654" t="inlineStr">
        <is>
          <t>DALARNAS LÄN</t>
        </is>
      </c>
      <c r="E8654" t="inlineStr">
        <is>
          <t>RÄTTVIK</t>
        </is>
      </c>
      <c r="G8654" t="n">
        <v>4.2</v>
      </c>
      <c r="H8654" t="n">
        <v>0</v>
      </c>
      <c r="I8654" t="n">
        <v>0</v>
      </c>
      <c r="J8654" t="n">
        <v>0</v>
      </c>
      <c r="K8654" t="n">
        <v>0</v>
      </c>
      <c r="L8654" t="n">
        <v>0</v>
      </c>
      <c r="M8654" t="n">
        <v>0</v>
      </c>
      <c r="N8654" t="n">
        <v>0</v>
      </c>
      <c r="O8654" t="n">
        <v>0</v>
      </c>
      <c r="P8654" t="n">
        <v>0</v>
      </c>
      <c r="Q8654" t="n">
        <v>0</v>
      </c>
      <c r="R8654" s="2" t="inlineStr"/>
    </row>
    <row r="8655" ht="15" customHeight="1">
      <c r="A8655" t="inlineStr">
        <is>
          <t>A 6304-2026</t>
        </is>
      </c>
      <c r="B8655" s="1" t="n">
        <v>46055.57064814815</v>
      </c>
      <c r="C8655" s="1" t="n">
        <v>46114</v>
      </c>
      <c r="D8655" t="inlineStr">
        <is>
          <t>DALARNAS LÄN</t>
        </is>
      </c>
      <c r="E8655" t="inlineStr">
        <is>
          <t>FALUN</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5902-2026</t>
        </is>
      </c>
      <c r="B8656" s="1" t="n">
        <v>46052.43168981482</v>
      </c>
      <c r="C8656" s="1" t="n">
        <v>46114</v>
      </c>
      <c r="D8656" t="inlineStr">
        <is>
          <t>DALARNAS LÄN</t>
        </is>
      </c>
      <c r="E8656" t="inlineStr">
        <is>
          <t>FALUN</t>
        </is>
      </c>
      <c r="G8656" t="n">
        <v>18.9</v>
      </c>
      <c r="H8656" t="n">
        <v>0</v>
      </c>
      <c r="I8656" t="n">
        <v>0</v>
      </c>
      <c r="J8656" t="n">
        <v>0</v>
      </c>
      <c r="K8656" t="n">
        <v>0</v>
      </c>
      <c r="L8656" t="n">
        <v>0</v>
      </c>
      <c r="M8656" t="n">
        <v>0</v>
      </c>
      <c r="N8656" t="n">
        <v>0</v>
      </c>
      <c r="O8656" t="n">
        <v>0</v>
      </c>
      <c r="P8656" t="n">
        <v>0</v>
      </c>
      <c r="Q8656" t="n">
        <v>0</v>
      </c>
      <c r="R8656" s="2" t="inlineStr"/>
    </row>
    <row r="8657" ht="15" customHeight="1">
      <c r="A8657" t="inlineStr">
        <is>
          <t>A 5959-2026</t>
        </is>
      </c>
      <c r="B8657" s="1" t="n">
        <v>46052.50533564815</v>
      </c>
      <c r="C8657" s="1" t="n">
        <v>46114</v>
      </c>
      <c r="D8657" t="inlineStr">
        <is>
          <t>DALARNAS LÄN</t>
        </is>
      </c>
      <c r="E8657" t="inlineStr">
        <is>
          <t>MORA</t>
        </is>
      </c>
      <c r="G8657" t="n">
        <v>9.5</v>
      </c>
      <c r="H8657" t="n">
        <v>0</v>
      </c>
      <c r="I8657" t="n">
        <v>0</v>
      </c>
      <c r="J8657" t="n">
        <v>0</v>
      </c>
      <c r="K8657" t="n">
        <v>0</v>
      </c>
      <c r="L8657" t="n">
        <v>0</v>
      </c>
      <c r="M8657" t="n">
        <v>0</v>
      </c>
      <c r="N8657" t="n">
        <v>0</v>
      </c>
      <c r="O8657" t="n">
        <v>0</v>
      </c>
      <c r="P8657" t="n">
        <v>0</v>
      </c>
      <c r="Q8657" t="n">
        <v>0</v>
      </c>
      <c r="R8657" s="2" t="inlineStr"/>
    </row>
    <row r="8658" ht="15" customHeight="1">
      <c r="A8658" t="inlineStr">
        <is>
          <t>A 5972-2026</t>
        </is>
      </c>
      <c r="B8658" s="1" t="n">
        <v>46052</v>
      </c>
      <c r="C8658" s="1" t="n">
        <v>46114</v>
      </c>
      <c r="D8658" t="inlineStr">
        <is>
          <t>DALARNAS LÄN</t>
        </is>
      </c>
      <c r="E8658" t="inlineStr">
        <is>
          <t>FALUN</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13705-2026</t>
        </is>
      </c>
      <c r="B8659" s="1" t="n">
        <v>46097.56840277778</v>
      </c>
      <c r="C8659" s="1" t="n">
        <v>46114</v>
      </c>
      <c r="D8659" t="inlineStr">
        <is>
          <t>DALARNAS LÄN</t>
        </is>
      </c>
      <c r="E8659" t="inlineStr">
        <is>
          <t>LEKSAND</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13448-2026</t>
        </is>
      </c>
      <c r="B8660" s="1" t="n">
        <v>46094.51075231482</v>
      </c>
      <c r="C8660" s="1" t="n">
        <v>46114</v>
      </c>
      <c r="D8660" t="inlineStr">
        <is>
          <t>DALARNAS LÄN</t>
        </is>
      </c>
      <c r="E8660" t="inlineStr">
        <is>
          <t>SÄTER</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13515-2026</t>
        </is>
      </c>
      <c r="B8661" s="1" t="n">
        <v>46094.61391203704</v>
      </c>
      <c r="C8661" s="1" t="n">
        <v>46114</v>
      </c>
      <c r="D8661" t="inlineStr">
        <is>
          <t>DALARNAS LÄN</t>
        </is>
      </c>
      <c r="E8661" t="inlineStr">
        <is>
          <t>MORA</t>
        </is>
      </c>
      <c r="F8661" t="inlineStr">
        <is>
          <t>Bergvik skog öst AB</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41449-2024</t>
        </is>
      </c>
      <c r="B8662" s="1" t="n">
        <v>45560.40314814815</v>
      </c>
      <c r="C8662" s="1" t="n">
        <v>46114</v>
      </c>
      <c r="D8662" t="inlineStr">
        <is>
          <t>DALARNAS LÄN</t>
        </is>
      </c>
      <c r="E8662" t="inlineStr">
        <is>
          <t>LUDVIKA</t>
        </is>
      </c>
      <c r="F8662" t="inlineStr">
        <is>
          <t>Bergvik skog väst AB</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4121-2024</t>
        </is>
      </c>
      <c r="B8663" s="1" t="n">
        <v>45323</v>
      </c>
      <c r="C8663" s="1" t="n">
        <v>46114</v>
      </c>
      <c r="D8663" t="inlineStr">
        <is>
          <t>DALARNAS LÄN</t>
        </is>
      </c>
      <c r="E8663" t="inlineStr">
        <is>
          <t>LEKSAND</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6331-2026</t>
        </is>
      </c>
      <c r="B8664" s="1" t="n">
        <v>46055.59050925926</v>
      </c>
      <c r="C8664" s="1" t="n">
        <v>46114</v>
      </c>
      <c r="D8664" t="inlineStr">
        <is>
          <t>DALARNAS LÄN</t>
        </is>
      </c>
      <c r="E8664" t="inlineStr">
        <is>
          <t>BORLÄNGE</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6385-2026</t>
        </is>
      </c>
      <c r="B8665" s="1" t="n">
        <v>46055</v>
      </c>
      <c r="C8665" s="1" t="n">
        <v>46114</v>
      </c>
      <c r="D8665" t="inlineStr">
        <is>
          <t>DALARNAS LÄN</t>
        </is>
      </c>
      <c r="E8665" t="inlineStr">
        <is>
          <t>HEDEMORA</t>
        </is>
      </c>
      <c r="F8665" t="inlineStr">
        <is>
          <t>Sveaskog</t>
        </is>
      </c>
      <c r="G8665" t="n">
        <v>15.9</v>
      </c>
      <c r="H8665" t="n">
        <v>0</v>
      </c>
      <c r="I8665" t="n">
        <v>0</v>
      </c>
      <c r="J8665" t="n">
        <v>0</v>
      </c>
      <c r="K8665" t="n">
        <v>0</v>
      </c>
      <c r="L8665" t="n">
        <v>0</v>
      </c>
      <c r="M8665" t="n">
        <v>0</v>
      </c>
      <c r="N8665" t="n">
        <v>0</v>
      </c>
      <c r="O8665" t="n">
        <v>0</v>
      </c>
      <c r="P8665" t="n">
        <v>0</v>
      </c>
      <c r="Q8665" t="n">
        <v>0</v>
      </c>
      <c r="R8665" s="2" t="inlineStr"/>
    </row>
    <row r="8666" ht="15" customHeight="1">
      <c r="A8666" t="inlineStr">
        <is>
          <t>A 6022-2026</t>
        </is>
      </c>
      <c r="B8666" s="1" t="n">
        <v>46052</v>
      </c>
      <c r="C8666" s="1" t="n">
        <v>46114</v>
      </c>
      <c r="D8666" t="inlineStr">
        <is>
          <t>DALARNAS LÄN</t>
        </is>
      </c>
      <c r="E8666" t="inlineStr">
        <is>
          <t>FALUN</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6033-2026</t>
        </is>
      </c>
      <c r="B8667" s="1" t="n">
        <v>46052</v>
      </c>
      <c r="C8667" s="1" t="n">
        <v>46114</v>
      </c>
      <c r="D8667" t="inlineStr">
        <is>
          <t>DALARNAS LÄN</t>
        </is>
      </c>
      <c r="E8667" t="inlineStr">
        <is>
          <t>FALUN</t>
        </is>
      </c>
      <c r="G8667" t="n">
        <v>1.8</v>
      </c>
      <c r="H8667" t="n">
        <v>0</v>
      </c>
      <c r="I8667" t="n">
        <v>0</v>
      </c>
      <c r="J8667" t="n">
        <v>0</v>
      </c>
      <c r="K8667" t="n">
        <v>0</v>
      </c>
      <c r="L8667" t="n">
        <v>0</v>
      </c>
      <c r="M8667" t="n">
        <v>0</v>
      </c>
      <c r="N8667" t="n">
        <v>0</v>
      </c>
      <c r="O8667" t="n">
        <v>0</v>
      </c>
      <c r="P8667" t="n">
        <v>0</v>
      </c>
      <c r="Q8667" t="n">
        <v>0</v>
      </c>
      <c r="R8667" s="2" t="inlineStr"/>
    </row>
    <row r="8668" ht="15" customHeight="1">
      <c r="A8668" t="inlineStr">
        <is>
          <t>A 6038-2026</t>
        </is>
      </c>
      <c r="B8668" s="1" t="n">
        <v>46052.62013888889</v>
      </c>
      <c r="C8668" s="1" t="n">
        <v>46114</v>
      </c>
      <c r="D8668" t="inlineStr">
        <is>
          <t>DALARNAS LÄN</t>
        </is>
      </c>
      <c r="E8668" t="inlineStr">
        <is>
          <t>LEKSAND</t>
        </is>
      </c>
      <c r="G8668" t="n">
        <v>5.1</v>
      </c>
      <c r="H8668" t="n">
        <v>0</v>
      </c>
      <c r="I8668" t="n">
        <v>0</v>
      </c>
      <c r="J8668" t="n">
        <v>0</v>
      </c>
      <c r="K8668" t="n">
        <v>0</v>
      </c>
      <c r="L8668" t="n">
        <v>0</v>
      </c>
      <c r="M8668" t="n">
        <v>0</v>
      </c>
      <c r="N8668" t="n">
        <v>0</v>
      </c>
      <c r="O8668" t="n">
        <v>0</v>
      </c>
      <c r="P8668" t="n">
        <v>0</v>
      </c>
      <c r="Q8668" t="n">
        <v>0</v>
      </c>
      <c r="R8668" s="2" t="inlineStr"/>
    </row>
    <row r="8669" ht="15" customHeight="1">
      <c r="A8669" t="inlineStr">
        <is>
          <t>A 688-2025</t>
        </is>
      </c>
      <c r="B8669" s="1" t="n">
        <v>45665.3165162037</v>
      </c>
      <c r="C8669" s="1" t="n">
        <v>46114</v>
      </c>
      <c r="D8669" t="inlineStr">
        <is>
          <t>DALARNAS LÄN</t>
        </is>
      </c>
      <c r="E8669" t="inlineStr">
        <is>
          <t>MALUNG-SÄLEN</t>
        </is>
      </c>
      <c r="G8669" t="n">
        <v>2.8</v>
      </c>
      <c r="H8669" t="n">
        <v>0</v>
      </c>
      <c r="I8669" t="n">
        <v>0</v>
      </c>
      <c r="J8669" t="n">
        <v>0</v>
      </c>
      <c r="K8669" t="n">
        <v>0</v>
      </c>
      <c r="L8669" t="n">
        <v>0</v>
      </c>
      <c r="M8669" t="n">
        <v>0</v>
      </c>
      <c r="N8669" t="n">
        <v>0</v>
      </c>
      <c r="O8669" t="n">
        <v>0</v>
      </c>
      <c r="P8669" t="n">
        <v>0</v>
      </c>
      <c r="Q8669" t="n">
        <v>0</v>
      </c>
      <c r="R8669" s="2" t="inlineStr"/>
    </row>
    <row r="8670" ht="15" customHeight="1">
      <c r="A8670" t="inlineStr">
        <is>
          <t>A 6182-2026</t>
        </is>
      </c>
      <c r="B8670" s="1" t="n">
        <v>46055.36231481482</v>
      </c>
      <c r="C8670" s="1" t="n">
        <v>46114</v>
      </c>
      <c r="D8670" t="inlineStr">
        <is>
          <t>DALARNAS LÄN</t>
        </is>
      </c>
      <c r="E8670" t="inlineStr">
        <is>
          <t>MORA</t>
        </is>
      </c>
      <c r="F8670" t="inlineStr">
        <is>
          <t>Bergvik skog öst AB</t>
        </is>
      </c>
      <c r="G8670" t="n">
        <v>1.1</v>
      </c>
      <c r="H8670" t="n">
        <v>0</v>
      </c>
      <c r="I8670" t="n">
        <v>0</v>
      </c>
      <c r="J8670" t="n">
        <v>0</v>
      </c>
      <c r="K8670" t="n">
        <v>0</v>
      </c>
      <c r="L8670" t="n">
        <v>0</v>
      </c>
      <c r="M8670" t="n">
        <v>0</v>
      </c>
      <c r="N8670" t="n">
        <v>0</v>
      </c>
      <c r="O8670" t="n">
        <v>0</v>
      </c>
      <c r="P8670" t="n">
        <v>0</v>
      </c>
      <c r="Q8670" t="n">
        <v>0</v>
      </c>
      <c r="R8670" s="2" t="inlineStr"/>
    </row>
    <row r="8671" ht="15" customHeight="1">
      <c r="A8671" t="inlineStr">
        <is>
          <t>A 6183-2026</t>
        </is>
      </c>
      <c r="B8671" s="1" t="n">
        <v>46055.3625925926</v>
      </c>
      <c r="C8671" s="1" t="n">
        <v>46114</v>
      </c>
      <c r="D8671" t="inlineStr">
        <is>
          <t>DALARNAS LÄN</t>
        </is>
      </c>
      <c r="E8671" t="inlineStr">
        <is>
          <t>FALUN</t>
        </is>
      </c>
      <c r="G8671" t="n">
        <v>9.6</v>
      </c>
      <c r="H8671" t="n">
        <v>0</v>
      </c>
      <c r="I8671" t="n">
        <v>0</v>
      </c>
      <c r="J8671" t="n">
        <v>0</v>
      </c>
      <c r="K8671" t="n">
        <v>0</v>
      </c>
      <c r="L8671" t="n">
        <v>0</v>
      </c>
      <c r="M8671" t="n">
        <v>0</v>
      </c>
      <c r="N8671" t="n">
        <v>0</v>
      </c>
      <c r="O8671" t="n">
        <v>0</v>
      </c>
      <c r="P8671" t="n">
        <v>0</v>
      </c>
      <c r="Q8671" t="n">
        <v>0</v>
      </c>
      <c r="R8671" s="2" t="inlineStr"/>
    </row>
    <row r="8672" ht="15" customHeight="1">
      <c r="A8672" t="inlineStr">
        <is>
          <t>A 6213-2026</t>
        </is>
      </c>
      <c r="B8672" s="1" t="n">
        <v>46055.42577546297</v>
      </c>
      <c r="C8672" s="1" t="n">
        <v>46114</v>
      </c>
      <c r="D8672" t="inlineStr">
        <is>
          <t>DALARNAS LÄN</t>
        </is>
      </c>
      <c r="E8672" t="inlineStr">
        <is>
          <t>FALUN</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13569-2026</t>
        </is>
      </c>
      <c r="B8673" s="1" t="n">
        <v>46095.56152777778</v>
      </c>
      <c r="C8673" s="1" t="n">
        <v>46114</v>
      </c>
      <c r="D8673" t="inlineStr">
        <is>
          <t>DALARNAS LÄN</t>
        </is>
      </c>
      <c r="E8673" t="inlineStr">
        <is>
          <t>BORLÄNGE</t>
        </is>
      </c>
      <c r="G8673" t="n">
        <v>16.9</v>
      </c>
      <c r="H8673" t="n">
        <v>0</v>
      </c>
      <c r="I8673" t="n">
        <v>0</v>
      </c>
      <c r="J8673" t="n">
        <v>0</v>
      </c>
      <c r="K8673" t="n">
        <v>0</v>
      </c>
      <c r="L8673" t="n">
        <v>0</v>
      </c>
      <c r="M8673" t="n">
        <v>0</v>
      </c>
      <c r="N8673" t="n">
        <v>0</v>
      </c>
      <c r="O8673" t="n">
        <v>0</v>
      </c>
      <c r="P8673" t="n">
        <v>0</v>
      </c>
      <c r="Q8673" t="n">
        <v>0</v>
      </c>
      <c r="R8673" s="2" t="inlineStr"/>
    </row>
    <row r="8674" ht="15" customHeight="1">
      <c r="A8674" t="inlineStr">
        <is>
          <t>A 6212-2026</t>
        </is>
      </c>
      <c r="B8674" s="1" t="n">
        <v>46055.42487268519</v>
      </c>
      <c r="C8674" s="1" t="n">
        <v>46114</v>
      </c>
      <c r="D8674" t="inlineStr">
        <is>
          <t>DALARNAS LÄN</t>
        </is>
      </c>
      <c r="E8674" t="inlineStr">
        <is>
          <t>LEKSAND</t>
        </is>
      </c>
      <c r="G8674" t="n">
        <v>3</v>
      </c>
      <c r="H8674" t="n">
        <v>0</v>
      </c>
      <c r="I8674" t="n">
        <v>0</v>
      </c>
      <c r="J8674" t="n">
        <v>0</v>
      </c>
      <c r="K8674" t="n">
        <v>0</v>
      </c>
      <c r="L8674" t="n">
        <v>0</v>
      </c>
      <c r="M8674" t="n">
        <v>0</v>
      </c>
      <c r="N8674" t="n">
        <v>0</v>
      </c>
      <c r="O8674" t="n">
        <v>0</v>
      </c>
      <c r="P8674" t="n">
        <v>0</v>
      </c>
      <c r="Q8674" t="n">
        <v>0</v>
      </c>
      <c r="R8674" s="2" t="inlineStr"/>
    </row>
    <row r="8675" ht="15" customHeight="1">
      <c r="A8675" t="inlineStr">
        <is>
          <t>A 6229-2026</t>
        </is>
      </c>
      <c r="B8675" s="1" t="n">
        <v>46055.44458333333</v>
      </c>
      <c r="C8675" s="1" t="n">
        <v>46114</v>
      </c>
      <c r="D8675" t="inlineStr">
        <is>
          <t>DALARNAS LÄN</t>
        </is>
      </c>
      <c r="E8675" t="inlineStr">
        <is>
          <t>FALUN</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1978-2025</t>
        </is>
      </c>
      <c r="B8676" s="1" t="n">
        <v>45672.39789351852</v>
      </c>
      <c r="C8676" s="1" t="n">
        <v>46114</v>
      </c>
      <c r="D8676" t="inlineStr">
        <is>
          <t>DALARNAS LÄN</t>
        </is>
      </c>
      <c r="E8676" t="inlineStr">
        <is>
          <t>MALUNG-SÄLEN</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11712-2026</t>
        </is>
      </c>
      <c r="B8677" s="1" t="n">
        <v>46084</v>
      </c>
      <c r="C8677" s="1" t="n">
        <v>46114</v>
      </c>
      <c r="D8677" t="inlineStr">
        <is>
          <t>DALARNAS LÄN</t>
        </is>
      </c>
      <c r="E8677" t="inlineStr">
        <is>
          <t>FALUN</t>
        </is>
      </c>
      <c r="F8677" t="inlineStr">
        <is>
          <t>Bergvik skog väst AB</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13735-2026</t>
        </is>
      </c>
      <c r="B8678" s="1" t="n">
        <v>46097</v>
      </c>
      <c r="C8678" s="1" t="n">
        <v>46114</v>
      </c>
      <c r="D8678" t="inlineStr">
        <is>
          <t>DALARNAS LÄN</t>
        </is>
      </c>
      <c r="E8678" t="inlineStr">
        <is>
          <t>ÄLVDALEN</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5836-2026</t>
        </is>
      </c>
      <c r="B8679" s="1" t="n">
        <v>46052.33809027778</v>
      </c>
      <c r="C8679" s="1" t="n">
        <v>46114</v>
      </c>
      <c r="D8679" t="inlineStr">
        <is>
          <t>DALARNAS LÄN</t>
        </is>
      </c>
      <c r="E8679" t="inlineStr">
        <is>
          <t>MORA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11177-2026</t>
        </is>
      </c>
      <c r="B8680" s="1" t="n">
        <v>46080</v>
      </c>
      <c r="C8680" s="1" t="n">
        <v>46114</v>
      </c>
      <c r="D8680" t="inlineStr">
        <is>
          <t>DALARNAS LÄN</t>
        </is>
      </c>
      <c r="E8680" t="inlineStr">
        <is>
          <t>MALUNG-SÄLEN</t>
        </is>
      </c>
      <c r="G8680" t="n">
        <v>4.9</v>
      </c>
      <c r="H8680" t="n">
        <v>0</v>
      </c>
      <c r="I8680" t="n">
        <v>0</v>
      </c>
      <c r="J8680" t="n">
        <v>0</v>
      </c>
      <c r="K8680" t="n">
        <v>0</v>
      </c>
      <c r="L8680" t="n">
        <v>0</v>
      </c>
      <c r="M8680" t="n">
        <v>0</v>
      </c>
      <c r="N8680" t="n">
        <v>0</v>
      </c>
      <c r="O8680" t="n">
        <v>0</v>
      </c>
      <c r="P8680" t="n">
        <v>0</v>
      </c>
      <c r="Q8680" t="n">
        <v>0</v>
      </c>
      <c r="R8680" s="2" t="inlineStr"/>
    </row>
    <row r="8681" ht="15" customHeight="1">
      <c r="A8681" t="inlineStr">
        <is>
          <t>A 5933-2026</t>
        </is>
      </c>
      <c r="B8681" s="1" t="n">
        <v>46052</v>
      </c>
      <c r="C8681" s="1" t="n">
        <v>46114</v>
      </c>
      <c r="D8681" t="inlineStr">
        <is>
          <t>DALARNAS LÄN</t>
        </is>
      </c>
      <c r="E8681" t="inlineStr">
        <is>
          <t>LEKSAND</t>
        </is>
      </c>
      <c r="F8681" t="inlineStr">
        <is>
          <t>Bergvik skog väst AB</t>
        </is>
      </c>
      <c r="G8681" t="n">
        <v>14.4</v>
      </c>
      <c r="H8681" t="n">
        <v>0</v>
      </c>
      <c r="I8681" t="n">
        <v>0</v>
      </c>
      <c r="J8681" t="n">
        <v>0</v>
      </c>
      <c r="K8681" t="n">
        <v>0</v>
      </c>
      <c r="L8681" t="n">
        <v>0</v>
      </c>
      <c r="M8681" t="n">
        <v>0</v>
      </c>
      <c r="N8681" t="n">
        <v>0</v>
      </c>
      <c r="O8681" t="n">
        <v>0</v>
      </c>
      <c r="P8681" t="n">
        <v>0</v>
      </c>
      <c r="Q8681" t="n">
        <v>0</v>
      </c>
      <c r="R8681" s="2" t="inlineStr"/>
    </row>
    <row r="8682" ht="15" customHeight="1">
      <c r="A8682" t="inlineStr">
        <is>
          <t>A 36458-2024</t>
        </is>
      </c>
      <c r="B8682" s="1" t="n">
        <v>45537.34827546297</v>
      </c>
      <c r="C8682" s="1" t="n">
        <v>46114</v>
      </c>
      <c r="D8682" t="inlineStr">
        <is>
          <t>DALARNAS LÄN</t>
        </is>
      </c>
      <c r="E8682" t="inlineStr">
        <is>
          <t>RÄTTVIK</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36481-2024</t>
        </is>
      </c>
      <c r="B8683" s="1" t="n">
        <v>45537.37413194445</v>
      </c>
      <c r="C8683" s="1" t="n">
        <v>46114</v>
      </c>
      <c r="D8683" t="inlineStr">
        <is>
          <t>DALARNAS LÄN</t>
        </is>
      </c>
      <c r="E8683" t="inlineStr">
        <is>
          <t>SÄTER</t>
        </is>
      </c>
      <c r="F8683" t="inlineStr">
        <is>
          <t>Bergvik skog väst AB</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38521-2024</t>
        </is>
      </c>
      <c r="B8684" s="1" t="n">
        <v>45546.56472222223</v>
      </c>
      <c r="C8684" s="1" t="n">
        <v>46114</v>
      </c>
      <c r="D8684" t="inlineStr">
        <is>
          <t>DALARNAS LÄN</t>
        </is>
      </c>
      <c r="E8684" t="inlineStr">
        <is>
          <t>SÄTER</t>
        </is>
      </c>
      <c r="G8684" t="n">
        <v>3.8</v>
      </c>
      <c r="H8684" t="n">
        <v>0</v>
      </c>
      <c r="I8684" t="n">
        <v>0</v>
      </c>
      <c r="J8684" t="n">
        <v>0</v>
      </c>
      <c r="K8684" t="n">
        <v>0</v>
      </c>
      <c r="L8684" t="n">
        <v>0</v>
      </c>
      <c r="M8684" t="n">
        <v>0</v>
      </c>
      <c r="N8684" t="n">
        <v>0</v>
      </c>
      <c r="O8684" t="n">
        <v>0</v>
      </c>
      <c r="P8684" t="n">
        <v>0</v>
      </c>
      <c r="Q8684" t="n">
        <v>0</v>
      </c>
      <c r="R8684" s="2" t="inlineStr"/>
    </row>
    <row r="8685" ht="15" customHeight="1">
      <c r="A8685" t="inlineStr">
        <is>
          <t>A 24477-2023</t>
        </is>
      </c>
      <c r="B8685" s="1" t="n">
        <v>45077</v>
      </c>
      <c r="C8685" s="1" t="n">
        <v>46114</v>
      </c>
      <c r="D8685" t="inlineStr">
        <is>
          <t>DALARNAS LÄN</t>
        </is>
      </c>
      <c r="E8685" t="inlineStr">
        <is>
          <t>MALUNG-SÄLEN</t>
        </is>
      </c>
      <c r="G8685" t="n">
        <v>4.7</v>
      </c>
      <c r="H8685" t="n">
        <v>0</v>
      </c>
      <c r="I8685" t="n">
        <v>0</v>
      </c>
      <c r="J8685" t="n">
        <v>0</v>
      </c>
      <c r="K8685" t="n">
        <v>0</v>
      </c>
      <c r="L8685" t="n">
        <v>0</v>
      </c>
      <c r="M8685" t="n">
        <v>0</v>
      </c>
      <c r="N8685" t="n">
        <v>0</v>
      </c>
      <c r="O8685" t="n">
        <v>0</v>
      </c>
      <c r="P8685" t="n">
        <v>0</v>
      </c>
      <c r="Q8685" t="n">
        <v>0</v>
      </c>
      <c r="R8685" s="2" t="inlineStr"/>
    </row>
    <row r="8686" ht="15" customHeight="1">
      <c r="A8686" t="inlineStr">
        <is>
          <t>A 13354-2025</t>
        </is>
      </c>
      <c r="B8686" s="1" t="n">
        <v>45735.64283564815</v>
      </c>
      <c r="C8686" s="1" t="n">
        <v>46114</v>
      </c>
      <c r="D8686" t="inlineStr">
        <is>
          <t>DALARNAS LÄN</t>
        </is>
      </c>
      <c r="E8686" t="inlineStr">
        <is>
          <t>SMEDJEBACKEN</t>
        </is>
      </c>
      <c r="G8686" t="n">
        <v>4.4</v>
      </c>
      <c r="H8686" t="n">
        <v>0</v>
      </c>
      <c r="I8686" t="n">
        <v>0</v>
      </c>
      <c r="J8686" t="n">
        <v>0</v>
      </c>
      <c r="K8686" t="n">
        <v>0</v>
      </c>
      <c r="L8686" t="n">
        <v>0</v>
      </c>
      <c r="M8686" t="n">
        <v>0</v>
      </c>
      <c r="N8686" t="n">
        <v>0</v>
      </c>
      <c r="O8686" t="n">
        <v>0</v>
      </c>
      <c r="P8686" t="n">
        <v>0</v>
      </c>
      <c r="Q8686" t="n">
        <v>0</v>
      </c>
      <c r="R8686" s="2" t="inlineStr"/>
    </row>
    <row r="8687" ht="15" customHeight="1">
      <c r="A8687" t="inlineStr">
        <is>
          <t>A 13112-2026</t>
        </is>
      </c>
      <c r="B8687" s="1" t="n">
        <v>46093</v>
      </c>
      <c r="C8687" s="1" t="n">
        <v>46114</v>
      </c>
      <c r="D8687" t="inlineStr">
        <is>
          <t>DALARNAS LÄN</t>
        </is>
      </c>
      <c r="E8687" t="inlineStr">
        <is>
          <t>FALUN</t>
        </is>
      </c>
      <c r="F8687" t="inlineStr">
        <is>
          <t>Allmännings- och besparingsskogar</t>
        </is>
      </c>
      <c r="G8687" t="n">
        <v>3.3</v>
      </c>
      <c r="H8687" t="n">
        <v>0</v>
      </c>
      <c r="I8687" t="n">
        <v>0</v>
      </c>
      <c r="J8687" t="n">
        <v>0</v>
      </c>
      <c r="K8687" t="n">
        <v>0</v>
      </c>
      <c r="L8687" t="n">
        <v>0</v>
      </c>
      <c r="M8687" t="n">
        <v>0</v>
      </c>
      <c r="N8687" t="n">
        <v>0</v>
      </c>
      <c r="O8687" t="n">
        <v>0</v>
      </c>
      <c r="P8687" t="n">
        <v>0</v>
      </c>
      <c r="Q8687" t="n">
        <v>0</v>
      </c>
      <c r="R8687" s="2" t="inlineStr"/>
    </row>
    <row r="8688" ht="15" customHeight="1">
      <c r="A8688" t="inlineStr">
        <is>
          <t>A 13084-2026</t>
        </is>
      </c>
      <c r="B8688" s="1" t="n">
        <v>46093</v>
      </c>
      <c r="C8688" s="1" t="n">
        <v>46114</v>
      </c>
      <c r="D8688" t="inlineStr">
        <is>
          <t>DALARNAS LÄN</t>
        </is>
      </c>
      <c r="E8688" t="inlineStr">
        <is>
          <t>FALUN</t>
        </is>
      </c>
      <c r="F8688" t="inlineStr">
        <is>
          <t>Allmännings- och besparingsskogar</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13103-2026</t>
        </is>
      </c>
      <c r="B8689" s="1" t="n">
        <v>46093.4184375</v>
      </c>
      <c r="C8689" s="1" t="n">
        <v>46114</v>
      </c>
      <c r="D8689" t="inlineStr">
        <is>
          <t>DALARNAS LÄN</t>
        </is>
      </c>
      <c r="E8689" t="inlineStr">
        <is>
          <t>FALUN</t>
        </is>
      </c>
      <c r="G8689" t="n">
        <v>1.1</v>
      </c>
      <c r="H8689" t="n">
        <v>0</v>
      </c>
      <c r="I8689" t="n">
        <v>0</v>
      </c>
      <c r="J8689" t="n">
        <v>0</v>
      </c>
      <c r="K8689" t="n">
        <v>0</v>
      </c>
      <c r="L8689" t="n">
        <v>0</v>
      </c>
      <c r="M8689" t="n">
        <v>0</v>
      </c>
      <c r="N8689" t="n">
        <v>0</v>
      </c>
      <c r="O8689" t="n">
        <v>0</v>
      </c>
      <c r="P8689" t="n">
        <v>0</v>
      </c>
      <c r="Q8689" t="n">
        <v>0</v>
      </c>
      <c r="R8689" s="2" t="inlineStr"/>
    </row>
    <row r="8690" ht="15" customHeight="1">
      <c r="A8690" t="inlineStr">
        <is>
          <t>A 55428-2025</t>
        </is>
      </c>
      <c r="B8690" s="1" t="n">
        <v>45971.47856481482</v>
      </c>
      <c r="C8690" s="1" t="n">
        <v>46114</v>
      </c>
      <c r="D8690" t="inlineStr">
        <is>
          <t>DALARNAS LÄN</t>
        </is>
      </c>
      <c r="E8690" t="inlineStr">
        <is>
          <t>SÄTER</t>
        </is>
      </c>
      <c r="F8690" t="inlineStr">
        <is>
          <t>Bergvik skog väst AB</t>
        </is>
      </c>
      <c r="G8690" t="n">
        <v>5.5</v>
      </c>
      <c r="H8690" t="n">
        <v>0</v>
      </c>
      <c r="I8690" t="n">
        <v>0</v>
      </c>
      <c r="J8690" t="n">
        <v>0</v>
      </c>
      <c r="K8690" t="n">
        <v>0</v>
      </c>
      <c r="L8690" t="n">
        <v>0</v>
      </c>
      <c r="M8690" t="n">
        <v>0</v>
      </c>
      <c r="N8690" t="n">
        <v>0</v>
      </c>
      <c r="O8690" t="n">
        <v>0</v>
      </c>
      <c r="P8690" t="n">
        <v>0</v>
      </c>
      <c r="Q8690" t="n">
        <v>0</v>
      </c>
      <c r="R8690" s="2" t="inlineStr"/>
    </row>
    <row r="8691" ht="15" customHeight="1">
      <c r="A8691" t="inlineStr">
        <is>
          <t>A 39856-2024</t>
        </is>
      </c>
      <c r="B8691" s="1" t="n">
        <v>45553.44084490741</v>
      </c>
      <c r="C8691" s="1" t="n">
        <v>46114</v>
      </c>
      <c r="D8691" t="inlineStr">
        <is>
          <t>DALARNAS LÄN</t>
        </is>
      </c>
      <c r="E8691" t="inlineStr">
        <is>
          <t>MORA</t>
        </is>
      </c>
      <c r="G8691" t="n">
        <v>4.8</v>
      </c>
      <c r="H8691" t="n">
        <v>0</v>
      </c>
      <c r="I8691" t="n">
        <v>0</v>
      </c>
      <c r="J8691" t="n">
        <v>0</v>
      </c>
      <c r="K8691" t="n">
        <v>0</v>
      </c>
      <c r="L8691" t="n">
        <v>0</v>
      </c>
      <c r="M8691" t="n">
        <v>0</v>
      </c>
      <c r="N8691" t="n">
        <v>0</v>
      </c>
      <c r="O8691" t="n">
        <v>0</v>
      </c>
      <c r="P8691" t="n">
        <v>0</v>
      </c>
      <c r="Q8691" t="n">
        <v>0</v>
      </c>
      <c r="R8691" s="2" t="inlineStr"/>
    </row>
    <row r="8692" ht="15" customHeight="1">
      <c r="A8692" t="inlineStr">
        <is>
          <t>A 13543-2026</t>
        </is>
      </c>
      <c r="B8692" s="1" t="n">
        <v>46094.6853125</v>
      </c>
      <c r="C8692" s="1" t="n">
        <v>46114</v>
      </c>
      <c r="D8692" t="inlineStr">
        <is>
          <t>DALARNAS LÄN</t>
        </is>
      </c>
      <c r="E8692" t="inlineStr">
        <is>
          <t>MORA</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13571-2026</t>
        </is>
      </c>
      <c r="B8693" s="1" t="n">
        <v>46095.5737037037</v>
      </c>
      <c r="C8693" s="1" t="n">
        <v>46114</v>
      </c>
      <c r="D8693" t="inlineStr">
        <is>
          <t>DALARNAS LÄN</t>
        </is>
      </c>
      <c r="E8693" t="inlineStr">
        <is>
          <t>BORLÄNGE</t>
        </is>
      </c>
      <c r="G8693" t="n">
        <v>1.4</v>
      </c>
      <c r="H8693" t="n">
        <v>0</v>
      </c>
      <c r="I8693" t="n">
        <v>0</v>
      </c>
      <c r="J8693" t="n">
        <v>0</v>
      </c>
      <c r="K8693" t="n">
        <v>0</v>
      </c>
      <c r="L8693" t="n">
        <v>0</v>
      </c>
      <c r="M8693" t="n">
        <v>0</v>
      </c>
      <c r="N8693" t="n">
        <v>0</v>
      </c>
      <c r="O8693" t="n">
        <v>0</v>
      </c>
      <c r="P8693" t="n">
        <v>0</v>
      </c>
      <c r="Q8693" t="n">
        <v>0</v>
      </c>
      <c r="R8693" s="2" t="inlineStr"/>
    </row>
    <row r="8694" ht="15" customHeight="1">
      <c r="A8694" t="inlineStr">
        <is>
          <t>A 13572-2026</t>
        </is>
      </c>
      <c r="B8694" s="1" t="n">
        <v>46095.58078703703</v>
      </c>
      <c r="C8694" s="1" t="n">
        <v>46114</v>
      </c>
      <c r="D8694" t="inlineStr">
        <is>
          <t>DALARNAS LÄN</t>
        </is>
      </c>
      <c r="E8694" t="inlineStr">
        <is>
          <t>BORLÄNGE</t>
        </is>
      </c>
      <c r="G8694" t="n">
        <v>3.2</v>
      </c>
      <c r="H8694" t="n">
        <v>0</v>
      </c>
      <c r="I8694" t="n">
        <v>0</v>
      </c>
      <c r="J8694" t="n">
        <v>0</v>
      </c>
      <c r="K8694" t="n">
        <v>0</v>
      </c>
      <c r="L8694" t="n">
        <v>0</v>
      </c>
      <c r="M8694" t="n">
        <v>0</v>
      </c>
      <c r="N8694" t="n">
        <v>0</v>
      </c>
      <c r="O8694" t="n">
        <v>0</v>
      </c>
      <c r="P8694" t="n">
        <v>0</v>
      </c>
      <c r="Q8694" t="n">
        <v>0</v>
      </c>
      <c r="R8694" s="2" t="inlineStr"/>
    </row>
    <row r="8695" ht="15" customHeight="1">
      <c r="A8695" t="inlineStr">
        <is>
          <t>A 13650-2026</t>
        </is>
      </c>
      <c r="B8695" s="1" t="n">
        <v>46097.4371875</v>
      </c>
      <c r="C8695" s="1" t="n">
        <v>46114</v>
      </c>
      <c r="D8695" t="inlineStr">
        <is>
          <t>DALARNAS LÄN</t>
        </is>
      </c>
      <c r="E8695" t="inlineStr">
        <is>
          <t>LEKSAND</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57969-2024</t>
        </is>
      </c>
      <c r="B8696" s="1" t="n">
        <v>45631.60126157408</v>
      </c>
      <c r="C8696" s="1" t="n">
        <v>46114</v>
      </c>
      <c r="D8696" t="inlineStr">
        <is>
          <t>DALARNAS LÄN</t>
        </is>
      </c>
      <c r="E8696" t="inlineStr">
        <is>
          <t>LUDVIKA</t>
        </is>
      </c>
      <c r="F8696" t="inlineStr">
        <is>
          <t>Bergvik skog väst AB</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52288-2024</t>
        </is>
      </c>
      <c r="B8697" s="1" t="n">
        <v>45608.69395833334</v>
      </c>
      <c r="C8697" s="1" t="n">
        <v>46114</v>
      </c>
      <c r="D8697" t="inlineStr">
        <is>
          <t>DALARNAS LÄN</t>
        </is>
      </c>
      <c r="E8697" t="inlineStr">
        <is>
          <t>MORA</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6372-2026</t>
        </is>
      </c>
      <c r="B8698" s="1" t="n">
        <v>46055</v>
      </c>
      <c r="C8698" s="1" t="n">
        <v>46114</v>
      </c>
      <c r="D8698" t="inlineStr">
        <is>
          <t>DALARNAS LÄN</t>
        </is>
      </c>
      <c r="E8698" t="inlineStr">
        <is>
          <t>HEDEMORA</t>
        </is>
      </c>
      <c r="F8698" t="inlineStr">
        <is>
          <t>Sveaskog</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6383-2026</t>
        </is>
      </c>
      <c r="B8699" s="1" t="n">
        <v>46055</v>
      </c>
      <c r="C8699" s="1" t="n">
        <v>46114</v>
      </c>
      <c r="D8699" t="inlineStr">
        <is>
          <t>DALARNAS LÄN</t>
        </is>
      </c>
      <c r="E8699" t="inlineStr">
        <is>
          <t>HEDEMORA</t>
        </is>
      </c>
      <c r="F8699" t="inlineStr">
        <is>
          <t>Sveaskog</t>
        </is>
      </c>
      <c r="G8699" t="n">
        <v>5.7</v>
      </c>
      <c r="H8699" t="n">
        <v>0</v>
      </c>
      <c r="I8699" t="n">
        <v>0</v>
      </c>
      <c r="J8699" t="n">
        <v>0</v>
      </c>
      <c r="K8699" t="n">
        <v>0</v>
      </c>
      <c r="L8699" t="n">
        <v>0</v>
      </c>
      <c r="M8699" t="n">
        <v>0</v>
      </c>
      <c r="N8699" t="n">
        <v>0</v>
      </c>
      <c r="O8699" t="n">
        <v>0</v>
      </c>
      <c r="P8699" t="n">
        <v>0</v>
      </c>
      <c r="Q8699" t="n">
        <v>0</v>
      </c>
      <c r="R8699" s="2" t="inlineStr"/>
    </row>
    <row r="8700" ht="15" customHeight="1">
      <c r="A8700" t="inlineStr">
        <is>
          <t>A 6607-2026</t>
        </is>
      </c>
      <c r="B8700" s="1" t="n">
        <v>46052</v>
      </c>
      <c r="C8700" s="1" t="n">
        <v>46114</v>
      </c>
      <c r="D8700" t="inlineStr">
        <is>
          <t>DALARNAS LÄN</t>
        </is>
      </c>
      <c r="E8700" t="inlineStr">
        <is>
          <t>FALUN</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13898-2024</t>
        </is>
      </c>
      <c r="B8701" s="1" t="n">
        <v>45391</v>
      </c>
      <c r="C8701" s="1" t="n">
        <v>46114</v>
      </c>
      <c r="D8701" t="inlineStr">
        <is>
          <t>DALARNAS LÄN</t>
        </is>
      </c>
      <c r="E8701" t="inlineStr">
        <is>
          <t>MALUNG-SÄLEN</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43879-2022</t>
        </is>
      </c>
      <c r="B8702" s="1" t="n">
        <v>44838.46721064814</v>
      </c>
      <c r="C8702" s="1" t="n">
        <v>46114</v>
      </c>
      <c r="D8702" t="inlineStr">
        <is>
          <t>DALARNAS LÄN</t>
        </is>
      </c>
      <c r="E8702" t="inlineStr">
        <is>
          <t>MORA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32352-2023</t>
        </is>
      </c>
      <c r="B8703" s="1" t="n">
        <v>45120</v>
      </c>
      <c r="C8703" s="1" t="n">
        <v>46114</v>
      </c>
      <c r="D8703" t="inlineStr">
        <is>
          <t>DALARNAS LÄN</t>
        </is>
      </c>
      <c r="E8703" t="inlineStr">
        <is>
          <t>ÄLVDALEN</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18687-2024</t>
        </is>
      </c>
      <c r="B8704" s="1" t="n">
        <v>45426.38958333333</v>
      </c>
      <c r="C8704" s="1" t="n">
        <v>46114</v>
      </c>
      <c r="D8704" t="inlineStr">
        <is>
          <t>DALARNAS LÄN</t>
        </is>
      </c>
      <c r="E8704" t="inlineStr">
        <is>
          <t>RÄTTVIK</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6159-2026</t>
        </is>
      </c>
      <c r="B8705" s="1" t="n">
        <v>46055.31182870371</v>
      </c>
      <c r="C8705" s="1" t="n">
        <v>46114</v>
      </c>
      <c r="D8705" t="inlineStr">
        <is>
          <t>DALARNAS LÄN</t>
        </is>
      </c>
      <c r="E8705" t="inlineStr">
        <is>
          <t>FALUN</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6163-2026</t>
        </is>
      </c>
      <c r="B8706" s="1" t="n">
        <v>46055.32429398148</v>
      </c>
      <c r="C8706" s="1" t="n">
        <v>46114</v>
      </c>
      <c r="D8706" t="inlineStr">
        <is>
          <t>DALARNAS LÄN</t>
        </is>
      </c>
      <c r="E8706" t="inlineStr">
        <is>
          <t>MALUNG-SÄLEN</t>
        </is>
      </c>
      <c r="F8706" t="inlineStr">
        <is>
          <t>Kommuner</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11538-2026</t>
        </is>
      </c>
      <c r="B8707" s="1" t="n">
        <v>46083</v>
      </c>
      <c r="C8707" s="1" t="n">
        <v>46114</v>
      </c>
      <c r="D8707" t="inlineStr">
        <is>
          <t>DALARNAS LÄN</t>
        </is>
      </c>
      <c r="E8707" t="inlineStr">
        <is>
          <t>FALUN</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6027-2026</t>
        </is>
      </c>
      <c r="B8708" s="1" t="n">
        <v>46052</v>
      </c>
      <c r="C8708" s="1" t="n">
        <v>46114</v>
      </c>
      <c r="D8708" t="inlineStr">
        <is>
          <t>DALARNAS LÄN</t>
        </is>
      </c>
      <c r="E8708" t="inlineStr">
        <is>
          <t>FALUN</t>
        </is>
      </c>
      <c r="G8708" t="n">
        <v>0.6</v>
      </c>
      <c r="H8708" t="n">
        <v>0</v>
      </c>
      <c r="I8708" t="n">
        <v>0</v>
      </c>
      <c r="J8708" t="n">
        <v>0</v>
      </c>
      <c r="K8708" t="n">
        <v>0</v>
      </c>
      <c r="L8708" t="n">
        <v>0</v>
      </c>
      <c r="M8708" t="n">
        <v>0</v>
      </c>
      <c r="N8708" t="n">
        <v>0</v>
      </c>
      <c r="O8708" t="n">
        <v>0</v>
      </c>
      <c r="P8708" t="n">
        <v>0</v>
      </c>
      <c r="Q8708" t="n">
        <v>0</v>
      </c>
      <c r="R8708" s="2" t="inlineStr"/>
    </row>
    <row r="8709" ht="15" customHeight="1">
      <c r="A8709" t="inlineStr">
        <is>
          <t>A 13362-2026</t>
        </is>
      </c>
      <c r="B8709" s="1" t="n">
        <v>46094.40298611111</v>
      </c>
      <c r="C8709" s="1" t="n">
        <v>46114</v>
      </c>
      <c r="D8709" t="inlineStr">
        <is>
          <t>DALARNAS LÄN</t>
        </is>
      </c>
      <c r="E8709" t="inlineStr">
        <is>
          <t>SÄTER</t>
        </is>
      </c>
      <c r="G8709" t="n">
        <v>9.1</v>
      </c>
      <c r="H8709" t="n">
        <v>0</v>
      </c>
      <c r="I8709" t="n">
        <v>0</v>
      </c>
      <c r="J8709" t="n">
        <v>0</v>
      </c>
      <c r="K8709" t="n">
        <v>0</v>
      </c>
      <c r="L8709" t="n">
        <v>0</v>
      </c>
      <c r="M8709" t="n">
        <v>0</v>
      </c>
      <c r="N8709" t="n">
        <v>0</v>
      </c>
      <c r="O8709" t="n">
        <v>0</v>
      </c>
      <c r="P8709" t="n">
        <v>0</v>
      </c>
      <c r="Q8709" t="n">
        <v>0</v>
      </c>
      <c r="R8709" s="2" t="inlineStr"/>
    </row>
    <row r="8710" ht="15" customHeight="1">
      <c r="A8710" t="inlineStr">
        <is>
          <t>A 57665-2023</t>
        </is>
      </c>
      <c r="B8710" s="1" t="n">
        <v>45246</v>
      </c>
      <c r="C8710" s="1" t="n">
        <v>46114</v>
      </c>
      <c r="D8710" t="inlineStr">
        <is>
          <t>DALARNAS LÄN</t>
        </is>
      </c>
      <c r="E8710" t="inlineStr">
        <is>
          <t>LEKSAND</t>
        </is>
      </c>
      <c r="G8710" t="n">
        <v>0.6</v>
      </c>
      <c r="H8710" t="n">
        <v>0</v>
      </c>
      <c r="I8710" t="n">
        <v>0</v>
      </c>
      <c r="J8710" t="n">
        <v>0</v>
      </c>
      <c r="K8710" t="n">
        <v>0</v>
      </c>
      <c r="L8710" t="n">
        <v>0</v>
      </c>
      <c r="M8710" t="n">
        <v>0</v>
      </c>
      <c r="N8710" t="n">
        <v>0</v>
      </c>
      <c r="O8710" t="n">
        <v>0</v>
      </c>
      <c r="P8710" t="n">
        <v>0</v>
      </c>
      <c r="Q8710" t="n">
        <v>0</v>
      </c>
      <c r="R8710" s="2" t="inlineStr"/>
    </row>
    <row r="8711" ht="15" customHeight="1">
      <c r="A8711" t="inlineStr">
        <is>
          <t>A 13697-2026</t>
        </is>
      </c>
      <c r="B8711" s="1" t="n">
        <v>46097.55961805556</v>
      </c>
      <c r="C8711" s="1" t="n">
        <v>46114</v>
      </c>
      <c r="D8711" t="inlineStr">
        <is>
          <t>DALARNAS LÄN</t>
        </is>
      </c>
      <c r="E8711" t="inlineStr">
        <is>
          <t>LEKSAND</t>
        </is>
      </c>
      <c r="G8711" t="n">
        <v>0.7</v>
      </c>
      <c r="H8711" t="n">
        <v>0</v>
      </c>
      <c r="I8711" t="n">
        <v>0</v>
      </c>
      <c r="J8711" t="n">
        <v>0</v>
      </c>
      <c r="K8711" t="n">
        <v>0</v>
      </c>
      <c r="L8711" t="n">
        <v>0</v>
      </c>
      <c r="M8711" t="n">
        <v>0</v>
      </c>
      <c r="N8711" t="n">
        <v>0</v>
      </c>
      <c r="O8711" t="n">
        <v>0</v>
      </c>
      <c r="P8711" t="n">
        <v>0</v>
      </c>
      <c r="Q8711" t="n">
        <v>0</v>
      </c>
      <c r="R8711" s="2" t="inlineStr"/>
    </row>
    <row r="8712" ht="15" customHeight="1">
      <c r="A8712" t="inlineStr">
        <is>
          <t>A 15495-2024</t>
        </is>
      </c>
      <c r="B8712" s="1" t="n">
        <v>45401.53269675926</v>
      </c>
      <c r="C8712" s="1" t="n">
        <v>46114</v>
      </c>
      <c r="D8712" t="inlineStr">
        <is>
          <t>DALARNAS LÄN</t>
        </is>
      </c>
      <c r="E8712" t="inlineStr">
        <is>
          <t>BORLÄNGE</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5921-2026</t>
        </is>
      </c>
      <c r="B8713" s="1" t="n">
        <v>46052.45731481481</v>
      </c>
      <c r="C8713" s="1" t="n">
        <v>46114</v>
      </c>
      <c r="D8713" t="inlineStr">
        <is>
          <t>DALARNAS LÄN</t>
        </is>
      </c>
      <c r="E8713" t="inlineStr">
        <is>
          <t>FALUN</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6208-2026</t>
        </is>
      </c>
      <c r="B8714" s="1" t="n">
        <v>46055.42100694445</v>
      </c>
      <c r="C8714" s="1" t="n">
        <v>46114</v>
      </c>
      <c r="D8714" t="inlineStr">
        <is>
          <t>DALARNAS LÄN</t>
        </is>
      </c>
      <c r="E8714" t="inlineStr">
        <is>
          <t>FALUN</t>
        </is>
      </c>
      <c r="G8714" t="n">
        <v>7.5</v>
      </c>
      <c r="H8714" t="n">
        <v>0</v>
      </c>
      <c r="I8714" t="n">
        <v>0</v>
      </c>
      <c r="J8714" t="n">
        <v>0</v>
      </c>
      <c r="K8714" t="n">
        <v>0</v>
      </c>
      <c r="L8714" t="n">
        <v>0</v>
      </c>
      <c r="M8714" t="n">
        <v>0</v>
      </c>
      <c r="N8714" t="n">
        <v>0</v>
      </c>
      <c r="O8714" t="n">
        <v>0</v>
      </c>
      <c r="P8714" t="n">
        <v>0</v>
      </c>
      <c r="Q8714" t="n">
        <v>0</v>
      </c>
      <c r="R8714" s="2" t="inlineStr"/>
    </row>
    <row r="8715" ht="15" customHeight="1">
      <c r="A8715" t="inlineStr">
        <is>
          <t>A 6302-2026</t>
        </is>
      </c>
      <c r="B8715" s="1" t="n">
        <v>46055.56907407408</v>
      </c>
      <c r="C8715" s="1" t="n">
        <v>46114</v>
      </c>
      <c r="D8715" t="inlineStr">
        <is>
          <t>DALARNAS LÄN</t>
        </is>
      </c>
      <c r="E8715" t="inlineStr">
        <is>
          <t>FALUN</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12689-2026</t>
        </is>
      </c>
      <c r="B8716" s="1" t="n">
        <v>46090</v>
      </c>
      <c r="C8716" s="1" t="n">
        <v>46114</v>
      </c>
      <c r="D8716" t="inlineStr">
        <is>
          <t>DALARNAS LÄN</t>
        </is>
      </c>
      <c r="E8716" t="inlineStr">
        <is>
          <t>FALUN</t>
        </is>
      </c>
      <c r="F8716" t="inlineStr">
        <is>
          <t>Allmännings- och besparingsskogar</t>
        </is>
      </c>
      <c r="G8716" t="n">
        <v>122.4</v>
      </c>
      <c r="H8716" t="n">
        <v>0</v>
      </c>
      <c r="I8716" t="n">
        <v>0</v>
      </c>
      <c r="J8716" t="n">
        <v>0</v>
      </c>
      <c r="K8716" t="n">
        <v>0</v>
      </c>
      <c r="L8716" t="n">
        <v>0</v>
      </c>
      <c r="M8716" t="n">
        <v>0</v>
      </c>
      <c r="N8716" t="n">
        <v>0</v>
      </c>
      <c r="O8716" t="n">
        <v>0</v>
      </c>
      <c r="P8716" t="n">
        <v>0</v>
      </c>
      <c r="Q8716" t="n">
        <v>0</v>
      </c>
      <c r="R8716" s="2" t="inlineStr"/>
    </row>
    <row r="8717" ht="15" customHeight="1">
      <c r="A8717" t="inlineStr">
        <is>
          <t>A 14939-2024</t>
        </is>
      </c>
      <c r="B8717" s="1" t="n">
        <v>45398.68</v>
      </c>
      <c r="C8717" s="1" t="n">
        <v>46114</v>
      </c>
      <c r="D8717" t="inlineStr">
        <is>
          <t>DALARNAS LÄN</t>
        </is>
      </c>
      <c r="E8717" t="inlineStr">
        <is>
          <t>FALUN</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5896-2026</t>
        </is>
      </c>
      <c r="B8718" s="1" t="n">
        <v>46052.42724537037</v>
      </c>
      <c r="C8718" s="1" t="n">
        <v>46114</v>
      </c>
      <c r="D8718" t="inlineStr">
        <is>
          <t>DALARNAS LÄN</t>
        </is>
      </c>
      <c r="E8718" t="inlineStr">
        <is>
          <t>ORSA</t>
        </is>
      </c>
      <c r="G8718" t="n">
        <v>1.7</v>
      </c>
      <c r="H8718" t="n">
        <v>0</v>
      </c>
      <c r="I8718" t="n">
        <v>0</v>
      </c>
      <c r="J8718" t="n">
        <v>0</v>
      </c>
      <c r="K8718" t="n">
        <v>0</v>
      </c>
      <c r="L8718" t="n">
        <v>0</v>
      </c>
      <c r="M8718" t="n">
        <v>0</v>
      </c>
      <c r="N8718" t="n">
        <v>0</v>
      </c>
      <c r="O8718" t="n">
        <v>0</v>
      </c>
      <c r="P8718" t="n">
        <v>0</v>
      </c>
      <c r="Q8718" t="n">
        <v>0</v>
      </c>
      <c r="R8718" s="2" t="inlineStr"/>
    </row>
    <row r="8719" ht="15" customHeight="1">
      <c r="A8719" t="inlineStr">
        <is>
          <t>A 54000-2023</t>
        </is>
      </c>
      <c r="B8719" s="1" t="n">
        <v>45231.67228009259</v>
      </c>
      <c r="C8719" s="1" t="n">
        <v>46114</v>
      </c>
      <c r="D8719" t="inlineStr">
        <is>
          <t>DALARNAS LÄN</t>
        </is>
      </c>
      <c r="E8719" t="inlineStr">
        <is>
          <t>MALUNG-SÄLEN</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43981-2022</t>
        </is>
      </c>
      <c r="B8720" s="1" t="n">
        <v>44837</v>
      </c>
      <c r="C8720" s="1" t="n">
        <v>46114</v>
      </c>
      <c r="D8720" t="inlineStr">
        <is>
          <t>DALARNAS LÄN</t>
        </is>
      </c>
      <c r="E8720" t="inlineStr">
        <is>
          <t>MALUNG-SÄLEN</t>
        </is>
      </c>
      <c r="F8720" t="inlineStr">
        <is>
          <t>Kommuner</t>
        </is>
      </c>
      <c r="G8720" t="n">
        <v>2.5</v>
      </c>
      <c r="H8720" t="n">
        <v>0</v>
      </c>
      <c r="I8720" t="n">
        <v>0</v>
      </c>
      <c r="J8720" t="n">
        <v>0</v>
      </c>
      <c r="K8720" t="n">
        <v>0</v>
      </c>
      <c r="L8720" t="n">
        <v>0</v>
      </c>
      <c r="M8720" t="n">
        <v>0</v>
      </c>
      <c r="N8720" t="n">
        <v>0</v>
      </c>
      <c r="O8720" t="n">
        <v>0</v>
      </c>
      <c r="P8720" t="n">
        <v>0</v>
      </c>
      <c r="Q8720" t="n">
        <v>0</v>
      </c>
      <c r="R8720" s="2" t="inlineStr"/>
    </row>
    <row r="8721" ht="15" customHeight="1">
      <c r="A8721" t="inlineStr">
        <is>
          <t>A 5925-2026</t>
        </is>
      </c>
      <c r="B8721" s="1" t="n">
        <v>46052</v>
      </c>
      <c r="C8721" s="1" t="n">
        <v>46114</v>
      </c>
      <c r="D8721" t="inlineStr">
        <is>
          <t>DALARNAS LÄN</t>
        </is>
      </c>
      <c r="E8721" t="inlineStr">
        <is>
          <t>ÄLVDALEN</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30858-2024</t>
        </is>
      </c>
      <c r="B8722" s="1" t="n">
        <v>45497.67601851852</v>
      </c>
      <c r="C8722" s="1" t="n">
        <v>46114</v>
      </c>
      <c r="D8722" t="inlineStr">
        <is>
          <t>DALARNAS LÄN</t>
        </is>
      </c>
      <c r="E8722" t="inlineStr">
        <is>
          <t>LEKSAND</t>
        </is>
      </c>
      <c r="F8722" t="inlineStr">
        <is>
          <t>Bergvik skog väst AB</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25691-2022</t>
        </is>
      </c>
      <c r="B8723" s="1" t="n">
        <v>44733</v>
      </c>
      <c r="C8723" s="1" t="n">
        <v>46114</v>
      </c>
      <c r="D8723" t="inlineStr">
        <is>
          <t>DALARNAS LÄN</t>
        </is>
      </c>
      <c r="E8723" t="inlineStr">
        <is>
          <t>HEDEMORA</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34822-2021</t>
        </is>
      </c>
      <c r="B8724" s="1" t="n">
        <v>44383.35997685185</v>
      </c>
      <c r="C8724" s="1" t="n">
        <v>46114</v>
      </c>
      <c r="D8724" t="inlineStr">
        <is>
          <t>DALARNAS LÄN</t>
        </is>
      </c>
      <c r="E8724" t="inlineStr">
        <is>
          <t>SMEDJEBACKEN</t>
        </is>
      </c>
      <c r="F8724" t="inlineStr">
        <is>
          <t>Sveaskog</t>
        </is>
      </c>
      <c r="G8724" t="n">
        <v>3.5</v>
      </c>
      <c r="H8724" t="n">
        <v>0</v>
      </c>
      <c r="I8724" t="n">
        <v>0</v>
      </c>
      <c r="J8724" t="n">
        <v>0</v>
      </c>
      <c r="K8724" t="n">
        <v>0</v>
      </c>
      <c r="L8724" t="n">
        <v>0</v>
      </c>
      <c r="M8724" t="n">
        <v>0</v>
      </c>
      <c r="N8724" t="n">
        <v>0</v>
      </c>
      <c r="O8724" t="n">
        <v>0</v>
      </c>
      <c r="P8724" t="n">
        <v>0</v>
      </c>
      <c r="Q8724" t="n">
        <v>0</v>
      </c>
      <c r="R8724" s="2" t="inlineStr"/>
    </row>
    <row r="8725" ht="15" customHeight="1">
      <c r="A8725" t="inlineStr">
        <is>
          <t>A 12664-2026</t>
        </is>
      </c>
      <c r="B8725" s="1" t="n">
        <v>46091</v>
      </c>
      <c r="C8725" s="1" t="n">
        <v>46114</v>
      </c>
      <c r="D8725" t="inlineStr">
        <is>
          <t>DALARNAS LÄN</t>
        </is>
      </c>
      <c r="E8725" t="inlineStr">
        <is>
          <t>MORA</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5871-2026</t>
        </is>
      </c>
      <c r="B8726" s="1" t="n">
        <v>46052</v>
      </c>
      <c r="C8726" s="1" t="n">
        <v>46114</v>
      </c>
      <c r="D8726" t="inlineStr">
        <is>
          <t>DALARNAS LÄN</t>
        </is>
      </c>
      <c r="E8726" t="inlineStr">
        <is>
          <t>FALUN</t>
        </is>
      </c>
      <c r="G8726" t="n">
        <v>12.2</v>
      </c>
      <c r="H8726" t="n">
        <v>0</v>
      </c>
      <c r="I8726" t="n">
        <v>0</v>
      </c>
      <c r="J8726" t="n">
        <v>0</v>
      </c>
      <c r="K8726" t="n">
        <v>0</v>
      </c>
      <c r="L8726" t="n">
        <v>0</v>
      </c>
      <c r="M8726" t="n">
        <v>0</v>
      </c>
      <c r="N8726" t="n">
        <v>0</v>
      </c>
      <c r="O8726" t="n">
        <v>0</v>
      </c>
      <c r="P8726" t="n">
        <v>0</v>
      </c>
      <c r="Q8726" t="n">
        <v>0</v>
      </c>
      <c r="R8726" s="2" t="inlineStr"/>
    </row>
    <row r="8727" ht="15" customHeight="1">
      <c r="A8727" t="inlineStr">
        <is>
          <t>A 10973-2026</t>
        </is>
      </c>
      <c r="B8727" s="1" t="n">
        <v>46079</v>
      </c>
      <c r="C8727" s="1" t="n">
        <v>46114</v>
      </c>
      <c r="D8727" t="inlineStr">
        <is>
          <t>DALARNAS LÄN</t>
        </is>
      </c>
      <c r="E8727" t="inlineStr">
        <is>
          <t>LUDVIKA</t>
        </is>
      </c>
      <c r="F8727" t="inlineStr">
        <is>
          <t>Bergvik skog väst AB</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11387-2026</t>
        </is>
      </c>
      <c r="B8728" s="1" t="n">
        <v>46083</v>
      </c>
      <c r="C8728" s="1" t="n">
        <v>46114</v>
      </c>
      <c r="D8728" t="inlineStr">
        <is>
          <t>DALARNAS LÄN</t>
        </is>
      </c>
      <c r="E8728" t="inlineStr">
        <is>
          <t>FALUN</t>
        </is>
      </c>
      <c r="G8728" t="n">
        <v>1.7</v>
      </c>
      <c r="H8728" t="n">
        <v>0</v>
      </c>
      <c r="I8728" t="n">
        <v>0</v>
      </c>
      <c r="J8728" t="n">
        <v>0</v>
      </c>
      <c r="K8728" t="n">
        <v>0</v>
      </c>
      <c r="L8728" t="n">
        <v>0</v>
      </c>
      <c r="M8728" t="n">
        <v>0</v>
      </c>
      <c r="N8728" t="n">
        <v>0</v>
      </c>
      <c r="O8728" t="n">
        <v>0</v>
      </c>
      <c r="P8728" t="n">
        <v>0</v>
      </c>
      <c r="Q8728" t="n">
        <v>0</v>
      </c>
      <c r="R8728" s="2" t="inlineStr"/>
    </row>
    <row r="8729" ht="15" customHeight="1">
      <c r="A8729" t="inlineStr">
        <is>
          <t>A 2068-2023</t>
        </is>
      </c>
      <c r="B8729" s="1" t="n">
        <v>44939.65450231481</v>
      </c>
      <c r="C8729" s="1" t="n">
        <v>46114</v>
      </c>
      <c r="D8729" t="inlineStr">
        <is>
          <t>DALARNAS LÄN</t>
        </is>
      </c>
      <c r="E8729" t="inlineStr">
        <is>
          <t>RÄTTVIK</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24889-2022</t>
        </is>
      </c>
      <c r="B8730" s="1" t="n">
        <v>44728.57715277778</v>
      </c>
      <c r="C8730" s="1" t="n">
        <v>46114</v>
      </c>
      <c r="D8730" t="inlineStr">
        <is>
          <t>DALARNAS LÄN</t>
        </is>
      </c>
      <c r="E8730" t="inlineStr">
        <is>
          <t>RÄTTVIK</t>
        </is>
      </c>
      <c r="F8730" t="inlineStr">
        <is>
          <t>Sveaskog</t>
        </is>
      </c>
      <c r="G8730" t="n">
        <v>3.3</v>
      </c>
      <c r="H8730" t="n">
        <v>0</v>
      </c>
      <c r="I8730" t="n">
        <v>0</v>
      </c>
      <c r="J8730" t="n">
        <v>0</v>
      </c>
      <c r="K8730" t="n">
        <v>0</v>
      </c>
      <c r="L8730" t="n">
        <v>0</v>
      </c>
      <c r="M8730" t="n">
        <v>0</v>
      </c>
      <c r="N8730" t="n">
        <v>0</v>
      </c>
      <c r="O8730" t="n">
        <v>0</v>
      </c>
      <c r="P8730" t="n">
        <v>0</v>
      </c>
      <c r="Q8730" t="n">
        <v>0</v>
      </c>
      <c r="R8730" s="2" t="inlineStr"/>
    </row>
    <row r="8731" ht="15" customHeight="1">
      <c r="A8731" t="inlineStr">
        <is>
          <t>A 13711-2026</t>
        </is>
      </c>
      <c r="B8731" s="1" t="n">
        <v>46097</v>
      </c>
      <c r="C8731" s="1" t="n">
        <v>46114</v>
      </c>
      <c r="D8731" t="inlineStr">
        <is>
          <t>DALARNAS LÄN</t>
        </is>
      </c>
      <c r="E8731" t="inlineStr">
        <is>
          <t>FALUN</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43767-2021</t>
        </is>
      </c>
      <c r="B8732" s="1" t="n">
        <v>44433.6797337963</v>
      </c>
      <c r="C8732" s="1" t="n">
        <v>46114</v>
      </c>
      <c r="D8732" t="inlineStr">
        <is>
          <t>DALARNAS LÄN</t>
        </is>
      </c>
      <c r="E8732" t="inlineStr">
        <is>
          <t>AVESTA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13634-2026</t>
        </is>
      </c>
      <c r="B8733" s="1" t="n">
        <v>46097.38424768519</v>
      </c>
      <c r="C8733" s="1" t="n">
        <v>46114</v>
      </c>
      <c r="D8733" t="inlineStr">
        <is>
          <t>DALARNAS LÄN</t>
        </is>
      </c>
      <c r="E8733" t="inlineStr">
        <is>
          <t>FALUN</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5919-2026</t>
        </is>
      </c>
      <c r="B8734" s="1" t="n">
        <v>46052</v>
      </c>
      <c r="C8734" s="1" t="n">
        <v>46114</v>
      </c>
      <c r="D8734" t="inlineStr">
        <is>
          <t>DALARNAS LÄN</t>
        </is>
      </c>
      <c r="E8734" t="inlineStr">
        <is>
          <t>FALUN</t>
        </is>
      </c>
      <c r="G8734" t="n">
        <v>1.3</v>
      </c>
      <c r="H8734" t="n">
        <v>0</v>
      </c>
      <c r="I8734" t="n">
        <v>0</v>
      </c>
      <c r="J8734" t="n">
        <v>0</v>
      </c>
      <c r="K8734" t="n">
        <v>0</v>
      </c>
      <c r="L8734" t="n">
        <v>0</v>
      </c>
      <c r="M8734" t="n">
        <v>0</v>
      </c>
      <c r="N8734" t="n">
        <v>0</v>
      </c>
      <c r="O8734" t="n">
        <v>0</v>
      </c>
      <c r="P8734" t="n">
        <v>0</v>
      </c>
      <c r="Q8734" t="n">
        <v>0</v>
      </c>
      <c r="R8734" s="2" t="inlineStr"/>
    </row>
    <row r="8735" ht="15" customHeight="1">
      <c r="A8735" t="inlineStr">
        <is>
          <t>A 12235-2026</t>
        </is>
      </c>
      <c r="B8735" s="1" t="n">
        <v>46087</v>
      </c>
      <c r="C8735" s="1" t="n">
        <v>46114</v>
      </c>
      <c r="D8735" t="inlineStr">
        <is>
          <t>DALARNAS LÄN</t>
        </is>
      </c>
      <c r="E8735" t="inlineStr">
        <is>
          <t>BORLÄNGE</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60475-2022</t>
        </is>
      </c>
      <c r="B8736" s="1" t="n">
        <v>44911.41222222222</v>
      </c>
      <c r="C8736" s="1" t="n">
        <v>46114</v>
      </c>
      <c r="D8736" t="inlineStr">
        <is>
          <t>DALARNAS LÄN</t>
        </is>
      </c>
      <c r="E8736" t="inlineStr">
        <is>
          <t>HEDEMORA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6470-2026</t>
        </is>
      </c>
      <c r="B8737" s="1" t="n">
        <v>46056.32505787037</v>
      </c>
      <c r="C8737" s="1" t="n">
        <v>46114</v>
      </c>
      <c r="D8737" t="inlineStr">
        <is>
          <t>DALARNAS LÄN</t>
        </is>
      </c>
      <c r="E8737" t="inlineStr">
        <is>
          <t>RÄTTVIK</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6489-2026</t>
        </is>
      </c>
      <c r="B8738" s="1" t="n">
        <v>46056</v>
      </c>
      <c r="C8738" s="1" t="n">
        <v>46114</v>
      </c>
      <c r="D8738" t="inlineStr">
        <is>
          <t>DALARNAS LÄN</t>
        </is>
      </c>
      <c r="E8738" t="inlineStr">
        <is>
          <t>RÄTTVIK</t>
        </is>
      </c>
      <c r="G8738" t="n">
        <v>9.6</v>
      </c>
      <c r="H8738" t="n">
        <v>0</v>
      </c>
      <c r="I8738" t="n">
        <v>0</v>
      </c>
      <c r="J8738" t="n">
        <v>0</v>
      </c>
      <c r="K8738" t="n">
        <v>0</v>
      </c>
      <c r="L8738" t="n">
        <v>0</v>
      </c>
      <c r="M8738" t="n">
        <v>0</v>
      </c>
      <c r="N8738" t="n">
        <v>0</v>
      </c>
      <c r="O8738" t="n">
        <v>0</v>
      </c>
      <c r="P8738" t="n">
        <v>0</v>
      </c>
      <c r="Q8738" t="n">
        <v>0</v>
      </c>
      <c r="R8738" s="2" t="inlineStr"/>
    </row>
    <row r="8739" ht="15" customHeight="1">
      <c r="A8739" t="inlineStr">
        <is>
          <t>A 45047-2024</t>
        </is>
      </c>
      <c r="B8739" s="1" t="n">
        <v>45575.54640046296</v>
      </c>
      <c r="C8739" s="1" t="n">
        <v>46114</v>
      </c>
      <c r="D8739" t="inlineStr">
        <is>
          <t>DALARNAS LÄN</t>
        </is>
      </c>
      <c r="E8739" t="inlineStr">
        <is>
          <t>RÄTTVIK</t>
        </is>
      </c>
      <c r="F8739" t="inlineStr">
        <is>
          <t>Bergvik skog väst AB</t>
        </is>
      </c>
      <c r="G8739" t="n">
        <v>1.5</v>
      </c>
      <c r="H8739" t="n">
        <v>0</v>
      </c>
      <c r="I8739" t="n">
        <v>0</v>
      </c>
      <c r="J8739" t="n">
        <v>0</v>
      </c>
      <c r="K8739" t="n">
        <v>0</v>
      </c>
      <c r="L8739" t="n">
        <v>0</v>
      </c>
      <c r="M8739" t="n">
        <v>0</v>
      </c>
      <c r="N8739" t="n">
        <v>0</v>
      </c>
      <c r="O8739" t="n">
        <v>0</v>
      </c>
      <c r="P8739" t="n">
        <v>0</v>
      </c>
      <c r="Q8739" t="n">
        <v>0</v>
      </c>
      <c r="R8739" s="2" t="inlineStr"/>
    </row>
    <row r="8740" ht="15" customHeight="1">
      <c r="A8740" t="inlineStr">
        <is>
          <t>A 39761-2022</t>
        </is>
      </c>
      <c r="B8740" s="1" t="n">
        <v>44819.43425925926</v>
      </c>
      <c r="C8740" s="1" t="n">
        <v>46114</v>
      </c>
      <c r="D8740" t="inlineStr">
        <is>
          <t>DALARNAS LÄN</t>
        </is>
      </c>
      <c r="E8740" t="inlineStr">
        <is>
          <t>LUDVIKA</t>
        </is>
      </c>
      <c r="F8740" t="inlineStr">
        <is>
          <t>Naturvårdsverket</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14097-2026</t>
        </is>
      </c>
      <c r="B8741" s="1" t="n">
        <v>46099.40351851852</v>
      </c>
      <c r="C8741" s="1" t="n">
        <v>46114</v>
      </c>
      <c r="D8741" t="inlineStr">
        <is>
          <t>DALARNAS LÄN</t>
        </is>
      </c>
      <c r="E8741" t="inlineStr">
        <is>
          <t>FALUN</t>
        </is>
      </c>
      <c r="F8741" t="inlineStr">
        <is>
          <t>Bergvik skog väst AB</t>
        </is>
      </c>
      <c r="G8741" t="n">
        <v>4.7</v>
      </c>
      <c r="H8741" t="n">
        <v>0</v>
      </c>
      <c r="I8741" t="n">
        <v>0</v>
      </c>
      <c r="J8741" t="n">
        <v>0</v>
      </c>
      <c r="K8741" t="n">
        <v>0</v>
      </c>
      <c r="L8741" t="n">
        <v>0</v>
      </c>
      <c r="M8741" t="n">
        <v>0</v>
      </c>
      <c r="N8741" t="n">
        <v>0</v>
      </c>
      <c r="O8741" t="n">
        <v>0</v>
      </c>
      <c r="P8741" t="n">
        <v>0</v>
      </c>
      <c r="Q8741" t="n">
        <v>0</v>
      </c>
      <c r="R8741" s="2" t="inlineStr"/>
    </row>
    <row r="8742" ht="15" customHeight="1">
      <c r="A8742" t="inlineStr">
        <is>
          <t>A 14199-2026</t>
        </is>
      </c>
      <c r="B8742" s="1" t="n">
        <v>46099.54627314815</v>
      </c>
      <c r="C8742" s="1" t="n">
        <v>46114</v>
      </c>
      <c r="D8742" t="inlineStr">
        <is>
          <t>DALARNAS LÄN</t>
        </is>
      </c>
      <c r="E8742" t="inlineStr">
        <is>
          <t>FALUN</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14207-2026</t>
        </is>
      </c>
      <c r="B8743" s="1" t="n">
        <v>46099</v>
      </c>
      <c r="C8743" s="1" t="n">
        <v>46114</v>
      </c>
      <c r="D8743" t="inlineStr">
        <is>
          <t>DALARNAS LÄN</t>
        </is>
      </c>
      <c r="E8743" t="inlineStr">
        <is>
          <t>FALUN</t>
        </is>
      </c>
      <c r="G8743" t="n">
        <v>34.4</v>
      </c>
      <c r="H8743" t="n">
        <v>0</v>
      </c>
      <c r="I8743" t="n">
        <v>0</v>
      </c>
      <c r="J8743" t="n">
        <v>0</v>
      </c>
      <c r="K8743" t="n">
        <v>0</v>
      </c>
      <c r="L8743" t="n">
        <v>0</v>
      </c>
      <c r="M8743" t="n">
        <v>0</v>
      </c>
      <c r="N8743" t="n">
        <v>0</v>
      </c>
      <c r="O8743" t="n">
        <v>0</v>
      </c>
      <c r="P8743" t="n">
        <v>0</v>
      </c>
      <c r="Q8743" t="n">
        <v>0</v>
      </c>
      <c r="R8743" s="2" t="inlineStr"/>
    </row>
    <row r="8744" ht="15" customHeight="1">
      <c r="A8744" t="inlineStr">
        <is>
          <t>A 14217-2026</t>
        </is>
      </c>
      <c r="B8744" s="1" t="n">
        <v>46099.56886574074</v>
      </c>
      <c r="C8744" s="1" t="n">
        <v>46114</v>
      </c>
      <c r="D8744" t="inlineStr">
        <is>
          <t>DALARNAS LÄN</t>
        </is>
      </c>
      <c r="E8744" t="inlineStr">
        <is>
          <t>FALUN</t>
        </is>
      </c>
      <c r="F8744" t="inlineStr">
        <is>
          <t>Bergvik skog väst AB</t>
        </is>
      </c>
      <c r="G8744" t="n">
        <v>24.5</v>
      </c>
      <c r="H8744" t="n">
        <v>0</v>
      </c>
      <c r="I8744" t="n">
        <v>0</v>
      </c>
      <c r="J8744" t="n">
        <v>0</v>
      </c>
      <c r="K8744" t="n">
        <v>0</v>
      </c>
      <c r="L8744" t="n">
        <v>0</v>
      </c>
      <c r="M8744" t="n">
        <v>0</v>
      </c>
      <c r="N8744" t="n">
        <v>0</v>
      </c>
      <c r="O8744" t="n">
        <v>0</v>
      </c>
      <c r="P8744" t="n">
        <v>0</v>
      </c>
      <c r="Q8744" t="n">
        <v>0</v>
      </c>
      <c r="R8744" s="2" t="inlineStr"/>
    </row>
    <row r="8745" ht="15" customHeight="1">
      <c r="A8745" t="inlineStr">
        <is>
          <t>A 10887-2026</t>
        </is>
      </c>
      <c r="B8745" s="1" t="n">
        <v>46078</v>
      </c>
      <c r="C8745" s="1" t="n">
        <v>46114</v>
      </c>
      <c r="D8745" t="inlineStr">
        <is>
          <t>DALARNAS LÄN</t>
        </is>
      </c>
      <c r="E8745" t="inlineStr">
        <is>
          <t>GAGNEF</t>
        </is>
      </c>
      <c r="G8745" t="n">
        <v>12.2</v>
      </c>
      <c r="H8745" t="n">
        <v>0</v>
      </c>
      <c r="I8745" t="n">
        <v>0</v>
      </c>
      <c r="J8745" t="n">
        <v>0</v>
      </c>
      <c r="K8745" t="n">
        <v>0</v>
      </c>
      <c r="L8745" t="n">
        <v>0</v>
      </c>
      <c r="M8745" t="n">
        <v>0</v>
      </c>
      <c r="N8745" t="n">
        <v>0</v>
      </c>
      <c r="O8745" t="n">
        <v>0</v>
      </c>
      <c r="P8745" t="n">
        <v>0</v>
      </c>
      <c r="Q8745" t="n">
        <v>0</v>
      </c>
      <c r="R8745" s="2" t="inlineStr"/>
    </row>
    <row r="8746" ht="15" customHeight="1">
      <c r="A8746" t="inlineStr">
        <is>
          <t>A 11452-2026</t>
        </is>
      </c>
      <c r="B8746" s="1" t="n">
        <v>46083</v>
      </c>
      <c r="C8746" s="1" t="n">
        <v>46114</v>
      </c>
      <c r="D8746" t="inlineStr">
        <is>
          <t>DALARNAS LÄN</t>
        </is>
      </c>
      <c r="E8746" t="inlineStr">
        <is>
          <t>MORA</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6627-2026</t>
        </is>
      </c>
      <c r="B8747" s="1" t="n">
        <v>46056.51665509259</v>
      </c>
      <c r="C8747" s="1" t="n">
        <v>46114</v>
      </c>
      <c r="D8747" t="inlineStr">
        <is>
          <t>DALARNAS LÄN</t>
        </is>
      </c>
      <c r="E8747" t="inlineStr">
        <is>
          <t>FALUN</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6633-2026</t>
        </is>
      </c>
      <c r="B8748" s="1" t="n">
        <v>46056</v>
      </c>
      <c r="C8748" s="1" t="n">
        <v>46114</v>
      </c>
      <c r="D8748" t="inlineStr">
        <is>
          <t>DALARNAS LÄN</t>
        </is>
      </c>
      <c r="E8748" t="inlineStr">
        <is>
          <t>SMEDJEBACKEN</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63925-2023</t>
        </is>
      </c>
      <c r="B8749" s="1" t="n">
        <v>45278</v>
      </c>
      <c r="C8749" s="1" t="n">
        <v>46114</v>
      </c>
      <c r="D8749" t="inlineStr">
        <is>
          <t>DALARNAS LÄN</t>
        </is>
      </c>
      <c r="E8749" t="inlineStr">
        <is>
          <t>HEDEMORA</t>
        </is>
      </c>
      <c r="G8749" t="n">
        <v>5.2</v>
      </c>
      <c r="H8749" t="n">
        <v>0</v>
      </c>
      <c r="I8749" t="n">
        <v>0</v>
      </c>
      <c r="J8749" t="n">
        <v>0</v>
      </c>
      <c r="K8749" t="n">
        <v>0</v>
      </c>
      <c r="L8749" t="n">
        <v>0</v>
      </c>
      <c r="M8749" t="n">
        <v>0</v>
      </c>
      <c r="N8749" t="n">
        <v>0</v>
      </c>
      <c r="O8749" t="n">
        <v>0</v>
      </c>
      <c r="P8749" t="n">
        <v>0</v>
      </c>
      <c r="Q8749" t="n">
        <v>0</v>
      </c>
      <c r="R8749" s="2" t="inlineStr"/>
    </row>
    <row r="8750" ht="15" customHeight="1">
      <c r="A8750" t="inlineStr">
        <is>
          <t>A 6608-2026</t>
        </is>
      </c>
      <c r="B8750" s="1" t="n">
        <v>46056</v>
      </c>
      <c r="C8750" s="1" t="n">
        <v>46114</v>
      </c>
      <c r="D8750" t="inlineStr">
        <is>
          <t>DALARNAS LÄN</t>
        </is>
      </c>
      <c r="E8750" t="inlineStr">
        <is>
          <t>RÄTTVIK</t>
        </is>
      </c>
      <c r="F8750" t="inlineStr">
        <is>
          <t>Bergvik skog väst AB</t>
        </is>
      </c>
      <c r="G8750" t="n">
        <v>50.1</v>
      </c>
      <c r="H8750" t="n">
        <v>0</v>
      </c>
      <c r="I8750" t="n">
        <v>0</v>
      </c>
      <c r="J8750" t="n">
        <v>0</v>
      </c>
      <c r="K8750" t="n">
        <v>0</v>
      </c>
      <c r="L8750" t="n">
        <v>0</v>
      </c>
      <c r="M8750" t="n">
        <v>0</v>
      </c>
      <c r="N8750" t="n">
        <v>0</v>
      </c>
      <c r="O8750" t="n">
        <v>0</v>
      </c>
      <c r="P8750" t="n">
        <v>0</v>
      </c>
      <c r="Q8750" t="n">
        <v>0</v>
      </c>
      <c r="R8750" s="2" t="inlineStr"/>
    </row>
    <row r="8751" ht="15" customHeight="1">
      <c r="A8751" t="inlineStr">
        <is>
          <t>A 6645-2026</t>
        </is>
      </c>
      <c r="B8751" s="1" t="n">
        <v>46056</v>
      </c>
      <c r="C8751" s="1" t="n">
        <v>46114</v>
      </c>
      <c r="D8751" t="inlineStr">
        <is>
          <t>DALARNAS LÄN</t>
        </is>
      </c>
      <c r="E8751" t="inlineStr">
        <is>
          <t>SÄTER</t>
        </is>
      </c>
      <c r="G8751" t="n">
        <v>2.5</v>
      </c>
      <c r="H8751" t="n">
        <v>0</v>
      </c>
      <c r="I8751" t="n">
        <v>0</v>
      </c>
      <c r="J8751" t="n">
        <v>0</v>
      </c>
      <c r="K8751" t="n">
        <v>0</v>
      </c>
      <c r="L8751" t="n">
        <v>0</v>
      </c>
      <c r="M8751" t="n">
        <v>0</v>
      </c>
      <c r="N8751" t="n">
        <v>0</v>
      </c>
      <c r="O8751" t="n">
        <v>0</v>
      </c>
      <c r="P8751" t="n">
        <v>0</v>
      </c>
      <c r="Q8751" t="n">
        <v>0</v>
      </c>
      <c r="R8751" s="2" t="inlineStr"/>
    </row>
    <row r="8752" ht="15" customHeight="1">
      <c r="A8752" t="inlineStr">
        <is>
          <t>A 14060-2026</t>
        </is>
      </c>
      <c r="B8752" s="1" t="n">
        <v>46099.32761574074</v>
      </c>
      <c r="C8752" s="1" t="n">
        <v>46114</v>
      </c>
      <c r="D8752" t="inlineStr">
        <is>
          <t>DALARNAS LÄN</t>
        </is>
      </c>
      <c r="E8752" t="inlineStr">
        <is>
          <t>RÄTTVIK</t>
        </is>
      </c>
      <c r="F8752" t="inlineStr">
        <is>
          <t>Sveaskog</t>
        </is>
      </c>
      <c r="G8752" t="n">
        <v>4.5</v>
      </c>
      <c r="H8752" t="n">
        <v>0</v>
      </c>
      <c r="I8752" t="n">
        <v>0</v>
      </c>
      <c r="J8752" t="n">
        <v>0</v>
      </c>
      <c r="K8752" t="n">
        <v>0</v>
      </c>
      <c r="L8752" t="n">
        <v>0</v>
      </c>
      <c r="M8752" t="n">
        <v>0</v>
      </c>
      <c r="N8752" t="n">
        <v>0</v>
      </c>
      <c r="O8752" t="n">
        <v>0</v>
      </c>
      <c r="P8752" t="n">
        <v>0</v>
      </c>
      <c r="Q8752" t="n">
        <v>0</v>
      </c>
      <c r="R8752" s="2" t="inlineStr"/>
    </row>
    <row r="8753" ht="15" customHeight="1">
      <c r="A8753" t="inlineStr">
        <is>
          <t>A 63192-2023</t>
        </is>
      </c>
      <c r="B8753" s="1" t="n">
        <v>45273.60155092592</v>
      </c>
      <c r="C8753" s="1" t="n">
        <v>46114</v>
      </c>
      <c r="D8753" t="inlineStr">
        <is>
          <t>DALARNAS LÄN</t>
        </is>
      </c>
      <c r="E8753" t="inlineStr">
        <is>
          <t>BORLÄNGE</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6751-2026</t>
        </is>
      </c>
      <c r="B8754" s="1" t="n">
        <v>46056.76788194444</v>
      </c>
      <c r="C8754" s="1" t="n">
        <v>46114</v>
      </c>
      <c r="D8754" t="inlineStr">
        <is>
          <t>DALARNAS LÄN</t>
        </is>
      </c>
      <c r="E8754" t="inlineStr">
        <is>
          <t>FALUN</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6753-2026</t>
        </is>
      </c>
      <c r="B8755" s="1" t="n">
        <v>46056.7695949074</v>
      </c>
      <c r="C8755" s="1" t="n">
        <v>46114</v>
      </c>
      <c r="D8755" t="inlineStr">
        <is>
          <t>DALARNAS LÄN</t>
        </is>
      </c>
      <c r="E8755" t="inlineStr">
        <is>
          <t>FALUN</t>
        </is>
      </c>
      <c r="G8755" t="n">
        <v>1</v>
      </c>
      <c r="H8755" t="n">
        <v>0</v>
      </c>
      <c r="I8755" t="n">
        <v>0</v>
      </c>
      <c r="J8755" t="n">
        <v>0</v>
      </c>
      <c r="K8755" t="n">
        <v>0</v>
      </c>
      <c r="L8755" t="n">
        <v>0</v>
      </c>
      <c r="M8755" t="n">
        <v>0</v>
      </c>
      <c r="N8755" t="n">
        <v>0</v>
      </c>
      <c r="O8755" t="n">
        <v>0</v>
      </c>
      <c r="P8755" t="n">
        <v>0</v>
      </c>
      <c r="Q8755" t="n">
        <v>0</v>
      </c>
      <c r="R8755" s="2" t="inlineStr"/>
    </row>
    <row r="8756" ht="15" customHeight="1">
      <c r="A8756" t="inlineStr">
        <is>
          <t>A 6756-2026</t>
        </is>
      </c>
      <c r="B8756" s="1" t="n">
        <v>46056.77545138889</v>
      </c>
      <c r="C8756" s="1" t="n">
        <v>46114</v>
      </c>
      <c r="D8756" t="inlineStr">
        <is>
          <t>DALARNAS LÄN</t>
        </is>
      </c>
      <c r="E8756" t="inlineStr">
        <is>
          <t>FALUN</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52526-2023</t>
        </is>
      </c>
      <c r="B8757" s="1" t="n">
        <v>45225.51958333333</v>
      </c>
      <c r="C8757" s="1" t="n">
        <v>46114</v>
      </c>
      <c r="D8757" t="inlineStr">
        <is>
          <t>DALARNAS LÄN</t>
        </is>
      </c>
      <c r="E8757" t="inlineStr">
        <is>
          <t>MALUNG-SÄLEN</t>
        </is>
      </c>
      <c r="F8757" t="inlineStr">
        <is>
          <t>Allmännings- och besparingsskogar</t>
        </is>
      </c>
      <c r="G8757" t="n">
        <v>13.7</v>
      </c>
      <c r="H8757" t="n">
        <v>0</v>
      </c>
      <c r="I8757" t="n">
        <v>0</v>
      </c>
      <c r="J8757" t="n">
        <v>0</v>
      </c>
      <c r="K8757" t="n">
        <v>0</v>
      </c>
      <c r="L8757" t="n">
        <v>0</v>
      </c>
      <c r="M8757" t="n">
        <v>0</v>
      </c>
      <c r="N8757" t="n">
        <v>0</v>
      </c>
      <c r="O8757" t="n">
        <v>0</v>
      </c>
      <c r="P8757" t="n">
        <v>0</v>
      </c>
      <c r="Q8757" t="n">
        <v>0</v>
      </c>
      <c r="R8757" s="2" t="inlineStr"/>
    </row>
    <row r="8758" ht="15" customHeight="1">
      <c r="A8758" t="inlineStr">
        <is>
          <t>A 6521-2026</t>
        </is>
      </c>
      <c r="B8758" s="1" t="n">
        <v>46056.40185185185</v>
      </c>
      <c r="C8758" s="1" t="n">
        <v>46114</v>
      </c>
      <c r="D8758" t="inlineStr">
        <is>
          <t>DALARNAS LÄN</t>
        </is>
      </c>
      <c r="E8758" t="inlineStr">
        <is>
          <t>SMEDJEBACKEN</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6523-2026</t>
        </is>
      </c>
      <c r="B8759" s="1" t="n">
        <v>46056</v>
      </c>
      <c r="C8759" s="1" t="n">
        <v>46114</v>
      </c>
      <c r="D8759" t="inlineStr">
        <is>
          <t>DALARNAS LÄN</t>
        </is>
      </c>
      <c r="E8759" t="inlineStr">
        <is>
          <t>FALUN</t>
        </is>
      </c>
      <c r="G8759" t="n">
        <v>13.2</v>
      </c>
      <c r="H8759" t="n">
        <v>0</v>
      </c>
      <c r="I8759" t="n">
        <v>0</v>
      </c>
      <c r="J8759" t="n">
        <v>0</v>
      </c>
      <c r="K8759" t="n">
        <v>0</v>
      </c>
      <c r="L8759" t="n">
        <v>0</v>
      </c>
      <c r="M8759" t="n">
        <v>0</v>
      </c>
      <c r="N8759" t="n">
        <v>0</v>
      </c>
      <c r="O8759" t="n">
        <v>0</v>
      </c>
      <c r="P8759" t="n">
        <v>0</v>
      </c>
      <c r="Q8759" t="n">
        <v>0</v>
      </c>
      <c r="R8759" s="2" t="inlineStr"/>
    </row>
    <row r="8760" ht="15" customHeight="1">
      <c r="A8760" t="inlineStr">
        <is>
          <t>A 35814-2024</t>
        </is>
      </c>
      <c r="B8760" s="1" t="n">
        <v>45532.65449074074</v>
      </c>
      <c r="C8760" s="1" t="n">
        <v>46114</v>
      </c>
      <c r="D8760" t="inlineStr">
        <is>
          <t>DALARNAS LÄN</t>
        </is>
      </c>
      <c r="E8760" t="inlineStr">
        <is>
          <t>GAGNEF</t>
        </is>
      </c>
      <c r="F8760" t="inlineStr">
        <is>
          <t>Bergvik skog väst AB</t>
        </is>
      </c>
      <c r="G8760" t="n">
        <v>3.5</v>
      </c>
      <c r="H8760" t="n">
        <v>0</v>
      </c>
      <c r="I8760" t="n">
        <v>0</v>
      </c>
      <c r="J8760" t="n">
        <v>0</v>
      </c>
      <c r="K8760" t="n">
        <v>0</v>
      </c>
      <c r="L8760" t="n">
        <v>0</v>
      </c>
      <c r="M8760" t="n">
        <v>0</v>
      </c>
      <c r="N8760" t="n">
        <v>0</v>
      </c>
      <c r="O8760" t="n">
        <v>0</v>
      </c>
      <c r="P8760" t="n">
        <v>0</v>
      </c>
      <c r="Q8760" t="n">
        <v>0</v>
      </c>
      <c r="R8760" s="2" t="inlineStr"/>
    </row>
    <row r="8761" ht="15" customHeight="1">
      <c r="A8761" t="inlineStr">
        <is>
          <t>A 6573-2026</t>
        </is>
      </c>
      <c r="B8761" s="1" t="n">
        <v>46056.44613425926</v>
      </c>
      <c r="C8761" s="1" t="n">
        <v>46114</v>
      </c>
      <c r="D8761" t="inlineStr">
        <is>
          <t>DALARNAS LÄN</t>
        </is>
      </c>
      <c r="E8761" t="inlineStr">
        <is>
          <t>FALUN</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6577-2026</t>
        </is>
      </c>
      <c r="B8762" s="1" t="n">
        <v>46056.44921296297</v>
      </c>
      <c r="C8762" s="1" t="n">
        <v>46114</v>
      </c>
      <c r="D8762" t="inlineStr">
        <is>
          <t>DALARNAS LÄN</t>
        </is>
      </c>
      <c r="E8762" t="inlineStr">
        <is>
          <t>FALUN</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55847-2022</t>
        </is>
      </c>
      <c r="B8763" s="1" t="n">
        <v>44888</v>
      </c>
      <c r="C8763" s="1" t="n">
        <v>46114</v>
      </c>
      <c r="D8763" t="inlineStr">
        <is>
          <t>DALARNAS LÄN</t>
        </is>
      </c>
      <c r="E8763" t="inlineStr">
        <is>
          <t>MALUNG-SÄLEN</t>
        </is>
      </c>
      <c r="G8763" t="n">
        <v>8.300000000000001</v>
      </c>
      <c r="H8763" t="n">
        <v>0</v>
      </c>
      <c r="I8763" t="n">
        <v>0</v>
      </c>
      <c r="J8763" t="n">
        <v>0</v>
      </c>
      <c r="K8763" t="n">
        <v>0</v>
      </c>
      <c r="L8763" t="n">
        <v>0</v>
      </c>
      <c r="M8763" t="n">
        <v>0</v>
      </c>
      <c r="N8763" t="n">
        <v>0</v>
      </c>
      <c r="O8763" t="n">
        <v>0</v>
      </c>
      <c r="P8763" t="n">
        <v>0</v>
      </c>
      <c r="Q8763" t="n">
        <v>0</v>
      </c>
      <c r="R8763" s="2" t="inlineStr"/>
    </row>
    <row r="8764" ht="15" customHeight="1">
      <c r="A8764" t="inlineStr">
        <is>
          <t>A 12920-2022</t>
        </is>
      </c>
      <c r="B8764" s="1" t="n">
        <v>44642.65418981481</v>
      </c>
      <c r="C8764" s="1" t="n">
        <v>46114</v>
      </c>
      <c r="D8764" t="inlineStr">
        <is>
          <t>DALARNAS LÄN</t>
        </is>
      </c>
      <c r="E8764" t="inlineStr">
        <is>
          <t>MORA</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12966-2022</t>
        </is>
      </c>
      <c r="B8765" s="1" t="n">
        <v>44643.36060185185</v>
      </c>
      <c r="C8765" s="1" t="n">
        <v>46114</v>
      </c>
      <c r="D8765" t="inlineStr">
        <is>
          <t>DALARNAS LÄN</t>
        </is>
      </c>
      <c r="E8765" t="inlineStr">
        <is>
          <t>MALUNG-SÄLEN</t>
        </is>
      </c>
      <c r="F8765" t="inlineStr">
        <is>
          <t>Kommuner</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13591-2026</t>
        </is>
      </c>
      <c r="B8766" s="1" t="n">
        <v>46096</v>
      </c>
      <c r="C8766" s="1" t="n">
        <v>46114</v>
      </c>
      <c r="D8766" t="inlineStr">
        <is>
          <t>DALARNAS LÄN</t>
        </is>
      </c>
      <c r="E8766" t="inlineStr">
        <is>
          <t>FALUN</t>
        </is>
      </c>
      <c r="F8766" t="inlineStr">
        <is>
          <t>Bergvik skog väst AB</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6658-2026</t>
        </is>
      </c>
      <c r="B8767" s="1" t="n">
        <v>46056</v>
      </c>
      <c r="C8767" s="1" t="n">
        <v>46114</v>
      </c>
      <c r="D8767" t="inlineStr">
        <is>
          <t>DALARNAS LÄN</t>
        </is>
      </c>
      <c r="E8767" t="inlineStr">
        <is>
          <t>LEKSAND</t>
        </is>
      </c>
      <c r="F8767" t="inlineStr">
        <is>
          <t>Bergvik skog väst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33846-2022</t>
        </is>
      </c>
      <c r="B8768" s="1" t="n">
        <v>44790.51493055555</v>
      </c>
      <c r="C8768" s="1" t="n">
        <v>46114</v>
      </c>
      <c r="D8768" t="inlineStr">
        <is>
          <t>DALARNAS LÄN</t>
        </is>
      </c>
      <c r="E8768" t="inlineStr">
        <is>
          <t>SMEDJEBACKEN</t>
        </is>
      </c>
      <c r="F8768" t="inlineStr">
        <is>
          <t>Bergvik skog väst AB</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6945-2026</t>
        </is>
      </c>
      <c r="B8769" s="1" t="n">
        <v>46057.56788194444</v>
      </c>
      <c r="C8769" s="1" t="n">
        <v>46114</v>
      </c>
      <c r="D8769" t="inlineStr">
        <is>
          <t>DALARNAS LÄN</t>
        </is>
      </c>
      <c r="E8769" t="inlineStr">
        <is>
          <t>ORSA</t>
        </is>
      </c>
      <c r="G8769" t="n">
        <v>1.2</v>
      </c>
      <c r="H8769" t="n">
        <v>0</v>
      </c>
      <c r="I8769" t="n">
        <v>0</v>
      </c>
      <c r="J8769" t="n">
        <v>0</v>
      </c>
      <c r="K8769" t="n">
        <v>0</v>
      </c>
      <c r="L8769" t="n">
        <v>0</v>
      </c>
      <c r="M8769" t="n">
        <v>0</v>
      </c>
      <c r="N8769" t="n">
        <v>0</v>
      </c>
      <c r="O8769" t="n">
        <v>0</v>
      </c>
      <c r="P8769" t="n">
        <v>0</v>
      </c>
      <c r="Q8769" t="n">
        <v>0</v>
      </c>
      <c r="R8769" s="2" t="inlineStr"/>
    </row>
    <row r="8770" ht="15" customHeight="1">
      <c r="A8770" t="inlineStr">
        <is>
          <t>A 6967-2026</t>
        </is>
      </c>
      <c r="B8770" s="1" t="n">
        <v>46057.58777777778</v>
      </c>
      <c r="C8770" s="1" t="n">
        <v>46114</v>
      </c>
      <c r="D8770" t="inlineStr">
        <is>
          <t>DALARNAS LÄN</t>
        </is>
      </c>
      <c r="E8770" t="inlineStr">
        <is>
          <t>MORA</t>
        </is>
      </c>
      <c r="G8770" t="n">
        <v>5</v>
      </c>
      <c r="H8770" t="n">
        <v>0</v>
      </c>
      <c r="I8770" t="n">
        <v>0</v>
      </c>
      <c r="J8770" t="n">
        <v>0</v>
      </c>
      <c r="K8770" t="n">
        <v>0</v>
      </c>
      <c r="L8770" t="n">
        <v>0</v>
      </c>
      <c r="M8770" t="n">
        <v>0</v>
      </c>
      <c r="N8770" t="n">
        <v>0</v>
      </c>
      <c r="O8770" t="n">
        <v>0</v>
      </c>
      <c r="P8770" t="n">
        <v>0</v>
      </c>
      <c r="Q8770" t="n">
        <v>0</v>
      </c>
      <c r="R8770" s="2" t="inlineStr"/>
    </row>
    <row r="8771" ht="15" customHeight="1">
      <c r="A8771" t="inlineStr">
        <is>
          <t>A 11928-2026</t>
        </is>
      </c>
      <c r="B8771" s="1" t="n">
        <v>46085</v>
      </c>
      <c r="C8771" s="1" t="n">
        <v>46114</v>
      </c>
      <c r="D8771" t="inlineStr">
        <is>
          <t>DALARNAS LÄN</t>
        </is>
      </c>
      <c r="E8771" t="inlineStr">
        <is>
          <t>FALUN</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12466-2026</t>
        </is>
      </c>
      <c r="B8772" s="1" t="n">
        <v>46090</v>
      </c>
      <c r="C8772" s="1" t="n">
        <v>46114</v>
      </c>
      <c r="D8772" t="inlineStr">
        <is>
          <t>DALARNAS LÄN</t>
        </is>
      </c>
      <c r="E8772" t="inlineStr">
        <is>
          <t>FALUN</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39983-2022</t>
        </is>
      </c>
      <c r="B8773" s="1" t="n">
        <v>44818</v>
      </c>
      <c r="C8773" s="1" t="n">
        <v>46114</v>
      </c>
      <c r="D8773" t="inlineStr">
        <is>
          <t>DALARNAS LÄN</t>
        </is>
      </c>
      <c r="E8773" t="inlineStr">
        <is>
          <t>RÄTTVIK</t>
        </is>
      </c>
      <c r="G8773" t="n">
        <v>5.5</v>
      </c>
      <c r="H8773" t="n">
        <v>0</v>
      </c>
      <c r="I8773" t="n">
        <v>0</v>
      </c>
      <c r="J8773" t="n">
        <v>0</v>
      </c>
      <c r="K8773" t="n">
        <v>0</v>
      </c>
      <c r="L8773" t="n">
        <v>0</v>
      </c>
      <c r="M8773" t="n">
        <v>0</v>
      </c>
      <c r="N8773" t="n">
        <v>0</v>
      </c>
      <c r="O8773" t="n">
        <v>0</v>
      </c>
      <c r="P8773" t="n">
        <v>0</v>
      </c>
      <c r="Q8773" t="n">
        <v>0</v>
      </c>
      <c r="R8773" s="2" t="inlineStr"/>
    </row>
    <row r="8774" ht="15" customHeight="1">
      <c r="A8774" t="inlineStr">
        <is>
          <t>A 12245-2026</t>
        </is>
      </c>
      <c r="B8774" s="1" t="n">
        <v>46087</v>
      </c>
      <c r="C8774" s="1" t="n">
        <v>46114</v>
      </c>
      <c r="D8774" t="inlineStr">
        <is>
          <t>DALARNAS LÄN</t>
        </is>
      </c>
      <c r="E8774" t="inlineStr">
        <is>
          <t>FALUN</t>
        </is>
      </c>
      <c r="G8774" t="n">
        <v>4</v>
      </c>
      <c r="H8774" t="n">
        <v>0</v>
      </c>
      <c r="I8774" t="n">
        <v>0</v>
      </c>
      <c r="J8774" t="n">
        <v>0</v>
      </c>
      <c r="K8774" t="n">
        <v>0</v>
      </c>
      <c r="L8774" t="n">
        <v>0</v>
      </c>
      <c r="M8774" t="n">
        <v>0</v>
      </c>
      <c r="N8774" t="n">
        <v>0</v>
      </c>
      <c r="O8774" t="n">
        <v>0</v>
      </c>
      <c r="P8774" t="n">
        <v>0</v>
      </c>
      <c r="Q8774" t="n">
        <v>0</v>
      </c>
      <c r="R8774" s="2" t="inlineStr"/>
    </row>
    <row r="8775" ht="15" customHeight="1">
      <c r="A8775" t="inlineStr">
        <is>
          <t>A 12632-2026</t>
        </is>
      </c>
      <c r="B8775" s="1" t="n">
        <v>46091</v>
      </c>
      <c r="C8775" s="1" t="n">
        <v>46114</v>
      </c>
      <c r="D8775" t="inlineStr">
        <is>
          <t>DALARNAS LÄN</t>
        </is>
      </c>
      <c r="E8775" t="inlineStr">
        <is>
          <t>FALUN</t>
        </is>
      </c>
      <c r="F8775" t="inlineStr">
        <is>
          <t>Bergvik skog väst AB</t>
        </is>
      </c>
      <c r="G8775" t="n">
        <v>6.4</v>
      </c>
      <c r="H8775" t="n">
        <v>0</v>
      </c>
      <c r="I8775" t="n">
        <v>0</v>
      </c>
      <c r="J8775" t="n">
        <v>0</v>
      </c>
      <c r="K8775" t="n">
        <v>0</v>
      </c>
      <c r="L8775" t="n">
        <v>0</v>
      </c>
      <c r="M8775" t="n">
        <v>0</v>
      </c>
      <c r="N8775" t="n">
        <v>0</v>
      </c>
      <c r="O8775" t="n">
        <v>0</v>
      </c>
      <c r="P8775" t="n">
        <v>0</v>
      </c>
      <c r="Q8775" t="n">
        <v>0</v>
      </c>
      <c r="R8775" s="2" t="inlineStr"/>
    </row>
    <row r="8776" ht="15" customHeight="1">
      <c r="A8776" t="inlineStr">
        <is>
          <t>A 14008-2026</t>
        </is>
      </c>
      <c r="B8776" s="1" t="n">
        <v>46098.65821759259</v>
      </c>
      <c r="C8776" s="1" t="n">
        <v>46114</v>
      </c>
      <c r="D8776" t="inlineStr">
        <is>
          <t>DALARNAS LÄN</t>
        </is>
      </c>
      <c r="E8776" t="inlineStr">
        <is>
          <t>FALUN</t>
        </is>
      </c>
      <c r="F8776" t="inlineStr">
        <is>
          <t>Bergvik skog väst AB</t>
        </is>
      </c>
      <c r="G8776" t="n">
        <v>5.6</v>
      </c>
      <c r="H8776" t="n">
        <v>0</v>
      </c>
      <c r="I8776" t="n">
        <v>0</v>
      </c>
      <c r="J8776" t="n">
        <v>0</v>
      </c>
      <c r="K8776" t="n">
        <v>0</v>
      </c>
      <c r="L8776" t="n">
        <v>0</v>
      </c>
      <c r="M8776" t="n">
        <v>0</v>
      </c>
      <c r="N8776" t="n">
        <v>0</v>
      </c>
      <c r="O8776" t="n">
        <v>0</v>
      </c>
      <c r="P8776" t="n">
        <v>0</v>
      </c>
      <c r="Q8776" t="n">
        <v>0</v>
      </c>
      <c r="R8776" s="2" t="inlineStr"/>
      <c r="U8776">
        <f>HYPERLINK("https://klasma.github.io/Logging_2080/knärot/A 14008-2026 karta knärot.png", "A 14008-2026")</f>
        <v/>
      </c>
      <c r="V8776">
        <f>HYPERLINK("https://klasma.github.io/Logging_2080/klagomål/A 14008-2026 FSC-klagomål.docx", "A 14008-2026")</f>
        <v/>
      </c>
      <c r="W8776">
        <f>HYPERLINK("https://klasma.github.io/Logging_2080/klagomålsmail/A 14008-2026 FSC-klagomål mail.docx", "A 14008-2026")</f>
        <v/>
      </c>
      <c r="X8776">
        <f>HYPERLINK("https://klasma.github.io/Logging_2080/tillsyn/A 14008-2026 tillsynsbegäran.docx", "A 14008-2026")</f>
        <v/>
      </c>
      <c r="Y8776">
        <f>HYPERLINK("https://klasma.github.io/Logging_2080/tillsynsmail/A 14008-2026 tillsynsbegäran mail.docx", "A 14008-2026")</f>
        <v/>
      </c>
    </row>
    <row r="8777" ht="15" customHeight="1">
      <c r="A8777" t="inlineStr">
        <is>
          <t>A 14010-2026</t>
        </is>
      </c>
      <c r="B8777" s="1" t="n">
        <v>46098.66170138889</v>
      </c>
      <c r="C8777" s="1" t="n">
        <v>46114</v>
      </c>
      <c r="D8777" t="inlineStr">
        <is>
          <t>DALARNAS LÄN</t>
        </is>
      </c>
      <c r="E8777" t="inlineStr">
        <is>
          <t>RÄTTVIK</t>
        </is>
      </c>
      <c r="F8777" t="inlineStr">
        <is>
          <t>Bergvik skog väst AB</t>
        </is>
      </c>
      <c r="G8777" t="n">
        <v>16.4</v>
      </c>
      <c r="H8777" t="n">
        <v>0</v>
      </c>
      <c r="I8777" t="n">
        <v>0</v>
      </c>
      <c r="J8777" t="n">
        <v>0</v>
      </c>
      <c r="K8777" t="n">
        <v>0</v>
      </c>
      <c r="L8777" t="n">
        <v>0</v>
      </c>
      <c r="M8777" t="n">
        <v>0</v>
      </c>
      <c r="N8777" t="n">
        <v>0</v>
      </c>
      <c r="O8777" t="n">
        <v>0</v>
      </c>
      <c r="P8777" t="n">
        <v>0</v>
      </c>
      <c r="Q8777" t="n">
        <v>0</v>
      </c>
      <c r="R8777" s="2" t="inlineStr"/>
    </row>
    <row r="8778" ht="15" customHeight="1">
      <c r="A8778" t="inlineStr">
        <is>
          <t>A 14029-2026</t>
        </is>
      </c>
      <c r="B8778" s="1" t="n">
        <v>46098.7690625</v>
      </c>
      <c r="C8778" s="1" t="n">
        <v>46114</v>
      </c>
      <c r="D8778" t="inlineStr">
        <is>
          <t>DALARNAS LÄN</t>
        </is>
      </c>
      <c r="E8778" t="inlineStr">
        <is>
          <t>RÄTTVIK</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25921-2024</t>
        </is>
      </c>
      <c r="B8779" s="1" t="n">
        <v>45467.6053587963</v>
      </c>
      <c r="C8779" s="1" t="n">
        <v>46114</v>
      </c>
      <c r="D8779" t="inlineStr">
        <is>
          <t>DALARNAS LÄN</t>
        </is>
      </c>
      <c r="E8779" t="inlineStr">
        <is>
          <t>LEKSAND</t>
        </is>
      </c>
      <c r="G8779" t="n">
        <v>2.8</v>
      </c>
      <c r="H8779" t="n">
        <v>0</v>
      </c>
      <c r="I8779" t="n">
        <v>0</v>
      </c>
      <c r="J8779" t="n">
        <v>0</v>
      </c>
      <c r="K8779" t="n">
        <v>0</v>
      </c>
      <c r="L8779" t="n">
        <v>0</v>
      </c>
      <c r="M8779" t="n">
        <v>0</v>
      </c>
      <c r="N8779" t="n">
        <v>0</v>
      </c>
      <c r="O8779" t="n">
        <v>0</v>
      </c>
      <c r="P8779" t="n">
        <v>0</v>
      </c>
      <c r="Q8779" t="n">
        <v>0</v>
      </c>
      <c r="R8779" s="2" t="inlineStr"/>
    </row>
    <row r="8780" ht="15" customHeight="1">
      <c r="A8780" t="inlineStr">
        <is>
          <t>A 41306-2024</t>
        </is>
      </c>
      <c r="B8780" s="1" t="n">
        <v>45559.62550925926</v>
      </c>
      <c r="C8780" s="1" t="n">
        <v>46114</v>
      </c>
      <c r="D8780" t="inlineStr">
        <is>
          <t>DALARNAS LÄN</t>
        </is>
      </c>
      <c r="E8780" t="inlineStr">
        <is>
          <t>LEKSAND</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6703-2026</t>
        </is>
      </c>
      <c r="B8781" s="1" t="n">
        <v>46056</v>
      </c>
      <c r="C8781" s="1" t="n">
        <v>46114</v>
      </c>
      <c r="D8781" t="inlineStr">
        <is>
          <t>DALARNAS LÄN</t>
        </is>
      </c>
      <c r="E8781" t="inlineStr">
        <is>
          <t>FALUN</t>
        </is>
      </c>
      <c r="F8781" t="inlineStr">
        <is>
          <t>Bergvik skog väst AB</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6726-2026</t>
        </is>
      </c>
      <c r="B8782" s="1" t="n">
        <v>46056</v>
      </c>
      <c r="C8782" s="1" t="n">
        <v>46114</v>
      </c>
      <c r="D8782" t="inlineStr">
        <is>
          <t>DALARNAS LÄN</t>
        </is>
      </c>
      <c r="E8782" t="inlineStr">
        <is>
          <t>BORLÄNGE</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6727-2026</t>
        </is>
      </c>
      <c r="B8783" s="1" t="n">
        <v>46056</v>
      </c>
      <c r="C8783" s="1" t="n">
        <v>46114</v>
      </c>
      <c r="D8783" t="inlineStr">
        <is>
          <t>DALARNAS LÄN</t>
        </is>
      </c>
      <c r="E8783" t="inlineStr">
        <is>
          <t>BORLÄNGE</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6931-2026</t>
        </is>
      </c>
      <c r="B8784" s="1" t="n">
        <v>46057.55290509259</v>
      </c>
      <c r="C8784" s="1" t="n">
        <v>46114</v>
      </c>
      <c r="D8784" t="inlineStr">
        <is>
          <t>DALARNAS LÄN</t>
        </is>
      </c>
      <c r="E8784" t="inlineStr">
        <is>
          <t>FALUN</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6936-2026</t>
        </is>
      </c>
      <c r="B8785" s="1" t="n">
        <v>46057.55954861111</v>
      </c>
      <c r="C8785" s="1" t="n">
        <v>46114</v>
      </c>
      <c r="D8785" t="inlineStr">
        <is>
          <t>DALARNAS LÄN</t>
        </is>
      </c>
      <c r="E8785" t="inlineStr">
        <is>
          <t>ÄLVDALEN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6953-2026</t>
        </is>
      </c>
      <c r="B8786" s="1" t="n">
        <v>46056</v>
      </c>
      <c r="C8786" s="1" t="n">
        <v>46114</v>
      </c>
      <c r="D8786" t="inlineStr">
        <is>
          <t>DALARNAS LÄN</t>
        </is>
      </c>
      <c r="E8786" t="inlineStr">
        <is>
          <t>FALUN</t>
        </is>
      </c>
      <c r="F8786" t="inlineStr">
        <is>
          <t>Allmännings- och besparingsskogar</t>
        </is>
      </c>
      <c r="G8786" t="n">
        <v>2.4</v>
      </c>
      <c r="H8786" t="n">
        <v>0</v>
      </c>
      <c r="I8786" t="n">
        <v>0</v>
      </c>
      <c r="J8786" t="n">
        <v>0</v>
      </c>
      <c r="K8786" t="n">
        <v>0</v>
      </c>
      <c r="L8786" t="n">
        <v>0</v>
      </c>
      <c r="M8786" t="n">
        <v>0</v>
      </c>
      <c r="N8786" t="n">
        <v>0</v>
      </c>
      <c r="O8786" t="n">
        <v>0</v>
      </c>
      <c r="P8786" t="n">
        <v>0</v>
      </c>
      <c r="Q8786" t="n">
        <v>0</v>
      </c>
      <c r="R8786" s="2" t="inlineStr"/>
    </row>
    <row r="8787" ht="15" customHeight="1">
      <c r="A8787" t="inlineStr">
        <is>
          <t>A 6955-2026</t>
        </is>
      </c>
      <c r="B8787" s="1" t="n">
        <v>46056</v>
      </c>
      <c r="C8787" s="1" t="n">
        <v>46114</v>
      </c>
      <c r="D8787" t="inlineStr">
        <is>
          <t>DALARNAS LÄN</t>
        </is>
      </c>
      <c r="E8787" t="inlineStr">
        <is>
          <t>FALUN</t>
        </is>
      </c>
      <c r="F8787" t="inlineStr">
        <is>
          <t>Allmännings- och besparingsskogar</t>
        </is>
      </c>
      <c r="G8787" t="n">
        <v>6</v>
      </c>
      <c r="H8787" t="n">
        <v>0</v>
      </c>
      <c r="I8787" t="n">
        <v>0</v>
      </c>
      <c r="J8787" t="n">
        <v>0</v>
      </c>
      <c r="K8787" t="n">
        <v>0</v>
      </c>
      <c r="L8787" t="n">
        <v>0</v>
      </c>
      <c r="M8787" t="n">
        <v>0</v>
      </c>
      <c r="N8787" t="n">
        <v>0</v>
      </c>
      <c r="O8787" t="n">
        <v>0</v>
      </c>
      <c r="P8787" t="n">
        <v>0</v>
      </c>
      <c r="Q8787" t="n">
        <v>0</v>
      </c>
      <c r="R8787" s="2" t="inlineStr"/>
    </row>
    <row r="8788" ht="15" customHeight="1">
      <c r="A8788" t="inlineStr">
        <is>
          <t>A 20006-2023</t>
        </is>
      </c>
      <c r="B8788" s="1" t="n">
        <v>45054</v>
      </c>
      <c r="C8788" s="1" t="n">
        <v>46114</v>
      </c>
      <c r="D8788" t="inlineStr">
        <is>
          <t>DALARNAS LÄN</t>
        </is>
      </c>
      <c r="E8788" t="inlineStr">
        <is>
          <t>FALUN</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14205-2026</t>
        </is>
      </c>
      <c r="B8789" s="1" t="n">
        <v>46099.55891203704</v>
      </c>
      <c r="C8789" s="1" t="n">
        <v>46114</v>
      </c>
      <c r="D8789" t="inlineStr">
        <is>
          <t>DALARNAS LÄN</t>
        </is>
      </c>
      <c r="E8789" t="inlineStr">
        <is>
          <t>LEKSAND</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13899-2026</t>
        </is>
      </c>
      <c r="B8790" s="1" t="n">
        <v>46098.46777777778</v>
      </c>
      <c r="C8790" s="1" t="n">
        <v>46114</v>
      </c>
      <c r="D8790" t="inlineStr">
        <is>
          <t>DALARNAS LÄN</t>
        </is>
      </c>
      <c r="E8790" t="inlineStr">
        <is>
          <t>SÄTER</t>
        </is>
      </c>
      <c r="G8790" t="n">
        <v>1.7</v>
      </c>
      <c r="H8790" t="n">
        <v>0</v>
      </c>
      <c r="I8790" t="n">
        <v>0</v>
      </c>
      <c r="J8790" t="n">
        <v>0</v>
      </c>
      <c r="K8790" t="n">
        <v>0</v>
      </c>
      <c r="L8790" t="n">
        <v>0</v>
      </c>
      <c r="M8790" t="n">
        <v>0</v>
      </c>
      <c r="N8790" t="n">
        <v>0</v>
      </c>
      <c r="O8790" t="n">
        <v>0</v>
      </c>
      <c r="P8790" t="n">
        <v>0</v>
      </c>
      <c r="Q8790" t="n">
        <v>0</v>
      </c>
      <c r="R8790" s="2" t="inlineStr"/>
    </row>
    <row r="8791" ht="15" customHeight="1">
      <c r="A8791" t="inlineStr">
        <is>
          <t>A 6971-2026</t>
        </is>
      </c>
      <c r="B8791" s="1" t="n">
        <v>46057</v>
      </c>
      <c r="C8791" s="1" t="n">
        <v>46114</v>
      </c>
      <c r="D8791" t="inlineStr">
        <is>
          <t>DALARNAS LÄN</t>
        </is>
      </c>
      <c r="E8791" t="inlineStr">
        <is>
          <t>MORA</t>
        </is>
      </c>
      <c r="G8791" t="n">
        <v>1.9</v>
      </c>
      <c r="H8791" t="n">
        <v>0</v>
      </c>
      <c r="I8791" t="n">
        <v>0</v>
      </c>
      <c r="J8791" t="n">
        <v>0</v>
      </c>
      <c r="K8791" t="n">
        <v>0</v>
      </c>
      <c r="L8791" t="n">
        <v>0</v>
      </c>
      <c r="M8791" t="n">
        <v>0</v>
      </c>
      <c r="N8791" t="n">
        <v>0</v>
      </c>
      <c r="O8791" t="n">
        <v>0</v>
      </c>
      <c r="P8791" t="n">
        <v>0</v>
      </c>
      <c r="Q8791" t="n">
        <v>0</v>
      </c>
      <c r="R8791" s="2" t="inlineStr"/>
    </row>
    <row r="8792" ht="15" customHeight="1">
      <c r="A8792" t="inlineStr">
        <is>
          <t>A 14197-2026</t>
        </is>
      </c>
      <c r="B8792" s="1" t="n">
        <v>46099.54486111111</v>
      </c>
      <c r="C8792" s="1" t="n">
        <v>46114</v>
      </c>
      <c r="D8792" t="inlineStr">
        <is>
          <t>DALARNAS LÄN</t>
        </is>
      </c>
      <c r="E8792" t="inlineStr">
        <is>
          <t>HEDEMORA</t>
        </is>
      </c>
      <c r="F8792" t="inlineStr">
        <is>
          <t>Sveaskog</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6974-2026</t>
        </is>
      </c>
      <c r="B8793" s="1" t="n">
        <v>46057.59384259259</v>
      </c>
      <c r="C8793" s="1" t="n">
        <v>46114</v>
      </c>
      <c r="D8793" t="inlineStr">
        <is>
          <t>DALARNAS LÄN</t>
        </is>
      </c>
      <c r="E8793" t="inlineStr">
        <is>
          <t>FALUN</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22646-2024</t>
        </is>
      </c>
      <c r="B8794" s="1" t="n">
        <v>45447.87155092593</v>
      </c>
      <c r="C8794" s="1" t="n">
        <v>46114</v>
      </c>
      <c r="D8794" t="inlineStr">
        <is>
          <t>DALARNAS LÄN</t>
        </is>
      </c>
      <c r="E8794" t="inlineStr">
        <is>
          <t>FALUN</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13853-2026</t>
        </is>
      </c>
      <c r="B8795" s="1" t="n">
        <v>46098.39268518519</v>
      </c>
      <c r="C8795" s="1" t="n">
        <v>46114</v>
      </c>
      <c r="D8795" t="inlineStr">
        <is>
          <t>DALARNAS LÄN</t>
        </is>
      </c>
      <c r="E8795" t="inlineStr">
        <is>
          <t>MORA</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13916-2026</t>
        </is>
      </c>
      <c r="B8796" s="1" t="n">
        <v>46098.48423611111</v>
      </c>
      <c r="C8796" s="1" t="n">
        <v>46114</v>
      </c>
      <c r="D8796" t="inlineStr">
        <is>
          <t>DALARNAS LÄN</t>
        </is>
      </c>
      <c r="E8796" t="inlineStr">
        <is>
          <t>HEDEMORA</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6630-2026</t>
        </is>
      </c>
      <c r="B8797" s="1" t="n">
        <v>46056</v>
      </c>
      <c r="C8797" s="1" t="n">
        <v>46114</v>
      </c>
      <c r="D8797" t="inlineStr">
        <is>
          <t>DALARNAS LÄN</t>
        </is>
      </c>
      <c r="E8797" t="inlineStr">
        <is>
          <t>FALUN</t>
        </is>
      </c>
      <c r="G8797" t="n">
        <v>7.1</v>
      </c>
      <c r="H8797" t="n">
        <v>0</v>
      </c>
      <c r="I8797" t="n">
        <v>0</v>
      </c>
      <c r="J8797" t="n">
        <v>0</v>
      </c>
      <c r="K8797" t="n">
        <v>0</v>
      </c>
      <c r="L8797" t="n">
        <v>0</v>
      </c>
      <c r="M8797" t="n">
        <v>0</v>
      </c>
      <c r="N8797" t="n">
        <v>0</v>
      </c>
      <c r="O8797" t="n">
        <v>0</v>
      </c>
      <c r="P8797" t="n">
        <v>0</v>
      </c>
      <c r="Q8797" t="n">
        <v>0</v>
      </c>
      <c r="R8797" s="2" t="inlineStr"/>
    </row>
    <row r="8798" ht="15" customHeight="1">
      <c r="A8798" t="inlineStr">
        <is>
          <t>A 6632-2026</t>
        </is>
      </c>
      <c r="B8798" s="1" t="n">
        <v>46056</v>
      </c>
      <c r="C8798" s="1" t="n">
        <v>46114</v>
      </c>
      <c r="D8798" t="inlineStr">
        <is>
          <t>DALARNAS LÄN</t>
        </is>
      </c>
      <c r="E8798" t="inlineStr">
        <is>
          <t>BORLÄNGE</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6674-2026</t>
        </is>
      </c>
      <c r="B8799" s="1" t="n">
        <v>46056.60297453704</v>
      </c>
      <c r="C8799" s="1" t="n">
        <v>46114</v>
      </c>
      <c r="D8799" t="inlineStr">
        <is>
          <t>DALARNAS LÄN</t>
        </is>
      </c>
      <c r="E8799" t="inlineStr">
        <is>
          <t>MORA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6687-2026</t>
        </is>
      </c>
      <c r="B8800" s="1" t="n">
        <v>46056</v>
      </c>
      <c r="C8800" s="1" t="n">
        <v>46114</v>
      </c>
      <c r="D8800" t="inlineStr">
        <is>
          <t>DALARNAS LÄN</t>
        </is>
      </c>
      <c r="E8800" t="inlineStr">
        <is>
          <t>HEDEMORA</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6690-2026</t>
        </is>
      </c>
      <c r="B8801" s="1" t="n">
        <v>46056.6352662037</v>
      </c>
      <c r="C8801" s="1" t="n">
        <v>46114</v>
      </c>
      <c r="D8801" t="inlineStr">
        <is>
          <t>DALARNAS LÄN</t>
        </is>
      </c>
      <c r="E8801" t="inlineStr">
        <is>
          <t>MORA</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48246-2023</t>
        </is>
      </c>
      <c r="B8802" s="1" t="n">
        <v>45205.51188657407</v>
      </c>
      <c r="C8802" s="1" t="n">
        <v>46114</v>
      </c>
      <c r="D8802" t="inlineStr">
        <is>
          <t>DALARNAS LÄN</t>
        </is>
      </c>
      <c r="E8802" t="inlineStr">
        <is>
          <t>FALUN</t>
        </is>
      </c>
      <c r="G8802" t="n">
        <v>4.5</v>
      </c>
      <c r="H8802" t="n">
        <v>0</v>
      </c>
      <c r="I8802" t="n">
        <v>0</v>
      </c>
      <c r="J8802" t="n">
        <v>0</v>
      </c>
      <c r="K8802" t="n">
        <v>0</v>
      </c>
      <c r="L8802" t="n">
        <v>0</v>
      </c>
      <c r="M8802" t="n">
        <v>0</v>
      </c>
      <c r="N8802" t="n">
        <v>0</v>
      </c>
      <c r="O8802" t="n">
        <v>0</v>
      </c>
      <c r="P8802" t="n">
        <v>0</v>
      </c>
      <c r="Q8802" t="n">
        <v>0</v>
      </c>
      <c r="R8802" s="2" t="inlineStr"/>
    </row>
    <row r="8803" ht="15" customHeight="1">
      <c r="A8803" t="inlineStr">
        <is>
          <t>A 14215-2026</t>
        </is>
      </c>
      <c r="B8803" s="1" t="n">
        <v>46099.56703703704</v>
      </c>
      <c r="C8803" s="1" t="n">
        <v>46114</v>
      </c>
      <c r="D8803" t="inlineStr">
        <is>
          <t>DALARNAS LÄN</t>
        </is>
      </c>
      <c r="E8803" t="inlineStr">
        <is>
          <t>FALUN</t>
        </is>
      </c>
      <c r="F8803" t="inlineStr">
        <is>
          <t>Bergvik skog väst AB</t>
        </is>
      </c>
      <c r="G8803" t="n">
        <v>4.2</v>
      </c>
      <c r="H8803" t="n">
        <v>0</v>
      </c>
      <c r="I8803" t="n">
        <v>0</v>
      </c>
      <c r="J8803" t="n">
        <v>0</v>
      </c>
      <c r="K8803" t="n">
        <v>0</v>
      </c>
      <c r="L8803" t="n">
        <v>0</v>
      </c>
      <c r="M8803" t="n">
        <v>0</v>
      </c>
      <c r="N8803" t="n">
        <v>0</v>
      </c>
      <c r="O8803" t="n">
        <v>0</v>
      </c>
      <c r="P8803" t="n">
        <v>0</v>
      </c>
      <c r="Q8803" t="n">
        <v>0</v>
      </c>
      <c r="R8803" s="2" t="inlineStr"/>
    </row>
    <row r="8804" ht="15" customHeight="1">
      <c r="A8804" t="inlineStr">
        <is>
          <t>A 6515-2026</t>
        </is>
      </c>
      <c r="B8804" s="1" t="n">
        <v>46056</v>
      </c>
      <c r="C8804" s="1" t="n">
        <v>46114</v>
      </c>
      <c r="D8804" t="inlineStr">
        <is>
          <t>DALARNAS LÄN</t>
        </is>
      </c>
      <c r="E8804" t="inlineStr">
        <is>
          <t>FALUN</t>
        </is>
      </c>
      <c r="G8804" t="n">
        <v>27.4</v>
      </c>
      <c r="H8804" t="n">
        <v>0</v>
      </c>
      <c r="I8804" t="n">
        <v>0</v>
      </c>
      <c r="J8804" t="n">
        <v>0</v>
      </c>
      <c r="K8804" t="n">
        <v>0</v>
      </c>
      <c r="L8804" t="n">
        <v>0</v>
      </c>
      <c r="M8804" t="n">
        <v>0</v>
      </c>
      <c r="N8804" t="n">
        <v>0</v>
      </c>
      <c r="O8804" t="n">
        <v>0</v>
      </c>
      <c r="P8804" t="n">
        <v>0</v>
      </c>
      <c r="Q8804" t="n">
        <v>0</v>
      </c>
      <c r="R8804" s="2" t="inlineStr"/>
    </row>
    <row r="8805" ht="15" customHeight="1">
      <c r="A8805" t="inlineStr">
        <is>
          <t>A 555-2023</t>
        </is>
      </c>
      <c r="B8805" s="1" t="n">
        <v>44930.47913194444</v>
      </c>
      <c r="C8805" s="1" t="n">
        <v>46114</v>
      </c>
      <c r="D8805" t="inlineStr">
        <is>
          <t>DALARNAS LÄN</t>
        </is>
      </c>
      <c r="E8805" t="inlineStr">
        <is>
          <t>VANSBRO</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3342-2024</t>
        </is>
      </c>
      <c r="B8806" s="1" t="n">
        <v>45317</v>
      </c>
      <c r="C8806" s="1" t="n">
        <v>46114</v>
      </c>
      <c r="D8806" t="inlineStr">
        <is>
          <t>DALARNAS LÄN</t>
        </is>
      </c>
      <c r="E8806" t="inlineStr">
        <is>
          <t>RÄTTVIK</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61717-2023</t>
        </is>
      </c>
      <c r="B8807" s="1" t="n">
        <v>45265.67287037037</v>
      </c>
      <c r="C8807" s="1" t="n">
        <v>46114</v>
      </c>
      <c r="D8807" t="inlineStr">
        <is>
          <t>DALARNAS LÄN</t>
        </is>
      </c>
      <c r="E8807" t="inlineStr">
        <is>
          <t>VANSBRO</t>
        </is>
      </c>
      <c r="F8807" t="inlineStr">
        <is>
          <t>Bergvik skog väst AB</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13817-2026</t>
        </is>
      </c>
      <c r="B8808" s="1" t="n">
        <v>46098.32662037037</v>
      </c>
      <c r="C8808" s="1" t="n">
        <v>46114</v>
      </c>
      <c r="D8808" t="inlineStr">
        <is>
          <t>DALARNAS LÄN</t>
        </is>
      </c>
      <c r="E8808" t="inlineStr">
        <is>
          <t>FALUN</t>
        </is>
      </c>
      <c r="G8808" t="n">
        <v>19.6</v>
      </c>
      <c r="H8808" t="n">
        <v>0</v>
      </c>
      <c r="I8808" t="n">
        <v>0</v>
      </c>
      <c r="J8808" t="n">
        <v>0</v>
      </c>
      <c r="K8808" t="n">
        <v>0</v>
      </c>
      <c r="L8808" t="n">
        <v>0</v>
      </c>
      <c r="M8808" t="n">
        <v>0</v>
      </c>
      <c r="N8808" t="n">
        <v>0</v>
      </c>
      <c r="O8808" t="n">
        <v>0</v>
      </c>
      <c r="P8808" t="n">
        <v>0</v>
      </c>
      <c r="Q8808" t="n">
        <v>0</v>
      </c>
      <c r="R8808" s="2" t="inlineStr"/>
    </row>
    <row r="8809" ht="15" customHeight="1">
      <c r="A8809" t="inlineStr">
        <is>
          <t>A 6747-2026</t>
        </is>
      </c>
      <c r="B8809" s="1" t="n">
        <v>46056</v>
      </c>
      <c r="C8809" s="1" t="n">
        <v>46114</v>
      </c>
      <c r="D8809" t="inlineStr">
        <is>
          <t>DALARNAS LÄN</t>
        </is>
      </c>
      <c r="E8809" t="inlineStr">
        <is>
          <t>FALUN</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13831-2026</t>
        </is>
      </c>
      <c r="B8810" s="1" t="n">
        <v>46098.35141203704</v>
      </c>
      <c r="C8810" s="1" t="n">
        <v>46114</v>
      </c>
      <c r="D8810" t="inlineStr">
        <is>
          <t>DALARNAS LÄN</t>
        </is>
      </c>
      <c r="E8810" t="inlineStr">
        <is>
          <t>HEDEMORA</t>
        </is>
      </c>
      <c r="F8810" t="inlineStr">
        <is>
          <t>Sveaskog</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6771-2026</t>
        </is>
      </c>
      <c r="B8811" s="1" t="n">
        <v>46057</v>
      </c>
      <c r="C8811" s="1" t="n">
        <v>46114</v>
      </c>
      <c r="D8811" t="inlineStr">
        <is>
          <t>DALARNAS LÄN</t>
        </is>
      </c>
      <c r="E8811" t="inlineStr">
        <is>
          <t>FALUN</t>
        </is>
      </c>
      <c r="G8811" t="n">
        <v>5.4</v>
      </c>
      <c r="H8811" t="n">
        <v>0</v>
      </c>
      <c r="I8811" t="n">
        <v>0</v>
      </c>
      <c r="J8811" t="n">
        <v>0</v>
      </c>
      <c r="K8811" t="n">
        <v>0</v>
      </c>
      <c r="L8811" t="n">
        <v>0</v>
      </c>
      <c r="M8811" t="n">
        <v>0</v>
      </c>
      <c r="N8811" t="n">
        <v>0</v>
      </c>
      <c r="O8811" t="n">
        <v>0</v>
      </c>
      <c r="P8811" t="n">
        <v>0</v>
      </c>
      <c r="Q8811" t="n">
        <v>0</v>
      </c>
      <c r="R8811" s="2" t="inlineStr"/>
    </row>
    <row r="8812" ht="15" customHeight="1">
      <c r="A8812" t="inlineStr">
        <is>
          <t>A 6789-2026</t>
        </is>
      </c>
      <c r="B8812" s="1" t="n">
        <v>46057.33921296296</v>
      </c>
      <c r="C8812" s="1" t="n">
        <v>46114</v>
      </c>
      <c r="D8812" t="inlineStr">
        <is>
          <t>DALARNAS LÄN</t>
        </is>
      </c>
      <c r="E8812" t="inlineStr">
        <is>
          <t>FALUN</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6858-2026</t>
        </is>
      </c>
      <c r="B8813" s="1" t="n">
        <v>46057</v>
      </c>
      <c r="C8813" s="1" t="n">
        <v>46114</v>
      </c>
      <c r="D8813" t="inlineStr">
        <is>
          <t>DALARNAS LÄN</t>
        </is>
      </c>
      <c r="E8813" t="inlineStr">
        <is>
          <t>RÄTTVIK</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6500-2026</t>
        </is>
      </c>
      <c r="B8814" s="1" t="n">
        <v>46056</v>
      </c>
      <c r="C8814" s="1" t="n">
        <v>46114</v>
      </c>
      <c r="D8814" t="inlineStr">
        <is>
          <t>DALARNAS LÄN</t>
        </is>
      </c>
      <c r="E8814" t="inlineStr">
        <is>
          <t>FALUN</t>
        </is>
      </c>
      <c r="F8814" t="inlineStr">
        <is>
          <t>Bergvik skog väst AB</t>
        </is>
      </c>
      <c r="G8814" t="n">
        <v>9.300000000000001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6541-2026</t>
        </is>
      </c>
      <c r="B8815" s="1" t="n">
        <v>46056.42693287037</v>
      </c>
      <c r="C8815" s="1" t="n">
        <v>46114</v>
      </c>
      <c r="D8815" t="inlineStr">
        <is>
          <t>DALARNAS LÄN</t>
        </is>
      </c>
      <c r="E8815" t="inlineStr">
        <is>
          <t>FALUN</t>
        </is>
      </c>
      <c r="G8815" t="n">
        <v>7.8</v>
      </c>
      <c r="H8815" t="n">
        <v>0</v>
      </c>
      <c r="I8815" t="n">
        <v>0</v>
      </c>
      <c r="J8815" t="n">
        <v>0</v>
      </c>
      <c r="K8815" t="n">
        <v>0</v>
      </c>
      <c r="L8815" t="n">
        <v>0</v>
      </c>
      <c r="M8815" t="n">
        <v>0</v>
      </c>
      <c r="N8815" t="n">
        <v>0</v>
      </c>
      <c r="O8815" t="n">
        <v>0</v>
      </c>
      <c r="P8815" t="n">
        <v>0</v>
      </c>
      <c r="Q8815" t="n">
        <v>0</v>
      </c>
      <c r="R8815" s="2" t="inlineStr"/>
    </row>
    <row r="8816" ht="15" customHeight="1">
      <c r="A8816" t="inlineStr">
        <is>
          <t>A 6552-2026</t>
        </is>
      </c>
      <c r="B8816" s="1" t="n">
        <v>46056</v>
      </c>
      <c r="C8816" s="1" t="n">
        <v>46114</v>
      </c>
      <c r="D8816" t="inlineStr">
        <is>
          <t>DALARNAS LÄN</t>
        </is>
      </c>
      <c r="E8816" t="inlineStr">
        <is>
          <t>FALUN</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6786-2026</t>
        </is>
      </c>
      <c r="B8817" s="1" t="n">
        <v>46057</v>
      </c>
      <c r="C8817" s="1" t="n">
        <v>46114</v>
      </c>
      <c r="D8817" t="inlineStr">
        <is>
          <t>DALARNAS LÄN</t>
        </is>
      </c>
      <c r="E8817" t="inlineStr">
        <is>
          <t>FALUN</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12177-2026</t>
        </is>
      </c>
      <c r="B8818" s="1" t="n">
        <v>46086</v>
      </c>
      <c r="C8818" s="1" t="n">
        <v>46114</v>
      </c>
      <c r="D8818" t="inlineStr">
        <is>
          <t>DALARNAS LÄN</t>
        </is>
      </c>
      <c r="E8818" t="inlineStr">
        <is>
          <t>FALUN</t>
        </is>
      </c>
      <c r="F8818" t="inlineStr">
        <is>
          <t>Bergvik skog väst AB</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12542-2026</t>
        </is>
      </c>
      <c r="B8819" s="1" t="n">
        <v>46090</v>
      </c>
      <c r="C8819" s="1" t="n">
        <v>46114</v>
      </c>
      <c r="D8819" t="inlineStr">
        <is>
          <t>DALARNAS LÄN</t>
        </is>
      </c>
      <c r="E8819" t="inlineStr">
        <is>
          <t>FALUN</t>
        </is>
      </c>
      <c r="G8819" t="n">
        <v>5.8</v>
      </c>
      <c r="H8819" t="n">
        <v>0</v>
      </c>
      <c r="I8819" t="n">
        <v>0</v>
      </c>
      <c r="J8819" t="n">
        <v>0</v>
      </c>
      <c r="K8819" t="n">
        <v>0</v>
      </c>
      <c r="L8819" t="n">
        <v>0</v>
      </c>
      <c r="M8819" t="n">
        <v>0</v>
      </c>
      <c r="N8819" t="n">
        <v>0</v>
      </c>
      <c r="O8819" t="n">
        <v>0</v>
      </c>
      <c r="P8819" t="n">
        <v>0</v>
      </c>
      <c r="Q8819" t="n">
        <v>0</v>
      </c>
      <c r="R8819" s="2" t="inlineStr"/>
    </row>
    <row r="8820" ht="15" customHeight="1">
      <c r="A8820" t="inlineStr">
        <is>
          <t>A 329-2023</t>
        </is>
      </c>
      <c r="B8820" s="1" t="n">
        <v>44929.44452546296</v>
      </c>
      <c r="C8820" s="1" t="n">
        <v>46114</v>
      </c>
      <c r="D8820" t="inlineStr">
        <is>
          <t>DALARNAS LÄN</t>
        </is>
      </c>
      <c r="E8820" t="inlineStr">
        <is>
          <t>RÄTTVIK</t>
        </is>
      </c>
      <c r="G8820" t="n">
        <v>4.8</v>
      </c>
      <c r="H8820" t="n">
        <v>0</v>
      </c>
      <c r="I8820" t="n">
        <v>0</v>
      </c>
      <c r="J8820" t="n">
        <v>0</v>
      </c>
      <c r="K8820" t="n">
        <v>0</v>
      </c>
      <c r="L8820" t="n">
        <v>0</v>
      </c>
      <c r="M8820" t="n">
        <v>0</v>
      </c>
      <c r="N8820" t="n">
        <v>0</v>
      </c>
      <c r="O8820" t="n">
        <v>0</v>
      </c>
      <c r="P8820" t="n">
        <v>0</v>
      </c>
      <c r="Q8820" t="n">
        <v>0</v>
      </c>
      <c r="R8820" s="2" t="inlineStr"/>
    </row>
    <row r="8821" ht="15" customHeight="1">
      <c r="A8821" t="inlineStr">
        <is>
          <t>A 13198-2026</t>
        </is>
      </c>
      <c r="B8821" s="1" t="n">
        <v>46093</v>
      </c>
      <c r="C8821" s="1" t="n">
        <v>46114</v>
      </c>
      <c r="D8821" t="inlineStr">
        <is>
          <t>DALARNAS LÄN</t>
        </is>
      </c>
      <c r="E8821" t="inlineStr">
        <is>
          <t>FALUN</t>
        </is>
      </c>
      <c r="F8821" t="inlineStr">
        <is>
          <t>Bergvik skog väst AB</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13209-2026</t>
        </is>
      </c>
      <c r="B8822" s="1" t="n">
        <v>46093</v>
      </c>
      <c r="C8822" s="1" t="n">
        <v>46114</v>
      </c>
      <c r="D8822" t="inlineStr">
        <is>
          <t>DALARNAS LÄN</t>
        </is>
      </c>
      <c r="E8822" t="inlineStr">
        <is>
          <t>FALUN</t>
        </is>
      </c>
      <c r="F8822" t="inlineStr">
        <is>
          <t>Bergvik skog väst AB</t>
        </is>
      </c>
      <c r="G8822" t="n">
        <v>5.8</v>
      </c>
      <c r="H8822" t="n">
        <v>0</v>
      </c>
      <c r="I8822" t="n">
        <v>0</v>
      </c>
      <c r="J8822" t="n">
        <v>0</v>
      </c>
      <c r="K8822" t="n">
        <v>0</v>
      </c>
      <c r="L8822" t="n">
        <v>0</v>
      </c>
      <c r="M8822" t="n">
        <v>0</v>
      </c>
      <c r="N8822" t="n">
        <v>0</v>
      </c>
      <c r="O8822" t="n">
        <v>0</v>
      </c>
      <c r="P8822" t="n">
        <v>0</v>
      </c>
      <c r="Q8822" t="n">
        <v>0</v>
      </c>
      <c r="R8822" s="2" t="inlineStr"/>
    </row>
    <row r="8823" ht="15" customHeight="1">
      <c r="A8823" t="inlineStr">
        <is>
          <t>A 13219-2026</t>
        </is>
      </c>
      <c r="B8823" s="1" t="n">
        <v>46093</v>
      </c>
      <c r="C8823" s="1" t="n">
        <v>46114</v>
      </c>
      <c r="D8823" t="inlineStr">
        <is>
          <t>DALARNAS LÄN</t>
        </is>
      </c>
      <c r="E8823" t="inlineStr">
        <is>
          <t>FALUN</t>
        </is>
      </c>
      <c r="F8823" t="inlineStr">
        <is>
          <t>Bergvik skog väst AB</t>
        </is>
      </c>
      <c r="G8823" t="n">
        <v>78.3</v>
      </c>
      <c r="H8823" t="n">
        <v>0</v>
      </c>
      <c r="I8823" t="n">
        <v>0</v>
      </c>
      <c r="J8823" t="n">
        <v>0</v>
      </c>
      <c r="K8823" t="n">
        <v>0</v>
      </c>
      <c r="L8823" t="n">
        <v>0</v>
      </c>
      <c r="M8823" t="n">
        <v>0</v>
      </c>
      <c r="N8823" t="n">
        <v>0</v>
      </c>
      <c r="O8823" t="n">
        <v>0</v>
      </c>
      <c r="P8823" t="n">
        <v>0</v>
      </c>
      <c r="Q8823" t="n">
        <v>0</v>
      </c>
      <c r="R8823" s="2" t="inlineStr"/>
    </row>
    <row r="8824" ht="15" customHeight="1">
      <c r="A8824" t="inlineStr">
        <is>
          <t>A 29854-2024</t>
        </is>
      </c>
      <c r="B8824" s="1" t="n">
        <v>45485.66295138889</v>
      </c>
      <c r="C8824" s="1" t="n">
        <v>46114</v>
      </c>
      <c r="D8824" t="inlineStr">
        <is>
          <t>DALARNAS LÄN</t>
        </is>
      </c>
      <c r="E8824" t="inlineStr">
        <is>
          <t>BORLÄNGE</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29861-2024</t>
        </is>
      </c>
      <c r="B8825" s="1" t="n">
        <v>45485.71377314815</v>
      </c>
      <c r="C8825" s="1" t="n">
        <v>46114</v>
      </c>
      <c r="D8825" t="inlineStr">
        <is>
          <t>DALARNAS LÄN</t>
        </is>
      </c>
      <c r="E8825" t="inlineStr">
        <is>
          <t>BORLÄNGE</t>
        </is>
      </c>
      <c r="G8825" t="n">
        <v>0.6</v>
      </c>
      <c r="H8825" t="n">
        <v>0</v>
      </c>
      <c r="I8825" t="n">
        <v>0</v>
      </c>
      <c r="J8825" t="n">
        <v>0</v>
      </c>
      <c r="K8825" t="n">
        <v>0</v>
      </c>
      <c r="L8825" t="n">
        <v>0</v>
      </c>
      <c r="M8825" t="n">
        <v>0</v>
      </c>
      <c r="N8825" t="n">
        <v>0</v>
      </c>
      <c r="O8825" t="n">
        <v>0</v>
      </c>
      <c r="P8825" t="n">
        <v>0</v>
      </c>
      <c r="Q8825" t="n">
        <v>0</v>
      </c>
      <c r="R8825" s="2" t="inlineStr"/>
    </row>
    <row r="8826" ht="15" customHeight="1">
      <c r="A8826" t="inlineStr">
        <is>
          <t>A 29894-2024</t>
        </is>
      </c>
      <c r="B8826" s="1" t="n">
        <v>45487.50223379629</v>
      </c>
      <c r="C8826" s="1" t="n">
        <v>46114</v>
      </c>
      <c r="D8826" t="inlineStr">
        <is>
          <t>DALARNAS LÄN</t>
        </is>
      </c>
      <c r="E8826" t="inlineStr">
        <is>
          <t>SMEDJEBACKEN</t>
        </is>
      </c>
      <c r="G8826" t="n">
        <v>3.1</v>
      </c>
      <c r="H8826" t="n">
        <v>0</v>
      </c>
      <c r="I8826" t="n">
        <v>0</v>
      </c>
      <c r="J8826" t="n">
        <v>0</v>
      </c>
      <c r="K8826" t="n">
        <v>0</v>
      </c>
      <c r="L8826" t="n">
        <v>0</v>
      </c>
      <c r="M8826" t="n">
        <v>0</v>
      </c>
      <c r="N8826" t="n">
        <v>0</v>
      </c>
      <c r="O8826" t="n">
        <v>0</v>
      </c>
      <c r="P8826" t="n">
        <v>0</v>
      </c>
      <c r="Q8826" t="n">
        <v>0</v>
      </c>
      <c r="R8826" s="2" t="inlineStr"/>
    </row>
    <row r="8827" ht="15" customHeight="1">
      <c r="A8827" t="inlineStr">
        <is>
          <t>A 13902-2026</t>
        </is>
      </c>
      <c r="B8827" s="1" t="n">
        <v>46098.46834490741</v>
      </c>
      <c r="C8827" s="1" t="n">
        <v>46114</v>
      </c>
      <c r="D8827" t="inlineStr">
        <is>
          <t>DALARNAS LÄN</t>
        </is>
      </c>
      <c r="E8827" t="inlineStr">
        <is>
          <t>MORA</t>
        </is>
      </c>
      <c r="G8827" t="n">
        <v>5.3</v>
      </c>
      <c r="H8827" t="n">
        <v>0</v>
      </c>
      <c r="I8827" t="n">
        <v>0</v>
      </c>
      <c r="J8827" t="n">
        <v>0</v>
      </c>
      <c r="K8827" t="n">
        <v>0</v>
      </c>
      <c r="L8827" t="n">
        <v>0</v>
      </c>
      <c r="M8827" t="n">
        <v>0</v>
      </c>
      <c r="N8827" t="n">
        <v>0</v>
      </c>
      <c r="O8827" t="n">
        <v>0</v>
      </c>
      <c r="P8827" t="n">
        <v>0</v>
      </c>
      <c r="Q8827" t="n">
        <v>0</v>
      </c>
      <c r="R8827" s="2" t="inlineStr"/>
    </row>
    <row r="8828" ht="15" customHeight="1">
      <c r="A8828" t="inlineStr">
        <is>
          <t>A 6845-2026</t>
        </is>
      </c>
      <c r="B8828" s="1" t="n">
        <v>46057.42467592593</v>
      </c>
      <c r="C8828" s="1" t="n">
        <v>46114</v>
      </c>
      <c r="D8828" t="inlineStr">
        <is>
          <t>DALARNAS LÄN</t>
        </is>
      </c>
      <c r="E8828" t="inlineStr">
        <is>
          <t>SÄTER</t>
        </is>
      </c>
      <c r="G8828" t="n">
        <v>2.2</v>
      </c>
      <c r="H8828" t="n">
        <v>0</v>
      </c>
      <c r="I8828" t="n">
        <v>0</v>
      </c>
      <c r="J8828" t="n">
        <v>0</v>
      </c>
      <c r="K8828" t="n">
        <v>0</v>
      </c>
      <c r="L8828" t="n">
        <v>0</v>
      </c>
      <c r="M8828" t="n">
        <v>0</v>
      </c>
      <c r="N8828" t="n">
        <v>0</v>
      </c>
      <c r="O8828" t="n">
        <v>0</v>
      </c>
      <c r="P8828" t="n">
        <v>0</v>
      </c>
      <c r="Q8828" t="n">
        <v>0</v>
      </c>
      <c r="R8828" s="2" t="inlineStr"/>
    </row>
    <row r="8829" ht="15" customHeight="1">
      <c r="A8829" t="inlineStr">
        <is>
          <t>A 6879-2026</t>
        </is>
      </c>
      <c r="B8829" s="1" t="n">
        <v>46057.45841435185</v>
      </c>
      <c r="C8829" s="1" t="n">
        <v>46114</v>
      </c>
      <c r="D8829" t="inlineStr">
        <is>
          <t>DALARNAS LÄN</t>
        </is>
      </c>
      <c r="E8829" t="inlineStr">
        <is>
          <t>SÄTER</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6880-2026</t>
        </is>
      </c>
      <c r="B8830" s="1" t="n">
        <v>46057</v>
      </c>
      <c r="C8830" s="1" t="n">
        <v>46114</v>
      </c>
      <c r="D8830" t="inlineStr">
        <is>
          <t>DALARNAS LÄN</t>
        </is>
      </c>
      <c r="E8830" t="inlineStr">
        <is>
          <t>RÄTTVIK</t>
        </is>
      </c>
      <c r="G8830" t="n">
        <v>1.2</v>
      </c>
      <c r="H8830" t="n">
        <v>0</v>
      </c>
      <c r="I8830" t="n">
        <v>0</v>
      </c>
      <c r="J8830" t="n">
        <v>0</v>
      </c>
      <c r="K8830" t="n">
        <v>0</v>
      </c>
      <c r="L8830" t="n">
        <v>0</v>
      </c>
      <c r="M8830" t="n">
        <v>0</v>
      </c>
      <c r="N8830" t="n">
        <v>0</v>
      </c>
      <c r="O8830" t="n">
        <v>0</v>
      </c>
      <c r="P8830" t="n">
        <v>0</v>
      </c>
      <c r="Q8830" t="n">
        <v>0</v>
      </c>
      <c r="R8830" s="2" t="inlineStr"/>
    </row>
    <row r="8831" ht="15" customHeight="1">
      <c r="A8831" t="inlineStr">
        <is>
          <t>A 7001-2026</t>
        </is>
      </c>
      <c r="B8831" s="1" t="n">
        <v>46057</v>
      </c>
      <c r="C8831" s="1" t="n">
        <v>46114</v>
      </c>
      <c r="D8831" t="inlineStr">
        <is>
          <t>DALARNAS LÄN</t>
        </is>
      </c>
      <c r="E8831" t="inlineStr">
        <is>
          <t>RÄTTVIK</t>
        </is>
      </c>
      <c r="F8831" t="inlineStr">
        <is>
          <t>Bergvik skog väst AB</t>
        </is>
      </c>
      <c r="G8831" t="n">
        <v>15.6</v>
      </c>
      <c r="H8831" t="n">
        <v>0</v>
      </c>
      <c r="I8831" t="n">
        <v>0</v>
      </c>
      <c r="J8831" t="n">
        <v>0</v>
      </c>
      <c r="K8831" t="n">
        <v>0</v>
      </c>
      <c r="L8831" t="n">
        <v>0</v>
      </c>
      <c r="M8831" t="n">
        <v>0</v>
      </c>
      <c r="N8831" t="n">
        <v>0</v>
      </c>
      <c r="O8831" t="n">
        <v>0</v>
      </c>
      <c r="P8831" t="n">
        <v>0</v>
      </c>
      <c r="Q8831" t="n">
        <v>0</v>
      </c>
      <c r="R8831" s="2" t="inlineStr"/>
    </row>
    <row r="8832" ht="15" customHeight="1">
      <c r="A8832" t="inlineStr">
        <is>
          <t>A 6896-2026</t>
        </is>
      </c>
      <c r="B8832" s="1" t="n">
        <v>46057.48369212963</v>
      </c>
      <c r="C8832" s="1" t="n">
        <v>46114</v>
      </c>
      <c r="D8832" t="inlineStr">
        <is>
          <t>DALARNAS LÄN</t>
        </is>
      </c>
      <c r="E8832" t="inlineStr">
        <is>
          <t>BORLÄNGE</t>
        </is>
      </c>
      <c r="G8832" t="n">
        <v>14.4</v>
      </c>
      <c r="H8832" t="n">
        <v>0</v>
      </c>
      <c r="I8832" t="n">
        <v>0</v>
      </c>
      <c r="J8832" t="n">
        <v>0</v>
      </c>
      <c r="K8832" t="n">
        <v>0</v>
      </c>
      <c r="L8832" t="n">
        <v>0</v>
      </c>
      <c r="M8832" t="n">
        <v>0</v>
      </c>
      <c r="N8832" t="n">
        <v>0</v>
      </c>
      <c r="O8832" t="n">
        <v>0</v>
      </c>
      <c r="P8832" t="n">
        <v>0</v>
      </c>
      <c r="Q8832" t="n">
        <v>0</v>
      </c>
      <c r="R8832" s="2" t="inlineStr"/>
    </row>
    <row r="8833" ht="15" customHeight="1">
      <c r="A8833" t="inlineStr">
        <is>
          <t>A 6899-2026</t>
        </is>
      </c>
      <c r="B8833" s="1" t="n">
        <v>46057</v>
      </c>
      <c r="C8833" s="1" t="n">
        <v>46114</v>
      </c>
      <c r="D8833" t="inlineStr">
        <is>
          <t>DALARNAS LÄN</t>
        </is>
      </c>
      <c r="E8833" t="inlineStr">
        <is>
          <t>FALUN</t>
        </is>
      </c>
      <c r="G8833" t="n">
        <v>21.7</v>
      </c>
      <c r="H8833" t="n">
        <v>0</v>
      </c>
      <c r="I8833" t="n">
        <v>0</v>
      </c>
      <c r="J8833" t="n">
        <v>0</v>
      </c>
      <c r="K8833" t="n">
        <v>0</v>
      </c>
      <c r="L8833" t="n">
        <v>0</v>
      </c>
      <c r="M8833" t="n">
        <v>0</v>
      </c>
      <c r="N8833" t="n">
        <v>0</v>
      </c>
      <c r="O8833" t="n">
        <v>0</v>
      </c>
      <c r="P8833" t="n">
        <v>0</v>
      </c>
      <c r="Q8833" t="n">
        <v>0</v>
      </c>
      <c r="R8833" s="2" t="inlineStr"/>
    </row>
    <row r="8834" ht="15" customHeight="1">
      <c r="A8834" t="inlineStr">
        <is>
          <t>A 13956-2026</t>
        </is>
      </c>
      <c r="B8834" s="1" t="n">
        <v>46098.5559375</v>
      </c>
      <c r="C8834" s="1" t="n">
        <v>46114</v>
      </c>
      <c r="D8834" t="inlineStr">
        <is>
          <t>DALARNAS LÄN</t>
        </is>
      </c>
      <c r="E8834" t="inlineStr">
        <is>
          <t>SMEDJEBACKEN</t>
        </is>
      </c>
      <c r="F8834" t="inlineStr">
        <is>
          <t>Övriga Aktiebolag</t>
        </is>
      </c>
      <c r="G8834" t="n">
        <v>28.8</v>
      </c>
      <c r="H8834" t="n">
        <v>0</v>
      </c>
      <c r="I8834" t="n">
        <v>0</v>
      </c>
      <c r="J8834" t="n">
        <v>0</v>
      </c>
      <c r="K8834" t="n">
        <v>0</v>
      </c>
      <c r="L8834" t="n">
        <v>0</v>
      </c>
      <c r="M8834" t="n">
        <v>0</v>
      </c>
      <c r="N8834" t="n">
        <v>0</v>
      </c>
      <c r="O8834" t="n">
        <v>0</v>
      </c>
      <c r="P8834" t="n">
        <v>0</v>
      </c>
      <c r="Q8834" t="n">
        <v>0</v>
      </c>
      <c r="R8834" s="2" t="inlineStr"/>
    </row>
    <row r="8835" ht="15" customHeight="1">
      <c r="A8835" t="inlineStr">
        <is>
          <t>A 35439-2024</t>
        </is>
      </c>
      <c r="B8835" s="1" t="n">
        <v>45531.43173611111</v>
      </c>
      <c r="C8835" s="1" t="n">
        <v>46114</v>
      </c>
      <c r="D8835" t="inlineStr">
        <is>
          <t>DALARNAS LÄN</t>
        </is>
      </c>
      <c r="E8835" t="inlineStr">
        <is>
          <t>MALUNG-SÄLEN</t>
        </is>
      </c>
      <c r="F8835" t="inlineStr">
        <is>
          <t>Bergvik skog väst AB</t>
        </is>
      </c>
      <c r="G8835" t="n">
        <v>8.9</v>
      </c>
      <c r="H8835" t="n">
        <v>0</v>
      </c>
      <c r="I8835" t="n">
        <v>0</v>
      </c>
      <c r="J8835" t="n">
        <v>0</v>
      </c>
      <c r="K8835" t="n">
        <v>0</v>
      </c>
      <c r="L8835" t="n">
        <v>0</v>
      </c>
      <c r="M8835" t="n">
        <v>0</v>
      </c>
      <c r="N8835" t="n">
        <v>0</v>
      </c>
      <c r="O8835" t="n">
        <v>0</v>
      </c>
      <c r="P8835" t="n">
        <v>0</v>
      </c>
      <c r="Q8835" t="n">
        <v>0</v>
      </c>
      <c r="R8835" s="2" t="inlineStr"/>
    </row>
    <row r="8836" ht="15" customHeight="1">
      <c r="A8836" t="inlineStr">
        <is>
          <t>A 6667-2026</t>
        </is>
      </c>
      <c r="B8836" s="1" t="n">
        <v>46056.59239583334</v>
      </c>
      <c r="C8836" s="1" t="n">
        <v>46114</v>
      </c>
      <c r="D8836" t="inlineStr">
        <is>
          <t>DALARNAS LÄN</t>
        </is>
      </c>
      <c r="E8836" t="inlineStr">
        <is>
          <t>FALUN</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17280-2025</t>
        </is>
      </c>
      <c r="B8837" s="1" t="n">
        <v>45756</v>
      </c>
      <c r="C8837" s="1" t="n">
        <v>46114</v>
      </c>
      <c r="D8837" t="inlineStr">
        <is>
          <t>DALARNAS LÄN</t>
        </is>
      </c>
      <c r="E8837" t="inlineStr">
        <is>
          <t>MORA</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60588-2024</t>
        </is>
      </c>
      <c r="B8838" s="1" t="n">
        <v>45644.34916666667</v>
      </c>
      <c r="C8838" s="1" t="n">
        <v>46114</v>
      </c>
      <c r="D8838" t="inlineStr">
        <is>
          <t>DALARNAS LÄN</t>
        </is>
      </c>
      <c r="E8838" t="inlineStr">
        <is>
          <t>RÄTTVIK</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6672-2026</t>
        </is>
      </c>
      <c r="B8839" s="1" t="n">
        <v>46056</v>
      </c>
      <c r="C8839" s="1" t="n">
        <v>46114</v>
      </c>
      <c r="D8839" t="inlineStr">
        <is>
          <t>DALARNAS LÄN</t>
        </is>
      </c>
      <c r="E8839" t="inlineStr">
        <is>
          <t>HEDEMORA</t>
        </is>
      </c>
      <c r="G8839" t="n">
        <v>2.5</v>
      </c>
      <c r="H8839" t="n">
        <v>0</v>
      </c>
      <c r="I8839" t="n">
        <v>0</v>
      </c>
      <c r="J8839" t="n">
        <v>0</v>
      </c>
      <c r="K8839" t="n">
        <v>0</v>
      </c>
      <c r="L8839" t="n">
        <v>0</v>
      </c>
      <c r="M8839" t="n">
        <v>0</v>
      </c>
      <c r="N8839" t="n">
        <v>0</v>
      </c>
      <c r="O8839" t="n">
        <v>0</v>
      </c>
      <c r="P8839" t="n">
        <v>0</v>
      </c>
      <c r="Q8839" t="n">
        <v>0</v>
      </c>
      <c r="R8839" s="2" t="inlineStr"/>
    </row>
    <row r="8840" ht="15" customHeight="1">
      <c r="A8840" t="inlineStr">
        <is>
          <t>A 29991-2023</t>
        </is>
      </c>
      <c r="B8840" s="1" t="n">
        <v>45109.49123842592</v>
      </c>
      <c r="C8840" s="1" t="n">
        <v>46114</v>
      </c>
      <c r="D8840" t="inlineStr">
        <is>
          <t>DALARNAS LÄN</t>
        </is>
      </c>
      <c r="E8840" t="inlineStr">
        <is>
          <t>SMEDJEBACKEN</t>
        </is>
      </c>
      <c r="G8840" t="n">
        <v>3.3</v>
      </c>
      <c r="H8840" t="n">
        <v>0</v>
      </c>
      <c r="I8840" t="n">
        <v>0</v>
      </c>
      <c r="J8840" t="n">
        <v>0</v>
      </c>
      <c r="K8840" t="n">
        <v>0</v>
      </c>
      <c r="L8840" t="n">
        <v>0</v>
      </c>
      <c r="M8840" t="n">
        <v>0</v>
      </c>
      <c r="N8840" t="n">
        <v>0</v>
      </c>
      <c r="O8840" t="n">
        <v>0</v>
      </c>
      <c r="P8840" t="n">
        <v>0</v>
      </c>
      <c r="Q8840" t="n">
        <v>0</v>
      </c>
      <c r="R8840" s="2" t="inlineStr"/>
    </row>
    <row r="8841" ht="15" customHeight="1">
      <c r="A8841" t="inlineStr">
        <is>
          <t>A 17377-2025</t>
        </is>
      </c>
      <c r="B8841" s="1" t="n">
        <v>45756.983125</v>
      </c>
      <c r="C8841" s="1" t="n">
        <v>46114</v>
      </c>
      <c r="D8841" t="inlineStr">
        <is>
          <t>DALARNAS LÄN</t>
        </is>
      </c>
      <c r="E8841" t="inlineStr">
        <is>
          <t>LEKSAND</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6964-2026</t>
        </is>
      </c>
      <c r="B8842" s="1" t="n">
        <v>46057</v>
      </c>
      <c r="C8842" s="1" t="n">
        <v>46114</v>
      </c>
      <c r="D8842" t="inlineStr">
        <is>
          <t>DALARNAS LÄN</t>
        </is>
      </c>
      <c r="E8842" t="inlineStr">
        <is>
          <t>FALUN</t>
        </is>
      </c>
      <c r="G8842" t="n">
        <v>1.4</v>
      </c>
      <c r="H8842" t="n">
        <v>0</v>
      </c>
      <c r="I8842" t="n">
        <v>0</v>
      </c>
      <c r="J8842" t="n">
        <v>0</v>
      </c>
      <c r="K8842" t="n">
        <v>0</v>
      </c>
      <c r="L8842" t="n">
        <v>0</v>
      </c>
      <c r="M8842" t="n">
        <v>0</v>
      </c>
      <c r="N8842" t="n">
        <v>0</v>
      </c>
      <c r="O8842" t="n">
        <v>0</v>
      </c>
      <c r="P8842" t="n">
        <v>0</v>
      </c>
      <c r="Q8842" t="n">
        <v>0</v>
      </c>
      <c r="R8842" s="2" t="inlineStr"/>
    </row>
    <row r="8843" ht="15" customHeight="1">
      <c r="A8843" t="inlineStr">
        <is>
          <t>A 30024-2023</t>
        </is>
      </c>
      <c r="B8843" s="1" t="n">
        <v>45110</v>
      </c>
      <c r="C8843" s="1" t="n">
        <v>46114</v>
      </c>
      <c r="D8843" t="inlineStr">
        <is>
          <t>DALARNAS LÄN</t>
        </is>
      </c>
      <c r="E8843" t="inlineStr">
        <is>
          <t>VANSBRO</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6993-2026</t>
        </is>
      </c>
      <c r="B8844" s="1" t="n">
        <v>46057</v>
      </c>
      <c r="C8844" s="1" t="n">
        <v>46114</v>
      </c>
      <c r="D8844" t="inlineStr">
        <is>
          <t>DALARNAS LÄN</t>
        </is>
      </c>
      <c r="E8844" t="inlineStr">
        <is>
          <t>ORSA</t>
        </is>
      </c>
      <c r="G8844" t="n">
        <v>2.5</v>
      </c>
      <c r="H8844" t="n">
        <v>0</v>
      </c>
      <c r="I8844" t="n">
        <v>0</v>
      </c>
      <c r="J8844" t="n">
        <v>0</v>
      </c>
      <c r="K8844" t="n">
        <v>0</v>
      </c>
      <c r="L8844" t="n">
        <v>0</v>
      </c>
      <c r="M8844" t="n">
        <v>0</v>
      </c>
      <c r="N8844" t="n">
        <v>0</v>
      </c>
      <c r="O8844" t="n">
        <v>0</v>
      </c>
      <c r="P8844" t="n">
        <v>0</v>
      </c>
      <c r="Q8844" t="n">
        <v>0</v>
      </c>
      <c r="R8844" s="2" t="inlineStr"/>
    </row>
    <row r="8845" ht="15" customHeight="1">
      <c r="A8845" t="inlineStr">
        <is>
          <t>A 10416-2026</t>
        </is>
      </c>
      <c r="B8845" s="1" t="n">
        <v>46077</v>
      </c>
      <c r="C8845" s="1" t="n">
        <v>46114</v>
      </c>
      <c r="D8845" t="inlineStr">
        <is>
          <t>DALARNAS LÄN</t>
        </is>
      </c>
      <c r="E8845" t="inlineStr">
        <is>
          <t>AVESTA</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2999-2026</t>
        </is>
      </c>
      <c r="B8846" s="1" t="n">
        <v>46038</v>
      </c>
      <c r="C8846" s="1" t="n">
        <v>46114</v>
      </c>
      <c r="D8846" t="inlineStr">
        <is>
          <t>DALARNAS LÄN</t>
        </is>
      </c>
      <c r="E8846" t="inlineStr">
        <is>
          <t>ORSA</t>
        </is>
      </c>
      <c r="G8846" t="n">
        <v>3.9</v>
      </c>
      <c r="H8846" t="n">
        <v>0</v>
      </c>
      <c r="I8846" t="n">
        <v>0</v>
      </c>
      <c r="J8846" t="n">
        <v>0</v>
      </c>
      <c r="K8846" t="n">
        <v>0</v>
      </c>
      <c r="L8846" t="n">
        <v>0</v>
      </c>
      <c r="M8846" t="n">
        <v>0</v>
      </c>
      <c r="N8846" t="n">
        <v>0</v>
      </c>
      <c r="O8846" t="n">
        <v>0</v>
      </c>
      <c r="P8846" t="n">
        <v>0</v>
      </c>
      <c r="Q8846" t="n">
        <v>0</v>
      </c>
      <c r="R8846" s="2" t="inlineStr"/>
    </row>
    <row r="8847" ht="15" customHeight="1">
      <c r="A8847" t="inlineStr">
        <is>
          <t>A 7020-2026</t>
        </is>
      </c>
      <c r="B8847" s="1" t="n">
        <v>46057.6528587963</v>
      </c>
      <c r="C8847" s="1" t="n">
        <v>46114</v>
      </c>
      <c r="D8847" t="inlineStr">
        <is>
          <t>DALARNAS LÄN</t>
        </is>
      </c>
      <c r="E8847" t="inlineStr">
        <is>
          <t>SMEDJEBACKEN</t>
        </is>
      </c>
      <c r="G8847" t="n">
        <v>3.1</v>
      </c>
      <c r="H8847" t="n">
        <v>0</v>
      </c>
      <c r="I8847" t="n">
        <v>0</v>
      </c>
      <c r="J8847" t="n">
        <v>0</v>
      </c>
      <c r="K8847" t="n">
        <v>0</v>
      </c>
      <c r="L8847" t="n">
        <v>0</v>
      </c>
      <c r="M8847" t="n">
        <v>0</v>
      </c>
      <c r="N8847" t="n">
        <v>0</v>
      </c>
      <c r="O8847" t="n">
        <v>0</v>
      </c>
      <c r="P8847" t="n">
        <v>0</v>
      </c>
      <c r="Q8847" t="n">
        <v>0</v>
      </c>
      <c r="R8847" s="2" t="inlineStr"/>
    </row>
    <row r="8848" ht="15" customHeight="1">
      <c r="A8848" t="inlineStr">
        <is>
          <t>A 13840-2026</t>
        </is>
      </c>
      <c r="B8848" s="1" t="n">
        <v>46098.37179398148</v>
      </c>
      <c r="C8848" s="1" t="n">
        <v>46114</v>
      </c>
      <c r="D8848" t="inlineStr">
        <is>
          <t>DALARNAS LÄN</t>
        </is>
      </c>
      <c r="E8848" t="inlineStr">
        <is>
          <t>HEDEMORA</t>
        </is>
      </c>
      <c r="F8848" t="inlineStr">
        <is>
          <t>Sveaskog</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13843-2026</t>
        </is>
      </c>
      <c r="B8849" s="1" t="n">
        <v>46098.3799537037</v>
      </c>
      <c r="C8849" s="1" t="n">
        <v>46114</v>
      </c>
      <c r="D8849" t="inlineStr">
        <is>
          <t>DALARNAS LÄN</t>
        </is>
      </c>
      <c r="E8849" t="inlineStr">
        <is>
          <t>HEDEMORA</t>
        </is>
      </c>
      <c r="F8849" t="inlineStr">
        <is>
          <t>Sveaskog</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13869-2026</t>
        </is>
      </c>
      <c r="B8850" s="1" t="n">
        <v>46098.42197916667</v>
      </c>
      <c r="C8850" s="1" t="n">
        <v>46114</v>
      </c>
      <c r="D8850" t="inlineStr">
        <is>
          <t>DALARNAS LÄN</t>
        </is>
      </c>
      <c r="E8850" t="inlineStr">
        <is>
          <t>SMEDJEBACKEN</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53008-2024</t>
        </is>
      </c>
      <c r="B8851" s="1" t="n">
        <v>45611.39648148148</v>
      </c>
      <c r="C8851" s="1" t="n">
        <v>46114</v>
      </c>
      <c r="D8851" t="inlineStr">
        <is>
          <t>DALARNAS LÄN</t>
        </is>
      </c>
      <c r="E8851" t="inlineStr">
        <is>
          <t>FALUN</t>
        </is>
      </c>
      <c r="F8851" t="inlineStr">
        <is>
          <t>Bergvik skog väst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13913-2026</t>
        </is>
      </c>
      <c r="B8852" s="1" t="n">
        <v>46098</v>
      </c>
      <c r="C8852" s="1" t="n">
        <v>46114</v>
      </c>
      <c r="D8852" t="inlineStr">
        <is>
          <t>DALARNAS LÄN</t>
        </is>
      </c>
      <c r="E8852" t="inlineStr">
        <is>
          <t>HEDEMORA</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13507-2026</t>
        </is>
      </c>
      <c r="B8853" s="1" t="n">
        <v>46094</v>
      </c>
      <c r="C8853" s="1" t="n">
        <v>46114</v>
      </c>
      <c r="D8853" t="inlineStr">
        <is>
          <t>DALARNAS LÄN</t>
        </is>
      </c>
      <c r="E8853" t="inlineStr">
        <is>
          <t>HEDEMORA</t>
        </is>
      </c>
      <c r="G8853" t="n">
        <v>4.3</v>
      </c>
      <c r="H8853" t="n">
        <v>0</v>
      </c>
      <c r="I8853" t="n">
        <v>0</v>
      </c>
      <c r="J8853" t="n">
        <v>0</v>
      </c>
      <c r="K8853" t="n">
        <v>0</v>
      </c>
      <c r="L8853" t="n">
        <v>0</v>
      </c>
      <c r="M8853" t="n">
        <v>0</v>
      </c>
      <c r="N8853" t="n">
        <v>0</v>
      </c>
      <c r="O8853" t="n">
        <v>0</v>
      </c>
      <c r="P8853" t="n">
        <v>0</v>
      </c>
      <c r="Q8853" t="n">
        <v>0</v>
      </c>
      <c r="R8853" s="2" t="inlineStr"/>
    </row>
    <row r="8854" ht="15" customHeight="1">
      <c r="A8854" t="inlineStr">
        <is>
          <t>A 14040-2026</t>
        </is>
      </c>
      <c r="B8854" s="1" t="n">
        <v>46098.89773148148</v>
      </c>
      <c r="C8854" s="1" t="n">
        <v>46114</v>
      </c>
      <c r="D8854" t="inlineStr">
        <is>
          <t>DALARNAS LÄN</t>
        </is>
      </c>
      <c r="E8854" t="inlineStr">
        <is>
          <t>FALUN</t>
        </is>
      </c>
      <c r="F8854" t="inlineStr">
        <is>
          <t>Bergvik skog väst AB</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14042-2026</t>
        </is>
      </c>
      <c r="B8855" s="1" t="n">
        <v>46098.91364583333</v>
      </c>
      <c r="C8855" s="1" t="n">
        <v>46114</v>
      </c>
      <c r="D8855" t="inlineStr">
        <is>
          <t>DALARNAS LÄN</t>
        </is>
      </c>
      <c r="E8855" t="inlineStr">
        <is>
          <t>FALUN</t>
        </is>
      </c>
      <c r="F8855" t="inlineStr">
        <is>
          <t>Bergvik skog väst AB</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61890-2023</t>
        </is>
      </c>
      <c r="B8856" s="1" t="n">
        <v>45266</v>
      </c>
      <c r="C8856" s="1" t="n">
        <v>46114</v>
      </c>
      <c r="D8856" t="inlineStr">
        <is>
          <t>DALARNAS LÄN</t>
        </is>
      </c>
      <c r="E8856" t="inlineStr">
        <is>
          <t>MALUNG-SÄLEN</t>
        </is>
      </c>
      <c r="G8856" t="n">
        <v>8.1</v>
      </c>
      <c r="H8856" t="n">
        <v>0</v>
      </c>
      <c r="I8856" t="n">
        <v>0</v>
      </c>
      <c r="J8856" t="n">
        <v>0</v>
      </c>
      <c r="K8856" t="n">
        <v>0</v>
      </c>
      <c r="L8856" t="n">
        <v>0</v>
      </c>
      <c r="M8856" t="n">
        <v>0</v>
      </c>
      <c r="N8856" t="n">
        <v>0</v>
      </c>
      <c r="O8856" t="n">
        <v>0</v>
      </c>
      <c r="P8856" t="n">
        <v>0</v>
      </c>
      <c r="Q8856" t="n">
        <v>0</v>
      </c>
      <c r="R8856" s="2" t="inlineStr"/>
    </row>
    <row r="8857" ht="15" customHeight="1">
      <c r="A8857" t="inlineStr">
        <is>
          <t>A 13993-2026</t>
        </is>
      </c>
      <c r="B8857" s="1" t="n">
        <v>46098.62234953704</v>
      </c>
      <c r="C8857" s="1" t="n">
        <v>46114</v>
      </c>
      <c r="D8857" t="inlineStr">
        <is>
          <t>DALARNAS LÄN</t>
        </is>
      </c>
      <c r="E8857" t="inlineStr">
        <is>
          <t>MALUNG-SÄLEN</t>
        </is>
      </c>
      <c r="G8857" t="n">
        <v>2.2</v>
      </c>
      <c r="H8857" t="n">
        <v>0</v>
      </c>
      <c r="I8857" t="n">
        <v>0</v>
      </c>
      <c r="J8857" t="n">
        <v>0</v>
      </c>
      <c r="K8857" t="n">
        <v>0</v>
      </c>
      <c r="L8857" t="n">
        <v>0</v>
      </c>
      <c r="M8857" t="n">
        <v>0</v>
      </c>
      <c r="N8857" t="n">
        <v>0</v>
      </c>
      <c r="O8857" t="n">
        <v>0</v>
      </c>
      <c r="P8857" t="n">
        <v>0</v>
      </c>
      <c r="Q8857" t="n">
        <v>0</v>
      </c>
      <c r="R8857" s="2" t="inlineStr"/>
    </row>
    <row r="8858" ht="15" customHeight="1">
      <c r="A8858" t="inlineStr">
        <is>
          <t>A 11927-2026</t>
        </is>
      </c>
      <c r="B8858" s="1" t="n">
        <v>46085</v>
      </c>
      <c r="C8858" s="1" t="n">
        <v>46114</v>
      </c>
      <c r="D8858" t="inlineStr">
        <is>
          <t>DALARNAS LÄN</t>
        </is>
      </c>
      <c r="E8858" t="inlineStr">
        <is>
          <t>FALUN</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6539-2026</t>
        </is>
      </c>
      <c r="B8859" s="1" t="n">
        <v>46056.42555555556</v>
      </c>
      <c r="C8859" s="1" t="n">
        <v>46114</v>
      </c>
      <c r="D8859" t="inlineStr">
        <is>
          <t>DALARNAS LÄN</t>
        </is>
      </c>
      <c r="E8859" t="inlineStr">
        <is>
          <t>FALUN</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14176-2026</t>
        </is>
      </c>
      <c r="B8860" s="1" t="n">
        <v>46099.49247685185</v>
      </c>
      <c r="C8860" s="1" t="n">
        <v>46114</v>
      </c>
      <c r="D8860" t="inlineStr">
        <is>
          <t>DALARNAS LÄN</t>
        </is>
      </c>
      <c r="E8860" t="inlineStr">
        <is>
          <t>MALUNG-SÄLEN</t>
        </is>
      </c>
      <c r="G8860" t="n">
        <v>2.2</v>
      </c>
      <c r="H8860" t="n">
        <v>0</v>
      </c>
      <c r="I8860" t="n">
        <v>0</v>
      </c>
      <c r="J8860" t="n">
        <v>0</v>
      </c>
      <c r="K8860" t="n">
        <v>0</v>
      </c>
      <c r="L8860" t="n">
        <v>0</v>
      </c>
      <c r="M8860" t="n">
        <v>0</v>
      </c>
      <c r="N8860" t="n">
        <v>0</v>
      </c>
      <c r="O8860" t="n">
        <v>0</v>
      </c>
      <c r="P8860" t="n">
        <v>0</v>
      </c>
      <c r="Q8860" t="n">
        <v>0</v>
      </c>
      <c r="R8860" s="2" t="inlineStr"/>
    </row>
    <row r="8861" ht="15" customHeight="1">
      <c r="A8861" t="inlineStr">
        <is>
          <t>A 10254-2025</t>
        </is>
      </c>
      <c r="B8861" s="1" t="n">
        <v>45720.36833333333</v>
      </c>
      <c r="C8861" s="1" t="n">
        <v>46114</v>
      </c>
      <c r="D8861" t="inlineStr">
        <is>
          <t>DALARNAS LÄN</t>
        </is>
      </c>
      <c r="E8861" t="inlineStr">
        <is>
          <t>SÄTER</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13454-2026</t>
        </is>
      </c>
      <c r="B8862" s="1" t="n">
        <v>46094</v>
      </c>
      <c r="C8862" s="1" t="n">
        <v>46114</v>
      </c>
      <c r="D8862" t="inlineStr">
        <is>
          <t>DALARNAS LÄN</t>
        </is>
      </c>
      <c r="E8862" t="inlineStr">
        <is>
          <t>FALUN</t>
        </is>
      </c>
      <c r="F8862" t="inlineStr">
        <is>
          <t>Bergvik skog väst AB</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6889-2026</t>
        </is>
      </c>
      <c r="B8863" s="1" t="n">
        <v>46057.47079861111</v>
      </c>
      <c r="C8863" s="1" t="n">
        <v>46114</v>
      </c>
      <c r="D8863" t="inlineStr">
        <is>
          <t>DALARNAS LÄN</t>
        </is>
      </c>
      <c r="E8863" t="inlineStr">
        <is>
          <t>FALUN</t>
        </is>
      </c>
      <c r="G8863" t="n">
        <v>5.9</v>
      </c>
      <c r="H8863" t="n">
        <v>0</v>
      </c>
      <c r="I8863" t="n">
        <v>0</v>
      </c>
      <c r="J8863" t="n">
        <v>0</v>
      </c>
      <c r="K8863" t="n">
        <v>0</v>
      </c>
      <c r="L8863" t="n">
        <v>0</v>
      </c>
      <c r="M8863" t="n">
        <v>0</v>
      </c>
      <c r="N8863" t="n">
        <v>0</v>
      </c>
      <c r="O8863" t="n">
        <v>0</v>
      </c>
      <c r="P8863" t="n">
        <v>0</v>
      </c>
      <c r="Q8863" t="n">
        <v>0</v>
      </c>
      <c r="R8863" s="2" t="inlineStr"/>
    </row>
    <row r="8864" ht="15" customHeight="1">
      <c r="A8864" t="inlineStr">
        <is>
          <t>A 6794-2026</t>
        </is>
      </c>
      <c r="B8864" s="1" t="n">
        <v>46057.34268518518</v>
      </c>
      <c r="C8864" s="1" t="n">
        <v>46114</v>
      </c>
      <c r="D8864" t="inlineStr">
        <is>
          <t>DALARNAS LÄN</t>
        </is>
      </c>
      <c r="E8864" t="inlineStr">
        <is>
          <t>FALUN</t>
        </is>
      </c>
      <c r="G8864" t="n">
        <v>1.9</v>
      </c>
      <c r="H8864" t="n">
        <v>0</v>
      </c>
      <c r="I8864" t="n">
        <v>0</v>
      </c>
      <c r="J8864" t="n">
        <v>0</v>
      </c>
      <c r="K8864" t="n">
        <v>0</v>
      </c>
      <c r="L8864" t="n">
        <v>0</v>
      </c>
      <c r="M8864" t="n">
        <v>0</v>
      </c>
      <c r="N8864" t="n">
        <v>0</v>
      </c>
      <c r="O8864" t="n">
        <v>0</v>
      </c>
      <c r="P8864" t="n">
        <v>0</v>
      </c>
      <c r="Q8864" t="n">
        <v>0</v>
      </c>
      <c r="R8864" s="2" t="inlineStr"/>
    </row>
    <row r="8865" ht="15" customHeight="1">
      <c r="A8865" t="inlineStr">
        <is>
          <t>A 6802-2026</t>
        </is>
      </c>
      <c r="B8865" s="1" t="n">
        <v>46057.35288194445</v>
      </c>
      <c r="C8865" s="1" t="n">
        <v>46114</v>
      </c>
      <c r="D8865" t="inlineStr">
        <is>
          <t>DALARNAS LÄN</t>
        </is>
      </c>
      <c r="E8865" t="inlineStr">
        <is>
          <t>MORA</t>
        </is>
      </c>
      <c r="G8865" t="n">
        <v>5.8</v>
      </c>
      <c r="H8865" t="n">
        <v>0</v>
      </c>
      <c r="I8865" t="n">
        <v>0</v>
      </c>
      <c r="J8865" t="n">
        <v>0</v>
      </c>
      <c r="K8865" t="n">
        <v>0</v>
      </c>
      <c r="L8865" t="n">
        <v>0</v>
      </c>
      <c r="M8865" t="n">
        <v>0</v>
      </c>
      <c r="N8865" t="n">
        <v>0</v>
      </c>
      <c r="O8865" t="n">
        <v>0</v>
      </c>
      <c r="P8865" t="n">
        <v>0</v>
      </c>
      <c r="Q8865" t="n">
        <v>0</v>
      </c>
      <c r="R8865" s="2" t="inlineStr"/>
    </row>
    <row r="8866" ht="15" customHeight="1">
      <c r="A8866" t="inlineStr">
        <is>
          <t>A 15769-2025</t>
        </is>
      </c>
      <c r="B8866" s="1" t="n">
        <v>45748.58792824074</v>
      </c>
      <c r="C8866" s="1" t="n">
        <v>46114</v>
      </c>
      <c r="D8866" t="inlineStr">
        <is>
          <t>DALARNAS LÄN</t>
        </is>
      </c>
      <c r="E8866" t="inlineStr">
        <is>
          <t>ORSA</t>
        </is>
      </c>
      <c r="F8866" t="inlineStr">
        <is>
          <t>Bergvik skog öst AB</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6923-2026</t>
        </is>
      </c>
      <c r="B8867" s="1" t="n">
        <v>46057.53868055555</v>
      </c>
      <c r="C8867" s="1" t="n">
        <v>46114</v>
      </c>
      <c r="D8867" t="inlineStr">
        <is>
          <t>DALARNAS LÄN</t>
        </is>
      </c>
      <c r="E8867" t="inlineStr">
        <is>
          <t>MORA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13851-2026</t>
        </is>
      </c>
      <c r="B8868" s="1" t="n">
        <v>46098.38871527778</v>
      </c>
      <c r="C8868" s="1" t="n">
        <v>46114</v>
      </c>
      <c r="D8868" t="inlineStr">
        <is>
          <t>DALARNAS LÄN</t>
        </is>
      </c>
      <c r="E8868" t="inlineStr">
        <is>
          <t>SMEDJEBACKEN</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14122-2026</t>
        </is>
      </c>
      <c r="B8869" s="1" t="n">
        <v>46099.43978009259</v>
      </c>
      <c r="C8869" s="1" t="n">
        <v>46114</v>
      </c>
      <c r="D8869" t="inlineStr">
        <is>
          <t>DALARNAS LÄN</t>
        </is>
      </c>
      <c r="E8869" t="inlineStr">
        <is>
          <t>FALUN</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14028-2026</t>
        </is>
      </c>
      <c r="B8870" s="1" t="n">
        <v>46098.75048611111</v>
      </c>
      <c r="C8870" s="1" t="n">
        <v>46114</v>
      </c>
      <c r="D8870" t="inlineStr">
        <is>
          <t>DALARNAS LÄN</t>
        </is>
      </c>
      <c r="E8870" t="inlineStr">
        <is>
          <t>RÄTTVIK</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12041-2026</t>
        </is>
      </c>
      <c r="B8871" s="1" t="n">
        <v>46086</v>
      </c>
      <c r="C8871" s="1" t="n">
        <v>46114</v>
      </c>
      <c r="D8871" t="inlineStr">
        <is>
          <t>DALARNAS LÄN</t>
        </is>
      </c>
      <c r="E8871" t="inlineStr">
        <is>
          <t>FALUN</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14095-2026</t>
        </is>
      </c>
      <c r="B8872" s="1" t="n">
        <v>46099.40016203704</v>
      </c>
      <c r="C8872" s="1" t="n">
        <v>46114</v>
      </c>
      <c r="D8872" t="inlineStr">
        <is>
          <t>DALARNAS LÄN</t>
        </is>
      </c>
      <c r="E8872" t="inlineStr">
        <is>
          <t>FALUN</t>
        </is>
      </c>
      <c r="F8872" t="inlineStr">
        <is>
          <t>Bergvik skog väst AB</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47081-2023</t>
        </is>
      </c>
      <c r="B8873" s="1" t="n">
        <v>45201.61148148148</v>
      </c>
      <c r="C8873" s="1" t="n">
        <v>46114</v>
      </c>
      <c r="D8873" t="inlineStr">
        <is>
          <t>DALARNAS LÄN</t>
        </is>
      </c>
      <c r="E8873" t="inlineStr">
        <is>
          <t>ÄLVDALEN</t>
        </is>
      </c>
      <c r="F8873" t="inlineStr">
        <is>
          <t>Bergvik skog väst AB</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19316-2025</t>
        </is>
      </c>
      <c r="B8874" s="1" t="n">
        <v>45769.57763888889</v>
      </c>
      <c r="C8874" s="1" t="n">
        <v>46114</v>
      </c>
      <c r="D8874" t="inlineStr">
        <is>
          <t>DALARNAS LÄN</t>
        </is>
      </c>
      <c r="E8874" t="inlineStr">
        <is>
          <t>MALUNG-SÄLEN</t>
        </is>
      </c>
      <c r="G8874" t="n">
        <v>1.6</v>
      </c>
      <c r="H8874" t="n">
        <v>0</v>
      </c>
      <c r="I8874" t="n">
        <v>0</v>
      </c>
      <c r="J8874" t="n">
        <v>0</v>
      </c>
      <c r="K8874" t="n">
        <v>0</v>
      </c>
      <c r="L8874" t="n">
        <v>0</v>
      </c>
      <c r="M8874" t="n">
        <v>0</v>
      </c>
      <c r="N8874" t="n">
        <v>0</v>
      </c>
      <c r="O8874" t="n">
        <v>0</v>
      </c>
      <c r="P8874" t="n">
        <v>0</v>
      </c>
      <c r="Q8874" t="n">
        <v>0</v>
      </c>
      <c r="R8874" s="2" t="inlineStr"/>
    </row>
    <row r="8875" ht="15" customHeight="1">
      <c r="A8875" t="inlineStr">
        <is>
          <t>A 13847-2026</t>
        </is>
      </c>
      <c r="B8875" s="1" t="n">
        <v>46098.38618055556</v>
      </c>
      <c r="C8875" s="1" t="n">
        <v>46114</v>
      </c>
      <c r="D8875" t="inlineStr">
        <is>
          <t>DALARNAS LÄN</t>
        </is>
      </c>
      <c r="E8875" t="inlineStr">
        <is>
          <t>HEDEMORA</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13888-2026</t>
        </is>
      </c>
      <c r="B8876" s="1" t="n">
        <v>46098.45450231482</v>
      </c>
      <c r="C8876" s="1" t="n">
        <v>46114</v>
      </c>
      <c r="D8876" t="inlineStr">
        <is>
          <t>DALARNAS LÄN</t>
        </is>
      </c>
      <c r="E8876" t="inlineStr">
        <is>
          <t>SÄTER</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13795-2026</t>
        </is>
      </c>
      <c r="B8877" s="1" t="n">
        <v>46097</v>
      </c>
      <c r="C8877" s="1" t="n">
        <v>46114</v>
      </c>
      <c r="D8877" t="inlineStr">
        <is>
          <t>DALARNAS LÄN</t>
        </is>
      </c>
      <c r="E8877" t="inlineStr">
        <is>
          <t>FALUN</t>
        </is>
      </c>
      <c r="F8877" t="inlineStr">
        <is>
          <t>Allmännings- och besparingsskogar</t>
        </is>
      </c>
      <c r="G8877" t="n">
        <v>15.2</v>
      </c>
      <c r="H8877" t="n">
        <v>0</v>
      </c>
      <c r="I8877" t="n">
        <v>0</v>
      </c>
      <c r="J8877" t="n">
        <v>0</v>
      </c>
      <c r="K8877" t="n">
        <v>0</v>
      </c>
      <c r="L8877" t="n">
        <v>0</v>
      </c>
      <c r="M8877" t="n">
        <v>0</v>
      </c>
      <c r="N8877" t="n">
        <v>0</v>
      </c>
      <c r="O8877" t="n">
        <v>0</v>
      </c>
      <c r="P8877" t="n">
        <v>0</v>
      </c>
      <c r="Q8877" t="n">
        <v>0</v>
      </c>
      <c r="R8877" s="2" t="inlineStr"/>
    </row>
    <row r="8878" ht="15" customHeight="1">
      <c r="A8878" t="inlineStr">
        <is>
          <t>A 12366-2026</t>
        </is>
      </c>
      <c r="B8878" s="1" t="n">
        <v>46089</v>
      </c>
      <c r="C8878" s="1" t="n">
        <v>46114</v>
      </c>
      <c r="D8878" t="inlineStr">
        <is>
          <t>DALARNAS LÄN</t>
        </is>
      </c>
      <c r="E8878" t="inlineStr">
        <is>
          <t>FALUN</t>
        </is>
      </c>
      <c r="G8878" t="n">
        <v>1.9</v>
      </c>
      <c r="H8878" t="n">
        <v>0</v>
      </c>
      <c r="I8878" t="n">
        <v>0</v>
      </c>
      <c r="J8878" t="n">
        <v>0</v>
      </c>
      <c r="K8878" t="n">
        <v>0</v>
      </c>
      <c r="L8878" t="n">
        <v>0</v>
      </c>
      <c r="M8878" t="n">
        <v>0</v>
      </c>
      <c r="N8878" t="n">
        <v>0</v>
      </c>
      <c r="O8878" t="n">
        <v>0</v>
      </c>
      <c r="P8878" t="n">
        <v>0</v>
      </c>
      <c r="Q8878" t="n">
        <v>0</v>
      </c>
      <c r="R8878" s="2" t="inlineStr"/>
    </row>
    <row r="8879" ht="15" customHeight="1">
      <c r="A8879" t="inlineStr">
        <is>
          <t>A 12367-2026</t>
        </is>
      </c>
      <c r="B8879" s="1" t="n">
        <v>46089</v>
      </c>
      <c r="C8879" s="1" t="n">
        <v>46114</v>
      </c>
      <c r="D8879" t="inlineStr">
        <is>
          <t>DALARNAS LÄN</t>
        </is>
      </c>
      <c r="E8879" t="inlineStr">
        <is>
          <t>FALUN</t>
        </is>
      </c>
      <c r="G8879" t="n">
        <v>5.1</v>
      </c>
      <c r="H8879" t="n">
        <v>0</v>
      </c>
      <c r="I8879" t="n">
        <v>0</v>
      </c>
      <c r="J8879" t="n">
        <v>0</v>
      </c>
      <c r="K8879" t="n">
        <v>0</v>
      </c>
      <c r="L8879" t="n">
        <v>0</v>
      </c>
      <c r="M8879" t="n">
        <v>0</v>
      </c>
      <c r="N8879" t="n">
        <v>0</v>
      </c>
      <c r="O8879" t="n">
        <v>0</v>
      </c>
      <c r="P8879" t="n">
        <v>0</v>
      </c>
      <c r="Q8879" t="n">
        <v>0</v>
      </c>
      <c r="R8879" s="2" t="inlineStr"/>
    </row>
    <row r="8880" ht="15" customHeight="1">
      <c r="A8880" t="inlineStr">
        <is>
          <t>A 13288-2023</t>
        </is>
      </c>
      <c r="B8880" s="1" t="n">
        <v>45004.8160300926</v>
      </c>
      <c r="C8880" s="1" t="n">
        <v>46114</v>
      </c>
      <c r="D8880" t="inlineStr">
        <is>
          <t>DALARNAS LÄN</t>
        </is>
      </c>
      <c r="E8880" t="inlineStr">
        <is>
          <t>LEKSAND</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27080-2024</t>
        </is>
      </c>
      <c r="B8881" s="1" t="n">
        <v>45471.47335648148</v>
      </c>
      <c r="C8881" s="1" t="n">
        <v>46114</v>
      </c>
      <c r="D8881" t="inlineStr">
        <is>
          <t>DALARNAS LÄN</t>
        </is>
      </c>
      <c r="E8881" t="inlineStr">
        <is>
          <t>VANSBRO</t>
        </is>
      </c>
      <c r="G8881" t="n">
        <v>0.7</v>
      </c>
      <c r="H8881" t="n">
        <v>0</v>
      </c>
      <c r="I8881" t="n">
        <v>0</v>
      </c>
      <c r="J8881" t="n">
        <v>0</v>
      </c>
      <c r="K8881" t="n">
        <v>0</v>
      </c>
      <c r="L8881" t="n">
        <v>0</v>
      </c>
      <c r="M8881" t="n">
        <v>0</v>
      </c>
      <c r="N8881" t="n">
        <v>0</v>
      </c>
      <c r="O8881" t="n">
        <v>0</v>
      </c>
      <c r="P8881" t="n">
        <v>0</v>
      </c>
      <c r="Q8881" t="n">
        <v>0</v>
      </c>
      <c r="R8881" s="2" t="inlineStr"/>
    </row>
    <row r="8882" ht="15" customHeight="1">
      <c r="A8882" t="inlineStr">
        <is>
          <t>A 6848-2026</t>
        </is>
      </c>
      <c r="B8882" s="1" t="n">
        <v>46056</v>
      </c>
      <c r="C8882" s="1" t="n">
        <v>46114</v>
      </c>
      <c r="D8882" t="inlineStr">
        <is>
          <t>DALARNAS LÄN</t>
        </is>
      </c>
      <c r="E8882" t="inlineStr">
        <is>
          <t>ORSA</t>
        </is>
      </c>
      <c r="F8882" t="inlineStr">
        <is>
          <t>Kommuner</t>
        </is>
      </c>
      <c r="G8882" t="n">
        <v>1.3</v>
      </c>
      <c r="H8882" t="n">
        <v>0</v>
      </c>
      <c r="I8882" t="n">
        <v>0</v>
      </c>
      <c r="J8882" t="n">
        <v>0</v>
      </c>
      <c r="K8882" t="n">
        <v>0</v>
      </c>
      <c r="L8882" t="n">
        <v>0</v>
      </c>
      <c r="M8882" t="n">
        <v>0</v>
      </c>
      <c r="N8882" t="n">
        <v>0</v>
      </c>
      <c r="O8882" t="n">
        <v>0</v>
      </c>
      <c r="P8882" t="n">
        <v>0</v>
      </c>
      <c r="Q8882" t="n">
        <v>0</v>
      </c>
      <c r="R8882" s="2" t="inlineStr"/>
    </row>
    <row r="8883" ht="15" customHeight="1">
      <c r="A8883" t="inlineStr">
        <is>
          <t>A 34282-2024</t>
        </is>
      </c>
      <c r="B8883" s="1" t="n">
        <v>45524.62600694445</v>
      </c>
      <c r="C8883" s="1" t="n">
        <v>46114</v>
      </c>
      <c r="D8883" t="inlineStr">
        <is>
          <t>DALARNAS LÄN</t>
        </is>
      </c>
      <c r="E8883" t="inlineStr">
        <is>
          <t>MORA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13844-2026</t>
        </is>
      </c>
      <c r="B8884" s="1" t="n">
        <v>46098</v>
      </c>
      <c r="C8884" s="1" t="n">
        <v>46114</v>
      </c>
      <c r="D8884" t="inlineStr">
        <is>
          <t>DALARNAS LÄN</t>
        </is>
      </c>
      <c r="E8884" t="inlineStr">
        <is>
          <t>RÄTTVIK</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13937-2026</t>
        </is>
      </c>
      <c r="B8885" s="1" t="n">
        <v>46098.52244212963</v>
      </c>
      <c r="C8885" s="1" t="n">
        <v>46114</v>
      </c>
      <c r="D8885" t="inlineStr">
        <is>
          <t>DALARNAS LÄN</t>
        </is>
      </c>
      <c r="E8885" t="inlineStr">
        <is>
          <t>HEDEMORA</t>
        </is>
      </c>
      <c r="F8885" t="inlineStr">
        <is>
          <t>Sveaskog</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13816-2026</t>
        </is>
      </c>
      <c r="B8886" s="1" t="n">
        <v>46098.32570601852</v>
      </c>
      <c r="C8886" s="1" t="n">
        <v>46114</v>
      </c>
      <c r="D8886" t="inlineStr">
        <is>
          <t>DALARNAS LÄN</t>
        </is>
      </c>
      <c r="E8886" t="inlineStr">
        <is>
          <t>FALUN</t>
        </is>
      </c>
      <c r="G8886" t="n">
        <v>2.1</v>
      </c>
      <c r="H8886" t="n">
        <v>0</v>
      </c>
      <c r="I8886" t="n">
        <v>0</v>
      </c>
      <c r="J8886" t="n">
        <v>0</v>
      </c>
      <c r="K8886" t="n">
        <v>0</v>
      </c>
      <c r="L8886" t="n">
        <v>0</v>
      </c>
      <c r="M8886" t="n">
        <v>0</v>
      </c>
      <c r="N8886" t="n">
        <v>0</v>
      </c>
      <c r="O8886" t="n">
        <v>0</v>
      </c>
      <c r="P8886" t="n">
        <v>0</v>
      </c>
      <c r="Q8886" t="n">
        <v>0</v>
      </c>
      <c r="R8886" s="2" t="inlineStr"/>
    </row>
    <row r="8887" ht="15" customHeight="1">
      <c r="A8887" t="inlineStr">
        <is>
          <t>A 7764-2026</t>
        </is>
      </c>
      <c r="B8887" s="1" t="n">
        <v>46062</v>
      </c>
      <c r="C8887" s="1" t="n">
        <v>46114</v>
      </c>
      <c r="D8887" t="inlineStr">
        <is>
          <t>DALARNAS LÄN</t>
        </is>
      </c>
      <c r="E8887" t="inlineStr">
        <is>
          <t>VANSBRO</t>
        </is>
      </c>
      <c r="G8887" t="n">
        <v>5.1</v>
      </c>
      <c r="H8887" t="n">
        <v>0</v>
      </c>
      <c r="I8887" t="n">
        <v>0</v>
      </c>
      <c r="J8887" t="n">
        <v>0</v>
      </c>
      <c r="K8887" t="n">
        <v>0</v>
      </c>
      <c r="L8887" t="n">
        <v>0</v>
      </c>
      <c r="M8887" t="n">
        <v>0</v>
      </c>
      <c r="N8887" t="n">
        <v>0</v>
      </c>
      <c r="O8887" t="n">
        <v>0</v>
      </c>
      <c r="P8887" t="n">
        <v>0</v>
      </c>
      <c r="Q8887" t="n">
        <v>0</v>
      </c>
      <c r="R8887" s="2" t="inlineStr"/>
    </row>
    <row r="8888" ht="15" customHeight="1">
      <c r="A8888" t="inlineStr">
        <is>
          <t>A 6497-2026</t>
        </is>
      </c>
      <c r="B8888" s="1" t="n">
        <v>46056.36570601852</v>
      </c>
      <c r="C8888" s="1" t="n">
        <v>46114</v>
      </c>
      <c r="D8888" t="inlineStr">
        <is>
          <t>DALARNAS LÄN</t>
        </is>
      </c>
      <c r="E8888" t="inlineStr">
        <is>
          <t>RÄTTVIK</t>
        </is>
      </c>
      <c r="F8888" t="inlineStr">
        <is>
          <t>Övriga statliga verk och myndigheter</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14212-2026</t>
        </is>
      </c>
      <c r="B8889" s="1" t="n">
        <v>46099.56534722223</v>
      </c>
      <c r="C8889" s="1" t="n">
        <v>46114</v>
      </c>
      <c r="D8889" t="inlineStr">
        <is>
          <t>DALARNAS LÄN</t>
        </is>
      </c>
      <c r="E8889" t="inlineStr">
        <is>
          <t>FALUN</t>
        </is>
      </c>
      <c r="F8889" t="inlineStr">
        <is>
          <t>Bergvik skog väst AB</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14214-2026</t>
        </is>
      </c>
      <c r="B8890" s="1" t="n">
        <v>46099.56611111111</v>
      </c>
      <c r="C8890" s="1" t="n">
        <v>46114</v>
      </c>
      <c r="D8890" t="inlineStr">
        <is>
          <t>DALARNAS LÄN</t>
        </is>
      </c>
      <c r="E8890" t="inlineStr">
        <is>
          <t>FALUN</t>
        </is>
      </c>
      <c r="F8890" t="inlineStr">
        <is>
          <t>Bergvik skog väst AB</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6997-2026</t>
        </is>
      </c>
      <c r="B8891" s="1" t="n">
        <v>46057.6134375</v>
      </c>
      <c r="C8891" s="1" t="n">
        <v>46114</v>
      </c>
      <c r="D8891" t="inlineStr">
        <is>
          <t>DALARNAS LÄN</t>
        </is>
      </c>
      <c r="E8891" t="inlineStr">
        <is>
          <t>FALUN</t>
        </is>
      </c>
      <c r="G8891" t="n">
        <v>1.4</v>
      </c>
      <c r="H8891" t="n">
        <v>0</v>
      </c>
      <c r="I8891" t="n">
        <v>0</v>
      </c>
      <c r="J8891" t="n">
        <v>0</v>
      </c>
      <c r="K8891" t="n">
        <v>0</v>
      </c>
      <c r="L8891" t="n">
        <v>0</v>
      </c>
      <c r="M8891" t="n">
        <v>0</v>
      </c>
      <c r="N8891" t="n">
        <v>0</v>
      </c>
      <c r="O8891" t="n">
        <v>0</v>
      </c>
      <c r="P8891" t="n">
        <v>0</v>
      </c>
      <c r="Q8891" t="n">
        <v>0</v>
      </c>
      <c r="R8891" s="2" t="inlineStr"/>
    </row>
    <row r="8892" ht="15" customHeight="1">
      <c r="A8892" t="inlineStr">
        <is>
          <t>A 6998-2026</t>
        </is>
      </c>
      <c r="B8892" s="1" t="n">
        <v>46057</v>
      </c>
      <c r="C8892" s="1" t="n">
        <v>46114</v>
      </c>
      <c r="D8892" t="inlineStr">
        <is>
          <t>DALARNAS LÄN</t>
        </is>
      </c>
      <c r="E8892" t="inlineStr">
        <is>
          <t>SÄTER</t>
        </is>
      </c>
      <c r="F8892" t="inlineStr">
        <is>
          <t>Övriga Aktiebolag</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6435-2026</t>
        </is>
      </c>
      <c r="B8893" s="1" t="n">
        <v>46055.77084490741</v>
      </c>
      <c r="C8893" s="1" t="n">
        <v>46114</v>
      </c>
      <c r="D8893" t="inlineStr">
        <is>
          <t>DALARNAS LÄN</t>
        </is>
      </c>
      <c r="E8893" t="inlineStr">
        <is>
          <t>FALUN</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55497-2024</t>
        </is>
      </c>
      <c r="B8894" s="1" t="n">
        <v>45622.45306712963</v>
      </c>
      <c r="C8894" s="1" t="n">
        <v>46114</v>
      </c>
      <c r="D8894" t="inlineStr">
        <is>
          <t>DALARNAS LÄN</t>
        </is>
      </c>
      <c r="E8894" t="inlineStr">
        <is>
          <t>SÄTER</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17233-2023</t>
        </is>
      </c>
      <c r="B8895" s="1" t="n">
        <v>45035</v>
      </c>
      <c r="C8895" s="1" t="n">
        <v>46114</v>
      </c>
      <c r="D8895" t="inlineStr">
        <is>
          <t>DALARNAS LÄN</t>
        </is>
      </c>
      <c r="E8895" t="inlineStr">
        <is>
          <t>LEKSAND</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6463-2026</t>
        </is>
      </c>
      <c r="B8896" s="1" t="n">
        <v>46056.30674768519</v>
      </c>
      <c r="C8896" s="1" t="n">
        <v>46114</v>
      </c>
      <c r="D8896" t="inlineStr">
        <is>
          <t>DALARNAS LÄN</t>
        </is>
      </c>
      <c r="E8896" t="inlineStr">
        <is>
          <t>LEKSAND</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12100-2026</t>
        </is>
      </c>
      <c r="B8897" s="1" t="n">
        <v>46086</v>
      </c>
      <c r="C8897" s="1" t="n">
        <v>46114</v>
      </c>
      <c r="D8897" t="inlineStr">
        <is>
          <t>DALARNAS LÄN</t>
        </is>
      </c>
      <c r="E8897" t="inlineStr">
        <is>
          <t>FALUN</t>
        </is>
      </c>
      <c r="F8897" t="inlineStr">
        <is>
          <t>Bergvik skog väst AB</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13229-2026</t>
        </is>
      </c>
      <c r="B8898" s="1" t="n">
        <v>46093</v>
      </c>
      <c r="C8898" s="1" t="n">
        <v>46114</v>
      </c>
      <c r="D8898" t="inlineStr">
        <is>
          <t>DALARNAS LÄN</t>
        </is>
      </c>
      <c r="E8898" t="inlineStr">
        <is>
          <t>FALUN</t>
        </is>
      </c>
      <c r="F8898" t="inlineStr">
        <is>
          <t>Bergvik skog väst AB</t>
        </is>
      </c>
      <c r="G8898" t="n">
        <v>3.2</v>
      </c>
      <c r="H8898" t="n">
        <v>0</v>
      </c>
      <c r="I8898" t="n">
        <v>0</v>
      </c>
      <c r="J8898" t="n">
        <v>0</v>
      </c>
      <c r="K8898" t="n">
        <v>0</v>
      </c>
      <c r="L8898" t="n">
        <v>0</v>
      </c>
      <c r="M8898" t="n">
        <v>0</v>
      </c>
      <c r="N8898" t="n">
        <v>0</v>
      </c>
      <c r="O8898" t="n">
        <v>0</v>
      </c>
      <c r="P8898" t="n">
        <v>0</v>
      </c>
      <c r="Q8898" t="n">
        <v>0</v>
      </c>
      <c r="R8898" s="2" t="inlineStr"/>
    </row>
    <row r="8899" ht="15" customHeight="1">
      <c r="A8899" t="inlineStr">
        <is>
          <t>A 13232-2026</t>
        </is>
      </c>
      <c r="B8899" s="1" t="n">
        <v>46093</v>
      </c>
      <c r="C8899" s="1" t="n">
        <v>46114</v>
      </c>
      <c r="D8899" t="inlineStr">
        <is>
          <t>DALARNAS LÄN</t>
        </is>
      </c>
      <c r="E8899" t="inlineStr">
        <is>
          <t>FALUN</t>
        </is>
      </c>
      <c r="F8899" t="inlineStr">
        <is>
          <t>Bergvik skog väst AB</t>
        </is>
      </c>
      <c r="G8899" t="n">
        <v>4.5</v>
      </c>
      <c r="H8899" t="n">
        <v>0</v>
      </c>
      <c r="I8899" t="n">
        <v>0</v>
      </c>
      <c r="J8899" t="n">
        <v>0</v>
      </c>
      <c r="K8899" t="n">
        <v>0</v>
      </c>
      <c r="L8899" t="n">
        <v>0</v>
      </c>
      <c r="M8899" t="n">
        <v>0</v>
      </c>
      <c r="N8899" t="n">
        <v>0</v>
      </c>
      <c r="O8899" t="n">
        <v>0</v>
      </c>
      <c r="P8899" t="n">
        <v>0</v>
      </c>
      <c r="Q8899" t="n">
        <v>0</v>
      </c>
      <c r="R8899" s="2" t="inlineStr"/>
    </row>
    <row r="8900" ht="15" customHeight="1">
      <c r="A8900" t="inlineStr">
        <is>
          <t>A 13510-2026</t>
        </is>
      </c>
      <c r="B8900" s="1" t="n">
        <v>46094</v>
      </c>
      <c r="C8900" s="1" t="n">
        <v>46114</v>
      </c>
      <c r="D8900" t="inlineStr">
        <is>
          <t>DALARNAS LÄN</t>
        </is>
      </c>
      <c r="E8900" t="inlineStr">
        <is>
          <t>HEDEMORA</t>
        </is>
      </c>
      <c r="G8900" t="n">
        <v>1.4</v>
      </c>
      <c r="H8900" t="n">
        <v>0</v>
      </c>
      <c r="I8900" t="n">
        <v>0</v>
      </c>
      <c r="J8900" t="n">
        <v>0</v>
      </c>
      <c r="K8900" t="n">
        <v>0</v>
      </c>
      <c r="L8900" t="n">
        <v>0</v>
      </c>
      <c r="M8900" t="n">
        <v>0</v>
      </c>
      <c r="N8900" t="n">
        <v>0</v>
      </c>
      <c r="O8900" t="n">
        <v>0</v>
      </c>
      <c r="P8900" t="n">
        <v>0</v>
      </c>
      <c r="Q8900" t="n">
        <v>0</v>
      </c>
      <c r="R8900" s="2" t="inlineStr"/>
      <c r="U8900">
        <f>HYPERLINK("https://klasma.github.io/Logging_2083/knärot/A 13510-2026 karta knärot.png", "A 13510-2026")</f>
        <v/>
      </c>
      <c r="V8900">
        <f>HYPERLINK("https://klasma.github.io/Logging_2083/klagomål/A 13510-2026 FSC-klagomål.docx", "A 13510-2026")</f>
        <v/>
      </c>
      <c r="W8900">
        <f>HYPERLINK("https://klasma.github.io/Logging_2083/klagomålsmail/A 13510-2026 FSC-klagomål mail.docx", "A 13510-2026")</f>
        <v/>
      </c>
      <c r="X8900">
        <f>HYPERLINK("https://klasma.github.io/Logging_2083/tillsyn/A 13510-2026 tillsynsbegäran.docx", "A 13510-2026")</f>
        <v/>
      </c>
      <c r="Y8900">
        <f>HYPERLINK("https://klasma.github.io/Logging_2083/tillsynsmail/A 13510-2026 tillsynsbegäran mail.docx", "A 13510-2026")</f>
        <v/>
      </c>
    </row>
    <row r="8901" ht="15" customHeight="1">
      <c r="A8901" t="inlineStr">
        <is>
          <t>A 13992-2026</t>
        </is>
      </c>
      <c r="B8901" s="1" t="n">
        <v>46098.62170138889</v>
      </c>
      <c r="C8901" s="1" t="n">
        <v>46114</v>
      </c>
      <c r="D8901" t="inlineStr">
        <is>
          <t>DALARNAS LÄN</t>
        </is>
      </c>
      <c r="E8901" t="inlineStr">
        <is>
          <t>FALUN</t>
        </is>
      </c>
      <c r="F8901" t="inlineStr">
        <is>
          <t>Bergvik skog väst AB</t>
        </is>
      </c>
      <c r="G8901" t="n">
        <v>2.7</v>
      </c>
      <c r="H8901" t="n">
        <v>0</v>
      </c>
      <c r="I8901" t="n">
        <v>0</v>
      </c>
      <c r="J8901" t="n">
        <v>0</v>
      </c>
      <c r="K8901" t="n">
        <v>0</v>
      </c>
      <c r="L8901" t="n">
        <v>0</v>
      </c>
      <c r="M8901" t="n">
        <v>0</v>
      </c>
      <c r="N8901" t="n">
        <v>0</v>
      </c>
      <c r="O8901" t="n">
        <v>0</v>
      </c>
      <c r="P8901" t="n">
        <v>0</v>
      </c>
      <c r="Q8901" t="n">
        <v>0</v>
      </c>
      <c r="R8901" s="2" t="inlineStr"/>
    </row>
    <row r="8902" ht="15" customHeight="1">
      <c r="A8902" t="inlineStr">
        <is>
          <t>A 6892-2026</t>
        </is>
      </c>
      <c r="B8902" s="1" t="n">
        <v>46057.47490740741</v>
      </c>
      <c r="C8902" s="1" t="n">
        <v>46114</v>
      </c>
      <c r="D8902" t="inlineStr">
        <is>
          <t>DALARNAS LÄN</t>
        </is>
      </c>
      <c r="E8902" t="inlineStr">
        <is>
          <t>MORA</t>
        </is>
      </c>
      <c r="G8902" t="n">
        <v>9</v>
      </c>
      <c r="H8902" t="n">
        <v>0</v>
      </c>
      <c r="I8902" t="n">
        <v>0</v>
      </c>
      <c r="J8902" t="n">
        <v>0</v>
      </c>
      <c r="K8902" t="n">
        <v>0</v>
      </c>
      <c r="L8902" t="n">
        <v>0</v>
      </c>
      <c r="M8902" t="n">
        <v>0</v>
      </c>
      <c r="N8902" t="n">
        <v>0</v>
      </c>
      <c r="O8902" t="n">
        <v>0</v>
      </c>
      <c r="P8902" t="n">
        <v>0</v>
      </c>
      <c r="Q8902" t="n">
        <v>0</v>
      </c>
      <c r="R8902" s="2" t="inlineStr"/>
    </row>
    <row r="8903" ht="15" customHeight="1">
      <c r="A8903" t="inlineStr">
        <is>
          <t>A 30384-2024</t>
        </is>
      </c>
      <c r="B8903" s="1" t="n">
        <v>45490</v>
      </c>
      <c r="C8903" s="1" t="n">
        <v>46114</v>
      </c>
      <c r="D8903" t="inlineStr">
        <is>
          <t>DALARNAS LÄN</t>
        </is>
      </c>
      <c r="E8903" t="inlineStr">
        <is>
          <t>SMEDJEBACKEN</t>
        </is>
      </c>
      <c r="G8903" t="n">
        <v>8.4</v>
      </c>
      <c r="H8903" t="n">
        <v>0</v>
      </c>
      <c r="I8903" t="n">
        <v>0</v>
      </c>
      <c r="J8903" t="n">
        <v>0</v>
      </c>
      <c r="K8903" t="n">
        <v>0</v>
      </c>
      <c r="L8903" t="n">
        <v>0</v>
      </c>
      <c r="M8903" t="n">
        <v>0</v>
      </c>
      <c r="N8903" t="n">
        <v>0</v>
      </c>
      <c r="O8903" t="n">
        <v>0</v>
      </c>
      <c r="P8903" t="n">
        <v>0</v>
      </c>
      <c r="Q8903" t="n">
        <v>0</v>
      </c>
      <c r="R8903" s="2" t="inlineStr"/>
    </row>
    <row r="8904" ht="15" customHeight="1">
      <c r="A8904" t="inlineStr">
        <is>
          <t>A 6688-2026</t>
        </is>
      </c>
      <c r="B8904" s="1" t="n">
        <v>46056.63151620371</v>
      </c>
      <c r="C8904" s="1" t="n">
        <v>46114</v>
      </c>
      <c r="D8904" t="inlineStr">
        <is>
          <t>DALARNAS LÄN</t>
        </is>
      </c>
      <c r="E8904" t="inlineStr">
        <is>
          <t>FALUN</t>
        </is>
      </c>
      <c r="F8904" t="inlineStr">
        <is>
          <t>Bergvik skog väst AB</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6736-2026</t>
        </is>
      </c>
      <c r="B8905" s="1" t="n">
        <v>46056</v>
      </c>
      <c r="C8905" s="1" t="n">
        <v>46114</v>
      </c>
      <c r="D8905" t="inlineStr">
        <is>
          <t>DALARNAS LÄN</t>
        </is>
      </c>
      <c r="E8905" t="inlineStr">
        <is>
          <t>FALUN</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13537-2026</t>
        </is>
      </c>
      <c r="B8906" s="1" t="n">
        <v>46094</v>
      </c>
      <c r="C8906" s="1" t="n">
        <v>46114</v>
      </c>
      <c r="D8906" t="inlineStr">
        <is>
          <t>DALARNAS LÄN</t>
        </is>
      </c>
      <c r="E8906" t="inlineStr">
        <is>
          <t>FALUN</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43313-2023</t>
        </is>
      </c>
      <c r="B8907" s="1" t="n">
        <v>45183.60849537037</v>
      </c>
      <c r="C8907" s="1" t="n">
        <v>46114</v>
      </c>
      <c r="D8907" t="inlineStr">
        <is>
          <t>DALARNAS LÄN</t>
        </is>
      </c>
      <c r="E8907" t="inlineStr">
        <is>
          <t>RÄTTVIK</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13692-2026</t>
        </is>
      </c>
      <c r="B8908" s="1" t="n">
        <v>46094</v>
      </c>
      <c r="C8908" s="1" t="n">
        <v>46114</v>
      </c>
      <c r="D8908" t="inlineStr">
        <is>
          <t>DALARNAS LÄN</t>
        </is>
      </c>
      <c r="E8908" t="inlineStr">
        <is>
          <t>RÄTTVIK</t>
        </is>
      </c>
      <c r="G8908" t="n">
        <v>10.1</v>
      </c>
      <c r="H8908" t="n">
        <v>0</v>
      </c>
      <c r="I8908" t="n">
        <v>0</v>
      </c>
      <c r="J8908" t="n">
        <v>0</v>
      </c>
      <c r="K8908" t="n">
        <v>0</v>
      </c>
      <c r="L8908" t="n">
        <v>0</v>
      </c>
      <c r="M8908" t="n">
        <v>0</v>
      </c>
      <c r="N8908" t="n">
        <v>0</v>
      </c>
      <c r="O8908" t="n">
        <v>0</v>
      </c>
      <c r="P8908" t="n">
        <v>0</v>
      </c>
      <c r="Q8908" t="n">
        <v>0</v>
      </c>
      <c r="R8908" s="2" t="inlineStr"/>
    </row>
    <row r="8909" ht="15" customHeight="1">
      <c r="A8909" t="inlineStr">
        <is>
          <t>A 6926-2026</t>
        </is>
      </c>
      <c r="B8909" s="1" t="n">
        <v>46057</v>
      </c>
      <c r="C8909" s="1" t="n">
        <v>46114</v>
      </c>
      <c r="D8909" t="inlineStr">
        <is>
          <t>DALARNAS LÄN</t>
        </is>
      </c>
      <c r="E8909" t="inlineStr">
        <is>
          <t>LEKSAND</t>
        </is>
      </c>
      <c r="F8909" t="inlineStr">
        <is>
          <t>Bergvik skog väst AB</t>
        </is>
      </c>
      <c r="G8909" t="n">
        <v>22.7</v>
      </c>
      <c r="H8909" t="n">
        <v>0</v>
      </c>
      <c r="I8909" t="n">
        <v>0</v>
      </c>
      <c r="J8909" t="n">
        <v>0</v>
      </c>
      <c r="K8909" t="n">
        <v>0</v>
      </c>
      <c r="L8909" t="n">
        <v>0</v>
      </c>
      <c r="M8909" t="n">
        <v>0</v>
      </c>
      <c r="N8909" t="n">
        <v>0</v>
      </c>
      <c r="O8909" t="n">
        <v>0</v>
      </c>
      <c r="P8909" t="n">
        <v>0</v>
      </c>
      <c r="Q8909" t="n">
        <v>0</v>
      </c>
      <c r="R8909" s="2" t="inlineStr"/>
    </row>
    <row r="8910" ht="15" customHeight="1">
      <c r="A8910" t="inlineStr">
        <is>
          <t>A 6943-2026</t>
        </is>
      </c>
      <c r="B8910" s="1" t="n">
        <v>46056</v>
      </c>
      <c r="C8910" s="1" t="n">
        <v>46114</v>
      </c>
      <c r="D8910" t="inlineStr">
        <is>
          <t>DALARNAS LÄN</t>
        </is>
      </c>
      <c r="E8910" t="inlineStr">
        <is>
          <t>FALUN</t>
        </is>
      </c>
      <c r="F8910" t="inlineStr">
        <is>
          <t>Allmännings- och besparingsskogar</t>
        </is>
      </c>
      <c r="G8910" t="n">
        <v>22.5</v>
      </c>
      <c r="H8910" t="n">
        <v>0</v>
      </c>
      <c r="I8910" t="n">
        <v>0</v>
      </c>
      <c r="J8910" t="n">
        <v>0</v>
      </c>
      <c r="K8910" t="n">
        <v>0</v>
      </c>
      <c r="L8910" t="n">
        <v>0</v>
      </c>
      <c r="M8910" t="n">
        <v>0</v>
      </c>
      <c r="N8910" t="n">
        <v>0</v>
      </c>
      <c r="O8910" t="n">
        <v>0</v>
      </c>
      <c r="P8910" t="n">
        <v>0</v>
      </c>
      <c r="Q8910" t="n">
        <v>0</v>
      </c>
      <c r="R8910" s="2" t="inlineStr"/>
    </row>
    <row r="8911" ht="15" customHeight="1">
      <c r="A8911" t="inlineStr">
        <is>
          <t>A 6951-2026</t>
        </is>
      </c>
      <c r="B8911" s="1" t="n">
        <v>46057.57087962963</v>
      </c>
      <c r="C8911" s="1" t="n">
        <v>46114</v>
      </c>
      <c r="D8911" t="inlineStr">
        <is>
          <t>DALARNAS LÄN</t>
        </is>
      </c>
      <c r="E8911" t="inlineStr">
        <is>
          <t>FALUN</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13941-2026</t>
        </is>
      </c>
      <c r="B8912" s="1" t="n">
        <v>46098.52769675926</v>
      </c>
      <c r="C8912" s="1" t="n">
        <v>46114</v>
      </c>
      <c r="D8912" t="inlineStr">
        <is>
          <t>DALARNAS LÄN</t>
        </is>
      </c>
      <c r="E8912" t="inlineStr">
        <is>
          <t>SÄTER</t>
        </is>
      </c>
      <c r="F8912" t="inlineStr">
        <is>
          <t>Sveaskog</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6599-2026</t>
        </is>
      </c>
      <c r="B8913" s="1" t="n">
        <v>46056</v>
      </c>
      <c r="C8913" s="1" t="n">
        <v>46114</v>
      </c>
      <c r="D8913" t="inlineStr">
        <is>
          <t>DALARNAS LÄN</t>
        </is>
      </c>
      <c r="E8913" t="inlineStr">
        <is>
          <t>FALUN</t>
        </is>
      </c>
      <c r="G8913" t="n">
        <v>4.1</v>
      </c>
      <c r="H8913" t="n">
        <v>0</v>
      </c>
      <c r="I8913" t="n">
        <v>0</v>
      </c>
      <c r="J8913" t="n">
        <v>0</v>
      </c>
      <c r="K8913" t="n">
        <v>0</v>
      </c>
      <c r="L8913" t="n">
        <v>0</v>
      </c>
      <c r="M8913" t="n">
        <v>0</v>
      </c>
      <c r="N8913" t="n">
        <v>0</v>
      </c>
      <c r="O8913" t="n">
        <v>0</v>
      </c>
      <c r="P8913" t="n">
        <v>0</v>
      </c>
      <c r="Q8913" t="n">
        <v>0</v>
      </c>
      <c r="R8913" s="2" t="inlineStr"/>
    </row>
    <row r="8914" ht="15" customHeight="1">
      <c r="A8914" t="inlineStr">
        <is>
          <t>A 6619-2026</t>
        </is>
      </c>
      <c r="B8914" s="1" t="n">
        <v>46056.49622685185</v>
      </c>
      <c r="C8914" s="1" t="n">
        <v>46114</v>
      </c>
      <c r="D8914" t="inlineStr">
        <is>
          <t>DALARNAS LÄN</t>
        </is>
      </c>
      <c r="E8914" t="inlineStr">
        <is>
          <t>MORA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14112-2026</t>
        </is>
      </c>
      <c r="B8915" s="1" t="n">
        <v>46099.4256712963</v>
      </c>
      <c r="C8915" s="1" t="n">
        <v>46114</v>
      </c>
      <c r="D8915" t="inlineStr">
        <is>
          <t>DALARNAS LÄN</t>
        </is>
      </c>
      <c r="E8915" t="inlineStr">
        <is>
          <t>VANSBRO</t>
        </is>
      </c>
      <c r="F8915" t="inlineStr">
        <is>
          <t>Bergvik skog väst AB</t>
        </is>
      </c>
      <c r="G8915" t="n">
        <v>5.8</v>
      </c>
      <c r="H8915" t="n">
        <v>0</v>
      </c>
      <c r="I8915" t="n">
        <v>0</v>
      </c>
      <c r="J8915" t="n">
        <v>0</v>
      </c>
      <c r="K8915" t="n">
        <v>0</v>
      </c>
      <c r="L8915" t="n">
        <v>0</v>
      </c>
      <c r="M8915" t="n">
        <v>0</v>
      </c>
      <c r="N8915" t="n">
        <v>0</v>
      </c>
      <c r="O8915" t="n">
        <v>0</v>
      </c>
      <c r="P8915" t="n">
        <v>0</v>
      </c>
      <c r="Q8915" t="n">
        <v>0</v>
      </c>
      <c r="R8915" s="2" t="inlineStr"/>
    </row>
    <row r="8916" ht="15" customHeight="1">
      <c r="A8916" t="inlineStr">
        <is>
          <t>A 21145-2023</t>
        </is>
      </c>
      <c r="B8916" s="1" t="n">
        <v>45062.37524305555</v>
      </c>
      <c r="C8916" s="1" t="n">
        <v>46114</v>
      </c>
      <c r="D8916" t="inlineStr">
        <is>
          <t>DALARNAS LÄN</t>
        </is>
      </c>
      <c r="E8916" t="inlineStr">
        <is>
          <t>LUDVIKA</t>
        </is>
      </c>
      <c r="F8916" t="inlineStr">
        <is>
          <t>Bergvik skog väst AB</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6856-2026</t>
        </is>
      </c>
      <c r="B8917" s="1" t="n">
        <v>46057.43586805555</v>
      </c>
      <c r="C8917" s="1" t="n">
        <v>46114</v>
      </c>
      <c r="D8917" t="inlineStr">
        <is>
          <t>DALARNAS LÄN</t>
        </is>
      </c>
      <c r="E8917" t="inlineStr">
        <is>
          <t>SÄTER</t>
        </is>
      </c>
      <c r="G8917" t="n">
        <v>3.6</v>
      </c>
      <c r="H8917" t="n">
        <v>0</v>
      </c>
      <c r="I8917" t="n">
        <v>0</v>
      </c>
      <c r="J8917" t="n">
        <v>0</v>
      </c>
      <c r="K8917" t="n">
        <v>0</v>
      </c>
      <c r="L8917" t="n">
        <v>0</v>
      </c>
      <c r="M8917" t="n">
        <v>0</v>
      </c>
      <c r="N8917" t="n">
        <v>0</v>
      </c>
      <c r="O8917" t="n">
        <v>0</v>
      </c>
      <c r="P8917" t="n">
        <v>0</v>
      </c>
      <c r="Q8917" t="n">
        <v>0</v>
      </c>
      <c r="R8917" s="2" t="inlineStr"/>
    </row>
    <row r="8918" ht="15" customHeight="1">
      <c r="A8918" t="inlineStr">
        <is>
          <t>A 8826-2024</t>
        </is>
      </c>
      <c r="B8918" s="1" t="n">
        <v>45355</v>
      </c>
      <c r="C8918" s="1" t="n">
        <v>46114</v>
      </c>
      <c r="D8918" t="inlineStr">
        <is>
          <t>DALARNAS LÄN</t>
        </is>
      </c>
      <c r="E8918" t="inlineStr">
        <is>
          <t>MALUNG-SÄLEN</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316-2026</t>
        </is>
      </c>
      <c r="B8919" s="1" t="n">
        <v>46027</v>
      </c>
      <c r="C8919" s="1" t="n">
        <v>46114</v>
      </c>
      <c r="D8919" t="inlineStr">
        <is>
          <t>DALARNAS LÄN</t>
        </is>
      </c>
      <c r="E8919" t="inlineStr">
        <is>
          <t>MORA</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6595-2026</t>
        </is>
      </c>
      <c r="B8920" s="1" t="n">
        <v>46056</v>
      </c>
      <c r="C8920" s="1" t="n">
        <v>46114</v>
      </c>
      <c r="D8920" t="inlineStr">
        <is>
          <t>DALARNAS LÄN</t>
        </is>
      </c>
      <c r="E8920" t="inlineStr">
        <is>
          <t>MORA</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46931-2023</t>
        </is>
      </c>
      <c r="B8921" s="1" t="n">
        <v>45201</v>
      </c>
      <c r="C8921" s="1" t="n">
        <v>46114</v>
      </c>
      <c r="D8921" t="inlineStr">
        <is>
          <t>DALARNAS LÄN</t>
        </is>
      </c>
      <c r="E8921" t="inlineStr">
        <is>
          <t>LEKSAND</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11397-2026</t>
        </is>
      </c>
      <c r="B8922" s="1" t="n">
        <v>46083</v>
      </c>
      <c r="C8922" s="1" t="n">
        <v>46114</v>
      </c>
      <c r="D8922" t="inlineStr">
        <is>
          <t>DALARNAS LÄN</t>
        </is>
      </c>
      <c r="E8922" t="inlineStr">
        <is>
          <t>GAGNEF</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51231-2023</t>
        </is>
      </c>
      <c r="B8923" s="1" t="n">
        <v>45219</v>
      </c>
      <c r="C8923" s="1" t="n">
        <v>46114</v>
      </c>
      <c r="D8923" t="inlineStr">
        <is>
          <t>DALARNAS LÄN</t>
        </is>
      </c>
      <c r="E8923" t="inlineStr">
        <is>
          <t>GAGNEF</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11877-2026</t>
        </is>
      </c>
      <c r="B8924" s="1" t="n">
        <v>46085</v>
      </c>
      <c r="C8924" s="1" t="n">
        <v>46114</v>
      </c>
      <c r="D8924" t="inlineStr">
        <is>
          <t>DALARNAS LÄN</t>
        </is>
      </c>
      <c r="E8924" t="inlineStr">
        <is>
          <t>FALUN</t>
        </is>
      </c>
      <c r="G8924" t="n">
        <v>23.5</v>
      </c>
      <c r="H8924" t="n">
        <v>0</v>
      </c>
      <c r="I8924" t="n">
        <v>0</v>
      </c>
      <c r="J8924" t="n">
        <v>0</v>
      </c>
      <c r="K8924" t="n">
        <v>0</v>
      </c>
      <c r="L8924" t="n">
        <v>0</v>
      </c>
      <c r="M8924" t="n">
        <v>0</v>
      </c>
      <c r="N8924" t="n">
        <v>0</v>
      </c>
      <c r="O8924" t="n">
        <v>0</v>
      </c>
      <c r="P8924" t="n">
        <v>0</v>
      </c>
      <c r="Q8924" t="n">
        <v>0</v>
      </c>
      <c r="R8924" s="2" t="inlineStr"/>
    </row>
    <row r="8925" ht="15" customHeight="1">
      <c r="A8925" t="inlineStr">
        <is>
          <t>A 6613-2026</t>
        </is>
      </c>
      <c r="B8925" s="1" t="n">
        <v>46056</v>
      </c>
      <c r="C8925" s="1" t="n">
        <v>46114</v>
      </c>
      <c r="D8925" t="inlineStr">
        <is>
          <t>DALARNAS LÄN</t>
        </is>
      </c>
      <c r="E8925" t="inlineStr">
        <is>
          <t>FALUN</t>
        </is>
      </c>
      <c r="G8925" t="n">
        <v>4.9</v>
      </c>
      <c r="H8925" t="n">
        <v>0</v>
      </c>
      <c r="I8925" t="n">
        <v>0</v>
      </c>
      <c r="J8925" t="n">
        <v>0</v>
      </c>
      <c r="K8925" t="n">
        <v>0</v>
      </c>
      <c r="L8925" t="n">
        <v>0</v>
      </c>
      <c r="M8925" t="n">
        <v>0</v>
      </c>
      <c r="N8925" t="n">
        <v>0</v>
      </c>
      <c r="O8925" t="n">
        <v>0</v>
      </c>
      <c r="P8925" t="n">
        <v>0</v>
      </c>
      <c r="Q8925" t="n">
        <v>0</v>
      </c>
      <c r="R8925" s="2" t="inlineStr"/>
    </row>
    <row r="8926" ht="15" customHeight="1">
      <c r="A8926" t="inlineStr">
        <is>
          <t>A 6626-2026</t>
        </is>
      </c>
      <c r="B8926" s="1" t="n">
        <v>46056.51520833333</v>
      </c>
      <c r="C8926" s="1" t="n">
        <v>46114</v>
      </c>
      <c r="D8926" t="inlineStr">
        <is>
          <t>DALARNAS LÄN</t>
        </is>
      </c>
      <c r="E8926" t="inlineStr">
        <is>
          <t>FALUN</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6629-2026</t>
        </is>
      </c>
      <c r="B8927" s="1" t="n">
        <v>46056</v>
      </c>
      <c r="C8927" s="1" t="n">
        <v>46114</v>
      </c>
      <c r="D8927" t="inlineStr">
        <is>
          <t>DALARNAS LÄN</t>
        </is>
      </c>
      <c r="E8927" t="inlineStr">
        <is>
          <t>FALUN</t>
        </is>
      </c>
      <c r="G8927" t="n">
        <v>7.1</v>
      </c>
      <c r="H8927" t="n">
        <v>0</v>
      </c>
      <c r="I8927" t="n">
        <v>0</v>
      </c>
      <c r="J8927" t="n">
        <v>0</v>
      </c>
      <c r="K8927" t="n">
        <v>0</v>
      </c>
      <c r="L8927" t="n">
        <v>0</v>
      </c>
      <c r="M8927" t="n">
        <v>0</v>
      </c>
      <c r="N8927" t="n">
        <v>0</v>
      </c>
      <c r="O8927" t="n">
        <v>0</v>
      </c>
      <c r="P8927" t="n">
        <v>0</v>
      </c>
      <c r="Q8927" t="n">
        <v>0</v>
      </c>
      <c r="R8927" s="2" t="inlineStr"/>
    </row>
    <row r="8928" ht="15" customHeight="1">
      <c r="A8928" t="inlineStr">
        <is>
          <t>A 6631-2026</t>
        </is>
      </c>
      <c r="B8928" s="1" t="n">
        <v>46056</v>
      </c>
      <c r="C8928" s="1" t="n">
        <v>46114</v>
      </c>
      <c r="D8928" t="inlineStr">
        <is>
          <t>DALARNAS LÄN</t>
        </is>
      </c>
      <c r="E8928" t="inlineStr">
        <is>
          <t>BORLÄNGE</t>
        </is>
      </c>
      <c r="G8928" t="n">
        <v>2.7</v>
      </c>
      <c r="H8928" t="n">
        <v>0</v>
      </c>
      <c r="I8928" t="n">
        <v>0</v>
      </c>
      <c r="J8928" t="n">
        <v>0</v>
      </c>
      <c r="K8928" t="n">
        <v>0</v>
      </c>
      <c r="L8928" t="n">
        <v>0</v>
      </c>
      <c r="M8928" t="n">
        <v>0</v>
      </c>
      <c r="N8928" t="n">
        <v>0</v>
      </c>
      <c r="O8928" t="n">
        <v>0</v>
      </c>
      <c r="P8928" t="n">
        <v>0</v>
      </c>
      <c r="Q8928" t="n">
        <v>0</v>
      </c>
      <c r="R8928" s="2" t="inlineStr"/>
    </row>
    <row r="8929" ht="15" customHeight="1">
      <c r="A8929" t="inlineStr">
        <is>
          <t>A 6947-2026</t>
        </is>
      </c>
      <c r="B8929" s="1" t="n">
        <v>46057.56855324074</v>
      </c>
      <c r="C8929" s="1" t="n">
        <v>46114</v>
      </c>
      <c r="D8929" t="inlineStr">
        <is>
          <t>DALARNAS LÄN</t>
        </is>
      </c>
      <c r="E8929" t="inlineStr">
        <is>
          <t>MORA</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6985-2026</t>
        </is>
      </c>
      <c r="B8930" s="1" t="n">
        <v>46057</v>
      </c>
      <c r="C8930" s="1" t="n">
        <v>46114</v>
      </c>
      <c r="D8930" t="inlineStr">
        <is>
          <t>DALARNAS LÄN</t>
        </is>
      </c>
      <c r="E8930" t="inlineStr">
        <is>
          <t>FALUN</t>
        </is>
      </c>
      <c r="F8930" t="inlineStr">
        <is>
          <t>Bergvik skog väst AB</t>
        </is>
      </c>
      <c r="G8930" t="n">
        <v>24.1</v>
      </c>
      <c r="H8930" t="n">
        <v>0</v>
      </c>
      <c r="I8930" t="n">
        <v>0</v>
      </c>
      <c r="J8930" t="n">
        <v>0</v>
      </c>
      <c r="K8930" t="n">
        <v>0</v>
      </c>
      <c r="L8930" t="n">
        <v>0</v>
      </c>
      <c r="M8930" t="n">
        <v>0</v>
      </c>
      <c r="N8930" t="n">
        <v>0</v>
      </c>
      <c r="O8930" t="n">
        <v>0</v>
      </c>
      <c r="P8930" t="n">
        <v>0</v>
      </c>
      <c r="Q8930" t="n">
        <v>0</v>
      </c>
      <c r="R8930" s="2" t="inlineStr"/>
    </row>
    <row r="8931" ht="15" customHeight="1">
      <c r="A8931" t="inlineStr">
        <is>
          <t>A 13713-2026</t>
        </is>
      </c>
      <c r="B8931" s="1" t="n">
        <v>46097</v>
      </c>
      <c r="C8931" s="1" t="n">
        <v>46114</v>
      </c>
      <c r="D8931" t="inlineStr">
        <is>
          <t>DALARNAS LÄN</t>
        </is>
      </c>
      <c r="E8931" t="inlineStr">
        <is>
          <t>LEKSAND</t>
        </is>
      </c>
      <c r="G8931" t="n">
        <v>7.8</v>
      </c>
      <c r="H8931" t="n">
        <v>0</v>
      </c>
      <c r="I8931" t="n">
        <v>0</v>
      </c>
      <c r="J8931" t="n">
        <v>0</v>
      </c>
      <c r="K8931" t="n">
        <v>0</v>
      </c>
      <c r="L8931" t="n">
        <v>0</v>
      </c>
      <c r="M8931" t="n">
        <v>0</v>
      </c>
      <c r="N8931" t="n">
        <v>0</v>
      </c>
      <c r="O8931" t="n">
        <v>0</v>
      </c>
      <c r="P8931" t="n">
        <v>0</v>
      </c>
      <c r="Q8931" t="n">
        <v>0</v>
      </c>
      <c r="R8931" s="2" t="inlineStr"/>
    </row>
    <row r="8932" ht="15" customHeight="1">
      <c r="A8932" t="inlineStr">
        <is>
          <t>A 14478-2024</t>
        </is>
      </c>
      <c r="B8932" s="1" t="n">
        <v>45394.56211805555</v>
      </c>
      <c r="C8932" s="1" t="n">
        <v>46114</v>
      </c>
      <c r="D8932" t="inlineStr">
        <is>
          <t>DALARNAS LÄN</t>
        </is>
      </c>
      <c r="E8932" t="inlineStr">
        <is>
          <t>FALUN</t>
        </is>
      </c>
      <c r="G8932" t="n">
        <v>6.5</v>
      </c>
      <c r="H8932" t="n">
        <v>0</v>
      </c>
      <c r="I8932" t="n">
        <v>0</v>
      </c>
      <c r="J8932" t="n">
        <v>0</v>
      </c>
      <c r="K8932" t="n">
        <v>0</v>
      </c>
      <c r="L8932" t="n">
        <v>0</v>
      </c>
      <c r="M8932" t="n">
        <v>0</v>
      </c>
      <c r="N8932" t="n">
        <v>0</v>
      </c>
      <c r="O8932" t="n">
        <v>0</v>
      </c>
      <c r="P8932" t="n">
        <v>0</v>
      </c>
      <c r="Q8932" t="n">
        <v>0</v>
      </c>
      <c r="R8932" s="2" t="inlineStr"/>
    </row>
    <row r="8933" ht="15" customHeight="1">
      <c r="A8933" t="inlineStr">
        <is>
          <t>A 38055-2024</t>
        </is>
      </c>
      <c r="B8933" s="1" t="n">
        <v>45544</v>
      </c>
      <c r="C8933" s="1" t="n">
        <v>46114</v>
      </c>
      <c r="D8933" t="inlineStr">
        <is>
          <t>DALARNAS LÄN</t>
        </is>
      </c>
      <c r="E8933" t="inlineStr">
        <is>
          <t>MORA</t>
        </is>
      </c>
      <c r="G8933" t="n">
        <v>0.7</v>
      </c>
      <c r="H8933" t="n">
        <v>0</v>
      </c>
      <c r="I8933" t="n">
        <v>0</v>
      </c>
      <c r="J8933" t="n">
        <v>0</v>
      </c>
      <c r="K8933" t="n">
        <v>0</v>
      </c>
      <c r="L8933" t="n">
        <v>0</v>
      </c>
      <c r="M8933" t="n">
        <v>0</v>
      </c>
      <c r="N8933" t="n">
        <v>0</v>
      </c>
      <c r="O8933" t="n">
        <v>0</v>
      </c>
      <c r="P8933" t="n">
        <v>0</v>
      </c>
      <c r="Q8933" t="n">
        <v>0</v>
      </c>
      <c r="R8933" s="2" t="inlineStr"/>
    </row>
    <row r="8934" ht="15" customHeight="1">
      <c r="A8934" t="inlineStr">
        <is>
          <t>A 59209-2022</t>
        </is>
      </c>
      <c r="B8934" s="1" t="n">
        <v>44904</v>
      </c>
      <c r="C8934" s="1" t="n">
        <v>46114</v>
      </c>
      <c r="D8934" t="inlineStr">
        <is>
          <t>DALARNAS LÄN</t>
        </is>
      </c>
      <c r="E8934" t="inlineStr">
        <is>
          <t>ÄLVDALEN</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13839-2026</t>
        </is>
      </c>
      <c r="B8935" s="1" t="n">
        <v>46098.37079861111</v>
      </c>
      <c r="C8935" s="1" t="n">
        <v>46114</v>
      </c>
      <c r="D8935" t="inlineStr">
        <is>
          <t>DALARNAS LÄN</t>
        </is>
      </c>
      <c r="E8935" t="inlineStr">
        <is>
          <t>HEDEMORA</t>
        </is>
      </c>
      <c r="F8935" t="inlineStr">
        <is>
          <t>Sveaskog</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11740-2025</t>
        </is>
      </c>
      <c r="B8936" s="1" t="n">
        <v>45727.62582175926</v>
      </c>
      <c r="C8936" s="1" t="n">
        <v>46114</v>
      </c>
      <c r="D8936" t="inlineStr">
        <is>
          <t>DALARNAS LÄN</t>
        </is>
      </c>
      <c r="E8936" t="inlineStr">
        <is>
          <t>LEKSAND</t>
        </is>
      </c>
      <c r="F8936" t="inlineStr">
        <is>
          <t>Övriga Aktiebolag</t>
        </is>
      </c>
      <c r="G8936" t="n">
        <v>1.3</v>
      </c>
      <c r="H8936" t="n">
        <v>0</v>
      </c>
      <c r="I8936" t="n">
        <v>0</v>
      </c>
      <c r="J8936" t="n">
        <v>0</v>
      </c>
      <c r="K8936" t="n">
        <v>0</v>
      </c>
      <c r="L8936" t="n">
        <v>0</v>
      </c>
      <c r="M8936" t="n">
        <v>0</v>
      </c>
      <c r="N8936" t="n">
        <v>0</v>
      </c>
      <c r="O8936" t="n">
        <v>0</v>
      </c>
      <c r="P8936" t="n">
        <v>0</v>
      </c>
      <c r="Q8936" t="n">
        <v>0</v>
      </c>
      <c r="R8936" s="2" t="inlineStr"/>
    </row>
    <row r="8937" ht="15" customHeight="1">
      <c r="A8937" t="inlineStr">
        <is>
          <t>A 14276-2026</t>
        </is>
      </c>
      <c r="B8937" s="1" t="n">
        <v>46099.66206018518</v>
      </c>
      <c r="C8937" s="1" t="n">
        <v>46114</v>
      </c>
      <c r="D8937" t="inlineStr">
        <is>
          <t>DALARNAS LÄN</t>
        </is>
      </c>
      <c r="E8937" t="inlineStr">
        <is>
          <t>SMEDJEBACKEN</t>
        </is>
      </c>
      <c r="G8937" t="n">
        <v>5.1</v>
      </c>
      <c r="H8937" t="n">
        <v>0</v>
      </c>
      <c r="I8937" t="n">
        <v>0</v>
      </c>
      <c r="J8937" t="n">
        <v>0</v>
      </c>
      <c r="K8937" t="n">
        <v>0</v>
      </c>
      <c r="L8937" t="n">
        <v>0</v>
      </c>
      <c r="M8937" t="n">
        <v>0</v>
      </c>
      <c r="N8937" t="n">
        <v>0</v>
      </c>
      <c r="O8937" t="n">
        <v>0</v>
      </c>
      <c r="P8937" t="n">
        <v>0</v>
      </c>
      <c r="Q8937" t="n">
        <v>0</v>
      </c>
      <c r="R8937" s="2" t="inlineStr"/>
    </row>
    <row r="8938" ht="15" customHeight="1">
      <c r="A8938" t="inlineStr">
        <is>
          <t>A 6719-2026</t>
        </is>
      </c>
      <c r="B8938" s="1" t="n">
        <v>46056.66945601852</v>
      </c>
      <c r="C8938" s="1" t="n">
        <v>46114</v>
      </c>
      <c r="D8938" t="inlineStr">
        <is>
          <t>DALARNAS LÄN</t>
        </is>
      </c>
      <c r="E8938" t="inlineStr">
        <is>
          <t>MORA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6754-2026</t>
        </is>
      </c>
      <c r="B8939" s="1" t="n">
        <v>46056.77274305555</v>
      </c>
      <c r="C8939" s="1" t="n">
        <v>46114</v>
      </c>
      <c r="D8939" t="inlineStr">
        <is>
          <t>DALARNAS LÄN</t>
        </is>
      </c>
      <c r="E8939" t="inlineStr">
        <is>
          <t>FALUN</t>
        </is>
      </c>
      <c r="G8939" t="n">
        <v>0.6</v>
      </c>
      <c r="H8939" t="n">
        <v>0</v>
      </c>
      <c r="I8939" t="n">
        <v>0</v>
      </c>
      <c r="J8939" t="n">
        <v>0</v>
      </c>
      <c r="K8939" t="n">
        <v>0</v>
      </c>
      <c r="L8939" t="n">
        <v>0</v>
      </c>
      <c r="M8939" t="n">
        <v>0</v>
      </c>
      <c r="N8939" t="n">
        <v>0</v>
      </c>
      <c r="O8939" t="n">
        <v>0</v>
      </c>
      <c r="P8939" t="n">
        <v>0</v>
      </c>
      <c r="Q8939" t="n">
        <v>0</v>
      </c>
      <c r="R8939" s="2" t="inlineStr"/>
    </row>
    <row r="8940" ht="15" customHeight="1">
      <c r="A8940" t="inlineStr">
        <is>
          <t>A 6757-2026</t>
        </is>
      </c>
      <c r="B8940" s="1" t="n">
        <v>46056</v>
      </c>
      <c r="C8940" s="1" t="n">
        <v>46114</v>
      </c>
      <c r="D8940" t="inlineStr">
        <is>
          <t>DALARNAS LÄN</t>
        </is>
      </c>
      <c r="E8940" t="inlineStr">
        <is>
          <t>ORSA</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7027-2026</t>
        </is>
      </c>
      <c r="B8941" s="1" t="n">
        <v>46057.67493055556</v>
      </c>
      <c r="C8941" s="1" t="n">
        <v>46114</v>
      </c>
      <c r="D8941" t="inlineStr">
        <is>
          <t>DALARNAS LÄN</t>
        </is>
      </c>
      <c r="E8941" t="inlineStr">
        <is>
          <t>ORSA</t>
        </is>
      </c>
      <c r="G8941" t="n">
        <v>12.1</v>
      </c>
      <c r="H8941" t="n">
        <v>0</v>
      </c>
      <c r="I8941" t="n">
        <v>0</v>
      </c>
      <c r="J8941" t="n">
        <v>0</v>
      </c>
      <c r="K8941" t="n">
        <v>0</v>
      </c>
      <c r="L8941" t="n">
        <v>0</v>
      </c>
      <c r="M8941" t="n">
        <v>0</v>
      </c>
      <c r="N8941" t="n">
        <v>0</v>
      </c>
      <c r="O8941" t="n">
        <v>0</v>
      </c>
      <c r="P8941" t="n">
        <v>0</v>
      </c>
      <c r="Q8941" t="n">
        <v>0</v>
      </c>
      <c r="R8941" s="2" t="inlineStr"/>
    </row>
    <row r="8942" ht="15" customHeight="1">
      <c r="A8942" t="inlineStr">
        <is>
          <t>A 7055-2026</t>
        </is>
      </c>
      <c r="B8942" s="1" t="n">
        <v>46057</v>
      </c>
      <c r="C8942" s="1" t="n">
        <v>46114</v>
      </c>
      <c r="D8942" t="inlineStr">
        <is>
          <t>DALARNAS LÄN</t>
        </is>
      </c>
      <c r="E8942" t="inlineStr">
        <is>
          <t>FALUN</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60408-2021</t>
        </is>
      </c>
      <c r="B8943" s="1" t="n">
        <v>44495</v>
      </c>
      <c r="C8943" s="1" t="n">
        <v>46114</v>
      </c>
      <c r="D8943" t="inlineStr">
        <is>
          <t>DALARNAS LÄN</t>
        </is>
      </c>
      <c r="E8943" t="inlineStr">
        <is>
          <t>HEDEMORA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6568-2026</t>
        </is>
      </c>
      <c r="B8944" s="1" t="n">
        <v>46056.44238425926</v>
      </c>
      <c r="C8944" s="1" t="n">
        <v>46114</v>
      </c>
      <c r="D8944" t="inlineStr">
        <is>
          <t>DALARNAS LÄN</t>
        </is>
      </c>
      <c r="E8944" t="inlineStr">
        <is>
          <t>FALUN</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6604-2026</t>
        </is>
      </c>
      <c r="B8945" s="1" t="n">
        <v>46056.47783564815</v>
      </c>
      <c r="C8945" s="1" t="n">
        <v>46114</v>
      </c>
      <c r="D8945" t="inlineStr">
        <is>
          <t>DALARNAS LÄN</t>
        </is>
      </c>
      <c r="E8945" t="inlineStr">
        <is>
          <t>FALUN</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7014-2026</t>
        </is>
      </c>
      <c r="B8946" s="1" t="n">
        <v>46057.64628472222</v>
      </c>
      <c r="C8946" s="1" t="n">
        <v>46114</v>
      </c>
      <c r="D8946" t="inlineStr">
        <is>
          <t>DALARNAS LÄN</t>
        </is>
      </c>
      <c r="E8946" t="inlineStr">
        <is>
          <t>VANSBRO</t>
        </is>
      </c>
      <c r="G8946" t="n">
        <v>2.5</v>
      </c>
      <c r="H8946" t="n">
        <v>0</v>
      </c>
      <c r="I8946" t="n">
        <v>0</v>
      </c>
      <c r="J8946" t="n">
        <v>0</v>
      </c>
      <c r="K8946" t="n">
        <v>0</v>
      </c>
      <c r="L8946" t="n">
        <v>0</v>
      </c>
      <c r="M8946" t="n">
        <v>0</v>
      </c>
      <c r="N8946" t="n">
        <v>0</v>
      </c>
      <c r="O8946" t="n">
        <v>0</v>
      </c>
      <c r="P8946" t="n">
        <v>0</v>
      </c>
      <c r="Q8946" t="n">
        <v>0</v>
      </c>
      <c r="R8946" s="2" t="inlineStr"/>
    </row>
    <row r="8947" ht="15" customHeight="1">
      <c r="A8947" t="inlineStr">
        <is>
          <t>A 13975-2026</t>
        </is>
      </c>
      <c r="B8947" s="1" t="n">
        <v>46098</v>
      </c>
      <c r="C8947" s="1" t="n">
        <v>46114</v>
      </c>
      <c r="D8947" t="inlineStr">
        <is>
          <t>DALARNAS LÄN</t>
        </is>
      </c>
      <c r="E8947" t="inlineStr">
        <is>
          <t>RÄTTVIK</t>
        </is>
      </c>
      <c r="F8947" t="inlineStr">
        <is>
          <t>Bergvik skog väst AB</t>
        </is>
      </c>
      <c r="G8947" t="n">
        <v>10</v>
      </c>
      <c r="H8947" t="n">
        <v>0</v>
      </c>
      <c r="I8947" t="n">
        <v>0</v>
      </c>
      <c r="J8947" t="n">
        <v>0</v>
      </c>
      <c r="K8947" t="n">
        <v>0</v>
      </c>
      <c r="L8947" t="n">
        <v>0</v>
      </c>
      <c r="M8947" t="n">
        <v>0</v>
      </c>
      <c r="N8947" t="n">
        <v>0</v>
      </c>
      <c r="O8947" t="n">
        <v>0</v>
      </c>
      <c r="P8947" t="n">
        <v>0</v>
      </c>
      <c r="Q8947" t="n">
        <v>0</v>
      </c>
      <c r="R8947" s="2" t="inlineStr"/>
    </row>
    <row r="8948" ht="15" customHeight="1">
      <c r="A8948" t="inlineStr">
        <is>
          <t>A 6556-2026</t>
        </is>
      </c>
      <c r="B8948" s="1" t="n">
        <v>46056.43248842593</v>
      </c>
      <c r="C8948" s="1" t="n">
        <v>46114</v>
      </c>
      <c r="D8948" t="inlineStr">
        <is>
          <t>DALARNAS LÄN</t>
        </is>
      </c>
      <c r="E8948" t="inlineStr">
        <is>
          <t>FALUN</t>
        </is>
      </c>
      <c r="G8948" t="n">
        <v>17.2</v>
      </c>
      <c r="H8948" t="n">
        <v>0</v>
      </c>
      <c r="I8948" t="n">
        <v>0</v>
      </c>
      <c r="J8948" t="n">
        <v>0</v>
      </c>
      <c r="K8948" t="n">
        <v>0</v>
      </c>
      <c r="L8948" t="n">
        <v>0</v>
      </c>
      <c r="M8948" t="n">
        <v>0</v>
      </c>
      <c r="N8948" t="n">
        <v>0</v>
      </c>
      <c r="O8948" t="n">
        <v>0</v>
      </c>
      <c r="P8948" t="n">
        <v>0</v>
      </c>
      <c r="Q8948" t="n">
        <v>0</v>
      </c>
      <c r="R8948" s="2" t="inlineStr"/>
    </row>
    <row r="8949" ht="15" customHeight="1">
      <c r="A8949" t="inlineStr">
        <is>
          <t>A 7116-2024</t>
        </is>
      </c>
      <c r="B8949" s="1" t="n">
        <v>45343.95445601852</v>
      </c>
      <c r="C8949" s="1" t="n">
        <v>46114</v>
      </c>
      <c r="D8949" t="inlineStr">
        <is>
          <t>DALARNAS LÄN</t>
        </is>
      </c>
      <c r="E8949" t="inlineStr">
        <is>
          <t>MORA</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8489-2025</t>
        </is>
      </c>
      <c r="B8950" s="1" t="n">
        <v>45709.50549768518</v>
      </c>
      <c r="C8950" s="1" t="n">
        <v>46114</v>
      </c>
      <c r="D8950" t="inlineStr">
        <is>
          <t>DALARNAS LÄN</t>
        </is>
      </c>
      <c r="E8950" t="inlineStr">
        <is>
          <t>BORLÄNGE</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14128-2026</t>
        </is>
      </c>
      <c r="B8951" s="1" t="n">
        <v>46099.446875</v>
      </c>
      <c r="C8951" s="1" t="n">
        <v>46114</v>
      </c>
      <c r="D8951" t="inlineStr">
        <is>
          <t>DALARNAS LÄN</t>
        </is>
      </c>
      <c r="E8951" t="inlineStr">
        <is>
          <t>ORSA</t>
        </is>
      </c>
      <c r="F8951" t="inlineStr">
        <is>
          <t>Allmännings- och besparingsskogar</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14209-2026</t>
        </is>
      </c>
      <c r="B8952" s="1" t="n">
        <v>46099.56414351852</v>
      </c>
      <c r="C8952" s="1" t="n">
        <v>46114</v>
      </c>
      <c r="D8952" t="inlineStr">
        <is>
          <t>DALARNAS LÄN</t>
        </is>
      </c>
      <c r="E8952" t="inlineStr">
        <is>
          <t>FALUN</t>
        </is>
      </c>
      <c r="F8952" t="inlineStr">
        <is>
          <t>Bergvik skog väst AB</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14136-2026</t>
        </is>
      </c>
      <c r="B8953" s="1" t="n">
        <v>46099.45679398148</v>
      </c>
      <c r="C8953" s="1" t="n">
        <v>46114</v>
      </c>
      <c r="D8953" t="inlineStr">
        <is>
          <t>DALARNAS LÄN</t>
        </is>
      </c>
      <c r="E8953" t="inlineStr">
        <is>
          <t>FALUN</t>
        </is>
      </c>
      <c r="F8953" t="inlineStr">
        <is>
          <t>Bergvik skog väst AB</t>
        </is>
      </c>
      <c r="G8953" t="n">
        <v>26.6</v>
      </c>
      <c r="H8953" t="n">
        <v>0</v>
      </c>
      <c r="I8953" t="n">
        <v>0</v>
      </c>
      <c r="J8953" t="n">
        <v>0</v>
      </c>
      <c r="K8953" t="n">
        <v>0</v>
      </c>
      <c r="L8953" t="n">
        <v>0</v>
      </c>
      <c r="M8953" t="n">
        <v>0</v>
      </c>
      <c r="N8953" t="n">
        <v>0</v>
      </c>
      <c r="O8953" t="n">
        <v>0</v>
      </c>
      <c r="P8953" t="n">
        <v>0</v>
      </c>
      <c r="Q8953" t="n">
        <v>0</v>
      </c>
      <c r="R8953" s="2" t="inlineStr"/>
    </row>
    <row r="8954" ht="15" customHeight="1">
      <c r="A8954" t="inlineStr">
        <is>
          <t>A 15782-2024</t>
        </is>
      </c>
      <c r="B8954" s="1" t="n">
        <v>45404.60552083333</v>
      </c>
      <c r="C8954" s="1" t="n">
        <v>46114</v>
      </c>
      <c r="D8954" t="inlineStr">
        <is>
          <t>DALARNAS LÄN</t>
        </is>
      </c>
      <c r="E8954" t="inlineStr">
        <is>
          <t>MALUNG-SÄLEN</t>
        </is>
      </c>
      <c r="G8954" t="n">
        <v>5.1</v>
      </c>
      <c r="H8954" t="n">
        <v>0</v>
      </c>
      <c r="I8954" t="n">
        <v>0</v>
      </c>
      <c r="J8954" t="n">
        <v>0</v>
      </c>
      <c r="K8954" t="n">
        <v>0</v>
      </c>
      <c r="L8954" t="n">
        <v>0</v>
      </c>
      <c r="M8954" t="n">
        <v>0</v>
      </c>
      <c r="N8954" t="n">
        <v>0</v>
      </c>
      <c r="O8954" t="n">
        <v>0</v>
      </c>
      <c r="P8954" t="n">
        <v>0</v>
      </c>
      <c r="Q8954" t="n">
        <v>0</v>
      </c>
      <c r="R8954" s="2" t="inlineStr"/>
    </row>
    <row r="8955" ht="15" customHeight="1">
      <c r="A8955" t="inlineStr">
        <is>
          <t>A 22780-2023</t>
        </is>
      </c>
      <c r="B8955" s="1" t="n">
        <v>45072</v>
      </c>
      <c r="C8955" s="1" t="n">
        <v>46114</v>
      </c>
      <c r="D8955" t="inlineStr">
        <is>
          <t>DALARNAS LÄN</t>
        </is>
      </c>
      <c r="E8955" t="inlineStr">
        <is>
          <t>MALUNG-SÄLEN</t>
        </is>
      </c>
      <c r="F8955" t="inlineStr">
        <is>
          <t>Bergvik skog öst AB</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22785-2023</t>
        </is>
      </c>
      <c r="B8956" s="1" t="n">
        <v>45072.34796296297</v>
      </c>
      <c r="C8956" s="1" t="n">
        <v>46114</v>
      </c>
      <c r="D8956" t="inlineStr">
        <is>
          <t>DALARNAS LÄN</t>
        </is>
      </c>
      <c r="E8956" t="inlineStr">
        <is>
          <t>MORA</t>
        </is>
      </c>
      <c r="G8956" t="n">
        <v>0.7</v>
      </c>
      <c r="H8956" t="n">
        <v>0</v>
      </c>
      <c r="I8956" t="n">
        <v>0</v>
      </c>
      <c r="J8956" t="n">
        <v>0</v>
      </c>
      <c r="K8956" t="n">
        <v>0</v>
      </c>
      <c r="L8956" t="n">
        <v>0</v>
      </c>
      <c r="M8956" t="n">
        <v>0</v>
      </c>
      <c r="N8956" t="n">
        <v>0</v>
      </c>
      <c r="O8956" t="n">
        <v>0</v>
      </c>
      <c r="P8956" t="n">
        <v>0</v>
      </c>
      <c r="Q8956" t="n">
        <v>0</v>
      </c>
      <c r="R8956" s="2" t="inlineStr"/>
    </row>
    <row r="8957" ht="15" customHeight="1">
      <c r="A8957" t="inlineStr">
        <is>
          <t>A 15851-2024</t>
        </is>
      </c>
      <c r="B8957" s="1" t="n">
        <v>45404.89207175926</v>
      </c>
      <c r="C8957" s="1" t="n">
        <v>46114</v>
      </c>
      <c r="D8957" t="inlineStr">
        <is>
          <t>DALARNAS LÄN</t>
        </is>
      </c>
      <c r="E8957" t="inlineStr">
        <is>
          <t>LUDVIKA</t>
        </is>
      </c>
      <c r="G8957" t="n">
        <v>5.2</v>
      </c>
      <c r="H8957" t="n">
        <v>0</v>
      </c>
      <c r="I8957" t="n">
        <v>0</v>
      </c>
      <c r="J8957" t="n">
        <v>0</v>
      </c>
      <c r="K8957" t="n">
        <v>0</v>
      </c>
      <c r="L8957" t="n">
        <v>0</v>
      </c>
      <c r="M8957" t="n">
        <v>0</v>
      </c>
      <c r="N8957" t="n">
        <v>0</v>
      </c>
      <c r="O8957" t="n">
        <v>0</v>
      </c>
      <c r="P8957" t="n">
        <v>0</v>
      </c>
      <c r="Q8957" t="n">
        <v>0</v>
      </c>
      <c r="R8957" s="2" t="inlineStr"/>
    </row>
    <row r="8958" ht="15" customHeight="1">
      <c r="A8958" t="inlineStr">
        <is>
          <t>A 13237-2026</t>
        </is>
      </c>
      <c r="B8958" s="1" t="n">
        <v>46093</v>
      </c>
      <c r="C8958" s="1" t="n">
        <v>46114</v>
      </c>
      <c r="D8958" t="inlineStr">
        <is>
          <t>DALARNAS LÄN</t>
        </is>
      </c>
      <c r="E8958" t="inlineStr">
        <is>
          <t>FALUN</t>
        </is>
      </c>
      <c r="F8958" t="inlineStr">
        <is>
          <t>Bergvik skog väst AB</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13261-2026</t>
        </is>
      </c>
      <c r="B8959" s="1" t="n">
        <v>46093</v>
      </c>
      <c r="C8959" s="1" t="n">
        <v>46114</v>
      </c>
      <c r="D8959" t="inlineStr">
        <is>
          <t>DALARNAS LÄN</t>
        </is>
      </c>
      <c r="E8959" t="inlineStr">
        <is>
          <t>FALUN</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16601-2024</t>
        </is>
      </c>
      <c r="B8960" s="1" t="n">
        <v>45408.52519675926</v>
      </c>
      <c r="C8960" s="1" t="n">
        <v>46114</v>
      </c>
      <c r="D8960" t="inlineStr">
        <is>
          <t>DALARNAS LÄN</t>
        </is>
      </c>
      <c r="E8960" t="inlineStr">
        <is>
          <t>SMEDJEBACKEN</t>
        </is>
      </c>
      <c r="F8960" t="inlineStr">
        <is>
          <t>Sveaskog</t>
        </is>
      </c>
      <c r="G8960" t="n">
        <v>7.5</v>
      </c>
      <c r="H8960" t="n">
        <v>0</v>
      </c>
      <c r="I8960" t="n">
        <v>0</v>
      </c>
      <c r="J8960" t="n">
        <v>0</v>
      </c>
      <c r="K8960" t="n">
        <v>0</v>
      </c>
      <c r="L8960" t="n">
        <v>0</v>
      </c>
      <c r="M8960" t="n">
        <v>0</v>
      </c>
      <c r="N8960" t="n">
        <v>0</v>
      </c>
      <c r="O8960" t="n">
        <v>0</v>
      </c>
      <c r="P8960" t="n">
        <v>0</v>
      </c>
      <c r="Q8960" t="n">
        <v>0</v>
      </c>
      <c r="R8960" s="2" t="inlineStr"/>
    </row>
    <row r="8961" ht="15" customHeight="1">
      <c r="A8961" t="inlineStr">
        <is>
          <t>A 49962-2024</t>
        </is>
      </c>
      <c r="B8961" s="1" t="n">
        <v>45597.63032407407</v>
      </c>
      <c r="C8961" s="1" t="n">
        <v>46114</v>
      </c>
      <c r="D8961" t="inlineStr">
        <is>
          <t>DALARNAS LÄN</t>
        </is>
      </c>
      <c r="E8961" t="inlineStr">
        <is>
          <t>MALUNG-SÄLEN</t>
        </is>
      </c>
      <c r="F8961" t="inlineStr">
        <is>
          <t>Bergvik skog väst AB</t>
        </is>
      </c>
      <c r="G8961" t="n">
        <v>2.6</v>
      </c>
      <c r="H8961" t="n">
        <v>0</v>
      </c>
      <c r="I8961" t="n">
        <v>0</v>
      </c>
      <c r="J8961" t="n">
        <v>0</v>
      </c>
      <c r="K8961" t="n">
        <v>0</v>
      </c>
      <c r="L8961" t="n">
        <v>0</v>
      </c>
      <c r="M8961" t="n">
        <v>0</v>
      </c>
      <c r="N8961" t="n">
        <v>0</v>
      </c>
      <c r="O8961" t="n">
        <v>0</v>
      </c>
      <c r="P8961" t="n">
        <v>0</v>
      </c>
      <c r="Q8961" t="n">
        <v>0</v>
      </c>
      <c r="R8961" s="2" t="inlineStr"/>
    </row>
    <row r="8962" ht="15" customHeight="1">
      <c r="A8962" t="inlineStr">
        <is>
          <t>A 32904-2022</t>
        </is>
      </c>
      <c r="B8962" s="1" t="n">
        <v>44784</v>
      </c>
      <c r="C8962" s="1" t="n">
        <v>46114</v>
      </c>
      <c r="D8962" t="inlineStr">
        <is>
          <t>DALARNAS LÄN</t>
        </is>
      </c>
      <c r="E8962" t="inlineStr">
        <is>
          <t>SÄTER</t>
        </is>
      </c>
      <c r="F8962" t="inlineStr">
        <is>
          <t>Bergvik skog väst AB</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373-2026</t>
        </is>
      </c>
      <c r="B8963" s="1" t="n">
        <v>46027</v>
      </c>
      <c r="C8963" s="1" t="n">
        <v>46114</v>
      </c>
      <c r="D8963" t="inlineStr">
        <is>
          <t>DALARNAS LÄN</t>
        </is>
      </c>
      <c r="E8963" t="inlineStr">
        <is>
          <t>RÄTTVIK</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57745-2024</t>
        </is>
      </c>
      <c r="B8964" s="1" t="n">
        <v>45630.77605324074</v>
      </c>
      <c r="C8964" s="1" t="n">
        <v>46114</v>
      </c>
      <c r="D8964" t="inlineStr">
        <is>
          <t>DALARNAS LÄN</t>
        </is>
      </c>
      <c r="E8964" t="inlineStr">
        <is>
          <t>HEDEMORA</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14609-2026</t>
        </is>
      </c>
      <c r="B8965" s="1" t="n">
        <v>46101.36509259259</v>
      </c>
      <c r="C8965" s="1" t="n">
        <v>46114</v>
      </c>
      <c r="D8965" t="inlineStr">
        <is>
          <t>DALARNAS LÄN</t>
        </is>
      </c>
      <c r="E8965" t="inlineStr">
        <is>
          <t>SMEDJEBACKEN</t>
        </is>
      </c>
      <c r="F8965" t="inlineStr">
        <is>
          <t>Sveaskog</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31245-2024</t>
        </is>
      </c>
      <c r="B8966" s="1" t="n">
        <v>45503.65226851852</v>
      </c>
      <c r="C8966" s="1" t="n">
        <v>46114</v>
      </c>
      <c r="D8966" t="inlineStr">
        <is>
          <t>DALARNAS LÄN</t>
        </is>
      </c>
      <c r="E8966" t="inlineStr">
        <is>
          <t>GAGNEF</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40308-2025</t>
        </is>
      </c>
      <c r="B8967" s="1" t="n">
        <v>45895.41193287037</v>
      </c>
      <c r="C8967" s="1" t="n">
        <v>46114</v>
      </c>
      <c r="D8967" t="inlineStr">
        <is>
          <t>DALARNAS LÄN</t>
        </is>
      </c>
      <c r="E8967" t="inlineStr">
        <is>
          <t>FALUN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21216-2023</t>
        </is>
      </c>
      <c r="B8968" s="1" t="n">
        <v>45062</v>
      </c>
      <c r="C8968" s="1" t="n">
        <v>46114</v>
      </c>
      <c r="D8968" t="inlineStr">
        <is>
          <t>DALARNAS LÄN</t>
        </is>
      </c>
      <c r="E8968" t="inlineStr">
        <is>
          <t>ORSA</t>
        </is>
      </c>
      <c r="F8968" t="inlineStr">
        <is>
          <t>Bergvik skog öst AB</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12232-2026</t>
        </is>
      </c>
      <c r="B8969" s="1" t="n">
        <v>46087</v>
      </c>
      <c r="C8969" s="1" t="n">
        <v>46114</v>
      </c>
      <c r="D8969" t="inlineStr">
        <is>
          <t>DALARNAS LÄN</t>
        </is>
      </c>
      <c r="E8969" t="inlineStr">
        <is>
          <t>FALUN</t>
        </is>
      </c>
      <c r="G8969" t="n">
        <v>7.5</v>
      </c>
      <c r="H8969" t="n">
        <v>0</v>
      </c>
      <c r="I8969" t="n">
        <v>0</v>
      </c>
      <c r="J8969" t="n">
        <v>0</v>
      </c>
      <c r="K8969" t="n">
        <v>0</v>
      </c>
      <c r="L8969" t="n">
        <v>0</v>
      </c>
      <c r="M8969" t="n">
        <v>0</v>
      </c>
      <c r="N8969" t="n">
        <v>0</v>
      </c>
      <c r="O8969" t="n">
        <v>0</v>
      </c>
      <c r="P8969" t="n">
        <v>0</v>
      </c>
      <c r="Q8969" t="n">
        <v>0</v>
      </c>
      <c r="R8969" s="2" t="inlineStr"/>
    </row>
    <row r="8970" ht="15" customHeight="1">
      <c r="A8970" t="inlineStr">
        <is>
          <t>A 6556-2023</t>
        </is>
      </c>
      <c r="B8970" s="1" t="n">
        <v>44961</v>
      </c>
      <c r="C8970" s="1" t="n">
        <v>46114</v>
      </c>
      <c r="D8970" t="inlineStr">
        <is>
          <t>DALARNAS LÄN</t>
        </is>
      </c>
      <c r="E8970" t="inlineStr">
        <is>
          <t>HEDEMORA</t>
        </is>
      </c>
      <c r="G8970" t="n">
        <v>3.7</v>
      </c>
      <c r="H8970" t="n">
        <v>0</v>
      </c>
      <c r="I8970" t="n">
        <v>0</v>
      </c>
      <c r="J8970" t="n">
        <v>0</v>
      </c>
      <c r="K8970" t="n">
        <v>0</v>
      </c>
      <c r="L8970" t="n">
        <v>0</v>
      </c>
      <c r="M8970" t="n">
        <v>0</v>
      </c>
      <c r="N8970" t="n">
        <v>0</v>
      </c>
      <c r="O8970" t="n">
        <v>0</v>
      </c>
      <c r="P8970" t="n">
        <v>0</v>
      </c>
      <c r="Q8970" t="n">
        <v>0</v>
      </c>
      <c r="R8970" s="2" t="inlineStr"/>
    </row>
    <row r="8971" ht="15" customHeight="1">
      <c r="A8971" t="inlineStr">
        <is>
          <t>A 12507-2026</t>
        </is>
      </c>
      <c r="B8971" s="1" t="n">
        <v>46090</v>
      </c>
      <c r="C8971" s="1" t="n">
        <v>46114</v>
      </c>
      <c r="D8971" t="inlineStr">
        <is>
          <t>DALARNAS LÄN</t>
        </is>
      </c>
      <c r="E8971" t="inlineStr">
        <is>
          <t>FALUN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13782-2026</t>
        </is>
      </c>
      <c r="B8972" s="1" t="n">
        <v>46097</v>
      </c>
      <c r="C8972" s="1" t="n">
        <v>46114</v>
      </c>
      <c r="D8972" t="inlineStr">
        <is>
          <t>DALARNAS LÄN</t>
        </is>
      </c>
      <c r="E8972" t="inlineStr">
        <is>
          <t>FALUN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13784-2026</t>
        </is>
      </c>
      <c r="B8973" s="1" t="n">
        <v>46097</v>
      </c>
      <c r="C8973" s="1" t="n">
        <v>46114</v>
      </c>
      <c r="D8973" t="inlineStr">
        <is>
          <t>DALARNAS LÄN</t>
        </is>
      </c>
      <c r="E8973" t="inlineStr">
        <is>
          <t>FALUN</t>
        </is>
      </c>
      <c r="G8973" t="n">
        <v>0.6</v>
      </c>
      <c r="H8973" t="n">
        <v>0</v>
      </c>
      <c r="I8973" t="n">
        <v>0</v>
      </c>
      <c r="J8973" t="n">
        <v>0</v>
      </c>
      <c r="K8973" t="n">
        <v>0</v>
      </c>
      <c r="L8973" t="n">
        <v>0</v>
      </c>
      <c r="M8973" t="n">
        <v>0</v>
      </c>
      <c r="N8973" t="n">
        <v>0</v>
      </c>
      <c r="O8973" t="n">
        <v>0</v>
      </c>
      <c r="P8973" t="n">
        <v>0</v>
      </c>
      <c r="Q8973" t="n">
        <v>0</v>
      </c>
      <c r="R8973" s="2" t="inlineStr"/>
    </row>
    <row r="8974" ht="15" customHeight="1">
      <c r="A8974" t="inlineStr">
        <is>
          <t>A 2832-2025</t>
        </is>
      </c>
      <c r="B8974" s="1" t="n">
        <v>45677.63202546296</v>
      </c>
      <c r="C8974" s="1" t="n">
        <v>46114</v>
      </c>
      <c r="D8974" t="inlineStr">
        <is>
          <t>DALARNAS LÄN</t>
        </is>
      </c>
      <c r="E8974" t="inlineStr">
        <is>
          <t>VANSBRO</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41400-2022</t>
        </is>
      </c>
      <c r="B8975" s="1" t="n">
        <v>44826</v>
      </c>
      <c r="C8975" s="1" t="n">
        <v>46114</v>
      </c>
      <c r="D8975" t="inlineStr">
        <is>
          <t>DALARNAS LÄN</t>
        </is>
      </c>
      <c r="E8975" t="inlineStr">
        <is>
          <t>LUDVIKA</t>
        </is>
      </c>
      <c r="F8975" t="inlineStr">
        <is>
          <t>Bergvik skog väst AB</t>
        </is>
      </c>
      <c r="G8975" t="n">
        <v>3.5</v>
      </c>
      <c r="H8975" t="n">
        <v>0</v>
      </c>
      <c r="I8975" t="n">
        <v>0</v>
      </c>
      <c r="J8975" t="n">
        <v>0</v>
      </c>
      <c r="K8975" t="n">
        <v>0</v>
      </c>
      <c r="L8975" t="n">
        <v>0</v>
      </c>
      <c r="M8975" t="n">
        <v>0</v>
      </c>
      <c r="N8975" t="n">
        <v>0</v>
      </c>
      <c r="O8975" t="n">
        <v>0</v>
      </c>
      <c r="P8975" t="n">
        <v>0</v>
      </c>
      <c r="Q8975" t="n">
        <v>0</v>
      </c>
      <c r="R8975" s="2" t="inlineStr"/>
    </row>
    <row r="8976" ht="15" customHeight="1">
      <c r="A8976" t="inlineStr">
        <is>
          <t>A 12855-2026</t>
        </is>
      </c>
      <c r="B8976" s="1" t="n">
        <v>46092</v>
      </c>
      <c r="C8976" s="1" t="n">
        <v>46114</v>
      </c>
      <c r="D8976" t="inlineStr">
        <is>
          <t>DALARNAS LÄN</t>
        </is>
      </c>
      <c r="E8976" t="inlineStr">
        <is>
          <t>FALUN</t>
        </is>
      </c>
      <c r="F8976" t="inlineStr">
        <is>
          <t>Bergvik skog väst AB</t>
        </is>
      </c>
      <c r="G8976" t="n">
        <v>30</v>
      </c>
      <c r="H8976" t="n">
        <v>0</v>
      </c>
      <c r="I8976" t="n">
        <v>0</v>
      </c>
      <c r="J8976" t="n">
        <v>0</v>
      </c>
      <c r="K8976" t="n">
        <v>0</v>
      </c>
      <c r="L8976" t="n">
        <v>0</v>
      </c>
      <c r="M8976" t="n">
        <v>0</v>
      </c>
      <c r="N8976" t="n">
        <v>0</v>
      </c>
      <c r="O8976" t="n">
        <v>0</v>
      </c>
      <c r="P8976" t="n">
        <v>0</v>
      </c>
      <c r="Q8976" t="n">
        <v>0</v>
      </c>
      <c r="R8976" s="2" t="inlineStr"/>
    </row>
    <row r="8977" ht="15" customHeight="1">
      <c r="A8977" t="inlineStr">
        <is>
          <t>A 31886-2023</t>
        </is>
      </c>
      <c r="B8977" s="1" t="n">
        <v>45118.69055555556</v>
      </c>
      <c r="C8977" s="1" t="n">
        <v>46114</v>
      </c>
      <c r="D8977" t="inlineStr">
        <is>
          <t>DALARNAS LÄN</t>
        </is>
      </c>
      <c r="E8977" t="inlineStr">
        <is>
          <t>MALUNG-SÄLEN</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6565-2024</t>
        </is>
      </c>
      <c r="B8978" s="1" t="n">
        <v>45341</v>
      </c>
      <c r="C8978" s="1" t="n">
        <v>46114</v>
      </c>
      <c r="D8978" t="inlineStr">
        <is>
          <t>DALARNAS LÄN</t>
        </is>
      </c>
      <c r="E8978" t="inlineStr">
        <is>
          <t>FALUN</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37049-2023</t>
        </is>
      </c>
      <c r="B8979" s="1" t="n">
        <v>45155.42216435185</v>
      </c>
      <c r="C8979" s="1" t="n">
        <v>46114</v>
      </c>
      <c r="D8979" t="inlineStr">
        <is>
          <t>DALARNAS LÄN</t>
        </is>
      </c>
      <c r="E8979" t="inlineStr">
        <is>
          <t>FALUN</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7259-2026</t>
        </is>
      </c>
      <c r="B8980" s="1" t="n">
        <v>46058.59936342593</v>
      </c>
      <c r="C8980" s="1" t="n">
        <v>46114</v>
      </c>
      <c r="D8980" t="inlineStr">
        <is>
          <t>DALARNAS LÄN</t>
        </is>
      </c>
      <c r="E8980" t="inlineStr">
        <is>
          <t>VANSBRO</t>
        </is>
      </c>
      <c r="G8980" t="n">
        <v>2.7</v>
      </c>
      <c r="H8980" t="n">
        <v>0</v>
      </c>
      <c r="I8980" t="n">
        <v>0</v>
      </c>
      <c r="J8980" t="n">
        <v>0</v>
      </c>
      <c r="K8980" t="n">
        <v>0</v>
      </c>
      <c r="L8980" t="n">
        <v>0</v>
      </c>
      <c r="M8980" t="n">
        <v>0</v>
      </c>
      <c r="N8980" t="n">
        <v>0</v>
      </c>
      <c r="O8980" t="n">
        <v>0</v>
      </c>
      <c r="P8980" t="n">
        <v>0</v>
      </c>
      <c r="Q8980" t="n">
        <v>0</v>
      </c>
      <c r="R8980" s="2" t="inlineStr"/>
    </row>
    <row r="8981" ht="15" customHeight="1">
      <c r="A8981" t="inlineStr">
        <is>
          <t>A 59893-2021</t>
        </is>
      </c>
      <c r="B8981" s="1" t="n">
        <v>44494</v>
      </c>
      <c r="C8981" s="1" t="n">
        <v>46114</v>
      </c>
      <c r="D8981" t="inlineStr">
        <is>
          <t>DALARNAS LÄN</t>
        </is>
      </c>
      <c r="E8981" t="inlineStr">
        <is>
          <t>GAGNEF</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7293-2026</t>
        </is>
      </c>
      <c r="B8982" s="1" t="n">
        <v>46058.64077546296</v>
      </c>
      <c r="C8982" s="1" t="n">
        <v>46114</v>
      </c>
      <c r="D8982" t="inlineStr">
        <is>
          <t>DALARNAS LÄN</t>
        </is>
      </c>
      <c r="E8982" t="inlineStr">
        <is>
          <t>FALUN</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12264-2026</t>
        </is>
      </c>
      <c r="B8983" s="1" t="n">
        <v>46087</v>
      </c>
      <c r="C8983" s="1" t="n">
        <v>46114</v>
      </c>
      <c r="D8983" t="inlineStr">
        <is>
          <t>DALARNAS LÄN</t>
        </is>
      </c>
      <c r="E8983" t="inlineStr">
        <is>
          <t>RÄTTVIK</t>
        </is>
      </c>
      <c r="F8983" t="inlineStr">
        <is>
          <t>Bergvik skog väst AB</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12266-2026</t>
        </is>
      </c>
      <c r="B8984" s="1" t="n">
        <v>46087</v>
      </c>
      <c r="C8984" s="1" t="n">
        <v>46114</v>
      </c>
      <c r="D8984" t="inlineStr">
        <is>
          <t>DALARNAS LÄN</t>
        </is>
      </c>
      <c r="E8984" t="inlineStr">
        <is>
          <t>SÄTER</t>
        </is>
      </c>
      <c r="F8984" t="inlineStr">
        <is>
          <t>Kommuner</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13309-2026</t>
        </is>
      </c>
      <c r="B8985" s="1" t="n">
        <v>46094</v>
      </c>
      <c r="C8985" s="1" t="n">
        <v>46114</v>
      </c>
      <c r="D8985" t="inlineStr">
        <is>
          <t>DALARNAS LÄN</t>
        </is>
      </c>
      <c r="E8985" t="inlineStr">
        <is>
          <t>FALUN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7196-2026</t>
        </is>
      </c>
      <c r="B8986" s="1" t="n">
        <v>46058</v>
      </c>
      <c r="C8986" s="1" t="n">
        <v>46114</v>
      </c>
      <c r="D8986" t="inlineStr">
        <is>
          <t>DALARNAS LÄN</t>
        </is>
      </c>
      <c r="E8986" t="inlineStr">
        <is>
          <t>BORLÄNGE</t>
        </is>
      </c>
      <c r="G8986" t="n">
        <v>0.6</v>
      </c>
      <c r="H8986" t="n">
        <v>0</v>
      </c>
      <c r="I8986" t="n">
        <v>0</v>
      </c>
      <c r="J8986" t="n">
        <v>0</v>
      </c>
      <c r="K8986" t="n">
        <v>0</v>
      </c>
      <c r="L8986" t="n">
        <v>0</v>
      </c>
      <c r="M8986" t="n">
        <v>0</v>
      </c>
      <c r="N8986" t="n">
        <v>0</v>
      </c>
      <c r="O8986" t="n">
        <v>0</v>
      </c>
      <c r="P8986" t="n">
        <v>0</v>
      </c>
      <c r="Q8986" t="n">
        <v>0</v>
      </c>
      <c r="R8986" s="2" t="inlineStr"/>
    </row>
    <row r="8987" ht="15" customHeight="1">
      <c r="A8987" t="inlineStr">
        <is>
          <t>A 7199-2026</t>
        </is>
      </c>
      <c r="B8987" s="1" t="n">
        <v>46058.51758101852</v>
      </c>
      <c r="C8987" s="1" t="n">
        <v>46114</v>
      </c>
      <c r="D8987" t="inlineStr">
        <is>
          <t>DALARNAS LÄN</t>
        </is>
      </c>
      <c r="E8987" t="inlineStr">
        <is>
          <t>VANSBRO</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7256-2026</t>
        </is>
      </c>
      <c r="B8988" s="1" t="n">
        <v>46058.59798611111</v>
      </c>
      <c r="C8988" s="1" t="n">
        <v>46114</v>
      </c>
      <c r="D8988" t="inlineStr">
        <is>
          <t>DALARNAS LÄN</t>
        </is>
      </c>
      <c r="E8988" t="inlineStr">
        <is>
          <t>VANSBRO</t>
        </is>
      </c>
      <c r="G8988" t="n">
        <v>4.9</v>
      </c>
      <c r="H8988" t="n">
        <v>0</v>
      </c>
      <c r="I8988" t="n">
        <v>0</v>
      </c>
      <c r="J8988" t="n">
        <v>0</v>
      </c>
      <c r="K8988" t="n">
        <v>0</v>
      </c>
      <c r="L8988" t="n">
        <v>0</v>
      </c>
      <c r="M8988" t="n">
        <v>0</v>
      </c>
      <c r="N8988" t="n">
        <v>0</v>
      </c>
      <c r="O8988" t="n">
        <v>0</v>
      </c>
      <c r="P8988" t="n">
        <v>0</v>
      </c>
      <c r="Q8988" t="n">
        <v>0</v>
      </c>
      <c r="R8988" s="2" t="inlineStr"/>
    </row>
    <row r="8989" ht="15" customHeight="1">
      <c r="A8989" t="inlineStr">
        <is>
          <t>A 10373-2023</t>
        </is>
      </c>
      <c r="B8989" s="1" t="n">
        <v>44987</v>
      </c>
      <c r="C8989" s="1" t="n">
        <v>46114</v>
      </c>
      <c r="D8989" t="inlineStr">
        <is>
          <t>DALARNAS LÄN</t>
        </is>
      </c>
      <c r="E8989" t="inlineStr">
        <is>
          <t>LEKSAND</t>
        </is>
      </c>
      <c r="G8989" t="n">
        <v>0.3</v>
      </c>
      <c r="H8989" t="n">
        <v>0</v>
      </c>
      <c r="I8989" t="n">
        <v>0</v>
      </c>
      <c r="J8989" t="n">
        <v>0</v>
      </c>
      <c r="K8989" t="n">
        <v>0</v>
      </c>
      <c r="L8989" t="n">
        <v>0</v>
      </c>
      <c r="M8989" t="n">
        <v>0</v>
      </c>
      <c r="N8989" t="n">
        <v>0</v>
      </c>
      <c r="O8989" t="n">
        <v>0</v>
      </c>
      <c r="P8989" t="n">
        <v>0</v>
      </c>
      <c r="Q8989" t="n">
        <v>0</v>
      </c>
      <c r="R8989" s="2" t="inlineStr"/>
    </row>
    <row r="8990" ht="15" customHeight="1">
      <c r="A8990" t="inlineStr">
        <is>
          <t>A 37882-2023</t>
        </is>
      </c>
      <c r="B8990" s="1" t="n">
        <v>45160</v>
      </c>
      <c r="C8990" s="1" t="n">
        <v>46114</v>
      </c>
      <c r="D8990" t="inlineStr">
        <is>
          <t>DALARNAS LÄN</t>
        </is>
      </c>
      <c r="E8990" t="inlineStr">
        <is>
          <t>FALUN</t>
        </is>
      </c>
      <c r="G8990" t="n">
        <v>5.2</v>
      </c>
      <c r="H8990" t="n">
        <v>0</v>
      </c>
      <c r="I8990" t="n">
        <v>0</v>
      </c>
      <c r="J8990" t="n">
        <v>0</v>
      </c>
      <c r="K8990" t="n">
        <v>0</v>
      </c>
      <c r="L8990" t="n">
        <v>0</v>
      </c>
      <c r="M8990" t="n">
        <v>0</v>
      </c>
      <c r="N8990" t="n">
        <v>0</v>
      </c>
      <c r="O8990" t="n">
        <v>0</v>
      </c>
      <c r="P8990" t="n">
        <v>0</v>
      </c>
      <c r="Q8990" t="n">
        <v>0</v>
      </c>
      <c r="R8990" s="2" t="inlineStr"/>
    </row>
    <row r="8991" ht="15" customHeight="1">
      <c r="A8991" t="inlineStr">
        <is>
          <t>A 11060-2026</t>
        </is>
      </c>
      <c r="B8991" s="1" t="n">
        <v>46079</v>
      </c>
      <c r="C8991" s="1" t="n">
        <v>46114</v>
      </c>
      <c r="D8991" t="inlineStr">
        <is>
          <t>DALARNAS LÄN</t>
        </is>
      </c>
      <c r="E8991" t="inlineStr">
        <is>
          <t>FALUN</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14415-2026</t>
        </is>
      </c>
      <c r="B8992" s="1" t="n">
        <v>46100.45163194444</v>
      </c>
      <c r="C8992" s="1" t="n">
        <v>46114</v>
      </c>
      <c r="D8992" t="inlineStr">
        <is>
          <t>DALARNAS LÄN</t>
        </is>
      </c>
      <c r="E8992" t="inlineStr">
        <is>
          <t>SMEDJEBACKEN</t>
        </is>
      </c>
      <c r="F8992" t="inlineStr">
        <is>
          <t>Övriga Aktiebolag</t>
        </is>
      </c>
      <c r="G8992" t="n">
        <v>3.5</v>
      </c>
      <c r="H8992" t="n">
        <v>0</v>
      </c>
      <c r="I8992" t="n">
        <v>0</v>
      </c>
      <c r="J8992" t="n">
        <v>0</v>
      </c>
      <c r="K8992" t="n">
        <v>0</v>
      </c>
      <c r="L8992" t="n">
        <v>0</v>
      </c>
      <c r="M8992" t="n">
        <v>0</v>
      </c>
      <c r="N8992" t="n">
        <v>0</v>
      </c>
      <c r="O8992" t="n">
        <v>0</v>
      </c>
      <c r="P8992" t="n">
        <v>0</v>
      </c>
      <c r="Q8992" t="n">
        <v>0</v>
      </c>
      <c r="R8992" s="2" t="inlineStr"/>
    </row>
    <row r="8993" ht="15" customHeight="1">
      <c r="A8993" t="inlineStr">
        <is>
          <t>A 46466-2024</t>
        </is>
      </c>
      <c r="B8993" s="1" t="n">
        <v>45582</v>
      </c>
      <c r="C8993" s="1" t="n">
        <v>46114</v>
      </c>
      <c r="D8993" t="inlineStr">
        <is>
          <t>DALARNAS LÄN</t>
        </is>
      </c>
      <c r="E8993" t="inlineStr">
        <is>
          <t>VANSBRO</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19210-2025</t>
        </is>
      </c>
      <c r="B8994" s="1" t="n">
        <v>45769.43125</v>
      </c>
      <c r="C8994" s="1" t="n">
        <v>46114</v>
      </c>
      <c r="D8994" t="inlineStr">
        <is>
          <t>DALARNAS LÄN</t>
        </is>
      </c>
      <c r="E8994" t="inlineStr">
        <is>
          <t>RÄTTVIK</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13786-2026</t>
        </is>
      </c>
      <c r="B8995" s="1" t="n">
        <v>46097</v>
      </c>
      <c r="C8995" s="1" t="n">
        <v>46114</v>
      </c>
      <c r="D8995" t="inlineStr">
        <is>
          <t>DALARNAS LÄN</t>
        </is>
      </c>
      <c r="E8995" t="inlineStr">
        <is>
          <t>FALUN</t>
        </is>
      </c>
      <c r="G8995" t="n">
        <v>1.6</v>
      </c>
      <c r="H8995" t="n">
        <v>0</v>
      </c>
      <c r="I8995" t="n">
        <v>0</v>
      </c>
      <c r="J8995" t="n">
        <v>0</v>
      </c>
      <c r="K8995" t="n">
        <v>0</v>
      </c>
      <c r="L8995" t="n">
        <v>0</v>
      </c>
      <c r="M8995" t="n">
        <v>0</v>
      </c>
      <c r="N8995" t="n">
        <v>0</v>
      </c>
      <c r="O8995" t="n">
        <v>0</v>
      </c>
      <c r="P8995" t="n">
        <v>0</v>
      </c>
      <c r="Q8995" t="n">
        <v>0</v>
      </c>
      <c r="R8995" s="2" t="inlineStr"/>
    </row>
    <row r="8996" ht="15" customHeight="1">
      <c r="A8996" t="inlineStr">
        <is>
          <t>A 7178-2026</t>
        </is>
      </c>
      <c r="B8996" s="1" t="n">
        <v>46058.47203703703</v>
      </c>
      <c r="C8996" s="1" t="n">
        <v>46114</v>
      </c>
      <c r="D8996" t="inlineStr">
        <is>
          <t>DALARNAS LÄN</t>
        </is>
      </c>
      <c r="E8996" t="inlineStr">
        <is>
          <t>ORSA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10995-2024</t>
        </is>
      </c>
      <c r="B8997" s="1" t="n">
        <v>45370.55768518519</v>
      </c>
      <c r="C8997" s="1" t="n">
        <v>46114</v>
      </c>
      <c r="D8997" t="inlineStr">
        <is>
          <t>DALARNAS LÄN</t>
        </is>
      </c>
      <c r="E8997" t="inlineStr">
        <is>
          <t>GAGNEF</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7198-2026</t>
        </is>
      </c>
      <c r="B8998" s="1" t="n">
        <v>46058</v>
      </c>
      <c r="C8998" s="1" t="n">
        <v>46114</v>
      </c>
      <c r="D8998" t="inlineStr">
        <is>
          <t>DALARNAS LÄN</t>
        </is>
      </c>
      <c r="E8998" t="inlineStr">
        <is>
          <t>BORLÄNGE</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893-2026</t>
        </is>
      </c>
      <c r="B8999" s="1" t="n">
        <v>46030</v>
      </c>
      <c r="C8999" s="1" t="n">
        <v>46114</v>
      </c>
      <c r="D8999" t="inlineStr">
        <is>
          <t>DALARNAS LÄN</t>
        </is>
      </c>
      <c r="E8999" t="inlineStr">
        <is>
          <t>VANSBRO</t>
        </is>
      </c>
      <c r="G8999" t="n">
        <v>1.5</v>
      </c>
      <c r="H8999" t="n">
        <v>0</v>
      </c>
      <c r="I8999" t="n">
        <v>0</v>
      </c>
      <c r="J8999" t="n">
        <v>0</v>
      </c>
      <c r="K8999" t="n">
        <v>0</v>
      </c>
      <c r="L8999" t="n">
        <v>0</v>
      </c>
      <c r="M8999" t="n">
        <v>0</v>
      </c>
      <c r="N8999" t="n">
        <v>0</v>
      </c>
      <c r="O8999" t="n">
        <v>0</v>
      </c>
      <c r="P8999" t="n">
        <v>0</v>
      </c>
      <c r="Q8999" t="n">
        <v>0</v>
      </c>
      <c r="R8999" s="2" t="inlineStr"/>
    </row>
    <row r="9000" ht="15" customHeight="1">
      <c r="A9000" t="inlineStr">
        <is>
          <t>A 12654-2026</t>
        </is>
      </c>
      <c r="B9000" s="1" t="n">
        <v>46090</v>
      </c>
      <c r="C9000" s="1" t="n">
        <v>46114</v>
      </c>
      <c r="D9000" t="inlineStr">
        <is>
          <t>DALARNAS LÄN</t>
        </is>
      </c>
      <c r="E9000" t="inlineStr">
        <is>
          <t>FALUN</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14679-2026</t>
        </is>
      </c>
      <c r="B9001" s="1" t="n">
        <v>46101.47236111111</v>
      </c>
      <c r="C9001" s="1" t="n">
        <v>46114</v>
      </c>
      <c r="D9001" t="inlineStr">
        <is>
          <t>DALARNAS LÄN</t>
        </is>
      </c>
      <c r="E9001" t="inlineStr">
        <is>
          <t>FALUN</t>
        </is>
      </c>
      <c r="F9001" t="inlineStr">
        <is>
          <t>Bergvik skog väst AB</t>
        </is>
      </c>
      <c r="G9001" t="n">
        <v>7.1</v>
      </c>
      <c r="H9001" t="n">
        <v>0</v>
      </c>
      <c r="I9001" t="n">
        <v>0</v>
      </c>
      <c r="J9001" t="n">
        <v>0</v>
      </c>
      <c r="K9001" t="n">
        <v>0</v>
      </c>
      <c r="L9001" t="n">
        <v>0</v>
      </c>
      <c r="M9001" t="n">
        <v>0</v>
      </c>
      <c r="N9001" t="n">
        <v>0</v>
      </c>
      <c r="O9001" t="n">
        <v>0</v>
      </c>
      <c r="P9001" t="n">
        <v>0</v>
      </c>
      <c r="Q9001" t="n">
        <v>0</v>
      </c>
      <c r="R9001" s="2" t="inlineStr"/>
    </row>
    <row r="9002" ht="15" customHeight="1">
      <c r="A9002" t="inlineStr">
        <is>
          <t>A 7937-2025</t>
        </is>
      </c>
      <c r="B9002" s="1" t="n">
        <v>45707.3953125</v>
      </c>
      <c r="C9002" s="1" t="n">
        <v>46114</v>
      </c>
      <c r="D9002" t="inlineStr">
        <is>
          <t>DALARNAS LÄN</t>
        </is>
      </c>
      <c r="E9002" t="inlineStr">
        <is>
          <t>ÄLVDALEN</t>
        </is>
      </c>
      <c r="F9002" t="inlineStr">
        <is>
          <t>Allmännings- och besparingsskogar</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26598-2023</t>
        </is>
      </c>
      <c r="B9003" s="1" t="n">
        <v>45092.68070601852</v>
      </c>
      <c r="C9003" s="1" t="n">
        <v>46114</v>
      </c>
      <c r="D9003" t="inlineStr">
        <is>
          <t>DALARNAS LÄN</t>
        </is>
      </c>
      <c r="E9003" t="inlineStr">
        <is>
          <t>FALUN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72039-2021</t>
        </is>
      </c>
      <c r="B9004" s="1" t="n">
        <v>44540</v>
      </c>
      <c r="C9004" s="1" t="n">
        <v>46114</v>
      </c>
      <c r="D9004" t="inlineStr">
        <is>
          <t>DALARNAS LÄN</t>
        </is>
      </c>
      <c r="E9004" t="inlineStr">
        <is>
          <t>MALUNG-SÄLEN</t>
        </is>
      </c>
      <c r="F9004" t="inlineStr">
        <is>
          <t>Allmännings- och besparingsskogar</t>
        </is>
      </c>
      <c r="G9004" t="n">
        <v>10.2</v>
      </c>
      <c r="H9004" t="n">
        <v>0</v>
      </c>
      <c r="I9004" t="n">
        <v>0</v>
      </c>
      <c r="J9004" t="n">
        <v>0</v>
      </c>
      <c r="K9004" t="n">
        <v>0</v>
      </c>
      <c r="L9004" t="n">
        <v>0</v>
      </c>
      <c r="M9004" t="n">
        <v>0</v>
      </c>
      <c r="N9004" t="n">
        <v>0</v>
      </c>
      <c r="O9004" t="n">
        <v>0</v>
      </c>
      <c r="P9004" t="n">
        <v>0</v>
      </c>
      <c r="Q9004" t="n">
        <v>0</v>
      </c>
      <c r="R9004" s="2" t="inlineStr"/>
    </row>
    <row r="9005" ht="15" customHeight="1">
      <c r="A9005" t="inlineStr">
        <is>
          <t>A 60718-2023</t>
        </is>
      </c>
      <c r="B9005" s="1" t="n">
        <v>45260.5284375</v>
      </c>
      <c r="C9005" s="1" t="n">
        <v>46114</v>
      </c>
      <c r="D9005" t="inlineStr">
        <is>
          <t>DALARNAS LÄN</t>
        </is>
      </c>
      <c r="E9005" t="inlineStr">
        <is>
          <t>MORA</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50524-2024</t>
        </is>
      </c>
      <c r="B9006" s="1" t="n">
        <v>45600</v>
      </c>
      <c r="C9006" s="1" t="n">
        <v>46114</v>
      </c>
      <c r="D9006" t="inlineStr">
        <is>
          <t>DALARNAS LÄN</t>
        </is>
      </c>
      <c r="E9006" t="inlineStr">
        <is>
          <t>SMEDJEBACKEN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11058-2026</t>
        </is>
      </c>
      <c r="B9007" s="1" t="n">
        <v>46079</v>
      </c>
      <c r="C9007" s="1" t="n">
        <v>46114</v>
      </c>
      <c r="D9007" t="inlineStr">
        <is>
          <t>DALARNAS LÄN</t>
        </is>
      </c>
      <c r="E9007" t="inlineStr">
        <is>
          <t>FALUN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12679-2026</t>
        </is>
      </c>
      <c r="B9008" s="1" t="n">
        <v>46090</v>
      </c>
      <c r="C9008" s="1" t="n">
        <v>46114</v>
      </c>
      <c r="D9008" t="inlineStr">
        <is>
          <t>DALARNAS LÄN</t>
        </is>
      </c>
      <c r="E9008" t="inlineStr">
        <is>
          <t>FALUN</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12685-2026</t>
        </is>
      </c>
      <c r="B9009" s="1" t="n">
        <v>46090</v>
      </c>
      <c r="C9009" s="1" t="n">
        <v>46114</v>
      </c>
      <c r="D9009" t="inlineStr">
        <is>
          <t>DALARNAS LÄN</t>
        </is>
      </c>
      <c r="E9009" t="inlineStr">
        <is>
          <t>FALUN</t>
        </is>
      </c>
      <c r="G9009" t="n">
        <v>6.5</v>
      </c>
      <c r="H9009" t="n">
        <v>0</v>
      </c>
      <c r="I9009" t="n">
        <v>0</v>
      </c>
      <c r="J9009" t="n">
        <v>0</v>
      </c>
      <c r="K9009" t="n">
        <v>0</v>
      </c>
      <c r="L9009" t="n">
        <v>0</v>
      </c>
      <c r="M9009" t="n">
        <v>0</v>
      </c>
      <c r="N9009" t="n">
        <v>0</v>
      </c>
      <c r="O9009" t="n">
        <v>0</v>
      </c>
      <c r="P9009" t="n">
        <v>0</v>
      </c>
      <c r="Q9009" t="n">
        <v>0</v>
      </c>
      <c r="R9009" s="2" t="inlineStr"/>
    </row>
    <row r="9010" ht="15" customHeight="1">
      <c r="A9010" t="inlineStr">
        <is>
          <t>A 12695-2026</t>
        </is>
      </c>
      <c r="B9010" s="1" t="n">
        <v>46090</v>
      </c>
      <c r="C9010" s="1" t="n">
        <v>46114</v>
      </c>
      <c r="D9010" t="inlineStr">
        <is>
          <t>DALARNAS LÄN</t>
        </is>
      </c>
      <c r="E9010" t="inlineStr">
        <is>
          <t>FALUN</t>
        </is>
      </c>
      <c r="F9010" t="inlineStr">
        <is>
          <t>Allmännings- och besparingsskogar</t>
        </is>
      </c>
      <c r="G9010" t="n">
        <v>9.4</v>
      </c>
      <c r="H9010" t="n">
        <v>0</v>
      </c>
      <c r="I9010" t="n">
        <v>0</v>
      </c>
      <c r="J9010" t="n">
        <v>0</v>
      </c>
      <c r="K9010" t="n">
        <v>0</v>
      </c>
      <c r="L9010" t="n">
        <v>0</v>
      </c>
      <c r="M9010" t="n">
        <v>0</v>
      </c>
      <c r="N9010" t="n">
        <v>0</v>
      </c>
      <c r="O9010" t="n">
        <v>0</v>
      </c>
      <c r="P9010" t="n">
        <v>0</v>
      </c>
      <c r="Q9010" t="n">
        <v>0</v>
      </c>
      <c r="R9010" s="2" t="inlineStr"/>
    </row>
    <row r="9011" ht="15" customHeight="1">
      <c r="A9011" t="inlineStr">
        <is>
          <t>A 7972-2024</t>
        </is>
      </c>
      <c r="B9011" s="1" t="n">
        <v>45350</v>
      </c>
      <c r="C9011" s="1" t="n">
        <v>46114</v>
      </c>
      <c r="D9011" t="inlineStr">
        <is>
          <t>DALARNAS LÄN</t>
        </is>
      </c>
      <c r="E9011" t="inlineStr">
        <is>
          <t>MORA</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7314-2026</t>
        </is>
      </c>
      <c r="B9012" s="1" t="n">
        <v>46058</v>
      </c>
      <c r="C9012" s="1" t="n">
        <v>46114</v>
      </c>
      <c r="D9012" t="inlineStr">
        <is>
          <t>DALARNAS LÄN</t>
        </is>
      </c>
      <c r="E9012" t="inlineStr">
        <is>
          <t>FALUN</t>
        </is>
      </c>
      <c r="G9012" t="n">
        <v>7.1</v>
      </c>
      <c r="H9012" t="n">
        <v>0</v>
      </c>
      <c r="I9012" t="n">
        <v>0</v>
      </c>
      <c r="J9012" t="n">
        <v>0</v>
      </c>
      <c r="K9012" t="n">
        <v>0</v>
      </c>
      <c r="L9012" t="n">
        <v>0</v>
      </c>
      <c r="M9012" t="n">
        <v>0</v>
      </c>
      <c r="N9012" t="n">
        <v>0</v>
      </c>
      <c r="O9012" t="n">
        <v>0</v>
      </c>
      <c r="P9012" t="n">
        <v>0</v>
      </c>
      <c r="Q9012" t="n">
        <v>0</v>
      </c>
      <c r="R9012" s="2" t="inlineStr"/>
    </row>
    <row r="9013" ht="15" customHeight="1">
      <c r="A9013" t="inlineStr">
        <is>
          <t>A 9611-2026</t>
        </is>
      </c>
      <c r="B9013" s="1" t="n">
        <v>46072</v>
      </c>
      <c r="C9013" s="1" t="n">
        <v>46114</v>
      </c>
      <c r="D9013" t="inlineStr">
        <is>
          <t>DALARNAS LÄN</t>
        </is>
      </c>
      <c r="E9013" t="inlineStr">
        <is>
          <t>FALUN</t>
        </is>
      </c>
      <c r="F9013" t="inlineStr">
        <is>
          <t>Bergvik skog väst AB</t>
        </is>
      </c>
      <c r="G9013" t="n">
        <v>24.9</v>
      </c>
      <c r="H9013" t="n">
        <v>0</v>
      </c>
      <c r="I9013" t="n">
        <v>0</v>
      </c>
      <c r="J9013" t="n">
        <v>0</v>
      </c>
      <c r="K9013" t="n">
        <v>0</v>
      </c>
      <c r="L9013" t="n">
        <v>0</v>
      </c>
      <c r="M9013" t="n">
        <v>0</v>
      </c>
      <c r="N9013" t="n">
        <v>0</v>
      </c>
      <c r="O9013" t="n">
        <v>0</v>
      </c>
      <c r="P9013" t="n">
        <v>0</v>
      </c>
      <c r="Q9013" t="n">
        <v>0</v>
      </c>
      <c r="R9013" s="2" t="inlineStr"/>
    </row>
    <row r="9014" ht="15" customHeight="1">
      <c r="A9014" t="inlineStr">
        <is>
          <t>A 9614-2026</t>
        </is>
      </c>
      <c r="B9014" s="1" t="n">
        <v>46072</v>
      </c>
      <c r="C9014" s="1" t="n">
        <v>46114</v>
      </c>
      <c r="D9014" t="inlineStr">
        <is>
          <t>DALARNAS LÄN</t>
        </is>
      </c>
      <c r="E9014" t="inlineStr">
        <is>
          <t>FALUN</t>
        </is>
      </c>
      <c r="F9014" t="inlineStr">
        <is>
          <t>Bergvik skog väst AB</t>
        </is>
      </c>
      <c r="G9014" t="n">
        <v>9.4</v>
      </c>
      <c r="H9014" t="n">
        <v>0</v>
      </c>
      <c r="I9014" t="n">
        <v>0</v>
      </c>
      <c r="J9014" t="n">
        <v>0</v>
      </c>
      <c r="K9014" t="n">
        <v>0</v>
      </c>
      <c r="L9014" t="n">
        <v>0</v>
      </c>
      <c r="M9014" t="n">
        <v>0</v>
      </c>
      <c r="N9014" t="n">
        <v>0</v>
      </c>
      <c r="O9014" t="n">
        <v>0</v>
      </c>
      <c r="P9014" t="n">
        <v>0</v>
      </c>
      <c r="Q9014" t="n">
        <v>0</v>
      </c>
      <c r="R9014" s="2" t="inlineStr"/>
    </row>
    <row r="9015" ht="15" customHeight="1">
      <c r="A9015" t="inlineStr">
        <is>
          <t>A 11034-2026</t>
        </is>
      </c>
      <c r="B9015" s="1" t="n">
        <v>46079</v>
      </c>
      <c r="C9015" s="1" t="n">
        <v>46114</v>
      </c>
      <c r="D9015" t="inlineStr">
        <is>
          <t>DALARNAS LÄN</t>
        </is>
      </c>
      <c r="E9015" t="inlineStr">
        <is>
          <t>FALUN</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11749-2026</t>
        </is>
      </c>
      <c r="B9016" s="1" t="n">
        <v>46084</v>
      </c>
      <c r="C9016" s="1" t="n">
        <v>46114</v>
      </c>
      <c r="D9016" t="inlineStr">
        <is>
          <t>DALARNAS LÄN</t>
        </is>
      </c>
      <c r="E9016" t="inlineStr">
        <is>
          <t>RÄTTVIK</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59138-2023</t>
        </is>
      </c>
      <c r="B9017" s="1" t="n">
        <v>45253</v>
      </c>
      <c r="C9017" s="1" t="n">
        <v>46114</v>
      </c>
      <c r="D9017" t="inlineStr">
        <is>
          <t>DALARNAS LÄN</t>
        </is>
      </c>
      <c r="E9017" t="inlineStr">
        <is>
          <t>ÄLVDALEN</t>
        </is>
      </c>
      <c r="G9017" t="n">
        <v>0.4</v>
      </c>
      <c r="H9017" t="n">
        <v>0</v>
      </c>
      <c r="I9017" t="n">
        <v>0</v>
      </c>
      <c r="J9017" t="n">
        <v>0</v>
      </c>
      <c r="K9017" t="n">
        <v>0</v>
      </c>
      <c r="L9017" t="n">
        <v>0</v>
      </c>
      <c r="M9017" t="n">
        <v>0</v>
      </c>
      <c r="N9017" t="n">
        <v>0</v>
      </c>
      <c r="O9017" t="n">
        <v>0</v>
      </c>
      <c r="P9017" t="n">
        <v>0</v>
      </c>
      <c r="Q9017" t="n">
        <v>0</v>
      </c>
      <c r="R9017" s="2" t="inlineStr"/>
    </row>
    <row r="9018" ht="15" customHeight="1">
      <c r="A9018" t="inlineStr">
        <is>
          <t>A 7424-2026</t>
        </is>
      </c>
      <c r="B9018" s="1" t="n">
        <v>46059.42871527778</v>
      </c>
      <c r="C9018" s="1" t="n">
        <v>46114</v>
      </c>
      <c r="D9018" t="inlineStr">
        <is>
          <t>DALARNAS LÄN</t>
        </is>
      </c>
      <c r="E9018" t="inlineStr">
        <is>
          <t>MALUNG-SÄLEN</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7446-2026</t>
        </is>
      </c>
      <c r="B9019" s="1" t="n">
        <v>46059</v>
      </c>
      <c r="C9019" s="1" t="n">
        <v>46114</v>
      </c>
      <c r="D9019" t="inlineStr">
        <is>
          <t>DALARNAS LÄN</t>
        </is>
      </c>
      <c r="E9019" t="inlineStr">
        <is>
          <t>MORA</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7458-2026</t>
        </is>
      </c>
      <c r="B9020" s="1" t="n">
        <v>46059.47412037037</v>
      </c>
      <c r="C9020" s="1" t="n">
        <v>46114</v>
      </c>
      <c r="D9020" t="inlineStr">
        <is>
          <t>DALARNAS LÄN</t>
        </is>
      </c>
      <c r="E9020" t="inlineStr">
        <is>
          <t>ÄLVDALEN</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7461-2026</t>
        </is>
      </c>
      <c r="B9021" s="1" t="n">
        <v>46058</v>
      </c>
      <c r="C9021" s="1" t="n">
        <v>46114</v>
      </c>
      <c r="D9021" t="inlineStr">
        <is>
          <t>DALARNAS LÄN</t>
        </is>
      </c>
      <c r="E9021" t="inlineStr">
        <is>
          <t>FALUN</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7462-2026</t>
        </is>
      </c>
      <c r="B9022" s="1" t="n">
        <v>46059.4803125</v>
      </c>
      <c r="C9022" s="1" t="n">
        <v>46114</v>
      </c>
      <c r="D9022" t="inlineStr">
        <is>
          <t>DALARNAS LÄN</t>
        </is>
      </c>
      <c r="E9022" t="inlineStr">
        <is>
          <t>MALUNG-SÄLEN</t>
        </is>
      </c>
      <c r="G9022" t="n">
        <v>14.2</v>
      </c>
      <c r="H9022" t="n">
        <v>0</v>
      </c>
      <c r="I9022" t="n">
        <v>0</v>
      </c>
      <c r="J9022" t="n">
        <v>0</v>
      </c>
      <c r="K9022" t="n">
        <v>0</v>
      </c>
      <c r="L9022" t="n">
        <v>0</v>
      </c>
      <c r="M9022" t="n">
        <v>0</v>
      </c>
      <c r="N9022" t="n">
        <v>0</v>
      </c>
      <c r="O9022" t="n">
        <v>0</v>
      </c>
      <c r="P9022" t="n">
        <v>0</v>
      </c>
      <c r="Q9022" t="n">
        <v>0</v>
      </c>
      <c r="R9022" s="2" t="inlineStr"/>
    </row>
    <row r="9023" ht="15" customHeight="1">
      <c r="A9023" t="inlineStr">
        <is>
          <t>A 7463-2026</t>
        </is>
      </c>
      <c r="B9023" s="1" t="n">
        <v>46059.48125</v>
      </c>
      <c r="C9023" s="1" t="n">
        <v>46114</v>
      </c>
      <c r="D9023" t="inlineStr">
        <is>
          <t>DALARNAS LÄN</t>
        </is>
      </c>
      <c r="E9023" t="inlineStr">
        <is>
          <t>MALUNG-SÄLEN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13307-2026</t>
        </is>
      </c>
      <c r="B9024" s="1" t="n">
        <v>46094</v>
      </c>
      <c r="C9024" s="1" t="n">
        <v>46114</v>
      </c>
      <c r="D9024" t="inlineStr">
        <is>
          <t>DALARNAS LÄN</t>
        </is>
      </c>
      <c r="E9024" t="inlineStr">
        <is>
          <t>FALUN</t>
        </is>
      </c>
      <c r="G9024" t="n">
        <v>0.9</v>
      </c>
      <c r="H9024" t="n">
        <v>0</v>
      </c>
      <c r="I9024" t="n">
        <v>0</v>
      </c>
      <c r="J9024" t="n">
        <v>0</v>
      </c>
      <c r="K9024" t="n">
        <v>0</v>
      </c>
      <c r="L9024" t="n">
        <v>0</v>
      </c>
      <c r="M9024" t="n">
        <v>0</v>
      </c>
      <c r="N9024" t="n">
        <v>0</v>
      </c>
      <c r="O9024" t="n">
        <v>0</v>
      </c>
      <c r="P9024" t="n">
        <v>0</v>
      </c>
      <c r="Q9024" t="n">
        <v>0</v>
      </c>
      <c r="R9024" s="2" t="inlineStr"/>
    </row>
    <row r="9025" ht="15" customHeight="1">
      <c r="A9025" t="inlineStr">
        <is>
          <t>A 46472-2024</t>
        </is>
      </c>
      <c r="B9025" s="1" t="n">
        <v>45582.55339120371</v>
      </c>
      <c r="C9025" s="1" t="n">
        <v>46114</v>
      </c>
      <c r="D9025" t="inlineStr">
        <is>
          <t>DALARNAS LÄN</t>
        </is>
      </c>
      <c r="E9025" t="inlineStr">
        <is>
          <t>VANSBRO</t>
        </is>
      </c>
      <c r="G9025" t="n">
        <v>2.6</v>
      </c>
      <c r="H9025" t="n">
        <v>0</v>
      </c>
      <c r="I9025" t="n">
        <v>0</v>
      </c>
      <c r="J9025" t="n">
        <v>0</v>
      </c>
      <c r="K9025" t="n">
        <v>0</v>
      </c>
      <c r="L9025" t="n">
        <v>0</v>
      </c>
      <c r="M9025" t="n">
        <v>0</v>
      </c>
      <c r="N9025" t="n">
        <v>0</v>
      </c>
      <c r="O9025" t="n">
        <v>0</v>
      </c>
      <c r="P9025" t="n">
        <v>0</v>
      </c>
      <c r="Q9025" t="n">
        <v>0</v>
      </c>
      <c r="R9025" s="2" t="inlineStr"/>
    </row>
    <row r="9026" ht="15" customHeight="1">
      <c r="A9026" t="inlineStr">
        <is>
          <t>A 12683-2026</t>
        </is>
      </c>
      <c r="B9026" s="1" t="n">
        <v>46090</v>
      </c>
      <c r="C9026" s="1" t="n">
        <v>46114</v>
      </c>
      <c r="D9026" t="inlineStr">
        <is>
          <t>DALARNAS LÄN</t>
        </is>
      </c>
      <c r="E9026" t="inlineStr">
        <is>
          <t>FALUN</t>
        </is>
      </c>
      <c r="G9026" t="n">
        <v>2.2</v>
      </c>
      <c r="H9026" t="n">
        <v>0</v>
      </c>
      <c r="I9026" t="n">
        <v>0</v>
      </c>
      <c r="J9026" t="n">
        <v>0</v>
      </c>
      <c r="K9026" t="n">
        <v>0</v>
      </c>
      <c r="L9026" t="n">
        <v>0</v>
      </c>
      <c r="M9026" t="n">
        <v>0</v>
      </c>
      <c r="N9026" t="n">
        <v>0</v>
      </c>
      <c r="O9026" t="n">
        <v>0</v>
      </c>
      <c r="P9026" t="n">
        <v>0</v>
      </c>
      <c r="Q9026" t="n">
        <v>0</v>
      </c>
      <c r="R9026" s="2" t="inlineStr"/>
    </row>
    <row r="9027" ht="15" customHeight="1">
      <c r="A9027" t="inlineStr">
        <is>
          <t>A 12698-2026</t>
        </is>
      </c>
      <c r="B9027" s="1" t="n">
        <v>46090</v>
      </c>
      <c r="C9027" s="1" t="n">
        <v>46114</v>
      </c>
      <c r="D9027" t="inlineStr">
        <is>
          <t>DALARNAS LÄN</t>
        </is>
      </c>
      <c r="E9027" t="inlineStr">
        <is>
          <t>FALUN</t>
        </is>
      </c>
      <c r="G9027" t="n">
        <v>10.1</v>
      </c>
      <c r="H9027" t="n">
        <v>0</v>
      </c>
      <c r="I9027" t="n">
        <v>0</v>
      </c>
      <c r="J9027" t="n">
        <v>0</v>
      </c>
      <c r="K9027" t="n">
        <v>0</v>
      </c>
      <c r="L9027" t="n">
        <v>0</v>
      </c>
      <c r="M9027" t="n">
        <v>0</v>
      </c>
      <c r="N9027" t="n">
        <v>0</v>
      </c>
      <c r="O9027" t="n">
        <v>0</v>
      </c>
      <c r="P9027" t="n">
        <v>0</v>
      </c>
      <c r="Q9027" t="n">
        <v>0</v>
      </c>
      <c r="R9027" s="2" t="inlineStr"/>
    </row>
    <row r="9028" ht="15" customHeight="1">
      <c r="A9028" t="inlineStr">
        <is>
          <t>A 7180-2026</t>
        </is>
      </c>
      <c r="B9028" s="1" t="n">
        <v>46058</v>
      </c>
      <c r="C9028" s="1" t="n">
        <v>46114</v>
      </c>
      <c r="D9028" t="inlineStr">
        <is>
          <t>DALARNAS LÄN</t>
        </is>
      </c>
      <c r="E9028" t="inlineStr">
        <is>
          <t>BORLÄNGE</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7188-2026</t>
        </is>
      </c>
      <c r="B9029" s="1" t="n">
        <v>46058.49344907407</v>
      </c>
      <c r="C9029" s="1" t="n">
        <v>46114</v>
      </c>
      <c r="D9029" t="inlineStr">
        <is>
          <t>DALARNAS LÄN</t>
        </is>
      </c>
      <c r="E9029" t="inlineStr">
        <is>
          <t>HEDEMORA</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7218-2026</t>
        </is>
      </c>
      <c r="B9030" s="1" t="n">
        <v>46058.5600462963</v>
      </c>
      <c r="C9030" s="1" t="n">
        <v>46114</v>
      </c>
      <c r="D9030" t="inlineStr">
        <is>
          <t>DALARNAS LÄN</t>
        </is>
      </c>
      <c r="E9030" t="inlineStr">
        <is>
          <t>FALUN</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12706-2026</t>
        </is>
      </c>
      <c r="B9031" s="1" t="n">
        <v>46090</v>
      </c>
      <c r="C9031" s="1" t="n">
        <v>46114</v>
      </c>
      <c r="D9031" t="inlineStr">
        <is>
          <t>DALARNAS LÄN</t>
        </is>
      </c>
      <c r="E9031" t="inlineStr">
        <is>
          <t>FALUN</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12986-2026</t>
        </is>
      </c>
      <c r="B9032" s="1" t="n">
        <v>46092</v>
      </c>
      <c r="C9032" s="1" t="n">
        <v>46114</v>
      </c>
      <c r="D9032" t="inlineStr">
        <is>
          <t>DALARNAS LÄN</t>
        </is>
      </c>
      <c r="E9032" t="inlineStr">
        <is>
          <t>FALUN</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9659-2025</t>
        </is>
      </c>
      <c r="B9033" s="1" t="n">
        <v>45716.29737268519</v>
      </c>
      <c r="C9033" s="1" t="n">
        <v>46114</v>
      </c>
      <c r="D9033" t="inlineStr">
        <is>
          <t>DALARNAS LÄN</t>
        </is>
      </c>
      <c r="E9033" t="inlineStr">
        <is>
          <t>FALUN</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2996-2023</t>
        </is>
      </c>
      <c r="B9034" s="1" t="n">
        <v>44945</v>
      </c>
      <c r="C9034" s="1" t="n">
        <v>46114</v>
      </c>
      <c r="D9034" t="inlineStr">
        <is>
          <t>DALARNAS LÄN</t>
        </is>
      </c>
      <c r="E9034" t="inlineStr">
        <is>
          <t>HEDEMORA</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10498-2023</t>
        </is>
      </c>
      <c r="B9035" s="1" t="n">
        <v>44987</v>
      </c>
      <c r="C9035" s="1" t="n">
        <v>46114</v>
      </c>
      <c r="D9035" t="inlineStr">
        <is>
          <t>DALARNAS LÄN</t>
        </is>
      </c>
      <c r="E9035" t="inlineStr">
        <is>
          <t>BORLÄNGE</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16637-2025</t>
        </is>
      </c>
      <c r="B9036" s="1" t="n">
        <v>45754.36738425926</v>
      </c>
      <c r="C9036" s="1" t="n">
        <v>46114</v>
      </c>
      <c r="D9036" t="inlineStr">
        <is>
          <t>DALARNAS LÄN</t>
        </is>
      </c>
      <c r="E9036" t="inlineStr">
        <is>
          <t>MORA</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7404-2026</t>
        </is>
      </c>
      <c r="B9037" s="1" t="n">
        <v>46059.3959375</v>
      </c>
      <c r="C9037" s="1" t="n">
        <v>46114</v>
      </c>
      <c r="D9037" t="inlineStr">
        <is>
          <t>DALARNAS LÄN</t>
        </is>
      </c>
      <c r="E9037" t="inlineStr">
        <is>
          <t>ORSA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2820-2024</t>
        </is>
      </c>
      <c r="B9038" s="1" t="n">
        <v>45314.76287037037</v>
      </c>
      <c r="C9038" s="1" t="n">
        <v>46114</v>
      </c>
      <c r="D9038" t="inlineStr">
        <is>
          <t>DALARNAS LÄN</t>
        </is>
      </c>
      <c r="E9038" t="inlineStr">
        <is>
          <t>LEKSAND</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2822-2024</t>
        </is>
      </c>
      <c r="B9039" s="1" t="n">
        <v>45314.76622685185</v>
      </c>
      <c r="C9039" s="1" t="n">
        <v>46114</v>
      </c>
      <c r="D9039" t="inlineStr">
        <is>
          <t>DALARNAS LÄN</t>
        </is>
      </c>
      <c r="E9039" t="inlineStr">
        <is>
          <t>LEKSAND</t>
        </is>
      </c>
      <c r="G9039" t="n">
        <v>1.6</v>
      </c>
      <c r="H9039" t="n">
        <v>0</v>
      </c>
      <c r="I9039" t="n">
        <v>0</v>
      </c>
      <c r="J9039" t="n">
        <v>0</v>
      </c>
      <c r="K9039" t="n">
        <v>0</v>
      </c>
      <c r="L9039" t="n">
        <v>0</v>
      </c>
      <c r="M9039" t="n">
        <v>0</v>
      </c>
      <c r="N9039" t="n">
        <v>0</v>
      </c>
      <c r="O9039" t="n">
        <v>0</v>
      </c>
      <c r="P9039" t="n">
        <v>0</v>
      </c>
      <c r="Q9039" t="n">
        <v>0</v>
      </c>
      <c r="R9039" s="2" t="inlineStr"/>
    </row>
    <row r="9040" ht="15" customHeight="1">
      <c r="A9040" t="inlineStr">
        <is>
          <t>A 16761-2025</t>
        </is>
      </c>
      <c r="B9040" s="1" t="n">
        <v>45754.57548611111</v>
      </c>
      <c r="C9040" s="1" t="n">
        <v>46114</v>
      </c>
      <c r="D9040" t="inlineStr">
        <is>
          <t>DALARNAS LÄN</t>
        </is>
      </c>
      <c r="E9040" t="inlineStr">
        <is>
          <t>SMEDJEBACKEN</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14509-2026</t>
        </is>
      </c>
      <c r="B9041" s="1" t="n">
        <v>46100.63200231481</v>
      </c>
      <c r="C9041" s="1" t="n">
        <v>46114</v>
      </c>
      <c r="D9041" t="inlineStr">
        <is>
          <t>DALARNAS LÄN</t>
        </is>
      </c>
      <c r="E9041" t="inlineStr">
        <is>
          <t>ORSA</t>
        </is>
      </c>
      <c r="G9041" t="n">
        <v>1.4</v>
      </c>
      <c r="H9041" t="n">
        <v>0</v>
      </c>
      <c r="I9041" t="n">
        <v>0</v>
      </c>
      <c r="J9041" t="n">
        <v>0</v>
      </c>
      <c r="K9041" t="n">
        <v>0</v>
      </c>
      <c r="L9041" t="n">
        <v>0</v>
      </c>
      <c r="M9041" t="n">
        <v>0</v>
      </c>
      <c r="N9041" t="n">
        <v>0</v>
      </c>
      <c r="O9041" t="n">
        <v>0</v>
      </c>
      <c r="P9041" t="n">
        <v>0</v>
      </c>
      <c r="Q9041" t="n">
        <v>0</v>
      </c>
      <c r="R9041" s="2" t="inlineStr"/>
    </row>
    <row r="9042" ht="15" customHeight="1">
      <c r="A9042" t="inlineStr">
        <is>
          <t>A 14511-2026</t>
        </is>
      </c>
      <c r="B9042" s="1" t="n">
        <v>46100.63327546296</v>
      </c>
      <c r="C9042" s="1" t="n">
        <v>46114</v>
      </c>
      <c r="D9042" t="inlineStr">
        <is>
          <t>DALARNAS LÄN</t>
        </is>
      </c>
      <c r="E9042" t="inlineStr">
        <is>
          <t>FALUN</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7776-2026</t>
        </is>
      </c>
      <c r="B9043" s="1" t="n">
        <v>46059</v>
      </c>
      <c r="C9043" s="1" t="n">
        <v>46114</v>
      </c>
      <c r="D9043" t="inlineStr">
        <is>
          <t>DALARNAS LÄN</t>
        </is>
      </c>
      <c r="E9043" t="inlineStr">
        <is>
          <t>SÄTER</t>
        </is>
      </c>
      <c r="F9043" t="inlineStr">
        <is>
          <t>Kommuner</t>
        </is>
      </c>
      <c r="G9043" t="n">
        <v>6.6</v>
      </c>
      <c r="H9043" t="n">
        <v>0</v>
      </c>
      <c r="I9043" t="n">
        <v>0</v>
      </c>
      <c r="J9043" t="n">
        <v>0</v>
      </c>
      <c r="K9043" t="n">
        <v>0</v>
      </c>
      <c r="L9043" t="n">
        <v>0</v>
      </c>
      <c r="M9043" t="n">
        <v>0</v>
      </c>
      <c r="N9043" t="n">
        <v>0</v>
      </c>
      <c r="O9043" t="n">
        <v>0</v>
      </c>
      <c r="P9043" t="n">
        <v>0</v>
      </c>
      <c r="Q9043" t="n">
        <v>0</v>
      </c>
      <c r="R9043" s="2" t="inlineStr"/>
      <c r="U9043">
        <f>HYPERLINK("https://klasma.github.io/Logging_2082/knärot/A 7776-2026 karta knärot.png", "A 7776-2026")</f>
        <v/>
      </c>
      <c r="V9043">
        <f>HYPERLINK("https://klasma.github.io/Logging_2082/klagomål/A 7776-2026 FSC-klagomål.docx", "A 7776-2026")</f>
        <v/>
      </c>
      <c r="W9043">
        <f>HYPERLINK("https://klasma.github.io/Logging_2082/klagomålsmail/A 7776-2026 FSC-klagomål mail.docx", "A 7776-2026")</f>
        <v/>
      </c>
      <c r="X9043">
        <f>HYPERLINK("https://klasma.github.io/Logging_2082/tillsyn/A 7776-2026 tillsynsbegäran.docx", "A 7776-2026")</f>
        <v/>
      </c>
      <c r="Y9043">
        <f>HYPERLINK("https://klasma.github.io/Logging_2082/tillsynsmail/A 7776-2026 tillsynsbegäran mail.docx", "A 7776-2026")</f>
        <v/>
      </c>
    </row>
    <row r="9044" ht="15" customHeight="1">
      <c r="A9044" t="inlineStr">
        <is>
          <t>A 30382-2023</t>
        </is>
      </c>
      <c r="B9044" s="1" t="n">
        <v>45111</v>
      </c>
      <c r="C9044" s="1" t="n">
        <v>46114</v>
      </c>
      <c r="D9044" t="inlineStr">
        <is>
          <t>DALARNAS LÄN</t>
        </is>
      </c>
      <c r="E9044" t="inlineStr">
        <is>
          <t>ORSA</t>
        </is>
      </c>
      <c r="F9044" t="inlineStr">
        <is>
          <t>Bergvik skog öst AB</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11554-2026</t>
        </is>
      </c>
      <c r="B9045" s="1" t="n">
        <v>46084</v>
      </c>
      <c r="C9045" s="1" t="n">
        <v>46114</v>
      </c>
      <c r="D9045" t="inlineStr">
        <is>
          <t>DALARNAS LÄN</t>
        </is>
      </c>
      <c r="E9045" t="inlineStr">
        <is>
          <t>FALUN</t>
        </is>
      </c>
      <c r="G9045" t="n">
        <v>2.6</v>
      </c>
      <c r="H9045" t="n">
        <v>0</v>
      </c>
      <c r="I9045" t="n">
        <v>0</v>
      </c>
      <c r="J9045" t="n">
        <v>0</v>
      </c>
      <c r="K9045" t="n">
        <v>0</v>
      </c>
      <c r="L9045" t="n">
        <v>0</v>
      </c>
      <c r="M9045" t="n">
        <v>0</v>
      </c>
      <c r="N9045" t="n">
        <v>0</v>
      </c>
      <c r="O9045" t="n">
        <v>0</v>
      </c>
      <c r="P9045" t="n">
        <v>0</v>
      </c>
      <c r="Q9045" t="n">
        <v>0</v>
      </c>
      <c r="R9045" s="2" t="inlineStr"/>
    </row>
    <row r="9046" ht="15" customHeight="1">
      <c r="A9046" t="inlineStr">
        <is>
          <t>A 14358-2026</t>
        </is>
      </c>
      <c r="B9046" s="1" t="n">
        <v>46100.34856481481</v>
      </c>
      <c r="C9046" s="1" t="n">
        <v>46114</v>
      </c>
      <c r="D9046" t="inlineStr">
        <is>
          <t>DALARNAS LÄN</t>
        </is>
      </c>
      <c r="E9046" t="inlineStr">
        <is>
          <t>ÄLVDALEN</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14411-2026</t>
        </is>
      </c>
      <c r="B9047" s="1" t="n">
        <v>46100.44755787037</v>
      </c>
      <c r="C9047" s="1" t="n">
        <v>46114</v>
      </c>
      <c r="D9047" t="inlineStr">
        <is>
          <t>DALARNAS LÄN</t>
        </is>
      </c>
      <c r="E9047" t="inlineStr">
        <is>
          <t>FALUN</t>
        </is>
      </c>
      <c r="F9047" t="inlineStr">
        <is>
          <t>Bergvik skog väst AB</t>
        </is>
      </c>
      <c r="G9047" t="n">
        <v>14.5</v>
      </c>
      <c r="H9047" t="n">
        <v>0</v>
      </c>
      <c r="I9047" t="n">
        <v>0</v>
      </c>
      <c r="J9047" t="n">
        <v>0</v>
      </c>
      <c r="K9047" t="n">
        <v>0</v>
      </c>
      <c r="L9047" t="n">
        <v>0</v>
      </c>
      <c r="M9047" t="n">
        <v>0</v>
      </c>
      <c r="N9047" t="n">
        <v>0</v>
      </c>
      <c r="O9047" t="n">
        <v>0</v>
      </c>
      <c r="P9047" t="n">
        <v>0</v>
      </c>
      <c r="Q9047" t="n">
        <v>0</v>
      </c>
      <c r="R9047" s="2" t="inlineStr"/>
    </row>
    <row r="9048" ht="15" customHeight="1">
      <c r="A9048" t="inlineStr">
        <is>
          <t>A 7353-2026</t>
        </is>
      </c>
      <c r="B9048" s="1" t="n">
        <v>46059.24559027778</v>
      </c>
      <c r="C9048" s="1" t="n">
        <v>46114</v>
      </c>
      <c r="D9048" t="inlineStr">
        <is>
          <t>DALARNAS LÄN</t>
        </is>
      </c>
      <c r="E9048" t="inlineStr">
        <is>
          <t>MALUNG-SÄLEN</t>
        </is>
      </c>
      <c r="G9048" t="n">
        <v>7</v>
      </c>
      <c r="H9048" t="n">
        <v>0</v>
      </c>
      <c r="I9048" t="n">
        <v>0</v>
      </c>
      <c r="J9048" t="n">
        <v>0</v>
      </c>
      <c r="K9048" t="n">
        <v>0</v>
      </c>
      <c r="L9048" t="n">
        <v>0</v>
      </c>
      <c r="M9048" t="n">
        <v>0</v>
      </c>
      <c r="N9048" t="n">
        <v>0</v>
      </c>
      <c r="O9048" t="n">
        <v>0</v>
      </c>
      <c r="P9048" t="n">
        <v>0</v>
      </c>
      <c r="Q9048" t="n">
        <v>0</v>
      </c>
      <c r="R9048" s="2" t="inlineStr"/>
    </row>
    <row r="9049" ht="15" customHeight="1">
      <c r="A9049" t="inlineStr">
        <is>
          <t>A 6712-2023</t>
        </is>
      </c>
      <c r="B9049" s="1" t="n">
        <v>44966.69384259259</v>
      </c>
      <c r="C9049" s="1" t="n">
        <v>46114</v>
      </c>
      <c r="D9049" t="inlineStr">
        <is>
          <t>DALARNAS LÄN</t>
        </is>
      </c>
      <c r="E9049" t="inlineStr">
        <is>
          <t>SMEDJEBACKEN</t>
        </is>
      </c>
      <c r="G9049" t="n">
        <v>14.7</v>
      </c>
      <c r="H9049" t="n">
        <v>0</v>
      </c>
      <c r="I9049" t="n">
        <v>0</v>
      </c>
      <c r="J9049" t="n">
        <v>0</v>
      </c>
      <c r="K9049" t="n">
        <v>0</v>
      </c>
      <c r="L9049" t="n">
        <v>0</v>
      </c>
      <c r="M9049" t="n">
        <v>0</v>
      </c>
      <c r="N9049" t="n">
        <v>0</v>
      </c>
      <c r="O9049" t="n">
        <v>0</v>
      </c>
      <c r="P9049" t="n">
        <v>0</v>
      </c>
      <c r="Q9049" t="n">
        <v>0</v>
      </c>
      <c r="R9049" s="2" t="inlineStr"/>
    </row>
    <row r="9050" ht="15" customHeight="1">
      <c r="A9050" t="inlineStr">
        <is>
          <t>A 7454-2026</t>
        </is>
      </c>
      <c r="B9050" s="1" t="n">
        <v>46058</v>
      </c>
      <c r="C9050" s="1" t="n">
        <v>46114</v>
      </c>
      <c r="D9050" t="inlineStr">
        <is>
          <t>DALARNAS LÄN</t>
        </is>
      </c>
      <c r="E9050" t="inlineStr">
        <is>
          <t>FALUN</t>
        </is>
      </c>
      <c r="F9050" t="inlineStr">
        <is>
          <t>Allmännings- och besparingsskogar</t>
        </is>
      </c>
      <c r="G9050" t="n">
        <v>9.6</v>
      </c>
      <c r="H9050" t="n">
        <v>0</v>
      </c>
      <c r="I9050" t="n">
        <v>0</v>
      </c>
      <c r="J9050" t="n">
        <v>0</v>
      </c>
      <c r="K9050" t="n">
        <v>0</v>
      </c>
      <c r="L9050" t="n">
        <v>0</v>
      </c>
      <c r="M9050" t="n">
        <v>0</v>
      </c>
      <c r="N9050" t="n">
        <v>0</v>
      </c>
      <c r="O9050" t="n">
        <v>0</v>
      </c>
      <c r="P9050" t="n">
        <v>0</v>
      </c>
      <c r="Q9050" t="n">
        <v>0</v>
      </c>
      <c r="R9050" s="2" t="inlineStr"/>
    </row>
    <row r="9051" ht="15" customHeight="1">
      <c r="A9051" t="inlineStr">
        <is>
          <t>A 7475-2026</t>
        </is>
      </c>
      <c r="B9051" s="1" t="n">
        <v>46059</v>
      </c>
      <c r="C9051" s="1" t="n">
        <v>46114</v>
      </c>
      <c r="D9051" t="inlineStr">
        <is>
          <t>DALARNAS LÄN</t>
        </is>
      </c>
      <c r="E9051" t="inlineStr">
        <is>
          <t>FALUN</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7476-2026</t>
        </is>
      </c>
      <c r="B9052" s="1" t="n">
        <v>46059</v>
      </c>
      <c r="C9052" s="1" t="n">
        <v>46114</v>
      </c>
      <c r="D9052" t="inlineStr">
        <is>
          <t>DALARNAS LÄN</t>
        </is>
      </c>
      <c r="E9052" t="inlineStr">
        <is>
          <t>FALUN</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7493-2026</t>
        </is>
      </c>
      <c r="B9053" s="1" t="n">
        <v>46059</v>
      </c>
      <c r="C9053" s="1" t="n">
        <v>46114</v>
      </c>
      <c r="D9053" t="inlineStr">
        <is>
          <t>DALARNAS LÄN</t>
        </is>
      </c>
      <c r="E9053" t="inlineStr">
        <is>
          <t>FALUN</t>
        </is>
      </c>
      <c r="G9053" t="n">
        <v>4</v>
      </c>
      <c r="H9053" t="n">
        <v>0</v>
      </c>
      <c r="I9053" t="n">
        <v>0</v>
      </c>
      <c r="J9053" t="n">
        <v>0</v>
      </c>
      <c r="K9053" t="n">
        <v>0</v>
      </c>
      <c r="L9053" t="n">
        <v>0</v>
      </c>
      <c r="M9053" t="n">
        <v>0</v>
      </c>
      <c r="N9053" t="n">
        <v>0</v>
      </c>
      <c r="O9053" t="n">
        <v>0</v>
      </c>
      <c r="P9053" t="n">
        <v>0</v>
      </c>
      <c r="Q9053" t="n">
        <v>0</v>
      </c>
      <c r="R9053" s="2" t="inlineStr"/>
    </row>
    <row r="9054" ht="15" customHeight="1">
      <c r="A9054" t="inlineStr">
        <is>
          <t>A 6716-2023</t>
        </is>
      </c>
      <c r="B9054" s="1" t="n">
        <v>44966.70430555556</v>
      </c>
      <c r="C9054" s="1" t="n">
        <v>46114</v>
      </c>
      <c r="D9054" t="inlineStr">
        <is>
          <t>DALARNAS LÄN</t>
        </is>
      </c>
      <c r="E9054" t="inlineStr">
        <is>
          <t>SMEDJEBACKEN</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27962-2024</t>
        </is>
      </c>
      <c r="B9055" s="1" t="n">
        <v>45476.35585648148</v>
      </c>
      <c r="C9055" s="1" t="n">
        <v>46114</v>
      </c>
      <c r="D9055" t="inlineStr">
        <is>
          <t>DALARNAS LÄN</t>
        </is>
      </c>
      <c r="E9055" t="inlineStr">
        <is>
          <t>RÄTTVIK</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43030-2023</t>
        </is>
      </c>
      <c r="B9056" s="1" t="n">
        <v>45182.66503472222</v>
      </c>
      <c r="C9056" s="1" t="n">
        <v>46114</v>
      </c>
      <c r="D9056" t="inlineStr">
        <is>
          <t>DALARNAS LÄN</t>
        </is>
      </c>
      <c r="E9056" t="inlineStr">
        <is>
          <t>FALUN</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33593-2024</t>
        </is>
      </c>
      <c r="B9057" s="1" t="n">
        <v>45520.36055555556</v>
      </c>
      <c r="C9057" s="1" t="n">
        <v>46114</v>
      </c>
      <c r="D9057" t="inlineStr">
        <is>
          <t>DALARNAS LÄN</t>
        </is>
      </c>
      <c r="E9057" t="inlineStr">
        <is>
          <t>LEKSAND</t>
        </is>
      </c>
      <c r="G9057" t="n">
        <v>0.3</v>
      </c>
      <c r="H9057" t="n">
        <v>0</v>
      </c>
      <c r="I9057" t="n">
        <v>0</v>
      </c>
      <c r="J9057" t="n">
        <v>0</v>
      </c>
      <c r="K9057" t="n">
        <v>0</v>
      </c>
      <c r="L9057" t="n">
        <v>0</v>
      </c>
      <c r="M9057" t="n">
        <v>0</v>
      </c>
      <c r="N9057" t="n">
        <v>0</v>
      </c>
      <c r="O9057" t="n">
        <v>0</v>
      </c>
      <c r="P9057" t="n">
        <v>0</v>
      </c>
      <c r="Q9057" t="n">
        <v>0</v>
      </c>
      <c r="R9057" s="2" t="inlineStr"/>
    </row>
    <row r="9058" ht="15" customHeight="1">
      <c r="A9058" t="inlineStr">
        <is>
          <t>A 58841-2023</t>
        </is>
      </c>
      <c r="B9058" s="1" t="n">
        <v>45252.42115740741</v>
      </c>
      <c r="C9058" s="1" t="n">
        <v>46114</v>
      </c>
      <c r="D9058" t="inlineStr">
        <is>
          <t>DALARNAS LÄN</t>
        </is>
      </c>
      <c r="E9058" t="inlineStr">
        <is>
          <t>HEDEMORA</t>
        </is>
      </c>
      <c r="G9058" t="n">
        <v>14.8</v>
      </c>
      <c r="H9058" t="n">
        <v>0</v>
      </c>
      <c r="I9058" t="n">
        <v>0</v>
      </c>
      <c r="J9058" t="n">
        <v>0</v>
      </c>
      <c r="K9058" t="n">
        <v>0</v>
      </c>
      <c r="L9058" t="n">
        <v>0</v>
      </c>
      <c r="M9058" t="n">
        <v>0</v>
      </c>
      <c r="N9058" t="n">
        <v>0</v>
      </c>
      <c r="O9058" t="n">
        <v>0</v>
      </c>
      <c r="P9058" t="n">
        <v>0</v>
      </c>
      <c r="Q9058" t="n">
        <v>0</v>
      </c>
      <c r="R9058" s="2" t="inlineStr"/>
    </row>
    <row r="9059" ht="15" customHeight="1">
      <c r="A9059" t="inlineStr">
        <is>
          <t>A 7236-2026</t>
        </is>
      </c>
      <c r="B9059" s="1" t="n">
        <v>46058.58</v>
      </c>
      <c r="C9059" s="1" t="n">
        <v>46114</v>
      </c>
      <c r="D9059" t="inlineStr">
        <is>
          <t>DALARNAS LÄN</t>
        </is>
      </c>
      <c r="E9059" t="inlineStr">
        <is>
          <t>VANSBRO</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7243-2026</t>
        </is>
      </c>
      <c r="B9060" s="1" t="n">
        <v>46058.58513888889</v>
      </c>
      <c r="C9060" s="1" t="n">
        <v>46114</v>
      </c>
      <c r="D9060" t="inlineStr">
        <is>
          <t>DALARNAS LÄN</t>
        </is>
      </c>
      <c r="E9060" t="inlineStr">
        <is>
          <t>VANSBRO</t>
        </is>
      </c>
      <c r="G9060" t="n">
        <v>1.3</v>
      </c>
      <c r="H9060" t="n">
        <v>0</v>
      </c>
      <c r="I9060" t="n">
        <v>0</v>
      </c>
      <c r="J9060" t="n">
        <v>0</v>
      </c>
      <c r="K9060" t="n">
        <v>0</v>
      </c>
      <c r="L9060" t="n">
        <v>0</v>
      </c>
      <c r="M9060" t="n">
        <v>0</v>
      </c>
      <c r="N9060" t="n">
        <v>0</v>
      </c>
      <c r="O9060" t="n">
        <v>0</v>
      </c>
      <c r="P9060" t="n">
        <v>0</v>
      </c>
      <c r="Q9060" t="n">
        <v>0</v>
      </c>
      <c r="R9060" s="2" t="inlineStr"/>
    </row>
    <row r="9061" ht="15" customHeight="1">
      <c r="A9061" t="inlineStr">
        <is>
          <t>A 7368-2026</t>
        </is>
      </c>
      <c r="B9061" s="1" t="n">
        <v>46059</v>
      </c>
      <c r="C9061" s="1" t="n">
        <v>46114</v>
      </c>
      <c r="D9061" t="inlineStr">
        <is>
          <t>DALARNAS LÄN</t>
        </is>
      </c>
      <c r="E9061" t="inlineStr">
        <is>
          <t>RÄTTVIK</t>
        </is>
      </c>
      <c r="G9061" t="n">
        <v>4</v>
      </c>
      <c r="H9061" t="n">
        <v>0</v>
      </c>
      <c r="I9061" t="n">
        <v>0</v>
      </c>
      <c r="J9061" t="n">
        <v>0</v>
      </c>
      <c r="K9061" t="n">
        <v>0</v>
      </c>
      <c r="L9061" t="n">
        <v>0</v>
      </c>
      <c r="M9061" t="n">
        <v>0</v>
      </c>
      <c r="N9061" t="n">
        <v>0</v>
      </c>
      <c r="O9061" t="n">
        <v>0</v>
      </c>
      <c r="P9061" t="n">
        <v>0</v>
      </c>
      <c r="Q9061" t="n">
        <v>0</v>
      </c>
      <c r="R9061" s="2" t="inlineStr"/>
    </row>
    <row r="9062" ht="15" customHeight="1">
      <c r="A9062" t="inlineStr">
        <is>
          <t>A 7789-2026</t>
        </is>
      </c>
      <c r="B9062" s="1" t="n">
        <v>46059</v>
      </c>
      <c r="C9062" s="1" t="n">
        <v>46114</v>
      </c>
      <c r="D9062" t="inlineStr">
        <is>
          <t>DALARNAS LÄN</t>
        </is>
      </c>
      <c r="E9062" t="inlineStr">
        <is>
          <t>FALUN</t>
        </is>
      </c>
      <c r="F9062" t="inlineStr">
        <is>
          <t>Allmännings- och besparingsskogar</t>
        </is>
      </c>
      <c r="G9062" t="n">
        <v>19.1</v>
      </c>
      <c r="H9062" t="n">
        <v>0</v>
      </c>
      <c r="I9062" t="n">
        <v>0</v>
      </c>
      <c r="J9062" t="n">
        <v>0</v>
      </c>
      <c r="K9062" t="n">
        <v>0</v>
      </c>
      <c r="L9062" t="n">
        <v>0</v>
      </c>
      <c r="M9062" t="n">
        <v>0</v>
      </c>
      <c r="N9062" t="n">
        <v>0</v>
      </c>
      <c r="O9062" t="n">
        <v>0</v>
      </c>
      <c r="P9062" t="n">
        <v>0</v>
      </c>
      <c r="Q9062" t="n">
        <v>0</v>
      </c>
      <c r="R9062" s="2" t="inlineStr"/>
    </row>
    <row r="9063" ht="15" customHeight="1">
      <c r="A9063" t="inlineStr">
        <is>
          <t>A 7801-2026</t>
        </is>
      </c>
      <c r="B9063" s="1" t="n">
        <v>46059</v>
      </c>
      <c r="C9063" s="1" t="n">
        <v>46114</v>
      </c>
      <c r="D9063" t="inlineStr">
        <is>
          <t>DALARNAS LÄN</t>
        </is>
      </c>
      <c r="E9063" t="inlineStr">
        <is>
          <t>FALUN</t>
        </is>
      </c>
      <c r="G9063" t="n">
        <v>7.4</v>
      </c>
      <c r="H9063" t="n">
        <v>0</v>
      </c>
      <c r="I9063" t="n">
        <v>0</v>
      </c>
      <c r="J9063" t="n">
        <v>0</v>
      </c>
      <c r="K9063" t="n">
        <v>0</v>
      </c>
      <c r="L9063" t="n">
        <v>0</v>
      </c>
      <c r="M9063" t="n">
        <v>0</v>
      </c>
      <c r="N9063" t="n">
        <v>0</v>
      </c>
      <c r="O9063" t="n">
        <v>0</v>
      </c>
      <c r="P9063" t="n">
        <v>0</v>
      </c>
      <c r="Q9063" t="n">
        <v>0</v>
      </c>
      <c r="R9063" s="2" t="inlineStr"/>
    </row>
    <row r="9064" ht="15" customHeight="1">
      <c r="A9064" t="inlineStr">
        <is>
          <t>A 8759-2022</t>
        </is>
      </c>
      <c r="B9064" s="1" t="n">
        <v>44613</v>
      </c>
      <c r="C9064" s="1" t="n">
        <v>46114</v>
      </c>
      <c r="D9064" t="inlineStr">
        <is>
          <t>DALARNAS LÄN</t>
        </is>
      </c>
      <c r="E9064" t="inlineStr">
        <is>
          <t>AVESTA</t>
        </is>
      </c>
      <c r="G9064" t="n">
        <v>12.9</v>
      </c>
      <c r="H9064" t="n">
        <v>0</v>
      </c>
      <c r="I9064" t="n">
        <v>0</v>
      </c>
      <c r="J9064" t="n">
        <v>0</v>
      </c>
      <c r="K9064" t="n">
        <v>0</v>
      </c>
      <c r="L9064" t="n">
        <v>0</v>
      </c>
      <c r="M9064" t="n">
        <v>0</v>
      </c>
      <c r="N9064" t="n">
        <v>0</v>
      </c>
      <c r="O9064" t="n">
        <v>0</v>
      </c>
      <c r="P9064" t="n">
        <v>0</v>
      </c>
      <c r="Q9064" t="n">
        <v>0</v>
      </c>
      <c r="R9064" s="2" t="inlineStr"/>
    </row>
    <row r="9065" ht="15" customHeight="1">
      <c r="A9065" t="inlineStr">
        <is>
          <t>A 18118-2025</t>
        </is>
      </c>
      <c r="B9065" s="1" t="n">
        <v>45761.58778935186</v>
      </c>
      <c r="C9065" s="1" t="n">
        <v>46114</v>
      </c>
      <c r="D9065" t="inlineStr">
        <is>
          <t>DALARNAS LÄN</t>
        </is>
      </c>
      <c r="E9065" t="inlineStr">
        <is>
          <t>FALUN</t>
        </is>
      </c>
      <c r="G9065" t="n">
        <v>5</v>
      </c>
      <c r="H9065" t="n">
        <v>0</v>
      </c>
      <c r="I9065" t="n">
        <v>0</v>
      </c>
      <c r="J9065" t="n">
        <v>0</v>
      </c>
      <c r="K9065" t="n">
        <v>0</v>
      </c>
      <c r="L9065" t="n">
        <v>0</v>
      </c>
      <c r="M9065" t="n">
        <v>0</v>
      </c>
      <c r="N9065" t="n">
        <v>0</v>
      </c>
      <c r="O9065" t="n">
        <v>0</v>
      </c>
      <c r="P9065" t="n">
        <v>0</v>
      </c>
      <c r="Q9065" t="n">
        <v>0</v>
      </c>
      <c r="R9065" s="2" t="inlineStr"/>
    </row>
    <row r="9066" ht="15" customHeight="1">
      <c r="A9066" t="inlineStr">
        <is>
          <t>A 18125-2025</t>
        </is>
      </c>
      <c r="B9066" s="1" t="n">
        <v>45761.59435185185</v>
      </c>
      <c r="C9066" s="1" t="n">
        <v>46114</v>
      </c>
      <c r="D9066" t="inlineStr">
        <is>
          <t>DALARNAS LÄN</t>
        </is>
      </c>
      <c r="E9066" t="inlineStr">
        <is>
          <t>FALUN</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43569-2025</t>
        </is>
      </c>
      <c r="B9067" s="1" t="n">
        <v>45911.63363425926</v>
      </c>
      <c r="C9067" s="1" t="n">
        <v>46114</v>
      </c>
      <c r="D9067" t="inlineStr">
        <is>
          <t>DALARNAS LÄN</t>
        </is>
      </c>
      <c r="E9067" t="inlineStr">
        <is>
          <t>MORA</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34103-2024</t>
        </is>
      </c>
      <c r="B9068" s="1" t="n">
        <v>45523.72092592593</v>
      </c>
      <c r="C9068" s="1" t="n">
        <v>46114</v>
      </c>
      <c r="D9068" t="inlineStr">
        <is>
          <t>DALARNAS LÄN</t>
        </is>
      </c>
      <c r="E9068" t="inlineStr">
        <is>
          <t>FALUN</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7316-2026</t>
        </is>
      </c>
      <c r="B9069" s="1" t="n">
        <v>46058</v>
      </c>
      <c r="C9069" s="1" t="n">
        <v>46114</v>
      </c>
      <c r="D9069" t="inlineStr">
        <is>
          <t>DALARNAS LÄN</t>
        </is>
      </c>
      <c r="E9069" t="inlineStr">
        <is>
          <t>FALUN</t>
        </is>
      </c>
      <c r="G9069" t="n">
        <v>3.1</v>
      </c>
      <c r="H9069" t="n">
        <v>0</v>
      </c>
      <c r="I9069" t="n">
        <v>0</v>
      </c>
      <c r="J9069" t="n">
        <v>0</v>
      </c>
      <c r="K9069" t="n">
        <v>0</v>
      </c>
      <c r="L9069" t="n">
        <v>0</v>
      </c>
      <c r="M9069" t="n">
        <v>0</v>
      </c>
      <c r="N9069" t="n">
        <v>0</v>
      </c>
      <c r="O9069" t="n">
        <v>0</v>
      </c>
      <c r="P9069" t="n">
        <v>0</v>
      </c>
      <c r="Q9069" t="n">
        <v>0</v>
      </c>
      <c r="R9069" s="2" t="inlineStr"/>
    </row>
    <row r="9070" ht="15" customHeight="1">
      <c r="A9070" t="inlineStr">
        <is>
          <t>A 7321-2026</t>
        </is>
      </c>
      <c r="B9070" s="1" t="n">
        <v>46058</v>
      </c>
      <c r="C9070" s="1" t="n">
        <v>46114</v>
      </c>
      <c r="D9070" t="inlineStr">
        <is>
          <t>DALARNAS LÄN</t>
        </is>
      </c>
      <c r="E9070" t="inlineStr">
        <is>
          <t>FALUN</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23989-2023</t>
        </is>
      </c>
      <c r="B9071" s="1" t="n">
        <v>45078</v>
      </c>
      <c r="C9071" s="1" t="n">
        <v>46114</v>
      </c>
      <c r="D9071" t="inlineStr">
        <is>
          <t>DALARNAS LÄN</t>
        </is>
      </c>
      <c r="E9071" t="inlineStr">
        <is>
          <t>MALUNG-SÄLEN</t>
        </is>
      </c>
      <c r="F9071" t="inlineStr">
        <is>
          <t>Bergvik skog öst AB</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13973-2026</t>
        </is>
      </c>
      <c r="B9072" s="1" t="n">
        <v>46090</v>
      </c>
      <c r="C9072" s="1" t="n">
        <v>46114</v>
      </c>
      <c r="D9072" t="inlineStr">
        <is>
          <t>DALARNAS LÄN</t>
        </is>
      </c>
      <c r="E9072" t="inlineStr">
        <is>
          <t>FALUN</t>
        </is>
      </c>
      <c r="G9072" t="n">
        <v>12.3</v>
      </c>
      <c r="H9072" t="n">
        <v>0</v>
      </c>
      <c r="I9072" t="n">
        <v>0</v>
      </c>
      <c r="J9072" t="n">
        <v>0</v>
      </c>
      <c r="K9072" t="n">
        <v>0</v>
      </c>
      <c r="L9072" t="n">
        <v>0</v>
      </c>
      <c r="M9072" t="n">
        <v>0</v>
      </c>
      <c r="N9072" t="n">
        <v>0</v>
      </c>
      <c r="O9072" t="n">
        <v>0</v>
      </c>
      <c r="P9072" t="n">
        <v>0</v>
      </c>
      <c r="Q9072" t="n">
        <v>0</v>
      </c>
      <c r="R9072" s="2" t="inlineStr"/>
    </row>
    <row r="9073" ht="15" customHeight="1">
      <c r="A9073" t="inlineStr">
        <is>
          <t>A 58616-2023</t>
        </is>
      </c>
      <c r="B9073" s="1" t="n">
        <v>45251</v>
      </c>
      <c r="C9073" s="1" t="n">
        <v>46114</v>
      </c>
      <c r="D9073" t="inlineStr">
        <is>
          <t>DALARNAS LÄN</t>
        </is>
      </c>
      <c r="E9073" t="inlineStr">
        <is>
          <t>BORLÄNGE</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57217-2023</t>
        </is>
      </c>
      <c r="B9074" s="1" t="n">
        <v>45239</v>
      </c>
      <c r="C9074" s="1" t="n">
        <v>46114</v>
      </c>
      <c r="D9074" t="inlineStr">
        <is>
          <t>DALARNAS LÄN</t>
        </is>
      </c>
      <c r="E9074" t="inlineStr">
        <is>
          <t>SMEDJEBACKEN</t>
        </is>
      </c>
      <c r="F9074" t="inlineStr">
        <is>
          <t>Bergvik skog väst AB</t>
        </is>
      </c>
      <c r="G9074" t="n">
        <v>4.2</v>
      </c>
      <c r="H9074" t="n">
        <v>0</v>
      </c>
      <c r="I9074" t="n">
        <v>0</v>
      </c>
      <c r="J9074" t="n">
        <v>0</v>
      </c>
      <c r="K9074" t="n">
        <v>0</v>
      </c>
      <c r="L9074" t="n">
        <v>0</v>
      </c>
      <c r="M9074" t="n">
        <v>0</v>
      </c>
      <c r="N9074" t="n">
        <v>0</v>
      </c>
      <c r="O9074" t="n">
        <v>0</v>
      </c>
      <c r="P9074" t="n">
        <v>0</v>
      </c>
      <c r="Q9074" t="n">
        <v>0</v>
      </c>
      <c r="R9074" s="2" t="inlineStr"/>
    </row>
    <row r="9075" ht="15" customHeight="1">
      <c r="A9075" t="inlineStr">
        <is>
          <t>A 14059-2026</t>
        </is>
      </c>
      <c r="B9075" s="1" t="n">
        <v>46099</v>
      </c>
      <c r="C9075" s="1" t="n">
        <v>46114</v>
      </c>
      <c r="D9075" t="inlineStr">
        <is>
          <t>DALARNAS LÄN</t>
        </is>
      </c>
      <c r="E9075" t="inlineStr">
        <is>
          <t>FALUN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6957-2026</t>
        </is>
      </c>
      <c r="B9076" s="1" t="n">
        <v>46057</v>
      </c>
      <c r="C9076" s="1" t="n">
        <v>46114</v>
      </c>
      <c r="D9076" t="inlineStr">
        <is>
          <t>DALARNAS LÄN</t>
        </is>
      </c>
      <c r="E9076" t="inlineStr">
        <is>
          <t>FALUN</t>
        </is>
      </c>
      <c r="F9076" t="inlineStr">
        <is>
          <t>Bergvik skog väst AB</t>
        </is>
      </c>
      <c r="G9076" t="n">
        <v>0.9</v>
      </c>
      <c r="H9076" t="n">
        <v>0</v>
      </c>
      <c r="I9076" t="n">
        <v>0</v>
      </c>
      <c r="J9076" t="n">
        <v>0</v>
      </c>
      <c r="K9076" t="n">
        <v>0</v>
      </c>
      <c r="L9076" t="n">
        <v>0</v>
      </c>
      <c r="M9076" t="n">
        <v>0</v>
      </c>
      <c r="N9076" t="n">
        <v>0</v>
      </c>
      <c r="O9076" t="n">
        <v>0</v>
      </c>
      <c r="P9076" t="n">
        <v>0</v>
      </c>
      <c r="Q9076" t="n">
        <v>0</v>
      </c>
      <c r="R9076" s="2" t="inlineStr"/>
      <c r="U9076">
        <f>HYPERLINK("https://klasma.github.io/Logging_2080/knärot/A 6957-2026 karta knärot.png", "A 6957-2026")</f>
        <v/>
      </c>
      <c r="V9076">
        <f>HYPERLINK("https://klasma.github.io/Logging_2080/klagomål/A 6957-2026 FSC-klagomål.docx", "A 6957-2026")</f>
        <v/>
      </c>
      <c r="W9076">
        <f>HYPERLINK("https://klasma.github.io/Logging_2080/klagomålsmail/A 6957-2026 FSC-klagomål mail.docx", "A 6957-2026")</f>
        <v/>
      </c>
      <c r="X9076">
        <f>HYPERLINK("https://klasma.github.io/Logging_2080/tillsyn/A 6957-2026 tillsynsbegäran.docx", "A 6957-2026")</f>
        <v/>
      </c>
      <c r="Y9076">
        <f>HYPERLINK("https://klasma.github.io/Logging_2080/tillsynsmail/A 6957-2026 tillsynsbegäran mail.docx", "A 6957-2026")</f>
        <v/>
      </c>
    </row>
    <row r="9077" ht="15" customHeight="1">
      <c r="A9077" t="inlineStr">
        <is>
          <t>A 11740-2026</t>
        </is>
      </c>
      <c r="B9077" s="1" t="n">
        <v>46084</v>
      </c>
      <c r="C9077" s="1" t="n">
        <v>46114</v>
      </c>
      <c r="D9077" t="inlineStr">
        <is>
          <t>DALARNAS LÄN</t>
        </is>
      </c>
      <c r="E9077" t="inlineStr">
        <is>
          <t>SMEDJEBACKEN</t>
        </is>
      </c>
      <c r="F9077" t="inlineStr">
        <is>
          <t>Övriga Aktiebolag</t>
        </is>
      </c>
      <c r="G9077" t="n">
        <v>5.2</v>
      </c>
      <c r="H9077" t="n">
        <v>0</v>
      </c>
      <c r="I9077" t="n">
        <v>0</v>
      </c>
      <c r="J9077" t="n">
        <v>0</v>
      </c>
      <c r="K9077" t="n">
        <v>0</v>
      </c>
      <c r="L9077" t="n">
        <v>0</v>
      </c>
      <c r="M9077" t="n">
        <v>0</v>
      </c>
      <c r="N9077" t="n">
        <v>0</v>
      </c>
      <c r="O9077" t="n">
        <v>0</v>
      </c>
      <c r="P9077" t="n">
        <v>0</v>
      </c>
      <c r="Q9077" t="n">
        <v>0</v>
      </c>
      <c r="R9077" s="2" t="inlineStr"/>
    </row>
    <row r="9078" ht="15" customHeight="1">
      <c r="A9078" t="inlineStr">
        <is>
          <t>A 11821-2026</t>
        </is>
      </c>
      <c r="B9078" s="1" t="n">
        <v>46085</v>
      </c>
      <c r="C9078" s="1" t="n">
        <v>46114</v>
      </c>
      <c r="D9078" t="inlineStr">
        <is>
          <t>DALARNAS LÄN</t>
        </is>
      </c>
      <c r="E9078" t="inlineStr">
        <is>
          <t>LUDVIKA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12049-2026</t>
        </is>
      </c>
      <c r="B9079" s="1" t="n">
        <v>46086</v>
      </c>
      <c r="C9079" s="1" t="n">
        <v>46114</v>
      </c>
      <c r="D9079" t="inlineStr">
        <is>
          <t>DALARNAS LÄN</t>
        </is>
      </c>
      <c r="E9079" t="inlineStr">
        <is>
          <t>RÄTTVIK</t>
        </is>
      </c>
      <c r="G9079" t="n">
        <v>3.7</v>
      </c>
      <c r="H9079" t="n">
        <v>0</v>
      </c>
      <c r="I9079" t="n">
        <v>0</v>
      </c>
      <c r="J9079" t="n">
        <v>0</v>
      </c>
      <c r="K9079" t="n">
        <v>0</v>
      </c>
      <c r="L9079" t="n">
        <v>0</v>
      </c>
      <c r="M9079" t="n">
        <v>0</v>
      </c>
      <c r="N9079" t="n">
        <v>0</v>
      </c>
      <c r="O9079" t="n">
        <v>0</v>
      </c>
      <c r="P9079" t="n">
        <v>0</v>
      </c>
      <c r="Q9079" t="n">
        <v>0</v>
      </c>
      <c r="R9079" s="2" t="inlineStr"/>
    </row>
    <row r="9080" ht="15" customHeight="1">
      <c r="A9080" t="inlineStr">
        <is>
          <t>A 25668-2025</t>
        </is>
      </c>
      <c r="B9080" s="1" t="n">
        <v>45803.62579861111</v>
      </c>
      <c r="C9080" s="1" t="n">
        <v>46114</v>
      </c>
      <c r="D9080" t="inlineStr">
        <is>
          <t>DALARNAS LÄN</t>
        </is>
      </c>
      <c r="E9080" t="inlineStr">
        <is>
          <t>FALUN</t>
        </is>
      </c>
      <c r="G9080" t="n">
        <v>4.4</v>
      </c>
      <c r="H9080" t="n">
        <v>0</v>
      </c>
      <c r="I9080" t="n">
        <v>0</v>
      </c>
      <c r="J9080" t="n">
        <v>0</v>
      </c>
      <c r="K9080" t="n">
        <v>0</v>
      </c>
      <c r="L9080" t="n">
        <v>0</v>
      </c>
      <c r="M9080" t="n">
        <v>0</v>
      </c>
      <c r="N9080" t="n">
        <v>0</v>
      </c>
      <c r="O9080" t="n">
        <v>0</v>
      </c>
      <c r="P9080" t="n">
        <v>0</v>
      </c>
      <c r="Q9080" t="n">
        <v>0</v>
      </c>
      <c r="R9080" s="2" t="inlineStr"/>
    </row>
    <row r="9081" ht="15" customHeight="1">
      <c r="A9081" t="inlineStr">
        <is>
          <t>A 14430-2026</t>
        </is>
      </c>
      <c r="B9081" s="1" t="n">
        <v>46100.47486111111</v>
      </c>
      <c r="C9081" s="1" t="n">
        <v>46114</v>
      </c>
      <c r="D9081" t="inlineStr">
        <is>
          <t>DALARNAS LÄN</t>
        </is>
      </c>
      <c r="E9081" t="inlineStr">
        <is>
          <t>SMEDJEBACKEN</t>
        </is>
      </c>
      <c r="F9081" t="inlineStr">
        <is>
          <t>Övriga Aktiebolag</t>
        </is>
      </c>
      <c r="G9081" t="n">
        <v>4</v>
      </c>
      <c r="H9081" t="n">
        <v>0</v>
      </c>
      <c r="I9081" t="n">
        <v>0</v>
      </c>
      <c r="J9081" t="n">
        <v>0</v>
      </c>
      <c r="K9081" t="n">
        <v>0</v>
      </c>
      <c r="L9081" t="n">
        <v>0</v>
      </c>
      <c r="M9081" t="n">
        <v>0</v>
      </c>
      <c r="N9081" t="n">
        <v>0</v>
      </c>
      <c r="O9081" t="n">
        <v>0</v>
      </c>
      <c r="P9081" t="n">
        <v>0</v>
      </c>
      <c r="Q9081" t="n">
        <v>0</v>
      </c>
      <c r="R9081" s="2" t="inlineStr"/>
    </row>
    <row r="9082" ht="15" customHeight="1">
      <c r="A9082" t="inlineStr">
        <is>
          <t>A 14058-2026</t>
        </is>
      </c>
      <c r="B9082" s="1" t="n">
        <v>46099</v>
      </c>
      <c r="C9082" s="1" t="n">
        <v>46114</v>
      </c>
      <c r="D9082" t="inlineStr">
        <is>
          <t>DALARNAS LÄN</t>
        </is>
      </c>
      <c r="E9082" t="inlineStr">
        <is>
          <t>FALUN</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13420-2026</t>
        </is>
      </c>
      <c r="B9083" s="1" t="n">
        <v>46094</v>
      </c>
      <c r="C9083" s="1" t="n">
        <v>46114</v>
      </c>
      <c r="D9083" t="inlineStr">
        <is>
          <t>DALARNAS LÄN</t>
        </is>
      </c>
      <c r="E9083" t="inlineStr">
        <is>
          <t>BORLÄNGE</t>
        </is>
      </c>
      <c r="G9083" t="n">
        <v>1.6</v>
      </c>
      <c r="H9083" t="n">
        <v>0</v>
      </c>
      <c r="I9083" t="n">
        <v>0</v>
      </c>
      <c r="J9083" t="n">
        <v>0</v>
      </c>
      <c r="K9083" t="n">
        <v>0</v>
      </c>
      <c r="L9083" t="n">
        <v>0</v>
      </c>
      <c r="M9083" t="n">
        <v>0</v>
      </c>
      <c r="N9083" t="n">
        <v>0</v>
      </c>
      <c r="O9083" t="n">
        <v>0</v>
      </c>
      <c r="P9083" t="n">
        <v>0</v>
      </c>
      <c r="Q9083" t="n">
        <v>0</v>
      </c>
      <c r="R9083" s="2" t="inlineStr"/>
    </row>
    <row r="9084" ht="15" customHeight="1">
      <c r="A9084" t="inlineStr">
        <is>
          <t>A 63316-2023</t>
        </is>
      </c>
      <c r="B9084" s="1" t="n">
        <v>45273</v>
      </c>
      <c r="C9084" s="1" t="n">
        <v>46114</v>
      </c>
      <c r="D9084" t="inlineStr">
        <is>
          <t>DALARNAS LÄN</t>
        </is>
      </c>
      <c r="E9084" t="inlineStr">
        <is>
          <t>AVESTA</t>
        </is>
      </c>
      <c r="G9084" t="n">
        <v>4</v>
      </c>
      <c r="H9084" t="n">
        <v>0</v>
      </c>
      <c r="I9084" t="n">
        <v>0</v>
      </c>
      <c r="J9084" t="n">
        <v>0</v>
      </c>
      <c r="K9084" t="n">
        <v>0</v>
      </c>
      <c r="L9084" t="n">
        <v>0</v>
      </c>
      <c r="M9084" t="n">
        <v>0</v>
      </c>
      <c r="N9084" t="n">
        <v>0</v>
      </c>
      <c r="O9084" t="n">
        <v>0</v>
      </c>
      <c r="P9084" t="n">
        <v>0</v>
      </c>
      <c r="Q9084" t="n">
        <v>0</v>
      </c>
      <c r="R9084" s="2" t="inlineStr"/>
    </row>
    <row r="9085" ht="15" customHeight="1">
      <c r="A9085" t="inlineStr">
        <is>
          <t>A 7510-2026</t>
        </is>
      </c>
      <c r="B9085" s="1" t="n">
        <v>46059.58263888889</v>
      </c>
      <c r="C9085" s="1" t="n">
        <v>46114</v>
      </c>
      <c r="D9085" t="inlineStr">
        <is>
          <t>DALARNAS LÄN</t>
        </is>
      </c>
      <c r="E9085" t="inlineStr">
        <is>
          <t>VANSBRO</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14613-2026</t>
        </is>
      </c>
      <c r="B9086" s="1" t="n">
        <v>46101.36916666666</v>
      </c>
      <c r="C9086" s="1" t="n">
        <v>46114</v>
      </c>
      <c r="D9086" t="inlineStr">
        <is>
          <t>DALARNAS LÄN</t>
        </is>
      </c>
      <c r="E9086" t="inlineStr">
        <is>
          <t>SMEDJEBACKEN</t>
        </is>
      </c>
      <c r="F9086" t="inlineStr">
        <is>
          <t>Sveaskog</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7197-2026</t>
        </is>
      </c>
      <c r="B9087" s="1" t="n">
        <v>46058</v>
      </c>
      <c r="C9087" s="1" t="n">
        <v>46114</v>
      </c>
      <c r="D9087" t="inlineStr">
        <is>
          <t>DALARNAS LÄN</t>
        </is>
      </c>
      <c r="E9087" t="inlineStr">
        <is>
          <t>BORLÄNGE</t>
        </is>
      </c>
      <c r="G9087" t="n">
        <v>1.4</v>
      </c>
      <c r="H9087" t="n">
        <v>0</v>
      </c>
      <c r="I9087" t="n">
        <v>0</v>
      </c>
      <c r="J9087" t="n">
        <v>0</v>
      </c>
      <c r="K9087" t="n">
        <v>0</v>
      </c>
      <c r="L9087" t="n">
        <v>0</v>
      </c>
      <c r="M9087" t="n">
        <v>0</v>
      </c>
      <c r="N9087" t="n">
        <v>0</v>
      </c>
      <c r="O9087" t="n">
        <v>0</v>
      </c>
      <c r="P9087" t="n">
        <v>0</v>
      </c>
      <c r="Q9087" t="n">
        <v>0</v>
      </c>
      <c r="R9087" s="2" t="inlineStr"/>
    </row>
    <row r="9088" ht="15" customHeight="1">
      <c r="A9088" t="inlineStr">
        <is>
          <t>A 15085-2025</t>
        </is>
      </c>
      <c r="B9088" s="1" t="n">
        <v>45744.3031712963</v>
      </c>
      <c r="C9088" s="1" t="n">
        <v>46114</v>
      </c>
      <c r="D9088" t="inlineStr">
        <is>
          <t>DALARNAS LÄN</t>
        </is>
      </c>
      <c r="E9088" t="inlineStr">
        <is>
          <t>FALUN</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7277-2026</t>
        </is>
      </c>
      <c r="B9089" s="1" t="n">
        <v>46058</v>
      </c>
      <c r="C9089" s="1" t="n">
        <v>46114</v>
      </c>
      <c r="D9089" t="inlineStr">
        <is>
          <t>DALARNAS LÄN</t>
        </is>
      </c>
      <c r="E9089" t="inlineStr">
        <is>
          <t>FALUN</t>
        </is>
      </c>
      <c r="G9089" t="n">
        <v>9.4</v>
      </c>
      <c r="H9089" t="n">
        <v>0</v>
      </c>
      <c r="I9089" t="n">
        <v>0</v>
      </c>
      <c r="J9089" t="n">
        <v>0</v>
      </c>
      <c r="K9089" t="n">
        <v>0</v>
      </c>
      <c r="L9089" t="n">
        <v>0</v>
      </c>
      <c r="M9089" t="n">
        <v>0</v>
      </c>
      <c r="N9089" t="n">
        <v>0</v>
      </c>
      <c r="O9089" t="n">
        <v>0</v>
      </c>
      <c r="P9089" t="n">
        <v>0</v>
      </c>
      <c r="Q9089" t="n">
        <v>0</v>
      </c>
      <c r="R9089" s="2" t="inlineStr"/>
    </row>
    <row r="9090" ht="15" customHeight="1">
      <c r="A9090" t="inlineStr">
        <is>
          <t>A 41538-2024</t>
        </is>
      </c>
      <c r="B9090" s="1" t="n">
        <v>45560</v>
      </c>
      <c r="C9090" s="1" t="n">
        <v>46114</v>
      </c>
      <c r="D9090" t="inlineStr">
        <is>
          <t>DALARNAS LÄN</t>
        </is>
      </c>
      <c r="E9090" t="inlineStr">
        <is>
          <t>FALUN</t>
        </is>
      </c>
      <c r="F9090" t="inlineStr">
        <is>
          <t>Bergvik skog väst AB</t>
        </is>
      </c>
      <c r="G9090" t="n">
        <v>2.1</v>
      </c>
      <c r="H9090" t="n">
        <v>0</v>
      </c>
      <c r="I9090" t="n">
        <v>0</v>
      </c>
      <c r="J9090" t="n">
        <v>0</v>
      </c>
      <c r="K9090" t="n">
        <v>0</v>
      </c>
      <c r="L9090" t="n">
        <v>0</v>
      </c>
      <c r="M9090" t="n">
        <v>0</v>
      </c>
      <c r="N9090" t="n">
        <v>0</v>
      </c>
      <c r="O9090" t="n">
        <v>0</v>
      </c>
      <c r="P9090" t="n">
        <v>0</v>
      </c>
      <c r="Q9090" t="n">
        <v>0</v>
      </c>
      <c r="R9090" s="2" t="inlineStr"/>
    </row>
    <row r="9091" ht="15" customHeight="1">
      <c r="A9091" t="inlineStr">
        <is>
          <t>A 3557-2026</t>
        </is>
      </c>
      <c r="B9091" s="1" t="n">
        <v>46042</v>
      </c>
      <c r="C9091" s="1" t="n">
        <v>46114</v>
      </c>
      <c r="D9091" t="inlineStr">
        <is>
          <t>DALARNAS LÄN</t>
        </is>
      </c>
      <c r="E9091" t="inlineStr">
        <is>
          <t>FALUN</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3657-2026</t>
        </is>
      </c>
      <c r="B9092" s="1" t="n">
        <v>46043</v>
      </c>
      <c r="C9092" s="1" t="n">
        <v>46114</v>
      </c>
      <c r="D9092" t="inlineStr">
        <is>
          <t>DALARNAS LÄN</t>
        </is>
      </c>
      <c r="E9092" t="inlineStr">
        <is>
          <t>FALUN</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7422-2026</t>
        </is>
      </c>
      <c r="B9093" s="1" t="n">
        <v>46059.42803240741</v>
      </c>
      <c r="C9093" s="1" t="n">
        <v>46114</v>
      </c>
      <c r="D9093" t="inlineStr">
        <is>
          <t>DALARNAS LÄN</t>
        </is>
      </c>
      <c r="E9093" t="inlineStr">
        <is>
          <t>MALUNG-SÄLEN</t>
        </is>
      </c>
      <c r="G9093" t="n">
        <v>11.4</v>
      </c>
      <c r="H9093" t="n">
        <v>0</v>
      </c>
      <c r="I9093" t="n">
        <v>0</v>
      </c>
      <c r="J9093" t="n">
        <v>0</v>
      </c>
      <c r="K9093" t="n">
        <v>0</v>
      </c>
      <c r="L9093" t="n">
        <v>0</v>
      </c>
      <c r="M9093" t="n">
        <v>0</v>
      </c>
      <c r="N9093" t="n">
        <v>0</v>
      </c>
      <c r="O9093" t="n">
        <v>0</v>
      </c>
      <c r="P9093" t="n">
        <v>0</v>
      </c>
      <c r="Q9093" t="n">
        <v>0</v>
      </c>
      <c r="R9093" s="2" t="inlineStr"/>
    </row>
    <row r="9094" ht="15" customHeight="1">
      <c r="A9094" t="inlineStr">
        <is>
          <t>A 7523-2026</t>
        </is>
      </c>
      <c r="B9094" s="1" t="n">
        <v>46059.60834490741</v>
      </c>
      <c r="C9094" s="1" t="n">
        <v>46114</v>
      </c>
      <c r="D9094" t="inlineStr">
        <is>
          <t>DALARNAS LÄN</t>
        </is>
      </c>
      <c r="E9094" t="inlineStr">
        <is>
          <t>FALUN</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7365-2026</t>
        </is>
      </c>
      <c r="B9095" s="1" t="n">
        <v>46059.3237962963</v>
      </c>
      <c r="C9095" s="1" t="n">
        <v>46114</v>
      </c>
      <c r="D9095" t="inlineStr">
        <is>
          <t>DALARNAS LÄN</t>
        </is>
      </c>
      <c r="E9095" t="inlineStr">
        <is>
          <t>SÄTER</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47685-2023</t>
        </is>
      </c>
      <c r="B9096" s="1" t="n">
        <v>45203.61751157408</v>
      </c>
      <c r="C9096" s="1" t="n">
        <v>46114</v>
      </c>
      <c r="D9096" t="inlineStr">
        <is>
          <t>DALARNAS LÄN</t>
        </is>
      </c>
      <c r="E9096" t="inlineStr">
        <is>
          <t>FALUN</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14595-2026</t>
        </is>
      </c>
      <c r="B9097" s="1" t="n">
        <v>46100</v>
      </c>
      <c r="C9097" s="1" t="n">
        <v>46114</v>
      </c>
      <c r="D9097" t="inlineStr">
        <is>
          <t>DALARNAS LÄN</t>
        </is>
      </c>
      <c r="E9097" t="inlineStr">
        <is>
          <t>MALUNG-SÄLEN</t>
        </is>
      </c>
      <c r="G9097" t="n">
        <v>10.3</v>
      </c>
      <c r="H9097" t="n">
        <v>0</v>
      </c>
      <c r="I9097" t="n">
        <v>0</v>
      </c>
      <c r="J9097" t="n">
        <v>0</v>
      </c>
      <c r="K9097" t="n">
        <v>0</v>
      </c>
      <c r="L9097" t="n">
        <v>0</v>
      </c>
      <c r="M9097" t="n">
        <v>0</v>
      </c>
      <c r="N9097" t="n">
        <v>0</v>
      </c>
      <c r="O9097" t="n">
        <v>0</v>
      </c>
      <c r="P9097" t="n">
        <v>0</v>
      </c>
      <c r="Q9097" t="n">
        <v>0</v>
      </c>
      <c r="R9097" s="2" t="inlineStr"/>
    </row>
    <row r="9098" ht="15" customHeight="1">
      <c r="A9098" t="inlineStr">
        <is>
          <t>A 14601-2026</t>
        </is>
      </c>
      <c r="B9098" s="1" t="n">
        <v>46101.35722222222</v>
      </c>
      <c r="C9098" s="1" t="n">
        <v>46114</v>
      </c>
      <c r="D9098" t="inlineStr">
        <is>
          <t>DALARNAS LÄN</t>
        </is>
      </c>
      <c r="E9098" t="inlineStr">
        <is>
          <t>SMEDJEBACKEN</t>
        </is>
      </c>
      <c r="F9098" t="inlineStr">
        <is>
          <t>Sveaskog</t>
        </is>
      </c>
      <c r="G9098" t="n">
        <v>4.9</v>
      </c>
      <c r="H9098" t="n">
        <v>0</v>
      </c>
      <c r="I9098" t="n">
        <v>0</v>
      </c>
      <c r="J9098" t="n">
        <v>0</v>
      </c>
      <c r="K9098" t="n">
        <v>0</v>
      </c>
      <c r="L9098" t="n">
        <v>0</v>
      </c>
      <c r="M9098" t="n">
        <v>0</v>
      </c>
      <c r="N9098" t="n">
        <v>0</v>
      </c>
      <c r="O9098" t="n">
        <v>0</v>
      </c>
      <c r="P9098" t="n">
        <v>0</v>
      </c>
      <c r="Q9098" t="n">
        <v>0</v>
      </c>
      <c r="R9098" s="2" t="inlineStr"/>
    </row>
    <row r="9099" ht="15" customHeight="1">
      <c r="A9099" t="inlineStr">
        <is>
          <t>A 59958-2024</t>
        </is>
      </c>
      <c r="B9099" s="1" t="n">
        <v>45642.35099537037</v>
      </c>
      <c r="C9099" s="1" t="n">
        <v>46114</v>
      </c>
      <c r="D9099" t="inlineStr">
        <is>
          <t>DALARNAS LÄN</t>
        </is>
      </c>
      <c r="E9099" t="inlineStr">
        <is>
          <t>RÄTTVIK</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59965-2024</t>
        </is>
      </c>
      <c r="B9100" s="1" t="n">
        <v>45642.35502314815</v>
      </c>
      <c r="C9100" s="1" t="n">
        <v>46114</v>
      </c>
      <c r="D9100" t="inlineStr">
        <is>
          <t>DALARNAS LÄN</t>
        </is>
      </c>
      <c r="E9100" t="inlineStr">
        <is>
          <t>RÄTTVIK</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7101-2026</t>
        </is>
      </c>
      <c r="B9101" s="1" t="n">
        <v>46058.35846064815</v>
      </c>
      <c r="C9101" s="1" t="n">
        <v>46114</v>
      </c>
      <c r="D9101" t="inlineStr">
        <is>
          <t>DALARNAS LÄN</t>
        </is>
      </c>
      <c r="E9101" t="inlineStr">
        <is>
          <t>ÄLVDALEN</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14944-2023</t>
        </is>
      </c>
      <c r="B9102" s="1" t="n">
        <v>45015</v>
      </c>
      <c r="C9102" s="1" t="n">
        <v>46114</v>
      </c>
      <c r="D9102" t="inlineStr">
        <is>
          <t>DALARNAS LÄN</t>
        </is>
      </c>
      <c r="E9102" t="inlineStr">
        <is>
          <t>AVESTA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7076-2026</t>
        </is>
      </c>
      <c r="B9103" s="1" t="n">
        <v>46058.32789351852</v>
      </c>
      <c r="C9103" s="1" t="n">
        <v>46114</v>
      </c>
      <c r="D9103" t="inlineStr">
        <is>
          <t>DALARNAS LÄN</t>
        </is>
      </c>
      <c r="E9103" t="inlineStr">
        <is>
          <t>FALUN</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7165-2026</t>
        </is>
      </c>
      <c r="B9104" s="1" t="n">
        <v>46058</v>
      </c>
      <c r="C9104" s="1" t="n">
        <v>46114</v>
      </c>
      <c r="D9104" t="inlineStr">
        <is>
          <t>DALARNAS LÄN</t>
        </is>
      </c>
      <c r="E9104" t="inlineStr">
        <is>
          <t>HEDEMORA</t>
        </is>
      </c>
      <c r="G9104" t="n">
        <v>4.9</v>
      </c>
      <c r="H9104" t="n">
        <v>0</v>
      </c>
      <c r="I9104" t="n">
        <v>0</v>
      </c>
      <c r="J9104" t="n">
        <v>0</v>
      </c>
      <c r="K9104" t="n">
        <v>0</v>
      </c>
      <c r="L9104" t="n">
        <v>0</v>
      </c>
      <c r="M9104" t="n">
        <v>0</v>
      </c>
      <c r="N9104" t="n">
        <v>0</v>
      </c>
      <c r="O9104" t="n">
        <v>0</v>
      </c>
      <c r="P9104" t="n">
        <v>0</v>
      </c>
      <c r="Q9104" t="n">
        <v>0</v>
      </c>
      <c r="R9104" s="2" t="inlineStr"/>
    </row>
    <row r="9105" ht="15" customHeight="1">
      <c r="A9105" t="inlineStr">
        <is>
          <t>A 14602-2026</t>
        </is>
      </c>
      <c r="B9105" s="1" t="n">
        <v>46101.35896990741</v>
      </c>
      <c r="C9105" s="1" t="n">
        <v>46114</v>
      </c>
      <c r="D9105" t="inlineStr">
        <is>
          <t>DALARNAS LÄN</t>
        </is>
      </c>
      <c r="E9105" t="inlineStr">
        <is>
          <t>SMEDJEBACKEN</t>
        </is>
      </c>
      <c r="F9105" t="inlineStr">
        <is>
          <t>Sveaskog</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16870-2023</t>
        </is>
      </c>
      <c r="B9106" s="1" t="n">
        <v>45033.48502314815</v>
      </c>
      <c r="C9106" s="1" t="n">
        <v>46114</v>
      </c>
      <c r="D9106" t="inlineStr">
        <is>
          <t>DALARNAS LÄN</t>
        </is>
      </c>
      <c r="E9106" t="inlineStr">
        <is>
          <t>SMEDJEBACKEN</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38440-2022</t>
        </is>
      </c>
      <c r="B9107" s="1" t="n">
        <v>44813</v>
      </c>
      <c r="C9107" s="1" t="n">
        <v>46114</v>
      </c>
      <c r="D9107" t="inlineStr">
        <is>
          <t>DALARNAS LÄN</t>
        </is>
      </c>
      <c r="E9107" t="inlineStr">
        <is>
          <t>SMEDJEBACKEN</t>
        </is>
      </c>
      <c r="F9107" t="inlineStr">
        <is>
          <t>Bergvik skog väst AB</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37952-2024</t>
        </is>
      </c>
      <c r="B9108" s="1" t="n">
        <v>45544.5200462963</v>
      </c>
      <c r="C9108" s="1" t="n">
        <v>46114</v>
      </c>
      <c r="D9108" t="inlineStr">
        <is>
          <t>DALARNAS LÄN</t>
        </is>
      </c>
      <c r="E9108" t="inlineStr">
        <is>
          <t>LEKSAND</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14657-2026</t>
        </is>
      </c>
      <c r="B9109" s="1" t="n">
        <v>46101.4341087963</v>
      </c>
      <c r="C9109" s="1" t="n">
        <v>46114</v>
      </c>
      <c r="D9109" t="inlineStr">
        <is>
          <t>DALARNAS LÄN</t>
        </is>
      </c>
      <c r="E9109" t="inlineStr">
        <is>
          <t>FALUN</t>
        </is>
      </c>
      <c r="G9109" t="n">
        <v>3.3</v>
      </c>
      <c r="H9109" t="n">
        <v>0</v>
      </c>
      <c r="I9109" t="n">
        <v>0</v>
      </c>
      <c r="J9109" t="n">
        <v>0</v>
      </c>
      <c r="K9109" t="n">
        <v>0</v>
      </c>
      <c r="L9109" t="n">
        <v>0</v>
      </c>
      <c r="M9109" t="n">
        <v>0</v>
      </c>
      <c r="N9109" t="n">
        <v>0</v>
      </c>
      <c r="O9109" t="n">
        <v>0</v>
      </c>
      <c r="P9109" t="n">
        <v>0</v>
      </c>
      <c r="Q9109" t="n">
        <v>0</v>
      </c>
      <c r="R9109" s="2" t="inlineStr"/>
    </row>
    <row r="9110" ht="15" customHeight="1">
      <c r="A9110" t="inlineStr">
        <is>
          <t>A 12334-2022</t>
        </is>
      </c>
      <c r="B9110" s="1" t="n">
        <v>44637</v>
      </c>
      <c r="C9110" s="1" t="n">
        <v>46114</v>
      </c>
      <c r="D9110" t="inlineStr">
        <is>
          <t>DALARNAS LÄN</t>
        </is>
      </c>
      <c r="E9110" t="inlineStr">
        <is>
          <t>RÄTTVIK</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32012-2023</t>
        </is>
      </c>
      <c r="B9111" s="1" t="n">
        <v>45119.47708333333</v>
      </c>
      <c r="C9111" s="1" t="n">
        <v>46114</v>
      </c>
      <c r="D9111" t="inlineStr">
        <is>
          <t>DALARNAS LÄN</t>
        </is>
      </c>
      <c r="E9111" t="inlineStr">
        <is>
          <t>RÄTTVIK</t>
        </is>
      </c>
      <c r="G9111" t="n">
        <v>3.5</v>
      </c>
      <c r="H9111" t="n">
        <v>0</v>
      </c>
      <c r="I9111" t="n">
        <v>0</v>
      </c>
      <c r="J9111" t="n">
        <v>0</v>
      </c>
      <c r="K9111" t="n">
        <v>0</v>
      </c>
      <c r="L9111" t="n">
        <v>0</v>
      </c>
      <c r="M9111" t="n">
        <v>0</v>
      </c>
      <c r="N9111" t="n">
        <v>0</v>
      </c>
      <c r="O9111" t="n">
        <v>0</v>
      </c>
      <c r="P9111" t="n">
        <v>0</v>
      </c>
      <c r="Q9111" t="n">
        <v>0</v>
      </c>
      <c r="R9111" s="2" t="inlineStr"/>
    </row>
    <row r="9112" ht="15" customHeight="1">
      <c r="A9112" t="inlineStr">
        <is>
          <t>A 7418-2026</t>
        </is>
      </c>
      <c r="B9112" s="1" t="n">
        <v>46059.42018518518</v>
      </c>
      <c r="C9112" s="1" t="n">
        <v>46114</v>
      </c>
      <c r="D9112" t="inlineStr">
        <is>
          <t>DALARNAS LÄN</t>
        </is>
      </c>
      <c r="E9112" t="inlineStr">
        <is>
          <t>MORA</t>
        </is>
      </c>
      <c r="G9112" t="n">
        <v>4</v>
      </c>
      <c r="H9112" t="n">
        <v>0</v>
      </c>
      <c r="I9112" t="n">
        <v>0</v>
      </c>
      <c r="J9112" t="n">
        <v>0</v>
      </c>
      <c r="K9112" t="n">
        <v>0</v>
      </c>
      <c r="L9112" t="n">
        <v>0</v>
      </c>
      <c r="M9112" t="n">
        <v>0</v>
      </c>
      <c r="N9112" t="n">
        <v>0</v>
      </c>
      <c r="O9112" t="n">
        <v>0</v>
      </c>
      <c r="P9112" t="n">
        <v>0</v>
      </c>
      <c r="Q9112" t="n">
        <v>0</v>
      </c>
      <c r="R9112" s="2" t="inlineStr"/>
    </row>
    <row r="9113" ht="15" customHeight="1">
      <c r="A9113" t="inlineStr">
        <is>
          <t>A 7423-2026</t>
        </is>
      </c>
      <c r="B9113" s="1" t="n">
        <v>46059.42837962963</v>
      </c>
      <c r="C9113" s="1" t="n">
        <v>46114</v>
      </c>
      <c r="D9113" t="inlineStr">
        <is>
          <t>DALARNAS LÄN</t>
        </is>
      </c>
      <c r="E9113" t="inlineStr">
        <is>
          <t>MALUNG-SÄLEN</t>
        </is>
      </c>
      <c r="G9113" t="n">
        <v>3</v>
      </c>
      <c r="H9113" t="n">
        <v>0</v>
      </c>
      <c r="I9113" t="n">
        <v>0</v>
      </c>
      <c r="J9113" t="n">
        <v>0</v>
      </c>
      <c r="K9113" t="n">
        <v>0</v>
      </c>
      <c r="L9113" t="n">
        <v>0</v>
      </c>
      <c r="M9113" t="n">
        <v>0</v>
      </c>
      <c r="N9113" t="n">
        <v>0</v>
      </c>
      <c r="O9113" t="n">
        <v>0</v>
      </c>
      <c r="P9113" t="n">
        <v>0</v>
      </c>
      <c r="Q9113" t="n">
        <v>0</v>
      </c>
      <c r="R9113" s="2" t="inlineStr"/>
    </row>
    <row r="9114" ht="15" customHeight="1">
      <c r="A9114" t="inlineStr">
        <is>
          <t>A 7809-2026</t>
        </is>
      </c>
      <c r="B9114" s="1" t="n">
        <v>46059</v>
      </c>
      <c r="C9114" s="1" t="n">
        <v>46114</v>
      </c>
      <c r="D9114" t="inlineStr">
        <is>
          <t>DALARNAS LÄN</t>
        </is>
      </c>
      <c r="E9114" t="inlineStr">
        <is>
          <t>FALUN</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14745-2026</t>
        </is>
      </c>
      <c r="B9115" s="1" t="n">
        <v>46101.60760416667</v>
      </c>
      <c r="C9115" s="1" t="n">
        <v>46114</v>
      </c>
      <c r="D9115" t="inlineStr">
        <is>
          <t>DALARNAS LÄN</t>
        </is>
      </c>
      <c r="E9115" t="inlineStr">
        <is>
          <t>MORA</t>
        </is>
      </c>
      <c r="F9115" t="inlineStr">
        <is>
          <t>Bergvik skog öst AB</t>
        </is>
      </c>
      <c r="G9115" t="n">
        <v>10.9</v>
      </c>
      <c r="H9115" t="n">
        <v>0</v>
      </c>
      <c r="I9115" t="n">
        <v>0</v>
      </c>
      <c r="J9115" t="n">
        <v>0</v>
      </c>
      <c r="K9115" t="n">
        <v>0</v>
      </c>
      <c r="L9115" t="n">
        <v>0</v>
      </c>
      <c r="M9115" t="n">
        <v>0</v>
      </c>
      <c r="N9115" t="n">
        <v>0</v>
      </c>
      <c r="O9115" t="n">
        <v>0</v>
      </c>
      <c r="P9115" t="n">
        <v>0</v>
      </c>
      <c r="Q9115" t="n">
        <v>0</v>
      </c>
      <c r="R9115" s="2" t="inlineStr"/>
    </row>
    <row r="9116" ht="15" customHeight="1">
      <c r="A9116" t="inlineStr">
        <is>
          <t>A 21514-2024</t>
        </is>
      </c>
      <c r="B9116" s="1" t="n">
        <v>45441.57538194444</v>
      </c>
      <c r="C9116" s="1" t="n">
        <v>46114</v>
      </c>
      <c r="D9116" t="inlineStr">
        <is>
          <t>DALARNAS LÄN</t>
        </is>
      </c>
      <c r="E9116" t="inlineStr">
        <is>
          <t>HEDEMORA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14746-2026</t>
        </is>
      </c>
      <c r="B9117" s="1" t="n">
        <v>46101.61203703703</v>
      </c>
      <c r="C9117" s="1" t="n">
        <v>46114</v>
      </c>
      <c r="D9117" t="inlineStr">
        <is>
          <t>DALARNAS LÄN</t>
        </is>
      </c>
      <c r="E9117" t="inlineStr">
        <is>
          <t>FALUN</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14749-2026</t>
        </is>
      </c>
      <c r="B9118" s="1" t="n">
        <v>46101.61528935185</v>
      </c>
      <c r="C9118" s="1" t="n">
        <v>46114</v>
      </c>
      <c r="D9118" t="inlineStr">
        <is>
          <t>DALARNAS LÄN</t>
        </is>
      </c>
      <c r="E9118" t="inlineStr">
        <is>
          <t>FALUN</t>
        </is>
      </c>
      <c r="G9118" t="n">
        <v>6.9</v>
      </c>
      <c r="H9118" t="n">
        <v>0</v>
      </c>
      <c r="I9118" t="n">
        <v>0</v>
      </c>
      <c r="J9118" t="n">
        <v>0</v>
      </c>
      <c r="K9118" t="n">
        <v>0</v>
      </c>
      <c r="L9118" t="n">
        <v>0</v>
      </c>
      <c r="M9118" t="n">
        <v>0</v>
      </c>
      <c r="N9118" t="n">
        <v>0</v>
      </c>
      <c r="O9118" t="n">
        <v>0</v>
      </c>
      <c r="P9118" t="n">
        <v>0</v>
      </c>
      <c r="Q9118" t="n">
        <v>0</v>
      </c>
      <c r="R9118" s="2" t="inlineStr"/>
    </row>
    <row r="9119" ht="15" customHeight="1">
      <c r="A9119" t="inlineStr">
        <is>
          <t>A 7587-2025</t>
        </is>
      </c>
      <c r="B9119" s="1" t="n">
        <v>45705.63409722222</v>
      </c>
      <c r="C9119" s="1" t="n">
        <v>46114</v>
      </c>
      <c r="D9119" t="inlineStr">
        <is>
          <t>DALARNAS LÄN</t>
        </is>
      </c>
      <c r="E9119" t="inlineStr">
        <is>
          <t>FALUN</t>
        </is>
      </c>
      <c r="G9119" t="n">
        <v>2.8</v>
      </c>
      <c r="H9119" t="n">
        <v>0</v>
      </c>
      <c r="I9119" t="n">
        <v>0</v>
      </c>
      <c r="J9119" t="n">
        <v>0</v>
      </c>
      <c r="K9119" t="n">
        <v>0</v>
      </c>
      <c r="L9119" t="n">
        <v>0</v>
      </c>
      <c r="M9119" t="n">
        <v>0</v>
      </c>
      <c r="N9119" t="n">
        <v>0</v>
      </c>
      <c r="O9119" t="n">
        <v>0</v>
      </c>
      <c r="P9119" t="n">
        <v>0</v>
      </c>
      <c r="Q9119" t="n">
        <v>0</v>
      </c>
      <c r="R9119" s="2" t="inlineStr"/>
    </row>
    <row r="9120" ht="15" customHeight="1">
      <c r="A9120" t="inlineStr">
        <is>
          <t>A 1167-2025</t>
        </is>
      </c>
      <c r="B9120" s="1" t="n">
        <v>45666.96104166667</v>
      </c>
      <c r="C9120" s="1" t="n">
        <v>46114</v>
      </c>
      <c r="D9120" t="inlineStr">
        <is>
          <t>DALARNAS LÄN</t>
        </is>
      </c>
      <c r="E9120" t="inlineStr">
        <is>
          <t>BORLÄNGE</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20966-2025</t>
        </is>
      </c>
      <c r="B9121" s="1" t="n">
        <v>45777.45166666667</v>
      </c>
      <c r="C9121" s="1" t="n">
        <v>46114</v>
      </c>
      <c r="D9121" t="inlineStr">
        <is>
          <t>DALARNAS LÄN</t>
        </is>
      </c>
      <c r="E9121" t="inlineStr">
        <is>
          <t>FALUN</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11038-2026</t>
        </is>
      </c>
      <c r="B9122" s="1" t="n">
        <v>46079</v>
      </c>
      <c r="C9122" s="1" t="n">
        <v>46114</v>
      </c>
      <c r="D9122" t="inlineStr">
        <is>
          <t>DALARNAS LÄN</t>
        </is>
      </c>
      <c r="E9122" t="inlineStr">
        <is>
          <t>FALUN</t>
        </is>
      </c>
      <c r="G9122" t="n">
        <v>2</v>
      </c>
      <c r="H9122" t="n">
        <v>0</v>
      </c>
      <c r="I9122" t="n">
        <v>0</v>
      </c>
      <c r="J9122" t="n">
        <v>0</v>
      </c>
      <c r="K9122" t="n">
        <v>0</v>
      </c>
      <c r="L9122" t="n">
        <v>0</v>
      </c>
      <c r="M9122" t="n">
        <v>0</v>
      </c>
      <c r="N9122" t="n">
        <v>0</v>
      </c>
      <c r="O9122" t="n">
        <v>0</v>
      </c>
      <c r="P9122" t="n">
        <v>0</v>
      </c>
      <c r="Q9122" t="n">
        <v>0</v>
      </c>
      <c r="R9122" s="2" t="inlineStr"/>
    </row>
    <row r="9123" ht="15" customHeight="1">
      <c r="A9123" t="inlineStr">
        <is>
          <t>A 11059-2026</t>
        </is>
      </c>
      <c r="B9123" s="1" t="n">
        <v>46079</v>
      </c>
      <c r="C9123" s="1" t="n">
        <v>46114</v>
      </c>
      <c r="D9123" t="inlineStr">
        <is>
          <t>DALARNAS LÄN</t>
        </is>
      </c>
      <c r="E9123" t="inlineStr">
        <is>
          <t>FALUN</t>
        </is>
      </c>
      <c r="G9123" t="n">
        <v>3.3</v>
      </c>
      <c r="H9123" t="n">
        <v>0</v>
      </c>
      <c r="I9123" t="n">
        <v>0</v>
      </c>
      <c r="J9123" t="n">
        <v>0</v>
      </c>
      <c r="K9123" t="n">
        <v>0</v>
      </c>
      <c r="L9123" t="n">
        <v>0</v>
      </c>
      <c r="M9123" t="n">
        <v>0</v>
      </c>
      <c r="N9123" t="n">
        <v>0</v>
      </c>
      <c r="O9123" t="n">
        <v>0</v>
      </c>
      <c r="P9123" t="n">
        <v>0</v>
      </c>
      <c r="Q9123" t="n">
        <v>0</v>
      </c>
      <c r="R9123" s="2" t="inlineStr"/>
    </row>
    <row r="9124" ht="15" customHeight="1">
      <c r="A9124" t="inlineStr">
        <is>
          <t>A 11080-2026</t>
        </is>
      </c>
      <c r="B9124" s="1" t="n">
        <v>46079</v>
      </c>
      <c r="C9124" s="1" t="n">
        <v>46114</v>
      </c>
      <c r="D9124" t="inlineStr">
        <is>
          <t>DALARNAS LÄN</t>
        </is>
      </c>
      <c r="E9124" t="inlineStr">
        <is>
          <t>FALUN</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13812-2026</t>
        </is>
      </c>
      <c r="B9125" s="1" t="n">
        <v>46098</v>
      </c>
      <c r="C9125" s="1" t="n">
        <v>46114</v>
      </c>
      <c r="D9125" t="inlineStr">
        <is>
          <t>DALARNAS LÄN</t>
        </is>
      </c>
      <c r="E9125" t="inlineStr">
        <is>
          <t>FALUN</t>
        </is>
      </c>
      <c r="G9125" t="n">
        <v>4.8</v>
      </c>
      <c r="H9125" t="n">
        <v>0</v>
      </c>
      <c r="I9125" t="n">
        <v>0</v>
      </c>
      <c r="J9125" t="n">
        <v>0</v>
      </c>
      <c r="K9125" t="n">
        <v>0</v>
      </c>
      <c r="L9125" t="n">
        <v>0</v>
      </c>
      <c r="M9125" t="n">
        <v>0</v>
      </c>
      <c r="N9125" t="n">
        <v>0</v>
      </c>
      <c r="O9125" t="n">
        <v>0</v>
      </c>
      <c r="P9125" t="n">
        <v>0</v>
      </c>
      <c r="Q9125" t="n">
        <v>0</v>
      </c>
      <c r="R9125" s="2" t="inlineStr"/>
    </row>
    <row r="9126" ht="15" customHeight="1">
      <c r="A9126" t="inlineStr">
        <is>
          <t>A 4280-2026</t>
        </is>
      </c>
      <c r="B9126" s="1" t="n">
        <v>46044</v>
      </c>
      <c r="C9126" s="1" t="n">
        <v>46114</v>
      </c>
      <c r="D9126" t="inlineStr">
        <is>
          <t>DALARNAS LÄN</t>
        </is>
      </c>
      <c r="E9126" t="inlineStr">
        <is>
          <t>LEKSAND</t>
        </is>
      </c>
      <c r="G9126" t="n">
        <v>7.2</v>
      </c>
      <c r="H9126" t="n">
        <v>0</v>
      </c>
      <c r="I9126" t="n">
        <v>0</v>
      </c>
      <c r="J9126" t="n">
        <v>0</v>
      </c>
      <c r="K9126" t="n">
        <v>0</v>
      </c>
      <c r="L9126" t="n">
        <v>0</v>
      </c>
      <c r="M9126" t="n">
        <v>0</v>
      </c>
      <c r="N9126" t="n">
        <v>0</v>
      </c>
      <c r="O9126" t="n">
        <v>0</v>
      </c>
      <c r="P9126" t="n">
        <v>0</v>
      </c>
      <c r="Q9126" t="n">
        <v>0</v>
      </c>
      <c r="R9126" s="2" t="inlineStr"/>
    </row>
    <row r="9127" ht="15" customHeight="1">
      <c r="A9127" t="inlineStr">
        <is>
          <t>A 60786-2023</t>
        </is>
      </c>
      <c r="B9127" s="1" t="n">
        <v>45260.64891203704</v>
      </c>
      <c r="C9127" s="1" t="n">
        <v>46114</v>
      </c>
      <c r="D9127" t="inlineStr">
        <is>
          <t>DALARNAS LÄN</t>
        </is>
      </c>
      <c r="E9127" t="inlineStr">
        <is>
          <t>HEDEMORA</t>
        </is>
      </c>
      <c r="G9127" t="n">
        <v>7.1</v>
      </c>
      <c r="H9127" t="n">
        <v>0</v>
      </c>
      <c r="I9127" t="n">
        <v>0</v>
      </c>
      <c r="J9127" t="n">
        <v>0</v>
      </c>
      <c r="K9127" t="n">
        <v>0</v>
      </c>
      <c r="L9127" t="n">
        <v>0</v>
      </c>
      <c r="M9127" t="n">
        <v>0</v>
      </c>
      <c r="N9127" t="n">
        <v>0</v>
      </c>
      <c r="O9127" t="n">
        <v>0</v>
      </c>
      <c r="P9127" t="n">
        <v>0</v>
      </c>
      <c r="Q9127" t="n">
        <v>0</v>
      </c>
      <c r="R9127" s="2" t="inlineStr"/>
    </row>
    <row r="9128" ht="15" customHeight="1">
      <c r="A9128" t="inlineStr">
        <is>
          <t>A 7367-2026</t>
        </is>
      </c>
      <c r="B9128" s="1" t="n">
        <v>46059.32680555555</v>
      </c>
      <c r="C9128" s="1" t="n">
        <v>46114</v>
      </c>
      <c r="D9128" t="inlineStr">
        <is>
          <t>DALARNAS LÄN</t>
        </is>
      </c>
      <c r="E9128" t="inlineStr">
        <is>
          <t>SMEDJEBACKEN</t>
        </is>
      </c>
      <c r="G9128" t="n">
        <v>12.5</v>
      </c>
      <c r="H9128" t="n">
        <v>0</v>
      </c>
      <c r="I9128" t="n">
        <v>0</v>
      </c>
      <c r="J9128" t="n">
        <v>0</v>
      </c>
      <c r="K9128" t="n">
        <v>0</v>
      </c>
      <c r="L9128" t="n">
        <v>0</v>
      </c>
      <c r="M9128" t="n">
        <v>0</v>
      </c>
      <c r="N9128" t="n">
        <v>0</v>
      </c>
      <c r="O9128" t="n">
        <v>0</v>
      </c>
      <c r="P9128" t="n">
        <v>0</v>
      </c>
      <c r="Q9128" t="n">
        <v>0</v>
      </c>
      <c r="R9128" s="2" t="inlineStr"/>
    </row>
    <row r="9129" ht="15" customHeight="1">
      <c r="A9129" t="inlineStr">
        <is>
          <t>A 545-2026</t>
        </is>
      </c>
      <c r="B9129" s="1" t="n">
        <v>46029.45927083334</v>
      </c>
      <c r="C9129" s="1" t="n">
        <v>46114</v>
      </c>
      <c r="D9129" t="inlineStr">
        <is>
          <t>DALARNAS LÄN</t>
        </is>
      </c>
      <c r="E9129" t="inlineStr">
        <is>
          <t>MALUNG-SÄLEN</t>
        </is>
      </c>
      <c r="F9129" t="inlineStr">
        <is>
          <t>Allmännings- och besparingsskogar</t>
        </is>
      </c>
      <c r="G9129" t="n">
        <v>49.4</v>
      </c>
      <c r="H9129" t="n">
        <v>0</v>
      </c>
      <c r="I9129" t="n">
        <v>0</v>
      </c>
      <c r="J9129" t="n">
        <v>0</v>
      </c>
      <c r="K9129" t="n">
        <v>0</v>
      </c>
      <c r="L9129" t="n">
        <v>0</v>
      </c>
      <c r="M9129" t="n">
        <v>0</v>
      </c>
      <c r="N9129" t="n">
        <v>0</v>
      </c>
      <c r="O9129" t="n">
        <v>0</v>
      </c>
      <c r="P9129" t="n">
        <v>0</v>
      </c>
      <c r="Q9129" t="n">
        <v>0</v>
      </c>
      <c r="R9129" s="2" t="inlineStr"/>
    </row>
    <row r="9130" ht="15" customHeight="1">
      <c r="A9130" t="inlineStr">
        <is>
          <t>A 19588-2025</t>
        </is>
      </c>
      <c r="B9130" s="1" t="n">
        <v>45770</v>
      </c>
      <c r="C9130" s="1" t="n">
        <v>46114</v>
      </c>
      <c r="D9130" t="inlineStr">
        <is>
          <t>DALARNAS LÄN</t>
        </is>
      </c>
      <c r="E9130" t="inlineStr">
        <is>
          <t>ÄLVDALEN</t>
        </is>
      </c>
      <c r="F9130" t="inlineStr">
        <is>
          <t>Sveaskog</t>
        </is>
      </c>
      <c r="G9130" t="n">
        <v>5.1</v>
      </c>
      <c r="H9130" t="n">
        <v>0</v>
      </c>
      <c r="I9130" t="n">
        <v>0</v>
      </c>
      <c r="J9130" t="n">
        <v>0</v>
      </c>
      <c r="K9130" t="n">
        <v>0</v>
      </c>
      <c r="L9130" t="n">
        <v>0</v>
      </c>
      <c r="M9130" t="n">
        <v>0</v>
      </c>
      <c r="N9130" t="n">
        <v>0</v>
      </c>
      <c r="O9130" t="n">
        <v>0</v>
      </c>
      <c r="P9130" t="n">
        <v>0</v>
      </c>
      <c r="Q9130" t="n">
        <v>0</v>
      </c>
      <c r="R9130" s="2" t="inlineStr"/>
    </row>
    <row r="9131" ht="15" customHeight="1">
      <c r="A9131" t="inlineStr">
        <is>
          <t>A 51858-2023</t>
        </is>
      </c>
      <c r="B9131" s="1" t="n">
        <v>45223</v>
      </c>
      <c r="C9131" s="1" t="n">
        <v>46114</v>
      </c>
      <c r="D9131" t="inlineStr">
        <is>
          <t>DALARNAS LÄN</t>
        </is>
      </c>
      <c r="E9131" t="inlineStr">
        <is>
          <t>BORLÄNGE</t>
        </is>
      </c>
      <c r="G9131" t="n">
        <v>3.8</v>
      </c>
      <c r="H9131" t="n">
        <v>0</v>
      </c>
      <c r="I9131" t="n">
        <v>0</v>
      </c>
      <c r="J9131" t="n">
        <v>0</v>
      </c>
      <c r="K9131" t="n">
        <v>0</v>
      </c>
      <c r="L9131" t="n">
        <v>0</v>
      </c>
      <c r="M9131" t="n">
        <v>0</v>
      </c>
      <c r="N9131" t="n">
        <v>0</v>
      </c>
      <c r="O9131" t="n">
        <v>0</v>
      </c>
      <c r="P9131" t="n">
        <v>0</v>
      </c>
      <c r="Q9131" t="n">
        <v>0</v>
      </c>
      <c r="R9131" s="2" t="inlineStr"/>
    </row>
    <row r="9132" ht="15" customHeight="1">
      <c r="A9132" t="inlineStr">
        <is>
          <t>A 51872-2023</t>
        </is>
      </c>
      <c r="B9132" s="1" t="n">
        <v>45223.37157407407</v>
      </c>
      <c r="C9132" s="1" t="n">
        <v>46114</v>
      </c>
      <c r="D9132" t="inlineStr">
        <is>
          <t>DALARNAS LÄN</t>
        </is>
      </c>
      <c r="E9132" t="inlineStr">
        <is>
          <t>RÄTTVIK</t>
        </is>
      </c>
      <c r="G9132" t="n">
        <v>1.3</v>
      </c>
      <c r="H9132" t="n">
        <v>0</v>
      </c>
      <c r="I9132" t="n">
        <v>0</v>
      </c>
      <c r="J9132" t="n">
        <v>0</v>
      </c>
      <c r="K9132" t="n">
        <v>0</v>
      </c>
      <c r="L9132" t="n">
        <v>0</v>
      </c>
      <c r="M9132" t="n">
        <v>0</v>
      </c>
      <c r="N9132" t="n">
        <v>0</v>
      </c>
      <c r="O9132" t="n">
        <v>0</v>
      </c>
      <c r="P9132" t="n">
        <v>0</v>
      </c>
      <c r="Q9132" t="n">
        <v>0</v>
      </c>
      <c r="R9132" s="2" t="inlineStr"/>
    </row>
    <row r="9133" ht="15" customHeight="1">
      <c r="A9133" t="inlineStr">
        <is>
          <t>A 42954-2023</t>
        </is>
      </c>
      <c r="B9133" s="1" t="n">
        <v>45182.58681712963</v>
      </c>
      <c r="C9133" s="1" t="n">
        <v>46114</v>
      </c>
      <c r="D9133" t="inlineStr">
        <is>
          <t>DALARNAS LÄN</t>
        </is>
      </c>
      <c r="E9133" t="inlineStr">
        <is>
          <t>FALUN</t>
        </is>
      </c>
      <c r="G9133" t="n">
        <v>0.5</v>
      </c>
      <c r="H9133" t="n">
        <v>0</v>
      </c>
      <c r="I9133" t="n">
        <v>0</v>
      </c>
      <c r="J9133" t="n">
        <v>0</v>
      </c>
      <c r="K9133" t="n">
        <v>0</v>
      </c>
      <c r="L9133" t="n">
        <v>0</v>
      </c>
      <c r="M9133" t="n">
        <v>0</v>
      </c>
      <c r="N9133" t="n">
        <v>0</v>
      </c>
      <c r="O9133" t="n">
        <v>0</v>
      </c>
      <c r="P9133" t="n">
        <v>0</v>
      </c>
      <c r="Q9133" t="n">
        <v>0</v>
      </c>
      <c r="R9133" s="2" t="inlineStr"/>
    </row>
    <row r="9134" ht="15" customHeight="1">
      <c r="A9134" t="inlineStr">
        <is>
          <t>A 37852-2024</t>
        </is>
      </c>
      <c r="B9134" s="1" t="n">
        <v>45544.3786574074</v>
      </c>
      <c r="C9134" s="1" t="n">
        <v>46114</v>
      </c>
      <c r="D9134" t="inlineStr">
        <is>
          <t>DALARNAS LÄN</t>
        </is>
      </c>
      <c r="E9134" t="inlineStr">
        <is>
          <t>ORSA</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7097-2026</t>
        </is>
      </c>
      <c r="B9135" s="1" t="n">
        <v>46058</v>
      </c>
      <c r="C9135" s="1" t="n">
        <v>46114</v>
      </c>
      <c r="D9135" t="inlineStr">
        <is>
          <t>DALARNAS LÄN</t>
        </is>
      </c>
      <c r="E9135" t="inlineStr">
        <is>
          <t>RÄTTVIK</t>
        </is>
      </c>
      <c r="F9135" t="inlineStr">
        <is>
          <t>Bergvik skog väst AB</t>
        </is>
      </c>
      <c r="G9135" t="n">
        <v>11.8</v>
      </c>
      <c r="H9135" t="n">
        <v>0</v>
      </c>
      <c r="I9135" t="n">
        <v>0</v>
      </c>
      <c r="J9135" t="n">
        <v>0</v>
      </c>
      <c r="K9135" t="n">
        <v>0</v>
      </c>
      <c r="L9135" t="n">
        <v>0</v>
      </c>
      <c r="M9135" t="n">
        <v>0</v>
      </c>
      <c r="N9135" t="n">
        <v>0</v>
      </c>
      <c r="O9135" t="n">
        <v>0</v>
      </c>
      <c r="P9135" t="n">
        <v>0</v>
      </c>
      <c r="Q9135" t="n">
        <v>0</v>
      </c>
      <c r="R9135" s="2" t="inlineStr"/>
    </row>
    <row r="9136" ht="15" customHeight="1">
      <c r="A9136" t="inlineStr">
        <is>
          <t>A 7177-2026</t>
        </is>
      </c>
      <c r="B9136" s="1" t="n">
        <v>46058</v>
      </c>
      <c r="C9136" s="1" t="n">
        <v>46114</v>
      </c>
      <c r="D9136" t="inlineStr">
        <is>
          <t>DALARNAS LÄN</t>
        </is>
      </c>
      <c r="E9136" t="inlineStr">
        <is>
          <t>RÄTTVIK</t>
        </is>
      </c>
      <c r="F9136" t="inlineStr">
        <is>
          <t>Bergvik skog väst AB</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14605-2026</t>
        </is>
      </c>
      <c r="B9137" s="1" t="n">
        <v>46101.36063657407</v>
      </c>
      <c r="C9137" s="1" t="n">
        <v>46114</v>
      </c>
      <c r="D9137" t="inlineStr">
        <is>
          <t>DALARNAS LÄN</t>
        </is>
      </c>
      <c r="E9137" t="inlineStr">
        <is>
          <t>SMEDJEBACKEN</t>
        </is>
      </c>
      <c r="F9137" t="inlineStr">
        <is>
          <t>Sveaskog</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14606-2026</t>
        </is>
      </c>
      <c r="B9138" s="1" t="n">
        <v>46101.3622800926</v>
      </c>
      <c r="C9138" s="1" t="n">
        <v>46114</v>
      </c>
      <c r="D9138" t="inlineStr">
        <is>
          <t>DALARNAS LÄN</t>
        </is>
      </c>
      <c r="E9138" t="inlineStr">
        <is>
          <t>SMEDJEBACKEN</t>
        </is>
      </c>
      <c r="F9138" t="inlineStr">
        <is>
          <t>Sveaskog</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11485-2024</t>
        </is>
      </c>
      <c r="B9139" s="1" t="n">
        <v>45372</v>
      </c>
      <c r="C9139" s="1" t="n">
        <v>46114</v>
      </c>
      <c r="D9139" t="inlineStr">
        <is>
          <t>DALARNAS LÄN</t>
        </is>
      </c>
      <c r="E9139" t="inlineStr">
        <is>
          <t>VANSBRO</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7456-2026</t>
        </is>
      </c>
      <c r="B9140" s="1" t="n">
        <v>46059</v>
      </c>
      <c r="C9140" s="1" t="n">
        <v>46114</v>
      </c>
      <c r="D9140" t="inlineStr">
        <is>
          <t>DALARNAS LÄN</t>
        </is>
      </c>
      <c r="E9140" t="inlineStr">
        <is>
          <t>RÄTTVIK</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7457-2026</t>
        </is>
      </c>
      <c r="B9141" s="1" t="n">
        <v>46058</v>
      </c>
      <c r="C9141" s="1" t="n">
        <v>46114</v>
      </c>
      <c r="D9141" t="inlineStr">
        <is>
          <t>DALARNAS LÄN</t>
        </is>
      </c>
      <c r="E9141" t="inlineStr">
        <is>
          <t>FALUN</t>
        </is>
      </c>
      <c r="F9141" t="inlineStr">
        <is>
          <t>Allmännings- och besparingsskogar</t>
        </is>
      </c>
      <c r="G9141" t="n">
        <v>12.7</v>
      </c>
      <c r="H9141" t="n">
        <v>0</v>
      </c>
      <c r="I9141" t="n">
        <v>0</v>
      </c>
      <c r="J9141" t="n">
        <v>0</v>
      </c>
      <c r="K9141" t="n">
        <v>0</v>
      </c>
      <c r="L9141" t="n">
        <v>0</v>
      </c>
      <c r="M9141" t="n">
        <v>0</v>
      </c>
      <c r="N9141" t="n">
        <v>0</v>
      </c>
      <c r="O9141" t="n">
        <v>0</v>
      </c>
      <c r="P9141" t="n">
        <v>0</v>
      </c>
      <c r="Q9141" t="n">
        <v>0</v>
      </c>
      <c r="R9141" s="2" t="inlineStr"/>
    </row>
    <row r="9142" ht="15" customHeight="1">
      <c r="A9142" t="inlineStr">
        <is>
          <t>A 23953-2021</t>
        </is>
      </c>
      <c r="B9142" s="1" t="n">
        <v>44335.66215277778</v>
      </c>
      <c r="C9142" s="1" t="n">
        <v>46114</v>
      </c>
      <c r="D9142" t="inlineStr">
        <is>
          <t>DALARNAS LÄN</t>
        </is>
      </c>
      <c r="E9142" t="inlineStr">
        <is>
          <t>MALUNG-SÄLEN</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36534-2024</t>
        </is>
      </c>
      <c r="B9143" s="1" t="n">
        <v>45537.45143518518</v>
      </c>
      <c r="C9143" s="1" t="n">
        <v>46114</v>
      </c>
      <c r="D9143" t="inlineStr">
        <is>
          <t>DALARNAS LÄN</t>
        </is>
      </c>
      <c r="E9143" t="inlineStr">
        <is>
          <t>LEKSAND</t>
        </is>
      </c>
      <c r="G9143" t="n">
        <v>4</v>
      </c>
      <c r="H9143" t="n">
        <v>0</v>
      </c>
      <c r="I9143" t="n">
        <v>0</v>
      </c>
      <c r="J9143" t="n">
        <v>0</v>
      </c>
      <c r="K9143" t="n">
        <v>0</v>
      </c>
      <c r="L9143" t="n">
        <v>0</v>
      </c>
      <c r="M9143" t="n">
        <v>0</v>
      </c>
      <c r="N9143" t="n">
        <v>0</v>
      </c>
      <c r="O9143" t="n">
        <v>0</v>
      </c>
      <c r="P9143" t="n">
        <v>0</v>
      </c>
      <c r="Q9143" t="n">
        <v>0</v>
      </c>
      <c r="R9143" s="2" t="inlineStr"/>
    </row>
    <row r="9144" ht="15" customHeight="1">
      <c r="A9144" t="inlineStr">
        <is>
          <t>A 7915-2026</t>
        </is>
      </c>
      <c r="B9144" s="1" t="n">
        <v>46063.37831018519</v>
      </c>
      <c r="C9144" s="1" t="n">
        <v>46114</v>
      </c>
      <c r="D9144" t="inlineStr">
        <is>
          <t>DALARNAS LÄN</t>
        </is>
      </c>
      <c r="E9144" t="inlineStr">
        <is>
          <t>RÄTTVIK</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7849-2026</t>
        </is>
      </c>
      <c r="B9145" s="1" t="n">
        <v>46062</v>
      </c>
      <c r="C9145" s="1" t="n">
        <v>46114</v>
      </c>
      <c r="D9145" t="inlineStr">
        <is>
          <t>DALARNAS LÄN</t>
        </is>
      </c>
      <c r="E9145" t="inlineStr">
        <is>
          <t>MORA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49991-2023</t>
        </is>
      </c>
      <c r="B9146" s="1" t="n">
        <v>45215.43879629629</v>
      </c>
      <c r="C9146" s="1" t="n">
        <v>46114</v>
      </c>
      <c r="D9146" t="inlineStr">
        <is>
          <t>DALARNAS LÄN</t>
        </is>
      </c>
      <c r="E9146" t="inlineStr">
        <is>
          <t>MORA</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50325-2021</t>
        </is>
      </c>
      <c r="B9147" s="1" t="n">
        <v>44438</v>
      </c>
      <c r="C9147" s="1" t="n">
        <v>46114</v>
      </c>
      <c r="D9147" t="inlineStr">
        <is>
          <t>DALARNAS LÄN</t>
        </is>
      </c>
      <c r="E9147" t="inlineStr">
        <is>
          <t>BORLÄNGE</t>
        </is>
      </c>
      <c r="F9147" t="inlineStr">
        <is>
          <t>Bergvik skog väst AB</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50039-2023</t>
        </is>
      </c>
      <c r="B9148" s="1" t="n">
        <v>45215.49019675926</v>
      </c>
      <c r="C9148" s="1" t="n">
        <v>46114</v>
      </c>
      <c r="D9148" t="inlineStr">
        <is>
          <t>DALARNAS LÄN</t>
        </is>
      </c>
      <c r="E9148" t="inlineStr">
        <is>
          <t>MALUNG-SÄLEN</t>
        </is>
      </c>
      <c r="G9148" t="n">
        <v>1.1</v>
      </c>
      <c r="H9148" t="n">
        <v>0</v>
      </c>
      <c r="I9148" t="n">
        <v>0</v>
      </c>
      <c r="J9148" t="n">
        <v>0</v>
      </c>
      <c r="K9148" t="n">
        <v>0</v>
      </c>
      <c r="L9148" t="n">
        <v>0</v>
      </c>
      <c r="M9148" t="n">
        <v>0</v>
      </c>
      <c r="N9148" t="n">
        <v>0</v>
      </c>
      <c r="O9148" t="n">
        <v>0</v>
      </c>
      <c r="P9148" t="n">
        <v>0</v>
      </c>
      <c r="Q9148" t="n">
        <v>0</v>
      </c>
      <c r="R9148" s="2" t="inlineStr"/>
    </row>
    <row r="9149" ht="15" customHeight="1">
      <c r="A9149" t="inlineStr">
        <is>
          <t>A 67422-2021</t>
        </is>
      </c>
      <c r="B9149" s="1" t="n">
        <v>44524</v>
      </c>
      <c r="C9149" s="1" t="n">
        <v>46114</v>
      </c>
      <c r="D9149" t="inlineStr">
        <is>
          <t>DALARNAS LÄN</t>
        </is>
      </c>
      <c r="E9149" t="inlineStr">
        <is>
          <t>BORLÄNGE</t>
        </is>
      </c>
      <c r="F9149" t="inlineStr">
        <is>
          <t>Bergvik skog väst AB</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17167-2023</t>
        </is>
      </c>
      <c r="B9150" s="1" t="n">
        <v>45034.64752314815</v>
      </c>
      <c r="C9150" s="1" t="n">
        <v>46114</v>
      </c>
      <c r="D9150" t="inlineStr">
        <is>
          <t>DALARNAS LÄN</t>
        </is>
      </c>
      <c r="E9150" t="inlineStr">
        <is>
          <t>MALUNG-SÄLEN</t>
        </is>
      </c>
      <c r="G9150" t="n">
        <v>9.699999999999999</v>
      </c>
      <c r="H9150" t="n">
        <v>0</v>
      </c>
      <c r="I9150" t="n">
        <v>0</v>
      </c>
      <c r="J9150" t="n">
        <v>0</v>
      </c>
      <c r="K9150" t="n">
        <v>0</v>
      </c>
      <c r="L9150" t="n">
        <v>0</v>
      </c>
      <c r="M9150" t="n">
        <v>0</v>
      </c>
      <c r="N9150" t="n">
        <v>0</v>
      </c>
      <c r="O9150" t="n">
        <v>0</v>
      </c>
      <c r="P9150" t="n">
        <v>0</v>
      </c>
      <c r="Q9150" t="n">
        <v>0</v>
      </c>
      <c r="R9150" s="2" t="inlineStr"/>
    </row>
    <row r="9151" ht="15" customHeight="1">
      <c r="A9151" t="inlineStr">
        <is>
          <t>A 53717-2024</t>
        </is>
      </c>
      <c r="B9151" s="1" t="n">
        <v>45615.43141203704</v>
      </c>
      <c r="C9151" s="1" t="n">
        <v>46114</v>
      </c>
      <c r="D9151" t="inlineStr">
        <is>
          <t>DALARNAS LÄN</t>
        </is>
      </c>
      <c r="E9151" t="inlineStr">
        <is>
          <t>ORSA</t>
        </is>
      </c>
      <c r="G9151" t="n">
        <v>1.5</v>
      </c>
      <c r="H9151" t="n">
        <v>0</v>
      </c>
      <c r="I9151" t="n">
        <v>0</v>
      </c>
      <c r="J9151" t="n">
        <v>0</v>
      </c>
      <c r="K9151" t="n">
        <v>0</v>
      </c>
      <c r="L9151" t="n">
        <v>0</v>
      </c>
      <c r="M9151" t="n">
        <v>0</v>
      </c>
      <c r="N9151" t="n">
        <v>0</v>
      </c>
      <c r="O9151" t="n">
        <v>0</v>
      </c>
      <c r="P9151" t="n">
        <v>0</v>
      </c>
      <c r="Q9151" t="n">
        <v>0</v>
      </c>
      <c r="R9151" s="2" t="inlineStr"/>
    </row>
    <row r="9152" ht="15" customHeight="1">
      <c r="A9152" t="inlineStr">
        <is>
          <t>A 31688-2024</t>
        </is>
      </c>
      <c r="B9152" s="1" t="n">
        <v>45507.46103009259</v>
      </c>
      <c r="C9152" s="1" t="n">
        <v>46114</v>
      </c>
      <c r="D9152" t="inlineStr">
        <is>
          <t>DALARNAS LÄN</t>
        </is>
      </c>
      <c r="E9152" t="inlineStr">
        <is>
          <t>ORSA</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28131-2024</t>
        </is>
      </c>
      <c r="B9153" s="1" t="n">
        <v>45476.68435185185</v>
      </c>
      <c r="C9153" s="1" t="n">
        <v>46114</v>
      </c>
      <c r="D9153" t="inlineStr">
        <is>
          <t>DALARNAS LÄN</t>
        </is>
      </c>
      <c r="E9153" t="inlineStr">
        <is>
          <t>MORA</t>
        </is>
      </c>
      <c r="G9153" t="n">
        <v>0.8</v>
      </c>
      <c r="H9153" t="n">
        <v>0</v>
      </c>
      <c r="I9153" t="n">
        <v>0</v>
      </c>
      <c r="J9153" t="n">
        <v>0</v>
      </c>
      <c r="K9153" t="n">
        <v>0</v>
      </c>
      <c r="L9153" t="n">
        <v>0</v>
      </c>
      <c r="M9153" t="n">
        <v>0</v>
      </c>
      <c r="N9153" t="n">
        <v>0</v>
      </c>
      <c r="O9153" t="n">
        <v>0</v>
      </c>
      <c r="P9153" t="n">
        <v>0</v>
      </c>
      <c r="Q9153" t="n">
        <v>0</v>
      </c>
      <c r="R9153" s="2" t="inlineStr"/>
    </row>
    <row r="9154" ht="15" customHeight="1">
      <c r="A9154" t="inlineStr">
        <is>
          <t>A 28132-2024</t>
        </is>
      </c>
      <c r="B9154" s="1" t="n">
        <v>45476.68616898148</v>
      </c>
      <c r="C9154" s="1" t="n">
        <v>46114</v>
      </c>
      <c r="D9154" t="inlineStr">
        <is>
          <t>DALARNAS LÄN</t>
        </is>
      </c>
      <c r="E9154" t="inlineStr">
        <is>
          <t>MORA</t>
        </is>
      </c>
      <c r="G9154" t="n">
        <v>0.2</v>
      </c>
      <c r="H9154" t="n">
        <v>0</v>
      </c>
      <c r="I9154" t="n">
        <v>0</v>
      </c>
      <c r="J9154" t="n">
        <v>0</v>
      </c>
      <c r="K9154" t="n">
        <v>0</v>
      </c>
      <c r="L9154" t="n">
        <v>0</v>
      </c>
      <c r="M9154" t="n">
        <v>0</v>
      </c>
      <c r="N9154" t="n">
        <v>0</v>
      </c>
      <c r="O9154" t="n">
        <v>0</v>
      </c>
      <c r="P9154" t="n">
        <v>0</v>
      </c>
      <c r="Q9154" t="n">
        <v>0</v>
      </c>
      <c r="R9154" s="2" t="inlineStr"/>
    </row>
    <row r="9155" ht="15" customHeight="1">
      <c r="A9155" t="inlineStr">
        <is>
          <t>A 14903-2026</t>
        </is>
      </c>
      <c r="B9155" s="1" t="n">
        <v>46104.4578125</v>
      </c>
      <c r="C9155" s="1" t="n">
        <v>46114</v>
      </c>
      <c r="D9155" t="inlineStr">
        <is>
          <t>DALARNAS LÄN</t>
        </is>
      </c>
      <c r="E9155" t="inlineStr">
        <is>
          <t>RÄTTVIK</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15146-2026</t>
        </is>
      </c>
      <c r="B9156" s="1" t="n">
        <v>46105.40394675926</v>
      </c>
      <c r="C9156" s="1" t="n">
        <v>46114</v>
      </c>
      <c r="D9156" t="inlineStr">
        <is>
          <t>DALARNAS LÄN</t>
        </is>
      </c>
      <c r="E9156" t="inlineStr">
        <is>
          <t>HEDEMORA</t>
        </is>
      </c>
      <c r="F9156" t="inlineStr">
        <is>
          <t>Sveaskog</t>
        </is>
      </c>
      <c r="G9156" t="n">
        <v>0.6</v>
      </c>
      <c r="H9156" t="n">
        <v>0</v>
      </c>
      <c r="I9156" t="n">
        <v>0</v>
      </c>
      <c r="J9156" t="n">
        <v>0</v>
      </c>
      <c r="K9156" t="n">
        <v>0</v>
      </c>
      <c r="L9156" t="n">
        <v>0</v>
      </c>
      <c r="M9156" t="n">
        <v>0</v>
      </c>
      <c r="N9156" t="n">
        <v>0</v>
      </c>
      <c r="O9156" t="n">
        <v>0</v>
      </c>
      <c r="P9156" t="n">
        <v>0</v>
      </c>
      <c r="Q9156" t="n">
        <v>0</v>
      </c>
      <c r="R9156" s="2" t="inlineStr"/>
    </row>
    <row r="9157" ht="15" customHeight="1">
      <c r="A9157" t="inlineStr">
        <is>
          <t>A 15200-2026</t>
        </is>
      </c>
      <c r="B9157" s="1" t="n">
        <v>46105</v>
      </c>
      <c r="C9157" s="1" t="n">
        <v>46114</v>
      </c>
      <c r="D9157" t="inlineStr">
        <is>
          <t>DALARNAS LÄN</t>
        </is>
      </c>
      <c r="E9157" t="inlineStr">
        <is>
          <t>ÄLVDALEN</t>
        </is>
      </c>
      <c r="F9157" t="inlineStr">
        <is>
          <t>Sveaskog</t>
        </is>
      </c>
      <c r="G9157" t="n">
        <v>1.1</v>
      </c>
      <c r="H9157" t="n">
        <v>0</v>
      </c>
      <c r="I9157" t="n">
        <v>0</v>
      </c>
      <c r="J9157" t="n">
        <v>0</v>
      </c>
      <c r="K9157" t="n">
        <v>0</v>
      </c>
      <c r="L9157" t="n">
        <v>0</v>
      </c>
      <c r="M9157" t="n">
        <v>0</v>
      </c>
      <c r="N9157" t="n">
        <v>0</v>
      </c>
      <c r="O9157" t="n">
        <v>0</v>
      </c>
      <c r="P9157" t="n">
        <v>0</v>
      </c>
      <c r="Q9157" t="n">
        <v>0</v>
      </c>
      <c r="R9157" s="2" t="inlineStr"/>
    </row>
    <row r="9158" ht="15" customHeight="1">
      <c r="A9158" t="inlineStr">
        <is>
          <t>A 8007-2026</t>
        </is>
      </c>
      <c r="B9158" s="1" t="n">
        <v>46063.52565972223</v>
      </c>
      <c r="C9158" s="1" t="n">
        <v>46114</v>
      </c>
      <c r="D9158" t="inlineStr">
        <is>
          <t>DALARNAS LÄN</t>
        </is>
      </c>
      <c r="E9158" t="inlineStr">
        <is>
          <t>MORA</t>
        </is>
      </c>
      <c r="F9158" t="inlineStr">
        <is>
          <t>Bergvik skog väst AB</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7722-2026</t>
        </is>
      </c>
      <c r="B9159" s="1" t="n">
        <v>46062</v>
      </c>
      <c r="C9159" s="1" t="n">
        <v>46114</v>
      </c>
      <c r="D9159" t="inlineStr">
        <is>
          <t>DALARNAS LÄN</t>
        </is>
      </c>
      <c r="E9159" t="inlineStr">
        <is>
          <t>FALUN</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14295-2026</t>
        </is>
      </c>
      <c r="B9160" s="1" t="n">
        <v>46099</v>
      </c>
      <c r="C9160" s="1" t="n">
        <v>46114</v>
      </c>
      <c r="D9160" t="inlineStr">
        <is>
          <t>DALARNAS LÄN</t>
        </is>
      </c>
      <c r="E9160" t="inlineStr">
        <is>
          <t>FALUN</t>
        </is>
      </c>
      <c r="G9160" t="n">
        <v>3.5</v>
      </c>
      <c r="H9160" t="n">
        <v>0</v>
      </c>
      <c r="I9160" t="n">
        <v>0</v>
      </c>
      <c r="J9160" t="n">
        <v>0</v>
      </c>
      <c r="K9160" t="n">
        <v>0</v>
      </c>
      <c r="L9160" t="n">
        <v>0</v>
      </c>
      <c r="M9160" t="n">
        <v>0</v>
      </c>
      <c r="N9160" t="n">
        <v>0</v>
      </c>
      <c r="O9160" t="n">
        <v>0</v>
      </c>
      <c r="P9160" t="n">
        <v>0</v>
      </c>
      <c r="Q9160" t="n">
        <v>0</v>
      </c>
      <c r="R9160" s="2" t="inlineStr"/>
    </row>
    <row r="9161" ht="15" customHeight="1">
      <c r="A9161" t="inlineStr">
        <is>
          <t>A 15218-2026</t>
        </is>
      </c>
      <c r="B9161" s="1" t="n">
        <v>46105.52211805555</v>
      </c>
      <c r="C9161" s="1" t="n">
        <v>46114</v>
      </c>
      <c r="D9161" t="inlineStr">
        <is>
          <t>DALARNAS LÄN</t>
        </is>
      </c>
      <c r="E9161" t="inlineStr">
        <is>
          <t>FALUN</t>
        </is>
      </c>
      <c r="F9161" t="inlineStr">
        <is>
          <t>Bergvik skog väst AB</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15366-2026</t>
        </is>
      </c>
      <c r="B9162" s="1" t="n">
        <v>46105.77164351852</v>
      </c>
      <c r="C9162" s="1" t="n">
        <v>46114</v>
      </c>
      <c r="D9162" t="inlineStr">
        <is>
          <t>DALARNAS LÄN</t>
        </is>
      </c>
      <c r="E9162" t="inlineStr">
        <is>
          <t>FALUN</t>
        </is>
      </c>
      <c r="G9162" t="n">
        <v>5.2</v>
      </c>
      <c r="H9162" t="n">
        <v>0</v>
      </c>
      <c r="I9162" t="n">
        <v>0</v>
      </c>
      <c r="J9162" t="n">
        <v>0</v>
      </c>
      <c r="K9162" t="n">
        <v>0</v>
      </c>
      <c r="L9162" t="n">
        <v>0</v>
      </c>
      <c r="M9162" t="n">
        <v>0</v>
      </c>
      <c r="N9162" t="n">
        <v>0</v>
      </c>
      <c r="O9162" t="n">
        <v>0</v>
      </c>
      <c r="P9162" t="n">
        <v>0</v>
      </c>
      <c r="Q9162" t="n">
        <v>0</v>
      </c>
      <c r="R9162" s="2" t="inlineStr"/>
    </row>
    <row r="9163" ht="15" customHeight="1">
      <c r="A9163" t="inlineStr">
        <is>
          <t>A 15369-2026</t>
        </is>
      </c>
      <c r="B9163" s="1" t="n">
        <v>46105.85216435185</v>
      </c>
      <c r="C9163" s="1" t="n">
        <v>46114</v>
      </c>
      <c r="D9163" t="inlineStr">
        <is>
          <t>DALARNAS LÄN</t>
        </is>
      </c>
      <c r="E9163" t="inlineStr">
        <is>
          <t>FALUN</t>
        </is>
      </c>
      <c r="G9163" t="n">
        <v>3.2</v>
      </c>
      <c r="H9163" t="n">
        <v>0</v>
      </c>
      <c r="I9163" t="n">
        <v>0</v>
      </c>
      <c r="J9163" t="n">
        <v>0</v>
      </c>
      <c r="K9163" t="n">
        <v>0</v>
      </c>
      <c r="L9163" t="n">
        <v>0</v>
      </c>
      <c r="M9163" t="n">
        <v>0</v>
      </c>
      <c r="N9163" t="n">
        <v>0</v>
      </c>
      <c r="O9163" t="n">
        <v>0</v>
      </c>
      <c r="P9163" t="n">
        <v>0</v>
      </c>
      <c r="Q9163" t="n">
        <v>0</v>
      </c>
      <c r="R9163" s="2" t="inlineStr"/>
    </row>
    <row r="9164" ht="15" customHeight="1">
      <c r="A9164" t="inlineStr">
        <is>
          <t>A 15319-2026</t>
        </is>
      </c>
      <c r="B9164" s="1" t="n">
        <v>46105.65193287037</v>
      </c>
      <c r="C9164" s="1" t="n">
        <v>46114</v>
      </c>
      <c r="D9164" t="inlineStr">
        <is>
          <t>DALARNAS LÄN</t>
        </is>
      </c>
      <c r="E9164" t="inlineStr">
        <is>
          <t>RÄTTVIK</t>
        </is>
      </c>
      <c r="F9164" t="inlineStr">
        <is>
          <t>Bergvik skog väst AB</t>
        </is>
      </c>
      <c r="G9164" t="n">
        <v>2.2</v>
      </c>
      <c r="H9164" t="n">
        <v>0</v>
      </c>
      <c r="I9164" t="n">
        <v>0</v>
      </c>
      <c r="J9164" t="n">
        <v>0</v>
      </c>
      <c r="K9164" t="n">
        <v>0</v>
      </c>
      <c r="L9164" t="n">
        <v>0</v>
      </c>
      <c r="M9164" t="n">
        <v>0</v>
      </c>
      <c r="N9164" t="n">
        <v>0</v>
      </c>
      <c r="O9164" t="n">
        <v>0</v>
      </c>
      <c r="P9164" t="n">
        <v>0</v>
      </c>
      <c r="Q9164" t="n">
        <v>0</v>
      </c>
      <c r="R9164" s="2" t="inlineStr"/>
    </row>
    <row r="9165" ht="15" customHeight="1">
      <c r="A9165" t="inlineStr">
        <is>
          <t>A 4799-2026</t>
        </is>
      </c>
      <c r="B9165" s="1" t="n">
        <v>46048</v>
      </c>
      <c r="C9165" s="1" t="n">
        <v>46114</v>
      </c>
      <c r="D9165" t="inlineStr">
        <is>
          <t>DALARNAS LÄN</t>
        </is>
      </c>
      <c r="E9165" t="inlineStr">
        <is>
          <t>FALUN</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8283-2026</t>
        </is>
      </c>
      <c r="B9166" s="1" t="n">
        <v>46063</v>
      </c>
      <c r="C9166" s="1" t="n">
        <v>46114</v>
      </c>
      <c r="D9166" t="inlineStr">
        <is>
          <t>DALARNAS LÄN</t>
        </is>
      </c>
      <c r="E9166" t="inlineStr">
        <is>
          <t>BORLÄNGE</t>
        </is>
      </c>
      <c r="G9166" t="n">
        <v>1</v>
      </c>
      <c r="H9166" t="n">
        <v>0</v>
      </c>
      <c r="I9166" t="n">
        <v>0</v>
      </c>
      <c r="J9166" t="n">
        <v>0</v>
      </c>
      <c r="K9166" t="n">
        <v>0</v>
      </c>
      <c r="L9166" t="n">
        <v>0</v>
      </c>
      <c r="M9166" t="n">
        <v>0</v>
      </c>
      <c r="N9166" t="n">
        <v>0</v>
      </c>
      <c r="O9166" t="n">
        <v>0</v>
      </c>
      <c r="P9166" t="n">
        <v>0</v>
      </c>
      <c r="Q9166" t="n">
        <v>0</v>
      </c>
      <c r="R9166" s="2" t="inlineStr"/>
    </row>
    <row r="9167" ht="15" customHeight="1">
      <c r="A9167" t="inlineStr">
        <is>
          <t>A 7770-2026</t>
        </is>
      </c>
      <c r="B9167" s="1" t="n">
        <v>46062</v>
      </c>
      <c r="C9167" s="1" t="n">
        <v>46114</v>
      </c>
      <c r="D9167" t="inlineStr">
        <is>
          <t>DALARNAS LÄN</t>
        </is>
      </c>
      <c r="E9167" t="inlineStr">
        <is>
          <t>FALUN</t>
        </is>
      </c>
      <c r="G9167" t="n">
        <v>7.4</v>
      </c>
      <c r="H9167" t="n">
        <v>0</v>
      </c>
      <c r="I9167" t="n">
        <v>0</v>
      </c>
      <c r="J9167" t="n">
        <v>0</v>
      </c>
      <c r="K9167" t="n">
        <v>0</v>
      </c>
      <c r="L9167" t="n">
        <v>0</v>
      </c>
      <c r="M9167" t="n">
        <v>0</v>
      </c>
      <c r="N9167" t="n">
        <v>0</v>
      </c>
      <c r="O9167" t="n">
        <v>0</v>
      </c>
      <c r="P9167" t="n">
        <v>0</v>
      </c>
      <c r="Q9167" t="n">
        <v>0</v>
      </c>
      <c r="R9167" s="2" t="inlineStr"/>
    </row>
    <row r="9168" ht="15" customHeight="1">
      <c r="A9168" t="inlineStr">
        <is>
          <t>A 7784-2026</t>
        </is>
      </c>
      <c r="B9168" s="1" t="n">
        <v>46062.58371527777</v>
      </c>
      <c r="C9168" s="1" t="n">
        <v>46114</v>
      </c>
      <c r="D9168" t="inlineStr">
        <is>
          <t>DALARNAS LÄN</t>
        </is>
      </c>
      <c r="E9168" t="inlineStr">
        <is>
          <t>ÄLVDALEN</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7631-2026</t>
        </is>
      </c>
      <c r="B9169" s="1" t="n">
        <v>46062</v>
      </c>
      <c r="C9169" s="1" t="n">
        <v>46114</v>
      </c>
      <c r="D9169" t="inlineStr">
        <is>
          <t>DALARNAS LÄN</t>
        </is>
      </c>
      <c r="E9169" t="inlineStr">
        <is>
          <t>FALUN</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48774-2024</t>
        </is>
      </c>
      <c r="B9170" s="1" t="n">
        <v>45593</v>
      </c>
      <c r="C9170" s="1" t="n">
        <v>46114</v>
      </c>
      <c r="D9170" t="inlineStr">
        <is>
          <t>DALARNAS LÄN</t>
        </is>
      </c>
      <c r="E9170" t="inlineStr">
        <is>
          <t>LUDVIKA</t>
        </is>
      </c>
      <c r="F9170" t="inlineStr">
        <is>
          <t>Bergvik skog väst AB</t>
        </is>
      </c>
      <c r="G9170" t="n">
        <v>5.7</v>
      </c>
      <c r="H9170" t="n">
        <v>0</v>
      </c>
      <c r="I9170" t="n">
        <v>0</v>
      </c>
      <c r="J9170" t="n">
        <v>0</v>
      </c>
      <c r="K9170" t="n">
        <v>0</v>
      </c>
      <c r="L9170" t="n">
        <v>0</v>
      </c>
      <c r="M9170" t="n">
        <v>0</v>
      </c>
      <c r="N9170" t="n">
        <v>0</v>
      </c>
      <c r="O9170" t="n">
        <v>0</v>
      </c>
      <c r="P9170" t="n">
        <v>0</v>
      </c>
      <c r="Q9170" t="n">
        <v>0</v>
      </c>
      <c r="R9170" s="2" t="inlineStr"/>
    </row>
    <row r="9171" ht="15" customHeight="1">
      <c r="A9171" t="inlineStr">
        <is>
          <t>A 7563-2026</t>
        </is>
      </c>
      <c r="B9171" s="1" t="n">
        <v>46060</v>
      </c>
      <c r="C9171" s="1" t="n">
        <v>46114</v>
      </c>
      <c r="D9171" t="inlineStr">
        <is>
          <t>DALARNAS LÄN</t>
        </is>
      </c>
      <c r="E9171" t="inlineStr">
        <is>
          <t>BORLÄNGE</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7570-2026</t>
        </is>
      </c>
      <c r="B9172" s="1" t="n">
        <v>46060</v>
      </c>
      <c r="C9172" s="1" t="n">
        <v>46114</v>
      </c>
      <c r="D9172" t="inlineStr">
        <is>
          <t>DALARNAS LÄN</t>
        </is>
      </c>
      <c r="E9172" t="inlineStr">
        <is>
          <t>HEDEMORA</t>
        </is>
      </c>
      <c r="F9172" t="inlineStr">
        <is>
          <t>Sveaskog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48805-2024</t>
        </is>
      </c>
      <c r="B9173" s="1" t="n">
        <v>45593.66460648148</v>
      </c>
      <c r="C9173" s="1" t="n">
        <v>46114</v>
      </c>
      <c r="D9173" t="inlineStr">
        <is>
          <t>DALARNAS LÄN</t>
        </is>
      </c>
      <c r="E9173" t="inlineStr">
        <is>
          <t>GAGNEF</t>
        </is>
      </c>
      <c r="G9173" t="n">
        <v>0.4</v>
      </c>
      <c r="H9173" t="n">
        <v>0</v>
      </c>
      <c r="I9173" t="n">
        <v>0</v>
      </c>
      <c r="J9173" t="n">
        <v>0</v>
      </c>
      <c r="K9173" t="n">
        <v>0</v>
      </c>
      <c r="L9173" t="n">
        <v>0</v>
      </c>
      <c r="M9173" t="n">
        <v>0</v>
      </c>
      <c r="N9173" t="n">
        <v>0</v>
      </c>
      <c r="O9173" t="n">
        <v>0</v>
      </c>
      <c r="P9173" t="n">
        <v>0</v>
      </c>
      <c r="Q9173" t="n">
        <v>0</v>
      </c>
      <c r="R9173" s="2" t="inlineStr"/>
    </row>
    <row r="9174" ht="15" customHeight="1">
      <c r="A9174" t="inlineStr">
        <is>
          <t>A 604-2025</t>
        </is>
      </c>
      <c r="B9174" s="1" t="n">
        <v>45664</v>
      </c>
      <c r="C9174" s="1" t="n">
        <v>46114</v>
      </c>
      <c r="D9174" t="inlineStr">
        <is>
          <t>DALARNAS LÄN</t>
        </is>
      </c>
      <c r="E9174" t="inlineStr">
        <is>
          <t>GAGNEF</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36011-2023</t>
        </is>
      </c>
      <c r="B9175" s="1" t="n">
        <v>45148</v>
      </c>
      <c r="C9175" s="1" t="n">
        <v>46114</v>
      </c>
      <c r="D9175" t="inlineStr">
        <is>
          <t>DALARNAS LÄN</t>
        </is>
      </c>
      <c r="E9175" t="inlineStr">
        <is>
          <t>GAGNEF</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11733-2026</t>
        </is>
      </c>
      <c r="B9176" s="1" t="n">
        <v>46084</v>
      </c>
      <c r="C9176" s="1" t="n">
        <v>46114</v>
      </c>
      <c r="D9176" t="inlineStr">
        <is>
          <t>DALARNAS LÄN</t>
        </is>
      </c>
      <c r="E9176" t="inlineStr">
        <is>
          <t>SÄTER</t>
        </is>
      </c>
      <c r="F9176" t="inlineStr">
        <is>
          <t>Kommuner</t>
        </is>
      </c>
      <c r="G9176" t="n">
        <v>5.1</v>
      </c>
      <c r="H9176" t="n">
        <v>0</v>
      </c>
      <c r="I9176" t="n">
        <v>0</v>
      </c>
      <c r="J9176" t="n">
        <v>0</v>
      </c>
      <c r="K9176" t="n">
        <v>0</v>
      </c>
      <c r="L9176" t="n">
        <v>0</v>
      </c>
      <c r="M9176" t="n">
        <v>0</v>
      </c>
      <c r="N9176" t="n">
        <v>0</v>
      </c>
      <c r="O9176" t="n">
        <v>0</v>
      </c>
      <c r="P9176" t="n">
        <v>0</v>
      </c>
      <c r="Q9176" t="n">
        <v>0</v>
      </c>
      <c r="R9176" s="2" t="inlineStr"/>
    </row>
    <row r="9177" ht="15" customHeight="1">
      <c r="A9177" t="inlineStr">
        <is>
          <t>A 56706-2021</t>
        </is>
      </c>
      <c r="B9177" s="1" t="n">
        <v>44481.4037962963</v>
      </c>
      <c r="C9177" s="1" t="n">
        <v>46114</v>
      </c>
      <c r="D9177" t="inlineStr">
        <is>
          <t>DALARNAS LÄN</t>
        </is>
      </c>
      <c r="E9177" t="inlineStr">
        <is>
          <t>ORSA</t>
        </is>
      </c>
      <c r="G9177" t="n">
        <v>0.9</v>
      </c>
      <c r="H9177" t="n">
        <v>0</v>
      </c>
      <c r="I9177" t="n">
        <v>0</v>
      </c>
      <c r="J9177" t="n">
        <v>0</v>
      </c>
      <c r="K9177" t="n">
        <v>0</v>
      </c>
      <c r="L9177" t="n">
        <v>0</v>
      </c>
      <c r="M9177" t="n">
        <v>0</v>
      </c>
      <c r="N9177" t="n">
        <v>0</v>
      </c>
      <c r="O9177" t="n">
        <v>0</v>
      </c>
      <c r="P9177" t="n">
        <v>0</v>
      </c>
      <c r="Q9177" t="n">
        <v>0</v>
      </c>
      <c r="R9177" s="2" t="inlineStr"/>
    </row>
    <row r="9178" ht="15" customHeight="1">
      <c r="A9178" t="inlineStr">
        <is>
          <t>A 62401-2023</t>
        </is>
      </c>
      <c r="B9178" s="1" t="n">
        <v>45268</v>
      </c>
      <c r="C9178" s="1" t="n">
        <v>46114</v>
      </c>
      <c r="D9178" t="inlineStr">
        <is>
          <t>DALARNAS LÄN</t>
        </is>
      </c>
      <c r="E9178" t="inlineStr">
        <is>
          <t>HEDEMORA</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14802-2026</t>
        </is>
      </c>
      <c r="B9179" s="1" t="n">
        <v>46103.63731481481</v>
      </c>
      <c r="C9179" s="1" t="n">
        <v>46114</v>
      </c>
      <c r="D9179" t="inlineStr">
        <is>
          <t>DALARNAS LÄN</t>
        </is>
      </c>
      <c r="E9179" t="inlineStr">
        <is>
          <t>BORLÄNGE</t>
        </is>
      </c>
      <c r="G9179" t="n">
        <v>3.6</v>
      </c>
      <c r="H9179" t="n">
        <v>0</v>
      </c>
      <c r="I9179" t="n">
        <v>0</v>
      </c>
      <c r="J9179" t="n">
        <v>0</v>
      </c>
      <c r="K9179" t="n">
        <v>0</v>
      </c>
      <c r="L9179" t="n">
        <v>0</v>
      </c>
      <c r="M9179" t="n">
        <v>0</v>
      </c>
      <c r="N9179" t="n">
        <v>0</v>
      </c>
      <c r="O9179" t="n">
        <v>0</v>
      </c>
      <c r="P9179" t="n">
        <v>0</v>
      </c>
      <c r="Q9179" t="n">
        <v>0</v>
      </c>
      <c r="R9179" s="2" t="inlineStr"/>
    </row>
    <row r="9180" ht="15" customHeight="1">
      <c r="A9180" t="inlineStr">
        <is>
          <t>A 36952-2022</t>
        </is>
      </c>
      <c r="B9180" s="1" t="n">
        <v>44806.30716435185</v>
      </c>
      <c r="C9180" s="1" t="n">
        <v>46114</v>
      </c>
      <c r="D9180" t="inlineStr">
        <is>
          <t>DALARNAS LÄN</t>
        </is>
      </c>
      <c r="E9180" t="inlineStr">
        <is>
          <t>RÄTTVIK</t>
        </is>
      </c>
      <c r="G9180" t="n">
        <v>4.2</v>
      </c>
      <c r="H9180" t="n">
        <v>0</v>
      </c>
      <c r="I9180" t="n">
        <v>0</v>
      </c>
      <c r="J9180" t="n">
        <v>0</v>
      </c>
      <c r="K9180" t="n">
        <v>0</v>
      </c>
      <c r="L9180" t="n">
        <v>0</v>
      </c>
      <c r="M9180" t="n">
        <v>0</v>
      </c>
      <c r="N9180" t="n">
        <v>0</v>
      </c>
      <c r="O9180" t="n">
        <v>0</v>
      </c>
      <c r="P9180" t="n">
        <v>0</v>
      </c>
      <c r="Q9180" t="n">
        <v>0</v>
      </c>
      <c r="R9180" s="2" t="inlineStr"/>
    </row>
    <row r="9181" ht="15" customHeight="1">
      <c r="A9181" t="inlineStr">
        <is>
          <t>A 45616-2024</t>
        </is>
      </c>
      <c r="B9181" s="1" t="n">
        <v>45579</v>
      </c>
      <c r="C9181" s="1" t="n">
        <v>46114</v>
      </c>
      <c r="D9181" t="inlineStr">
        <is>
          <t>DALARNAS LÄN</t>
        </is>
      </c>
      <c r="E9181" t="inlineStr">
        <is>
          <t>MALUNG-SÄLEN</t>
        </is>
      </c>
      <c r="F9181" t="inlineStr">
        <is>
          <t>Bergvik skog väst AB</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57824-2023</t>
        </is>
      </c>
      <c r="B9182" s="1" t="n">
        <v>45247</v>
      </c>
      <c r="C9182" s="1" t="n">
        <v>46114</v>
      </c>
      <c r="D9182" t="inlineStr">
        <is>
          <t>DALARNAS LÄN</t>
        </is>
      </c>
      <c r="E9182" t="inlineStr">
        <is>
          <t>SÄTER</t>
        </is>
      </c>
      <c r="G9182" t="n">
        <v>2.9</v>
      </c>
      <c r="H9182" t="n">
        <v>0</v>
      </c>
      <c r="I9182" t="n">
        <v>0</v>
      </c>
      <c r="J9182" t="n">
        <v>0</v>
      </c>
      <c r="K9182" t="n">
        <v>0</v>
      </c>
      <c r="L9182" t="n">
        <v>0</v>
      </c>
      <c r="M9182" t="n">
        <v>0</v>
      </c>
      <c r="N9182" t="n">
        <v>0</v>
      </c>
      <c r="O9182" t="n">
        <v>0</v>
      </c>
      <c r="P9182" t="n">
        <v>0</v>
      </c>
      <c r="Q9182" t="n">
        <v>0</v>
      </c>
      <c r="R9182" s="2" t="inlineStr"/>
    </row>
    <row r="9183" ht="15" customHeight="1">
      <c r="A9183" t="inlineStr">
        <is>
          <t>A 1554-2026</t>
        </is>
      </c>
      <c r="B9183" s="1" t="n">
        <v>46034</v>
      </c>
      <c r="C9183" s="1" t="n">
        <v>46114</v>
      </c>
      <c r="D9183" t="inlineStr">
        <is>
          <t>DALARNAS LÄN</t>
        </is>
      </c>
      <c r="E9183" t="inlineStr">
        <is>
          <t>ÄLVDALEN</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14801-2026</t>
        </is>
      </c>
      <c r="B9184" s="1" t="n">
        <v>46103.63597222222</v>
      </c>
      <c r="C9184" s="1" t="n">
        <v>46114</v>
      </c>
      <c r="D9184" t="inlineStr">
        <is>
          <t>DALARNAS LÄN</t>
        </is>
      </c>
      <c r="E9184" t="inlineStr">
        <is>
          <t>BORLÄNGE</t>
        </is>
      </c>
      <c r="G9184" t="n">
        <v>5.7</v>
      </c>
      <c r="H9184" t="n">
        <v>0</v>
      </c>
      <c r="I9184" t="n">
        <v>0</v>
      </c>
      <c r="J9184" t="n">
        <v>0</v>
      </c>
      <c r="K9184" t="n">
        <v>0</v>
      </c>
      <c r="L9184" t="n">
        <v>0</v>
      </c>
      <c r="M9184" t="n">
        <v>0</v>
      </c>
      <c r="N9184" t="n">
        <v>0</v>
      </c>
      <c r="O9184" t="n">
        <v>0</v>
      </c>
      <c r="P9184" t="n">
        <v>0</v>
      </c>
      <c r="Q9184" t="n">
        <v>0</v>
      </c>
      <c r="R9184" s="2" t="inlineStr"/>
    </row>
    <row r="9185" ht="15" customHeight="1">
      <c r="A9185" t="inlineStr">
        <is>
          <t>A 7571-2026</t>
        </is>
      </c>
      <c r="B9185" s="1" t="n">
        <v>46060</v>
      </c>
      <c r="C9185" s="1" t="n">
        <v>46114</v>
      </c>
      <c r="D9185" t="inlineStr">
        <is>
          <t>DALARNAS LÄN</t>
        </is>
      </c>
      <c r="E9185" t="inlineStr">
        <is>
          <t>HEDEMORA</t>
        </is>
      </c>
      <c r="F9185" t="inlineStr">
        <is>
          <t>Sveaskog</t>
        </is>
      </c>
      <c r="G9185" t="n">
        <v>6.9</v>
      </c>
      <c r="H9185" t="n">
        <v>0</v>
      </c>
      <c r="I9185" t="n">
        <v>0</v>
      </c>
      <c r="J9185" t="n">
        <v>0</v>
      </c>
      <c r="K9185" t="n">
        <v>0</v>
      </c>
      <c r="L9185" t="n">
        <v>0</v>
      </c>
      <c r="M9185" t="n">
        <v>0</v>
      </c>
      <c r="N9185" t="n">
        <v>0</v>
      </c>
      <c r="O9185" t="n">
        <v>0</v>
      </c>
      <c r="P9185" t="n">
        <v>0</v>
      </c>
      <c r="Q9185" t="n">
        <v>0</v>
      </c>
      <c r="R9185" s="2" t="inlineStr"/>
    </row>
    <row r="9186" ht="15" customHeight="1">
      <c r="A9186" t="inlineStr">
        <is>
          <t>A 7572-2026</t>
        </is>
      </c>
      <c r="B9186" s="1" t="n">
        <v>46060.67263888889</v>
      </c>
      <c r="C9186" s="1" t="n">
        <v>46114</v>
      </c>
      <c r="D9186" t="inlineStr">
        <is>
          <t>DALARNAS LÄN</t>
        </is>
      </c>
      <c r="E9186" t="inlineStr">
        <is>
          <t>HEDEMORA</t>
        </is>
      </c>
      <c r="F9186" t="inlineStr">
        <is>
          <t>Sveaskog</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7598-2026</t>
        </is>
      </c>
      <c r="B9187" s="1" t="n">
        <v>46061.9450462963</v>
      </c>
      <c r="C9187" s="1" t="n">
        <v>46114</v>
      </c>
      <c r="D9187" t="inlineStr">
        <is>
          <t>DALARNAS LÄN</t>
        </is>
      </c>
      <c r="E9187" t="inlineStr">
        <is>
          <t>HEDEMORA</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7606-2026</t>
        </is>
      </c>
      <c r="B9188" s="1" t="n">
        <v>46062.30232638889</v>
      </c>
      <c r="C9188" s="1" t="n">
        <v>46114</v>
      </c>
      <c r="D9188" t="inlineStr">
        <is>
          <t>DALARNAS LÄN</t>
        </is>
      </c>
      <c r="E9188" t="inlineStr">
        <is>
          <t>LEKSAND</t>
        </is>
      </c>
      <c r="G9188" t="n">
        <v>1.1</v>
      </c>
      <c r="H9188" t="n">
        <v>0</v>
      </c>
      <c r="I9188" t="n">
        <v>0</v>
      </c>
      <c r="J9188" t="n">
        <v>0</v>
      </c>
      <c r="K9188" t="n">
        <v>0</v>
      </c>
      <c r="L9188" t="n">
        <v>0</v>
      </c>
      <c r="M9188" t="n">
        <v>0</v>
      </c>
      <c r="N9188" t="n">
        <v>0</v>
      </c>
      <c r="O9188" t="n">
        <v>0</v>
      </c>
      <c r="P9188" t="n">
        <v>0</v>
      </c>
      <c r="Q9188" t="n">
        <v>0</v>
      </c>
      <c r="R9188" s="2" t="inlineStr"/>
    </row>
    <row r="9189" ht="15" customHeight="1">
      <c r="A9189" t="inlineStr">
        <is>
          <t>A 7626-2026</t>
        </is>
      </c>
      <c r="B9189" s="1" t="n">
        <v>46062.35244212963</v>
      </c>
      <c r="C9189" s="1" t="n">
        <v>46114</v>
      </c>
      <c r="D9189" t="inlineStr">
        <is>
          <t>DALARNAS LÄN</t>
        </is>
      </c>
      <c r="E9189" t="inlineStr">
        <is>
          <t>AVESTA</t>
        </is>
      </c>
      <c r="G9189" t="n">
        <v>1.3</v>
      </c>
      <c r="H9189" t="n">
        <v>0</v>
      </c>
      <c r="I9189" t="n">
        <v>0</v>
      </c>
      <c r="J9189" t="n">
        <v>0</v>
      </c>
      <c r="K9189" t="n">
        <v>0</v>
      </c>
      <c r="L9189" t="n">
        <v>0</v>
      </c>
      <c r="M9189" t="n">
        <v>0</v>
      </c>
      <c r="N9189" t="n">
        <v>0</v>
      </c>
      <c r="O9189" t="n">
        <v>0</v>
      </c>
      <c r="P9189" t="n">
        <v>0</v>
      </c>
      <c r="Q9189" t="n">
        <v>0</v>
      </c>
      <c r="R9189" s="2" t="inlineStr"/>
    </row>
    <row r="9190" ht="15" customHeight="1">
      <c r="A9190" t="inlineStr">
        <is>
          <t>A 15021-2026</t>
        </is>
      </c>
      <c r="B9190" s="1" t="n">
        <v>46104.63379629629</v>
      </c>
      <c r="C9190" s="1" t="n">
        <v>46114</v>
      </c>
      <c r="D9190" t="inlineStr">
        <is>
          <t>DALARNAS LÄN</t>
        </is>
      </c>
      <c r="E9190" t="inlineStr">
        <is>
          <t>RÄTTVIK</t>
        </is>
      </c>
      <c r="G9190" t="n">
        <v>9.199999999999999</v>
      </c>
      <c r="H9190" t="n">
        <v>0</v>
      </c>
      <c r="I9190" t="n">
        <v>0</v>
      </c>
      <c r="J9190" t="n">
        <v>0</v>
      </c>
      <c r="K9190" t="n">
        <v>0</v>
      </c>
      <c r="L9190" t="n">
        <v>0</v>
      </c>
      <c r="M9190" t="n">
        <v>0</v>
      </c>
      <c r="N9190" t="n">
        <v>0</v>
      </c>
      <c r="O9190" t="n">
        <v>0</v>
      </c>
      <c r="P9190" t="n">
        <v>0</v>
      </c>
      <c r="Q9190" t="n">
        <v>0</v>
      </c>
      <c r="R9190" s="2" t="inlineStr"/>
    </row>
    <row r="9191" ht="15" customHeight="1">
      <c r="A9191" t="inlineStr">
        <is>
          <t>A 7962-2026</t>
        </is>
      </c>
      <c r="B9191" s="1" t="n">
        <v>46063.44740740741</v>
      </c>
      <c r="C9191" s="1" t="n">
        <v>46114</v>
      </c>
      <c r="D9191" t="inlineStr">
        <is>
          <t>DALARNAS LÄN</t>
        </is>
      </c>
      <c r="E9191" t="inlineStr">
        <is>
          <t>FALUN</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18752-2025</t>
        </is>
      </c>
      <c r="B9192" s="1" t="n">
        <v>45763.80373842592</v>
      </c>
      <c r="C9192" s="1" t="n">
        <v>46114</v>
      </c>
      <c r="D9192" t="inlineStr">
        <is>
          <t>DALARNAS LÄN</t>
        </is>
      </c>
      <c r="E9192" t="inlineStr">
        <is>
          <t>SMEDJEBACKEN</t>
        </is>
      </c>
      <c r="F9192" t="inlineStr">
        <is>
          <t>Övriga Aktiebolag</t>
        </is>
      </c>
      <c r="G9192" t="n">
        <v>6.4</v>
      </c>
      <c r="H9192" t="n">
        <v>0</v>
      </c>
      <c r="I9192" t="n">
        <v>0</v>
      </c>
      <c r="J9192" t="n">
        <v>0</v>
      </c>
      <c r="K9192" t="n">
        <v>0</v>
      </c>
      <c r="L9192" t="n">
        <v>0</v>
      </c>
      <c r="M9192" t="n">
        <v>0</v>
      </c>
      <c r="N9192" t="n">
        <v>0</v>
      </c>
      <c r="O9192" t="n">
        <v>0</v>
      </c>
      <c r="P9192" t="n">
        <v>0</v>
      </c>
      <c r="Q9192" t="n">
        <v>0</v>
      </c>
      <c r="R9192" s="2" t="inlineStr"/>
    </row>
    <row r="9193" ht="15" customHeight="1">
      <c r="A9193" t="inlineStr">
        <is>
          <t>A 7965-2026</t>
        </is>
      </c>
      <c r="B9193" s="1" t="n">
        <v>46063.45644675926</v>
      </c>
      <c r="C9193" s="1" t="n">
        <v>46114</v>
      </c>
      <c r="D9193" t="inlineStr">
        <is>
          <t>DALARNAS LÄN</t>
        </is>
      </c>
      <c r="E9193" t="inlineStr">
        <is>
          <t>FALUN</t>
        </is>
      </c>
      <c r="G9193" t="n">
        <v>2.3</v>
      </c>
      <c r="H9193" t="n">
        <v>0</v>
      </c>
      <c r="I9193" t="n">
        <v>0</v>
      </c>
      <c r="J9193" t="n">
        <v>0</v>
      </c>
      <c r="K9193" t="n">
        <v>0</v>
      </c>
      <c r="L9193" t="n">
        <v>0</v>
      </c>
      <c r="M9193" t="n">
        <v>0</v>
      </c>
      <c r="N9193" t="n">
        <v>0</v>
      </c>
      <c r="O9193" t="n">
        <v>0</v>
      </c>
      <c r="P9193" t="n">
        <v>0</v>
      </c>
      <c r="Q9193" t="n">
        <v>0</v>
      </c>
      <c r="R9193" s="2" t="inlineStr"/>
    </row>
    <row r="9194" ht="15" customHeight="1">
      <c r="A9194" t="inlineStr">
        <is>
          <t>A 7696-2026</t>
        </is>
      </c>
      <c r="B9194" s="1" t="n">
        <v>46062.4512962963</v>
      </c>
      <c r="C9194" s="1" t="n">
        <v>46114</v>
      </c>
      <c r="D9194" t="inlineStr">
        <is>
          <t>DALARNAS LÄN</t>
        </is>
      </c>
      <c r="E9194" t="inlineStr">
        <is>
          <t>FALUN</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15125-2026</t>
        </is>
      </c>
      <c r="B9195" s="1" t="n">
        <v>46105.37072916667</v>
      </c>
      <c r="C9195" s="1" t="n">
        <v>46114</v>
      </c>
      <c r="D9195" t="inlineStr">
        <is>
          <t>DALARNAS LÄN</t>
        </is>
      </c>
      <c r="E9195" t="inlineStr">
        <is>
          <t>FALUN</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48320-2024</t>
        </is>
      </c>
      <c r="B9196" s="1" t="n">
        <v>45590.4999537037</v>
      </c>
      <c r="C9196" s="1" t="n">
        <v>46114</v>
      </c>
      <c r="D9196" t="inlineStr">
        <is>
          <t>DALARNAS LÄN</t>
        </is>
      </c>
      <c r="E9196" t="inlineStr">
        <is>
          <t>HEDEMORA</t>
        </is>
      </c>
      <c r="F9196" t="inlineStr">
        <is>
          <t>Sveaskog</t>
        </is>
      </c>
      <c r="G9196" t="n">
        <v>4.9</v>
      </c>
      <c r="H9196" t="n">
        <v>0</v>
      </c>
      <c r="I9196" t="n">
        <v>0</v>
      </c>
      <c r="J9196" t="n">
        <v>0</v>
      </c>
      <c r="K9196" t="n">
        <v>0</v>
      </c>
      <c r="L9196" t="n">
        <v>0</v>
      </c>
      <c r="M9196" t="n">
        <v>0</v>
      </c>
      <c r="N9196" t="n">
        <v>0</v>
      </c>
      <c r="O9196" t="n">
        <v>0</v>
      </c>
      <c r="P9196" t="n">
        <v>0</v>
      </c>
      <c r="Q9196" t="n">
        <v>0</v>
      </c>
      <c r="R9196" s="2" t="inlineStr"/>
    </row>
    <row r="9197" ht="15" customHeight="1">
      <c r="A9197" t="inlineStr">
        <is>
          <t>A 50772-2024</t>
        </is>
      </c>
      <c r="B9197" s="1" t="n">
        <v>45602.44824074074</v>
      </c>
      <c r="C9197" s="1" t="n">
        <v>46114</v>
      </c>
      <c r="D9197" t="inlineStr">
        <is>
          <t>DALARNAS LÄN</t>
        </is>
      </c>
      <c r="E9197" t="inlineStr">
        <is>
          <t>FALUN</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47044-2023</t>
        </is>
      </c>
      <c r="B9198" s="1" t="n">
        <v>45201.55331018518</v>
      </c>
      <c r="C9198" s="1" t="n">
        <v>46114</v>
      </c>
      <c r="D9198" t="inlineStr">
        <is>
          <t>DALARNAS LÄN</t>
        </is>
      </c>
      <c r="E9198" t="inlineStr">
        <is>
          <t>SÄTER</t>
        </is>
      </c>
      <c r="G9198" t="n">
        <v>2.2</v>
      </c>
      <c r="H9198" t="n">
        <v>0</v>
      </c>
      <c r="I9198" t="n">
        <v>0</v>
      </c>
      <c r="J9198" t="n">
        <v>0</v>
      </c>
      <c r="K9198" t="n">
        <v>0</v>
      </c>
      <c r="L9198" t="n">
        <v>0</v>
      </c>
      <c r="M9198" t="n">
        <v>0</v>
      </c>
      <c r="N9198" t="n">
        <v>0</v>
      </c>
      <c r="O9198" t="n">
        <v>0</v>
      </c>
      <c r="P9198" t="n">
        <v>0</v>
      </c>
      <c r="Q9198" t="n">
        <v>0</v>
      </c>
      <c r="R9198" s="2" t="inlineStr"/>
    </row>
    <row r="9199" ht="15" customHeight="1">
      <c r="A9199" t="inlineStr">
        <is>
          <t>A 12987-2024</t>
        </is>
      </c>
      <c r="B9199" s="1" t="n">
        <v>45385.55375</v>
      </c>
      <c r="C9199" s="1" t="n">
        <v>46114</v>
      </c>
      <c r="D9199" t="inlineStr">
        <is>
          <t>DALARNAS LÄN</t>
        </is>
      </c>
      <c r="E9199" t="inlineStr">
        <is>
          <t>MORA</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14806-2026</t>
        </is>
      </c>
      <c r="B9200" s="1" t="n">
        <v>46103.85460648148</v>
      </c>
      <c r="C9200" s="1" t="n">
        <v>46114</v>
      </c>
      <c r="D9200" t="inlineStr">
        <is>
          <t>DALARNAS LÄN</t>
        </is>
      </c>
      <c r="E9200" t="inlineStr">
        <is>
          <t>FALUN</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12967-2026</t>
        </is>
      </c>
      <c r="B9201" s="1" t="n">
        <v>46092</v>
      </c>
      <c r="C9201" s="1" t="n">
        <v>46114</v>
      </c>
      <c r="D9201" t="inlineStr">
        <is>
          <t>DALARNAS LÄN</t>
        </is>
      </c>
      <c r="E9201" t="inlineStr">
        <is>
          <t>LEKSAND</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12983-2026</t>
        </is>
      </c>
      <c r="B9202" s="1" t="n">
        <v>46092</v>
      </c>
      <c r="C9202" s="1" t="n">
        <v>46114</v>
      </c>
      <c r="D9202" t="inlineStr">
        <is>
          <t>DALARNAS LÄN</t>
        </is>
      </c>
      <c r="E9202" t="inlineStr">
        <is>
          <t>LEKSAND</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15346-2026</t>
        </is>
      </c>
      <c r="B9203" s="1" t="n">
        <v>46105.69130787037</v>
      </c>
      <c r="C9203" s="1" t="n">
        <v>46114</v>
      </c>
      <c r="D9203" t="inlineStr">
        <is>
          <t>DALARNAS LÄN</t>
        </is>
      </c>
      <c r="E9203" t="inlineStr">
        <is>
          <t>FALUN</t>
        </is>
      </c>
      <c r="F9203" t="inlineStr">
        <is>
          <t>Bergvik skog väst AB</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8116-2026</t>
        </is>
      </c>
      <c r="B9204" s="1" t="n">
        <v>46062</v>
      </c>
      <c r="C9204" s="1" t="n">
        <v>46114</v>
      </c>
      <c r="D9204" t="inlineStr">
        <is>
          <t>DALARNAS LÄN</t>
        </is>
      </c>
      <c r="E9204" t="inlineStr">
        <is>
          <t>BORLÄNGE</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8122-2026</t>
        </is>
      </c>
      <c r="B9205" s="1" t="n">
        <v>46063</v>
      </c>
      <c r="C9205" s="1" t="n">
        <v>46114</v>
      </c>
      <c r="D9205" t="inlineStr">
        <is>
          <t>DALARNAS LÄN</t>
        </is>
      </c>
      <c r="E9205" t="inlineStr">
        <is>
          <t>FALUN</t>
        </is>
      </c>
      <c r="G9205" t="n">
        <v>6.4</v>
      </c>
      <c r="H9205" t="n">
        <v>0</v>
      </c>
      <c r="I9205" t="n">
        <v>0</v>
      </c>
      <c r="J9205" t="n">
        <v>0</v>
      </c>
      <c r="K9205" t="n">
        <v>0</v>
      </c>
      <c r="L9205" t="n">
        <v>0</v>
      </c>
      <c r="M9205" t="n">
        <v>0</v>
      </c>
      <c r="N9205" t="n">
        <v>0</v>
      </c>
      <c r="O9205" t="n">
        <v>0</v>
      </c>
      <c r="P9205" t="n">
        <v>0</v>
      </c>
      <c r="Q9205" t="n">
        <v>0</v>
      </c>
      <c r="R9205" s="2" t="inlineStr"/>
    </row>
    <row r="9206" ht="15" customHeight="1">
      <c r="A9206" t="inlineStr">
        <is>
          <t>A 15169-2026</t>
        </is>
      </c>
      <c r="B9206" s="1" t="n">
        <v>46105.44013888889</v>
      </c>
      <c r="C9206" s="1" t="n">
        <v>46114</v>
      </c>
      <c r="D9206" t="inlineStr">
        <is>
          <t>DALARNAS LÄN</t>
        </is>
      </c>
      <c r="E9206" t="inlineStr">
        <is>
          <t>FALUN</t>
        </is>
      </c>
      <c r="F9206" t="inlineStr">
        <is>
          <t>Bergvik skog väst AB</t>
        </is>
      </c>
      <c r="G9206" t="n">
        <v>33.4</v>
      </c>
      <c r="H9206" t="n">
        <v>0</v>
      </c>
      <c r="I9206" t="n">
        <v>0</v>
      </c>
      <c r="J9206" t="n">
        <v>0</v>
      </c>
      <c r="K9206" t="n">
        <v>0</v>
      </c>
      <c r="L9206" t="n">
        <v>0</v>
      </c>
      <c r="M9206" t="n">
        <v>0</v>
      </c>
      <c r="N9206" t="n">
        <v>0</v>
      </c>
      <c r="O9206" t="n">
        <v>0</v>
      </c>
      <c r="P9206" t="n">
        <v>0</v>
      </c>
      <c r="Q9206" t="n">
        <v>0</v>
      </c>
      <c r="R9206" s="2" t="inlineStr"/>
    </row>
    <row r="9207" ht="15" customHeight="1">
      <c r="A9207" t="inlineStr">
        <is>
          <t>A 15188-2026</t>
        </is>
      </c>
      <c r="B9207" s="1" t="n">
        <v>46105.46615740741</v>
      </c>
      <c r="C9207" s="1" t="n">
        <v>46114</v>
      </c>
      <c r="D9207" t="inlineStr">
        <is>
          <t>DALARNAS LÄN</t>
        </is>
      </c>
      <c r="E9207" t="inlineStr">
        <is>
          <t>RÄTTVIK</t>
        </is>
      </c>
      <c r="F9207" t="inlineStr">
        <is>
          <t>Bergvik skog väst AB</t>
        </is>
      </c>
      <c r="G9207" t="n">
        <v>9.300000000000001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14912-2026</t>
        </is>
      </c>
      <c r="B9208" s="1" t="n">
        <v>46104</v>
      </c>
      <c r="C9208" s="1" t="n">
        <v>46114</v>
      </c>
      <c r="D9208" t="inlineStr">
        <is>
          <t>DALARNAS LÄN</t>
        </is>
      </c>
      <c r="E9208" t="inlineStr">
        <is>
          <t>FALUN</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14961-2026</t>
        </is>
      </c>
      <c r="B9209" s="1" t="n">
        <v>46104</v>
      </c>
      <c r="C9209" s="1" t="n">
        <v>46114</v>
      </c>
      <c r="D9209" t="inlineStr">
        <is>
          <t>DALARNAS LÄN</t>
        </is>
      </c>
      <c r="E9209" t="inlineStr">
        <is>
          <t>FALUN</t>
        </is>
      </c>
      <c r="G9209" t="n">
        <v>4.2</v>
      </c>
      <c r="H9209" t="n">
        <v>0</v>
      </c>
      <c r="I9209" t="n">
        <v>0</v>
      </c>
      <c r="J9209" t="n">
        <v>0</v>
      </c>
      <c r="K9209" t="n">
        <v>0</v>
      </c>
      <c r="L9209" t="n">
        <v>0</v>
      </c>
      <c r="M9209" t="n">
        <v>0</v>
      </c>
      <c r="N9209" t="n">
        <v>0</v>
      </c>
      <c r="O9209" t="n">
        <v>0</v>
      </c>
      <c r="P9209" t="n">
        <v>0</v>
      </c>
      <c r="Q9209" t="n">
        <v>0</v>
      </c>
      <c r="R9209" s="2" t="inlineStr"/>
    </row>
    <row r="9210" ht="15" customHeight="1">
      <c r="A9210" t="inlineStr">
        <is>
          <t>A 15123-2026</t>
        </is>
      </c>
      <c r="B9210" s="1" t="n">
        <v>46105.36930555556</v>
      </c>
      <c r="C9210" s="1" t="n">
        <v>46114</v>
      </c>
      <c r="D9210" t="inlineStr">
        <is>
          <t>DALARNAS LÄN</t>
        </is>
      </c>
      <c r="E9210" t="inlineStr">
        <is>
          <t>FALUN</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15139-2026</t>
        </is>
      </c>
      <c r="B9211" s="1" t="n">
        <v>46104</v>
      </c>
      <c r="C9211" s="1" t="n">
        <v>46114</v>
      </c>
      <c r="D9211" t="inlineStr">
        <is>
          <t>DALARNAS LÄN</t>
        </is>
      </c>
      <c r="E9211" t="inlineStr">
        <is>
          <t>FALUN</t>
        </is>
      </c>
      <c r="F9211" t="inlineStr">
        <is>
          <t>Allmännings- och besparingsskogar</t>
        </is>
      </c>
      <c r="G9211" t="n">
        <v>3.1</v>
      </c>
      <c r="H9211" t="n">
        <v>0</v>
      </c>
      <c r="I9211" t="n">
        <v>0</v>
      </c>
      <c r="J9211" t="n">
        <v>0</v>
      </c>
      <c r="K9211" t="n">
        <v>0</v>
      </c>
      <c r="L9211" t="n">
        <v>0</v>
      </c>
      <c r="M9211" t="n">
        <v>0</v>
      </c>
      <c r="N9211" t="n">
        <v>0</v>
      </c>
      <c r="O9211" t="n">
        <v>0</v>
      </c>
      <c r="P9211" t="n">
        <v>0</v>
      </c>
      <c r="Q9211" t="n">
        <v>0</v>
      </c>
      <c r="R9211" s="2" t="inlineStr"/>
    </row>
    <row r="9212" ht="15" customHeight="1">
      <c r="A9212" t="inlineStr">
        <is>
          <t>A 4050-2026</t>
        </is>
      </c>
      <c r="B9212" s="1" t="n">
        <v>46044</v>
      </c>
      <c r="C9212" s="1" t="n">
        <v>46114</v>
      </c>
      <c r="D9212" t="inlineStr">
        <is>
          <t>DALARNAS LÄN</t>
        </is>
      </c>
      <c r="E9212" t="inlineStr">
        <is>
          <t>SÄTER</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7779-2026</t>
        </is>
      </c>
      <c r="B9213" s="1" t="n">
        <v>46062.57390046296</v>
      </c>
      <c r="C9213" s="1" t="n">
        <v>46114</v>
      </c>
      <c r="D9213" t="inlineStr">
        <is>
          <t>DALARNAS LÄN</t>
        </is>
      </c>
      <c r="E9213" t="inlineStr">
        <is>
          <t>VANSBRO</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7782-2026</t>
        </is>
      </c>
      <c r="B9214" s="1" t="n">
        <v>46062.57849537037</v>
      </c>
      <c r="C9214" s="1" t="n">
        <v>46114</v>
      </c>
      <c r="D9214" t="inlineStr">
        <is>
          <t>DALARNAS LÄN</t>
        </is>
      </c>
      <c r="E9214" t="inlineStr">
        <is>
          <t>ÄLVDALEN</t>
        </is>
      </c>
      <c r="G9214" t="n">
        <v>5.2</v>
      </c>
      <c r="H9214" t="n">
        <v>0</v>
      </c>
      <c r="I9214" t="n">
        <v>0</v>
      </c>
      <c r="J9214" t="n">
        <v>0</v>
      </c>
      <c r="K9214" t="n">
        <v>0</v>
      </c>
      <c r="L9214" t="n">
        <v>0</v>
      </c>
      <c r="M9214" t="n">
        <v>0</v>
      </c>
      <c r="N9214" t="n">
        <v>0</v>
      </c>
      <c r="O9214" t="n">
        <v>0</v>
      </c>
      <c r="P9214" t="n">
        <v>0</v>
      </c>
      <c r="Q9214" t="n">
        <v>0</v>
      </c>
      <c r="R9214" s="2" t="inlineStr"/>
    </row>
    <row r="9215" ht="15" customHeight="1">
      <c r="A9215" t="inlineStr">
        <is>
          <t>A 7790-2026</t>
        </is>
      </c>
      <c r="B9215" s="1" t="n">
        <v>46062</v>
      </c>
      <c r="C9215" s="1" t="n">
        <v>46114</v>
      </c>
      <c r="D9215" t="inlineStr">
        <is>
          <t>DALARNAS LÄN</t>
        </is>
      </c>
      <c r="E9215" t="inlineStr">
        <is>
          <t>RÄTTVIK</t>
        </is>
      </c>
      <c r="G9215" t="n">
        <v>2</v>
      </c>
      <c r="H9215" t="n">
        <v>0</v>
      </c>
      <c r="I9215" t="n">
        <v>0</v>
      </c>
      <c r="J9215" t="n">
        <v>0</v>
      </c>
      <c r="K9215" t="n">
        <v>0</v>
      </c>
      <c r="L9215" t="n">
        <v>0</v>
      </c>
      <c r="M9215" t="n">
        <v>0</v>
      </c>
      <c r="N9215" t="n">
        <v>0</v>
      </c>
      <c r="O9215" t="n">
        <v>0</v>
      </c>
      <c r="P9215" t="n">
        <v>0</v>
      </c>
      <c r="Q9215" t="n">
        <v>0</v>
      </c>
      <c r="R9215" s="2" t="inlineStr"/>
    </row>
    <row r="9216" ht="15" customHeight="1">
      <c r="A9216" t="inlineStr">
        <is>
          <t>A 7819-2026</t>
        </is>
      </c>
      <c r="B9216" s="1" t="n">
        <v>46062.62895833333</v>
      </c>
      <c r="C9216" s="1" t="n">
        <v>46114</v>
      </c>
      <c r="D9216" t="inlineStr">
        <is>
          <t>DALARNAS LÄN</t>
        </is>
      </c>
      <c r="E9216" t="inlineStr">
        <is>
          <t>FALUN</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37392-2023</t>
        </is>
      </c>
      <c r="B9217" s="1" t="n">
        <v>45156</v>
      </c>
      <c r="C9217" s="1" t="n">
        <v>46114</v>
      </c>
      <c r="D9217" t="inlineStr">
        <is>
          <t>DALARNAS LÄN</t>
        </is>
      </c>
      <c r="E9217" t="inlineStr">
        <is>
          <t>LUDVIKA</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66670-2021</t>
        </is>
      </c>
      <c r="B9218" s="1" t="n">
        <v>44519</v>
      </c>
      <c r="C9218" s="1" t="n">
        <v>46114</v>
      </c>
      <c r="D9218" t="inlineStr">
        <is>
          <t>DALARNAS LÄN</t>
        </is>
      </c>
      <c r="E9218" t="inlineStr">
        <is>
          <t>RÄTTVIK</t>
        </is>
      </c>
      <c r="G9218" t="n">
        <v>0.6</v>
      </c>
      <c r="H9218" t="n">
        <v>0</v>
      </c>
      <c r="I9218" t="n">
        <v>0</v>
      </c>
      <c r="J9218" t="n">
        <v>0</v>
      </c>
      <c r="K9218" t="n">
        <v>0</v>
      </c>
      <c r="L9218" t="n">
        <v>0</v>
      </c>
      <c r="M9218" t="n">
        <v>0</v>
      </c>
      <c r="N9218" t="n">
        <v>0</v>
      </c>
      <c r="O9218" t="n">
        <v>0</v>
      </c>
      <c r="P9218" t="n">
        <v>0</v>
      </c>
      <c r="Q9218" t="n">
        <v>0</v>
      </c>
      <c r="R9218" s="2" t="inlineStr"/>
    </row>
    <row r="9219" ht="15" customHeight="1">
      <c r="A9219" t="inlineStr">
        <is>
          <t>A 7743-2026</t>
        </is>
      </c>
      <c r="B9219" s="1" t="n">
        <v>46062.539375</v>
      </c>
      <c r="C9219" s="1" t="n">
        <v>46114</v>
      </c>
      <c r="D9219" t="inlineStr">
        <is>
          <t>DALARNAS LÄN</t>
        </is>
      </c>
      <c r="E9219" t="inlineStr">
        <is>
          <t>HEDEMORA</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7857-2026</t>
        </is>
      </c>
      <c r="B9220" s="1" t="n">
        <v>46062</v>
      </c>
      <c r="C9220" s="1" t="n">
        <v>46114</v>
      </c>
      <c r="D9220" t="inlineStr">
        <is>
          <t>DALARNAS LÄN</t>
        </is>
      </c>
      <c r="E9220" t="inlineStr">
        <is>
          <t>FALUN</t>
        </is>
      </c>
      <c r="G9220" t="n">
        <v>4.6</v>
      </c>
      <c r="H9220" t="n">
        <v>0</v>
      </c>
      <c r="I9220" t="n">
        <v>0</v>
      </c>
      <c r="J9220" t="n">
        <v>0</v>
      </c>
      <c r="K9220" t="n">
        <v>0</v>
      </c>
      <c r="L9220" t="n">
        <v>0</v>
      </c>
      <c r="M9220" t="n">
        <v>0</v>
      </c>
      <c r="N9220" t="n">
        <v>0</v>
      </c>
      <c r="O9220" t="n">
        <v>0</v>
      </c>
      <c r="P9220" t="n">
        <v>0</v>
      </c>
      <c r="Q9220" t="n">
        <v>0</v>
      </c>
      <c r="R9220" s="2" t="inlineStr"/>
    </row>
    <row r="9221" ht="15" customHeight="1">
      <c r="A9221" t="inlineStr">
        <is>
          <t>A 15257-2025</t>
        </is>
      </c>
      <c r="B9221" s="1" t="n">
        <v>45744</v>
      </c>
      <c r="C9221" s="1" t="n">
        <v>46114</v>
      </c>
      <c r="D9221" t="inlineStr">
        <is>
          <t>DALARNAS LÄN</t>
        </is>
      </c>
      <c r="E9221" t="inlineStr">
        <is>
          <t>LEKSAND</t>
        </is>
      </c>
      <c r="G9221" t="n">
        <v>0.9</v>
      </c>
      <c r="H9221" t="n">
        <v>0</v>
      </c>
      <c r="I9221" t="n">
        <v>0</v>
      </c>
      <c r="J9221" t="n">
        <v>0</v>
      </c>
      <c r="K9221" t="n">
        <v>0</v>
      </c>
      <c r="L9221" t="n">
        <v>0</v>
      </c>
      <c r="M9221" t="n">
        <v>0</v>
      </c>
      <c r="N9221" t="n">
        <v>0</v>
      </c>
      <c r="O9221" t="n">
        <v>0</v>
      </c>
      <c r="P9221" t="n">
        <v>0</v>
      </c>
      <c r="Q9221" t="n">
        <v>0</v>
      </c>
      <c r="R9221" s="2" t="inlineStr"/>
    </row>
    <row r="9222" ht="15" customHeight="1">
      <c r="A9222" t="inlineStr">
        <is>
          <t>A 3637-2026</t>
        </is>
      </c>
      <c r="B9222" s="1" t="n">
        <v>46043</v>
      </c>
      <c r="C9222" s="1" t="n">
        <v>46114</v>
      </c>
      <c r="D9222" t="inlineStr">
        <is>
          <t>DALARNAS LÄN</t>
        </is>
      </c>
      <c r="E9222" t="inlineStr">
        <is>
          <t>RÄTTVIK</t>
        </is>
      </c>
      <c r="G9222" t="n">
        <v>4.3</v>
      </c>
      <c r="H9222" t="n">
        <v>0</v>
      </c>
      <c r="I9222" t="n">
        <v>0</v>
      </c>
      <c r="J9222" t="n">
        <v>0</v>
      </c>
      <c r="K9222" t="n">
        <v>0</v>
      </c>
      <c r="L9222" t="n">
        <v>0</v>
      </c>
      <c r="M9222" t="n">
        <v>0</v>
      </c>
      <c r="N9222" t="n">
        <v>0</v>
      </c>
      <c r="O9222" t="n">
        <v>0</v>
      </c>
      <c r="P9222" t="n">
        <v>0</v>
      </c>
      <c r="Q9222" t="n">
        <v>0</v>
      </c>
      <c r="R9222" s="2" t="inlineStr"/>
    </row>
    <row r="9223" ht="15" customHeight="1">
      <c r="A9223" t="inlineStr">
        <is>
          <t>A 52939-2022</t>
        </is>
      </c>
      <c r="B9223" s="1" t="n">
        <v>44875</v>
      </c>
      <c r="C9223" s="1" t="n">
        <v>46114</v>
      </c>
      <c r="D9223" t="inlineStr">
        <is>
          <t>DALARNAS LÄN</t>
        </is>
      </c>
      <c r="E9223" t="inlineStr">
        <is>
          <t>RÄTTVIK</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11934-2026</t>
        </is>
      </c>
      <c r="B9224" s="1" t="n">
        <v>46085</v>
      </c>
      <c r="C9224" s="1" t="n">
        <v>46114</v>
      </c>
      <c r="D9224" t="inlineStr">
        <is>
          <t>DALARNAS LÄN</t>
        </is>
      </c>
      <c r="E9224" t="inlineStr">
        <is>
          <t>FALUN</t>
        </is>
      </c>
      <c r="G9224" t="n">
        <v>2.3</v>
      </c>
      <c r="H9224" t="n">
        <v>0</v>
      </c>
      <c r="I9224" t="n">
        <v>0</v>
      </c>
      <c r="J9224" t="n">
        <v>0</v>
      </c>
      <c r="K9224" t="n">
        <v>0</v>
      </c>
      <c r="L9224" t="n">
        <v>0</v>
      </c>
      <c r="M9224" t="n">
        <v>0</v>
      </c>
      <c r="N9224" t="n">
        <v>0</v>
      </c>
      <c r="O9224" t="n">
        <v>0</v>
      </c>
      <c r="P9224" t="n">
        <v>0</v>
      </c>
      <c r="Q9224" t="n">
        <v>0</v>
      </c>
      <c r="R9224" s="2" t="inlineStr"/>
    </row>
    <row r="9225" ht="15" customHeight="1">
      <c r="A9225" t="inlineStr">
        <is>
          <t>A 61650-2024</t>
        </is>
      </c>
      <c r="B9225" s="1" t="n">
        <v>45646.7196412037</v>
      </c>
      <c r="C9225" s="1" t="n">
        <v>46114</v>
      </c>
      <c r="D9225" t="inlineStr">
        <is>
          <t>DALARNAS LÄN</t>
        </is>
      </c>
      <c r="E9225" t="inlineStr">
        <is>
          <t>RÄTTVIK</t>
        </is>
      </c>
      <c r="F9225" t="inlineStr">
        <is>
          <t>Bergvik skog väst AB</t>
        </is>
      </c>
      <c r="G9225" t="n">
        <v>2</v>
      </c>
      <c r="H9225" t="n">
        <v>0</v>
      </c>
      <c r="I9225" t="n">
        <v>0</v>
      </c>
      <c r="J9225" t="n">
        <v>0</v>
      </c>
      <c r="K9225" t="n">
        <v>0</v>
      </c>
      <c r="L9225" t="n">
        <v>0</v>
      </c>
      <c r="M9225" t="n">
        <v>0</v>
      </c>
      <c r="N9225" t="n">
        <v>0</v>
      </c>
      <c r="O9225" t="n">
        <v>0</v>
      </c>
      <c r="P9225" t="n">
        <v>0</v>
      </c>
      <c r="Q9225" t="n">
        <v>0</v>
      </c>
      <c r="R9225" s="2" t="inlineStr"/>
    </row>
    <row r="9226" ht="15" customHeight="1">
      <c r="A9226" t="inlineStr">
        <is>
          <t>A 61656-2024</t>
        </is>
      </c>
      <c r="B9226" s="1" t="n">
        <v>45646.79003472222</v>
      </c>
      <c r="C9226" s="1" t="n">
        <v>46114</v>
      </c>
      <c r="D9226" t="inlineStr">
        <is>
          <t>DALARNAS LÄN</t>
        </is>
      </c>
      <c r="E9226" t="inlineStr">
        <is>
          <t>RÄTTVIK</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7063-2026</t>
        </is>
      </c>
      <c r="B9227" s="1" t="n">
        <v>46057</v>
      </c>
      <c r="C9227" s="1" t="n">
        <v>46114</v>
      </c>
      <c r="D9227" t="inlineStr">
        <is>
          <t>DALARNAS LÄN</t>
        </is>
      </c>
      <c r="E9227" t="inlineStr">
        <is>
          <t>RÄTTVIK</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4809-2026</t>
        </is>
      </c>
      <c r="B9228" s="1" t="n">
        <v>46048</v>
      </c>
      <c r="C9228" s="1" t="n">
        <v>46114</v>
      </c>
      <c r="D9228" t="inlineStr">
        <is>
          <t>DALARNAS LÄN</t>
        </is>
      </c>
      <c r="E9228" t="inlineStr">
        <is>
          <t>HEDEMORA</t>
        </is>
      </c>
      <c r="G9228" t="n">
        <v>0.5</v>
      </c>
      <c r="H9228" t="n">
        <v>0</v>
      </c>
      <c r="I9228" t="n">
        <v>0</v>
      </c>
      <c r="J9228" t="n">
        <v>0</v>
      </c>
      <c r="K9228" t="n">
        <v>0</v>
      </c>
      <c r="L9228" t="n">
        <v>0</v>
      </c>
      <c r="M9228" t="n">
        <v>0</v>
      </c>
      <c r="N9228" t="n">
        <v>0</v>
      </c>
      <c r="O9228" t="n">
        <v>0</v>
      </c>
      <c r="P9228" t="n">
        <v>0</v>
      </c>
      <c r="Q9228" t="n">
        <v>0</v>
      </c>
      <c r="R9228" s="2" t="inlineStr"/>
    </row>
    <row r="9229" ht="15" customHeight="1">
      <c r="A9229" t="inlineStr">
        <is>
          <t>A 513-2026</t>
        </is>
      </c>
      <c r="B9229" s="1" t="n">
        <v>46029</v>
      </c>
      <c r="C9229" s="1" t="n">
        <v>46114</v>
      </c>
      <c r="D9229" t="inlineStr">
        <is>
          <t>DALARNAS LÄN</t>
        </is>
      </c>
      <c r="E9229" t="inlineStr">
        <is>
          <t>SÄTER</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7663-2026</t>
        </is>
      </c>
      <c r="B9230" s="1" t="n">
        <v>46062</v>
      </c>
      <c r="C9230" s="1" t="n">
        <v>46114</v>
      </c>
      <c r="D9230" t="inlineStr">
        <is>
          <t>DALARNAS LÄN</t>
        </is>
      </c>
      <c r="E9230" t="inlineStr">
        <is>
          <t>RÄTTVIK</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14814-2026</t>
        </is>
      </c>
      <c r="B9231" s="1" t="n">
        <v>46104.31746527777</v>
      </c>
      <c r="C9231" s="1" t="n">
        <v>46114</v>
      </c>
      <c r="D9231" t="inlineStr">
        <is>
          <t>DALARNAS LÄN</t>
        </is>
      </c>
      <c r="E9231" t="inlineStr">
        <is>
          <t>ORSA</t>
        </is>
      </c>
      <c r="G9231" t="n">
        <v>14.2</v>
      </c>
      <c r="H9231" t="n">
        <v>0</v>
      </c>
      <c r="I9231" t="n">
        <v>0</v>
      </c>
      <c r="J9231" t="n">
        <v>0</v>
      </c>
      <c r="K9231" t="n">
        <v>0</v>
      </c>
      <c r="L9231" t="n">
        <v>0</v>
      </c>
      <c r="M9231" t="n">
        <v>0</v>
      </c>
      <c r="N9231" t="n">
        <v>0</v>
      </c>
      <c r="O9231" t="n">
        <v>0</v>
      </c>
      <c r="P9231" t="n">
        <v>0</v>
      </c>
      <c r="Q9231" t="n">
        <v>0</v>
      </c>
      <c r="R9231" s="2" t="inlineStr"/>
    </row>
    <row r="9232" ht="15" customHeight="1">
      <c r="A9232" t="inlineStr">
        <is>
          <t>A 43570-2023</t>
        </is>
      </c>
      <c r="B9232" s="1" t="n">
        <v>45184.59045138889</v>
      </c>
      <c r="C9232" s="1" t="n">
        <v>46114</v>
      </c>
      <c r="D9232" t="inlineStr">
        <is>
          <t>DALARNAS LÄN</t>
        </is>
      </c>
      <c r="E9232" t="inlineStr">
        <is>
          <t>VANSBRO</t>
        </is>
      </c>
      <c r="G9232" t="n">
        <v>6.8</v>
      </c>
      <c r="H9232" t="n">
        <v>0</v>
      </c>
      <c r="I9232" t="n">
        <v>0</v>
      </c>
      <c r="J9232" t="n">
        <v>0</v>
      </c>
      <c r="K9232" t="n">
        <v>0</v>
      </c>
      <c r="L9232" t="n">
        <v>0</v>
      </c>
      <c r="M9232" t="n">
        <v>0</v>
      </c>
      <c r="N9232" t="n">
        <v>0</v>
      </c>
      <c r="O9232" t="n">
        <v>0</v>
      </c>
      <c r="P9232" t="n">
        <v>0</v>
      </c>
      <c r="Q9232" t="n">
        <v>0</v>
      </c>
      <c r="R9232" s="2" t="inlineStr"/>
    </row>
    <row r="9233" ht="15" customHeight="1">
      <c r="A9233" t="inlineStr">
        <is>
          <t>A 14848-2026</t>
        </is>
      </c>
      <c r="B9233" s="1" t="n">
        <v>46104</v>
      </c>
      <c r="C9233" s="1" t="n">
        <v>46114</v>
      </c>
      <c r="D9233" t="inlineStr">
        <is>
          <t>DALARNAS LÄN</t>
        </is>
      </c>
      <c r="E9233" t="inlineStr">
        <is>
          <t>BORLÄNGE</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19628-2024</t>
        </is>
      </c>
      <c r="B9234" s="1" t="n">
        <v>45431</v>
      </c>
      <c r="C9234" s="1" t="n">
        <v>46114</v>
      </c>
      <c r="D9234" t="inlineStr">
        <is>
          <t>DALARNAS LÄN</t>
        </is>
      </c>
      <c r="E9234" t="inlineStr">
        <is>
          <t>MALUNG-SÄLEN</t>
        </is>
      </c>
      <c r="F9234" t="inlineStr">
        <is>
          <t>Allmännings- och besparingsskogar</t>
        </is>
      </c>
      <c r="G9234" t="n">
        <v>0.5</v>
      </c>
      <c r="H9234" t="n">
        <v>0</v>
      </c>
      <c r="I9234" t="n">
        <v>0</v>
      </c>
      <c r="J9234" t="n">
        <v>0</v>
      </c>
      <c r="K9234" t="n">
        <v>0</v>
      </c>
      <c r="L9234" t="n">
        <v>0</v>
      </c>
      <c r="M9234" t="n">
        <v>0</v>
      </c>
      <c r="N9234" t="n">
        <v>0</v>
      </c>
      <c r="O9234" t="n">
        <v>0</v>
      </c>
      <c r="P9234" t="n">
        <v>0</v>
      </c>
      <c r="Q9234" t="n">
        <v>0</v>
      </c>
      <c r="R9234" s="2" t="inlineStr"/>
    </row>
    <row r="9235" ht="15" customHeight="1">
      <c r="A9235" t="inlineStr">
        <is>
          <t>A 15124-2026</t>
        </is>
      </c>
      <c r="B9235" s="1" t="n">
        <v>46105.36947916666</v>
      </c>
      <c r="C9235" s="1" t="n">
        <v>46114</v>
      </c>
      <c r="D9235" t="inlineStr">
        <is>
          <t>DALARNAS LÄN</t>
        </is>
      </c>
      <c r="E9235" t="inlineStr">
        <is>
          <t>FALUN</t>
        </is>
      </c>
      <c r="F9235" t="inlineStr">
        <is>
          <t>Bergvik skog väst AB</t>
        </is>
      </c>
      <c r="G9235" t="n">
        <v>1.7</v>
      </c>
      <c r="H9235" t="n">
        <v>0</v>
      </c>
      <c r="I9235" t="n">
        <v>0</v>
      </c>
      <c r="J9235" t="n">
        <v>0</v>
      </c>
      <c r="K9235" t="n">
        <v>0</v>
      </c>
      <c r="L9235" t="n">
        <v>0</v>
      </c>
      <c r="M9235" t="n">
        <v>0</v>
      </c>
      <c r="N9235" t="n">
        <v>0</v>
      </c>
      <c r="O9235" t="n">
        <v>0</v>
      </c>
      <c r="P9235" t="n">
        <v>0</v>
      </c>
      <c r="Q9235" t="n">
        <v>0</v>
      </c>
      <c r="R9235" s="2" t="inlineStr"/>
    </row>
    <row r="9236" ht="15" customHeight="1">
      <c r="A9236" t="inlineStr">
        <is>
          <t>A 7795-2026</t>
        </is>
      </c>
      <c r="B9236" s="1" t="n">
        <v>46062.59821759259</v>
      </c>
      <c r="C9236" s="1" t="n">
        <v>46114</v>
      </c>
      <c r="D9236" t="inlineStr">
        <is>
          <t>DALARNAS LÄN</t>
        </is>
      </c>
      <c r="E9236" t="inlineStr">
        <is>
          <t>ÄLVDALEN</t>
        </is>
      </c>
      <c r="G9236" t="n">
        <v>0.4</v>
      </c>
      <c r="H9236" t="n">
        <v>0</v>
      </c>
      <c r="I9236" t="n">
        <v>0</v>
      </c>
      <c r="J9236" t="n">
        <v>0</v>
      </c>
      <c r="K9236" t="n">
        <v>0</v>
      </c>
      <c r="L9236" t="n">
        <v>0</v>
      </c>
      <c r="M9236" t="n">
        <v>0</v>
      </c>
      <c r="N9236" t="n">
        <v>0</v>
      </c>
      <c r="O9236" t="n">
        <v>0</v>
      </c>
      <c r="P9236" t="n">
        <v>0</v>
      </c>
      <c r="Q9236" t="n">
        <v>0</v>
      </c>
      <c r="R9236" s="2" t="inlineStr"/>
    </row>
    <row r="9237" ht="15" customHeight="1">
      <c r="A9237" t="inlineStr">
        <is>
          <t>A 7800-2026</t>
        </is>
      </c>
      <c r="B9237" s="1" t="n">
        <v>46062</v>
      </c>
      <c r="C9237" s="1" t="n">
        <v>46114</v>
      </c>
      <c r="D9237" t="inlineStr">
        <is>
          <t>DALARNAS LÄN</t>
        </is>
      </c>
      <c r="E9237" t="inlineStr">
        <is>
          <t>FALUN</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7802-2026</t>
        </is>
      </c>
      <c r="B9238" s="1" t="n">
        <v>46062.60400462963</v>
      </c>
      <c r="C9238" s="1" t="n">
        <v>46114</v>
      </c>
      <c r="D9238" t="inlineStr">
        <is>
          <t>DALARNAS LÄN</t>
        </is>
      </c>
      <c r="E9238" t="inlineStr">
        <is>
          <t>ÄLVDALEN</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7994-2026</t>
        </is>
      </c>
      <c r="B9239" s="1" t="n">
        <v>46063</v>
      </c>
      <c r="C9239" s="1" t="n">
        <v>46114</v>
      </c>
      <c r="D9239" t="inlineStr">
        <is>
          <t>DALARNAS LÄN</t>
        </is>
      </c>
      <c r="E9239" t="inlineStr">
        <is>
          <t>HEDEMORA</t>
        </is>
      </c>
      <c r="F9239" t="inlineStr">
        <is>
          <t>Sveaskog</t>
        </is>
      </c>
      <c r="G9239" t="n">
        <v>2.7</v>
      </c>
      <c r="H9239" t="n">
        <v>0</v>
      </c>
      <c r="I9239" t="n">
        <v>0</v>
      </c>
      <c r="J9239" t="n">
        <v>0</v>
      </c>
      <c r="K9239" t="n">
        <v>0</v>
      </c>
      <c r="L9239" t="n">
        <v>0</v>
      </c>
      <c r="M9239" t="n">
        <v>0</v>
      </c>
      <c r="N9239" t="n">
        <v>0</v>
      </c>
      <c r="O9239" t="n">
        <v>0</v>
      </c>
      <c r="P9239" t="n">
        <v>0</v>
      </c>
      <c r="Q9239" t="n">
        <v>0</v>
      </c>
      <c r="R9239" s="2" t="inlineStr"/>
    </row>
    <row r="9240" ht="15" customHeight="1">
      <c r="A9240" t="inlineStr">
        <is>
          <t>A 11140-2026</t>
        </is>
      </c>
      <c r="B9240" s="1" t="n">
        <v>46079</v>
      </c>
      <c r="C9240" s="1" t="n">
        <v>46114</v>
      </c>
      <c r="D9240" t="inlineStr">
        <is>
          <t>DALARNAS LÄN</t>
        </is>
      </c>
      <c r="E9240" t="inlineStr">
        <is>
          <t>FALUN</t>
        </is>
      </c>
      <c r="G9240" t="n">
        <v>6</v>
      </c>
      <c r="H9240" t="n">
        <v>0</v>
      </c>
      <c r="I9240" t="n">
        <v>0</v>
      </c>
      <c r="J9240" t="n">
        <v>0</v>
      </c>
      <c r="K9240" t="n">
        <v>0</v>
      </c>
      <c r="L9240" t="n">
        <v>0</v>
      </c>
      <c r="M9240" t="n">
        <v>0</v>
      </c>
      <c r="N9240" t="n">
        <v>0</v>
      </c>
      <c r="O9240" t="n">
        <v>0</v>
      </c>
      <c r="P9240" t="n">
        <v>0</v>
      </c>
      <c r="Q9240" t="n">
        <v>0</v>
      </c>
      <c r="R9240" s="2" t="inlineStr"/>
    </row>
    <row r="9241" ht="15" customHeight="1">
      <c r="A9241" t="inlineStr">
        <is>
          <t>A 14841-2026</t>
        </is>
      </c>
      <c r="B9241" s="1" t="n">
        <v>46104.39768518518</v>
      </c>
      <c r="C9241" s="1" t="n">
        <v>46114</v>
      </c>
      <c r="D9241" t="inlineStr">
        <is>
          <t>DALARNAS LÄN</t>
        </is>
      </c>
      <c r="E9241" t="inlineStr">
        <is>
          <t>FALUN</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14508-2026</t>
        </is>
      </c>
      <c r="B9242" s="1" t="n">
        <v>46100</v>
      </c>
      <c r="C9242" s="1" t="n">
        <v>46114</v>
      </c>
      <c r="D9242" t="inlineStr">
        <is>
          <t>DALARNAS LÄN</t>
        </is>
      </c>
      <c r="E9242" t="inlineStr">
        <is>
          <t>RÄTTVIK</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12999-2026</t>
        </is>
      </c>
      <c r="B9243" s="1" t="n">
        <v>46092</v>
      </c>
      <c r="C9243" s="1" t="n">
        <v>46114</v>
      </c>
      <c r="D9243" t="inlineStr">
        <is>
          <t>DALARNAS LÄN</t>
        </is>
      </c>
      <c r="E9243" t="inlineStr">
        <is>
          <t>FALUN</t>
        </is>
      </c>
      <c r="G9243" t="n">
        <v>4.4</v>
      </c>
      <c r="H9243" t="n">
        <v>0</v>
      </c>
      <c r="I9243" t="n">
        <v>0</v>
      </c>
      <c r="J9243" t="n">
        <v>0</v>
      </c>
      <c r="K9243" t="n">
        <v>0</v>
      </c>
      <c r="L9243" t="n">
        <v>0</v>
      </c>
      <c r="M9243" t="n">
        <v>0</v>
      </c>
      <c r="N9243" t="n">
        <v>0</v>
      </c>
      <c r="O9243" t="n">
        <v>0</v>
      </c>
      <c r="P9243" t="n">
        <v>0</v>
      </c>
      <c r="Q9243" t="n">
        <v>0</v>
      </c>
      <c r="R9243" s="2" t="inlineStr"/>
    </row>
    <row r="9244" ht="15" customHeight="1">
      <c r="A9244" t="inlineStr">
        <is>
          <t>A 13020-2026</t>
        </is>
      </c>
      <c r="B9244" s="1" t="n">
        <v>46092</v>
      </c>
      <c r="C9244" s="1" t="n">
        <v>46114</v>
      </c>
      <c r="D9244" t="inlineStr">
        <is>
          <t>DALARNAS LÄN</t>
        </is>
      </c>
      <c r="E9244" t="inlineStr">
        <is>
          <t>FALUN</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15243-2026</t>
        </is>
      </c>
      <c r="B9245" s="1" t="n">
        <v>46105.56600694444</v>
      </c>
      <c r="C9245" s="1" t="n">
        <v>46114</v>
      </c>
      <c r="D9245" t="inlineStr">
        <is>
          <t>DALARNAS LÄN</t>
        </is>
      </c>
      <c r="E9245" t="inlineStr">
        <is>
          <t>RÄTTVIK</t>
        </is>
      </c>
      <c r="F9245" t="inlineStr">
        <is>
          <t>Bergvik skog väst AB</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15253-2026</t>
        </is>
      </c>
      <c r="B9246" s="1" t="n">
        <v>46105.57429398148</v>
      </c>
      <c r="C9246" s="1" t="n">
        <v>46114</v>
      </c>
      <c r="D9246" t="inlineStr">
        <is>
          <t>DALARNAS LÄN</t>
        </is>
      </c>
      <c r="E9246" t="inlineStr">
        <is>
          <t>RÄTTVIK</t>
        </is>
      </c>
      <c r="F9246" t="inlineStr">
        <is>
          <t>Sveaskog</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15266-2026</t>
        </is>
      </c>
      <c r="B9247" s="1" t="n">
        <v>46105.5949537037</v>
      </c>
      <c r="C9247" s="1" t="n">
        <v>46114</v>
      </c>
      <c r="D9247" t="inlineStr">
        <is>
          <t>DALARNAS LÄN</t>
        </is>
      </c>
      <c r="E9247" t="inlineStr">
        <is>
          <t>RÄTTVIK</t>
        </is>
      </c>
      <c r="F9247" t="inlineStr">
        <is>
          <t>Bergvik skog väst AB</t>
        </is>
      </c>
      <c r="G9247" t="n">
        <v>2.8</v>
      </c>
      <c r="H9247" t="n">
        <v>0</v>
      </c>
      <c r="I9247" t="n">
        <v>0</v>
      </c>
      <c r="J9247" t="n">
        <v>0</v>
      </c>
      <c r="K9247" t="n">
        <v>0</v>
      </c>
      <c r="L9247" t="n">
        <v>0</v>
      </c>
      <c r="M9247" t="n">
        <v>0</v>
      </c>
      <c r="N9247" t="n">
        <v>0</v>
      </c>
      <c r="O9247" t="n">
        <v>0</v>
      </c>
      <c r="P9247" t="n">
        <v>0</v>
      </c>
      <c r="Q9247" t="n">
        <v>0</v>
      </c>
      <c r="R9247" s="2" t="inlineStr"/>
    </row>
    <row r="9248" ht="15" customHeight="1">
      <c r="A9248" t="inlineStr">
        <is>
          <t>A 15267-2026</t>
        </is>
      </c>
      <c r="B9248" s="1" t="n">
        <v>46105.59797453704</v>
      </c>
      <c r="C9248" s="1" t="n">
        <v>46114</v>
      </c>
      <c r="D9248" t="inlineStr">
        <is>
          <t>DALARNAS LÄN</t>
        </is>
      </c>
      <c r="E9248" t="inlineStr">
        <is>
          <t>RÄTTVIK</t>
        </is>
      </c>
      <c r="F9248" t="inlineStr">
        <is>
          <t>Bergvik skog väst AB</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15293-2026</t>
        </is>
      </c>
      <c r="B9249" s="1" t="n">
        <v>46105.62603009259</v>
      </c>
      <c r="C9249" s="1" t="n">
        <v>46114</v>
      </c>
      <c r="D9249" t="inlineStr">
        <is>
          <t>DALARNAS LÄN</t>
        </is>
      </c>
      <c r="E9249" t="inlineStr">
        <is>
          <t>FALUN</t>
        </is>
      </c>
      <c r="F9249" t="inlineStr">
        <is>
          <t>Bergvik skog väst AB</t>
        </is>
      </c>
      <c r="G9249" t="n">
        <v>11.2</v>
      </c>
      <c r="H9249" t="n">
        <v>0</v>
      </c>
      <c r="I9249" t="n">
        <v>0</v>
      </c>
      <c r="J9249" t="n">
        <v>0</v>
      </c>
      <c r="K9249" t="n">
        <v>0</v>
      </c>
      <c r="L9249" t="n">
        <v>0</v>
      </c>
      <c r="M9249" t="n">
        <v>0</v>
      </c>
      <c r="N9249" t="n">
        <v>0</v>
      </c>
      <c r="O9249" t="n">
        <v>0</v>
      </c>
      <c r="P9249" t="n">
        <v>0</v>
      </c>
      <c r="Q9249" t="n">
        <v>0</v>
      </c>
      <c r="R9249" s="2" t="inlineStr"/>
    </row>
    <row r="9250" ht="15" customHeight="1">
      <c r="A9250" t="inlineStr">
        <is>
          <t>A 46834-2023</t>
        </is>
      </c>
      <c r="B9250" s="1" t="n">
        <v>45199.35668981481</v>
      </c>
      <c r="C9250" s="1" t="n">
        <v>46114</v>
      </c>
      <c r="D9250" t="inlineStr">
        <is>
          <t>DALARNAS LÄN</t>
        </is>
      </c>
      <c r="E9250" t="inlineStr">
        <is>
          <t>LEKSAND</t>
        </is>
      </c>
      <c r="G9250" t="n">
        <v>16.3</v>
      </c>
      <c r="H9250" t="n">
        <v>0</v>
      </c>
      <c r="I9250" t="n">
        <v>0</v>
      </c>
      <c r="J9250" t="n">
        <v>0</v>
      </c>
      <c r="K9250" t="n">
        <v>0</v>
      </c>
      <c r="L9250" t="n">
        <v>0</v>
      </c>
      <c r="M9250" t="n">
        <v>0</v>
      </c>
      <c r="N9250" t="n">
        <v>0</v>
      </c>
      <c r="O9250" t="n">
        <v>0</v>
      </c>
      <c r="P9250" t="n">
        <v>0</v>
      </c>
      <c r="Q9250" t="n">
        <v>0</v>
      </c>
      <c r="R9250" s="2" t="inlineStr"/>
    </row>
    <row r="9251" ht="15" customHeight="1">
      <c r="A9251" t="inlineStr">
        <is>
          <t>A 15312-2026</t>
        </is>
      </c>
      <c r="B9251" s="1" t="n">
        <v>46105.64487268519</v>
      </c>
      <c r="C9251" s="1" t="n">
        <v>46114</v>
      </c>
      <c r="D9251" t="inlineStr">
        <is>
          <t>DALARNAS LÄN</t>
        </is>
      </c>
      <c r="E9251" t="inlineStr">
        <is>
          <t>RÄTTVIK</t>
        </is>
      </c>
      <c r="F9251" t="inlineStr">
        <is>
          <t>Bergvik skog väst AB</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54543-2024</t>
        </is>
      </c>
      <c r="B9252" s="1" t="n">
        <v>45617.61184027778</v>
      </c>
      <c r="C9252" s="1" t="n">
        <v>46114</v>
      </c>
      <c r="D9252" t="inlineStr">
        <is>
          <t>DALARNAS LÄN</t>
        </is>
      </c>
      <c r="E9252" t="inlineStr">
        <is>
          <t>FALUN</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8103-2026</t>
        </is>
      </c>
      <c r="B9253" s="1" t="n">
        <v>46063.73574074074</v>
      </c>
      <c r="C9253" s="1" t="n">
        <v>46114</v>
      </c>
      <c r="D9253" t="inlineStr">
        <is>
          <t>DALARNAS LÄN</t>
        </is>
      </c>
      <c r="E9253" t="inlineStr">
        <is>
          <t>VANSBRO</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14850-2026</t>
        </is>
      </c>
      <c r="B9254" s="1" t="n">
        <v>46104</v>
      </c>
      <c r="C9254" s="1" t="n">
        <v>46114</v>
      </c>
      <c r="D9254" t="inlineStr">
        <is>
          <t>DALARNAS LÄN</t>
        </is>
      </c>
      <c r="E9254" t="inlineStr">
        <is>
          <t>FALUN</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15041-2026</t>
        </is>
      </c>
      <c r="B9255" s="1" t="n">
        <v>46104.65979166667</v>
      </c>
      <c r="C9255" s="1" t="n">
        <v>46114</v>
      </c>
      <c r="D9255" t="inlineStr">
        <is>
          <t>DALARNAS LÄN</t>
        </is>
      </c>
      <c r="E9255" t="inlineStr">
        <is>
          <t>BORLÄNGE</t>
        </is>
      </c>
      <c r="G9255" t="n">
        <v>4.9</v>
      </c>
      <c r="H9255" t="n">
        <v>0</v>
      </c>
      <c r="I9255" t="n">
        <v>0</v>
      </c>
      <c r="J9255" t="n">
        <v>0</v>
      </c>
      <c r="K9255" t="n">
        <v>0</v>
      </c>
      <c r="L9255" t="n">
        <v>0</v>
      </c>
      <c r="M9255" t="n">
        <v>0</v>
      </c>
      <c r="N9255" t="n">
        <v>0</v>
      </c>
      <c r="O9255" t="n">
        <v>0</v>
      </c>
      <c r="P9255" t="n">
        <v>0</v>
      </c>
      <c r="Q9255" t="n">
        <v>0</v>
      </c>
      <c r="R9255" s="2" t="inlineStr"/>
    </row>
    <row r="9256" ht="15" customHeight="1">
      <c r="A9256" t="inlineStr">
        <is>
          <t>A 15047-2026</t>
        </is>
      </c>
      <c r="B9256" s="1" t="n">
        <v>46104.66553240741</v>
      </c>
      <c r="C9256" s="1" t="n">
        <v>46114</v>
      </c>
      <c r="D9256" t="inlineStr">
        <is>
          <t>DALARNAS LÄN</t>
        </is>
      </c>
      <c r="E9256" t="inlineStr">
        <is>
          <t>SMEDJEBACKEN</t>
        </is>
      </c>
      <c r="F9256" t="inlineStr">
        <is>
          <t>Sveaskog</t>
        </is>
      </c>
      <c r="G9256" t="n">
        <v>1.3</v>
      </c>
      <c r="H9256" t="n">
        <v>0</v>
      </c>
      <c r="I9256" t="n">
        <v>0</v>
      </c>
      <c r="J9256" t="n">
        <v>0</v>
      </c>
      <c r="K9256" t="n">
        <v>0</v>
      </c>
      <c r="L9256" t="n">
        <v>0</v>
      </c>
      <c r="M9256" t="n">
        <v>0</v>
      </c>
      <c r="N9256" t="n">
        <v>0</v>
      </c>
      <c r="O9256" t="n">
        <v>0</v>
      </c>
      <c r="P9256" t="n">
        <v>0</v>
      </c>
      <c r="Q9256" t="n">
        <v>0</v>
      </c>
      <c r="R9256" s="2" t="inlineStr"/>
    </row>
    <row r="9257" ht="15" customHeight="1">
      <c r="A9257" t="inlineStr">
        <is>
          <t>A 14930-2026</t>
        </is>
      </c>
      <c r="B9257" s="1" t="n">
        <v>46104.48550925926</v>
      </c>
      <c r="C9257" s="1" t="n">
        <v>46114</v>
      </c>
      <c r="D9257" t="inlineStr">
        <is>
          <t>DALARNAS LÄN</t>
        </is>
      </c>
      <c r="E9257" t="inlineStr">
        <is>
          <t>RÄTTVIK</t>
        </is>
      </c>
      <c r="F9257" t="inlineStr">
        <is>
          <t>Sveaskog</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14932-2026</t>
        </is>
      </c>
      <c r="B9258" s="1" t="n">
        <v>46104</v>
      </c>
      <c r="C9258" s="1" t="n">
        <v>46114</v>
      </c>
      <c r="D9258" t="inlineStr">
        <is>
          <t>DALARNAS LÄN</t>
        </is>
      </c>
      <c r="E9258" t="inlineStr">
        <is>
          <t>FALUN</t>
        </is>
      </c>
      <c r="G9258" t="n">
        <v>4.5</v>
      </c>
      <c r="H9258" t="n">
        <v>0</v>
      </c>
      <c r="I9258" t="n">
        <v>0</v>
      </c>
      <c r="J9258" t="n">
        <v>0</v>
      </c>
      <c r="K9258" t="n">
        <v>0</v>
      </c>
      <c r="L9258" t="n">
        <v>0</v>
      </c>
      <c r="M9258" t="n">
        <v>0</v>
      </c>
      <c r="N9258" t="n">
        <v>0</v>
      </c>
      <c r="O9258" t="n">
        <v>0</v>
      </c>
      <c r="P9258" t="n">
        <v>0</v>
      </c>
      <c r="Q9258" t="n">
        <v>0</v>
      </c>
      <c r="R9258" s="2" t="inlineStr"/>
    </row>
    <row r="9259" ht="15" customHeight="1">
      <c r="A9259" t="inlineStr">
        <is>
          <t>A 12851-2023</t>
        </is>
      </c>
      <c r="B9259" s="1" t="n">
        <v>45001.49347222222</v>
      </c>
      <c r="C9259" s="1" t="n">
        <v>46114</v>
      </c>
      <c r="D9259" t="inlineStr">
        <is>
          <t>DALARNAS LÄN</t>
        </is>
      </c>
      <c r="E9259" t="inlineStr">
        <is>
          <t>LEKSAND</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7846-2026</t>
        </is>
      </c>
      <c r="B9260" s="1" t="n">
        <v>46062</v>
      </c>
      <c r="C9260" s="1" t="n">
        <v>46114</v>
      </c>
      <c r="D9260" t="inlineStr">
        <is>
          <t>DALARNAS LÄN</t>
        </is>
      </c>
      <c r="E9260" t="inlineStr">
        <is>
          <t>HEDEMORA</t>
        </is>
      </c>
      <c r="F9260" t="inlineStr">
        <is>
          <t>Sveaskog</t>
        </is>
      </c>
      <c r="G9260" t="n">
        <v>2.7</v>
      </c>
      <c r="H9260" t="n">
        <v>0</v>
      </c>
      <c r="I9260" t="n">
        <v>0</v>
      </c>
      <c r="J9260" t="n">
        <v>0</v>
      </c>
      <c r="K9260" t="n">
        <v>0</v>
      </c>
      <c r="L9260" t="n">
        <v>0</v>
      </c>
      <c r="M9260" t="n">
        <v>0</v>
      </c>
      <c r="N9260" t="n">
        <v>0</v>
      </c>
      <c r="O9260" t="n">
        <v>0</v>
      </c>
      <c r="P9260" t="n">
        <v>0</v>
      </c>
      <c r="Q9260" t="n">
        <v>0</v>
      </c>
      <c r="R9260" s="2" t="inlineStr"/>
    </row>
    <row r="9261" ht="15" customHeight="1">
      <c r="A9261" t="inlineStr">
        <is>
          <t>A 15115-2026</t>
        </is>
      </c>
      <c r="B9261" s="1" t="n">
        <v>46105.36430555556</v>
      </c>
      <c r="C9261" s="1" t="n">
        <v>46114</v>
      </c>
      <c r="D9261" t="inlineStr">
        <is>
          <t>DALARNAS LÄN</t>
        </is>
      </c>
      <c r="E9261" t="inlineStr">
        <is>
          <t>FALUN</t>
        </is>
      </c>
      <c r="G9261" t="n">
        <v>1</v>
      </c>
      <c r="H9261" t="n">
        <v>0</v>
      </c>
      <c r="I9261" t="n">
        <v>0</v>
      </c>
      <c r="J9261" t="n">
        <v>0</v>
      </c>
      <c r="K9261" t="n">
        <v>0</v>
      </c>
      <c r="L9261" t="n">
        <v>0</v>
      </c>
      <c r="M9261" t="n">
        <v>0</v>
      </c>
      <c r="N9261" t="n">
        <v>0</v>
      </c>
      <c r="O9261" t="n">
        <v>0</v>
      </c>
      <c r="P9261" t="n">
        <v>0</v>
      </c>
      <c r="Q9261" t="n">
        <v>0</v>
      </c>
      <c r="R9261" s="2" t="inlineStr"/>
    </row>
    <row r="9262" ht="15" customHeight="1">
      <c r="A9262" t="inlineStr">
        <is>
          <t>A 12147-2026</t>
        </is>
      </c>
      <c r="B9262" s="1" t="n">
        <v>46086</v>
      </c>
      <c r="C9262" s="1" t="n">
        <v>46114</v>
      </c>
      <c r="D9262" t="inlineStr">
        <is>
          <t>DALARNAS LÄN</t>
        </is>
      </c>
      <c r="E9262" t="inlineStr">
        <is>
          <t>RÄTTVIK</t>
        </is>
      </c>
      <c r="F9262" t="inlineStr">
        <is>
          <t>Bergvik skog väst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7678-2026</t>
        </is>
      </c>
      <c r="B9263" s="1" t="n">
        <v>46062</v>
      </c>
      <c r="C9263" s="1" t="n">
        <v>46114</v>
      </c>
      <c r="D9263" t="inlineStr">
        <is>
          <t>DALARNAS LÄN</t>
        </is>
      </c>
      <c r="E9263" t="inlineStr">
        <is>
          <t>ORSA</t>
        </is>
      </c>
      <c r="G9263" t="n">
        <v>2.2</v>
      </c>
      <c r="H9263" t="n">
        <v>0</v>
      </c>
      <c r="I9263" t="n">
        <v>0</v>
      </c>
      <c r="J9263" t="n">
        <v>0</v>
      </c>
      <c r="K9263" t="n">
        <v>0</v>
      </c>
      <c r="L9263" t="n">
        <v>0</v>
      </c>
      <c r="M9263" t="n">
        <v>0</v>
      </c>
      <c r="N9263" t="n">
        <v>0</v>
      </c>
      <c r="O9263" t="n">
        <v>0</v>
      </c>
      <c r="P9263" t="n">
        <v>0</v>
      </c>
      <c r="Q9263" t="n">
        <v>0</v>
      </c>
      <c r="R9263" s="2" t="inlineStr"/>
    </row>
    <row r="9264" ht="15" customHeight="1">
      <c r="A9264" t="inlineStr">
        <is>
          <t>A 15278-2026</t>
        </is>
      </c>
      <c r="B9264" s="1" t="n">
        <v>46105.61011574074</v>
      </c>
      <c r="C9264" s="1" t="n">
        <v>46114</v>
      </c>
      <c r="D9264" t="inlineStr">
        <is>
          <t>DALARNAS LÄN</t>
        </is>
      </c>
      <c r="E9264" t="inlineStr">
        <is>
          <t>FALUN</t>
        </is>
      </c>
      <c r="F9264" t="inlineStr">
        <is>
          <t>Bergvik skog väst AB</t>
        </is>
      </c>
      <c r="G9264" t="n">
        <v>34.4</v>
      </c>
      <c r="H9264" t="n">
        <v>0</v>
      </c>
      <c r="I9264" t="n">
        <v>0</v>
      </c>
      <c r="J9264" t="n">
        <v>0</v>
      </c>
      <c r="K9264" t="n">
        <v>0</v>
      </c>
      <c r="L9264" t="n">
        <v>0</v>
      </c>
      <c r="M9264" t="n">
        <v>0</v>
      </c>
      <c r="N9264" t="n">
        <v>0</v>
      </c>
      <c r="O9264" t="n">
        <v>0</v>
      </c>
      <c r="P9264" t="n">
        <v>0</v>
      </c>
      <c r="Q9264" t="n">
        <v>0</v>
      </c>
      <c r="R9264" s="2" t="inlineStr"/>
    </row>
    <row r="9265" ht="15" customHeight="1">
      <c r="A9265" t="inlineStr">
        <is>
          <t>A 536-2026</t>
        </is>
      </c>
      <c r="B9265" s="1" t="n">
        <v>46029</v>
      </c>
      <c r="C9265" s="1" t="n">
        <v>46114</v>
      </c>
      <c r="D9265" t="inlineStr">
        <is>
          <t>DALARNAS LÄN</t>
        </is>
      </c>
      <c r="E9265" t="inlineStr">
        <is>
          <t>SÄTER</t>
        </is>
      </c>
      <c r="G9265" t="n">
        <v>9.9</v>
      </c>
      <c r="H9265" t="n">
        <v>0</v>
      </c>
      <c r="I9265" t="n">
        <v>0</v>
      </c>
      <c r="J9265" t="n">
        <v>0</v>
      </c>
      <c r="K9265" t="n">
        <v>0</v>
      </c>
      <c r="L9265" t="n">
        <v>0</v>
      </c>
      <c r="M9265" t="n">
        <v>0</v>
      </c>
      <c r="N9265" t="n">
        <v>0</v>
      </c>
      <c r="O9265" t="n">
        <v>0</v>
      </c>
      <c r="P9265" t="n">
        <v>0</v>
      </c>
      <c r="Q9265" t="n">
        <v>0</v>
      </c>
      <c r="R9265" s="2" t="inlineStr"/>
    </row>
    <row r="9266" ht="15" customHeight="1">
      <c r="A9266" t="inlineStr">
        <is>
          <t>A 7663-2026</t>
        </is>
      </c>
      <c r="B9266" s="1" t="n">
        <v>46062</v>
      </c>
      <c r="C9266" s="1" t="n">
        <v>46114</v>
      </c>
      <c r="D9266" t="inlineStr">
        <is>
          <t>DALARNAS LÄN</t>
        </is>
      </c>
      <c r="E9266" t="inlineStr">
        <is>
          <t>RÄTTVIK</t>
        </is>
      </c>
      <c r="G9266" t="n">
        <v>0.3</v>
      </c>
      <c r="H9266" t="n">
        <v>0</v>
      </c>
      <c r="I9266" t="n">
        <v>0</v>
      </c>
      <c r="J9266" t="n">
        <v>0</v>
      </c>
      <c r="K9266" t="n">
        <v>0</v>
      </c>
      <c r="L9266" t="n">
        <v>0</v>
      </c>
      <c r="M9266" t="n">
        <v>0</v>
      </c>
      <c r="N9266" t="n">
        <v>0</v>
      </c>
      <c r="O9266" t="n">
        <v>0</v>
      </c>
      <c r="P9266" t="n">
        <v>0</v>
      </c>
      <c r="Q9266" t="n">
        <v>0</v>
      </c>
      <c r="R9266" s="2" t="inlineStr"/>
    </row>
    <row r="9267" ht="15" customHeight="1">
      <c r="A9267" t="inlineStr">
        <is>
          <t>A 15040-2026</t>
        </is>
      </c>
      <c r="B9267" s="1" t="n">
        <v>46104.65896990741</v>
      </c>
      <c r="C9267" s="1" t="n">
        <v>46114</v>
      </c>
      <c r="D9267" t="inlineStr">
        <is>
          <t>DALARNAS LÄN</t>
        </is>
      </c>
      <c r="E9267" t="inlineStr">
        <is>
          <t>RÄTTVIK</t>
        </is>
      </c>
      <c r="F9267" t="inlineStr">
        <is>
          <t>Bergvik skog väst AB</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15133-2026</t>
        </is>
      </c>
      <c r="B9268" s="1" t="n">
        <v>46105.38149305555</v>
      </c>
      <c r="C9268" s="1" t="n">
        <v>46114</v>
      </c>
      <c r="D9268" t="inlineStr">
        <is>
          <t>DALARNAS LÄN</t>
        </is>
      </c>
      <c r="E9268" t="inlineStr">
        <is>
          <t>FALUN</t>
        </is>
      </c>
      <c r="F9268" t="inlineStr">
        <is>
          <t>Bergvik skog väst AB</t>
        </is>
      </c>
      <c r="G9268" t="n">
        <v>11.5</v>
      </c>
      <c r="H9268" t="n">
        <v>0</v>
      </c>
      <c r="I9268" t="n">
        <v>0</v>
      </c>
      <c r="J9268" t="n">
        <v>0</v>
      </c>
      <c r="K9268" t="n">
        <v>0</v>
      </c>
      <c r="L9268" t="n">
        <v>0</v>
      </c>
      <c r="M9268" t="n">
        <v>0</v>
      </c>
      <c r="N9268" t="n">
        <v>0</v>
      </c>
      <c r="O9268" t="n">
        <v>0</v>
      </c>
      <c r="P9268" t="n">
        <v>0</v>
      </c>
      <c r="Q9268" t="n">
        <v>0</v>
      </c>
      <c r="R9268" s="2" t="inlineStr"/>
    </row>
    <row r="9269" ht="15" customHeight="1">
      <c r="A9269" t="inlineStr">
        <is>
          <t>A 60667-2023</t>
        </is>
      </c>
      <c r="B9269" s="1" t="n">
        <v>45260</v>
      </c>
      <c r="C9269" s="1" t="n">
        <v>46114</v>
      </c>
      <c r="D9269" t="inlineStr">
        <is>
          <t>DALARNAS LÄN</t>
        </is>
      </c>
      <c r="E9269" t="inlineStr">
        <is>
          <t>GAGNEF</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14868-2026</t>
        </is>
      </c>
      <c r="B9270" s="1" t="n">
        <v>46104.43545138889</v>
      </c>
      <c r="C9270" s="1" t="n">
        <v>46114</v>
      </c>
      <c r="D9270" t="inlineStr">
        <is>
          <t>DALARNAS LÄN</t>
        </is>
      </c>
      <c r="E9270" t="inlineStr">
        <is>
          <t>MALUNG-SÄLEN</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14874-2026</t>
        </is>
      </c>
      <c r="B9271" s="1" t="n">
        <v>46104.43947916666</v>
      </c>
      <c r="C9271" s="1" t="n">
        <v>46114</v>
      </c>
      <c r="D9271" t="inlineStr">
        <is>
          <t>DALARNAS LÄN</t>
        </is>
      </c>
      <c r="E9271" t="inlineStr">
        <is>
          <t>RÄTTVIK</t>
        </is>
      </c>
      <c r="G9271" t="n">
        <v>8</v>
      </c>
      <c r="H9271" t="n">
        <v>0</v>
      </c>
      <c r="I9271" t="n">
        <v>0</v>
      </c>
      <c r="J9271" t="n">
        <v>0</v>
      </c>
      <c r="K9271" t="n">
        <v>0</v>
      </c>
      <c r="L9271" t="n">
        <v>0</v>
      </c>
      <c r="M9271" t="n">
        <v>0</v>
      </c>
      <c r="N9271" t="n">
        <v>0</v>
      </c>
      <c r="O9271" t="n">
        <v>0</v>
      </c>
      <c r="P9271" t="n">
        <v>0</v>
      </c>
      <c r="Q9271" t="n">
        <v>0</v>
      </c>
      <c r="R9271" s="2" t="inlineStr"/>
    </row>
    <row r="9272" ht="15" customHeight="1">
      <c r="A9272" t="inlineStr">
        <is>
          <t>A 48170-2024</t>
        </is>
      </c>
      <c r="B9272" s="1" t="n">
        <v>45589.76975694444</v>
      </c>
      <c r="C9272" s="1" t="n">
        <v>46114</v>
      </c>
      <c r="D9272" t="inlineStr">
        <is>
          <t>DALARNAS LÄN</t>
        </is>
      </c>
      <c r="E9272" t="inlineStr">
        <is>
          <t>MORA</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50999-2021</t>
        </is>
      </c>
      <c r="B9273" s="1" t="n">
        <v>44460.85565972222</v>
      </c>
      <c r="C9273" s="1" t="n">
        <v>46114</v>
      </c>
      <c r="D9273" t="inlineStr">
        <is>
          <t>DALARNAS LÄN</t>
        </is>
      </c>
      <c r="E9273" t="inlineStr">
        <is>
          <t>ORSA</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58864-2023</t>
        </is>
      </c>
      <c r="B9274" s="1" t="n">
        <v>45252.45018518518</v>
      </c>
      <c r="C9274" s="1" t="n">
        <v>46114</v>
      </c>
      <c r="D9274" t="inlineStr">
        <is>
          <t>DALARNAS LÄN</t>
        </is>
      </c>
      <c r="E9274" t="inlineStr">
        <is>
          <t>FALUN</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58892-2023</t>
        </is>
      </c>
      <c r="B9275" s="1" t="n">
        <v>45252.48592592592</v>
      </c>
      <c r="C9275" s="1" t="n">
        <v>46114</v>
      </c>
      <c r="D9275" t="inlineStr">
        <is>
          <t>DALARNAS LÄN</t>
        </is>
      </c>
      <c r="E9275" t="inlineStr">
        <is>
          <t>MORA</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15315-2026</t>
        </is>
      </c>
      <c r="B9276" s="1" t="n">
        <v>46105.64921296296</v>
      </c>
      <c r="C9276" s="1" t="n">
        <v>46114</v>
      </c>
      <c r="D9276" t="inlineStr">
        <is>
          <t>DALARNAS LÄN</t>
        </is>
      </c>
      <c r="E9276" t="inlineStr">
        <is>
          <t>RÄTTVIK</t>
        </is>
      </c>
      <c r="F9276" t="inlineStr">
        <is>
          <t>Bergvik skog väst AB</t>
        </is>
      </c>
      <c r="G9276" t="n">
        <v>0.7</v>
      </c>
      <c r="H9276" t="n">
        <v>0</v>
      </c>
      <c r="I9276" t="n">
        <v>0</v>
      </c>
      <c r="J9276" t="n">
        <v>0</v>
      </c>
      <c r="K9276" t="n">
        <v>0</v>
      </c>
      <c r="L9276" t="n">
        <v>0</v>
      </c>
      <c r="M9276" t="n">
        <v>0</v>
      </c>
      <c r="N9276" t="n">
        <v>0</v>
      </c>
      <c r="O9276" t="n">
        <v>0</v>
      </c>
      <c r="P9276" t="n">
        <v>0</v>
      </c>
      <c r="Q9276" t="n">
        <v>0</v>
      </c>
      <c r="R9276" s="2" t="inlineStr"/>
    </row>
    <row r="9277" ht="15" customHeight="1">
      <c r="A9277" t="inlineStr">
        <is>
          <t>A 15333-2026</t>
        </is>
      </c>
      <c r="B9277" s="1" t="n">
        <v>46105.66302083333</v>
      </c>
      <c r="C9277" s="1" t="n">
        <v>46114</v>
      </c>
      <c r="D9277" t="inlineStr">
        <is>
          <t>DALARNAS LÄN</t>
        </is>
      </c>
      <c r="E9277" t="inlineStr">
        <is>
          <t>FALUN</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15335-2026</t>
        </is>
      </c>
      <c r="B9278" s="1" t="n">
        <v>46105.66328703704</v>
      </c>
      <c r="C9278" s="1" t="n">
        <v>46114</v>
      </c>
      <c r="D9278" t="inlineStr">
        <is>
          <t>DALARNAS LÄN</t>
        </is>
      </c>
      <c r="E9278" t="inlineStr">
        <is>
          <t>RÄTTVIK</t>
        </is>
      </c>
      <c r="F9278" t="inlineStr">
        <is>
          <t>Bergvik skog väst AB</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3655-2026</t>
        </is>
      </c>
      <c r="B9279" s="1" t="n">
        <v>46043</v>
      </c>
      <c r="C9279" s="1" t="n">
        <v>46114</v>
      </c>
      <c r="D9279" t="inlineStr">
        <is>
          <t>DALARNAS LÄN</t>
        </is>
      </c>
      <c r="E9279" t="inlineStr">
        <is>
          <t>BORLÄNGE</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15014-2026</t>
        </is>
      </c>
      <c r="B9280" s="1" t="n">
        <v>46104.61778935185</v>
      </c>
      <c r="C9280" s="1" t="n">
        <v>46114</v>
      </c>
      <c r="D9280" t="inlineStr">
        <is>
          <t>DALARNAS LÄN</t>
        </is>
      </c>
      <c r="E9280" t="inlineStr">
        <is>
          <t>ÄLVDALEN</t>
        </is>
      </c>
      <c r="G9280" t="n">
        <v>7.4</v>
      </c>
      <c r="H9280" t="n">
        <v>0</v>
      </c>
      <c r="I9280" t="n">
        <v>0</v>
      </c>
      <c r="J9280" t="n">
        <v>0</v>
      </c>
      <c r="K9280" t="n">
        <v>0</v>
      </c>
      <c r="L9280" t="n">
        <v>0</v>
      </c>
      <c r="M9280" t="n">
        <v>0</v>
      </c>
      <c r="N9280" t="n">
        <v>0</v>
      </c>
      <c r="O9280" t="n">
        <v>0</v>
      </c>
      <c r="P9280" t="n">
        <v>0</v>
      </c>
      <c r="Q9280" t="n">
        <v>0</v>
      </c>
      <c r="R9280" s="2" t="inlineStr"/>
    </row>
    <row r="9281" ht="15" customHeight="1">
      <c r="A9281" t="inlineStr">
        <is>
          <t>A 28396-2021</t>
        </is>
      </c>
      <c r="B9281" s="1" t="n">
        <v>44356</v>
      </c>
      <c r="C9281" s="1" t="n">
        <v>46114</v>
      </c>
      <c r="D9281" t="inlineStr">
        <is>
          <t>DALARNAS LÄN</t>
        </is>
      </c>
      <c r="E9281" t="inlineStr">
        <is>
          <t>MALUNG-SÄLEN</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58713-2024</t>
        </is>
      </c>
      <c r="B9282" s="1" t="n">
        <v>45635.65060185185</v>
      </c>
      <c r="C9282" s="1" t="n">
        <v>46114</v>
      </c>
      <c r="D9282" t="inlineStr">
        <is>
          <t>DALARNAS LÄN</t>
        </is>
      </c>
      <c r="E9282" t="inlineStr">
        <is>
          <t>FALUN</t>
        </is>
      </c>
      <c r="F9282" t="inlineStr">
        <is>
          <t>Bergvik skog väst AB</t>
        </is>
      </c>
      <c r="G9282" t="n">
        <v>0.3</v>
      </c>
      <c r="H9282" t="n">
        <v>0</v>
      </c>
      <c r="I9282" t="n">
        <v>0</v>
      </c>
      <c r="J9282" t="n">
        <v>0</v>
      </c>
      <c r="K9282" t="n">
        <v>0</v>
      </c>
      <c r="L9282" t="n">
        <v>0</v>
      </c>
      <c r="M9282" t="n">
        <v>0</v>
      </c>
      <c r="N9282" t="n">
        <v>0</v>
      </c>
      <c r="O9282" t="n">
        <v>0</v>
      </c>
      <c r="P9282" t="n">
        <v>0</v>
      </c>
      <c r="Q9282" t="n">
        <v>0</v>
      </c>
      <c r="R9282" s="2" t="inlineStr"/>
    </row>
    <row r="9283" ht="15" customHeight="1">
      <c r="A9283" t="inlineStr">
        <is>
          <t>A 33102-2023</t>
        </is>
      </c>
      <c r="B9283" s="1" t="n">
        <v>45114</v>
      </c>
      <c r="C9283" s="1" t="n">
        <v>46114</v>
      </c>
      <c r="D9283" t="inlineStr">
        <is>
          <t>DALARNAS LÄN</t>
        </is>
      </c>
      <c r="E9283" t="inlineStr">
        <is>
          <t>ÄLVDALEN</t>
        </is>
      </c>
      <c r="G9283" t="n">
        <v>1.6</v>
      </c>
      <c r="H9283" t="n">
        <v>0</v>
      </c>
      <c r="I9283" t="n">
        <v>0</v>
      </c>
      <c r="J9283" t="n">
        <v>0</v>
      </c>
      <c r="K9283" t="n">
        <v>0</v>
      </c>
      <c r="L9283" t="n">
        <v>0</v>
      </c>
      <c r="M9283" t="n">
        <v>0</v>
      </c>
      <c r="N9283" t="n">
        <v>0</v>
      </c>
      <c r="O9283" t="n">
        <v>0</v>
      </c>
      <c r="P9283" t="n">
        <v>0</v>
      </c>
      <c r="Q9283" t="n">
        <v>0</v>
      </c>
      <c r="R9283" s="2" t="inlineStr"/>
    </row>
    <row r="9284" ht="15" customHeight="1">
      <c r="A9284" t="inlineStr">
        <is>
          <t>A 8033-2026</t>
        </is>
      </c>
      <c r="B9284" s="1" t="n">
        <v>46063</v>
      </c>
      <c r="C9284" s="1" t="n">
        <v>46114</v>
      </c>
      <c r="D9284" t="inlineStr">
        <is>
          <t>DALARNAS LÄN</t>
        </is>
      </c>
      <c r="E9284" t="inlineStr">
        <is>
          <t>FALUN</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8075-2026</t>
        </is>
      </c>
      <c r="B9285" s="1" t="n">
        <v>46063</v>
      </c>
      <c r="C9285" s="1" t="n">
        <v>46114</v>
      </c>
      <c r="D9285" t="inlineStr">
        <is>
          <t>DALARNAS LÄN</t>
        </is>
      </c>
      <c r="E9285" t="inlineStr">
        <is>
          <t>MORA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11737-2026</t>
        </is>
      </c>
      <c r="B9286" s="1" t="n">
        <v>46084</v>
      </c>
      <c r="C9286" s="1" t="n">
        <v>46114</v>
      </c>
      <c r="D9286" t="inlineStr">
        <is>
          <t>DALARNAS LÄN</t>
        </is>
      </c>
      <c r="E9286" t="inlineStr">
        <is>
          <t>SÄTER</t>
        </is>
      </c>
      <c r="F9286" t="inlineStr">
        <is>
          <t>Kommuner</t>
        </is>
      </c>
      <c r="G9286" t="n">
        <v>0.9</v>
      </c>
      <c r="H9286" t="n">
        <v>0</v>
      </c>
      <c r="I9286" t="n">
        <v>0</v>
      </c>
      <c r="J9286" t="n">
        <v>0</v>
      </c>
      <c r="K9286" t="n">
        <v>0</v>
      </c>
      <c r="L9286" t="n">
        <v>0</v>
      </c>
      <c r="M9286" t="n">
        <v>0</v>
      </c>
      <c r="N9286" t="n">
        <v>0</v>
      </c>
      <c r="O9286" t="n">
        <v>0</v>
      </c>
      <c r="P9286" t="n">
        <v>0</v>
      </c>
      <c r="Q9286" t="n">
        <v>0</v>
      </c>
      <c r="R9286" s="2" t="inlineStr"/>
    </row>
    <row r="9287" ht="15" customHeight="1">
      <c r="A9287" t="inlineStr">
        <is>
          <t>A 14015-2026</t>
        </is>
      </c>
      <c r="B9287" s="1" t="n">
        <v>46098</v>
      </c>
      <c r="C9287" s="1" t="n">
        <v>46114</v>
      </c>
      <c r="D9287" t="inlineStr">
        <is>
          <t>DALARNAS LÄN</t>
        </is>
      </c>
      <c r="E9287" t="inlineStr">
        <is>
          <t>GAGNEF</t>
        </is>
      </c>
      <c r="F9287" t="inlineStr">
        <is>
          <t>Bergvik skog väst AB</t>
        </is>
      </c>
      <c r="G9287" t="n">
        <v>1.9</v>
      </c>
      <c r="H9287" t="n">
        <v>0</v>
      </c>
      <c r="I9287" t="n">
        <v>0</v>
      </c>
      <c r="J9287" t="n">
        <v>0</v>
      </c>
      <c r="K9287" t="n">
        <v>0</v>
      </c>
      <c r="L9287" t="n">
        <v>0</v>
      </c>
      <c r="M9287" t="n">
        <v>0</v>
      </c>
      <c r="N9287" t="n">
        <v>0</v>
      </c>
      <c r="O9287" t="n">
        <v>0</v>
      </c>
      <c r="P9287" t="n">
        <v>0</v>
      </c>
      <c r="Q9287" t="n">
        <v>0</v>
      </c>
      <c r="R9287" s="2" t="inlineStr"/>
    </row>
    <row r="9288" ht="15" customHeight="1">
      <c r="A9288" t="inlineStr">
        <is>
          <t>A 12385-2026</t>
        </is>
      </c>
      <c r="B9288" s="1" t="n">
        <v>46090</v>
      </c>
      <c r="C9288" s="1" t="n">
        <v>46114</v>
      </c>
      <c r="D9288" t="inlineStr">
        <is>
          <t>DALARNAS LÄN</t>
        </is>
      </c>
      <c r="E9288" t="inlineStr">
        <is>
          <t>FALUN</t>
        </is>
      </c>
      <c r="F9288" t="inlineStr">
        <is>
          <t>Bergvik skog väst AB</t>
        </is>
      </c>
      <c r="G9288" t="n">
        <v>4.4</v>
      </c>
      <c r="H9288" t="n">
        <v>0</v>
      </c>
      <c r="I9288" t="n">
        <v>0</v>
      </c>
      <c r="J9288" t="n">
        <v>0</v>
      </c>
      <c r="K9288" t="n">
        <v>0</v>
      </c>
      <c r="L9288" t="n">
        <v>0</v>
      </c>
      <c r="M9288" t="n">
        <v>0</v>
      </c>
      <c r="N9288" t="n">
        <v>0</v>
      </c>
      <c r="O9288" t="n">
        <v>0</v>
      </c>
      <c r="P9288" t="n">
        <v>0</v>
      </c>
      <c r="Q9288" t="n">
        <v>0</v>
      </c>
      <c r="R9288" s="2" t="inlineStr"/>
    </row>
    <row r="9289" ht="15" customHeight="1">
      <c r="A9289" t="inlineStr">
        <is>
          <t>A 12453-2026</t>
        </is>
      </c>
      <c r="B9289" s="1" t="n">
        <v>46090</v>
      </c>
      <c r="C9289" s="1" t="n">
        <v>46114</v>
      </c>
      <c r="D9289" t="inlineStr">
        <is>
          <t>DALARNAS LÄN</t>
        </is>
      </c>
      <c r="E9289" t="inlineStr">
        <is>
          <t>RÄTTVIK</t>
        </is>
      </c>
      <c r="F9289" t="inlineStr">
        <is>
          <t>Kyrkan</t>
        </is>
      </c>
      <c r="G9289" t="n">
        <v>1.2</v>
      </c>
      <c r="H9289" t="n">
        <v>0</v>
      </c>
      <c r="I9289" t="n">
        <v>0</v>
      </c>
      <c r="J9289" t="n">
        <v>0</v>
      </c>
      <c r="K9289" t="n">
        <v>0</v>
      </c>
      <c r="L9289" t="n">
        <v>0</v>
      </c>
      <c r="M9289" t="n">
        <v>0</v>
      </c>
      <c r="N9289" t="n">
        <v>0</v>
      </c>
      <c r="O9289" t="n">
        <v>0</v>
      </c>
      <c r="P9289" t="n">
        <v>0</v>
      </c>
      <c r="Q9289" t="n">
        <v>0</v>
      </c>
      <c r="R9289" s="2" t="inlineStr"/>
    </row>
    <row r="9290" ht="15" customHeight="1">
      <c r="A9290" t="inlineStr">
        <is>
          <t>A 24481-2023</t>
        </is>
      </c>
      <c r="B9290" s="1" t="n">
        <v>45082</v>
      </c>
      <c r="C9290" s="1" t="n">
        <v>46114</v>
      </c>
      <c r="D9290" t="inlineStr">
        <is>
          <t>DALARNAS LÄN</t>
        </is>
      </c>
      <c r="E9290" t="inlineStr">
        <is>
          <t>VANSBRO</t>
        </is>
      </c>
      <c r="F9290" t="inlineStr">
        <is>
          <t>Bergvik skog väst AB</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46384-2024</t>
        </is>
      </c>
      <c r="B9291" s="1" t="n">
        <v>45582</v>
      </c>
      <c r="C9291" s="1" t="n">
        <v>46114</v>
      </c>
      <c r="D9291" t="inlineStr">
        <is>
          <t>DALARNAS LÄN</t>
        </is>
      </c>
      <c r="E9291" t="inlineStr">
        <is>
          <t>RÄTTVIK</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2612-2023</t>
        </is>
      </c>
      <c r="B9292" s="1" t="n">
        <v>44944</v>
      </c>
      <c r="C9292" s="1" t="n">
        <v>46114</v>
      </c>
      <c r="D9292" t="inlineStr">
        <is>
          <t>DALARNAS LÄN</t>
        </is>
      </c>
      <c r="E9292" t="inlineStr">
        <is>
          <t>MALUNG-SÄLEN</t>
        </is>
      </c>
      <c r="G9292" t="n">
        <v>3.5</v>
      </c>
      <c r="H9292" t="n">
        <v>0</v>
      </c>
      <c r="I9292" t="n">
        <v>0</v>
      </c>
      <c r="J9292" t="n">
        <v>0</v>
      </c>
      <c r="K9292" t="n">
        <v>0</v>
      </c>
      <c r="L9292" t="n">
        <v>0</v>
      </c>
      <c r="M9292" t="n">
        <v>0</v>
      </c>
      <c r="N9292" t="n">
        <v>0</v>
      </c>
      <c r="O9292" t="n">
        <v>0</v>
      </c>
      <c r="P9292" t="n">
        <v>0</v>
      </c>
      <c r="Q9292" t="n">
        <v>0</v>
      </c>
      <c r="R9292" s="2" t="inlineStr"/>
    </row>
    <row r="9293" ht="15" customHeight="1">
      <c r="A9293" t="inlineStr">
        <is>
          <t>A 12781-2026</t>
        </is>
      </c>
      <c r="B9293" s="1" t="n">
        <v>46091</v>
      </c>
      <c r="C9293" s="1" t="n">
        <v>46114</v>
      </c>
      <c r="D9293" t="inlineStr">
        <is>
          <t>DALARNAS LÄN</t>
        </is>
      </c>
      <c r="E9293" t="inlineStr">
        <is>
          <t>FALUN</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27877-2021</t>
        </is>
      </c>
      <c r="B9294" s="1" t="n">
        <v>44354.6446875</v>
      </c>
      <c r="C9294" s="1" t="n">
        <v>46114</v>
      </c>
      <c r="D9294" t="inlineStr">
        <is>
          <t>DALARNAS LÄN</t>
        </is>
      </c>
      <c r="E9294" t="inlineStr">
        <is>
          <t>ORSA</t>
        </is>
      </c>
      <c r="F9294" t="inlineStr">
        <is>
          <t>Bergvik skog öst AB</t>
        </is>
      </c>
      <c r="G9294" t="n">
        <v>0.8</v>
      </c>
      <c r="H9294" t="n">
        <v>0</v>
      </c>
      <c r="I9294" t="n">
        <v>0</v>
      </c>
      <c r="J9294" t="n">
        <v>0</v>
      </c>
      <c r="K9294" t="n">
        <v>0</v>
      </c>
      <c r="L9294" t="n">
        <v>0</v>
      </c>
      <c r="M9294" t="n">
        <v>0</v>
      </c>
      <c r="N9294" t="n">
        <v>0</v>
      </c>
      <c r="O9294" t="n">
        <v>0</v>
      </c>
      <c r="P9294" t="n">
        <v>0</v>
      </c>
      <c r="Q9294" t="n">
        <v>0</v>
      </c>
      <c r="R9294" s="2" t="inlineStr"/>
    </row>
    <row r="9295" ht="15" customHeight="1">
      <c r="A9295" t="inlineStr">
        <is>
          <t>A 7667-2026</t>
        </is>
      </c>
      <c r="B9295" s="1" t="n">
        <v>46062.40885416666</v>
      </c>
      <c r="C9295" s="1" t="n">
        <v>46114</v>
      </c>
      <c r="D9295" t="inlineStr">
        <is>
          <t>DALARNAS LÄN</t>
        </is>
      </c>
      <c r="E9295" t="inlineStr">
        <is>
          <t>FALUN</t>
        </is>
      </c>
      <c r="G9295" t="n">
        <v>4.4</v>
      </c>
      <c r="H9295" t="n">
        <v>0</v>
      </c>
      <c r="I9295" t="n">
        <v>0</v>
      </c>
      <c r="J9295" t="n">
        <v>0</v>
      </c>
      <c r="K9295" t="n">
        <v>0</v>
      </c>
      <c r="L9295" t="n">
        <v>0</v>
      </c>
      <c r="M9295" t="n">
        <v>0</v>
      </c>
      <c r="N9295" t="n">
        <v>0</v>
      </c>
      <c r="O9295" t="n">
        <v>0</v>
      </c>
      <c r="P9295" t="n">
        <v>0</v>
      </c>
      <c r="Q9295" t="n">
        <v>0</v>
      </c>
      <c r="R9295" s="2" t="inlineStr"/>
    </row>
    <row r="9296" ht="15" customHeight="1">
      <c r="A9296" t="inlineStr">
        <is>
          <t>A 15202-2026</t>
        </is>
      </c>
      <c r="B9296" s="1" t="n">
        <v>46105</v>
      </c>
      <c r="C9296" s="1" t="n">
        <v>46114</v>
      </c>
      <c r="D9296" t="inlineStr">
        <is>
          <t>DALARNAS LÄN</t>
        </is>
      </c>
      <c r="E9296" t="inlineStr">
        <is>
          <t>ÄLVDALEN</t>
        </is>
      </c>
      <c r="F9296" t="inlineStr">
        <is>
          <t>Sveaskog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15226-2026</t>
        </is>
      </c>
      <c r="B9297" s="1" t="n">
        <v>46105.54859953704</v>
      </c>
      <c r="C9297" s="1" t="n">
        <v>46114</v>
      </c>
      <c r="D9297" t="inlineStr">
        <is>
          <t>DALARNAS LÄN</t>
        </is>
      </c>
      <c r="E9297" t="inlineStr">
        <is>
          <t>RÄTTVIK</t>
        </is>
      </c>
      <c r="F9297" t="inlineStr">
        <is>
          <t>Bergvik skog väst AB</t>
        </is>
      </c>
      <c r="G9297" t="n">
        <v>6.7</v>
      </c>
      <c r="H9297" t="n">
        <v>0</v>
      </c>
      <c r="I9297" t="n">
        <v>0</v>
      </c>
      <c r="J9297" t="n">
        <v>0</v>
      </c>
      <c r="K9297" t="n">
        <v>0</v>
      </c>
      <c r="L9297" t="n">
        <v>0</v>
      </c>
      <c r="M9297" t="n">
        <v>0</v>
      </c>
      <c r="N9297" t="n">
        <v>0</v>
      </c>
      <c r="O9297" t="n">
        <v>0</v>
      </c>
      <c r="P9297" t="n">
        <v>0</v>
      </c>
      <c r="Q9297" t="n">
        <v>0</v>
      </c>
      <c r="R9297" s="2" t="inlineStr"/>
    </row>
    <row r="9298" ht="15" customHeight="1">
      <c r="A9298" t="inlineStr">
        <is>
          <t>A 7671-2026</t>
        </is>
      </c>
      <c r="B9298" s="1" t="n">
        <v>46062.41719907407</v>
      </c>
      <c r="C9298" s="1" t="n">
        <v>46114</v>
      </c>
      <c r="D9298" t="inlineStr">
        <is>
          <t>DALARNAS LÄN</t>
        </is>
      </c>
      <c r="E9298" t="inlineStr">
        <is>
          <t>RÄTTVIK</t>
        </is>
      </c>
      <c r="G9298" t="n">
        <v>1.7</v>
      </c>
      <c r="H9298" t="n">
        <v>0</v>
      </c>
      <c r="I9298" t="n">
        <v>0</v>
      </c>
      <c r="J9298" t="n">
        <v>0</v>
      </c>
      <c r="K9298" t="n">
        <v>0</v>
      </c>
      <c r="L9298" t="n">
        <v>0</v>
      </c>
      <c r="M9298" t="n">
        <v>0</v>
      </c>
      <c r="N9298" t="n">
        <v>0</v>
      </c>
      <c r="O9298" t="n">
        <v>0</v>
      </c>
      <c r="P9298" t="n">
        <v>0</v>
      </c>
      <c r="Q9298" t="n">
        <v>0</v>
      </c>
      <c r="R9298" s="2" t="inlineStr"/>
    </row>
    <row r="9299" ht="15" customHeight="1">
      <c r="A9299" t="inlineStr">
        <is>
          <t>A 7683-2026</t>
        </is>
      </c>
      <c r="B9299" s="1" t="n">
        <v>46062</v>
      </c>
      <c r="C9299" s="1" t="n">
        <v>46114</v>
      </c>
      <c r="D9299" t="inlineStr">
        <is>
          <t>DALARNAS LÄN</t>
        </is>
      </c>
      <c r="E9299" t="inlineStr">
        <is>
          <t>LUDVIKA</t>
        </is>
      </c>
      <c r="F9299" t="inlineStr">
        <is>
          <t>Bergvik skog väst AB</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15232-2026</t>
        </is>
      </c>
      <c r="B9300" s="1" t="n">
        <v>46105.55261574074</v>
      </c>
      <c r="C9300" s="1" t="n">
        <v>46114</v>
      </c>
      <c r="D9300" t="inlineStr">
        <is>
          <t>DALARNAS LÄN</t>
        </is>
      </c>
      <c r="E9300" t="inlineStr">
        <is>
          <t>HEDEMORA</t>
        </is>
      </c>
      <c r="F9300" t="inlineStr">
        <is>
          <t>Sveaskog</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62315-2022</t>
        </is>
      </c>
      <c r="B9301" s="1" t="n">
        <v>44916</v>
      </c>
      <c r="C9301" s="1" t="n">
        <v>46114</v>
      </c>
      <c r="D9301" t="inlineStr">
        <is>
          <t>DALARNAS LÄN</t>
        </is>
      </c>
      <c r="E9301" t="inlineStr">
        <is>
          <t>ÄLVDALEN</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62369-2022</t>
        </is>
      </c>
      <c r="B9302" s="1" t="n">
        <v>44923</v>
      </c>
      <c r="C9302" s="1" t="n">
        <v>46114</v>
      </c>
      <c r="D9302" t="inlineStr">
        <is>
          <t>DALARNAS LÄN</t>
        </is>
      </c>
      <c r="E9302" t="inlineStr">
        <is>
          <t>MALUNG-SÄLEN</t>
        </is>
      </c>
      <c r="G9302" t="n">
        <v>7.1</v>
      </c>
      <c r="H9302" t="n">
        <v>0</v>
      </c>
      <c r="I9302" t="n">
        <v>0</v>
      </c>
      <c r="J9302" t="n">
        <v>0</v>
      </c>
      <c r="K9302" t="n">
        <v>0</v>
      </c>
      <c r="L9302" t="n">
        <v>0</v>
      </c>
      <c r="M9302" t="n">
        <v>0</v>
      </c>
      <c r="N9302" t="n">
        <v>0</v>
      </c>
      <c r="O9302" t="n">
        <v>0</v>
      </c>
      <c r="P9302" t="n">
        <v>0</v>
      </c>
      <c r="Q9302" t="n">
        <v>0</v>
      </c>
      <c r="R9302" s="2" t="inlineStr"/>
    </row>
    <row r="9303" ht="15" customHeight="1">
      <c r="A9303" t="inlineStr">
        <is>
          <t>A 7719-2026</t>
        </is>
      </c>
      <c r="B9303" s="1" t="n">
        <v>46062.49636574074</v>
      </c>
      <c r="C9303" s="1" t="n">
        <v>46114</v>
      </c>
      <c r="D9303" t="inlineStr">
        <is>
          <t>DALARNAS LÄN</t>
        </is>
      </c>
      <c r="E9303" t="inlineStr">
        <is>
          <t>HEDEMORA</t>
        </is>
      </c>
      <c r="G9303" t="n">
        <v>1.1</v>
      </c>
      <c r="H9303" t="n">
        <v>0</v>
      </c>
      <c r="I9303" t="n">
        <v>0</v>
      </c>
      <c r="J9303" t="n">
        <v>0</v>
      </c>
      <c r="K9303" t="n">
        <v>0</v>
      </c>
      <c r="L9303" t="n">
        <v>0</v>
      </c>
      <c r="M9303" t="n">
        <v>0</v>
      </c>
      <c r="N9303" t="n">
        <v>0</v>
      </c>
      <c r="O9303" t="n">
        <v>0</v>
      </c>
      <c r="P9303" t="n">
        <v>0</v>
      </c>
      <c r="Q9303" t="n">
        <v>0</v>
      </c>
      <c r="R9303" s="2" t="inlineStr"/>
      <c r="U9303">
        <f>HYPERLINK("https://klasma.github.io/Logging_2083/knärot/A 7719-2026 karta knärot.png", "A 7719-2026")</f>
        <v/>
      </c>
      <c r="V9303">
        <f>HYPERLINK("https://klasma.github.io/Logging_2083/klagomål/A 7719-2026 FSC-klagomål.docx", "A 7719-2026")</f>
        <v/>
      </c>
      <c r="W9303">
        <f>HYPERLINK("https://klasma.github.io/Logging_2083/klagomålsmail/A 7719-2026 FSC-klagomål mail.docx", "A 7719-2026")</f>
        <v/>
      </c>
      <c r="X9303">
        <f>HYPERLINK("https://klasma.github.io/Logging_2083/tillsyn/A 7719-2026 tillsynsbegäran.docx", "A 7719-2026")</f>
        <v/>
      </c>
      <c r="Y9303">
        <f>HYPERLINK("https://klasma.github.io/Logging_2083/tillsynsmail/A 7719-2026 tillsynsbegäran mail.docx", "A 7719-2026")</f>
        <v/>
      </c>
    </row>
    <row r="9304" ht="15" customHeight="1">
      <c r="A9304" t="inlineStr">
        <is>
          <t>A 53168-2024</t>
        </is>
      </c>
      <c r="B9304" s="1" t="n">
        <v>45611.65569444445</v>
      </c>
      <c r="C9304" s="1" t="n">
        <v>46114</v>
      </c>
      <c r="D9304" t="inlineStr">
        <is>
          <t>DALARNAS LÄN</t>
        </is>
      </c>
      <c r="E9304" t="inlineStr">
        <is>
          <t>ÄLVDALEN</t>
        </is>
      </c>
      <c r="G9304" t="n">
        <v>3.4</v>
      </c>
      <c r="H9304" t="n">
        <v>0</v>
      </c>
      <c r="I9304" t="n">
        <v>0</v>
      </c>
      <c r="J9304" t="n">
        <v>0</v>
      </c>
      <c r="K9304" t="n">
        <v>0</v>
      </c>
      <c r="L9304" t="n">
        <v>0</v>
      </c>
      <c r="M9304" t="n">
        <v>0</v>
      </c>
      <c r="N9304" t="n">
        <v>0</v>
      </c>
      <c r="O9304" t="n">
        <v>0</v>
      </c>
      <c r="P9304" t="n">
        <v>0</v>
      </c>
      <c r="Q9304" t="n">
        <v>0</v>
      </c>
      <c r="R9304" s="2" t="inlineStr"/>
    </row>
    <row r="9305" ht="15" customHeight="1">
      <c r="A9305" t="inlineStr">
        <is>
          <t>A 7964-2026</t>
        </is>
      </c>
      <c r="B9305" s="1" t="n">
        <v>46063</v>
      </c>
      <c r="C9305" s="1" t="n">
        <v>46114</v>
      </c>
      <c r="D9305" t="inlineStr">
        <is>
          <t>DALARNAS LÄN</t>
        </is>
      </c>
      <c r="E9305" t="inlineStr">
        <is>
          <t>ORSA</t>
        </is>
      </c>
      <c r="G9305" t="n">
        <v>5.4</v>
      </c>
      <c r="H9305" t="n">
        <v>0</v>
      </c>
      <c r="I9305" t="n">
        <v>0</v>
      </c>
      <c r="J9305" t="n">
        <v>0</v>
      </c>
      <c r="K9305" t="n">
        <v>0</v>
      </c>
      <c r="L9305" t="n">
        <v>0</v>
      </c>
      <c r="M9305" t="n">
        <v>0</v>
      </c>
      <c r="N9305" t="n">
        <v>0</v>
      </c>
      <c r="O9305" t="n">
        <v>0</v>
      </c>
      <c r="P9305" t="n">
        <v>0</v>
      </c>
      <c r="Q9305" t="n">
        <v>0</v>
      </c>
      <c r="R9305" s="2" t="inlineStr"/>
    </row>
    <row r="9306" ht="15" customHeight="1">
      <c r="A9306" t="inlineStr">
        <is>
          <t>A 7970-2026</t>
        </is>
      </c>
      <c r="B9306" s="1" t="n">
        <v>46063</v>
      </c>
      <c r="C9306" s="1" t="n">
        <v>46114</v>
      </c>
      <c r="D9306" t="inlineStr">
        <is>
          <t>DALARNAS LÄN</t>
        </is>
      </c>
      <c r="E9306" t="inlineStr">
        <is>
          <t>ORSA</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19988-2025</t>
        </is>
      </c>
      <c r="B9307" s="1" t="n">
        <v>45771.72665509259</v>
      </c>
      <c r="C9307" s="1" t="n">
        <v>46114</v>
      </c>
      <c r="D9307" t="inlineStr">
        <is>
          <t>DALARNAS LÄN</t>
        </is>
      </c>
      <c r="E9307" t="inlineStr">
        <is>
          <t>HEDEMORA</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8000-2026</t>
        </is>
      </c>
      <c r="B9308" s="1" t="n">
        <v>46063</v>
      </c>
      <c r="C9308" s="1" t="n">
        <v>46114</v>
      </c>
      <c r="D9308" t="inlineStr">
        <is>
          <t>DALARNAS LÄN</t>
        </is>
      </c>
      <c r="E9308" t="inlineStr">
        <is>
          <t>AVESTA</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8073-2026</t>
        </is>
      </c>
      <c r="B9309" s="1" t="n">
        <v>46063</v>
      </c>
      <c r="C9309" s="1" t="n">
        <v>46114</v>
      </c>
      <c r="D9309" t="inlineStr">
        <is>
          <t>DALARNAS LÄN</t>
        </is>
      </c>
      <c r="E9309" t="inlineStr">
        <is>
          <t>RÄTTVIK</t>
        </is>
      </c>
      <c r="G9309" t="n">
        <v>2.1</v>
      </c>
      <c r="H9309" t="n">
        <v>0</v>
      </c>
      <c r="I9309" t="n">
        <v>0</v>
      </c>
      <c r="J9309" t="n">
        <v>0</v>
      </c>
      <c r="K9309" t="n">
        <v>0</v>
      </c>
      <c r="L9309" t="n">
        <v>0</v>
      </c>
      <c r="M9309" t="n">
        <v>0</v>
      </c>
      <c r="N9309" t="n">
        <v>0</v>
      </c>
      <c r="O9309" t="n">
        <v>0</v>
      </c>
      <c r="P9309" t="n">
        <v>0</v>
      </c>
      <c r="Q9309" t="n">
        <v>0</v>
      </c>
      <c r="R9309" s="2" t="inlineStr"/>
    </row>
    <row r="9310" ht="15" customHeight="1">
      <c r="A9310" t="inlineStr">
        <is>
          <t>A 8085-2026</t>
        </is>
      </c>
      <c r="B9310" s="1" t="n">
        <v>46063.68006944445</v>
      </c>
      <c r="C9310" s="1" t="n">
        <v>46114</v>
      </c>
      <c r="D9310" t="inlineStr">
        <is>
          <t>DALARNAS LÄN</t>
        </is>
      </c>
      <c r="E9310" t="inlineStr">
        <is>
          <t>ÄLVDALEN</t>
        </is>
      </c>
      <c r="G9310" t="n">
        <v>3.5</v>
      </c>
      <c r="H9310" t="n">
        <v>0</v>
      </c>
      <c r="I9310" t="n">
        <v>0</v>
      </c>
      <c r="J9310" t="n">
        <v>0</v>
      </c>
      <c r="K9310" t="n">
        <v>0</v>
      </c>
      <c r="L9310" t="n">
        <v>0</v>
      </c>
      <c r="M9310" t="n">
        <v>0</v>
      </c>
      <c r="N9310" t="n">
        <v>0</v>
      </c>
      <c r="O9310" t="n">
        <v>0</v>
      </c>
      <c r="P9310" t="n">
        <v>0</v>
      </c>
      <c r="Q9310" t="n">
        <v>0</v>
      </c>
      <c r="R9310" s="2" t="inlineStr"/>
    </row>
    <row r="9311" ht="15" customHeight="1">
      <c r="A9311" t="inlineStr">
        <is>
          <t>A 50741-2022</t>
        </is>
      </c>
      <c r="B9311" s="1" t="n">
        <v>44867.38975694445</v>
      </c>
      <c r="C9311" s="1" t="n">
        <v>46114</v>
      </c>
      <c r="D9311" t="inlineStr">
        <is>
          <t>DALARNAS LÄN</t>
        </is>
      </c>
      <c r="E9311" t="inlineStr">
        <is>
          <t>VANSBRO</t>
        </is>
      </c>
      <c r="G9311" t="n">
        <v>1.7</v>
      </c>
      <c r="H9311" t="n">
        <v>0</v>
      </c>
      <c r="I9311" t="n">
        <v>0</v>
      </c>
      <c r="J9311" t="n">
        <v>0</v>
      </c>
      <c r="K9311" t="n">
        <v>0</v>
      </c>
      <c r="L9311" t="n">
        <v>0</v>
      </c>
      <c r="M9311" t="n">
        <v>0</v>
      </c>
      <c r="N9311" t="n">
        <v>0</v>
      </c>
      <c r="O9311" t="n">
        <v>0</v>
      </c>
      <c r="P9311" t="n">
        <v>0</v>
      </c>
      <c r="Q9311" t="n">
        <v>0</v>
      </c>
      <c r="R9311" s="2" t="inlineStr"/>
    </row>
    <row r="9312" ht="15" customHeight="1">
      <c r="A9312" t="inlineStr">
        <is>
          <t>A 7778-2026</t>
        </is>
      </c>
      <c r="B9312" s="1" t="n">
        <v>46062</v>
      </c>
      <c r="C9312" s="1" t="n">
        <v>46114</v>
      </c>
      <c r="D9312" t="inlineStr">
        <is>
          <t>DALARNAS LÄN</t>
        </is>
      </c>
      <c r="E9312" t="inlineStr">
        <is>
          <t>FALUN</t>
        </is>
      </c>
      <c r="F9312" t="inlineStr">
        <is>
          <t>Bergvik skog väst AB</t>
        </is>
      </c>
      <c r="G9312" t="n">
        <v>2.8</v>
      </c>
      <c r="H9312" t="n">
        <v>0</v>
      </c>
      <c r="I9312" t="n">
        <v>0</v>
      </c>
      <c r="J9312" t="n">
        <v>0</v>
      </c>
      <c r="K9312" t="n">
        <v>0</v>
      </c>
      <c r="L9312" t="n">
        <v>0</v>
      </c>
      <c r="M9312" t="n">
        <v>0</v>
      </c>
      <c r="N9312" t="n">
        <v>0</v>
      </c>
      <c r="O9312" t="n">
        <v>0</v>
      </c>
      <c r="P9312" t="n">
        <v>0</v>
      </c>
      <c r="Q9312" t="n">
        <v>0</v>
      </c>
      <c r="R9312" s="2" t="inlineStr"/>
    </row>
    <row r="9313" ht="15" customHeight="1">
      <c r="A9313" t="inlineStr">
        <is>
          <t>A 7780-2026</t>
        </is>
      </c>
      <c r="B9313" s="1" t="n">
        <v>46062</v>
      </c>
      <c r="C9313" s="1" t="n">
        <v>46114</v>
      </c>
      <c r="D9313" t="inlineStr">
        <is>
          <t>DALARNAS LÄN</t>
        </is>
      </c>
      <c r="E9313" t="inlineStr">
        <is>
          <t>FALUN</t>
        </is>
      </c>
      <c r="F9313" t="inlineStr">
        <is>
          <t>Bergvik skog väst AB</t>
        </is>
      </c>
      <c r="G9313" t="n">
        <v>5.6</v>
      </c>
      <c r="H9313" t="n">
        <v>0</v>
      </c>
      <c r="I9313" t="n">
        <v>0</v>
      </c>
      <c r="J9313" t="n">
        <v>0</v>
      </c>
      <c r="K9313" t="n">
        <v>0</v>
      </c>
      <c r="L9313" t="n">
        <v>0</v>
      </c>
      <c r="M9313" t="n">
        <v>0</v>
      </c>
      <c r="N9313" t="n">
        <v>0</v>
      </c>
      <c r="O9313" t="n">
        <v>0</v>
      </c>
      <c r="P9313" t="n">
        <v>0</v>
      </c>
      <c r="Q9313" t="n">
        <v>0</v>
      </c>
      <c r="R9313" s="2" t="inlineStr"/>
    </row>
    <row r="9314" ht="15" customHeight="1">
      <c r="A9314" t="inlineStr">
        <is>
          <t>A 7787-2026</t>
        </is>
      </c>
      <c r="B9314" s="1" t="n">
        <v>46062</v>
      </c>
      <c r="C9314" s="1" t="n">
        <v>46114</v>
      </c>
      <c r="D9314" t="inlineStr">
        <is>
          <t>DALARNAS LÄN</t>
        </is>
      </c>
      <c r="E9314" t="inlineStr">
        <is>
          <t>RÄTTVIK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45472-2022</t>
        </is>
      </c>
      <c r="B9315" s="1" t="n">
        <v>44841</v>
      </c>
      <c r="C9315" s="1" t="n">
        <v>46114</v>
      </c>
      <c r="D9315" t="inlineStr">
        <is>
          <t>DALARNAS LÄN</t>
        </is>
      </c>
      <c r="E9315" t="inlineStr">
        <is>
          <t>RÄTTVIK</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59831-2024</t>
        </is>
      </c>
      <c r="B9316" s="1" t="n">
        <v>45639.64945601852</v>
      </c>
      <c r="C9316" s="1" t="n">
        <v>46114</v>
      </c>
      <c r="D9316" t="inlineStr">
        <is>
          <t>DALARNAS LÄN</t>
        </is>
      </c>
      <c r="E9316" t="inlineStr">
        <is>
          <t>RÄTTVIK</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15294-2026</t>
        </is>
      </c>
      <c r="B9317" s="1" t="n">
        <v>46105.6279050926</v>
      </c>
      <c r="C9317" s="1" t="n">
        <v>46114</v>
      </c>
      <c r="D9317" t="inlineStr">
        <is>
          <t>DALARNAS LÄN</t>
        </is>
      </c>
      <c r="E9317" t="inlineStr">
        <is>
          <t>MORA</t>
        </is>
      </c>
      <c r="F9317" t="inlineStr">
        <is>
          <t>Bergvik skog öst AB</t>
        </is>
      </c>
      <c r="G9317" t="n">
        <v>0.7</v>
      </c>
      <c r="H9317" t="n">
        <v>0</v>
      </c>
      <c r="I9317" t="n">
        <v>0</v>
      </c>
      <c r="J9317" t="n">
        <v>0</v>
      </c>
      <c r="K9317" t="n">
        <v>0</v>
      </c>
      <c r="L9317" t="n">
        <v>0</v>
      </c>
      <c r="M9317" t="n">
        <v>0</v>
      </c>
      <c r="N9317" t="n">
        <v>0</v>
      </c>
      <c r="O9317" t="n">
        <v>0</v>
      </c>
      <c r="P9317" t="n">
        <v>0</v>
      </c>
      <c r="Q9317" t="n">
        <v>0</v>
      </c>
      <c r="R9317" s="2" t="inlineStr"/>
    </row>
    <row r="9318" ht="15" customHeight="1">
      <c r="A9318" t="inlineStr">
        <is>
          <t>A 15311-2026</t>
        </is>
      </c>
      <c r="B9318" s="1" t="n">
        <v>46105.6447800926</v>
      </c>
      <c r="C9318" s="1" t="n">
        <v>46114</v>
      </c>
      <c r="D9318" t="inlineStr">
        <is>
          <t>DALARNAS LÄN</t>
        </is>
      </c>
      <c r="E9318" t="inlineStr">
        <is>
          <t>MORA</t>
        </is>
      </c>
      <c r="F9318" t="inlineStr">
        <is>
          <t>Bergvik skog öst AB</t>
        </is>
      </c>
      <c r="G9318" t="n">
        <v>10.4</v>
      </c>
      <c r="H9318" t="n">
        <v>0</v>
      </c>
      <c r="I9318" t="n">
        <v>0</v>
      </c>
      <c r="J9318" t="n">
        <v>0</v>
      </c>
      <c r="K9318" t="n">
        <v>0</v>
      </c>
      <c r="L9318" t="n">
        <v>0</v>
      </c>
      <c r="M9318" t="n">
        <v>0</v>
      </c>
      <c r="N9318" t="n">
        <v>0</v>
      </c>
      <c r="O9318" t="n">
        <v>0</v>
      </c>
      <c r="P9318" t="n">
        <v>0</v>
      </c>
      <c r="Q9318" t="n">
        <v>0</v>
      </c>
      <c r="R9318" s="2" t="inlineStr"/>
    </row>
    <row r="9319" ht="15" customHeight="1">
      <c r="A9319" t="inlineStr">
        <is>
          <t>A 44474-2022</t>
        </is>
      </c>
      <c r="B9319" s="1" t="n">
        <v>44840.33315972222</v>
      </c>
      <c r="C9319" s="1" t="n">
        <v>46114</v>
      </c>
      <c r="D9319" t="inlineStr">
        <is>
          <t>DALARNAS LÄN</t>
        </is>
      </c>
      <c r="E9319" t="inlineStr">
        <is>
          <t>AVESTA</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15012-2026</t>
        </is>
      </c>
      <c r="B9320" s="1" t="n">
        <v>46104.61704861111</v>
      </c>
      <c r="C9320" s="1" t="n">
        <v>46114</v>
      </c>
      <c r="D9320" t="inlineStr">
        <is>
          <t>DALARNAS LÄN</t>
        </is>
      </c>
      <c r="E9320" t="inlineStr">
        <is>
          <t>MORA</t>
        </is>
      </c>
      <c r="F9320" t="inlineStr">
        <is>
          <t>Bergvik skog väst AB</t>
        </is>
      </c>
      <c r="G9320" t="n">
        <v>0.8</v>
      </c>
      <c r="H9320" t="n">
        <v>0</v>
      </c>
      <c r="I9320" t="n">
        <v>0</v>
      </c>
      <c r="J9320" t="n">
        <v>0</v>
      </c>
      <c r="K9320" t="n">
        <v>0</v>
      </c>
      <c r="L9320" t="n">
        <v>0</v>
      </c>
      <c r="M9320" t="n">
        <v>0</v>
      </c>
      <c r="N9320" t="n">
        <v>0</v>
      </c>
      <c r="O9320" t="n">
        <v>0</v>
      </c>
      <c r="P9320" t="n">
        <v>0</v>
      </c>
      <c r="Q9320" t="n">
        <v>0</v>
      </c>
      <c r="R9320" s="2" t="inlineStr"/>
    </row>
    <row r="9321" ht="15" customHeight="1">
      <c r="A9321" t="inlineStr">
        <is>
          <t>A 15086-2026</t>
        </is>
      </c>
      <c r="B9321" s="1" t="n">
        <v>46105</v>
      </c>
      <c r="C9321" s="1" t="n">
        <v>46114</v>
      </c>
      <c r="D9321" t="inlineStr">
        <is>
          <t>DALARNAS LÄN</t>
        </is>
      </c>
      <c r="E9321" t="inlineStr">
        <is>
          <t>FALUN</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20403-2025</t>
        </is>
      </c>
      <c r="B9322" s="1" t="n">
        <v>45775.45716435185</v>
      </c>
      <c r="C9322" s="1" t="n">
        <v>46114</v>
      </c>
      <c r="D9322" t="inlineStr">
        <is>
          <t>DALARNAS LÄN</t>
        </is>
      </c>
      <c r="E9322" t="inlineStr">
        <is>
          <t>RÄTTVIK</t>
        </is>
      </c>
      <c r="F9322" t="inlineStr">
        <is>
          <t>Övriga statliga verk och myndigheter</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11681-2026</t>
        </is>
      </c>
      <c r="B9323" s="1" t="n">
        <v>46084</v>
      </c>
      <c r="C9323" s="1" t="n">
        <v>46114</v>
      </c>
      <c r="D9323" t="inlineStr">
        <is>
          <t>DALARNAS LÄN</t>
        </is>
      </c>
      <c r="E9323" t="inlineStr">
        <is>
          <t>FALUN</t>
        </is>
      </c>
      <c r="F9323" t="inlineStr">
        <is>
          <t>Bergvik skog väst AB</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8040-2026</t>
        </is>
      </c>
      <c r="B9324" s="1" t="n">
        <v>46063</v>
      </c>
      <c r="C9324" s="1" t="n">
        <v>46114</v>
      </c>
      <c r="D9324" t="inlineStr">
        <is>
          <t>DALARNAS LÄN</t>
        </is>
      </c>
      <c r="E9324" t="inlineStr">
        <is>
          <t>FALUN</t>
        </is>
      </c>
      <c r="G9324" t="n">
        <v>2.9</v>
      </c>
      <c r="H9324" t="n">
        <v>0</v>
      </c>
      <c r="I9324" t="n">
        <v>0</v>
      </c>
      <c r="J9324" t="n">
        <v>0</v>
      </c>
      <c r="K9324" t="n">
        <v>0</v>
      </c>
      <c r="L9324" t="n">
        <v>0</v>
      </c>
      <c r="M9324" t="n">
        <v>0</v>
      </c>
      <c r="N9324" t="n">
        <v>0</v>
      </c>
      <c r="O9324" t="n">
        <v>0</v>
      </c>
      <c r="P9324" t="n">
        <v>0</v>
      </c>
      <c r="Q9324" t="n">
        <v>0</v>
      </c>
      <c r="R9324" s="2" t="inlineStr"/>
    </row>
    <row r="9325" ht="15" customHeight="1">
      <c r="A9325" t="inlineStr">
        <is>
          <t>A 43589-2022</t>
        </is>
      </c>
      <c r="B9325" s="1" t="n">
        <v>44837</v>
      </c>
      <c r="C9325" s="1" t="n">
        <v>46114</v>
      </c>
      <c r="D9325" t="inlineStr">
        <is>
          <t>DALARNAS LÄN</t>
        </is>
      </c>
      <c r="E9325" t="inlineStr">
        <is>
          <t>VANSBRO</t>
        </is>
      </c>
      <c r="F9325" t="inlineStr">
        <is>
          <t>Bergvik skog väst AB</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43650-2022</t>
        </is>
      </c>
      <c r="B9326" s="1" t="n">
        <v>44837.57366898148</v>
      </c>
      <c r="C9326" s="1" t="n">
        <v>46114</v>
      </c>
      <c r="D9326" t="inlineStr">
        <is>
          <t>DALARNAS LÄN</t>
        </is>
      </c>
      <c r="E9326" t="inlineStr">
        <is>
          <t>BORLÄNGE</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11436-2024</t>
        </is>
      </c>
      <c r="B9327" s="1" t="n">
        <v>45372.5358912037</v>
      </c>
      <c r="C9327" s="1" t="n">
        <v>46114</v>
      </c>
      <c r="D9327" t="inlineStr">
        <is>
          <t>DALARNAS LÄN</t>
        </is>
      </c>
      <c r="E9327" t="inlineStr">
        <is>
          <t>LUDVIKA</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7967-2026</t>
        </is>
      </c>
      <c r="B9328" s="1" t="n">
        <v>46063</v>
      </c>
      <c r="C9328" s="1" t="n">
        <v>46114</v>
      </c>
      <c r="D9328" t="inlineStr">
        <is>
          <t>DALARNAS LÄN</t>
        </is>
      </c>
      <c r="E9328" t="inlineStr">
        <is>
          <t>FALUN</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7997-2026</t>
        </is>
      </c>
      <c r="B9329" s="1" t="n">
        <v>46063</v>
      </c>
      <c r="C9329" s="1" t="n">
        <v>46114</v>
      </c>
      <c r="D9329" t="inlineStr">
        <is>
          <t>DALARNAS LÄN</t>
        </is>
      </c>
      <c r="E9329" t="inlineStr">
        <is>
          <t>BORLÄNGE</t>
        </is>
      </c>
      <c r="F9329" t="inlineStr">
        <is>
          <t>Övriga statliga verk och myndigheter</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12970-2026</t>
        </is>
      </c>
      <c r="B9330" s="1" t="n">
        <v>46092</v>
      </c>
      <c r="C9330" s="1" t="n">
        <v>46114</v>
      </c>
      <c r="D9330" t="inlineStr">
        <is>
          <t>DALARNAS LÄN</t>
        </is>
      </c>
      <c r="E9330" t="inlineStr">
        <is>
          <t>FALUN</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15038-2026</t>
        </is>
      </c>
      <c r="B9331" s="1" t="n">
        <v>46104.65560185185</v>
      </c>
      <c r="C9331" s="1" t="n">
        <v>46114</v>
      </c>
      <c r="D9331" t="inlineStr">
        <is>
          <t>DALARNAS LÄN</t>
        </is>
      </c>
      <c r="E9331" t="inlineStr">
        <is>
          <t>RÄTTVIK</t>
        </is>
      </c>
      <c r="F9331" t="inlineStr">
        <is>
          <t>Bergvik skog väst AB</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15049-2026</t>
        </is>
      </c>
      <c r="B9332" s="1" t="n">
        <v>46104.66828703704</v>
      </c>
      <c r="C9332" s="1" t="n">
        <v>46114</v>
      </c>
      <c r="D9332" t="inlineStr">
        <is>
          <t>DALARNAS LÄN</t>
        </is>
      </c>
      <c r="E9332" t="inlineStr">
        <is>
          <t>SMEDJEBACKEN</t>
        </is>
      </c>
      <c r="F9332" t="inlineStr">
        <is>
          <t>Sveaskog</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7741-2026</t>
        </is>
      </c>
      <c r="B9333" s="1" t="n">
        <v>46062.53719907408</v>
      </c>
      <c r="C9333" s="1" t="n">
        <v>46114</v>
      </c>
      <c r="D9333" t="inlineStr">
        <is>
          <t>DALARNAS LÄN</t>
        </is>
      </c>
      <c r="E9333" t="inlineStr">
        <is>
          <t>HEDEMORA</t>
        </is>
      </c>
      <c r="G9333" t="n">
        <v>0.9</v>
      </c>
      <c r="H9333" t="n">
        <v>0</v>
      </c>
      <c r="I9333" t="n">
        <v>0</v>
      </c>
      <c r="J9333" t="n">
        <v>0</v>
      </c>
      <c r="K9333" t="n">
        <v>0</v>
      </c>
      <c r="L9333" t="n">
        <v>0</v>
      </c>
      <c r="M9333" t="n">
        <v>0</v>
      </c>
      <c r="N9333" t="n">
        <v>0</v>
      </c>
      <c r="O9333" t="n">
        <v>0</v>
      </c>
      <c r="P9333" t="n">
        <v>0</v>
      </c>
      <c r="Q9333" t="n">
        <v>0</v>
      </c>
      <c r="R9333" s="2" t="inlineStr"/>
    </row>
    <row r="9334" ht="15" customHeight="1">
      <c r="A9334" t="inlineStr">
        <is>
          <t>A 15085-2026</t>
        </is>
      </c>
      <c r="B9334" s="1" t="n">
        <v>46105</v>
      </c>
      <c r="C9334" s="1" t="n">
        <v>46114</v>
      </c>
      <c r="D9334" t="inlineStr">
        <is>
          <t>DALARNAS LÄN</t>
        </is>
      </c>
      <c r="E9334" t="inlineStr">
        <is>
          <t>FALUN</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15129-2026</t>
        </is>
      </c>
      <c r="B9335" s="1" t="n">
        <v>46105.37494212963</v>
      </c>
      <c r="C9335" s="1" t="n">
        <v>46114</v>
      </c>
      <c r="D9335" t="inlineStr">
        <is>
          <t>DALARNAS LÄN</t>
        </is>
      </c>
      <c r="E9335" t="inlineStr">
        <is>
          <t>FALUN</t>
        </is>
      </c>
      <c r="F9335" t="inlineStr">
        <is>
          <t>Bergvik skog väst AB</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15145-2026</t>
        </is>
      </c>
      <c r="B9336" s="1" t="n">
        <v>46105.40144675926</v>
      </c>
      <c r="C9336" s="1" t="n">
        <v>46114</v>
      </c>
      <c r="D9336" t="inlineStr">
        <is>
          <t>DALARNAS LÄN</t>
        </is>
      </c>
      <c r="E9336" t="inlineStr">
        <is>
          <t>HEDEMORA</t>
        </is>
      </c>
      <c r="F9336" t="inlineStr">
        <is>
          <t>Sveaskog</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27921-2023</t>
        </is>
      </c>
      <c r="B9337" s="1" t="n">
        <v>45098.64297453704</v>
      </c>
      <c r="C9337" s="1" t="n">
        <v>46114</v>
      </c>
      <c r="D9337" t="inlineStr">
        <is>
          <t>DALARNAS LÄN</t>
        </is>
      </c>
      <c r="E9337" t="inlineStr">
        <is>
          <t>RÄTTVIK</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7788-2026</t>
        </is>
      </c>
      <c r="B9338" s="1" t="n">
        <v>46062.58864583333</v>
      </c>
      <c r="C9338" s="1" t="n">
        <v>46114</v>
      </c>
      <c r="D9338" t="inlineStr">
        <is>
          <t>DALARNAS LÄN</t>
        </is>
      </c>
      <c r="E9338" t="inlineStr">
        <is>
          <t>ÄLVDALEN</t>
        </is>
      </c>
      <c r="G9338" t="n">
        <v>0.9</v>
      </c>
      <c r="H9338" t="n">
        <v>0</v>
      </c>
      <c r="I9338" t="n">
        <v>0</v>
      </c>
      <c r="J9338" t="n">
        <v>0</v>
      </c>
      <c r="K9338" t="n">
        <v>0</v>
      </c>
      <c r="L9338" t="n">
        <v>0</v>
      </c>
      <c r="M9338" t="n">
        <v>0</v>
      </c>
      <c r="N9338" t="n">
        <v>0</v>
      </c>
      <c r="O9338" t="n">
        <v>0</v>
      </c>
      <c r="P9338" t="n">
        <v>0</v>
      </c>
      <c r="Q9338" t="n">
        <v>0</v>
      </c>
      <c r="R9338" s="2" t="inlineStr"/>
    </row>
    <row r="9339" ht="15" customHeight="1">
      <c r="A9339" t="inlineStr">
        <is>
          <t>A 15147-2026</t>
        </is>
      </c>
      <c r="B9339" s="1" t="n">
        <v>46104</v>
      </c>
      <c r="C9339" s="1" t="n">
        <v>46114</v>
      </c>
      <c r="D9339" t="inlineStr">
        <is>
          <t>DALARNAS LÄN</t>
        </is>
      </c>
      <c r="E9339" t="inlineStr">
        <is>
          <t>FALUN</t>
        </is>
      </c>
      <c r="F9339" t="inlineStr">
        <is>
          <t>Allmännings- och besparingsskogar</t>
        </is>
      </c>
      <c r="G9339" t="n">
        <v>7.8</v>
      </c>
      <c r="H9339" t="n">
        <v>0</v>
      </c>
      <c r="I9339" t="n">
        <v>0</v>
      </c>
      <c r="J9339" t="n">
        <v>0</v>
      </c>
      <c r="K9339" t="n">
        <v>0</v>
      </c>
      <c r="L9339" t="n">
        <v>0</v>
      </c>
      <c r="M9339" t="n">
        <v>0</v>
      </c>
      <c r="N9339" t="n">
        <v>0</v>
      </c>
      <c r="O9339" t="n">
        <v>0</v>
      </c>
      <c r="P9339" t="n">
        <v>0</v>
      </c>
      <c r="Q9339" t="n">
        <v>0</v>
      </c>
      <c r="R9339" s="2" t="inlineStr"/>
    </row>
    <row r="9340" ht="15" customHeight="1">
      <c r="A9340" t="inlineStr">
        <is>
          <t>A 7805-2026</t>
        </is>
      </c>
      <c r="B9340" s="1" t="n">
        <v>46062</v>
      </c>
      <c r="C9340" s="1" t="n">
        <v>46114</v>
      </c>
      <c r="D9340" t="inlineStr">
        <is>
          <t>DALARNAS LÄN</t>
        </is>
      </c>
      <c r="E9340" t="inlineStr">
        <is>
          <t>RÄTTVIK</t>
        </is>
      </c>
      <c r="G9340" t="n">
        <v>5.1</v>
      </c>
      <c r="H9340" t="n">
        <v>0</v>
      </c>
      <c r="I9340" t="n">
        <v>0</v>
      </c>
      <c r="J9340" t="n">
        <v>0</v>
      </c>
      <c r="K9340" t="n">
        <v>0</v>
      </c>
      <c r="L9340" t="n">
        <v>0</v>
      </c>
      <c r="M9340" t="n">
        <v>0</v>
      </c>
      <c r="N9340" t="n">
        <v>0</v>
      </c>
      <c r="O9340" t="n">
        <v>0</v>
      </c>
      <c r="P9340" t="n">
        <v>0</v>
      </c>
      <c r="Q9340" t="n">
        <v>0</v>
      </c>
      <c r="R9340" s="2" t="inlineStr"/>
    </row>
    <row r="9341" ht="15" customHeight="1">
      <c r="A9341" t="inlineStr">
        <is>
          <t>A 27975-2023</t>
        </is>
      </c>
      <c r="B9341" s="1" t="n">
        <v>45098</v>
      </c>
      <c r="C9341" s="1" t="n">
        <v>46114</v>
      </c>
      <c r="D9341" t="inlineStr">
        <is>
          <t>DALARNAS LÄN</t>
        </is>
      </c>
      <c r="E9341" t="inlineStr">
        <is>
          <t>MORA</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28082-2023</t>
        </is>
      </c>
      <c r="B9342" s="1" t="n">
        <v>45099</v>
      </c>
      <c r="C9342" s="1" t="n">
        <v>46114</v>
      </c>
      <c r="D9342" t="inlineStr">
        <is>
          <t>DALARNAS LÄN</t>
        </is>
      </c>
      <c r="E9342" t="inlineStr">
        <is>
          <t>ORSA</t>
        </is>
      </c>
      <c r="G9342" t="n">
        <v>0.4</v>
      </c>
      <c r="H9342" t="n">
        <v>0</v>
      </c>
      <c r="I9342" t="n">
        <v>0</v>
      </c>
      <c r="J9342" t="n">
        <v>0</v>
      </c>
      <c r="K9342" t="n">
        <v>0</v>
      </c>
      <c r="L9342" t="n">
        <v>0</v>
      </c>
      <c r="M9342" t="n">
        <v>0</v>
      </c>
      <c r="N9342" t="n">
        <v>0</v>
      </c>
      <c r="O9342" t="n">
        <v>0</v>
      </c>
      <c r="P9342" t="n">
        <v>0</v>
      </c>
      <c r="Q9342" t="n">
        <v>0</v>
      </c>
      <c r="R9342" s="2" t="inlineStr"/>
    </row>
    <row r="9343" ht="15" customHeight="1">
      <c r="A9343" t="inlineStr">
        <is>
          <t>A 34446-2024</t>
        </is>
      </c>
      <c r="B9343" s="1" t="n">
        <v>45525.54740740741</v>
      </c>
      <c r="C9343" s="1" t="n">
        <v>46114</v>
      </c>
      <c r="D9343" t="inlineStr">
        <is>
          <t>DALARNAS LÄN</t>
        </is>
      </c>
      <c r="E9343" t="inlineStr">
        <is>
          <t>MALUNG-SÄLEN</t>
        </is>
      </c>
      <c r="F9343" t="inlineStr">
        <is>
          <t>Bergvik skog öst AB</t>
        </is>
      </c>
      <c r="G9343" t="n">
        <v>14.5</v>
      </c>
      <c r="H9343" t="n">
        <v>0</v>
      </c>
      <c r="I9343" t="n">
        <v>0</v>
      </c>
      <c r="J9343" t="n">
        <v>0</v>
      </c>
      <c r="K9343" t="n">
        <v>0</v>
      </c>
      <c r="L9343" t="n">
        <v>0</v>
      </c>
      <c r="M9343" t="n">
        <v>0</v>
      </c>
      <c r="N9343" t="n">
        <v>0</v>
      </c>
      <c r="O9343" t="n">
        <v>0</v>
      </c>
      <c r="P9343" t="n">
        <v>0</v>
      </c>
      <c r="Q9343" t="n">
        <v>0</v>
      </c>
      <c r="R9343" s="2" t="inlineStr"/>
    </row>
    <row r="9344" ht="15" customHeight="1">
      <c r="A9344" t="inlineStr">
        <is>
          <t>A 7851-2026</t>
        </is>
      </c>
      <c r="B9344" s="1" t="n">
        <v>46062.66341435185</v>
      </c>
      <c r="C9344" s="1" t="n">
        <v>46114</v>
      </c>
      <c r="D9344" t="inlineStr">
        <is>
          <t>DALARNAS LÄN</t>
        </is>
      </c>
      <c r="E9344" t="inlineStr">
        <is>
          <t>RÄTTVIK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14293-2026</t>
        </is>
      </c>
      <c r="B9345" s="1" t="n">
        <v>46099</v>
      </c>
      <c r="C9345" s="1" t="n">
        <v>46114</v>
      </c>
      <c r="D9345" t="inlineStr">
        <is>
          <t>DALARNAS LÄN</t>
        </is>
      </c>
      <c r="E9345" t="inlineStr">
        <is>
          <t>FALUN</t>
        </is>
      </c>
      <c r="G9345" t="n">
        <v>3</v>
      </c>
      <c r="H9345" t="n">
        <v>0</v>
      </c>
      <c r="I9345" t="n">
        <v>0</v>
      </c>
      <c r="J9345" t="n">
        <v>0</v>
      </c>
      <c r="K9345" t="n">
        <v>0</v>
      </c>
      <c r="L9345" t="n">
        <v>0</v>
      </c>
      <c r="M9345" t="n">
        <v>0</v>
      </c>
      <c r="N9345" t="n">
        <v>0</v>
      </c>
      <c r="O9345" t="n">
        <v>0</v>
      </c>
      <c r="P9345" t="n">
        <v>0</v>
      </c>
      <c r="Q9345" t="n">
        <v>0</v>
      </c>
      <c r="R9345" s="2" t="inlineStr"/>
    </row>
    <row r="9346" ht="15" customHeight="1">
      <c r="A9346" t="inlineStr">
        <is>
          <t>A 11311-2026</t>
        </is>
      </c>
      <c r="B9346" s="1" t="n">
        <v>46080</v>
      </c>
      <c r="C9346" s="1" t="n">
        <v>46114</v>
      </c>
      <c r="D9346" t="inlineStr">
        <is>
          <t>DALARNAS LÄN</t>
        </is>
      </c>
      <c r="E9346" t="inlineStr">
        <is>
          <t>GAGNEF</t>
        </is>
      </c>
      <c r="G9346" t="n">
        <v>3.9</v>
      </c>
      <c r="H9346" t="n">
        <v>0</v>
      </c>
      <c r="I9346" t="n">
        <v>0</v>
      </c>
      <c r="J9346" t="n">
        <v>0</v>
      </c>
      <c r="K9346" t="n">
        <v>0</v>
      </c>
      <c r="L9346" t="n">
        <v>0</v>
      </c>
      <c r="M9346" t="n">
        <v>0</v>
      </c>
      <c r="N9346" t="n">
        <v>0</v>
      </c>
      <c r="O9346" t="n">
        <v>0</v>
      </c>
      <c r="P9346" t="n">
        <v>0</v>
      </c>
      <c r="Q9346" t="n">
        <v>0</v>
      </c>
      <c r="R9346" s="2" t="inlineStr"/>
    </row>
    <row r="9347" ht="15" customHeight="1">
      <c r="A9347" t="inlineStr">
        <is>
          <t>A 14847-2026</t>
        </is>
      </c>
      <c r="B9347" s="1" t="n">
        <v>46104</v>
      </c>
      <c r="C9347" s="1" t="n">
        <v>46114</v>
      </c>
      <c r="D9347" t="inlineStr">
        <is>
          <t>DALARNAS LÄN</t>
        </is>
      </c>
      <c r="E9347" t="inlineStr">
        <is>
          <t>FALUN</t>
        </is>
      </c>
      <c r="G9347" t="n">
        <v>14.9</v>
      </c>
      <c r="H9347" t="n">
        <v>0</v>
      </c>
      <c r="I9347" t="n">
        <v>0</v>
      </c>
      <c r="J9347" t="n">
        <v>0</v>
      </c>
      <c r="K9347" t="n">
        <v>0</v>
      </c>
      <c r="L9347" t="n">
        <v>0</v>
      </c>
      <c r="M9347" t="n">
        <v>0</v>
      </c>
      <c r="N9347" t="n">
        <v>0</v>
      </c>
      <c r="O9347" t="n">
        <v>0</v>
      </c>
      <c r="P9347" t="n">
        <v>0</v>
      </c>
      <c r="Q9347" t="n">
        <v>0</v>
      </c>
      <c r="R9347" s="2" t="inlineStr"/>
    </row>
    <row r="9348" ht="15" customHeight="1">
      <c r="A9348" t="inlineStr">
        <is>
          <t>A 14909-2026</t>
        </is>
      </c>
      <c r="B9348" s="1" t="n">
        <v>46104</v>
      </c>
      <c r="C9348" s="1" t="n">
        <v>46114</v>
      </c>
      <c r="D9348" t="inlineStr">
        <is>
          <t>DALARNAS LÄN</t>
        </is>
      </c>
      <c r="E9348" t="inlineStr">
        <is>
          <t>FALUN</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12504-2026</t>
        </is>
      </c>
      <c r="B9349" s="1" t="n">
        <v>46090</v>
      </c>
      <c r="C9349" s="1" t="n">
        <v>46114</v>
      </c>
      <c r="D9349" t="inlineStr">
        <is>
          <t>DALARNAS LÄN</t>
        </is>
      </c>
      <c r="E9349" t="inlineStr">
        <is>
          <t>FALUN</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59643-2024</t>
        </is>
      </c>
      <c r="B9350" s="1" t="n">
        <v>45639.31525462963</v>
      </c>
      <c r="C9350" s="1" t="n">
        <v>46114</v>
      </c>
      <c r="D9350" t="inlineStr">
        <is>
          <t>DALARNAS LÄN</t>
        </is>
      </c>
      <c r="E9350" t="inlineStr">
        <is>
          <t>MALUNG-SÄLEN</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59673-2024</t>
        </is>
      </c>
      <c r="B9351" s="1" t="n">
        <v>45639.38805555556</v>
      </c>
      <c r="C9351" s="1" t="n">
        <v>46114</v>
      </c>
      <c r="D9351" t="inlineStr">
        <is>
          <t>DALARNAS LÄN</t>
        </is>
      </c>
      <c r="E9351" t="inlineStr">
        <is>
          <t>FALUN</t>
        </is>
      </c>
      <c r="G9351" t="n">
        <v>0.7</v>
      </c>
      <c r="H9351" t="n">
        <v>0</v>
      </c>
      <c r="I9351" t="n">
        <v>0</v>
      </c>
      <c r="J9351" t="n">
        <v>0</v>
      </c>
      <c r="K9351" t="n">
        <v>0</v>
      </c>
      <c r="L9351" t="n">
        <v>0</v>
      </c>
      <c r="M9351" t="n">
        <v>0</v>
      </c>
      <c r="N9351" t="n">
        <v>0</v>
      </c>
      <c r="O9351" t="n">
        <v>0</v>
      </c>
      <c r="P9351" t="n">
        <v>0</v>
      </c>
      <c r="Q9351" t="n">
        <v>0</v>
      </c>
      <c r="R9351" s="2" t="inlineStr"/>
    </row>
    <row r="9352" ht="15" customHeight="1">
      <c r="A9352" t="inlineStr">
        <is>
          <t>A 11941-2026</t>
        </is>
      </c>
      <c r="B9352" s="1" t="n">
        <v>46085</v>
      </c>
      <c r="C9352" s="1" t="n">
        <v>46114</v>
      </c>
      <c r="D9352" t="inlineStr">
        <is>
          <t>DALARNAS LÄN</t>
        </is>
      </c>
      <c r="E9352" t="inlineStr">
        <is>
          <t>FALUN</t>
        </is>
      </c>
      <c r="G9352" t="n">
        <v>8.1</v>
      </c>
      <c r="H9352" t="n">
        <v>0</v>
      </c>
      <c r="I9352" t="n">
        <v>0</v>
      </c>
      <c r="J9352" t="n">
        <v>0</v>
      </c>
      <c r="K9352" t="n">
        <v>0</v>
      </c>
      <c r="L9352" t="n">
        <v>0</v>
      </c>
      <c r="M9352" t="n">
        <v>0</v>
      </c>
      <c r="N9352" t="n">
        <v>0</v>
      </c>
      <c r="O9352" t="n">
        <v>0</v>
      </c>
      <c r="P9352" t="n">
        <v>0</v>
      </c>
      <c r="Q9352" t="n">
        <v>0</v>
      </c>
      <c r="R9352" s="2" t="inlineStr"/>
    </row>
    <row r="9353" ht="15" customHeight="1">
      <c r="A9353" t="inlineStr">
        <is>
          <t>A 14964-2026</t>
        </is>
      </c>
      <c r="B9353" s="1" t="n">
        <v>46104</v>
      </c>
      <c r="C9353" s="1" t="n">
        <v>46114</v>
      </c>
      <c r="D9353" t="inlineStr">
        <is>
          <t>DALARNAS LÄN</t>
        </is>
      </c>
      <c r="E9353" t="inlineStr">
        <is>
          <t>FALUN</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55222-2023</t>
        </is>
      </c>
      <c r="B9354" s="1" t="n">
        <v>45237.60775462963</v>
      </c>
      <c r="C9354" s="1" t="n">
        <v>46114</v>
      </c>
      <c r="D9354" t="inlineStr">
        <is>
          <t>DALARNAS LÄN</t>
        </is>
      </c>
      <c r="E9354" t="inlineStr">
        <is>
          <t>MORA</t>
        </is>
      </c>
      <c r="F9354" t="inlineStr">
        <is>
          <t>Allmännings- och besparingsskogar</t>
        </is>
      </c>
      <c r="G9354" t="n">
        <v>19.8</v>
      </c>
      <c r="H9354" t="n">
        <v>0</v>
      </c>
      <c r="I9354" t="n">
        <v>0</v>
      </c>
      <c r="J9354" t="n">
        <v>0</v>
      </c>
      <c r="K9354" t="n">
        <v>0</v>
      </c>
      <c r="L9354" t="n">
        <v>0</v>
      </c>
      <c r="M9354" t="n">
        <v>0</v>
      </c>
      <c r="N9354" t="n">
        <v>0</v>
      </c>
      <c r="O9354" t="n">
        <v>0</v>
      </c>
      <c r="P9354" t="n">
        <v>0</v>
      </c>
      <c r="Q9354" t="n">
        <v>0</v>
      </c>
      <c r="R9354" s="2" t="inlineStr"/>
    </row>
    <row r="9355" ht="15" customHeight="1">
      <c r="A9355" t="inlineStr">
        <is>
          <t>A 24066-2024</t>
        </is>
      </c>
      <c r="B9355" s="1" t="n">
        <v>45456.54840277778</v>
      </c>
      <c r="C9355" s="1" t="n">
        <v>46114</v>
      </c>
      <c r="D9355" t="inlineStr">
        <is>
          <t>DALARNAS LÄN</t>
        </is>
      </c>
      <c r="E9355" t="inlineStr">
        <is>
          <t>MALUNG-SÄLEN</t>
        </is>
      </c>
      <c r="F9355" t="inlineStr">
        <is>
          <t>Bergvik skog väst AB</t>
        </is>
      </c>
      <c r="G9355" t="n">
        <v>15.1</v>
      </c>
      <c r="H9355" t="n">
        <v>0</v>
      </c>
      <c r="I9355" t="n">
        <v>0</v>
      </c>
      <c r="J9355" t="n">
        <v>0</v>
      </c>
      <c r="K9355" t="n">
        <v>0</v>
      </c>
      <c r="L9355" t="n">
        <v>0</v>
      </c>
      <c r="M9355" t="n">
        <v>0</v>
      </c>
      <c r="N9355" t="n">
        <v>0</v>
      </c>
      <c r="O9355" t="n">
        <v>0</v>
      </c>
      <c r="P9355" t="n">
        <v>0</v>
      </c>
      <c r="Q9355" t="n">
        <v>0</v>
      </c>
      <c r="R9355" s="2" t="inlineStr"/>
    </row>
    <row r="9356" ht="15" customHeight="1">
      <c r="A9356" t="inlineStr">
        <is>
          <t>A 7941-2026</t>
        </is>
      </c>
      <c r="B9356" s="1" t="n">
        <v>46063</v>
      </c>
      <c r="C9356" s="1" t="n">
        <v>46114</v>
      </c>
      <c r="D9356" t="inlineStr">
        <is>
          <t>DALARNAS LÄN</t>
        </is>
      </c>
      <c r="E9356" t="inlineStr">
        <is>
          <t>LUDVIKA</t>
        </is>
      </c>
      <c r="F9356" t="inlineStr">
        <is>
          <t>Bergvik skog väst AB</t>
        </is>
      </c>
      <c r="G9356" t="n">
        <v>4.8</v>
      </c>
      <c r="H9356" t="n">
        <v>0</v>
      </c>
      <c r="I9356" t="n">
        <v>0</v>
      </c>
      <c r="J9356" t="n">
        <v>0</v>
      </c>
      <c r="K9356" t="n">
        <v>0</v>
      </c>
      <c r="L9356" t="n">
        <v>0</v>
      </c>
      <c r="M9356" t="n">
        <v>0</v>
      </c>
      <c r="N9356" t="n">
        <v>0</v>
      </c>
      <c r="O9356" t="n">
        <v>0</v>
      </c>
      <c r="P9356" t="n">
        <v>0</v>
      </c>
      <c r="Q9356" t="n">
        <v>0</v>
      </c>
      <c r="R9356" s="2" t="inlineStr"/>
    </row>
    <row r="9357" ht="15" customHeight="1">
      <c r="A9357" t="inlineStr">
        <is>
          <t>A 7948-2026</t>
        </is>
      </c>
      <c r="B9357" s="1" t="n">
        <v>46063</v>
      </c>
      <c r="C9357" s="1" t="n">
        <v>46114</v>
      </c>
      <c r="D9357" t="inlineStr">
        <is>
          <t>DALARNAS LÄN</t>
        </is>
      </c>
      <c r="E9357" t="inlineStr">
        <is>
          <t>FALUN</t>
        </is>
      </c>
      <c r="G9357" t="n">
        <v>0.9</v>
      </c>
      <c r="H9357" t="n">
        <v>0</v>
      </c>
      <c r="I9357" t="n">
        <v>0</v>
      </c>
      <c r="J9357" t="n">
        <v>0</v>
      </c>
      <c r="K9357" t="n">
        <v>0</v>
      </c>
      <c r="L9357" t="n">
        <v>0</v>
      </c>
      <c r="M9357" t="n">
        <v>0</v>
      </c>
      <c r="N9357" t="n">
        <v>0</v>
      </c>
      <c r="O9357" t="n">
        <v>0</v>
      </c>
      <c r="P9357" t="n">
        <v>0</v>
      </c>
      <c r="Q9357" t="n">
        <v>0</v>
      </c>
      <c r="R9357" s="2" t="inlineStr"/>
    </row>
    <row r="9358" ht="15" customHeight="1">
      <c r="A9358" t="inlineStr">
        <is>
          <t>A 7977-2026</t>
        </is>
      </c>
      <c r="B9358" s="1" t="n">
        <v>46063.47025462963</v>
      </c>
      <c r="C9358" s="1" t="n">
        <v>46114</v>
      </c>
      <c r="D9358" t="inlineStr">
        <is>
          <t>DALARNAS LÄN</t>
        </is>
      </c>
      <c r="E9358" t="inlineStr">
        <is>
          <t>FALUN</t>
        </is>
      </c>
      <c r="F9358" t="inlineStr">
        <is>
          <t>Bergvik skog väst AB</t>
        </is>
      </c>
      <c r="G9358" t="n">
        <v>6.4</v>
      </c>
      <c r="H9358" t="n">
        <v>0</v>
      </c>
      <c r="I9358" t="n">
        <v>0</v>
      </c>
      <c r="J9358" t="n">
        <v>0</v>
      </c>
      <c r="K9358" t="n">
        <v>0</v>
      </c>
      <c r="L9358" t="n">
        <v>0</v>
      </c>
      <c r="M9358" t="n">
        <v>0</v>
      </c>
      <c r="N9358" t="n">
        <v>0</v>
      </c>
      <c r="O9358" t="n">
        <v>0</v>
      </c>
      <c r="P9358" t="n">
        <v>0</v>
      </c>
      <c r="Q9358" t="n">
        <v>0</v>
      </c>
      <c r="R9358" s="2" t="inlineStr"/>
    </row>
    <row r="9359" ht="15" customHeight="1">
      <c r="A9359" t="inlineStr">
        <is>
          <t>A 7980-2026</t>
        </is>
      </c>
      <c r="B9359" s="1" t="n">
        <v>46063</v>
      </c>
      <c r="C9359" s="1" t="n">
        <v>46114</v>
      </c>
      <c r="D9359" t="inlineStr">
        <is>
          <t>DALARNAS LÄN</t>
        </is>
      </c>
      <c r="E9359" t="inlineStr">
        <is>
          <t>FALUN</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15184-2026</t>
        </is>
      </c>
      <c r="B9360" s="1" t="n">
        <v>46105.45637731482</v>
      </c>
      <c r="C9360" s="1" t="n">
        <v>46114</v>
      </c>
      <c r="D9360" t="inlineStr">
        <is>
          <t>DALARNAS LÄN</t>
        </is>
      </c>
      <c r="E9360" t="inlineStr">
        <is>
          <t>GAGNEF</t>
        </is>
      </c>
      <c r="F9360" t="inlineStr">
        <is>
          <t>Bergvik skog väst AB</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24772-2024</t>
        </is>
      </c>
      <c r="B9361" s="1" t="n">
        <v>45460.70204861111</v>
      </c>
      <c r="C9361" s="1" t="n">
        <v>46114</v>
      </c>
      <c r="D9361" t="inlineStr">
        <is>
          <t>DALARNAS LÄN</t>
        </is>
      </c>
      <c r="E9361" t="inlineStr">
        <is>
          <t>MORA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56807-2023</t>
        </is>
      </c>
      <c r="B9362" s="1" t="n">
        <v>45244</v>
      </c>
      <c r="C9362" s="1" t="n">
        <v>46114</v>
      </c>
      <c r="D9362" t="inlineStr">
        <is>
          <t>DALARNAS LÄN</t>
        </is>
      </c>
      <c r="E9362" t="inlineStr">
        <is>
          <t>GAGNEF</t>
        </is>
      </c>
      <c r="G9362" t="n">
        <v>10.9</v>
      </c>
      <c r="H9362" t="n">
        <v>0</v>
      </c>
      <c r="I9362" t="n">
        <v>0</v>
      </c>
      <c r="J9362" t="n">
        <v>0</v>
      </c>
      <c r="K9362" t="n">
        <v>0</v>
      </c>
      <c r="L9362" t="n">
        <v>0</v>
      </c>
      <c r="M9362" t="n">
        <v>0</v>
      </c>
      <c r="N9362" t="n">
        <v>0</v>
      </c>
      <c r="O9362" t="n">
        <v>0</v>
      </c>
      <c r="P9362" t="n">
        <v>0</v>
      </c>
      <c r="Q9362" t="n">
        <v>0</v>
      </c>
      <c r="R9362" s="2" t="inlineStr"/>
    </row>
    <row r="9363" ht="15" customHeight="1">
      <c r="A9363" t="inlineStr">
        <is>
          <t>A 15257-2026</t>
        </is>
      </c>
      <c r="B9363" s="1" t="n">
        <v>46105.58712962963</v>
      </c>
      <c r="C9363" s="1" t="n">
        <v>46114</v>
      </c>
      <c r="D9363" t="inlineStr">
        <is>
          <t>DALARNAS LÄN</t>
        </is>
      </c>
      <c r="E9363" t="inlineStr">
        <is>
          <t>RÄTTVIK</t>
        </is>
      </c>
      <c r="F9363" t="inlineStr">
        <is>
          <t>Bergvik skog väst AB</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15260-2026</t>
        </is>
      </c>
      <c r="B9364" s="1" t="n">
        <v>46105.59141203704</v>
      </c>
      <c r="C9364" s="1" t="n">
        <v>46114</v>
      </c>
      <c r="D9364" t="inlineStr">
        <is>
          <t>DALARNAS LÄN</t>
        </is>
      </c>
      <c r="E9364" t="inlineStr">
        <is>
          <t>RÄTTVIK</t>
        </is>
      </c>
      <c r="F9364" t="inlineStr">
        <is>
          <t>Bergvik skog väst AB</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7714-2026</t>
        </is>
      </c>
      <c r="B9365" s="1" t="n">
        <v>46062</v>
      </c>
      <c r="C9365" s="1" t="n">
        <v>46114</v>
      </c>
      <c r="D9365" t="inlineStr">
        <is>
          <t>DALARNAS LÄN</t>
        </is>
      </c>
      <c r="E9365" t="inlineStr">
        <is>
          <t>LUDVIKA</t>
        </is>
      </c>
      <c r="F9365" t="inlineStr">
        <is>
          <t>Bergvik skog väst AB</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52116-2022</t>
        </is>
      </c>
      <c r="B9366" s="1" t="n">
        <v>44873</v>
      </c>
      <c r="C9366" s="1" t="n">
        <v>46114</v>
      </c>
      <c r="D9366" t="inlineStr">
        <is>
          <t>DALARNAS LÄN</t>
        </is>
      </c>
      <c r="E9366" t="inlineStr">
        <is>
          <t>FALUN</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8019-2026</t>
        </is>
      </c>
      <c r="B9367" s="1" t="n">
        <v>46063.55407407408</v>
      </c>
      <c r="C9367" s="1" t="n">
        <v>46114</v>
      </c>
      <c r="D9367" t="inlineStr">
        <is>
          <t>DALARNAS LÄN</t>
        </is>
      </c>
      <c r="E9367" t="inlineStr">
        <is>
          <t>FALUN</t>
        </is>
      </c>
      <c r="F9367" t="inlineStr">
        <is>
          <t>Bergvik skog väst AB</t>
        </is>
      </c>
      <c r="G9367" t="n">
        <v>9.5</v>
      </c>
      <c r="H9367" t="n">
        <v>0</v>
      </c>
      <c r="I9367" t="n">
        <v>0</v>
      </c>
      <c r="J9367" t="n">
        <v>0</v>
      </c>
      <c r="K9367" t="n">
        <v>0</v>
      </c>
      <c r="L9367" t="n">
        <v>0</v>
      </c>
      <c r="M9367" t="n">
        <v>0</v>
      </c>
      <c r="N9367" t="n">
        <v>0</v>
      </c>
      <c r="O9367" t="n">
        <v>0</v>
      </c>
      <c r="P9367" t="n">
        <v>0</v>
      </c>
      <c r="Q9367" t="n">
        <v>0</v>
      </c>
      <c r="R9367" s="2" t="inlineStr"/>
    </row>
    <row r="9368" ht="15" customHeight="1">
      <c r="A9368" t="inlineStr">
        <is>
          <t>A 12501-2026</t>
        </is>
      </c>
      <c r="B9368" s="1" t="n">
        <v>46090</v>
      </c>
      <c r="C9368" s="1" t="n">
        <v>46114</v>
      </c>
      <c r="D9368" t="inlineStr">
        <is>
          <t>DALARNAS LÄN</t>
        </is>
      </c>
      <c r="E9368" t="inlineStr">
        <is>
          <t>FALUN</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13197-2026</t>
        </is>
      </c>
      <c r="B9369" s="1" t="n">
        <v>46093</v>
      </c>
      <c r="C9369" s="1" t="n">
        <v>46114</v>
      </c>
      <c r="D9369" t="inlineStr">
        <is>
          <t>DALARNAS LÄN</t>
        </is>
      </c>
      <c r="E9369" t="inlineStr">
        <is>
          <t>FALUN</t>
        </is>
      </c>
      <c r="F9369" t="inlineStr">
        <is>
          <t>Bergvik skog väst AB</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7762-2026</t>
        </is>
      </c>
      <c r="B9370" s="1" t="n">
        <v>46062</v>
      </c>
      <c r="C9370" s="1" t="n">
        <v>46114</v>
      </c>
      <c r="D9370" t="inlineStr">
        <is>
          <t>DALARNAS LÄN</t>
        </is>
      </c>
      <c r="E9370" t="inlineStr">
        <is>
          <t>FALUN</t>
        </is>
      </c>
      <c r="F9370" t="inlineStr">
        <is>
          <t>Bergvik skog väst AB</t>
        </is>
      </c>
      <c r="G9370" t="n">
        <v>5.9</v>
      </c>
      <c r="H9370" t="n">
        <v>0</v>
      </c>
      <c r="I9370" t="n">
        <v>0</v>
      </c>
      <c r="J9370" t="n">
        <v>0</v>
      </c>
      <c r="K9370" t="n">
        <v>0</v>
      </c>
      <c r="L9370" t="n">
        <v>0</v>
      </c>
      <c r="M9370" t="n">
        <v>0</v>
      </c>
      <c r="N9370" t="n">
        <v>0</v>
      </c>
      <c r="O9370" t="n">
        <v>0</v>
      </c>
      <c r="P9370" t="n">
        <v>0</v>
      </c>
      <c r="Q9370" t="n">
        <v>0</v>
      </c>
      <c r="R9370" s="2" t="inlineStr"/>
    </row>
    <row r="9371" ht="15" customHeight="1">
      <c r="A9371" t="inlineStr">
        <is>
          <t>A 7773-2026</t>
        </is>
      </c>
      <c r="B9371" s="1" t="n">
        <v>46062</v>
      </c>
      <c r="C9371" s="1" t="n">
        <v>46114</v>
      </c>
      <c r="D9371" t="inlineStr">
        <is>
          <t>DALARNAS LÄN</t>
        </is>
      </c>
      <c r="E9371" t="inlineStr">
        <is>
          <t>FALUN</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7775-2026</t>
        </is>
      </c>
      <c r="B9372" s="1" t="n">
        <v>46062</v>
      </c>
      <c r="C9372" s="1" t="n">
        <v>46114</v>
      </c>
      <c r="D9372" t="inlineStr">
        <is>
          <t>DALARNAS LÄN</t>
        </is>
      </c>
      <c r="E9372" t="inlineStr">
        <is>
          <t>ORSA</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14496-2026</t>
        </is>
      </c>
      <c r="B9373" s="1" t="n">
        <v>46100</v>
      </c>
      <c r="C9373" s="1" t="n">
        <v>46114</v>
      </c>
      <c r="D9373" t="inlineStr">
        <is>
          <t>DALARNAS LÄN</t>
        </is>
      </c>
      <c r="E9373" t="inlineStr">
        <is>
          <t>RÄTTVIK</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8011-2026</t>
        </is>
      </c>
      <c r="B9374" s="1" t="n">
        <v>46063</v>
      </c>
      <c r="C9374" s="1" t="n">
        <v>46114</v>
      </c>
      <c r="D9374" t="inlineStr">
        <is>
          <t>DALARNAS LÄN</t>
        </is>
      </c>
      <c r="E9374" t="inlineStr">
        <is>
          <t>HEDEMORA</t>
        </is>
      </c>
      <c r="F9374" t="inlineStr">
        <is>
          <t>Sveaskog</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57829-2023</t>
        </is>
      </c>
      <c r="B9375" s="1" t="n">
        <v>45247</v>
      </c>
      <c r="C9375" s="1" t="n">
        <v>46114</v>
      </c>
      <c r="D9375" t="inlineStr">
        <is>
          <t>DALARNAS LÄN</t>
        </is>
      </c>
      <c r="E9375" t="inlineStr">
        <is>
          <t>MALUNG-SÄLEN</t>
        </is>
      </c>
      <c r="F9375" t="inlineStr">
        <is>
          <t>Bergvik skog öst AB</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7573-2026</t>
        </is>
      </c>
      <c r="B9376" s="1" t="n">
        <v>46060</v>
      </c>
      <c r="C9376" s="1" t="n">
        <v>46114</v>
      </c>
      <c r="D9376" t="inlineStr">
        <is>
          <t>DALARNAS LÄN</t>
        </is>
      </c>
      <c r="E9376" t="inlineStr">
        <is>
          <t>SÄTER</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4533-2025</t>
        </is>
      </c>
      <c r="B9377" s="1" t="n">
        <v>45687.34354166667</v>
      </c>
      <c r="C9377" s="1" t="n">
        <v>46114</v>
      </c>
      <c r="D9377" t="inlineStr">
        <is>
          <t>DALARNAS LÄN</t>
        </is>
      </c>
      <c r="E9377" t="inlineStr">
        <is>
          <t>FALUN</t>
        </is>
      </c>
      <c r="F9377" t="inlineStr">
        <is>
          <t>Bergvik skog väst AB</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4553-2025</t>
        </is>
      </c>
      <c r="B9378" s="1" t="n">
        <v>45687.42143518518</v>
      </c>
      <c r="C9378" s="1" t="n">
        <v>46114</v>
      </c>
      <c r="D9378" t="inlineStr">
        <is>
          <t>DALARNAS LÄN</t>
        </is>
      </c>
      <c r="E9378" t="inlineStr">
        <is>
          <t>ORSA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15201-2026</t>
        </is>
      </c>
      <c r="B9379" s="1" t="n">
        <v>46105.48222222222</v>
      </c>
      <c r="C9379" s="1" t="n">
        <v>46114</v>
      </c>
      <c r="D9379" t="inlineStr">
        <is>
          <t>DALARNAS LÄN</t>
        </is>
      </c>
      <c r="E9379" t="inlineStr">
        <is>
          <t>RÄTTVIK</t>
        </is>
      </c>
      <c r="F9379" t="inlineStr">
        <is>
          <t>Bergvik skog väst AB</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12988-2026</t>
        </is>
      </c>
      <c r="B9380" s="1" t="n">
        <v>46092</v>
      </c>
      <c r="C9380" s="1" t="n">
        <v>46114</v>
      </c>
      <c r="D9380" t="inlineStr">
        <is>
          <t>DALARNAS LÄN</t>
        </is>
      </c>
      <c r="E9380" t="inlineStr">
        <is>
          <t>LEKSAND</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13336-2026</t>
        </is>
      </c>
      <c r="B9381" s="1" t="n">
        <v>46094</v>
      </c>
      <c r="C9381" s="1" t="n">
        <v>46114</v>
      </c>
      <c r="D9381" t="inlineStr">
        <is>
          <t>DALARNAS LÄN</t>
        </is>
      </c>
      <c r="E9381" t="inlineStr">
        <is>
          <t>HEDEMORA</t>
        </is>
      </c>
      <c r="G9381" t="n">
        <v>17.5</v>
      </c>
      <c r="H9381" t="n">
        <v>0</v>
      </c>
      <c r="I9381" t="n">
        <v>0</v>
      </c>
      <c r="J9381" t="n">
        <v>0</v>
      </c>
      <c r="K9381" t="n">
        <v>0</v>
      </c>
      <c r="L9381" t="n">
        <v>0</v>
      </c>
      <c r="M9381" t="n">
        <v>0</v>
      </c>
      <c r="N9381" t="n">
        <v>0</v>
      </c>
      <c r="O9381" t="n">
        <v>0</v>
      </c>
      <c r="P9381" t="n">
        <v>0</v>
      </c>
      <c r="Q9381" t="n">
        <v>0</v>
      </c>
      <c r="R9381" s="2" t="inlineStr"/>
    </row>
    <row r="9382" ht="15" customHeight="1">
      <c r="A9382" t="inlineStr">
        <is>
          <t>A 15026-2026</t>
        </is>
      </c>
      <c r="B9382" s="1" t="n">
        <v>46104.64196759259</v>
      </c>
      <c r="C9382" s="1" t="n">
        <v>46114</v>
      </c>
      <c r="D9382" t="inlineStr">
        <is>
          <t>DALARNAS LÄN</t>
        </is>
      </c>
      <c r="E9382" t="inlineStr">
        <is>
          <t>RÄTTVIK</t>
        </is>
      </c>
      <c r="F9382" t="inlineStr">
        <is>
          <t>Bergvik skog väst AB</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50591-2021</t>
        </is>
      </c>
      <c r="B9383" s="1" t="n">
        <v>44459.65792824074</v>
      </c>
      <c r="C9383" s="1" t="n">
        <v>46114</v>
      </c>
      <c r="D9383" t="inlineStr">
        <is>
          <t>DALARNAS LÄN</t>
        </is>
      </c>
      <c r="E9383" t="inlineStr">
        <is>
          <t>RÄTTVIK</t>
        </is>
      </c>
      <c r="F9383" t="inlineStr">
        <is>
          <t>Sveaskog</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15033-2026</t>
        </is>
      </c>
      <c r="B9384" s="1" t="n">
        <v>46104.65256944444</v>
      </c>
      <c r="C9384" s="1" t="n">
        <v>46114</v>
      </c>
      <c r="D9384" t="inlineStr">
        <is>
          <t>DALARNAS LÄN</t>
        </is>
      </c>
      <c r="E9384" t="inlineStr">
        <is>
          <t>RÄTTVIK</t>
        </is>
      </c>
      <c r="F9384" t="inlineStr">
        <is>
          <t>Bergvik skog väst AB</t>
        </is>
      </c>
      <c r="G9384" t="n">
        <v>3</v>
      </c>
      <c r="H9384" t="n">
        <v>0</v>
      </c>
      <c r="I9384" t="n">
        <v>0</v>
      </c>
      <c r="J9384" t="n">
        <v>0</v>
      </c>
      <c r="K9384" t="n">
        <v>0</v>
      </c>
      <c r="L9384" t="n">
        <v>0</v>
      </c>
      <c r="M9384" t="n">
        <v>0</v>
      </c>
      <c r="N9384" t="n">
        <v>0</v>
      </c>
      <c r="O9384" t="n">
        <v>0</v>
      </c>
      <c r="P9384" t="n">
        <v>0</v>
      </c>
      <c r="Q9384" t="n">
        <v>0</v>
      </c>
      <c r="R9384" s="2" t="inlineStr"/>
    </row>
    <row r="9385" ht="15" customHeight="1">
      <c r="A9385" t="inlineStr">
        <is>
          <t>A 5936-2026</t>
        </is>
      </c>
      <c r="B9385" s="1" t="n">
        <v>46052.47197916666</v>
      </c>
      <c r="C9385" s="1" t="n">
        <v>46114</v>
      </c>
      <c r="D9385" t="inlineStr">
        <is>
          <t>DALARNAS LÄN</t>
        </is>
      </c>
      <c r="E9385" t="inlineStr">
        <is>
          <t>MORA</t>
        </is>
      </c>
      <c r="G9385" t="n">
        <v>11.1</v>
      </c>
      <c r="H9385" t="n">
        <v>0</v>
      </c>
      <c r="I9385" t="n">
        <v>0</v>
      </c>
      <c r="J9385" t="n">
        <v>0</v>
      </c>
      <c r="K9385" t="n">
        <v>0</v>
      </c>
      <c r="L9385" t="n">
        <v>0</v>
      </c>
      <c r="M9385" t="n">
        <v>0</v>
      </c>
      <c r="N9385" t="n">
        <v>0</v>
      </c>
      <c r="O9385" t="n">
        <v>0</v>
      </c>
      <c r="P9385" t="n">
        <v>0</v>
      </c>
      <c r="Q9385" t="n">
        <v>0</v>
      </c>
      <c r="R9385" s="2" t="inlineStr"/>
    </row>
    <row r="9386" ht="15" customHeight="1">
      <c r="A9386" t="inlineStr">
        <is>
          <t>A 7682-2026</t>
        </is>
      </c>
      <c r="B9386" s="1" t="n">
        <v>46062.43326388889</v>
      </c>
      <c r="C9386" s="1" t="n">
        <v>46114</v>
      </c>
      <c r="D9386" t="inlineStr">
        <is>
          <t>DALARNAS LÄN</t>
        </is>
      </c>
      <c r="E9386" t="inlineStr">
        <is>
          <t>SMEDJEBACKEN</t>
        </is>
      </c>
      <c r="G9386" t="n">
        <v>5.4</v>
      </c>
      <c r="H9386" t="n">
        <v>0</v>
      </c>
      <c r="I9386" t="n">
        <v>0</v>
      </c>
      <c r="J9386" t="n">
        <v>0</v>
      </c>
      <c r="K9386" t="n">
        <v>0</v>
      </c>
      <c r="L9386" t="n">
        <v>0</v>
      </c>
      <c r="M9386" t="n">
        <v>0</v>
      </c>
      <c r="N9386" t="n">
        <v>0</v>
      </c>
      <c r="O9386" t="n">
        <v>0</v>
      </c>
      <c r="P9386" t="n">
        <v>0</v>
      </c>
      <c r="Q9386" t="n">
        <v>0</v>
      </c>
      <c r="R9386" s="2" t="inlineStr"/>
    </row>
    <row r="9387" ht="15" customHeight="1">
      <c r="A9387" t="inlineStr">
        <is>
          <t>A 13649-2026</t>
        </is>
      </c>
      <c r="B9387" s="1" t="n">
        <v>46097</v>
      </c>
      <c r="C9387" s="1" t="n">
        <v>46114</v>
      </c>
      <c r="D9387" t="inlineStr">
        <is>
          <t>DALARNAS LÄN</t>
        </is>
      </c>
      <c r="E9387" t="inlineStr">
        <is>
          <t>SÄTER</t>
        </is>
      </c>
      <c r="G9387" t="n">
        <v>6.8</v>
      </c>
      <c r="H9387" t="n">
        <v>0</v>
      </c>
      <c r="I9387" t="n">
        <v>0</v>
      </c>
      <c r="J9387" t="n">
        <v>0</v>
      </c>
      <c r="K9387" t="n">
        <v>0</v>
      </c>
      <c r="L9387" t="n">
        <v>0</v>
      </c>
      <c r="M9387" t="n">
        <v>0</v>
      </c>
      <c r="N9387" t="n">
        <v>0</v>
      </c>
      <c r="O9387" t="n">
        <v>0</v>
      </c>
      <c r="P9387" t="n">
        <v>0</v>
      </c>
      <c r="Q9387" t="n">
        <v>0</v>
      </c>
      <c r="R9387" s="2" t="inlineStr"/>
    </row>
    <row r="9388" ht="15" customHeight="1">
      <c r="A9388" t="inlineStr">
        <is>
          <t>A 15632-2026</t>
        </is>
      </c>
      <c r="B9388" s="1" t="n">
        <v>46106.62366898148</v>
      </c>
      <c r="C9388" s="1" t="n">
        <v>46114</v>
      </c>
      <c r="D9388" t="inlineStr">
        <is>
          <t>DALARNAS LÄN</t>
        </is>
      </c>
      <c r="E9388" t="inlineStr">
        <is>
          <t>LEKSAND</t>
        </is>
      </c>
      <c r="G9388" t="n">
        <v>2.2</v>
      </c>
      <c r="H9388" t="n">
        <v>0</v>
      </c>
      <c r="I9388" t="n">
        <v>0</v>
      </c>
      <c r="J9388" t="n">
        <v>0</v>
      </c>
      <c r="K9388" t="n">
        <v>0</v>
      </c>
      <c r="L9388" t="n">
        <v>0</v>
      </c>
      <c r="M9388" t="n">
        <v>0</v>
      </c>
      <c r="N9388" t="n">
        <v>0</v>
      </c>
      <c r="O9388" t="n">
        <v>0</v>
      </c>
      <c r="P9388" t="n">
        <v>0</v>
      </c>
      <c r="Q9388" t="n">
        <v>0</v>
      </c>
      <c r="R9388" s="2" t="inlineStr"/>
    </row>
    <row r="9389" ht="15" customHeight="1">
      <c r="A9389" t="inlineStr">
        <is>
          <t>A 8483-2026</t>
        </is>
      </c>
      <c r="B9389" s="1" t="n">
        <v>46065.46907407408</v>
      </c>
      <c r="C9389" s="1" t="n">
        <v>46114</v>
      </c>
      <c r="D9389" t="inlineStr">
        <is>
          <t>DALARNAS LÄN</t>
        </is>
      </c>
      <c r="E9389" t="inlineStr">
        <is>
          <t>FALUN</t>
        </is>
      </c>
      <c r="F9389" t="inlineStr">
        <is>
          <t>Bergvik skog väst AB</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8333-2026</t>
        </is>
      </c>
      <c r="B9390" s="1" t="n">
        <v>46064.62700231482</v>
      </c>
      <c r="C9390" s="1" t="n">
        <v>46114</v>
      </c>
      <c r="D9390" t="inlineStr">
        <is>
          <t>DALARNAS LÄN</t>
        </is>
      </c>
      <c r="E9390" t="inlineStr">
        <is>
          <t>BORLÄNGE</t>
        </is>
      </c>
      <c r="G9390" t="n">
        <v>4.9</v>
      </c>
      <c r="H9390" t="n">
        <v>0</v>
      </c>
      <c r="I9390" t="n">
        <v>0</v>
      </c>
      <c r="J9390" t="n">
        <v>0</v>
      </c>
      <c r="K9390" t="n">
        <v>0</v>
      </c>
      <c r="L9390" t="n">
        <v>0</v>
      </c>
      <c r="M9390" t="n">
        <v>0</v>
      </c>
      <c r="N9390" t="n">
        <v>0</v>
      </c>
      <c r="O9390" t="n">
        <v>0</v>
      </c>
      <c r="P9390" t="n">
        <v>0</v>
      </c>
      <c r="Q9390" t="n">
        <v>0</v>
      </c>
      <c r="R9390" s="2" t="inlineStr"/>
    </row>
    <row r="9391" ht="15" customHeight="1">
      <c r="A9391" t="inlineStr">
        <is>
          <t>A 8496-2026</t>
        </is>
      </c>
      <c r="B9391" s="1" t="n">
        <v>46065.49203703704</v>
      </c>
      <c r="C9391" s="1" t="n">
        <v>46114</v>
      </c>
      <c r="D9391" t="inlineStr">
        <is>
          <t>DALARNAS LÄN</t>
        </is>
      </c>
      <c r="E9391" t="inlineStr">
        <is>
          <t>SÄTER</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10457-2022</t>
        </is>
      </c>
      <c r="B9392" s="1" t="n">
        <v>44623.561875</v>
      </c>
      <c r="C9392" s="1" t="n">
        <v>46114</v>
      </c>
      <c r="D9392" t="inlineStr">
        <is>
          <t>DALARNAS LÄN</t>
        </is>
      </c>
      <c r="E9392" t="inlineStr">
        <is>
          <t>MALUNG-SÄLEN</t>
        </is>
      </c>
      <c r="F9392" t="inlineStr">
        <is>
          <t>Kommuner</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36478-2024</t>
        </is>
      </c>
      <c r="B9393" s="1" t="n">
        <v>45537.37069444444</v>
      </c>
      <c r="C9393" s="1" t="n">
        <v>46114</v>
      </c>
      <c r="D9393" t="inlineStr">
        <is>
          <t>DALARNAS LÄN</t>
        </is>
      </c>
      <c r="E9393" t="inlineStr">
        <is>
          <t>SÄTER</t>
        </is>
      </c>
      <c r="F9393" t="inlineStr">
        <is>
          <t>Bergvik skog väst AB</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5486-2023</t>
        </is>
      </c>
      <c r="B9394" s="1" t="n">
        <v>44957</v>
      </c>
      <c r="C9394" s="1" t="n">
        <v>46114</v>
      </c>
      <c r="D9394" t="inlineStr">
        <is>
          <t>DALARNAS LÄN</t>
        </is>
      </c>
      <c r="E9394" t="inlineStr">
        <is>
          <t>MORA</t>
        </is>
      </c>
      <c r="G9394" t="n">
        <v>3.2</v>
      </c>
      <c r="H9394" t="n">
        <v>0</v>
      </c>
      <c r="I9394" t="n">
        <v>0</v>
      </c>
      <c r="J9394" t="n">
        <v>0</v>
      </c>
      <c r="K9394" t="n">
        <v>0</v>
      </c>
      <c r="L9394" t="n">
        <v>0</v>
      </c>
      <c r="M9394" t="n">
        <v>0</v>
      </c>
      <c r="N9394" t="n">
        <v>0</v>
      </c>
      <c r="O9394" t="n">
        <v>0</v>
      </c>
      <c r="P9394" t="n">
        <v>0</v>
      </c>
      <c r="Q9394" t="n">
        <v>0</v>
      </c>
      <c r="R9394" s="2" t="inlineStr"/>
    </row>
    <row r="9395" ht="15" customHeight="1">
      <c r="A9395" t="inlineStr">
        <is>
          <t>A 63908-2021</t>
        </is>
      </c>
      <c r="B9395" s="1" t="n">
        <v>44509.6580787037</v>
      </c>
      <c r="C9395" s="1" t="n">
        <v>46114</v>
      </c>
      <c r="D9395" t="inlineStr">
        <is>
          <t>DALARNAS LÄN</t>
        </is>
      </c>
      <c r="E9395" t="inlineStr">
        <is>
          <t>HEDEMORA</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5679-2023</t>
        </is>
      </c>
      <c r="B9396" s="1" t="n">
        <v>44960.70480324074</v>
      </c>
      <c r="C9396" s="1" t="n">
        <v>46114</v>
      </c>
      <c r="D9396" t="inlineStr">
        <is>
          <t>DALARNAS LÄN</t>
        </is>
      </c>
      <c r="E9396" t="inlineStr">
        <is>
          <t>FALUN</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8359-2026</t>
        </is>
      </c>
      <c r="B9397" s="1" t="n">
        <v>46064</v>
      </c>
      <c r="C9397" s="1" t="n">
        <v>46114</v>
      </c>
      <c r="D9397" t="inlineStr">
        <is>
          <t>DALARNAS LÄN</t>
        </is>
      </c>
      <c r="E9397" t="inlineStr">
        <is>
          <t>FALUN</t>
        </is>
      </c>
      <c r="G9397" t="n">
        <v>5.1</v>
      </c>
      <c r="H9397" t="n">
        <v>0</v>
      </c>
      <c r="I9397" t="n">
        <v>0</v>
      </c>
      <c r="J9397" t="n">
        <v>0</v>
      </c>
      <c r="K9397" t="n">
        <v>0</v>
      </c>
      <c r="L9397" t="n">
        <v>0</v>
      </c>
      <c r="M9397" t="n">
        <v>0</v>
      </c>
      <c r="N9397" t="n">
        <v>0</v>
      </c>
      <c r="O9397" t="n">
        <v>0</v>
      </c>
      <c r="P9397" t="n">
        <v>0</v>
      </c>
      <c r="Q9397" t="n">
        <v>0</v>
      </c>
      <c r="R9397" s="2" t="inlineStr"/>
    </row>
    <row r="9398" ht="15" customHeight="1">
      <c r="A9398" t="inlineStr">
        <is>
          <t>A 8360-2026</t>
        </is>
      </c>
      <c r="B9398" s="1" t="n">
        <v>46064.66016203703</v>
      </c>
      <c r="C9398" s="1" t="n">
        <v>46114</v>
      </c>
      <c r="D9398" t="inlineStr">
        <is>
          <t>DALARNAS LÄN</t>
        </is>
      </c>
      <c r="E9398" t="inlineStr">
        <is>
          <t>MALUNG-SÄLEN</t>
        </is>
      </c>
      <c r="G9398" t="n">
        <v>5.9</v>
      </c>
      <c r="H9398" t="n">
        <v>0</v>
      </c>
      <c r="I9398" t="n">
        <v>0</v>
      </c>
      <c r="J9398" t="n">
        <v>0</v>
      </c>
      <c r="K9398" t="n">
        <v>0</v>
      </c>
      <c r="L9398" t="n">
        <v>0</v>
      </c>
      <c r="M9398" t="n">
        <v>0</v>
      </c>
      <c r="N9398" t="n">
        <v>0</v>
      </c>
      <c r="O9398" t="n">
        <v>0</v>
      </c>
      <c r="P9398" t="n">
        <v>0</v>
      </c>
      <c r="Q9398" t="n">
        <v>0</v>
      </c>
      <c r="R9398" s="2" t="inlineStr"/>
    </row>
    <row r="9399" ht="15" customHeight="1">
      <c r="A9399" t="inlineStr">
        <is>
          <t>A 13257-2026</t>
        </is>
      </c>
      <c r="B9399" s="1" t="n">
        <v>46093</v>
      </c>
      <c r="C9399" s="1" t="n">
        <v>46114</v>
      </c>
      <c r="D9399" t="inlineStr">
        <is>
          <t>DALARNAS LÄN</t>
        </is>
      </c>
      <c r="E9399" t="inlineStr">
        <is>
          <t>ORSA</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42943-2024</t>
        </is>
      </c>
      <c r="B9400" s="1" t="n">
        <v>45567.35359953704</v>
      </c>
      <c r="C9400" s="1" t="n">
        <v>46114</v>
      </c>
      <c r="D9400" t="inlineStr">
        <is>
          <t>DALARNAS LÄN</t>
        </is>
      </c>
      <c r="E9400" t="inlineStr">
        <is>
          <t>MORA</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15541-2026</t>
        </is>
      </c>
      <c r="B9401" s="1" t="n">
        <v>46106.51527777778</v>
      </c>
      <c r="C9401" s="1" t="n">
        <v>46114</v>
      </c>
      <c r="D9401" t="inlineStr">
        <is>
          <t>DALARNAS LÄN</t>
        </is>
      </c>
      <c r="E9401" t="inlineStr">
        <is>
          <t>GAGNEF</t>
        </is>
      </c>
      <c r="G9401" t="n">
        <v>5.2</v>
      </c>
      <c r="H9401" t="n">
        <v>0</v>
      </c>
      <c r="I9401" t="n">
        <v>0</v>
      </c>
      <c r="J9401" t="n">
        <v>0</v>
      </c>
      <c r="K9401" t="n">
        <v>0</v>
      </c>
      <c r="L9401" t="n">
        <v>0</v>
      </c>
      <c r="M9401" t="n">
        <v>0</v>
      </c>
      <c r="N9401" t="n">
        <v>0</v>
      </c>
      <c r="O9401" t="n">
        <v>0</v>
      </c>
      <c r="P9401" t="n">
        <v>0</v>
      </c>
      <c r="Q9401" t="n">
        <v>0</v>
      </c>
      <c r="R9401" s="2" t="inlineStr"/>
    </row>
    <row r="9402" ht="15" customHeight="1">
      <c r="A9402" t="inlineStr">
        <is>
          <t>A 15670-2026</t>
        </is>
      </c>
      <c r="B9402" s="1" t="n">
        <v>46106.71064814815</v>
      </c>
      <c r="C9402" s="1" t="n">
        <v>46114</v>
      </c>
      <c r="D9402" t="inlineStr">
        <is>
          <t>DALARNAS LÄN</t>
        </is>
      </c>
      <c r="E9402" t="inlineStr">
        <is>
          <t>FALUN</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15672-2026</t>
        </is>
      </c>
      <c r="B9403" s="1" t="n">
        <v>46106.7371412037</v>
      </c>
      <c r="C9403" s="1" t="n">
        <v>46114</v>
      </c>
      <c r="D9403" t="inlineStr">
        <is>
          <t>DALARNAS LÄN</t>
        </is>
      </c>
      <c r="E9403" t="inlineStr">
        <is>
          <t>FALUN</t>
        </is>
      </c>
      <c r="G9403" t="n">
        <v>5.7</v>
      </c>
      <c r="H9403" t="n">
        <v>0</v>
      </c>
      <c r="I9403" t="n">
        <v>0</v>
      </c>
      <c r="J9403" t="n">
        <v>0</v>
      </c>
      <c r="K9403" t="n">
        <v>0</v>
      </c>
      <c r="L9403" t="n">
        <v>0</v>
      </c>
      <c r="M9403" t="n">
        <v>0</v>
      </c>
      <c r="N9403" t="n">
        <v>0</v>
      </c>
      <c r="O9403" t="n">
        <v>0</v>
      </c>
      <c r="P9403" t="n">
        <v>0</v>
      </c>
      <c r="Q9403" t="n">
        <v>0</v>
      </c>
      <c r="R9403" s="2" t="inlineStr"/>
    </row>
    <row r="9404" ht="15" customHeight="1">
      <c r="A9404" t="inlineStr">
        <is>
          <t>A 13086-2026</t>
        </is>
      </c>
      <c r="B9404" s="1" t="n">
        <v>46093</v>
      </c>
      <c r="C9404" s="1" t="n">
        <v>46114</v>
      </c>
      <c r="D9404" t="inlineStr">
        <is>
          <t>DALARNAS LÄN</t>
        </is>
      </c>
      <c r="E9404" t="inlineStr">
        <is>
          <t>RÄTTVIK</t>
        </is>
      </c>
      <c r="F9404" t="inlineStr">
        <is>
          <t>Bergvik skog väst AB</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13194-2026</t>
        </is>
      </c>
      <c r="B9405" s="1" t="n">
        <v>46093.59767361111</v>
      </c>
      <c r="C9405" s="1" t="n">
        <v>46114</v>
      </c>
      <c r="D9405" t="inlineStr">
        <is>
          <t>DALARNAS LÄN</t>
        </is>
      </c>
      <c r="E9405" t="inlineStr">
        <is>
          <t>SMEDJEBACKEN</t>
        </is>
      </c>
      <c r="G9405" t="n">
        <v>0.7</v>
      </c>
      <c r="H9405" t="n">
        <v>0</v>
      </c>
      <c r="I9405" t="n">
        <v>0</v>
      </c>
      <c r="J9405" t="n">
        <v>0</v>
      </c>
      <c r="K9405" t="n">
        <v>0</v>
      </c>
      <c r="L9405" t="n">
        <v>0</v>
      </c>
      <c r="M9405" t="n">
        <v>0</v>
      </c>
      <c r="N9405" t="n">
        <v>0</v>
      </c>
      <c r="O9405" t="n">
        <v>0</v>
      </c>
      <c r="P9405" t="n">
        <v>0</v>
      </c>
      <c r="Q9405" t="n">
        <v>0</v>
      </c>
      <c r="R9405" s="2" t="inlineStr"/>
    </row>
    <row r="9406" ht="15" customHeight="1">
      <c r="A9406" t="inlineStr">
        <is>
          <t>A 14338-2026</t>
        </is>
      </c>
      <c r="B9406" s="1" t="n">
        <v>46100</v>
      </c>
      <c r="C9406" s="1" t="n">
        <v>46114</v>
      </c>
      <c r="D9406" t="inlineStr">
        <is>
          <t>DALARNAS LÄN</t>
        </is>
      </c>
      <c r="E9406" t="inlineStr">
        <is>
          <t>FALUN</t>
        </is>
      </c>
      <c r="F9406" t="inlineStr">
        <is>
          <t>Allmännings- och besparingsskogar</t>
        </is>
      </c>
      <c r="G9406" t="n">
        <v>6.4</v>
      </c>
      <c r="H9406" t="n">
        <v>0</v>
      </c>
      <c r="I9406" t="n">
        <v>0</v>
      </c>
      <c r="J9406" t="n">
        <v>0</v>
      </c>
      <c r="K9406" t="n">
        <v>0</v>
      </c>
      <c r="L9406" t="n">
        <v>0</v>
      </c>
      <c r="M9406" t="n">
        <v>0</v>
      </c>
      <c r="N9406" t="n">
        <v>0</v>
      </c>
      <c r="O9406" t="n">
        <v>0</v>
      </c>
      <c r="P9406" t="n">
        <v>0</v>
      </c>
      <c r="Q9406" t="n">
        <v>0</v>
      </c>
      <c r="R9406" s="2" t="inlineStr"/>
    </row>
    <row r="9407" ht="15" customHeight="1">
      <c r="A9407" t="inlineStr">
        <is>
          <t>A 8119-2026</t>
        </is>
      </c>
      <c r="B9407" s="1" t="n">
        <v>46063.85685185185</v>
      </c>
      <c r="C9407" s="1" t="n">
        <v>46114</v>
      </c>
      <c r="D9407" t="inlineStr">
        <is>
          <t>DALARNAS LÄN</t>
        </is>
      </c>
      <c r="E9407" t="inlineStr">
        <is>
          <t>HEDEMORA</t>
        </is>
      </c>
      <c r="F9407" t="inlineStr">
        <is>
          <t>Sveaskog</t>
        </is>
      </c>
      <c r="G9407" t="n">
        <v>0.9</v>
      </c>
      <c r="H9407" t="n">
        <v>0</v>
      </c>
      <c r="I9407" t="n">
        <v>0</v>
      </c>
      <c r="J9407" t="n">
        <v>0</v>
      </c>
      <c r="K9407" t="n">
        <v>0</v>
      </c>
      <c r="L9407" t="n">
        <v>0</v>
      </c>
      <c r="M9407" t="n">
        <v>0</v>
      </c>
      <c r="N9407" t="n">
        <v>0</v>
      </c>
      <c r="O9407" t="n">
        <v>0</v>
      </c>
      <c r="P9407" t="n">
        <v>0</v>
      </c>
      <c r="Q9407" t="n">
        <v>0</v>
      </c>
      <c r="R9407" s="2" t="inlineStr"/>
    </row>
    <row r="9408" ht="15" customHeight="1">
      <c r="A9408" t="inlineStr">
        <is>
          <t>A 43011-2024</t>
        </is>
      </c>
      <c r="B9408" s="1" t="n">
        <v>45567.38679398148</v>
      </c>
      <c r="C9408" s="1" t="n">
        <v>46114</v>
      </c>
      <c r="D9408" t="inlineStr">
        <is>
          <t>DALARNAS LÄN</t>
        </is>
      </c>
      <c r="E9408" t="inlineStr">
        <is>
          <t>RÄTTVIK</t>
        </is>
      </c>
      <c r="G9408" t="n">
        <v>0.4</v>
      </c>
      <c r="H9408" t="n">
        <v>0</v>
      </c>
      <c r="I9408" t="n">
        <v>0</v>
      </c>
      <c r="J9408" t="n">
        <v>0</v>
      </c>
      <c r="K9408" t="n">
        <v>0</v>
      </c>
      <c r="L9408" t="n">
        <v>0</v>
      </c>
      <c r="M9408" t="n">
        <v>0</v>
      </c>
      <c r="N9408" t="n">
        <v>0</v>
      </c>
      <c r="O9408" t="n">
        <v>0</v>
      </c>
      <c r="P9408" t="n">
        <v>0</v>
      </c>
      <c r="Q9408" t="n">
        <v>0</v>
      </c>
      <c r="R9408" s="2" t="inlineStr"/>
    </row>
    <row r="9409" ht="15" customHeight="1">
      <c r="A9409" t="inlineStr">
        <is>
          <t>A 8140-2026</t>
        </is>
      </c>
      <c r="B9409" s="1" t="n">
        <v>46064.32984953704</v>
      </c>
      <c r="C9409" s="1" t="n">
        <v>46114</v>
      </c>
      <c r="D9409" t="inlineStr">
        <is>
          <t>DALARNAS LÄN</t>
        </is>
      </c>
      <c r="E9409" t="inlineStr">
        <is>
          <t>RÄTTVIK</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8141-2026</t>
        </is>
      </c>
      <c r="B9410" s="1" t="n">
        <v>46064.33961805556</v>
      </c>
      <c r="C9410" s="1" t="n">
        <v>46114</v>
      </c>
      <c r="D9410" t="inlineStr">
        <is>
          <t>DALARNAS LÄN</t>
        </is>
      </c>
      <c r="E9410" t="inlineStr">
        <is>
          <t>RÄTTVIK</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15737-2026</t>
        </is>
      </c>
      <c r="B9411" s="1" t="n">
        <v>46107.40979166667</v>
      </c>
      <c r="C9411" s="1" t="n">
        <v>46114</v>
      </c>
      <c r="D9411" t="inlineStr">
        <is>
          <t>DALARNAS LÄN</t>
        </is>
      </c>
      <c r="E9411" t="inlineStr">
        <is>
          <t>FALUN</t>
        </is>
      </c>
      <c r="G9411" t="n">
        <v>2.5</v>
      </c>
      <c r="H9411" t="n">
        <v>0</v>
      </c>
      <c r="I9411" t="n">
        <v>0</v>
      </c>
      <c r="J9411" t="n">
        <v>0</v>
      </c>
      <c r="K9411" t="n">
        <v>0</v>
      </c>
      <c r="L9411" t="n">
        <v>0</v>
      </c>
      <c r="M9411" t="n">
        <v>0</v>
      </c>
      <c r="N9411" t="n">
        <v>0</v>
      </c>
      <c r="O9411" t="n">
        <v>0</v>
      </c>
      <c r="P9411" t="n">
        <v>0</v>
      </c>
      <c r="Q9411" t="n">
        <v>0</v>
      </c>
      <c r="R9411" s="2" t="inlineStr"/>
    </row>
    <row r="9412" ht="15" customHeight="1">
      <c r="A9412" t="inlineStr">
        <is>
          <t>A 15372-2026</t>
        </is>
      </c>
      <c r="B9412" s="1" t="n">
        <v>46105.92204861111</v>
      </c>
      <c r="C9412" s="1" t="n">
        <v>46114</v>
      </c>
      <c r="D9412" t="inlineStr">
        <is>
          <t>DALARNAS LÄN</t>
        </is>
      </c>
      <c r="E9412" t="inlineStr">
        <is>
          <t>MORA</t>
        </is>
      </c>
      <c r="F9412" t="inlineStr">
        <is>
          <t>Bergvik skog öst AB</t>
        </is>
      </c>
      <c r="G9412" t="n">
        <v>5.7</v>
      </c>
      <c r="H9412" t="n">
        <v>0</v>
      </c>
      <c r="I9412" t="n">
        <v>0</v>
      </c>
      <c r="J9412" t="n">
        <v>0</v>
      </c>
      <c r="K9412" t="n">
        <v>0</v>
      </c>
      <c r="L9412" t="n">
        <v>0</v>
      </c>
      <c r="M9412" t="n">
        <v>0</v>
      </c>
      <c r="N9412" t="n">
        <v>0</v>
      </c>
      <c r="O9412" t="n">
        <v>0</v>
      </c>
      <c r="P9412" t="n">
        <v>0</v>
      </c>
      <c r="Q9412" t="n">
        <v>0</v>
      </c>
      <c r="R9412" s="2" t="inlineStr"/>
    </row>
    <row r="9413" ht="15" customHeight="1">
      <c r="A9413" t="inlineStr">
        <is>
          <t>A 15397-2026</t>
        </is>
      </c>
      <c r="B9413" s="1" t="n">
        <v>46106.35565972222</v>
      </c>
      <c r="C9413" s="1" t="n">
        <v>46114</v>
      </c>
      <c r="D9413" t="inlineStr">
        <is>
          <t>DALARNAS LÄN</t>
        </is>
      </c>
      <c r="E9413" t="inlineStr">
        <is>
          <t>MORA</t>
        </is>
      </c>
      <c r="F9413" t="inlineStr">
        <is>
          <t>Bergvik skog öst AB</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12034-2024</t>
        </is>
      </c>
      <c r="B9414" s="1" t="n">
        <v>45377.41113425926</v>
      </c>
      <c r="C9414" s="1" t="n">
        <v>46114</v>
      </c>
      <c r="D9414" t="inlineStr">
        <is>
          <t>DALARNAS LÄN</t>
        </is>
      </c>
      <c r="E9414" t="inlineStr">
        <is>
          <t>RÄTTVIK</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56615-2025</t>
        </is>
      </c>
      <c r="B9415" s="1" t="n">
        <v>45975.59326388889</v>
      </c>
      <c r="C9415" s="1" t="n">
        <v>46114</v>
      </c>
      <c r="D9415" t="inlineStr">
        <is>
          <t>DALARNAS LÄN</t>
        </is>
      </c>
      <c r="E9415" t="inlineStr">
        <is>
          <t>LUDVIKA</t>
        </is>
      </c>
      <c r="F9415" t="inlineStr">
        <is>
          <t>Bergvik skog väst AB</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62040-2023</t>
        </is>
      </c>
      <c r="B9416" s="1" t="n">
        <v>45266.67453703703</v>
      </c>
      <c r="C9416" s="1" t="n">
        <v>46114</v>
      </c>
      <c r="D9416" t="inlineStr">
        <is>
          <t>DALARNAS LÄN</t>
        </is>
      </c>
      <c r="E9416" t="inlineStr">
        <is>
          <t>AVESTA</t>
        </is>
      </c>
      <c r="G9416" t="n">
        <v>1.7</v>
      </c>
      <c r="H9416" t="n">
        <v>0</v>
      </c>
      <c r="I9416" t="n">
        <v>0</v>
      </c>
      <c r="J9416" t="n">
        <v>0</v>
      </c>
      <c r="K9416" t="n">
        <v>0</v>
      </c>
      <c r="L9416" t="n">
        <v>0</v>
      </c>
      <c r="M9416" t="n">
        <v>0</v>
      </c>
      <c r="N9416" t="n">
        <v>0</v>
      </c>
      <c r="O9416" t="n">
        <v>0</v>
      </c>
      <c r="P9416" t="n">
        <v>0</v>
      </c>
      <c r="Q9416" t="n">
        <v>0</v>
      </c>
      <c r="R9416" s="2" t="inlineStr"/>
    </row>
    <row r="9417" ht="15" customHeight="1">
      <c r="A9417" t="inlineStr">
        <is>
          <t>A 3258-2026</t>
        </is>
      </c>
      <c r="B9417" s="1" t="n">
        <v>46041</v>
      </c>
      <c r="C9417" s="1" t="n">
        <v>46114</v>
      </c>
      <c r="D9417" t="inlineStr">
        <is>
          <t>DALARNAS LÄN</t>
        </is>
      </c>
      <c r="E9417" t="inlineStr">
        <is>
          <t>VANSBRO</t>
        </is>
      </c>
      <c r="G9417" t="n">
        <v>15.1</v>
      </c>
      <c r="H9417" t="n">
        <v>0</v>
      </c>
      <c r="I9417" t="n">
        <v>0</v>
      </c>
      <c r="J9417" t="n">
        <v>0</v>
      </c>
      <c r="K9417" t="n">
        <v>0</v>
      </c>
      <c r="L9417" t="n">
        <v>0</v>
      </c>
      <c r="M9417" t="n">
        <v>0</v>
      </c>
      <c r="N9417" t="n">
        <v>0</v>
      </c>
      <c r="O9417" t="n">
        <v>0</v>
      </c>
      <c r="P9417" t="n">
        <v>0</v>
      </c>
      <c r="Q9417" t="n">
        <v>0</v>
      </c>
      <c r="R9417" s="2" t="inlineStr"/>
    </row>
    <row r="9418" ht="15" customHeight="1">
      <c r="A9418" t="inlineStr">
        <is>
          <t>A 8173-2026</t>
        </is>
      </c>
      <c r="B9418" s="1" t="n">
        <v>46064.39819444445</v>
      </c>
      <c r="C9418" s="1" t="n">
        <v>46114</v>
      </c>
      <c r="D9418" t="inlineStr">
        <is>
          <t>DALARNAS LÄN</t>
        </is>
      </c>
      <c r="E9418" t="inlineStr">
        <is>
          <t>RÄTTVIK</t>
        </is>
      </c>
      <c r="G9418" t="n">
        <v>1.3</v>
      </c>
      <c r="H9418" t="n">
        <v>0</v>
      </c>
      <c r="I9418" t="n">
        <v>0</v>
      </c>
      <c r="J9418" t="n">
        <v>0</v>
      </c>
      <c r="K9418" t="n">
        <v>0</v>
      </c>
      <c r="L9418" t="n">
        <v>0</v>
      </c>
      <c r="M9418" t="n">
        <v>0</v>
      </c>
      <c r="N9418" t="n">
        <v>0</v>
      </c>
      <c r="O9418" t="n">
        <v>0</v>
      </c>
      <c r="P9418" t="n">
        <v>0</v>
      </c>
      <c r="Q9418" t="n">
        <v>0</v>
      </c>
      <c r="R9418" s="2" t="inlineStr"/>
    </row>
    <row r="9419" ht="15" customHeight="1">
      <c r="A9419" t="inlineStr">
        <is>
          <t>A 8435-2026</t>
        </is>
      </c>
      <c r="B9419" s="1" t="n">
        <v>46065</v>
      </c>
      <c r="C9419" s="1" t="n">
        <v>46114</v>
      </c>
      <c r="D9419" t="inlineStr">
        <is>
          <t>DALARNAS LÄN</t>
        </is>
      </c>
      <c r="E9419" t="inlineStr">
        <is>
          <t>SÄTER</t>
        </is>
      </c>
      <c r="G9419" t="n">
        <v>9.9</v>
      </c>
      <c r="H9419" t="n">
        <v>0</v>
      </c>
      <c r="I9419" t="n">
        <v>0</v>
      </c>
      <c r="J9419" t="n">
        <v>0</v>
      </c>
      <c r="K9419" t="n">
        <v>0</v>
      </c>
      <c r="L9419" t="n">
        <v>0</v>
      </c>
      <c r="M9419" t="n">
        <v>0</v>
      </c>
      <c r="N9419" t="n">
        <v>0</v>
      </c>
      <c r="O9419" t="n">
        <v>0</v>
      </c>
      <c r="P9419" t="n">
        <v>0</v>
      </c>
      <c r="Q9419" t="n">
        <v>0</v>
      </c>
      <c r="R9419" s="2" t="inlineStr"/>
    </row>
    <row r="9420" ht="15" customHeight="1">
      <c r="A9420" t="inlineStr">
        <is>
          <t>A 45869-2023</t>
        </is>
      </c>
      <c r="B9420" s="1" t="n">
        <v>45195</v>
      </c>
      <c r="C9420" s="1" t="n">
        <v>46114</v>
      </c>
      <c r="D9420" t="inlineStr">
        <is>
          <t>DALARNAS LÄN</t>
        </is>
      </c>
      <c r="E9420" t="inlineStr">
        <is>
          <t>FALUN</t>
        </is>
      </c>
      <c r="G9420" t="n">
        <v>2.8</v>
      </c>
      <c r="H9420" t="n">
        <v>0</v>
      </c>
      <c r="I9420" t="n">
        <v>0</v>
      </c>
      <c r="J9420" t="n">
        <v>0</v>
      </c>
      <c r="K9420" t="n">
        <v>0</v>
      </c>
      <c r="L9420" t="n">
        <v>0</v>
      </c>
      <c r="M9420" t="n">
        <v>0</v>
      </c>
      <c r="N9420" t="n">
        <v>0</v>
      </c>
      <c r="O9420" t="n">
        <v>0</v>
      </c>
      <c r="P9420" t="n">
        <v>0</v>
      </c>
      <c r="Q9420" t="n">
        <v>0</v>
      </c>
      <c r="R9420" s="2" t="inlineStr"/>
    </row>
    <row r="9421" ht="15" customHeight="1">
      <c r="A9421" t="inlineStr">
        <is>
          <t>A 34482-2022</t>
        </is>
      </c>
      <c r="B9421" s="1" t="n">
        <v>44792</v>
      </c>
      <c r="C9421" s="1" t="n">
        <v>46114</v>
      </c>
      <c r="D9421" t="inlineStr">
        <is>
          <t>DALARNAS LÄN</t>
        </is>
      </c>
      <c r="E9421" t="inlineStr">
        <is>
          <t>LEKSAND</t>
        </is>
      </c>
      <c r="G9421" t="n">
        <v>2.6</v>
      </c>
      <c r="H9421" t="n">
        <v>0</v>
      </c>
      <c r="I9421" t="n">
        <v>0</v>
      </c>
      <c r="J9421" t="n">
        <v>0</v>
      </c>
      <c r="K9421" t="n">
        <v>0</v>
      </c>
      <c r="L9421" t="n">
        <v>0</v>
      </c>
      <c r="M9421" t="n">
        <v>0</v>
      </c>
      <c r="N9421" t="n">
        <v>0</v>
      </c>
      <c r="O9421" t="n">
        <v>0</v>
      </c>
      <c r="P9421" t="n">
        <v>0</v>
      </c>
      <c r="Q9421" t="n">
        <v>0</v>
      </c>
      <c r="R9421" s="2" t="inlineStr"/>
    </row>
    <row r="9422" ht="15" customHeight="1">
      <c r="A9422" t="inlineStr">
        <is>
          <t>A 16823-2025</t>
        </is>
      </c>
      <c r="B9422" s="1" t="n">
        <v>45754.64412037037</v>
      </c>
      <c r="C9422" s="1" t="n">
        <v>46114</v>
      </c>
      <c r="D9422" t="inlineStr">
        <is>
          <t>DALARNAS LÄN</t>
        </is>
      </c>
      <c r="E9422" t="inlineStr">
        <is>
          <t>VANSBRO</t>
        </is>
      </c>
      <c r="G9422" t="n">
        <v>9.9</v>
      </c>
      <c r="H9422" t="n">
        <v>0</v>
      </c>
      <c r="I9422" t="n">
        <v>0</v>
      </c>
      <c r="J9422" t="n">
        <v>0</v>
      </c>
      <c r="K9422" t="n">
        <v>0</v>
      </c>
      <c r="L9422" t="n">
        <v>0</v>
      </c>
      <c r="M9422" t="n">
        <v>0</v>
      </c>
      <c r="N9422" t="n">
        <v>0</v>
      </c>
      <c r="O9422" t="n">
        <v>0</v>
      </c>
      <c r="P9422" t="n">
        <v>0</v>
      </c>
      <c r="Q9422" t="n">
        <v>0</v>
      </c>
      <c r="R9422" s="2" t="inlineStr"/>
    </row>
    <row r="9423" ht="15" customHeight="1">
      <c r="A9423" t="inlineStr">
        <is>
          <t>A 16828-2025</t>
        </is>
      </c>
      <c r="B9423" s="1" t="n">
        <v>45754.65523148148</v>
      </c>
      <c r="C9423" s="1" t="n">
        <v>46114</v>
      </c>
      <c r="D9423" t="inlineStr">
        <is>
          <t>DALARNAS LÄN</t>
        </is>
      </c>
      <c r="E9423" t="inlineStr">
        <is>
          <t>VANSBRO</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51567-2023</t>
        </is>
      </c>
      <c r="B9424" s="1" t="n">
        <v>45222.44800925926</v>
      </c>
      <c r="C9424" s="1" t="n">
        <v>46114</v>
      </c>
      <c r="D9424" t="inlineStr">
        <is>
          <t>DALARNAS LÄN</t>
        </is>
      </c>
      <c r="E9424" t="inlineStr">
        <is>
          <t>ORSA</t>
        </is>
      </c>
      <c r="G9424" t="n">
        <v>0.7</v>
      </c>
      <c r="H9424" t="n">
        <v>0</v>
      </c>
      <c r="I9424" t="n">
        <v>0</v>
      </c>
      <c r="J9424" t="n">
        <v>0</v>
      </c>
      <c r="K9424" t="n">
        <v>0</v>
      </c>
      <c r="L9424" t="n">
        <v>0</v>
      </c>
      <c r="M9424" t="n">
        <v>0</v>
      </c>
      <c r="N9424" t="n">
        <v>0</v>
      </c>
      <c r="O9424" t="n">
        <v>0</v>
      </c>
      <c r="P9424" t="n">
        <v>0</v>
      </c>
      <c r="Q9424" t="n">
        <v>0</v>
      </c>
      <c r="R9424" s="2" t="inlineStr"/>
    </row>
    <row r="9425" ht="15" customHeight="1">
      <c r="A9425" t="inlineStr">
        <is>
          <t>A 15497-2026</t>
        </is>
      </c>
      <c r="B9425" s="1" t="n">
        <v>46106.45606481482</v>
      </c>
      <c r="C9425" s="1" t="n">
        <v>46114</v>
      </c>
      <c r="D9425" t="inlineStr">
        <is>
          <t>DALARNAS LÄN</t>
        </is>
      </c>
      <c r="E9425" t="inlineStr">
        <is>
          <t>RÄTTVIK</t>
        </is>
      </c>
      <c r="F9425" t="inlineStr">
        <is>
          <t>Bergvik skog väst AB</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15537-2026</t>
        </is>
      </c>
      <c r="B9426" s="1" t="n">
        <v>46106.50893518519</v>
      </c>
      <c r="C9426" s="1" t="n">
        <v>46114</v>
      </c>
      <c r="D9426" t="inlineStr">
        <is>
          <t>DALARNAS LÄN</t>
        </is>
      </c>
      <c r="E9426" t="inlineStr">
        <is>
          <t>GAGNEF</t>
        </is>
      </c>
      <c r="G9426" t="n">
        <v>11.8</v>
      </c>
      <c r="H9426" t="n">
        <v>0</v>
      </c>
      <c r="I9426" t="n">
        <v>0</v>
      </c>
      <c r="J9426" t="n">
        <v>0</v>
      </c>
      <c r="K9426" t="n">
        <v>0</v>
      </c>
      <c r="L9426" t="n">
        <v>0</v>
      </c>
      <c r="M9426" t="n">
        <v>0</v>
      </c>
      <c r="N9426" t="n">
        <v>0</v>
      </c>
      <c r="O9426" t="n">
        <v>0</v>
      </c>
      <c r="P9426" t="n">
        <v>0</v>
      </c>
      <c r="Q9426" t="n">
        <v>0</v>
      </c>
      <c r="R9426" s="2" t="inlineStr"/>
    </row>
    <row r="9427" ht="15" customHeight="1">
      <c r="A9427" t="inlineStr">
        <is>
          <t>A 8393-2026</t>
        </is>
      </c>
      <c r="B9427" s="1" t="n">
        <v>46065.01725694445</v>
      </c>
      <c r="C9427" s="1" t="n">
        <v>46114</v>
      </c>
      <c r="D9427" t="inlineStr">
        <is>
          <t>DALARNAS LÄN</t>
        </is>
      </c>
      <c r="E9427" t="inlineStr">
        <is>
          <t>RÄTTVIK</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8409-2026</t>
        </is>
      </c>
      <c r="B9428" s="1" t="n">
        <v>46065</v>
      </c>
      <c r="C9428" s="1" t="n">
        <v>46114</v>
      </c>
      <c r="D9428" t="inlineStr">
        <is>
          <t>DALARNAS LÄN</t>
        </is>
      </c>
      <c r="E9428" t="inlineStr">
        <is>
          <t>FALUN</t>
        </is>
      </c>
      <c r="G9428" t="n">
        <v>11.1</v>
      </c>
      <c r="H9428" t="n">
        <v>0</v>
      </c>
      <c r="I9428" t="n">
        <v>0</v>
      </c>
      <c r="J9428" t="n">
        <v>0</v>
      </c>
      <c r="K9428" t="n">
        <v>0</v>
      </c>
      <c r="L9428" t="n">
        <v>0</v>
      </c>
      <c r="M9428" t="n">
        <v>0</v>
      </c>
      <c r="N9428" t="n">
        <v>0</v>
      </c>
      <c r="O9428" t="n">
        <v>0</v>
      </c>
      <c r="P9428" t="n">
        <v>0</v>
      </c>
      <c r="Q9428" t="n">
        <v>0</v>
      </c>
      <c r="R9428" s="2" t="inlineStr"/>
    </row>
    <row r="9429" ht="15" customHeight="1">
      <c r="A9429" t="inlineStr">
        <is>
          <t>A 44017-2023</t>
        </is>
      </c>
      <c r="B9429" s="1" t="n">
        <v>45182</v>
      </c>
      <c r="C9429" s="1" t="n">
        <v>46114</v>
      </c>
      <c r="D9429" t="inlineStr">
        <is>
          <t>DALARNAS LÄN</t>
        </is>
      </c>
      <c r="E9429" t="inlineStr">
        <is>
          <t>RÄTTVIK</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8445-2026</t>
        </is>
      </c>
      <c r="B9430" s="1" t="n">
        <v>46065</v>
      </c>
      <c r="C9430" s="1" t="n">
        <v>46114</v>
      </c>
      <c r="D9430" t="inlineStr">
        <is>
          <t>DALARNAS LÄN</t>
        </is>
      </c>
      <c r="E9430" t="inlineStr">
        <is>
          <t>FALUN</t>
        </is>
      </c>
      <c r="F9430" t="inlineStr">
        <is>
          <t>Bergvik skog väst AB</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8470-2026</t>
        </is>
      </c>
      <c r="B9431" s="1" t="n">
        <v>46065.4490162037</v>
      </c>
      <c r="C9431" s="1" t="n">
        <v>46114</v>
      </c>
      <c r="D9431" t="inlineStr">
        <is>
          <t>DALARNAS LÄN</t>
        </is>
      </c>
      <c r="E9431" t="inlineStr">
        <is>
          <t>MORA</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9835-2024</t>
        </is>
      </c>
      <c r="B9432" s="1" t="n">
        <v>45363.28989583333</v>
      </c>
      <c r="C9432" s="1" t="n">
        <v>46114</v>
      </c>
      <c r="D9432" t="inlineStr">
        <is>
          <t>DALARNAS LÄN</t>
        </is>
      </c>
      <c r="E9432" t="inlineStr">
        <is>
          <t>FALUN</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8355-2026</t>
        </is>
      </c>
      <c r="B9433" s="1" t="n">
        <v>46064.6483912037</v>
      </c>
      <c r="C9433" s="1" t="n">
        <v>46114</v>
      </c>
      <c r="D9433" t="inlineStr">
        <is>
          <t>DALARNAS LÄN</t>
        </is>
      </c>
      <c r="E9433" t="inlineStr">
        <is>
          <t>SÄTER</t>
        </is>
      </c>
      <c r="G9433" t="n">
        <v>1.9</v>
      </c>
      <c r="H9433" t="n">
        <v>0</v>
      </c>
      <c r="I9433" t="n">
        <v>0</v>
      </c>
      <c r="J9433" t="n">
        <v>0</v>
      </c>
      <c r="K9433" t="n">
        <v>0</v>
      </c>
      <c r="L9433" t="n">
        <v>0</v>
      </c>
      <c r="M9433" t="n">
        <v>0</v>
      </c>
      <c r="N9433" t="n">
        <v>0</v>
      </c>
      <c r="O9433" t="n">
        <v>0</v>
      </c>
      <c r="P9433" t="n">
        <v>0</v>
      </c>
      <c r="Q9433" t="n">
        <v>0</v>
      </c>
      <c r="R9433" s="2" t="inlineStr"/>
    </row>
    <row r="9434" ht="15" customHeight="1">
      <c r="A9434" t="inlineStr">
        <is>
          <t>A 12868-2026</t>
        </is>
      </c>
      <c r="B9434" s="1" t="n">
        <v>46092</v>
      </c>
      <c r="C9434" s="1" t="n">
        <v>46114</v>
      </c>
      <c r="D9434" t="inlineStr">
        <is>
          <t>DALARNAS LÄN</t>
        </is>
      </c>
      <c r="E9434" t="inlineStr">
        <is>
          <t>FALUN</t>
        </is>
      </c>
      <c r="F9434" t="inlineStr">
        <is>
          <t>Bergvik skog väst AB</t>
        </is>
      </c>
      <c r="G9434" t="n">
        <v>12.9</v>
      </c>
      <c r="H9434" t="n">
        <v>0</v>
      </c>
      <c r="I9434" t="n">
        <v>0</v>
      </c>
      <c r="J9434" t="n">
        <v>0</v>
      </c>
      <c r="K9434" t="n">
        <v>0</v>
      </c>
      <c r="L9434" t="n">
        <v>0</v>
      </c>
      <c r="M9434" t="n">
        <v>0</v>
      </c>
      <c r="N9434" t="n">
        <v>0</v>
      </c>
      <c r="O9434" t="n">
        <v>0</v>
      </c>
      <c r="P9434" t="n">
        <v>0</v>
      </c>
      <c r="Q9434" t="n">
        <v>0</v>
      </c>
      <c r="R9434" s="2" t="inlineStr"/>
    </row>
    <row r="9435" ht="15" customHeight="1">
      <c r="A9435" t="inlineStr">
        <is>
          <t>A 9855-2024</t>
        </is>
      </c>
      <c r="B9435" s="1" t="n">
        <v>45363.40368055556</v>
      </c>
      <c r="C9435" s="1" t="n">
        <v>46114</v>
      </c>
      <c r="D9435" t="inlineStr">
        <is>
          <t>DALARNAS LÄN</t>
        </is>
      </c>
      <c r="E9435" t="inlineStr">
        <is>
          <t>MORA</t>
        </is>
      </c>
      <c r="G9435" t="n">
        <v>8.6</v>
      </c>
      <c r="H9435" t="n">
        <v>0</v>
      </c>
      <c r="I9435" t="n">
        <v>0</v>
      </c>
      <c r="J9435" t="n">
        <v>0</v>
      </c>
      <c r="K9435" t="n">
        <v>0</v>
      </c>
      <c r="L9435" t="n">
        <v>0</v>
      </c>
      <c r="M9435" t="n">
        <v>0</v>
      </c>
      <c r="N9435" t="n">
        <v>0</v>
      </c>
      <c r="O9435" t="n">
        <v>0</v>
      </c>
      <c r="P9435" t="n">
        <v>0</v>
      </c>
      <c r="Q9435" t="n">
        <v>0</v>
      </c>
      <c r="R9435" s="2" t="inlineStr"/>
    </row>
    <row r="9436" ht="15" customHeight="1">
      <c r="A9436" t="inlineStr">
        <is>
          <t>A 8537-2026</t>
        </is>
      </c>
      <c r="B9436" s="1" t="n">
        <v>46065.60702546296</v>
      </c>
      <c r="C9436" s="1" t="n">
        <v>46114</v>
      </c>
      <c r="D9436" t="inlineStr">
        <is>
          <t>DALARNAS LÄN</t>
        </is>
      </c>
      <c r="E9436" t="inlineStr">
        <is>
          <t>RÄTTVIK</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15622-2026</t>
        </is>
      </c>
      <c r="B9437" s="1" t="n">
        <v>46106.61216435185</v>
      </c>
      <c r="C9437" s="1" t="n">
        <v>46114</v>
      </c>
      <c r="D9437" t="inlineStr">
        <is>
          <t>DALARNAS LÄN</t>
        </is>
      </c>
      <c r="E9437" t="inlineStr">
        <is>
          <t>SMEDJEBACKEN</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15733-2026</t>
        </is>
      </c>
      <c r="B9438" s="1" t="n">
        <v>46107.40596064815</v>
      </c>
      <c r="C9438" s="1" t="n">
        <v>46114</v>
      </c>
      <c r="D9438" t="inlineStr">
        <is>
          <t>DALARNAS LÄN</t>
        </is>
      </c>
      <c r="E9438" t="inlineStr">
        <is>
          <t>RÄTTVIK</t>
        </is>
      </c>
      <c r="F9438" t="inlineStr">
        <is>
          <t>Bergvik skog väst AB</t>
        </is>
      </c>
      <c r="G9438" t="n">
        <v>6</v>
      </c>
      <c r="H9438" t="n">
        <v>0</v>
      </c>
      <c r="I9438" t="n">
        <v>0</v>
      </c>
      <c r="J9438" t="n">
        <v>0</v>
      </c>
      <c r="K9438" t="n">
        <v>0</v>
      </c>
      <c r="L9438" t="n">
        <v>0</v>
      </c>
      <c r="M9438" t="n">
        <v>0</v>
      </c>
      <c r="N9438" t="n">
        <v>0</v>
      </c>
      <c r="O9438" t="n">
        <v>0</v>
      </c>
      <c r="P9438" t="n">
        <v>0</v>
      </c>
      <c r="Q9438" t="n">
        <v>0</v>
      </c>
      <c r="R9438" s="2" t="inlineStr"/>
    </row>
    <row r="9439" ht="15" customHeight="1">
      <c r="A9439" t="inlineStr">
        <is>
          <t>A 15752-2026</t>
        </is>
      </c>
      <c r="B9439" s="1" t="n">
        <v>46107.42802083334</v>
      </c>
      <c r="C9439" s="1" t="n">
        <v>46114</v>
      </c>
      <c r="D9439" t="inlineStr">
        <is>
          <t>DALARNAS LÄN</t>
        </is>
      </c>
      <c r="E9439" t="inlineStr">
        <is>
          <t>RÄTTVIK</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14049-2026</t>
        </is>
      </c>
      <c r="B9440" s="1" t="n">
        <v>46099</v>
      </c>
      <c r="C9440" s="1" t="n">
        <v>46114</v>
      </c>
      <c r="D9440" t="inlineStr">
        <is>
          <t>DALARNAS LÄN</t>
        </is>
      </c>
      <c r="E9440" t="inlineStr">
        <is>
          <t>FALUN</t>
        </is>
      </c>
      <c r="F9440" t="inlineStr">
        <is>
          <t>Bergvik skog väst AB</t>
        </is>
      </c>
      <c r="G9440" t="n">
        <v>2.5</v>
      </c>
      <c r="H9440" t="n">
        <v>0</v>
      </c>
      <c r="I9440" t="n">
        <v>0</v>
      </c>
      <c r="J9440" t="n">
        <v>0</v>
      </c>
      <c r="K9440" t="n">
        <v>0</v>
      </c>
      <c r="L9440" t="n">
        <v>0</v>
      </c>
      <c r="M9440" t="n">
        <v>0</v>
      </c>
      <c r="N9440" t="n">
        <v>0</v>
      </c>
      <c r="O9440" t="n">
        <v>0</v>
      </c>
      <c r="P9440" t="n">
        <v>0</v>
      </c>
      <c r="Q9440" t="n">
        <v>0</v>
      </c>
      <c r="R9440" s="2" t="inlineStr"/>
    </row>
    <row r="9441" ht="15" customHeight="1">
      <c r="A9441" t="inlineStr">
        <is>
          <t>A 8599-2026</t>
        </is>
      </c>
      <c r="B9441" s="1" t="n">
        <v>46065</v>
      </c>
      <c r="C9441" s="1" t="n">
        <v>46114</v>
      </c>
      <c r="D9441" t="inlineStr">
        <is>
          <t>DALARNAS LÄN</t>
        </is>
      </c>
      <c r="E9441" t="inlineStr">
        <is>
          <t>FALUN</t>
        </is>
      </c>
      <c r="G9441" t="n">
        <v>1.4</v>
      </c>
      <c r="H9441" t="n">
        <v>0</v>
      </c>
      <c r="I9441" t="n">
        <v>0</v>
      </c>
      <c r="J9441" t="n">
        <v>0</v>
      </c>
      <c r="K9441" t="n">
        <v>0</v>
      </c>
      <c r="L9441" t="n">
        <v>0</v>
      </c>
      <c r="M9441" t="n">
        <v>0</v>
      </c>
      <c r="N9441" t="n">
        <v>0</v>
      </c>
      <c r="O9441" t="n">
        <v>0</v>
      </c>
      <c r="P9441" t="n">
        <v>0</v>
      </c>
      <c r="Q9441" t="n">
        <v>0</v>
      </c>
      <c r="R9441" s="2" t="inlineStr"/>
    </row>
    <row r="9442" ht="15" customHeight="1">
      <c r="A9442" t="inlineStr">
        <is>
          <t>A 14077-2026</t>
        </is>
      </c>
      <c r="B9442" s="1" t="n">
        <v>46099</v>
      </c>
      <c r="C9442" s="1" t="n">
        <v>46114</v>
      </c>
      <c r="D9442" t="inlineStr">
        <is>
          <t>DALARNAS LÄN</t>
        </is>
      </c>
      <c r="E9442" t="inlineStr">
        <is>
          <t>FALUN</t>
        </is>
      </c>
      <c r="F9442" t="inlineStr">
        <is>
          <t>Bergvik skog väst AB</t>
        </is>
      </c>
      <c r="G9442" t="n">
        <v>3.3</v>
      </c>
      <c r="H9442" t="n">
        <v>0</v>
      </c>
      <c r="I9442" t="n">
        <v>0</v>
      </c>
      <c r="J9442" t="n">
        <v>0</v>
      </c>
      <c r="K9442" t="n">
        <v>0</v>
      </c>
      <c r="L9442" t="n">
        <v>0</v>
      </c>
      <c r="M9442" t="n">
        <v>0</v>
      </c>
      <c r="N9442" t="n">
        <v>0</v>
      </c>
      <c r="O9442" t="n">
        <v>0</v>
      </c>
      <c r="P9442" t="n">
        <v>0</v>
      </c>
      <c r="Q9442" t="n">
        <v>0</v>
      </c>
      <c r="R9442" s="2" t="inlineStr"/>
    </row>
    <row r="9443" ht="15" customHeight="1">
      <c r="A9443" t="inlineStr">
        <is>
          <t>A 8458-2026</t>
        </is>
      </c>
      <c r="B9443" s="1" t="n">
        <v>46065</v>
      </c>
      <c r="C9443" s="1" t="n">
        <v>46114</v>
      </c>
      <c r="D9443" t="inlineStr">
        <is>
          <t>DALARNAS LÄN</t>
        </is>
      </c>
      <c r="E9443" t="inlineStr">
        <is>
          <t>RÄTTVIK</t>
        </is>
      </c>
      <c r="F9443" t="inlineStr">
        <is>
          <t>Bergvik skog väst AB</t>
        </is>
      </c>
      <c r="G9443" t="n">
        <v>35</v>
      </c>
      <c r="H9443" t="n">
        <v>0</v>
      </c>
      <c r="I9443" t="n">
        <v>0</v>
      </c>
      <c r="J9443" t="n">
        <v>0</v>
      </c>
      <c r="K9443" t="n">
        <v>0</v>
      </c>
      <c r="L9443" t="n">
        <v>0</v>
      </c>
      <c r="M9443" t="n">
        <v>0</v>
      </c>
      <c r="N9443" t="n">
        <v>0</v>
      </c>
      <c r="O9443" t="n">
        <v>0</v>
      </c>
      <c r="P9443" t="n">
        <v>0</v>
      </c>
      <c r="Q9443" t="n">
        <v>0</v>
      </c>
      <c r="R9443" s="2" t="inlineStr"/>
    </row>
    <row r="9444" ht="15" customHeight="1">
      <c r="A9444" t="inlineStr">
        <is>
          <t>A 15715-2026</t>
        </is>
      </c>
      <c r="B9444" s="1" t="n">
        <v>46107.36067129629</v>
      </c>
      <c r="C9444" s="1" t="n">
        <v>46114</v>
      </c>
      <c r="D9444" t="inlineStr">
        <is>
          <t>DALARNAS LÄN</t>
        </is>
      </c>
      <c r="E9444" t="inlineStr">
        <is>
          <t>ÄLVDALEN</t>
        </is>
      </c>
      <c r="G9444" t="n">
        <v>9.6</v>
      </c>
      <c r="H9444" t="n">
        <v>0</v>
      </c>
      <c r="I9444" t="n">
        <v>0</v>
      </c>
      <c r="J9444" t="n">
        <v>0</v>
      </c>
      <c r="K9444" t="n">
        <v>0</v>
      </c>
      <c r="L9444" t="n">
        <v>0</v>
      </c>
      <c r="M9444" t="n">
        <v>0</v>
      </c>
      <c r="N9444" t="n">
        <v>0</v>
      </c>
      <c r="O9444" t="n">
        <v>0</v>
      </c>
      <c r="P9444" t="n">
        <v>0</v>
      </c>
      <c r="Q9444" t="n">
        <v>0</v>
      </c>
      <c r="R9444" s="2" t="inlineStr"/>
    </row>
    <row r="9445" ht="15" customHeight="1">
      <c r="A9445" t="inlineStr">
        <is>
          <t>A 8488-2026</t>
        </is>
      </c>
      <c r="B9445" s="1" t="n">
        <v>46065</v>
      </c>
      <c r="C9445" s="1" t="n">
        <v>46114</v>
      </c>
      <c r="D9445" t="inlineStr">
        <is>
          <t>DALARNAS LÄN</t>
        </is>
      </c>
      <c r="E9445" t="inlineStr">
        <is>
          <t>BORLÄNGE</t>
        </is>
      </c>
      <c r="F9445" t="inlineStr">
        <is>
          <t>Bergvik skog väst AB</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22237-2024</t>
        </is>
      </c>
      <c r="B9446" s="1" t="n">
        <v>45446.43810185185</v>
      </c>
      <c r="C9446" s="1" t="n">
        <v>46114</v>
      </c>
      <c r="D9446" t="inlineStr">
        <is>
          <t>DALARNAS LÄN</t>
        </is>
      </c>
      <c r="E9446" t="inlineStr">
        <is>
          <t>MALUNG-SÄLEN</t>
        </is>
      </c>
      <c r="F9446" t="inlineStr">
        <is>
          <t>Bergvik skog öst AB</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8549-2026</t>
        </is>
      </c>
      <c r="B9447" s="1" t="n">
        <v>46065.61790509259</v>
      </c>
      <c r="C9447" s="1" t="n">
        <v>46114</v>
      </c>
      <c r="D9447" t="inlineStr">
        <is>
          <t>DALARNAS LÄN</t>
        </is>
      </c>
      <c r="E9447" t="inlineStr">
        <is>
          <t>MORA</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8554-2026</t>
        </is>
      </c>
      <c r="B9448" s="1" t="n">
        <v>46065.62890046297</v>
      </c>
      <c r="C9448" s="1" t="n">
        <v>46114</v>
      </c>
      <c r="D9448" t="inlineStr">
        <is>
          <t>DALARNAS LÄN</t>
        </is>
      </c>
      <c r="E9448" t="inlineStr">
        <is>
          <t>RÄTTVIK</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8587-2026</t>
        </is>
      </c>
      <c r="B9449" s="1" t="n">
        <v>46065</v>
      </c>
      <c r="C9449" s="1" t="n">
        <v>46114</v>
      </c>
      <c r="D9449" t="inlineStr">
        <is>
          <t>DALARNAS LÄN</t>
        </is>
      </c>
      <c r="E9449" t="inlineStr">
        <is>
          <t>FALUN</t>
        </is>
      </c>
      <c r="F9449" t="inlineStr">
        <is>
          <t>Allmännings- och besparingsskogar</t>
        </is>
      </c>
      <c r="G9449" t="n">
        <v>10.4</v>
      </c>
      <c r="H9449" t="n">
        <v>0</v>
      </c>
      <c r="I9449" t="n">
        <v>0</v>
      </c>
      <c r="J9449" t="n">
        <v>0</v>
      </c>
      <c r="K9449" t="n">
        <v>0</v>
      </c>
      <c r="L9449" t="n">
        <v>0</v>
      </c>
      <c r="M9449" t="n">
        <v>0</v>
      </c>
      <c r="N9449" t="n">
        <v>0</v>
      </c>
      <c r="O9449" t="n">
        <v>0</v>
      </c>
      <c r="P9449" t="n">
        <v>0</v>
      </c>
      <c r="Q9449" t="n">
        <v>0</v>
      </c>
      <c r="R9449" s="2" t="inlineStr"/>
    </row>
    <row r="9450" ht="15" customHeight="1">
      <c r="A9450" t="inlineStr">
        <is>
          <t>A 8589-2026</t>
        </is>
      </c>
      <c r="B9450" s="1" t="n">
        <v>46065</v>
      </c>
      <c r="C9450" s="1" t="n">
        <v>46114</v>
      </c>
      <c r="D9450" t="inlineStr">
        <is>
          <t>DALARNAS LÄN</t>
        </is>
      </c>
      <c r="E9450" t="inlineStr">
        <is>
          <t>FALUN</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8590-2026</t>
        </is>
      </c>
      <c r="B9451" s="1" t="n">
        <v>46065</v>
      </c>
      <c r="C9451" s="1" t="n">
        <v>46114</v>
      </c>
      <c r="D9451" t="inlineStr">
        <is>
          <t>DALARNAS LÄN</t>
        </is>
      </c>
      <c r="E9451" t="inlineStr">
        <is>
          <t>FALUN</t>
        </is>
      </c>
      <c r="G9451" t="n">
        <v>9</v>
      </c>
      <c r="H9451" t="n">
        <v>0</v>
      </c>
      <c r="I9451" t="n">
        <v>0</v>
      </c>
      <c r="J9451" t="n">
        <v>0</v>
      </c>
      <c r="K9451" t="n">
        <v>0</v>
      </c>
      <c r="L9451" t="n">
        <v>0</v>
      </c>
      <c r="M9451" t="n">
        <v>0</v>
      </c>
      <c r="N9451" t="n">
        <v>0</v>
      </c>
      <c r="O9451" t="n">
        <v>0</v>
      </c>
      <c r="P9451" t="n">
        <v>0</v>
      </c>
      <c r="Q9451" t="n">
        <v>0</v>
      </c>
      <c r="R9451" s="2" t="inlineStr"/>
    </row>
    <row r="9452" ht="15" customHeight="1">
      <c r="A9452" t="inlineStr">
        <is>
          <t>A 15816-2026</t>
        </is>
      </c>
      <c r="B9452" s="1" t="n">
        <v>46107.50123842592</v>
      </c>
      <c r="C9452" s="1" t="n">
        <v>46114</v>
      </c>
      <c r="D9452" t="inlineStr">
        <is>
          <t>DALARNAS LÄN</t>
        </is>
      </c>
      <c r="E9452" t="inlineStr">
        <is>
          <t>ÄLVDALEN</t>
        </is>
      </c>
      <c r="F9452" t="inlineStr">
        <is>
          <t>Allmännings- och besparingsskogar</t>
        </is>
      </c>
      <c r="G9452" t="n">
        <v>2.1</v>
      </c>
      <c r="H9452" t="n">
        <v>0</v>
      </c>
      <c r="I9452" t="n">
        <v>0</v>
      </c>
      <c r="J9452" t="n">
        <v>0</v>
      </c>
      <c r="K9452" t="n">
        <v>0</v>
      </c>
      <c r="L9452" t="n">
        <v>0</v>
      </c>
      <c r="M9452" t="n">
        <v>0</v>
      </c>
      <c r="N9452" t="n">
        <v>0</v>
      </c>
      <c r="O9452" t="n">
        <v>0</v>
      </c>
      <c r="P9452" t="n">
        <v>0</v>
      </c>
      <c r="Q9452" t="n">
        <v>0</v>
      </c>
      <c r="R9452" s="2" t="inlineStr"/>
    </row>
    <row r="9453" ht="15" customHeight="1">
      <c r="A9453" t="inlineStr">
        <is>
          <t>A 8437-2026</t>
        </is>
      </c>
      <c r="B9453" s="1" t="n">
        <v>46065.3947800926</v>
      </c>
      <c r="C9453" s="1" t="n">
        <v>46114</v>
      </c>
      <c r="D9453" t="inlineStr">
        <is>
          <t>DALARNAS LÄN</t>
        </is>
      </c>
      <c r="E9453" t="inlineStr">
        <is>
          <t>FALUN</t>
        </is>
      </c>
      <c r="F9453" t="inlineStr">
        <is>
          <t>Bergvik skog väst AB</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8211-2026</t>
        </is>
      </c>
      <c r="B9454" s="1" t="n">
        <v>46064</v>
      </c>
      <c r="C9454" s="1" t="n">
        <v>46114</v>
      </c>
      <c r="D9454" t="inlineStr">
        <is>
          <t>DALARNAS LÄN</t>
        </is>
      </c>
      <c r="E9454" t="inlineStr">
        <is>
          <t>LEKSAND</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20272-2025</t>
        </is>
      </c>
      <c r="B9455" s="1" t="n">
        <v>45773.71663194444</v>
      </c>
      <c r="C9455" s="1" t="n">
        <v>46114</v>
      </c>
      <c r="D9455" t="inlineStr">
        <is>
          <t>DALARNAS LÄN</t>
        </is>
      </c>
      <c r="E9455" t="inlineStr">
        <is>
          <t>HEDEMORA</t>
        </is>
      </c>
      <c r="F9455" t="inlineStr">
        <is>
          <t>Sveaskog</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46707-2023</t>
        </is>
      </c>
      <c r="B9456" s="1" t="n">
        <v>45194</v>
      </c>
      <c r="C9456" s="1" t="n">
        <v>46114</v>
      </c>
      <c r="D9456" t="inlineStr">
        <is>
          <t>DALARNAS LÄN</t>
        </is>
      </c>
      <c r="E9456" t="inlineStr">
        <is>
          <t>RÄTTVIK</t>
        </is>
      </c>
      <c r="F9456" t="inlineStr">
        <is>
          <t>Allmännings- och besparingsskogar</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15776-2026</t>
        </is>
      </c>
      <c r="B9457" s="1" t="n">
        <v>46107.45396990741</v>
      </c>
      <c r="C9457" s="1" t="n">
        <v>46114</v>
      </c>
      <c r="D9457" t="inlineStr">
        <is>
          <t>DALARNAS LÄN</t>
        </is>
      </c>
      <c r="E9457" t="inlineStr">
        <is>
          <t>RÄTTVIK</t>
        </is>
      </c>
      <c r="F9457" t="inlineStr">
        <is>
          <t>Bergvik skog väst AB</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63007-2023</t>
        </is>
      </c>
      <c r="B9458" s="1" t="n">
        <v>45272.66512731482</v>
      </c>
      <c r="C9458" s="1" t="n">
        <v>46114</v>
      </c>
      <c r="D9458" t="inlineStr">
        <is>
          <t>DALARNAS LÄN</t>
        </is>
      </c>
      <c r="E9458" t="inlineStr">
        <is>
          <t>MALUNG-SÄLEN</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8155-2026</t>
        </is>
      </c>
      <c r="B9459" s="1" t="n">
        <v>46064.36071759259</v>
      </c>
      <c r="C9459" s="1" t="n">
        <v>46114</v>
      </c>
      <c r="D9459" t="inlineStr">
        <is>
          <t>DALARNAS LÄN</t>
        </is>
      </c>
      <c r="E9459" t="inlineStr">
        <is>
          <t>FALUN</t>
        </is>
      </c>
      <c r="F9459" t="inlineStr">
        <is>
          <t>Bergvik skog väst AB</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44848-2023</t>
        </is>
      </c>
      <c r="B9460" s="1" t="n">
        <v>45190</v>
      </c>
      <c r="C9460" s="1" t="n">
        <v>46114</v>
      </c>
      <c r="D9460" t="inlineStr">
        <is>
          <t>DALARNAS LÄN</t>
        </is>
      </c>
      <c r="E9460" t="inlineStr">
        <is>
          <t>AVESTA</t>
        </is>
      </c>
      <c r="G9460" t="n">
        <v>1.2</v>
      </c>
      <c r="H9460" t="n">
        <v>0</v>
      </c>
      <c r="I9460" t="n">
        <v>0</v>
      </c>
      <c r="J9460" t="n">
        <v>0</v>
      </c>
      <c r="K9460" t="n">
        <v>0</v>
      </c>
      <c r="L9460" t="n">
        <v>0</v>
      </c>
      <c r="M9460" t="n">
        <v>0</v>
      </c>
      <c r="N9460" t="n">
        <v>0</v>
      </c>
      <c r="O9460" t="n">
        <v>0</v>
      </c>
      <c r="P9460" t="n">
        <v>0</v>
      </c>
      <c r="Q9460" t="n">
        <v>0</v>
      </c>
      <c r="R9460" s="2" t="inlineStr"/>
    </row>
    <row r="9461" ht="15" customHeight="1">
      <c r="A9461" t="inlineStr">
        <is>
          <t>A 15841-2026</t>
        </is>
      </c>
      <c r="B9461" s="1" t="n">
        <v>46107.56314814815</v>
      </c>
      <c r="C9461" s="1" t="n">
        <v>46114</v>
      </c>
      <c r="D9461" t="inlineStr">
        <is>
          <t>DALARNAS LÄN</t>
        </is>
      </c>
      <c r="E9461" t="inlineStr">
        <is>
          <t>ÄLVDALEN</t>
        </is>
      </c>
      <c r="F9461" t="inlineStr">
        <is>
          <t>Allmännings- och besparingsskogar</t>
        </is>
      </c>
      <c r="G9461" t="n">
        <v>0.2</v>
      </c>
      <c r="H9461" t="n">
        <v>0</v>
      </c>
      <c r="I9461" t="n">
        <v>0</v>
      </c>
      <c r="J9461" t="n">
        <v>0</v>
      </c>
      <c r="K9461" t="n">
        <v>0</v>
      </c>
      <c r="L9461" t="n">
        <v>0</v>
      </c>
      <c r="M9461" t="n">
        <v>0</v>
      </c>
      <c r="N9461" t="n">
        <v>0</v>
      </c>
      <c r="O9461" t="n">
        <v>0</v>
      </c>
      <c r="P9461" t="n">
        <v>0</v>
      </c>
      <c r="Q9461" t="n">
        <v>0</v>
      </c>
      <c r="R9461" s="2" t="inlineStr"/>
    </row>
    <row r="9462" ht="15" customHeight="1">
      <c r="A9462" t="inlineStr">
        <is>
          <t>A 17807-2022</t>
        </is>
      </c>
      <c r="B9462" s="1" t="n">
        <v>44673</v>
      </c>
      <c r="C9462" s="1" t="n">
        <v>46114</v>
      </c>
      <c r="D9462" t="inlineStr">
        <is>
          <t>DALARNAS LÄN</t>
        </is>
      </c>
      <c r="E9462" t="inlineStr">
        <is>
          <t>VANSBRO</t>
        </is>
      </c>
      <c r="G9462" t="n">
        <v>0.9</v>
      </c>
      <c r="H9462" t="n">
        <v>0</v>
      </c>
      <c r="I9462" t="n">
        <v>0</v>
      </c>
      <c r="J9462" t="n">
        <v>0</v>
      </c>
      <c r="K9462" t="n">
        <v>0</v>
      </c>
      <c r="L9462" t="n">
        <v>0</v>
      </c>
      <c r="M9462" t="n">
        <v>0</v>
      </c>
      <c r="N9462" t="n">
        <v>0</v>
      </c>
      <c r="O9462" t="n">
        <v>0</v>
      </c>
      <c r="P9462" t="n">
        <v>0</v>
      </c>
      <c r="Q9462" t="n">
        <v>0</v>
      </c>
      <c r="R9462" s="2" t="inlineStr"/>
    </row>
    <row r="9463" ht="15" customHeight="1">
      <c r="A9463" t="inlineStr">
        <is>
          <t>A 5584-2024</t>
        </is>
      </c>
      <c r="B9463" s="1" t="n">
        <v>45334</v>
      </c>
      <c r="C9463" s="1" t="n">
        <v>46114</v>
      </c>
      <c r="D9463" t="inlineStr">
        <is>
          <t>DALARNAS LÄN</t>
        </is>
      </c>
      <c r="E9463" t="inlineStr">
        <is>
          <t>LEKSAND</t>
        </is>
      </c>
      <c r="F9463" t="inlineStr">
        <is>
          <t>Kyrkan</t>
        </is>
      </c>
      <c r="G9463" t="n">
        <v>0.4</v>
      </c>
      <c r="H9463" t="n">
        <v>0</v>
      </c>
      <c r="I9463" t="n">
        <v>0</v>
      </c>
      <c r="J9463" t="n">
        <v>0</v>
      </c>
      <c r="K9463" t="n">
        <v>0</v>
      </c>
      <c r="L9463" t="n">
        <v>0</v>
      </c>
      <c r="M9463" t="n">
        <v>0</v>
      </c>
      <c r="N9463" t="n">
        <v>0</v>
      </c>
      <c r="O9463" t="n">
        <v>0</v>
      </c>
      <c r="P9463" t="n">
        <v>0</v>
      </c>
      <c r="Q9463" t="n">
        <v>0</v>
      </c>
      <c r="R9463" s="2" t="inlineStr"/>
    </row>
    <row r="9464" ht="15" customHeight="1">
      <c r="A9464" t="inlineStr">
        <is>
          <t>A 51860-2024</t>
        </is>
      </c>
      <c r="B9464" s="1" t="n">
        <v>45607.54511574074</v>
      </c>
      <c r="C9464" s="1" t="n">
        <v>46114</v>
      </c>
      <c r="D9464" t="inlineStr">
        <is>
          <t>DALARNAS LÄN</t>
        </is>
      </c>
      <c r="E9464" t="inlineStr">
        <is>
          <t>LEKSAND</t>
        </is>
      </c>
      <c r="F9464" t="inlineStr">
        <is>
          <t>Bergvik skog väst AB</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11526-2026</t>
        </is>
      </c>
      <c r="B9465" s="1" t="n">
        <v>46083</v>
      </c>
      <c r="C9465" s="1" t="n">
        <v>46114</v>
      </c>
      <c r="D9465" t="inlineStr">
        <is>
          <t>DALARNAS LÄN</t>
        </is>
      </c>
      <c r="E9465" t="inlineStr">
        <is>
          <t>FALUN</t>
        </is>
      </c>
      <c r="F9465" t="inlineStr">
        <is>
          <t>Bergvik skog väst AB</t>
        </is>
      </c>
      <c r="G9465" t="n">
        <v>3.6</v>
      </c>
      <c r="H9465" t="n">
        <v>0</v>
      </c>
      <c r="I9465" t="n">
        <v>0</v>
      </c>
      <c r="J9465" t="n">
        <v>0</v>
      </c>
      <c r="K9465" t="n">
        <v>0</v>
      </c>
      <c r="L9465" t="n">
        <v>0</v>
      </c>
      <c r="M9465" t="n">
        <v>0</v>
      </c>
      <c r="N9465" t="n">
        <v>0</v>
      </c>
      <c r="O9465" t="n">
        <v>0</v>
      </c>
      <c r="P9465" t="n">
        <v>0</v>
      </c>
      <c r="Q9465" t="n">
        <v>0</v>
      </c>
      <c r="R9465" s="2" t="inlineStr"/>
    </row>
    <row r="9466" ht="15" customHeight="1">
      <c r="A9466" t="inlineStr">
        <is>
          <t>A 15330-2026</t>
        </is>
      </c>
      <c r="B9466" s="1" t="n">
        <v>46105</v>
      </c>
      <c r="C9466" s="1" t="n">
        <v>46114</v>
      </c>
      <c r="D9466" t="inlineStr">
        <is>
          <t>DALARNAS LÄN</t>
        </is>
      </c>
      <c r="E9466" t="inlineStr">
        <is>
          <t>FALUN</t>
        </is>
      </c>
      <c r="F9466" t="inlineStr">
        <is>
          <t>Bergvik skog väst AB</t>
        </is>
      </c>
      <c r="G9466" t="n">
        <v>5.3</v>
      </c>
      <c r="H9466" t="n">
        <v>0</v>
      </c>
      <c r="I9466" t="n">
        <v>0</v>
      </c>
      <c r="J9466" t="n">
        <v>0</v>
      </c>
      <c r="K9466" t="n">
        <v>0</v>
      </c>
      <c r="L9466" t="n">
        <v>0</v>
      </c>
      <c r="M9466" t="n">
        <v>0</v>
      </c>
      <c r="N9466" t="n">
        <v>0</v>
      </c>
      <c r="O9466" t="n">
        <v>0</v>
      </c>
      <c r="P9466" t="n">
        <v>0</v>
      </c>
      <c r="Q9466" t="n">
        <v>0</v>
      </c>
      <c r="R9466" s="2" t="inlineStr"/>
    </row>
    <row r="9467" ht="15" customHeight="1">
      <c r="A9467" t="inlineStr">
        <is>
          <t>A 15178-2026</t>
        </is>
      </c>
      <c r="B9467" s="1" t="n">
        <v>46105</v>
      </c>
      <c r="C9467" s="1" t="n">
        <v>46114</v>
      </c>
      <c r="D9467" t="inlineStr">
        <is>
          <t>DALARNAS LÄN</t>
        </is>
      </c>
      <c r="E9467" t="inlineStr">
        <is>
          <t>FALUN</t>
        </is>
      </c>
      <c r="F9467" t="inlineStr">
        <is>
          <t>Bergvik skog väst AB</t>
        </is>
      </c>
      <c r="G9467" t="n">
        <v>17.1</v>
      </c>
      <c r="H9467" t="n">
        <v>0</v>
      </c>
      <c r="I9467" t="n">
        <v>0</v>
      </c>
      <c r="J9467" t="n">
        <v>0</v>
      </c>
      <c r="K9467" t="n">
        <v>0</v>
      </c>
      <c r="L9467" t="n">
        <v>0</v>
      </c>
      <c r="M9467" t="n">
        <v>0</v>
      </c>
      <c r="N9467" t="n">
        <v>0</v>
      </c>
      <c r="O9467" t="n">
        <v>0</v>
      </c>
      <c r="P9467" t="n">
        <v>0</v>
      </c>
      <c r="Q9467" t="n">
        <v>0</v>
      </c>
      <c r="R9467" s="2" t="inlineStr"/>
    </row>
    <row r="9468" ht="15" customHeight="1">
      <c r="A9468" t="inlineStr">
        <is>
          <t>A 22681-2022</t>
        </is>
      </c>
      <c r="B9468" s="1" t="n">
        <v>44714.50961805556</v>
      </c>
      <c r="C9468" s="1" t="n">
        <v>46114</v>
      </c>
      <c r="D9468" t="inlineStr">
        <is>
          <t>DALARNAS LÄN</t>
        </is>
      </c>
      <c r="E9468" t="inlineStr">
        <is>
          <t>LEKSAND</t>
        </is>
      </c>
      <c r="F9468" t="inlineStr">
        <is>
          <t>Bergvik skog väst AB</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27344-2024</t>
        </is>
      </c>
      <c r="B9469" s="1" t="n">
        <v>45473.50560185185</v>
      </c>
      <c r="C9469" s="1" t="n">
        <v>46114</v>
      </c>
      <c r="D9469" t="inlineStr">
        <is>
          <t>DALARNAS LÄN</t>
        </is>
      </c>
      <c r="E9469" t="inlineStr">
        <is>
          <t>AVESTA</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8598-2026</t>
        </is>
      </c>
      <c r="B9470" s="1" t="n">
        <v>46065</v>
      </c>
      <c r="C9470" s="1" t="n">
        <v>46114</v>
      </c>
      <c r="D9470" t="inlineStr">
        <is>
          <t>DALARNAS LÄN</t>
        </is>
      </c>
      <c r="E9470" t="inlineStr">
        <is>
          <t>FALUN</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17518-2025</t>
        </is>
      </c>
      <c r="B9471" s="1" t="n">
        <v>45757.57597222222</v>
      </c>
      <c r="C9471" s="1" t="n">
        <v>46114</v>
      </c>
      <c r="D9471" t="inlineStr">
        <is>
          <t>DALARNAS LÄN</t>
        </is>
      </c>
      <c r="E9471" t="inlineStr">
        <is>
          <t>ORSA</t>
        </is>
      </c>
      <c r="F9471" t="inlineStr">
        <is>
          <t>Bergvik skog öst AB</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15560-2026</t>
        </is>
      </c>
      <c r="B9472" s="1" t="n">
        <v>46106.54900462963</v>
      </c>
      <c r="C9472" s="1" t="n">
        <v>46114</v>
      </c>
      <c r="D9472" t="inlineStr">
        <is>
          <t>DALARNAS LÄN</t>
        </is>
      </c>
      <c r="E9472" t="inlineStr">
        <is>
          <t>RÄTTVIK</t>
        </is>
      </c>
      <c r="F9472" t="inlineStr">
        <is>
          <t>Bergvik skog väst AB</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11746-2026</t>
        </is>
      </c>
      <c r="B9473" s="1" t="n">
        <v>46084</v>
      </c>
      <c r="C9473" s="1" t="n">
        <v>46114</v>
      </c>
      <c r="D9473" t="inlineStr">
        <is>
          <t>DALARNAS LÄN</t>
        </is>
      </c>
      <c r="E9473" t="inlineStr">
        <is>
          <t>FALUN</t>
        </is>
      </c>
      <c r="F9473" t="inlineStr">
        <is>
          <t>Bergvik skog väst AB</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15318-2026</t>
        </is>
      </c>
      <c r="B9474" s="1" t="n">
        <v>46105</v>
      </c>
      <c r="C9474" s="1" t="n">
        <v>46114</v>
      </c>
      <c r="D9474" t="inlineStr">
        <is>
          <t>DALARNAS LÄN</t>
        </is>
      </c>
      <c r="E9474" t="inlineStr">
        <is>
          <t>RÄTTVIK</t>
        </is>
      </c>
      <c r="F9474" t="inlineStr">
        <is>
          <t>Allmännings- och besparingsskogar</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15379-2026</t>
        </is>
      </c>
      <c r="B9475" s="1" t="n">
        <v>46106.32944444445</v>
      </c>
      <c r="C9475" s="1" t="n">
        <v>46114</v>
      </c>
      <c r="D9475" t="inlineStr">
        <is>
          <t>DALARNAS LÄN</t>
        </is>
      </c>
      <c r="E9475" t="inlineStr">
        <is>
          <t>FALUN</t>
        </is>
      </c>
      <c r="F9475" t="inlineStr">
        <is>
          <t>Allmännings- och besparingsskogar</t>
        </is>
      </c>
      <c r="G9475" t="n">
        <v>5.1</v>
      </c>
      <c r="H9475" t="n">
        <v>0</v>
      </c>
      <c r="I9475" t="n">
        <v>0</v>
      </c>
      <c r="J9475" t="n">
        <v>0</v>
      </c>
      <c r="K9475" t="n">
        <v>0</v>
      </c>
      <c r="L9475" t="n">
        <v>0</v>
      </c>
      <c r="M9475" t="n">
        <v>0</v>
      </c>
      <c r="N9475" t="n">
        <v>0</v>
      </c>
      <c r="O9475" t="n">
        <v>0</v>
      </c>
      <c r="P9475" t="n">
        <v>0</v>
      </c>
      <c r="Q9475" t="n">
        <v>0</v>
      </c>
      <c r="R9475" s="2" t="inlineStr"/>
    </row>
    <row r="9476" ht="15" customHeight="1">
      <c r="A9476" t="inlineStr">
        <is>
          <t>A 15381-2026</t>
        </is>
      </c>
      <c r="B9476" s="1" t="n">
        <v>46106.34349537037</v>
      </c>
      <c r="C9476" s="1" t="n">
        <v>46114</v>
      </c>
      <c r="D9476" t="inlineStr">
        <is>
          <t>DALARNAS LÄN</t>
        </is>
      </c>
      <c r="E9476" t="inlineStr">
        <is>
          <t>FALUN</t>
        </is>
      </c>
      <c r="F9476" t="inlineStr">
        <is>
          <t>Allmännings- och besparingsskogar</t>
        </is>
      </c>
      <c r="G9476" t="n">
        <v>3.7</v>
      </c>
      <c r="H9476" t="n">
        <v>0</v>
      </c>
      <c r="I9476" t="n">
        <v>0</v>
      </c>
      <c r="J9476" t="n">
        <v>0</v>
      </c>
      <c r="K9476" t="n">
        <v>0</v>
      </c>
      <c r="L9476" t="n">
        <v>0</v>
      </c>
      <c r="M9476" t="n">
        <v>0</v>
      </c>
      <c r="N9476" t="n">
        <v>0</v>
      </c>
      <c r="O9476" t="n">
        <v>0</v>
      </c>
      <c r="P9476" t="n">
        <v>0</v>
      </c>
      <c r="Q9476" t="n">
        <v>0</v>
      </c>
      <c r="R9476" s="2" t="inlineStr"/>
    </row>
    <row r="9477" ht="15" customHeight="1">
      <c r="A9477" t="inlineStr">
        <is>
          <t>A 15392-2026</t>
        </is>
      </c>
      <c r="B9477" s="1" t="n">
        <v>46106.34854166667</v>
      </c>
      <c r="C9477" s="1" t="n">
        <v>46114</v>
      </c>
      <c r="D9477" t="inlineStr">
        <is>
          <t>DALARNAS LÄN</t>
        </is>
      </c>
      <c r="E9477" t="inlineStr">
        <is>
          <t>FALUN</t>
        </is>
      </c>
      <c r="F9477" t="inlineStr">
        <is>
          <t>Bergvik skog väst AB</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8588-2026</t>
        </is>
      </c>
      <c r="B9478" s="1" t="n">
        <v>46065</v>
      </c>
      <c r="C9478" s="1" t="n">
        <v>46114</v>
      </c>
      <c r="D9478" t="inlineStr">
        <is>
          <t>DALARNAS LÄN</t>
        </is>
      </c>
      <c r="E9478" t="inlineStr">
        <is>
          <t>FALUN</t>
        </is>
      </c>
      <c r="F9478" t="inlineStr">
        <is>
          <t>Allmännings- och besparingsskogar</t>
        </is>
      </c>
      <c r="G9478" t="n">
        <v>17.4</v>
      </c>
      <c r="H9478" t="n">
        <v>0</v>
      </c>
      <c r="I9478" t="n">
        <v>0</v>
      </c>
      <c r="J9478" t="n">
        <v>0</v>
      </c>
      <c r="K9478" t="n">
        <v>0</v>
      </c>
      <c r="L9478" t="n">
        <v>0</v>
      </c>
      <c r="M9478" t="n">
        <v>0</v>
      </c>
      <c r="N9478" t="n">
        <v>0</v>
      </c>
      <c r="O9478" t="n">
        <v>0</v>
      </c>
      <c r="P9478" t="n">
        <v>0</v>
      </c>
      <c r="Q9478" t="n">
        <v>0</v>
      </c>
      <c r="R9478" s="2" t="inlineStr"/>
    </row>
    <row r="9479" ht="15" customHeight="1">
      <c r="A9479" t="inlineStr">
        <is>
          <t>A 8597-2026</t>
        </is>
      </c>
      <c r="B9479" s="1" t="n">
        <v>46065</v>
      </c>
      <c r="C9479" s="1" t="n">
        <v>46114</v>
      </c>
      <c r="D9479" t="inlineStr">
        <is>
          <t>DALARNAS LÄN</t>
        </is>
      </c>
      <c r="E9479" t="inlineStr">
        <is>
          <t>FALUN</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15877-2026</t>
        </is>
      </c>
      <c r="B9480" s="1" t="n">
        <v>46107.59503472222</v>
      </c>
      <c r="C9480" s="1" t="n">
        <v>46114</v>
      </c>
      <c r="D9480" t="inlineStr">
        <is>
          <t>DALARNAS LÄN</t>
        </is>
      </c>
      <c r="E9480" t="inlineStr">
        <is>
          <t>RÄTTVIK</t>
        </is>
      </c>
      <c r="G9480" t="n">
        <v>1.5</v>
      </c>
      <c r="H9480" t="n">
        <v>0</v>
      </c>
      <c r="I9480" t="n">
        <v>0</v>
      </c>
      <c r="J9480" t="n">
        <v>0</v>
      </c>
      <c r="K9480" t="n">
        <v>0</v>
      </c>
      <c r="L9480" t="n">
        <v>0</v>
      </c>
      <c r="M9480" t="n">
        <v>0</v>
      </c>
      <c r="N9480" t="n">
        <v>0</v>
      </c>
      <c r="O9480" t="n">
        <v>0</v>
      </c>
      <c r="P9480" t="n">
        <v>0</v>
      </c>
      <c r="Q9480" t="n">
        <v>0</v>
      </c>
      <c r="R9480" s="2" t="inlineStr"/>
    </row>
    <row r="9481" ht="15" customHeight="1">
      <c r="A9481" t="inlineStr">
        <is>
          <t>A 40142-2022</t>
        </is>
      </c>
      <c r="B9481" s="1" t="n">
        <v>44820.5415162037</v>
      </c>
      <c r="C9481" s="1" t="n">
        <v>46114</v>
      </c>
      <c r="D9481" t="inlineStr">
        <is>
          <t>DALARNAS LÄN</t>
        </is>
      </c>
      <c r="E9481" t="inlineStr">
        <is>
          <t>LUDVIKA</t>
        </is>
      </c>
      <c r="F9481" t="inlineStr">
        <is>
          <t>Bergvik skog väst AB</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40151-2022</t>
        </is>
      </c>
      <c r="B9482" s="1" t="n">
        <v>44820.55396990741</v>
      </c>
      <c r="C9482" s="1" t="n">
        <v>46114</v>
      </c>
      <c r="D9482" t="inlineStr">
        <is>
          <t>DALARNAS LÄN</t>
        </is>
      </c>
      <c r="E9482" t="inlineStr">
        <is>
          <t>LUDVIKA</t>
        </is>
      </c>
      <c r="F9482" t="inlineStr">
        <is>
          <t>Bergvik skog väst AB</t>
        </is>
      </c>
      <c r="G9482" t="n">
        <v>0.8</v>
      </c>
      <c r="H9482" t="n">
        <v>0</v>
      </c>
      <c r="I9482" t="n">
        <v>0</v>
      </c>
      <c r="J9482" t="n">
        <v>0</v>
      </c>
      <c r="K9482" t="n">
        <v>0</v>
      </c>
      <c r="L9482" t="n">
        <v>0</v>
      </c>
      <c r="M9482" t="n">
        <v>0</v>
      </c>
      <c r="N9482" t="n">
        <v>0</v>
      </c>
      <c r="O9482" t="n">
        <v>0</v>
      </c>
      <c r="P9482" t="n">
        <v>0</v>
      </c>
      <c r="Q9482" t="n">
        <v>0</v>
      </c>
      <c r="R9482" s="2" t="inlineStr"/>
    </row>
    <row r="9483" ht="15" customHeight="1">
      <c r="A9483" t="inlineStr">
        <is>
          <t>A 15917-2026</t>
        </is>
      </c>
      <c r="B9483" s="1" t="n">
        <v>46107.65076388889</v>
      </c>
      <c r="C9483" s="1" t="n">
        <v>46114</v>
      </c>
      <c r="D9483" t="inlineStr">
        <is>
          <t>DALARNAS LÄN</t>
        </is>
      </c>
      <c r="E9483" t="inlineStr">
        <is>
          <t>RÄTTVIK</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14373-2026</t>
        </is>
      </c>
      <c r="B9484" s="1" t="n">
        <v>46100</v>
      </c>
      <c r="C9484" s="1" t="n">
        <v>46114</v>
      </c>
      <c r="D9484" t="inlineStr">
        <is>
          <t>DALARNAS LÄN</t>
        </is>
      </c>
      <c r="E9484" t="inlineStr">
        <is>
          <t>FALUN</t>
        </is>
      </c>
      <c r="F9484" t="inlineStr">
        <is>
          <t>Bergvik skog väst AB</t>
        </is>
      </c>
      <c r="G9484" t="n">
        <v>7.2</v>
      </c>
      <c r="H9484" t="n">
        <v>0</v>
      </c>
      <c r="I9484" t="n">
        <v>0</v>
      </c>
      <c r="J9484" t="n">
        <v>0</v>
      </c>
      <c r="K9484" t="n">
        <v>0</v>
      </c>
      <c r="L9484" t="n">
        <v>0</v>
      </c>
      <c r="M9484" t="n">
        <v>0</v>
      </c>
      <c r="N9484" t="n">
        <v>0</v>
      </c>
      <c r="O9484" t="n">
        <v>0</v>
      </c>
      <c r="P9484" t="n">
        <v>0</v>
      </c>
      <c r="Q9484" t="n">
        <v>0</v>
      </c>
      <c r="R9484" s="2" t="inlineStr"/>
    </row>
    <row r="9485" ht="15" customHeight="1">
      <c r="A9485" t="inlineStr">
        <is>
          <t>A 16929-2023</t>
        </is>
      </c>
      <c r="B9485" s="1" t="n">
        <v>45033.61854166666</v>
      </c>
      <c r="C9485" s="1" t="n">
        <v>46114</v>
      </c>
      <c r="D9485" t="inlineStr">
        <is>
          <t>DALARNAS LÄN</t>
        </is>
      </c>
      <c r="E9485" t="inlineStr">
        <is>
          <t>FALUN</t>
        </is>
      </c>
      <c r="G9485" t="n">
        <v>0.3</v>
      </c>
      <c r="H9485" t="n">
        <v>0</v>
      </c>
      <c r="I9485" t="n">
        <v>0</v>
      </c>
      <c r="J9485" t="n">
        <v>0</v>
      </c>
      <c r="K9485" t="n">
        <v>0</v>
      </c>
      <c r="L9485" t="n">
        <v>0</v>
      </c>
      <c r="M9485" t="n">
        <v>0</v>
      </c>
      <c r="N9485" t="n">
        <v>0</v>
      </c>
      <c r="O9485" t="n">
        <v>0</v>
      </c>
      <c r="P9485" t="n">
        <v>0</v>
      </c>
      <c r="Q9485" t="n">
        <v>0</v>
      </c>
      <c r="R9485" s="2" t="inlineStr"/>
    </row>
    <row r="9486" ht="15" customHeight="1">
      <c r="A9486" t="inlineStr">
        <is>
          <t>A 13541-2026</t>
        </is>
      </c>
      <c r="B9486" s="1" t="n">
        <v>46094</v>
      </c>
      <c r="C9486" s="1" t="n">
        <v>46114</v>
      </c>
      <c r="D9486" t="inlineStr">
        <is>
          <t>DALARNAS LÄN</t>
        </is>
      </c>
      <c r="E9486" t="inlineStr">
        <is>
          <t>FALUN</t>
        </is>
      </c>
      <c r="F9486" t="inlineStr">
        <is>
          <t>Bergvik skog väst AB</t>
        </is>
      </c>
      <c r="G9486" t="n">
        <v>8.5</v>
      </c>
      <c r="H9486" t="n">
        <v>0</v>
      </c>
      <c r="I9486" t="n">
        <v>0</v>
      </c>
      <c r="J9486" t="n">
        <v>0</v>
      </c>
      <c r="K9486" t="n">
        <v>0</v>
      </c>
      <c r="L9486" t="n">
        <v>0</v>
      </c>
      <c r="M9486" t="n">
        <v>0</v>
      </c>
      <c r="N9486" t="n">
        <v>0</v>
      </c>
      <c r="O9486" t="n">
        <v>0</v>
      </c>
      <c r="P9486" t="n">
        <v>0</v>
      </c>
      <c r="Q9486" t="n">
        <v>0</v>
      </c>
      <c r="R9486" s="2" t="inlineStr"/>
    </row>
    <row r="9487" ht="15" customHeight="1">
      <c r="A9487" t="inlineStr">
        <is>
          <t>A 13815-2026</t>
        </is>
      </c>
      <c r="B9487" s="1" t="n">
        <v>46098</v>
      </c>
      <c r="C9487" s="1" t="n">
        <v>46114</v>
      </c>
      <c r="D9487" t="inlineStr">
        <is>
          <t>DALARNAS LÄN</t>
        </is>
      </c>
      <c r="E9487" t="inlineStr">
        <is>
          <t>FALUN</t>
        </is>
      </c>
      <c r="G9487" t="n">
        <v>3.9</v>
      </c>
      <c r="H9487" t="n">
        <v>0</v>
      </c>
      <c r="I9487" t="n">
        <v>0</v>
      </c>
      <c r="J9487" t="n">
        <v>0</v>
      </c>
      <c r="K9487" t="n">
        <v>0</v>
      </c>
      <c r="L9487" t="n">
        <v>0</v>
      </c>
      <c r="M9487" t="n">
        <v>0</v>
      </c>
      <c r="N9487" t="n">
        <v>0</v>
      </c>
      <c r="O9487" t="n">
        <v>0</v>
      </c>
      <c r="P9487" t="n">
        <v>0</v>
      </c>
      <c r="Q9487" t="n">
        <v>0</v>
      </c>
      <c r="R9487" s="2" t="inlineStr"/>
    </row>
    <row r="9488" ht="15" customHeight="1">
      <c r="A9488" t="inlineStr">
        <is>
          <t>A 15583-2026</t>
        </is>
      </c>
      <c r="B9488" s="1" t="n">
        <v>46106.56293981482</v>
      </c>
      <c r="C9488" s="1" t="n">
        <v>46114</v>
      </c>
      <c r="D9488" t="inlineStr">
        <is>
          <t>DALARNAS LÄN</t>
        </is>
      </c>
      <c r="E9488" t="inlineStr">
        <is>
          <t>LEKSAND</t>
        </is>
      </c>
      <c r="F9488" t="inlineStr">
        <is>
          <t>Bergvik skog väst AB</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15586-2026</t>
        </is>
      </c>
      <c r="B9489" s="1" t="n">
        <v>46106.56890046296</v>
      </c>
      <c r="C9489" s="1" t="n">
        <v>46114</v>
      </c>
      <c r="D9489" t="inlineStr">
        <is>
          <t>DALARNAS LÄN</t>
        </is>
      </c>
      <c r="E9489" t="inlineStr">
        <is>
          <t>LEKSAND</t>
        </is>
      </c>
      <c r="G9489" t="n">
        <v>1.8</v>
      </c>
      <c r="H9489" t="n">
        <v>0</v>
      </c>
      <c r="I9489" t="n">
        <v>0</v>
      </c>
      <c r="J9489" t="n">
        <v>0</v>
      </c>
      <c r="K9489" t="n">
        <v>0</v>
      </c>
      <c r="L9489" t="n">
        <v>0</v>
      </c>
      <c r="M9489" t="n">
        <v>0</v>
      </c>
      <c r="N9489" t="n">
        <v>0</v>
      </c>
      <c r="O9489" t="n">
        <v>0</v>
      </c>
      <c r="P9489" t="n">
        <v>0</v>
      </c>
      <c r="Q9489" t="n">
        <v>0</v>
      </c>
      <c r="R9489" s="2" t="inlineStr"/>
    </row>
    <row r="9490" ht="15" customHeight="1">
      <c r="A9490" t="inlineStr">
        <is>
          <t>A 15588-2026</t>
        </is>
      </c>
      <c r="B9490" s="1" t="n">
        <v>46106.57173611111</v>
      </c>
      <c r="C9490" s="1" t="n">
        <v>46114</v>
      </c>
      <c r="D9490" t="inlineStr">
        <is>
          <t>DALARNAS LÄN</t>
        </is>
      </c>
      <c r="E9490" t="inlineStr">
        <is>
          <t>RÄTTVIK</t>
        </is>
      </c>
      <c r="F9490" t="inlineStr">
        <is>
          <t>Bergvik skog väst AB</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15414-2026</t>
        </is>
      </c>
      <c r="B9491" s="1" t="n">
        <v>46106.37048611111</v>
      </c>
      <c r="C9491" s="1" t="n">
        <v>46114</v>
      </c>
      <c r="D9491" t="inlineStr">
        <is>
          <t>DALARNAS LÄN</t>
        </is>
      </c>
      <c r="E9491" t="inlineStr">
        <is>
          <t>ORSA</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15561-2026</t>
        </is>
      </c>
      <c r="B9492" s="1" t="n">
        <v>46106.54984953703</v>
      </c>
      <c r="C9492" s="1" t="n">
        <v>46114</v>
      </c>
      <c r="D9492" t="inlineStr">
        <is>
          <t>DALARNAS LÄN</t>
        </is>
      </c>
      <c r="E9492" t="inlineStr">
        <is>
          <t>LEKSAND</t>
        </is>
      </c>
      <c r="F9492" t="inlineStr">
        <is>
          <t>Bergvik skog väst AB</t>
        </is>
      </c>
      <c r="G9492" t="n">
        <v>11.3</v>
      </c>
      <c r="H9492" t="n">
        <v>0</v>
      </c>
      <c r="I9492" t="n">
        <v>0</v>
      </c>
      <c r="J9492" t="n">
        <v>0</v>
      </c>
      <c r="K9492" t="n">
        <v>0</v>
      </c>
      <c r="L9492" t="n">
        <v>0</v>
      </c>
      <c r="M9492" t="n">
        <v>0</v>
      </c>
      <c r="N9492" t="n">
        <v>0</v>
      </c>
      <c r="O9492" t="n">
        <v>0</v>
      </c>
      <c r="P9492" t="n">
        <v>0</v>
      </c>
      <c r="Q9492" t="n">
        <v>0</v>
      </c>
      <c r="R9492" s="2" t="inlineStr"/>
    </row>
    <row r="9493" ht="15" customHeight="1">
      <c r="A9493" t="inlineStr">
        <is>
          <t>A 21741-2022</t>
        </is>
      </c>
      <c r="B9493" s="1" t="n">
        <v>44708.380625</v>
      </c>
      <c r="C9493" s="1" t="n">
        <v>46114</v>
      </c>
      <c r="D9493" t="inlineStr">
        <is>
          <t>DALARNAS LÄN</t>
        </is>
      </c>
      <c r="E9493" t="inlineStr">
        <is>
          <t>LUDVIKA</t>
        </is>
      </c>
      <c r="F9493" t="inlineStr">
        <is>
          <t>Bergvik skog väst AB</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15578-2026</t>
        </is>
      </c>
      <c r="B9494" s="1" t="n">
        <v>46106.55966435185</v>
      </c>
      <c r="C9494" s="1" t="n">
        <v>46114</v>
      </c>
      <c r="D9494" t="inlineStr">
        <is>
          <t>DALARNAS LÄN</t>
        </is>
      </c>
      <c r="E9494" t="inlineStr">
        <is>
          <t>LEKSAND</t>
        </is>
      </c>
      <c r="F9494" t="inlineStr">
        <is>
          <t>Bergvik skog väst AB</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15601-2026</t>
        </is>
      </c>
      <c r="B9495" s="1" t="n">
        <v>46106.58998842593</v>
      </c>
      <c r="C9495" s="1" t="n">
        <v>46114</v>
      </c>
      <c r="D9495" t="inlineStr">
        <is>
          <t>DALARNAS LÄN</t>
        </is>
      </c>
      <c r="E9495" t="inlineStr">
        <is>
          <t>FALUN</t>
        </is>
      </c>
      <c r="F9495" t="inlineStr">
        <is>
          <t>Bergvik skog väst AB</t>
        </is>
      </c>
      <c r="G9495" t="n">
        <v>35.5</v>
      </c>
      <c r="H9495" t="n">
        <v>0</v>
      </c>
      <c r="I9495" t="n">
        <v>0</v>
      </c>
      <c r="J9495" t="n">
        <v>0</v>
      </c>
      <c r="K9495" t="n">
        <v>0</v>
      </c>
      <c r="L9495" t="n">
        <v>0</v>
      </c>
      <c r="M9495" t="n">
        <v>0</v>
      </c>
      <c r="N9495" t="n">
        <v>0</v>
      </c>
      <c r="O9495" t="n">
        <v>0</v>
      </c>
      <c r="P9495" t="n">
        <v>0</v>
      </c>
      <c r="Q9495" t="n">
        <v>0</v>
      </c>
      <c r="R9495" s="2" t="inlineStr"/>
    </row>
    <row r="9496" ht="15" customHeight="1">
      <c r="A9496" t="inlineStr">
        <is>
          <t>A 12051-2026</t>
        </is>
      </c>
      <c r="B9496" s="1" t="n">
        <v>46086</v>
      </c>
      <c r="C9496" s="1" t="n">
        <v>46114</v>
      </c>
      <c r="D9496" t="inlineStr">
        <is>
          <t>DALARNAS LÄN</t>
        </is>
      </c>
      <c r="E9496" t="inlineStr">
        <is>
          <t>FALUN</t>
        </is>
      </c>
      <c r="F9496" t="inlineStr">
        <is>
          <t>Bergvik skog väst AB</t>
        </is>
      </c>
      <c r="G9496" t="n">
        <v>1.3</v>
      </c>
      <c r="H9496" t="n">
        <v>0</v>
      </c>
      <c r="I9496" t="n">
        <v>0</v>
      </c>
      <c r="J9496" t="n">
        <v>0</v>
      </c>
      <c r="K9496" t="n">
        <v>0</v>
      </c>
      <c r="L9496" t="n">
        <v>0</v>
      </c>
      <c r="M9496" t="n">
        <v>0</v>
      </c>
      <c r="N9496" t="n">
        <v>0</v>
      </c>
      <c r="O9496" t="n">
        <v>0</v>
      </c>
      <c r="P9496" t="n">
        <v>0</v>
      </c>
      <c r="Q9496" t="n">
        <v>0</v>
      </c>
      <c r="R9496" s="2" t="inlineStr"/>
    </row>
    <row r="9497" ht="15" customHeight="1">
      <c r="A9497" t="inlineStr">
        <is>
          <t>A 12645-2026</t>
        </is>
      </c>
      <c r="B9497" s="1" t="n">
        <v>46091</v>
      </c>
      <c r="C9497" s="1" t="n">
        <v>46114</v>
      </c>
      <c r="D9497" t="inlineStr">
        <is>
          <t>DALARNAS LÄN</t>
        </is>
      </c>
      <c r="E9497" t="inlineStr">
        <is>
          <t>FALUN</t>
        </is>
      </c>
      <c r="F9497" t="inlineStr">
        <is>
          <t>Bergvik skog väst AB</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15762-2026</t>
        </is>
      </c>
      <c r="B9498" s="1" t="n">
        <v>46107.43761574074</v>
      </c>
      <c r="C9498" s="1" t="n">
        <v>46114</v>
      </c>
      <c r="D9498" t="inlineStr">
        <is>
          <t>DALARNAS LÄN</t>
        </is>
      </c>
      <c r="E9498" t="inlineStr">
        <is>
          <t>SMEDJEBACKEN</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49683-2024</t>
        </is>
      </c>
      <c r="B9499" s="1" t="n">
        <v>45596.67273148148</v>
      </c>
      <c r="C9499" s="1" t="n">
        <v>46114</v>
      </c>
      <c r="D9499" t="inlineStr">
        <is>
          <t>DALARNAS LÄN</t>
        </is>
      </c>
      <c r="E9499" t="inlineStr">
        <is>
          <t>FALUN</t>
        </is>
      </c>
      <c r="F9499" t="inlineStr">
        <is>
          <t>Bergvik skog väst AB</t>
        </is>
      </c>
      <c r="G9499" t="n">
        <v>4.4</v>
      </c>
      <c r="H9499" t="n">
        <v>0</v>
      </c>
      <c r="I9499" t="n">
        <v>0</v>
      </c>
      <c r="J9499" t="n">
        <v>0</v>
      </c>
      <c r="K9499" t="n">
        <v>0</v>
      </c>
      <c r="L9499" t="n">
        <v>0</v>
      </c>
      <c r="M9499" t="n">
        <v>0</v>
      </c>
      <c r="N9499" t="n">
        <v>0</v>
      </c>
      <c r="O9499" t="n">
        <v>0</v>
      </c>
      <c r="P9499" t="n">
        <v>0</v>
      </c>
      <c r="Q9499" t="n">
        <v>0</v>
      </c>
      <c r="R9499" s="2" t="inlineStr"/>
    </row>
    <row r="9500" ht="15" customHeight="1">
      <c r="A9500" t="inlineStr">
        <is>
          <t>A 15911-2026</t>
        </is>
      </c>
      <c r="B9500" s="1" t="n">
        <v>46107.64142361111</v>
      </c>
      <c r="C9500" s="1" t="n">
        <v>46114</v>
      </c>
      <c r="D9500" t="inlineStr">
        <is>
          <t>DALARNAS LÄN</t>
        </is>
      </c>
      <c r="E9500" t="inlineStr">
        <is>
          <t>FALUN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29485-2022</t>
        </is>
      </c>
      <c r="B9501" s="1" t="n">
        <v>44753</v>
      </c>
      <c r="C9501" s="1" t="n">
        <v>46114</v>
      </c>
      <c r="D9501" t="inlineStr">
        <is>
          <t>DALARNAS LÄN</t>
        </is>
      </c>
      <c r="E9501" t="inlineStr">
        <is>
          <t>ORSA</t>
        </is>
      </c>
      <c r="G9501" t="n">
        <v>1.2</v>
      </c>
      <c r="H9501" t="n">
        <v>0</v>
      </c>
      <c r="I9501" t="n">
        <v>0</v>
      </c>
      <c r="J9501" t="n">
        <v>0</v>
      </c>
      <c r="K9501" t="n">
        <v>0</v>
      </c>
      <c r="L9501" t="n">
        <v>0</v>
      </c>
      <c r="M9501" t="n">
        <v>0</v>
      </c>
      <c r="N9501" t="n">
        <v>0</v>
      </c>
      <c r="O9501" t="n">
        <v>0</v>
      </c>
      <c r="P9501" t="n">
        <v>0</v>
      </c>
      <c r="Q9501" t="n">
        <v>0</v>
      </c>
      <c r="R9501" s="2" t="inlineStr"/>
    </row>
    <row r="9502" ht="15" customHeight="1">
      <c r="A9502" t="inlineStr">
        <is>
          <t>A 15476-2026</t>
        </is>
      </c>
      <c r="B9502" s="1" t="n">
        <v>46106</v>
      </c>
      <c r="C9502" s="1" t="n">
        <v>46114</v>
      </c>
      <c r="D9502" t="inlineStr">
        <is>
          <t>DALARNAS LÄN</t>
        </is>
      </c>
      <c r="E9502" t="inlineStr">
        <is>
          <t>FALUN</t>
        </is>
      </c>
      <c r="F9502" t="inlineStr">
        <is>
          <t>Bergvik skog väst AB</t>
        </is>
      </c>
      <c r="G9502" t="n">
        <v>15.6</v>
      </c>
      <c r="H9502" t="n">
        <v>0</v>
      </c>
      <c r="I9502" t="n">
        <v>0</v>
      </c>
      <c r="J9502" t="n">
        <v>0</v>
      </c>
      <c r="K9502" t="n">
        <v>0</v>
      </c>
      <c r="L9502" t="n">
        <v>0</v>
      </c>
      <c r="M9502" t="n">
        <v>0</v>
      </c>
      <c r="N9502" t="n">
        <v>0</v>
      </c>
      <c r="O9502" t="n">
        <v>0</v>
      </c>
      <c r="P9502" t="n">
        <v>0</v>
      </c>
      <c r="Q9502" t="n">
        <v>0</v>
      </c>
      <c r="R9502" s="2" t="inlineStr"/>
    </row>
    <row r="9503" ht="15" customHeight="1">
      <c r="A9503" t="inlineStr">
        <is>
          <t>A 15738-2026</t>
        </is>
      </c>
      <c r="B9503" s="1" t="n">
        <v>46107.41341435185</v>
      </c>
      <c r="C9503" s="1" t="n">
        <v>46114</v>
      </c>
      <c r="D9503" t="inlineStr">
        <is>
          <t>DALARNAS LÄN</t>
        </is>
      </c>
      <c r="E9503" t="inlineStr">
        <is>
          <t>MALUNG-SÄLEN</t>
        </is>
      </c>
      <c r="G9503" t="n">
        <v>0.7</v>
      </c>
      <c r="H9503" t="n">
        <v>0</v>
      </c>
      <c r="I9503" t="n">
        <v>0</v>
      </c>
      <c r="J9503" t="n">
        <v>0</v>
      </c>
      <c r="K9503" t="n">
        <v>0</v>
      </c>
      <c r="L9503" t="n">
        <v>0</v>
      </c>
      <c r="M9503" t="n">
        <v>0</v>
      </c>
      <c r="N9503" t="n">
        <v>0</v>
      </c>
      <c r="O9503" t="n">
        <v>0</v>
      </c>
      <c r="P9503" t="n">
        <v>0</v>
      </c>
      <c r="Q9503" t="n">
        <v>0</v>
      </c>
      <c r="R9503" s="2" t="inlineStr"/>
    </row>
    <row r="9504" ht="15" customHeight="1">
      <c r="A9504" t="inlineStr">
        <is>
          <t>A 8212-2026</t>
        </is>
      </c>
      <c r="B9504" s="1" t="n">
        <v>46064.45237268518</v>
      </c>
      <c r="C9504" s="1" t="n">
        <v>46114</v>
      </c>
      <c r="D9504" t="inlineStr">
        <is>
          <t>DALARNAS LÄN</t>
        </is>
      </c>
      <c r="E9504" t="inlineStr">
        <is>
          <t>FALUN</t>
        </is>
      </c>
      <c r="F9504" t="inlineStr">
        <is>
          <t>Bergvik skog väst AB</t>
        </is>
      </c>
      <c r="G9504" t="n">
        <v>2.7</v>
      </c>
      <c r="H9504" t="n">
        <v>0</v>
      </c>
      <c r="I9504" t="n">
        <v>0</v>
      </c>
      <c r="J9504" t="n">
        <v>0</v>
      </c>
      <c r="K9504" t="n">
        <v>0</v>
      </c>
      <c r="L9504" t="n">
        <v>0</v>
      </c>
      <c r="M9504" t="n">
        <v>0</v>
      </c>
      <c r="N9504" t="n">
        <v>0</v>
      </c>
      <c r="O9504" t="n">
        <v>0</v>
      </c>
      <c r="P9504" t="n">
        <v>0</v>
      </c>
      <c r="Q9504" t="n">
        <v>0</v>
      </c>
      <c r="R9504" s="2" t="inlineStr"/>
    </row>
    <row r="9505" ht="15" customHeight="1">
      <c r="A9505" t="inlineStr">
        <is>
          <t>A 15545-2026</t>
        </is>
      </c>
      <c r="B9505" s="1" t="n">
        <v>46106.52583333333</v>
      </c>
      <c r="C9505" s="1" t="n">
        <v>46114</v>
      </c>
      <c r="D9505" t="inlineStr">
        <is>
          <t>DALARNAS LÄN</t>
        </is>
      </c>
      <c r="E9505" t="inlineStr">
        <is>
          <t>LEKSAND</t>
        </is>
      </c>
      <c r="F9505" t="inlineStr">
        <is>
          <t>Bergvik skog väst AB</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15552-2026</t>
        </is>
      </c>
      <c r="B9506" s="1" t="n">
        <v>46106.53862268518</v>
      </c>
      <c r="C9506" s="1" t="n">
        <v>46114</v>
      </c>
      <c r="D9506" t="inlineStr">
        <is>
          <t>DALARNAS LÄN</t>
        </is>
      </c>
      <c r="E9506" t="inlineStr">
        <is>
          <t>MORA</t>
        </is>
      </c>
      <c r="G9506" t="n">
        <v>2.1</v>
      </c>
      <c r="H9506" t="n">
        <v>0</v>
      </c>
      <c r="I9506" t="n">
        <v>0</v>
      </c>
      <c r="J9506" t="n">
        <v>0</v>
      </c>
      <c r="K9506" t="n">
        <v>0</v>
      </c>
      <c r="L9506" t="n">
        <v>0</v>
      </c>
      <c r="M9506" t="n">
        <v>0</v>
      </c>
      <c r="N9506" t="n">
        <v>0</v>
      </c>
      <c r="O9506" t="n">
        <v>0</v>
      </c>
      <c r="P9506" t="n">
        <v>0</v>
      </c>
      <c r="Q9506" t="n">
        <v>0</v>
      </c>
      <c r="R9506" s="2" t="inlineStr"/>
    </row>
    <row r="9507" ht="15" customHeight="1">
      <c r="A9507" t="inlineStr">
        <is>
          <t>A 15676-2026</t>
        </is>
      </c>
      <c r="B9507" s="1" t="n">
        <v>46106.83381944444</v>
      </c>
      <c r="C9507" s="1" t="n">
        <v>46114</v>
      </c>
      <c r="D9507" t="inlineStr">
        <is>
          <t>DALARNAS LÄN</t>
        </is>
      </c>
      <c r="E9507" t="inlineStr">
        <is>
          <t>VANSBRO</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15090-2026</t>
        </is>
      </c>
      <c r="B9508" s="1" t="n">
        <v>46105</v>
      </c>
      <c r="C9508" s="1" t="n">
        <v>46114</v>
      </c>
      <c r="D9508" t="inlineStr">
        <is>
          <t>DALARNAS LÄN</t>
        </is>
      </c>
      <c r="E9508" t="inlineStr">
        <is>
          <t>RÄTTVIK</t>
        </is>
      </c>
      <c r="F9508" t="inlineStr">
        <is>
          <t>Allmännings- och besparingsskogar</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15591-2026</t>
        </is>
      </c>
      <c r="B9509" s="1" t="n">
        <v>46106.57803240741</v>
      </c>
      <c r="C9509" s="1" t="n">
        <v>46114</v>
      </c>
      <c r="D9509" t="inlineStr">
        <is>
          <t>DALARNAS LÄN</t>
        </is>
      </c>
      <c r="E9509" t="inlineStr">
        <is>
          <t>MALUNG-SÄLEN</t>
        </is>
      </c>
      <c r="G9509" t="n">
        <v>1.3</v>
      </c>
      <c r="H9509" t="n">
        <v>0</v>
      </c>
      <c r="I9509" t="n">
        <v>0</v>
      </c>
      <c r="J9509" t="n">
        <v>0</v>
      </c>
      <c r="K9509" t="n">
        <v>0</v>
      </c>
      <c r="L9509" t="n">
        <v>0</v>
      </c>
      <c r="M9509" t="n">
        <v>0</v>
      </c>
      <c r="N9509" t="n">
        <v>0</v>
      </c>
      <c r="O9509" t="n">
        <v>0</v>
      </c>
      <c r="P9509" t="n">
        <v>0</v>
      </c>
      <c r="Q9509" t="n">
        <v>0</v>
      </c>
      <c r="R9509" s="2" t="inlineStr"/>
    </row>
    <row r="9510" ht="15" customHeight="1">
      <c r="A9510" t="inlineStr">
        <is>
          <t>A 15600-2026</t>
        </is>
      </c>
      <c r="B9510" s="1" t="n">
        <v>46106</v>
      </c>
      <c r="C9510" s="1" t="n">
        <v>46114</v>
      </c>
      <c r="D9510" t="inlineStr">
        <is>
          <t>DALARNAS LÄN</t>
        </is>
      </c>
      <c r="E9510" t="inlineStr">
        <is>
          <t>SÄTER</t>
        </is>
      </c>
      <c r="G9510" t="n">
        <v>3.7</v>
      </c>
      <c r="H9510" t="n">
        <v>0</v>
      </c>
      <c r="I9510" t="n">
        <v>0</v>
      </c>
      <c r="J9510" t="n">
        <v>0</v>
      </c>
      <c r="K9510" t="n">
        <v>0</v>
      </c>
      <c r="L9510" t="n">
        <v>0</v>
      </c>
      <c r="M9510" t="n">
        <v>0</v>
      </c>
      <c r="N9510" t="n">
        <v>0</v>
      </c>
      <c r="O9510" t="n">
        <v>0</v>
      </c>
      <c r="P9510" t="n">
        <v>0</v>
      </c>
      <c r="Q9510" t="n">
        <v>0</v>
      </c>
      <c r="R9510" s="2" t="inlineStr"/>
    </row>
    <row r="9511" ht="15" customHeight="1">
      <c r="A9511" t="inlineStr">
        <is>
          <t>A 15849-2026</t>
        </is>
      </c>
      <c r="B9511" s="1" t="n">
        <v>46107.57081018519</v>
      </c>
      <c r="C9511" s="1" t="n">
        <v>46114</v>
      </c>
      <c r="D9511" t="inlineStr">
        <is>
          <t>DALARNAS LÄN</t>
        </is>
      </c>
      <c r="E9511" t="inlineStr">
        <is>
          <t>RÄTTVIK</t>
        </is>
      </c>
      <c r="F9511" t="inlineStr">
        <is>
          <t>Bergvik skog väst AB</t>
        </is>
      </c>
      <c r="G9511" t="n">
        <v>9.9</v>
      </c>
      <c r="H9511" t="n">
        <v>0</v>
      </c>
      <c r="I9511" t="n">
        <v>0</v>
      </c>
      <c r="J9511" t="n">
        <v>0</v>
      </c>
      <c r="K9511" t="n">
        <v>0</v>
      </c>
      <c r="L9511" t="n">
        <v>0</v>
      </c>
      <c r="M9511" t="n">
        <v>0</v>
      </c>
      <c r="N9511" t="n">
        <v>0</v>
      </c>
      <c r="O9511" t="n">
        <v>0</v>
      </c>
      <c r="P9511" t="n">
        <v>0</v>
      </c>
      <c r="Q9511" t="n">
        <v>0</v>
      </c>
      <c r="R9511" s="2" t="inlineStr"/>
    </row>
    <row r="9512" ht="15" customHeight="1">
      <c r="A9512" t="inlineStr">
        <is>
          <t>A 15883-2026</t>
        </is>
      </c>
      <c r="B9512" s="1" t="n">
        <v>46107.60438657407</v>
      </c>
      <c r="C9512" s="1" t="n">
        <v>46114</v>
      </c>
      <c r="D9512" t="inlineStr">
        <is>
          <t>DALARNAS LÄN</t>
        </is>
      </c>
      <c r="E9512" t="inlineStr">
        <is>
          <t>FALUN</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23156-2021</t>
        </is>
      </c>
      <c r="B9513" s="1" t="n">
        <v>44332.71596064815</v>
      </c>
      <c r="C9513" s="1" t="n">
        <v>46114</v>
      </c>
      <c r="D9513" t="inlineStr">
        <is>
          <t>DALARNAS LÄN</t>
        </is>
      </c>
      <c r="E9513" t="inlineStr">
        <is>
          <t>SMEDJEBACKEN</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14525-2026</t>
        </is>
      </c>
      <c r="B9514" s="1" t="n">
        <v>46100</v>
      </c>
      <c r="C9514" s="1" t="n">
        <v>46114</v>
      </c>
      <c r="D9514" t="inlineStr">
        <is>
          <t>DALARNAS LÄN</t>
        </is>
      </c>
      <c r="E9514" t="inlineStr">
        <is>
          <t>FALUN</t>
        </is>
      </c>
      <c r="F9514" t="inlineStr">
        <is>
          <t>Bergvik skog väst AB</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15089-2026</t>
        </is>
      </c>
      <c r="B9515" s="1" t="n">
        <v>46105</v>
      </c>
      <c r="C9515" s="1" t="n">
        <v>46114</v>
      </c>
      <c r="D9515" t="inlineStr">
        <is>
          <t>DALARNAS LÄN</t>
        </is>
      </c>
      <c r="E9515" t="inlineStr">
        <is>
          <t>RÄTTVIK</t>
        </is>
      </c>
      <c r="F9515" t="inlineStr">
        <is>
          <t>Allmännings- och besparingsskogar</t>
        </is>
      </c>
      <c r="G9515" t="n">
        <v>7</v>
      </c>
      <c r="H9515" t="n">
        <v>0</v>
      </c>
      <c r="I9515" t="n">
        <v>0</v>
      </c>
      <c r="J9515" t="n">
        <v>0</v>
      </c>
      <c r="K9515" t="n">
        <v>0</v>
      </c>
      <c r="L9515" t="n">
        <v>0</v>
      </c>
      <c r="M9515" t="n">
        <v>0</v>
      </c>
      <c r="N9515" t="n">
        <v>0</v>
      </c>
      <c r="O9515" t="n">
        <v>0</v>
      </c>
      <c r="P9515" t="n">
        <v>0</v>
      </c>
      <c r="Q9515" t="n">
        <v>0</v>
      </c>
      <c r="R9515" s="2" t="inlineStr"/>
    </row>
    <row r="9516" ht="15" customHeight="1">
      <c r="A9516" t="inlineStr">
        <is>
          <t>A 43810-2024</t>
        </is>
      </c>
      <c r="B9516" s="1" t="n">
        <v>45571.73517361111</v>
      </c>
      <c r="C9516" s="1" t="n">
        <v>46114</v>
      </c>
      <c r="D9516" t="inlineStr">
        <is>
          <t>DALARNAS LÄN</t>
        </is>
      </c>
      <c r="E9516" t="inlineStr">
        <is>
          <t>SMEDJEBACKEN</t>
        </is>
      </c>
      <c r="F9516" t="inlineStr">
        <is>
          <t>Sveaskog</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56129-2023</t>
        </is>
      </c>
      <c r="B9517" s="1" t="n">
        <v>45240.58174768519</v>
      </c>
      <c r="C9517" s="1" t="n">
        <v>46114</v>
      </c>
      <c r="D9517" t="inlineStr">
        <is>
          <t>DALARNAS LÄN</t>
        </is>
      </c>
      <c r="E9517" t="inlineStr">
        <is>
          <t>VANSBRO</t>
        </is>
      </c>
      <c r="G9517" t="n">
        <v>2.7</v>
      </c>
      <c r="H9517" t="n">
        <v>0</v>
      </c>
      <c r="I9517" t="n">
        <v>0</v>
      </c>
      <c r="J9517" t="n">
        <v>0</v>
      </c>
      <c r="K9517" t="n">
        <v>0</v>
      </c>
      <c r="L9517" t="n">
        <v>0</v>
      </c>
      <c r="M9517" t="n">
        <v>0</v>
      </c>
      <c r="N9517" t="n">
        <v>0</v>
      </c>
      <c r="O9517" t="n">
        <v>0</v>
      </c>
      <c r="P9517" t="n">
        <v>0</v>
      </c>
      <c r="Q9517" t="n">
        <v>0</v>
      </c>
      <c r="R9517" s="2" t="inlineStr"/>
    </row>
    <row r="9518" ht="15" customHeight="1">
      <c r="A9518" t="inlineStr">
        <is>
          <t>A 43729-2023</t>
        </is>
      </c>
      <c r="B9518" s="1" t="n">
        <v>45187.45252314815</v>
      </c>
      <c r="C9518" s="1" t="n">
        <v>46114</v>
      </c>
      <c r="D9518" t="inlineStr">
        <is>
          <t>DALARNAS LÄN</t>
        </is>
      </c>
      <c r="E9518" t="inlineStr">
        <is>
          <t>RÄTTVIK</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60940-2022</t>
        </is>
      </c>
      <c r="B9519" s="1" t="n">
        <v>44914.62356481481</v>
      </c>
      <c r="C9519" s="1" t="n">
        <v>46114</v>
      </c>
      <c r="D9519" t="inlineStr">
        <is>
          <t>DALARNAS LÄN</t>
        </is>
      </c>
      <c r="E9519" t="inlineStr">
        <is>
          <t>MALUNG-SÄLEN</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8282-2026</t>
        </is>
      </c>
      <c r="B9520" s="1" t="n">
        <v>46064.5596875</v>
      </c>
      <c r="C9520" s="1" t="n">
        <v>46114</v>
      </c>
      <c r="D9520" t="inlineStr">
        <is>
          <t>DALARNAS LÄN</t>
        </is>
      </c>
      <c r="E9520" t="inlineStr">
        <is>
          <t>FALUN</t>
        </is>
      </c>
      <c r="F9520" t="inlineStr">
        <is>
          <t>Bergvik skog väst AB</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8361-2026</t>
        </is>
      </c>
      <c r="B9521" s="1" t="n">
        <v>46064.6643287037</v>
      </c>
      <c r="C9521" s="1" t="n">
        <v>46114</v>
      </c>
      <c r="D9521" t="inlineStr">
        <is>
          <t>DALARNAS LÄN</t>
        </is>
      </c>
      <c r="E9521" t="inlineStr">
        <is>
          <t>MORA</t>
        </is>
      </c>
      <c r="G9521" t="n">
        <v>2.7</v>
      </c>
      <c r="H9521" t="n">
        <v>0</v>
      </c>
      <c r="I9521" t="n">
        <v>0</v>
      </c>
      <c r="J9521" t="n">
        <v>0</v>
      </c>
      <c r="K9521" t="n">
        <v>0</v>
      </c>
      <c r="L9521" t="n">
        <v>0</v>
      </c>
      <c r="M9521" t="n">
        <v>0</v>
      </c>
      <c r="N9521" t="n">
        <v>0</v>
      </c>
      <c r="O9521" t="n">
        <v>0</v>
      </c>
      <c r="P9521" t="n">
        <v>0</v>
      </c>
      <c r="Q9521" t="n">
        <v>0</v>
      </c>
      <c r="R9521" s="2" t="inlineStr"/>
    </row>
    <row r="9522" ht="15" customHeight="1">
      <c r="A9522" t="inlineStr">
        <is>
          <t>A 15892-2026</t>
        </is>
      </c>
      <c r="B9522" s="1" t="n">
        <v>46107.61653935185</v>
      </c>
      <c r="C9522" s="1" t="n">
        <v>46114</v>
      </c>
      <c r="D9522" t="inlineStr">
        <is>
          <t>DALARNAS LÄN</t>
        </is>
      </c>
      <c r="E9522" t="inlineStr">
        <is>
          <t>SMEDJEBACKEN</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15914-2026</t>
        </is>
      </c>
      <c r="B9523" s="1" t="n">
        <v>46107.64665509259</v>
      </c>
      <c r="C9523" s="1" t="n">
        <v>46114</v>
      </c>
      <c r="D9523" t="inlineStr">
        <is>
          <t>DALARNAS LÄN</t>
        </is>
      </c>
      <c r="E9523" t="inlineStr">
        <is>
          <t>RÄTTVIK</t>
        </is>
      </c>
      <c r="F9523" t="inlineStr">
        <is>
          <t>Bergvik skog väst AB</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15942-2026</t>
        </is>
      </c>
      <c r="B9524" s="1" t="n">
        <v>46107.7103125</v>
      </c>
      <c r="C9524" s="1" t="n">
        <v>46114</v>
      </c>
      <c r="D9524" t="inlineStr">
        <is>
          <t>DALARNAS LÄN</t>
        </is>
      </c>
      <c r="E9524" t="inlineStr">
        <is>
          <t>GAGNEF</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15945-2026</t>
        </is>
      </c>
      <c r="B9525" s="1" t="n">
        <v>46107.72236111111</v>
      </c>
      <c r="C9525" s="1" t="n">
        <v>46114</v>
      </c>
      <c r="D9525" t="inlineStr">
        <is>
          <t>DALARNAS LÄN</t>
        </is>
      </c>
      <c r="E9525" t="inlineStr">
        <is>
          <t>GAGNEF</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1457-2024</t>
        </is>
      </c>
      <c r="B9526" s="1" t="n">
        <v>45303</v>
      </c>
      <c r="C9526" s="1" t="n">
        <v>46114</v>
      </c>
      <c r="D9526" t="inlineStr">
        <is>
          <t>DALARNAS LÄN</t>
        </is>
      </c>
      <c r="E9526" t="inlineStr">
        <is>
          <t>LEKSAND</t>
        </is>
      </c>
      <c r="G9526" t="n">
        <v>4.4</v>
      </c>
      <c r="H9526" t="n">
        <v>0</v>
      </c>
      <c r="I9526" t="n">
        <v>0</v>
      </c>
      <c r="J9526" t="n">
        <v>0</v>
      </c>
      <c r="K9526" t="n">
        <v>0</v>
      </c>
      <c r="L9526" t="n">
        <v>0</v>
      </c>
      <c r="M9526" t="n">
        <v>0</v>
      </c>
      <c r="N9526" t="n">
        <v>0</v>
      </c>
      <c r="O9526" t="n">
        <v>0</v>
      </c>
      <c r="P9526" t="n">
        <v>0</v>
      </c>
      <c r="Q9526" t="n">
        <v>0</v>
      </c>
      <c r="R9526" s="2" t="inlineStr"/>
    </row>
    <row r="9527" ht="15" customHeight="1">
      <c r="A9527" t="inlineStr">
        <is>
          <t>A 8271-2026</t>
        </is>
      </c>
      <c r="B9527" s="1" t="n">
        <v>46064</v>
      </c>
      <c r="C9527" s="1" t="n">
        <v>46114</v>
      </c>
      <c r="D9527" t="inlineStr">
        <is>
          <t>DALARNAS LÄN</t>
        </is>
      </c>
      <c r="E9527" t="inlineStr">
        <is>
          <t>FALUN</t>
        </is>
      </c>
      <c r="F9527" t="inlineStr">
        <is>
          <t>Bergvik skog väst AB</t>
        </is>
      </c>
      <c r="G9527" t="n">
        <v>5.8</v>
      </c>
      <c r="H9527" t="n">
        <v>0</v>
      </c>
      <c r="I9527" t="n">
        <v>0</v>
      </c>
      <c r="J9527" t="n">
        <v>0</v>
      </c>
      <c r="K9527" t="n">
        <v>0</v>
      </c>
      <c r="L9527" t="n">
        <v>0</v>
      </c>
      <c r="M9527" t="n">
        <v>0</v>
      </c>
      <c r="N9527" t="n">
        <v>0</v>
      </c>
      <c r="O9527" t="n">
        <v>0</v>
      </c>
      <c r="P9527" t="n">
        <v>0</v>
      </c>
      <c r="Q9527" t="n">
        <v>0</v>
      </c>
      <c r="R9527" s="2" t="inlineStr"/>
    </row>
    <row r="9528" ht="15" customHeight="1">
      <c r="A9528" t="inlineStr">
        <is>
          <t>A 21170-2024</t>
        </is>
      </c>
      <c r="B9528" s="1" t="n">
        <v>45440.45778935185</v>
      </c>
      <c r="C9528" s="1" t="n">
        <v>46114</v>
      </c>
      <c r="D9528" t="inlineStr">
        <is>
          <t>DALARNAS LÄN</t>
        </is>
      </c>
      <c r="E9528" t="inlineStr">
        <is>
          <t>RÄTTVIK</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13443-2026</t>
        </is>
      </c>
      <c r="B9529" s="1" t="n">
        <v>46094</v>
      </c>
      <c r="C9529" s="1" t="n">
        <v>46114</v>
      </c>
      <c r="D9529" t="inlineStr">
        <is>
          <t>DALARNAS LÄN</t>
        </is>
      </c>
      <c r="E9529" t="inlineStr">
        <is>
          <t>FALUN</t>
        </is>
      </c>
      <c r="F9529" t="inlineStr">
        <is>
          <t>Bergvik skog väst AB</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14494-2026</t>
        </is>
      </c>
      <c r="B9530" s="1" t="n">
        <v>46100</v>
      </c>
      <c r="C9530" s="1" t="n">
        <v>46114</v>
      </c>
      <c r="D9530" t="inlineStr">
        <is>
          <t>DALARNAS LÄN</t>
        </is>
      </c>
      <c r="E9530" t="inlineStr">
        <is>
          <t>FALUN</t>
        </is>
      </c>
      <c r="F9530" t="inlineStr">
        <is>
          <t>Bergvik skog väst AB</t>
        </is>
      </c>
      <c r="G9530" t="n">
        <v>14.4</v>
      </c>
      <c r="H9530" t="n">
        <v>0</v>
      </c>
      <c r="I9530" t="n">
        <v>0</v>
      </c>
      <c r="J9530" t="n">
        <v>0</v>
      </c>
      <c r="K9530" t="n">
        <v>0</v>
      </c>
      <c r="L9530" t="n">
        <v>0</v>
      </c>
      <c r="M9530" t="n">
        <v>0</v>
      </c>
      <c r="N9530" t="n">
        <v>0</v>
      </c>
      <c r="O9530" t="n">
        <v>0</v>
      </c>
      <c r="P9530" t="n">
        <v>0</v>
      </c>
      <c r="Q9530" t="n">
        <v>0</v>
      </c>
      <c r="R9530" s="2" t="inlineStr"/>
    </row>
    <row r="9531" ht="15" customHeight="1">
      <c r="A9531" t="inlineStr">
        <is>
          <t>A 14546-2026</t>
        </is>
      </c>
      <c r="B9531" s="1" t="n">
        <v>46100</v>
      </c>
      <c r="C9531" s="1" t="n">
        <v>46114</v>
      </c>
      <c r="D9531" t="inlineStr">
        <is>
          <t>DALARNAS LÄN</t>
        </is>
      </c>
      <c r="E9531" t="inlineStr">
        <is>
          <t>FALUN</t>
        </is>
      </c>
      <c r="F9531" t="inlineStr">
        <is>
          <t>Bergvik skog väst AB</t>
        </is>
      </c>
      <c r="G9531" t="n">
        <v>3.9</v>
      </c>
      <c r="H9531" t="n">
        <v>0</v>
      </c>
      <c r="I9531" t="n">
        <v>0</v>
      </c>
      <c r="J9531" t="n">
        <v>0</v>
      </c>
      <c r="K9531" t="n">
        <v>0</v>
      </c>
      <c r="L9531" t="n">
        <v>0</v>
      </c>
      <c r="M9531" t="n">
        <v>0</v>
      </c>
      <c r="N9531" t="n">
        <v>0</v>
      </c>
      <c r="O9531" t="n">
        <v>0</v>
      </c>
      <c r="P9531" t="n">
        <v>0</v>
      </c>
      <c r="Q9531" t="n">
        <v>0</v>
      </c>
      <c r="R9531" s="2" t="inlineStr"/>
    </row>
    <row r="9532" ht="15" customHeight="1">
      <c r="A9532" t="inlineStr">
        <is>
          <t>A 21244-2024</t>
        </is>
      </c>
      <c r="B9532" s="1" t="n">
        <v>45440.59936342593</v>
      </c>
      <c r="C9532" s="1" t="n">
        <v>46114</v>
      </c>
      <c r="D9532" t="inlineStr">
        <is>
          <t>DALARNAS LÄN</t>
        </is>
      </c>
      <c r="E9532" t="inlineStr">
        <is>
          <t>MORA</t>
        </is>
      </c>
      <c r="G9532" t="n">
        <v>8.800000000000001</v>
      </c>
      <c r="H9532" t="n">
        <v>0</v>
      </c>
      <c r="I9532" t="n">
        <v>0</v>
      </c>
      <c r="J9532" t="n">
        <v>0</v>
      </c>
      <c r="K9532" t="n">
        <v>0</v>
      </c>
      <c r="L9532" t="n">
        <v>0</v>
      </c>
      <c r="M9532" t="n">
        <v>0</v>
      </c>
      <c r="N9532" t="n">
        <v>0</v>
      </c>
      <c r="O9532" t="n">
        <v>0</v>
      </c>
      <c r="P9532" t="n">
        <v>0</v>
      </c>
      <c r="Q9532" t="n">
        <v>0</v>
      </c>
      <c r="R9532" s="2" t="inlineStr"/>
    </row>
    <row r="9533" ht="15" customHeight="1">
      <c r="A9533" t="inlineStr">
        <is>
          <t>A 28964-2024</t>
        </is>
      </c>
      <c r="B9533" s="1" t="n">
        <v>45481.42923611111</v>
      </c>
      <c r="C9533" s="1" t="n">
        <v>46114</v>
      </c>
      <c r="D9533" t="inlineStr">
        <is>
          <t>DALARNAS LÄN</t>
        </is>
      </c>
      <c r="E9533" t="inlineStr">
        <is>
          <t>MORA</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15087-2026</t>
        </is>
      </c>
      <c r="B9534" s="1" t="n">
        <v>46105</v>
      </c>
      <c r="C9534" s="1" t="n">
        <v>46114</v>
      </c>
      <c r="D9534" t="inlineStr">
        <is>
          <t>DALARNAS LÄN</t>
        </is>
      </c>
      <c r="E9534" t="inlineStr">
        <is>
          <t>RÄTTVIK</t>
        </is>
      </c>
      <c r="F9534" t="inlineStr">
        <is>
          <t>Allmännings- och besparingsskogar</t>
        </is>
      </c>
      <c r="G9534" t="n">
        <v>42.9</v>
      </c>
      <c r="H9534" t="n">
        <v>0</v>
      </c>
      <c r="I9534" t="n">
        <v>0</v>
      </c>
      <c r="J9534" t="n">
        <v>0</v>
      </c>
      <c r="K9534" t="n">
        <v>0</v>
      </c>
      <c r="L9534" t="n">
        <v>0</v>
      </c>
      <c r="M9534" t="n">
        <v>0</v>
      </c>
      <c r="N9534" t="n">
        <v>0</v>
      </c>
      <c r="O9534" t="n">
        <v>0</v>
      </c>
      <c r="P9534" t="n">
        <v>0</v>
      </c>
      <c r="Q9534" t="n">
        <v>0</v>
      </c>
      <c r="R9534" s="2" t="inlineStr"/>
    </row>
    <row r="9535" ht="15" customHeight="1">
      <c r="A9535" t="inlineStr">
        <is>
          <t>A 15088-2026</t>
        </is>
      </c>
      <c r="B9535" s="1" t="n">
        <v>46105</v>
      </c>
      <c r="C9535" s="1" t="n">
        <v>46114</v>
      </c>
      <c r="D9535" t="inlineStr">
        <is>
          <t>DALARNAS LÄN</t>
        </is>
      </c>
      <c r="E9535" t="inlineStr">
        <is>
          <t>RÄTTVIK</t>
        </is>
      </c>
      <c r="F9535" t="inlineStr">
        <is>
          <t>Allmännings- och besparingsskogar</t>
        </is>
      </c>
      <c r="G9535" t="n">
        <v>19.4</v>
      </c>
      <c r="H9535" t="n">
        <v>0</v>
      </c>
      <c r="I9535" t="n">
        <v>0</v>
      </c>
      <c r="J9535" t="n">
        <v>0</v>
      </c>
      <c r="K9535" t="n">
        <v>0</v>
      </c>
      <c r="L9535" t="n">
        <v>0</v>
      </c>
      <c r="M9535" t="n">
        <v>0</v>
      </c>
      <c r="N9535" t="n">
        <v>0</v>
      </c>
      <c r="O9535" t="n">
        <v>0</v>
      </c>
      <c r="P9535" t="n">
        <v>0</v>
      </c>
      <c r="Q9535" t="n">
        <v>0</v>
      </c>
      <c r="R9535" s="2" t="inlineStr"/>
    </row>
    <row r="9536" ht="15" customHeight="1">
      <c r="A9536" t="inlineStr">
        <is>
          <t>A 48156-2023</t>
        </is>
      </c>
      <c r="B9536" s="1" t="n">
        <v>45201</v>
      </c>
      <c r="C9536" s="1" t="n">
        <v>46114</v>
      </c>
      <c r="D9536" t="inlineStr">
        <is>
          <t>DALARNAS LÄN</t>
        </is>
      </c>
      <c r="E9536" t="inlineStr">
        <is>
          <t>MALUNG-SÄLEN</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8120-2026</t>
        </is>
      </c>
      <c r="B9537" s="1" t="n">
        <v>46063.85922453704</v>
      </c>
      <c r="C9537" s="1" t="n">
        <v>46114</v>
      </c>
      <c r="D9537" t="inlineStr">
        <is>
          <t>DALARNAS LÄN</t>
        </is>
      </c>
      <c r="E9537" t="inlineStr">
        <is>
          <t>HEDEMORA</t>
        </is>
      </c>
      <c r="F9537" t="inlineStr">
        <is>
          <t>Sveaskog</t>
        </is>
      </c>
      <c r="G9537" t="n">
        <v>2</v>
      </c>
      <c r="H9537" t="n">
        <v>0</v>
      </c>
      <c r="I9537" t="n">
        <v>0</v>
      </c>
      <c r="J9537" t="n">
        <v>0</v>
      </c>
      <c r="K9537" t="n">
        <v>0</v>
      </c>
      <c r="L9537" t="n">
        <v>0</v>
      </c>
      <c r="M9537" t="n">
        <v>0</v>
      </c>
      <c r="N9537" t="n">
        <v>0</v>
      </c>
      <c r="O9537" t="n">
        <v>0</v>
      </c>
      <c r="P9537" t="n">
        <v>0</v>
      </c>
      <c r="Q9537" t="n">
        <v>0</v>
      </c>
      <c r="R9537" s="2" t="inlineStr"/>
    </row>
    <row r="9538" ht="15" customHeight="1">
      <c r="A9538" t="inlineStr">
        <is>
          <t>A 23461-2023</t>
        </is>
      </c>
      <c r="B9538" s="1" t="n">
        <v>45076</v>
      </c>
      <c r="C9538" s="1" t="n">
        <v>46114</v>
      </c>
      <c r="D9538" t="inlineStr">
        <is>
          <t>DALARNAS LÄN</t>
        </is>
      </c>
      <c r="E9538" t="inlineStr">
        <is>
          <t>ORSA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23478-2023</t>
        </is>
      </c>
      <c r="B9539" s="1" t="n">
        <v>45072</v>
      </c>
      <c r="C9539" s="1" t="n">
        <v>46114</v>
      </c>
      <c r="D9539" t="inlineStr">
        <is>
          <t>DALARNAS LÄN</t>
        </is>
      </c>
      <c r="E9539" t="inlineStr">
        <is>
          <t>RÄTTVIK</t>
        </is>
      </c>
      <c r="F9539" t="inlineStr">
        <is>
          <t>Övriga statliga verk och myndigheter</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9314-2024</t>
        </is>
      </c>
      <c r="B9540" s="1" t="n">
        <v>45358</v>
      </c>
      <c r="C9540" s="1" t="n">
        <v>46114</v>
      </c>
      <c r="D9540" t="inlineStr">
        <is>
          <t>DALARNAS LÄN</t>
        </is>
      </c>
      <c r="E9540" t="inlineStr">
        <is>
          <t>HEDEMORA</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8474-2026</t>
        </is>
      </c>
      <c r="B9541" s="1" t="n">
        <v>46065</v>
      </c>
      <c r="C9541" s="1" t="n">
        <v>46114</v>
      </c>
      <c r="D9541" t="inlineStr">
        <is>
          <t>DALARNAS LÄN</t>
        </is>
      </c>
      <c r="E9541" t="inlineStr">
        <is>
          <t>MORA</t>
        </is>
      </c>
      <c r="G9541" t="n">
        <v>4.7</v>
      </c>
      <c r="H9541" t="n">
        <v>0</v>
      </c>
      <c r="I9541" t="n">
        <v>0</v>
      </c>
      <c r="J9541" t="n">
        <v>0</v>
      </c>
      <c r="K9541" t="n">
        <v>0</v>
      </c>
      <c r="L9541" t="n">
        <v>0</v>
      </c>
      <c r="M9541" t="n">
        <v>0</v>
      </c>
      <c r="N9541" t="n">
        <v>0</v>
      </c>
      <c r="O9541" t="n">
        <v>0</v>
      </c>
      <c r="P9541" t="n">
        <v>0</v>
      </c>
      <c r="Q9541" t="n">
        <v>0</v>
      </c>
      <c r="R9541" s="2" t="inlineStr"/>
    </row>
    <row r="9542" ht="15" customHeight="1">
      <c r="A9542" t="inlineStr">
        <is>
          <t>A 15370-2026</t>
        </is>
      </c>
      <c r="B9542" s="1" t="n">
        <v>46105.87653935186</v>
      </c>
      <c r="C9542" s="1" t="n">
        <v>46114</v>
      </c>
      <c r="D9542" t="inlineStr">
        <is>
          <t>DALARNAS LÄN</t>
        </is>
      </c>
      <c r="E9542" t="inlineStr">
        <is>
          <t>SÄTER</t>
        </is>
      </c>
      <c r="F9542" t="inlineStr">
        <is>
          <t>Kommuner</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15408-2026</t>
        </is>
      </c>
      <c r="B9543" s="1" t="n">
        <v>46106.36674768518</v>
      </c>
      <c r="C9543" s="1" t="n">
        <v>46114</v>
      </c>
      <c r="D9543" t="inlineStr">
        <is>
          <t>DALARNAS LÄN</t>
        </is>
      </c>
      <c r="E9543" t="inlineStr">
        <is>
          <t>VANSBRO</t>
        </is>
      </c>
      <c r="F9543" t="inlineStr">
        <is>
          <t>Bergvik skog väst AB</t>
        </is>
      </c>
      <c r="G9543" t="n">
        <v>9</v>
      </c>
      <c r="H9543" t="n">
        <v>0</v>
      </c>
      <c r="I9543" t="n">
        <v>0</v>
      </c>
      <c r="J9543" t="n">
        <v>0</v>
      </c>
      <c r="K9543" t="n">
        <v>0</v>
      </c>
      <c r="L9543" t="n">
        <v>0</v>
      </c>
      <c r="M9543" t="n">
        <v>0</v>
      </c>
      <c r="N9543" t="n">
        <v>0</v>
      </c>
      <c r="O9543" t="n">
        <v>0</v>
      </c>
      <c r="P9543" t="n">
        <v>0</v>
      </c>
      <c r="Q9543" t="n">
        <v>0</v>
      </c>
      <c r="R9543" s="2" t="inlineStr"/>
    </row>
    <row r="9544" ht="15" customHeight="1">
      <c r="A9544" t="inlineStr">
        <is>
          <t>A 15413-2026</t>
        </is>
      </c>
      <c r="B9544" s="1" t="n">
        <v>46106.37025462963</v>
      </c>
      <c r="C9544" s="1" t="n">
        <v>46114</v>
      </c>
      <c r="D9544" t="inlineStr">
        <is>
          <t>DALARNAS LÄN</t>
        </is>
      </c>
      <c r="E9544" t="inlineStr">
        <is>
          <t>FALUN</t>
        </is>
      </c>
      <c r="F9544" t="inlineStr">
        <is>
          <t>Allmännings- och besparingsskogar</t>
        </is>
      </c>
      <c r="G9544" t="n">
        <v>4.6</v>
      </c>
      <c r="H9544" t="n">
        <v>0</v>
      </c>
      <c r="I9544" t="n">
        <v>0</v>
      </c>
      <c r="J9544" t="n">
        <v>0</v>
      </c>
      <c r="K9544" t="n">
        <v>0</v>
      </c>
      <c r="L9544" t="n">
        <v>0</v>
      </c>
      <c r="M9544" t="n">
        <v>0</v>
      </c>
      <c r="N9544" t="n">
        <v>0</v>
      </c>
      <c r="O9544" t="n">
        <v>0</v>
      </c>
      <c r="P9544" t="n">
        <v>0</v>
      </c>
      <c r="Q9544" t="n">
        <v>0</v>
      </c>
      <c r="R9544" s="2" t="inlineStr"/>
    </row>
    <row r="9545" ht="15" customHeight="1">
      <c r="A9545" t="inlineStr">
        <is>
          <t>A 15500-2026</t>
        </is>
      </c>
      <c r="B9545" s="1" t="n">
        <v>46106.46048611111</v>
      </c>
      <c r="C9545" s="1" t="n">
        <v>46114</v>
      </c>
      <c r="D9545" t="inlineStr">
        <is>
          <t>DALARNAS LÄN</t>
        </is>
      </c>
      <c r="E9545" t="inlineStr">
        <is>
          <t>RÄTTVIK</t>
        </is>
      </c>
      <c r="F9545" t="inlineStr">
        <is>
          <t>Bergvik skog väst AB</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10046-2026</t>
        </is>
      </c>
      <c r="B9546" s="1" t="n">
        <v>46073</v>
      </c>
      <c r="C9546" s="1" t="n">
        <v>46114</v>
      </c>
      <c r="D9546" t="inlineStr">
        <is>
          <t>DALARNAS LÄN</t>
        </is>
      </c>
      <c r="E9546" t="inlineStr">
        <is>
          <t>FALUN</t>
        </is>
      </c>
      <c r="F9546" t="inlineStr">
        <is>
          <t>Bergvik skog väst AB</t>
        </is>
      </c>
      <c r="G9546" t="n">
        <v>7.8</v>
      </c>
      <c r="H9546" t="n">
        <v>0</v>
      </c>
      <c r="I9546" t="n">
        <v>0</v>
      </c>
      <c r="J9546" t="n">
        <v>0</v>
      </c>
      <c r="K9546" t="n">
        <v>0</v>
      </c>
      <c r="L9546" t="n">
        <v>0</v>
      </c>
      <c r="M9546" t="n">
        <v>0</v>
      </c>
      <c r="N9546" t="n">
        <v>0</v>
      </c>
      <c r="O9546" t="n">
        <v>0</v>
      </c>
      <c r="P9546" t="n">
        <v>0</v>
      </c>
      <c r="Q9546" t="n">
        <v>0</v>
      </c>
      <c r="R9546" s="2" t="inlineStr"/>
    </row>
    <row r="9547" ht="15" customHeight="1">
      <c r="A9547" t="inlineStr">
        <is>
          <t>A 6230-2024</t>
        </is>
      </c>
      <c r="B9547" s="1" t="n">
        <v>45337</v>
      </c>
      <c r="C9547" s="1" t="n">
        <v>46114</v>
      </c>
      <c r="D9547" t="inlineStr">
        <is>
          <t>DALARNAS LÄN</t>
        </is>
      </c>
      <c r="E9547" t="inlineStr">
        <is>
          <t>ÄLVDALEN</t>
        </is>
      </c>
      <c r="G9547" t="n">
        <v>6.2</v>
      </c>
      <c r="H9547" t="n">
        <v>0</v>
      </c>
      <c r="I9547" t="n">
        <v>0</v>
      </c>
      <c r="J9547" t="n">
        <v>0</v>
      </c>
      <c r="K9547" t="n">
        <v>0</v>
      </c>
      <c r="L9547" t="n">
        <v>0</v>
      </c>
      <c r="M9547" t="n">
        <v>0</v>
      </c>
      <c r="N9547" t="n">
        <v>0</v>
      </c>
      <c r="O9547" t="n">
        <v>0</v>
      </c>
      <c r="P9547" t="n">
        <v>0</v>
      </c>
      <c r="Q9547" t="n">
        <v>0</v>
      </c>
      <c r="R9547" s="2" t="inlineStr"/>
    </row>
    <row r="9548" ht="15" customHeight="1">
      <c r="A9548" t="inlineStr">
        <is>
          <t>A 4887-2024</t>
        </is>
      </c>
      <c r="B9548" s="1" t="n">
        <v>45329</v>
      </c>
      <c r="C9548" s="1" t="n">
        <v>46114</v>
      </c>
      <c r="D9548" t="inlineStr">
        <is>
          <t>DALARNAS LÄN</t>
        </is>
      </c>
      <c r="E9548" t="inlineStr">
        <is>
          <t>FALUN</t>
        </is>
      </c>
      <c r="G9548" t="n">
        <v>9.699999999999999</v>
      </c>
      <c r="H9548" t="n">
        <v>0</v>
      </c>
      <c r="I9548" t="n">
        <v>0</v>
      </c>
      <c r="J9548" t="n">
        <v>0</v>
      </c>
      <c r="K9548" t="n">
        <v>0</v>
      </c>
      <c r="L9548" t="n">
        <v>0</v>
      </c>
      <c r="M9548" t="n">
        <v>0</v>
      </c>
      <c r="N9548" t="n">
        <v>0</v>
      </c>
      <c r="O9548" t="n">
        <v>0</v>
      </c>
      <c r="P9548" t="n">
        <v>0</v>
      </c>
      <c r="Q9548" t="n">
        <v>0</v>
      </c>
      <c r="R9548" s="2" t="inlineStr"/>
    </row>
    <row r="9549" ht="15" customHeight="1">
      <c r="A9549" t="inlineStr">
        <is>
          <t>A 8557-2026</t>
        </is>
      </c>
      <c r="B9549" s="1" t="n">
        <v>46065.6375462963</v>
      </c>
      <c r="C9549" s="1" t="n">
        <v>46114</v>
      </c>
      <c r="D9549" t="inlineStr">
        <is>
          <t>DALARNAS LÄN</t>
        </is>
      </c>
      <c r="E9549" t="inlineStr">
        <is>
          <t>FALUN</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8559-2026</t>
        </is>
      </c>
      <c r="B9550" s="1" t="n">
        <v>46065</v>
      </c>
      <c r="C9550" s="1" t="n">
        <v>46114</v>
      </c>
      <c r="D9550" t="inlineStr">
        <is>
          <t>DALARNAS LÄN</t>
        </is>
      </c>
      <c r="E9550" t="inlineStr">
        <is>
          <t>RÄTTVIK</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15571-2026</t>
        </is>
      </c>
      <c r="B9551" s="1" t="n">
        <v>46106.55452546296</v>
      </c>
      <c r="C9551" s="1" t="n">
        <v>46114</v>
      </c>
      <c r="D9551" t="inlineStr">
        <is>
          <t>DALARNAS LÄN</t>
        </is>
      </c>
      <c r="E9551" t="inlineStr">
        <is>
          <t>LEKSAND</t>
        </is>
      </c>
      <c r="F9551" t="inlineStr">
        <is>
          <t>Bergvik skog väst AB</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15589-2026</t>
        </is>
      </c>
      <c r="B9552" s="1" t="n">
        <v>46106.57652777778</v>
      </c>
      <c r="C9552" s="1" t="n">
        <v>46114</v>
      </c>
      <c r="D9552" t="inlineStr">
        <is>
          <t>DALARNAS LÄN</t>
        </is>
      </c>
      <c r="E9552" t="inlineStr">
        <is>
          <t>RÄTTVIK</t>
        </is>
      </c>
      <c r="F9552" t="inlineStr">
        <is>
          <t>Bergvik skog väst AB</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33520-2024</t>
        </is>
      </c>
      <c r="B9553" s="1" t="n">
        <v>45519.65722222222</v>
      </c>
      <c r="C9553" s="1" t="n">
        <v>46114</v>
      </c>
      <c r="D9553" t="inlineStr">
        <is>
          <t>DALARNAS LÄN</t>
        </is>
      </c>
      <c r="E9553" t="inlineStr">
        <is>
          <t>VANSBRO</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15650-2026</t>
        </is>
      </c>
      <c r="B9554" s="1" t="n">
        <v>46106.65469907408</v>
      </c>
      <c r="C9554" s="1" t="n">
        <v>46114</v>
      </c>
      <c r="D9554" t="inlineStr">
        <is>
          <t>DALARNAS LÄN</t>
        </is>
      </c>
      <c r="E9554" t="inlineStr">
        <is>
          <t>RÄTTVIK</t>
        </is>
      </c>
      <c r="F9554" t="inlineStr">
        <is>
          <t>Sveaskog</t>
        </is>
      </c>
      <c r="G9554" t="n">
        <v>2.5</v>
      </c>
      <c r="H9554" t="n">
        <v>0</v>
      </c>
      <c r="I9554" t="n">
        <v>0</v>
      </c>
      <c r="J9554" t="n">
        <v>0</v>
      </c>
      <c r="K9554" t="n">
        <v>0</v>
      </c>
      <c r="L9554" t="n">
        <v>0</v>
      </c>
      <c r="M9554" t="n">
        <v>0</v>
      </c>
      <c r="N9554" t="n">
        <v>0</v>
      </c>
      <c r="O9554" t="n">
        <v>0</v>
      </c>
      <c r="P9554" t="n">
        <v>0</v>
      </c>
      <c r="Q9554" t="n">
        <v>0</v>
      </c>
      <c r="R9554" s="2" t="inlineStr"/>
    </row>
    <row r="9555" ht="15" customHeight="1">
      <c r="A9555" t="inlineStr">
        <is>
          <t>A 4841-2024</t>
        </is>
      </c>
      <c r="B9555" s="1" t="n">
        <v>45329.35387731482</v>
      </c>
      <c r="C9555" s="1" t="n">
        <v>46114</v>
      </c>
      <c r="D9555" t="inlineStr">
        <is>
          <t>DALARNAS LÄN</t>
        </is>
      </c>
      <c r="E9555" t="inlineStr">
        <is>
          <t>RÄTTVIK</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15657-2026</t>
        </is>
      </c>
      <c r="B9556" s="1" t="n">
        <v>46106.66402777778</v>
      </c>
      <c r="C9556" s="1" t="n">
        <v>46114</v>
      </c>
      <c r="D9556" t="inlineStr">
        <is>
          <t>DALARNAS LÄN</t>
        </is>
      </c>
      <c r="E9556" t="inlineStr">
        <is>
          <t>ORSA</t>
        </is>
      </c>
      <c r="G9556" t="n">
        <v>1.6</v>
      </c>
      <c r="H9556" t="n">
        <v>0</v>
      </c>
      <c r="I9556" t="n">
        <v>0</v>
      </c>
      <c r="J9556" t="n">
        <v>0</v>
      </c>
      <c r="K9556" t="n">
        <v>0</v>
      </c>
      <c r="L9556" t="n">
        <v>0</v>
      </c>
      <c r="M9556" t="n">
        <v>0</v>
      </c>
      <c r="N9556" t="n">
        <v>0</v>
      </c>
      <c r="O9556" t="n">
        <v>0</v>
      </c>
      <c r="P9556" t="n">
        <v>0</v>
      </c>
      <c r="Q9556" t="n">
        <v>0</v>
      </c>
      <c r="R9556" s="2" t="inlineStr"/>
    </row>
    <row r="9557" ht="15" customHeight="1">
      <c r="A9557" t="inlineStr">
        <is>
          <t>A 15673-2026</t>
        </is>
      </c>
      <c r="B9557" s="1" t="n">
        <v>46106.74608796297</v>
      </c>
      <c r="C9557" s="1" t="n">
        <v>46114</v>
      </c>
      <c r="D9557" t="inlineStr">
        <is>
          <t>DALARNAS LÄN</t>
        </is>
      </c>
      <c r="E9557" t="inlineStr">
        <is>
          <t>FALUN</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15548-2026</t>
        </is>
      </c>
      <c r="B9558" s="1" t="n">
        <v>46106.52621527778</v>
      </c>
      <c r="C9558" s="1" t="n">
        <v>46114</v>
      </c>
      <c r="D9558" t="inlineStr">
        <is>
          <t>DALARNAS LÄN</t>
        </is>
      </c>
      <c r="E9558" t="inlineStr">
        <is>
          <t>GAGNEF</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15550-2026</t>
        </is>
      </c>
      <c r="B9559" s="1" t="n">
        <v>46106.5265162037</v>
      </c>
      <c r="C9559" s="1" t="n">
        <v>46114</v>
      </c>
      <c r="D9559" t="inlineStr">
        <is>
          <t>DALARNAS LÄN</t>
        </is>
      </c>
      <c r="E9559" t="inlineStr">
        <is>
          <t>FALUN</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15573-2026</t>
        </is>
      </c>
      <c r="B9560" s="1" t="n">
        <v>46106</v>
      </c>
      <c r="C9560" s="1" t="n">
        <v>46114</v>
      </c>
      <c r="D9560" t="inlineStr">
        <is>
          <t>DALARNAS LÄN</t>
        </is>
      </c>
      <c r="E9560" t="inlineStr">
        <is>
          <t>RÄTTVIK</t>
        </is>
      </c>
      <c r="F9560" t="inlineStr">
        <is>
          <t>Bergvik skog väst AB</t>
        </is>
      </c>
      <c r="G9560" t="n">
        <v>20</v>
      </c>
      <c r="H9560" t="n">
        <v>0</v>
      </c>
      <c r="I9560" t="n">
        <v>0</v>
      </c>
      <c r="J9560" t="n">
        <v>0</v>
      </c>
      <c r="K9560" t="n">
        <v>0</v>
      </c>
      <c r="L9560" t="n">
        <v>0</v>
      </c>
      <c r="M9560" t="n">
        <v>0</v>
      </c>
      <c r="N9560" t="n">
        <v>0</v>
      </c>
      <c r="O9560" t="n">
        <v>0</v>
      </c>
      <c r="P9560" t="n">
        <v>0</v>
      </c>
      <c r="Q9560" t="n">
        <v>0</v>
      </c>
      <c r="R9560" s="2" t="inlineStr"/>
    </row>
    <row r="9561" ht="15" customHeight="1">
      <c r="A9561" t="inlineStr">
        <is>
          <t>A 15628-2026</t>
        </is>
      </c>
      <c r="B9561" s="1" t="n">
        <v>46106.61641203704</v>
      </c>
      <c r="C9561" s="1" t="n">
        <v>46114</v>
      </c>
      <c r="D9561" t="inlineStr">
        <is>
          <t>DALARNAS LÄN</t>
        </is>
      </c>
      <c r="E9561" t="inlineStr">
        <is>
          <t>ORSA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15649-2026</t>
        </is>
      </c>
      <c r="B9562" s="1" t="n">
        <v>46106.65184027778</v>
      </c>
      <c r="C9562" s="1" t="n">
        <v>46114</v>
      </c>
      <c r="D9562" t="inlineStr">
        <is>
          <t>DALARNAS LÄN</t>
        </is>
      </c>
      <c r="E9562" t="inlineStr">
        <is>
          <t>HEDEMORA</t>
        </is>
      </c>
      <c r="F9562" t="inlineStr">
        <is>
          <t>Sveaskog</t>
        </is>
      </c>
      <c r="G9562" t="n">
        <v>10.4</v>
      </c>
      <c r="H9562" t="n">
        <v>0</v>
      </c>
      <c r="I9562" t="n">
        <v>0</v>
      </c>
      <c r="J9562" t="n">
        <v>0</v>
      </c>
      <c r="K9562" t="n">
        <v>0</v>
      </c>
      <c r="L9562" t="n">
        <v>0</v>
      </c>
      <c r="M9562" t="n">
        <v>0</v>
      </c>
      <c r="N9562" t="n">
        <v>0</v>
      </c>
      <c r="O9562" t="n">
        <v>0</v>
      </c>
      <c r="P9562" t="n">
        <v>0</v>
      </c>
      <c r="Q9562" t="n">
        <v>0</v>
      </c>
      <c r="R9562" s="2" t="inlineStr"/>
    </row>
    <row r="9563" ht="15" customHeight="1">
      <c r="A9563" t="inlineStr">
        <is>
          <t>A 8524-2026</t>
        </is>
      </c>
      <c r="B9563" s="1" t="n">
        <v>46065.58650462963</v>
      </c>
      <c r="C9563" s="1" t="n">
        <v>46114</v>
      </c>
      <c r="D9563" t="inlineStr">
        <is>
          <t>DALARNAS LÄN</t>
        </is>
      </c>
      <c r="E9563" t="inlineStr">
        <is>
          <t>SÄTER</t>
        </is>
      </c>
      <c r="G9563" t="n">
        <v>23.9</v>
      </c>
      <c r="H9563" t="n">
        <v>0</v>
      </c>
      <c r="I9563" t="n">
        <v>0</v>
      </c>
      <c r="J9563" t="n">
        <v>0</v>
      </c>
      <c r="K9563" t="n">
        <v>0</v>
      </c>
      <c r="L9563" t="n">
        <v>0</v>
      </c>
      <c r="M9563" t="n">
        <v>0</v>
      </c>
      <c r="N9563" t="n">
        <v>0</v>
      </c>
      <c r="O9563" t="n">
        <v>0</v>
      </c>
      <c r="P9563" t="n">
        <v>0</v>
      </c>
      <c r="Q9563" t="n">
        <v>0</v>
      </c>
      <c r="R9563" s="2" t="inlineStr"/>
    </row>
    <row r="9564" ht="15" customHeight="1">
      <c r="A9564" t="inlineStr">
        <is>
          <t>A 16157-2024</t>
        </is>
      </c>
      <c r="B9564" s="1" t="n">
        <v>45406.58510416667</v>
      </c>
      <c r="C9564" s="1" t="n">
        <v>46114</v>
      </c>
      <c r="D9564" t="inlineStr">
        <is>
          <t>DALARNAS LÄN</t>
        </is>
      </c>
      <c r="E9564" t="inlineStr">
        <is>
          <t>MALUNG-SÄLEN</t>
        </is>
      </c>
      <c r="G9564" t="n">
        <v>2.5</v>
      </c>
      <c r="H9564" t="n">
        <v>0</v>
      </c>
      <c r="I9564" t="n">
        <v>0</v>
      </c>
      <c r="J9564" t="n">
        <v>0</v>
      </c>
      <c r="K9564" t="n">
        <v>0</v>
      </c>
      <c r="L9564" t="n">
        <v>0</v>
      </c>
      <c r="M9564" t="n">
        <v>0</v>
      </c>
      <c r="N9564" t="n">
        <v>0</v>
      </c>
      <c r="O9564" t="n">
        <v>0</v>
      </c>
      <c r="P9564" t="n">
        <v>0</v>
      </c>
      <c r="Q9564" t="n">
        <v>0</v>
      </c>
      <c r="R9564" s="2" t="inlineStr"/>
    </row>
    <row r="9565" ht="15" customHeight="1">
      <c r="A9565" t="inlineStr">
        <is>
          <t>A 19597-2024</t>
        </is>
      </c>
      <c r="B9565" s="1" t="n">
        <v>45430.60167824074</v>
      </c>
      <c r="C9565" s="1" t="n">
        <v>46114</v>
      </c>
      <c r="D9565" t="inlineStr">
        <is>
          <t>DALARNAS LÄN</t>
        </is>
      </c>
      <c r="E9565" t="inlineStr">
        <is>
          <t>MALUNG-SÄLEN</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15641-2026</t>
        </is>
      </c>
      <c r="B9566" s="1" t="n">
        <v>46106.63815972222</v>
      </c>
      <c r="C9566" s="1" t="n">
        <v>46114</v>
      </c>
      <c r="D9566" t="inlineStr">
        <is>
          <t>DALARNAS LÄN</t>
        </is>
      </c>
      <c r="E9566" t="inlineStr">
        <is>
          <t>LEKSAND</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15703-2026</t>
        </is>
      </c>
      <c r="B9567" s="1" t="n">
        <v>46107.34846064815</v>
      </c>
      <c r="C9567" s="1" t="n">
        <v>46114</v>
      </c>
      <c r="D9567" t="inlineStr">
        <is>
          <t>DALARNAS LÄN</t>
        </is>
      </c>
      <c r="E9567" t="inlineStr">
        <is>
          <t>FALUN</t>
        </is>
      </c>
      <c r="F9567" t="inlineStr">
        <is>
          <t>Bergvik skog väst AB</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15742-2026</t>
        </is>
      </c>
      <c r="B9568" s="1" t="n">
        <v>46107.41653935185</v>
      </c>
      <c r="C9568" s="1" t="n">
        <v>46114</v>
      </c>
      <c r="D9568" t="inlineStr">
        <is>
          <t>DALARNAS LÄN</t>
        </is>
      </c>
      <c r="E9568" t="inlineStr">
        <is>
          <t>RÄTTVIK</t>
        </is>
      </c>
      <c r="F9568" t="inlineStr">
        <is>
          <t>Bergvik skog väst AB</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56882-2022</t>
        </is>
      </c>
      <c r="B9569" s="1" t="n">
        <v>44894</v>
      </c>
      <c r="C9569" s="1" t="n">
        <v>46114</v>
      </c>
      <c r="D9569" t="inlineStr">
        <is>
          <t>DALARNAS LÄN</t>
        </is>
      </c>
      <c r="E9569" t="inlineStr">
        <is>
          <t>ÄLVDALEN</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60301-2024</t>
        </is>
      </c>
      <c r="B9570" s="1" t="n">
        <v>45643.32780092592</v>
      </c>
      <c r="C9570" s="1" t="n">
        <v>46114</v>
      </c>
      <c r="D9570" t="inlineStr">
        <is>
          <t>DALARNAS LÄN</t>
        </is>
      </c>
      <c r="E9570" t="inlineStr">
        <is>
          <t>BORLÄNGE</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15943-2026</t>
        </is>
      </c>
      <c r="B9571" s="1" t="n">
        <v>46107.71689814814</v>
      </c>
      <c r="C9571" s="1" t="n">
        <v>46114</v>
      </c>
      <c r="D9571" t="inlineStr">
        <is>
          <t>DALARNAS LÄN</t>
        </is>
      </c>
      <c r="E9571" t="inlineStr">
        <is>
          <t>GAGNEF</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55882-2023</t>
        </is>
      </c>
      <c r="B9572" s="1" t="n">
        <v>45239</v>
      </c>
      <c r="C9572" s="1" t="n">
        <v>46114</v>
      </c>
      <c r="D9572" t="inlineStr">
        <is>
          <t>DALARNAS LÄN</t>
        </is>
      </c>
      <c r="E9572" t="inlineStr">
        <is>
          <t>HEDEMORA</t>
        </is>
      </c>
      <c r="F9572" t="inlineStr">
        <is>
          <t>Sveaskog</t>
        </is>
      </c>
      <c r="G9572" t="n">
        <v>5.2</v>
      </c>
      <c r="H9572" t="n">
        <v>0</v>
      </c>
      <c r="I9572" t="n">
        <v>0</v>
      </c>
      <c r="J9572" t="n">
        <v>0</v>
      </c>
      <c r="K9572" t="n">
        <v>0</v>
      </c>
      <c r="L9572" t="n">
        <v>0</v>
      </c>
      <c r="M9572" t="n">
        <v>0</v>
      </c>
      <c r="N9572" t="n">
        <v>0</v>
      </c>
      <c r="O9572" t="n">
        <v>0</v>
      </c>
      <c r="P9572" t="n">
        <v>0</v>
      </c>
      <c r="Q9572" t="n">
        <v>0</v>
      </c>
      <c r="R9572" s="2" t="inlineStr"/>
    </row>
    <row r="9573" ht="15" customHeight="1">
      <c r="A9573" t="inlineStr">
        <is>
          <t>A 14317-2026</t>
        </is>
      </c>
      <c r="B9573" s="1" t="n">
        <v>46099</v>
      </c>
      <c r="C9573" s="1" t="n">
        <v>46114</v>
      </c>
      <c r="D9573" t="inlineStr">
        <is>
          <t>DALARNAS LÄN</t>
        </is>
      </c>
      <c r="E9573" t="inlineStr">
        <is>
          <t>RÄTTVIK</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20008-2023</t>
        </is>
      </c>
      <c r="B9574" s="1" t="n">
        <v>45054.62822916666</v>
      </c>
      <c r="C9574" s="1" t="n">
        <v>46114</v>
      </c>
      <c r="D9574" t="inlineStr">
        <is>
          <t>DALARNAS LÄN</t>
        </is>
      </c>
      <c r="E9574" t="inlineStr">
        <is>
          <t>BORLÄNGE</t>
        </is>
      </c>
      <c r="G9574" t="n">
        <v>0.5</v>
      </c>
      <c r="H9574" t="n">
        <v>0</v>
      </c>
      <c r="I9574" t="n">
        <v>0</v>
      </c>
      <c r="J9574" t="n">
        <v>0</v>
      </c>
      <c r="K9574" t="n">
        <v>0</v>
      </c>
      <c r="L9574" t="n">
        <v>0</v>
      </c>
      <c r="M9574" t="n">
        <v>0</v>
      </c>
      <c r="N9574" t="n">
        <v>0</v>
      </c>
      <c r="O9574" t="n">
        <v>0</v>
      </c>
      <c r="P9574" t="n">
        <v>0</v>
      </c>
      <c r="Q9574" t="n">
        <v>0</v>
      </c>
      <c r="R9574" s="2" t="inlineStr"/>
    </row>
    <row r="9575" ht="15" customHeight="1">
      <c r="A9575" t="inlineStr">
        <is>
          <t>A 8335-2026</t>
        </is>
      </c>
      <c r="B9575" s="1" t="n">
        <v>46064.63084490741</v>
      </c>
      <c r="C9575" s="1" t="n">
        <v>46114</v>
      </c>
      <c r="D9575" t="inlineStr">
        <is>
          <t>DALARNAS LÄN</t>
        </is>
      </c>
      <c r="E9575" t="inlineStr">
        <is>
          <t>MALUNG-SÄLEN</t>
        </is>
      </c>
      <c r="G9575" t="n">
        <v>2.7</v>
      </c>
      <c r="H9575" t="n">
        <v>0</v>
      </c>
      <c r="I9575" t="n">
        <v>0</v>
      </c>
      <c r="J9575" t="n">
        <v>0</v>
      </c>
      <c r="K9575" t="n">
        <v>0</v>
      </c>
      <c r="L9575" t="n">
        <v>0</v>
      </c>
      <c r="M9575" t="n">
        <v>0</v>
      </c>
      <c r="N9575" t="n">
        <v>0</v>
      </c>
      <c r="O9575" t="n">
        <v>0</v>
      </c>
      <c r="P9575" t="n">
        <v>0</v>
      </c>
      <c r="Q9575" t="n">
        <v>0</v>
      </c>
      <c r="R9575" s="2" t="inlineStr"/>
    </row>
    <row r="9576" ht="15" customHeight="1">
      <c r="A9576" t="inlineStr">
        <is>
          <t>A 8368-2026</t>
        </is>
      </c>
      <c r="B9576" s="1" t="n">
        <v>46064</v>
      </c>
      <c r="C9576" s="1" t="n">
        <v>46114</v>
      </c>
      <c r="D9576" t="inlineStr">
        <is>
          <t>DALARNAS LÄN</t>
        </is>
      </c>
      <c r="E9576" t="inlineStr">
        <is>
          <t>FALUN</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15509-2026</t>
        </is>
      </c>
      <c r="B9577" s="1" t="n">
        <v>46106.46715277778</v>
      </c>
      <c r="C9577" s="1" t="n">
        <v>46114</v>
      </c>
      <c r="D9577" t="inlineStr">
        <is>
          <t>DALARNAS LÄN</t>
        </is>
      </c>
      <c r="E9577" t="inlineStr">
        <is>
          <t>FALUN</t>
        </is>
      </c>
      <c r="F9577" t="inlineStr">
        <is>
          <t>Bergvik skog väst AB</t>
        </is>
      </c>
      <c r="G9577" t="n">
        <v>0.8</v>
      </c>
      <c r="H9577" t="n">
        <v>0</v>
      </c>
      <c r="I9577" t="n">
        <v>0</v>
      </c>
      <c r="J9577" t="n">
        <v>0</v>
      </c>
      <c r="K9577" t="n">
        <v>0</v>
      </c>
      <c r="L9577" t="n">
        <v>0</v>
      </c>
      <c r="M9577" t="n">
        <v>0</v>
      </c>
      <c r="N9577" t="n">
        <v>0</v>
      </c>
      <c r="O9577" t="n">
        <v>0</v>
      </c>
      <c r="P9577" t="n">
        <v>0</v>
      </c>
      <c r="Q9577" t="n">
        <v>0</v>
      </c>
      <c r="R9577" s="2" t="inlineStr"/>
    </row>
    <row r="9578" ht="15" customHeight="1">
      <c r="A9578" t="inlineStr">
        <is>
          <t>A 24353-2024</t>
        </is>
      </c>
      <c r="B9578" s="1" t="n">
        <v>45457.59245370371</v>
      </c>
      <c r="C9578" s="1" t="n">
        <v>46114</v>
      </c>
      <c r="D9578" t="inlineStr">
        <is>
          <t>DALARNAS LÄN</t>
        </is>
      </c>
      <c r="E9578" t="inlineStr">
        <is>
          <t>MALUNG-SÄLEN</t>
        </is>
      </c>
      <c r="F9578" t="inlineStr">
        <is>
          <t>Bergvik skog öst AB</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8323-2026</t>
        </is>
      </c>
      <c r="B9579" s="1" t="n">
        <v>46064.61145833333</v>
      </c>
      <c r="C9579" s="1" t="n">
        <v>46114</v>
      </c>
      <c r="D9579" t="inlineStr">
        <is>
          <t>DALARNAS LÄN</t>
        </is>
      </c>
      <c r="E9579" t="inlineStr">
        <is>
          <t>SÄTER</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10222-2026</t>
        </is>
      </c>
      <c r="B9580" s="1" t="n">
        <v>46076</v>
      </c>
      <c r="C9580" s="1" t="n">
        <v>46114</v>
      </c>
      <c r="D9580" t="inlineStr">
        <is>
          <t>DALARNAS LÄN</t>
        </is>
      </c>
      <c r="E9580" t="inlineStr">
        <is>
          <t>SÄTER</t>
        </is>
      </c>
      <c r="G9580" t="n">
        <v>15.2</v>
      </c>
      <c r="H9580" t="n">
        <v>0</v>
      </c>
      <c r="I9580" t="n">
        <v>0</v>
      </c>
      <c r="J9580" t="n">
        <v>0</v>
      </c>
      <c r="K9580" t="n">
        <v>0</v>
      </c>
      <c r="L9580" t="n">
        <v>0</v>
      </c>
      <c r="M9580" t="n">
        <v>0</v>
      </c>
      <c r="N9580" t="n">
        <v>0</v>
      </c>
      <c r="O9580" t="n">
        <v>0</v>
      </c>
      <c r="P9580" t="n">
        <v>0</v>
      </c>
      <c r="Q9580" t="n">
        <v>0</v>
      </c>
      <c r="R9580" s="2" t="inlineStr"/>
    </row>
    <row r="9581" ht="15" customHeight="1">
      <c r="A9581" t="inlineStr">
        <is>
          <t>A 11425-2026</t>
        </is>
      </c>
      <c r="B9581" s="1" t="n">
        <v>46083</v>
      </c>
      <c r="C9581" s="1" t="n">
        <v>46114</v>
      </c>
      <c r="D9581" t="inlineStr">
        <is>
          <t>DALARNAS LÄN</t>
        </is>
      </c>
      <c r="E9581" t="inlineStr">
        <is>
          <t>FALUN</t>
        </is>
      </c>
      <c r="F9581" t="inlineStr">
        <is>
          <t>Bergvik skog väst AB</t>
        </is>
      </c>
      <c r="G9581" t="n">
        <v>8.5</v>
      </c>
      <c r="H9581" t="n">
        <v>0</v>
      </c>
      <c r="I9581" t="n">
        <v>0</v>
      </c>
      <c r="J9581" t="n">
        <v>0</v>
      </c>
      <c r="K9581" t="n">
        <v>0</v>
      </c>
      <c r="L9581" t="n">
        <v>0</v>
      </c>
      <c r="M9581" t="n">
        <v>0</v>
      </c>
      <c r="N9581" t="n">
        <v>0</v>
      </c>
      <c r="O9581" t="n">
        <v>0</v>
      </c>
      <c r="P9581" t="n">
        <v>0</v>
      </c>
      <c r="Q9581" t="n">
        <v>0</v>
      </c>
      <c r="R9581" s="2" t="inlineStr"/>
    </row>
    <row r="9582" ht="15" customHeight="1">
      <c r="A9582" t="inlineStr">
        <is>
          <t>A 40007-2024</t>
        </is>
      </c>
      <c r="B9582" s="1" t="n">
        <v>45553.6516550926</v>
      </c>
      <c r="C9582" s="1" t="n">
        <v>46114</v>
      </c>
      <c r="D9582" t="inlineStr">
        <is>
          <t>DALARNAS LÄN</t>
        </is>
      </c>
      <c r="E9582" t="inlineStr">
        <is>
          <t>LEKSAND</t>
        </is>
      </c>
      <c r="F9582" t="inlineStr">
        <is>
          <t>Bergvik skog väst AB</t>
        </is>
      </c>
      <c r="G9582" t="n">
        <v>3.2</v>
      </c>
      <c r="H9582" t="n">
        <v>0</v>
      </c>
      <c r="I9582" t="n">
        <v>0</v>
      </c>
      <c r="J9582" t="n">
        <v>0</v>
      </c>
      <c r="K9582" t="n">
        <v>0</v>
      </c>
      <c r="L9582" t="n">
        <v>0</v>
      </c>
      <c r="M9582" t="n">
        <v>0</v>
      </c>
      <c r="N9582" t="n">
        <v>0</v>
      </c>
      <c r="O9582" t="n">
        <v>0</v>
      </c>
      <c r="P9582" t="n">
        <v>0</v>
      </c>
      <c r="Q9582" t="n">
        <v>0</v>
      </c>
      <c r="R9582" s="2" t="inlineStr"/>
    </row>
    <row r="9583" ht="15" customHeight="1">
      <c r="A9583" t="inlineStr">
        <is>
          <t>A 12238-2026</t>
        </is>
      </c>
      <c r="B9583" s="1" t="n">
        <v>46087</v>
      </c>
      <c r="C9583" s="1" t="n">
        <v>46114</v>
      </c>
      <c r="D9583" t="inlineStr">
        <is>
          <t>DALARNAS LÄN</t>
        </is>
      </c>
      <c r="E9583" t="inlineStr">
        <is>
          <t>BORLÄNGE</t>
        </is>
      </c>
      <c r="G9583" t="n">
        <v>4.9</v>
      </c>
      <c r="H9583" t="n">
        <v>0</v>
      </c>
      <c r="I9583" t="n">
        <v>0</v>
      </c>
      <c r="J9583" t="n">
        <v>0</v>
      </c>
      <c r="K9583" t="n">
        <v>0</v>
      </c>
      <c r="L9583" t="n">
        <v>0</v>
      </c>
      <c r="M9583" t="n">
        <v>0</v>
      </c>
      <c r="N9583" t="n">
        <v>0</v>
      </c>
      <c r="O9583" t="n">
        <v>0</v>
      </c>
      <c r="P9583" t="n">
        <v>0</v>
      </c>
      <c r="Q9583" t="n">
        <v>0</v>
      </c>
      <c r="R9583" s="2" t="inlineStr"/>
    </row>
    <row r="9584" ht="15" customHeight="1">
      <c r="A9584" t="inlineStr">
        <is>
          <t>A 12244-2026</t>
        </is>
      </c>
      <c r="B9584" s="1" t="n">
        <v>46087</v>
      </c>
      <c r="C9584" s="1" t="n">
        <v>46114</v>
      </c>
      <c r="D9584" t="inlineStr">
        <is>
          <t>DALARNAS LÄN</t>
        </is>
      </c>
      <c r="E9584" t="inlineStr">
        <is>
          <t>BORLÄNGE</t>
        </is>
      </c>
      <c r="F9584" t="inlineStr">
        <is>
          <t>Bergvik skog väst AB</t>
        </is>
      </c>
      <c r="G9584" t="n">
        <v>4</v>
      </c>
      <c r="H9584" t="n">
        <v>0</v>
      </c>
      <c r="I9584" t="n">
        <v>0</v>
      </c>
      <c r="J9584" t="n">
        <v>0</v>
      </c>
      <c r="K9584" t="n">
        <v>0</v>
      </c>
      <c r="L9584" t="n">
        <v>0</v>
      </c>
      <c r="M9584" t="n">
        <v>0</v>
      </c>
      <c r="N9584" t="n">
        <v>0</v>
      </c>
      <c r="O9584" t="n">
        <v>0</v>
      </c>
      <c r="P9584" t="n">
        <v>0</v>
      </c>
      <c r="Q9584" t="n">
        <v>0</v>
      </c>
      <c r="R9584" s="2" t="inlineStr"/>
    </row>
    <row r="9585" ht="15" customHeight="1">
      <c r="A9585" t="inlineStr">
        <is>
          <t>A 57427-2022</t>
        </is>
      </c>
      <c r="B9585" s="1" t="n">
        <v>44896</v>
      </c>
      <c r="C9585" s="1" t="n">
        <v>46114</v>
      </c>
      <c r="D9585" t="inlineStr">
        <is>
          <t>DALARNAS LÄN</t>
        </is>
      </c>
      <c r="E9585" t="inlineStr">
        <is>
          <t>SÄTER</t>
        </is>
      </c>
      <c r="G9585" t="n">
        <v>3.3</v>
      </c>
      <c r="H9585" t="n">
        <v>0</v>
      </c>
      <c r="I9585" t="n">
        <v>0</v>
      </c>
      <c r="J9585" t="n">
        <v>0</v>
      </c>
      <c r="K9585" t="n">
        <v>0</v>
      </c>
      <c r="L9585" t="n">
        <v>0</v>
      </c>
      <c r="M9585" t="n">
        <v>0</v>
      </c>
      <c r="N9585" t="n">
        <v>0</v>
      </c>
      <c r="O9585" t="n">
        <v>0</v>
      </c>
      <c r="P9585" t="n">
        <v>0</v>
      </c>
      <c r="Q9585" t="n">
        <v>0</v>
      </c>
      <c r="R9585" s="2" t="inlineStr"/>
    </row>
    <row r="9586" ht="15" customHeight="1">
      <c r="A9586" t="inlineStr">
        <is>
          <t>A 15450-2026</t>
        </is>
      </c>
      <c r="B9586" s="1" t="n">
        <v>46106.4122337963</v>
      </c>
      <c r="C9586" s="1" t="n">
        <v>46114</v>
      </c>
      <c r="D9586" t="inlineStr">
        <is>
          <t>DALARNAS LÄN</t>
        </is>
      </c>
      <c r="E9586" t="inlineStr">
        <is>
          <t>ÄLVDALEN</t>
        </is>
      </c>
      <c r="F9586" t="inlineStr">
        <is>
          <t>Allmännings- och besparingsskogar</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15526-2026</t>
        </is>
      </c>
      <c r="B9587" s="1" t="n">
        <v>46106.48422453704</v>
      </c>
      <c r="C9587" s="1" t="n">
        <v>46114</v>
      </c>
      <c r="D9587" t="inlineStr">
        <is>
          <t>DALARNAS LÄN</t>
        </is>
      </c>
      <c r="E9587" t="inlineStr">
        <is>
          <t>SMEDJEBACKEN</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15530-2026</t>
        </is>
      </c>
      <c r="B9588" s="1" t="n">
        <v>46106.48829861111</v>
      </c>
      <c r="C9588" s="1" t="n">
        <v>46114</v>
      </c>
      <c r="D9588" t="inlineStr">
        <is>
          <t>DALARNAS LÄN</t>
        </is>
      </c>
      <c r="E9588" t="inlineStr">
        <is>
          <t>SMEDJEBACKEN</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14492-2026</t>
        </is>
      </c>
      <c r="B9589" s="1" t="n">
        <v>46100</v>
      </c>
      <c r="C9589" s="1" t="n">
        <v>46114</v>
      </c>
      <c r="D9589" t="inlineStr">
        <is>
          <t>DALARNAS LÄN</t>
        </is>
      </c>
      <c r="E9589" t="inlineStr">
        <is>
          <t>FALUN</t>
        </is>
      </c>
      <c r="F9589" t="inlineStr">
        <is>
          <t>Bergvik skog väst AB</t>
        </is>
      </c>
      <c r="G9589" t="n">
        <v>24.7</v>
      </c>
      <c r="H9589" t="n">
        <v>0</v>
      </c>
      <c r="I9589" t="n">
        <v>0</v>
      </c>
      <c r="J9589" t="n">
        <v>0</v>
      </c>
      <c r="K9589" t="n">
        <v>0</v>
      </c>
      <c r="L9589" t="n">
        <v>0</v>
      </c>
      <c r="M9589" t="n">
        <v>0</v>
      </c>
      <c r="N9589" t="n">
        <v>0</v>
      </c>
      <c r="O9589" t="n">
        <v>0</v>
      </c>
      <c r="P9589" t="n">
        <v>0</v>
      </c>
      <c r="Q9589" t="n">
        <v>0</v>
      </c>
      <c r="R9589" s="2" t="inlineStr"/>
    </row>
    <row r="9590" ht="15" customHeight="1">
      <c r="A9590" t="inlineStr">
        <is>
          <t>A 51015-2023</t>
        </is>
      </c>
      <c r="B9590" s="1" t="n">
        <v>45218.58079861111</v>
      </c>
      <c r="C9590" s="1" t="n">
        <v>46114</v>
      </c>
      <c r="D9590" t="inlineStr">
        <is>
          <t>DALARNAS LÄN</t>
        </is>
      </c>
      <c r="E9590" t="inlineStr">
        <is>
          <t>LUDVIKA</t>
        </is>
      </c>
      <c r="G9590" t="n">
        <v>5.9</v>
      </c>
      <c r="H9590" t="n">
        <v>0</v>
      </c>
      <c r="I9590" t="n">
        <v>0</v>
      </c>
      <c r="J9590" t="n">
        <v>0</v>
      </c>
      <c r="K9590" t="n">
        <v>0</v>
      </c>
      <c r="L9590" t="n">
        <v>0</v>
      </c>
      <c r="M9590" t="n">
        <v>0</v>
      </c>
      <c r="N9590" t="n">
        <v>0</v>
      </c>
      <c r="O9590" t="n">
        <v>0</v>
      </c>
      <c r="P9590" t="n">
        <v>0</v>
      </c>
      <c r="Q9590" t="n">
        <v>0</v>
      </c>
      <c r="R9590" s="2" t="inlineStr"/>
    </row>
    <row r="9591" ht="15" customHeight="1">
      <c r="A9591" t="inlineStr">
        <is>
          <t>A 30194-2024</t>
        </is>
      </c>
      <c r="B9591" s="1" t="n">
        <v>45490.33387731481</v>
      </c>
      <c r="C9591" s="1" t="n">
        <v>46114</v>
      </c>
      <c r="D9591" t="inlineStr">
        <is>
          <t>DALARNAS LÄN</t>
        </is>
      </c>
      <c r="E9591" t="inlineStr">
        <is>
          <t>MORA</t>
        </is>
      </c>
      <c r="G9591" t="n">
        <v>3.1</v>
      </c>
      <c r="H9591" t="n">
        <v>0</v>
      </c>
      <c r="I9591" t="n">
        <v>0</v>
      </c>
      <c r="J9591" t="n">
        <v>0</v>
      </c>
      <c r="K9591" t="n">
        <v>0</v>
      </c>
      <c r="L9591" t="n">
        <v>0</v>
      </c>
      <c r="M9591" t="n">
        <v>0</v>
      </c>
      <c r="N9591" t="n">
        <v>0</v>
      </c>
      <c r="O9591" t="n">
        <v>0</v>
      </c>
      <c r="P9591" t="n">
        <v>0</v>
      </c>
      <c r="Q9591" t="n">
        <v>0</v>
      </c>
      <c r="R9591" s="2" t="inlineStr"/>
    </row>
    <row r="9592" ht="15" customHeight="1">
      <c r="A9592" t="inlineStr">
        <is>
          <t>A 8564-2026</t>
        </is>
      </c>
      <c r="B9592" s="1" t="n">
        <v>46065</v>
      </c>
      <c r="C9592" s="1" t="n">
        <v>46114</v>
      </c>
      <c r="D9592" t="inlineStr">
        <is>
          <t>DALARNAS LÄN</t>
        </is>
      </c>
      <c r="E9592" t="inlineStr">
        <is>
          <t>SÄTER</t>
        </is>
      </c>
      <c r="G9592" t="n">
        <v>0.8</v>
      </c>
      <c r="H9592" t="n">
        <v>0</v>
      </c>
      <c r="I9592" t="n">
        <v>0</v>
      </c>
      <c r="J9592" t="n">
        <v>0</v>
      </c>
      <c r="K9592" t="n">
        <v>0</v>
      </c>
      <c r="L9592" t="n">
        <v>0</v>
      </c>
      <c r="M9592" t="n">
        <v>0</v>
      </c>
      <c r="N9592" t="n">
        <v>0</v>
      </c>
      <c r="O9592" t="n">
        <v>0</v>
      </c>
      <c r="P9592" t="n">
        <v>0</v>
      </c>
      <c r="Q9592" t="n">
        <v>0</v>
      </c>
      <c r="R9592" s="2" t="inlineStr"/>
    </row>
    <row r="9593" ht="15" customHeight="1">
      <c r="A9593" t="inlineStr">
        <is>
          <t>A 8278-2026</t>
        </is>
      </c>
      <c r="B9593" s="1" t="n">
        <v>46064</v>
      </c>
      <c r="C9593" s="1" t="n">
        <v>46114</v>
      </c>
      <c r="D9593" t="inlineStr">
        <is>
          <t>DALARNAS LÄN</t>
        </is>
      </c>
      <c r="E9593" t="inlineStr">
        <is>
          <t>FALUN</t>
        </is>
      </c>
      <c r="F9593" t="inlineStr">
        <is>
          <t>Bergvik skog väst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8563-2026</t>
        </is>
      </c>
      <c r="B9594" s="1" t="n">
        <v>46065</v>
      </c>
      <c r="C9594" s="1" t="n">
        <v>46114</v>
      </c>
      <c r="D9594" t="inlineStr">
        <is>
          <t>DALARNAS LÄN</t>
        </is>
      </c>
      <c r="E9594" t="inlineStr">
        <is>
          <t>BORLÄNGE</t>
        </is>
      </c>
      <c r="F9594" t="inlineStr">
        <is>
          <t>Bergvik skog väst AB</t>
        </is>
      </c>
      <c r="G9594" t="n">
        <v>3</v>
      </c>
      <c r="H9594" t="n">
        <v>0</v>
      </c>
      <c r="I9594" t="n">
        <v>0</v>
      </c>
      <c r="J9594" t="n">
        <v>0</v>
      </c>
      <c r="K9594" t="n">
        <v>0</v>
      </c>
      <c r="L9594" t="n">
        <v>0</v>
      </c>
      <c r="M9594" t="n">
        <v>0</v>
      </c>
      <c r="N9594" t="n">
        <v>0</v>
      </c>
      <c r="O9594" t="n">
        <v>0</v>
      </c>
      <c r="P9594" t="n">
        <v>0</v>
      </c>
      <c r="Q9594" t="n">
        <v>0</v>
      </c>
      <c r="R9594" s="2" t="inlineStr"/>
    </row>
    <row r="9595" ht="15" customHeight="1">
      <c r="A9595" t="inlineStr">
        <is>
          <t>A 58177-2024</t>
        </is>
      </c>
      <c r="B9595" s="1" t="n">
        <v>45632.46821759259</v>
      </c>
      <c r="C9595" s="1" t="n">
        <v>46114</v>
      </c>
      <c r="D9595" t="inlineStr">
        <is>
          <t>DALARNAS LÄN</t>
        </is>
      </c>
      <c r="E9595" t="inlineStr">
        <is>
          <t>MORA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8161-2026</t>
        </is>
      </c>
      <c r="B9596" s="1" t="n">
        <v>46064.37144675926</v>
      </c>
      <c r="C9596" s="1" t="n">
        <v>46114</v>
      </c>
      <c r="D9596" t="inlineStr">
        <is>
          <t>DALARNAS LÄN</t>
        </is>
      </c>
      <c r="E9596" t="inlineStr">
        <is>
          <t>FALUN</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8552-2026</t>
        </is>
      </c>
      <c r="B9597" s="1" t="n">
        <v>46065.62271990741</v>
      </c>
      <c r="C9597" s="1" t="n">
        <v>46114</v>
      </c>
      <c r="D9597" t="inlineStr">
        <is>
          <t>DALARNAS LÄN</t>
        </is>
      </c>
      <c r="E9597" t="inlineStr">
        <is>
          <t>ORSA</t>
        </is>
      </c>
      <c r="G9597" t="n">
        <v>3</v>
      </c>
      <c r="H9597" t="n">
        <v>0</v>
      </c>
      <c r="I9597" t="n">
        <v>0</v>
      </c>
      <c r="J9597" t="n">
        <v>0</v>
      </c>
      <c r="K9597" t="n">
        <v>0</v>
      </c>
      <c r="L9597" t="n">
        <v>0</v>
      </c>
      <c r="M9597" t="n">
        <v>0</v>
      </c>
      <c r="N9597" t="n">
        <v>0</v>
      </c>
      <c r="O9597" t="n">
        <v>0</v>
      </c>
      <c r="P9597" t="n">
        <v>0</v>
      </c>
      <c r="Q9597" t="n">
        <v>0</v>
      </c>
      <c r="R9597" s="2" t="inlineStr"/>
    </row>
    <row r="9598" ht="15" customHeight="1">
      <c r="A9598" t="inlineStr">
        <is>
          <t>A 47825-2023</t>
        </is>
      </c>
      <c r="B9598" s="1" t="n">
        <v>45204.35597222222</v>
      </c>
      <c r="C9598" s="1" t="n">
        <v>46114</v>
      </c>
      <c r="D9598" t="inlineStr">
        <is>
          <t>DALARNAS LÄN</t>
        </is>
      </c>
      <c r="E9598" t="inlineStr">
        <is>
          <t>RÄTTVIK</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47877-2023</t>
        </is>
      </c>
      <c r="B9599" s="1" t="n">
        <v>45204</v>
      </c>
      <c r="C9599" s="1" t="n">
        <v>46114</v>
      </c>
      <c r="D9599" t="inlineStr">
        <is>
          <t>DALARNAS LÄN</t>
        </is>
      </c>
      <c r="E9599" t="inlineStr">
        <is>
          <t>ÄLVDALEN</t>
        </is>
      </c>
      <c r="G9599" t="n">
        <v>4.8</v>
      </c>
      <c r="H9599" t="n">
        <v>0</v>
      </c>
      <c r="I9599" t="n">
        <v>0</v>
      </c>
      <c r="J9599" t="n">
        <v>0</v>
      </c>
      <c r="K9599" t="n">
        <v>0</v>
      </c>
      <c r="L9599" t="n">
        <v>0</v>
      </c>
      <c r="M9599" t="n">
        <v>0</v>
      </c>
      <c r="N9599" t="n">
        <v>0</v>
      </c>
      <c r="O9599" t="n">
        <v>0</v>
      </c>
      <c r="P9599" t="n">
        <v>0</v>
      </c>
      <c r="Q9599" t="n">
        <v>0</v>
      </c>
      <c r="R9599" s="2" t="inlineStr"/>
    </row>
    <row r="9600" ht="15" customHeight="1">
      <c r="A9600" t="inlineStr">
        <is>
          <t>A 9106-2026</t>
        </is>
      </c>
      <c r="B9600" s="1" t="n">
        <v>46069</v>
      </c>
      <c r="C9600" s="1" t="n">
        <v>46114</v>
      </c>
      <c r="D9600" t="inlineStr">
        <is>
          <t>DALARNAS LÄN</t>
        </is>
      </c>
      <c r="E9600" t="inlineStr">
        <is>
          <t>HEDEMORA</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9116-2026</t>
        </is>
      </c>
      <c r="B9601" s="1" t="n">
        <v>46069</v>
      </c>
      <c r="C9601" s="1" t="n">
        <v>46114</v>
      </c>
      <c r="D9601" t="inlineStr">
        <is>
          <t>DALARNAS LÄN</t>
        </is>
      </c>
      <c r="E9601" t="inlineStr">
        <is>
          <t>ORSA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13636-2026</t>
        </is>
      </c>
      <c r="B9602" s="1" t="n">
        <v>46097</v>
      </c>
      <c r="C9602" s="1" t="n">
        <v>46114</v>
      </c>
      <c r="D9602" t="inlineStr">
        <is>
          <t>DALARNAS LÄN</t>
        </is>
      </c>
      <c r="E9602" t="inlineStr">
        <is>
          <t>FALUN</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13681-2026</t>
        </is>
      </c>
      <c r="B9603" s="1" t="n">
        <v>46097.51076388889</v>
      </c>
      <c r="C9603" s="1" t="n">
        <v>46114</v>
      </c>
      <c r="D9603" t="inlineStr">
        <is>
          <t>DALARNAS LÄN</t>
        </is>
      </c>
      <c r="E9603" t="inlineStr">
        <is>
          <t>FALUN</t>
        </is>
      </c>
      <c r="G9603" t="n">
        <v>3.4</v>
      </c>
      <c r="H9603" t="n">
        <v>0</v>
      </c>
      <c r="I9603" t="n">
        <v>0</v>
      </c>
      <c r="J9603" t="n">
        <v>0</v>
      </c>
      <c r="K9603" t="n">
        <v>0</v>
      </c>
      <c r="L9603" t="n">
        <v>0</v>
      </c>
      <c r="M9603" t="n">
        <v>0</v>
      </c>
      <c r="N9603" t="n">
        <v>0</v>
      </c>
      <c r="O9603" t="n">
        <v>0</v>
      </c>
      <c r="P9603" t="n">
        <v>0</v>
      </c>
      <c r="Q9603" t="n">
        <v>0</v>
      </c>
      <c r="R9603" s="2" t="inlineStr"/>
    </row>
    <row r="9604" ht="15" customHeight="1">
      <c r="A9604" t="inlineStr">
        <is>
          <t>A 1140-2025</t>
        </is>
      </c>
      <c r="B9604" s="1" t="n">
        <v>45666.70565972223</v>
      </c>
      <c r="C9604" s="1" t="n">
        <v>46114</v>
      </c>
      <c r="D9604" t="inlineStr">
        <is>
          <t>DALARNAS LÄN</t>
        </is>
      </c>
      <c r="E9604" t="inlineStr">
        <is>
          <t>VANSBRO</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14009-2026</t>
        </is>
      </c>
      <c r="B9605" s="1" t="n">
        <v>46098</v>
      </c>
      <c r="C9605" s="1" t="n">
        <v>46114</v>
      </c>
      <c r="D9605" t="inlineStr">
        <is>
          <t>DALARNAS LÄN</t>
        </is>
      </c>
      <c r="E9605" t="inlineStr">
        <is>
          <t>FALUN</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2943-2026</t>
        </is>
      </c>
      <c r="B9606" s="1" t="n">
        <v>46038.59100694444</v>
      </c>
      <c r="C9606" s="1" t="n">
        <v>46114</v>
      </c>
      <c r="D9606" t="inlineStr">
        <is>
          <t>DALARNAS LÄN</t>
        </is>
      </c>
      <c r="E9606" t="inlineStr">
        <is>
          <t>GAGNEF</t>
        </is>
      </c>
      <c r="G9606" t="n">
        <v>7.2</v>
      </c>
      <c r="H9606" t="n">
        <v>0</v>
      </c>
      <c r="I9606" t="n">
        <v>0</v>
      </c>
      <c r="J9606" t="n">
        <v>0</v>
      </c>
      <c r="K9606" t="n">
        <v>0</v>
      </c>
      <c r="L9606" t="n">
        <v>0</v>
      </c>
      <c r="M9606" t="n">
        <v>0</v>
      </c>
      <c r="N9606" t="n">
        <v>0</v>
      </c>
      <c r="O9606" t="n">
        <v>0</v>
      </c>
      <c r="P9606" t="n">
        <v>0</v>
      </c>
      <c r="Q9606" t="n">
        <v>0</v>
      </c>
      <c r="R9606" s="2" t="inlineStr"/>
    </row>
    <row r="9607" ht="15" customHeight="1">
      <c r="A9607" t="inlineStr">
        <is>
          <t>A 8626-2026</t>
        </is>
      </c>
      <c r="B9607" s="1" t="n">
        <v>46066</v>
      </c>
      <c r="C9607" s="1" t="n">
        <v>46114</v>
      </c>
      <c r="D9607" t="inlineStr">
        <is>
          <t>DALARNAS LÄN</t>
        </is>
      </c>
      <c r="E9607" t="inlineStr">
        <is>
          <t>FALUN</t>
        </is>
      </c>
      <c r="G9607" t="n">
        <v>5.8</v>
      </c>
      <c r="H9607" t="n">
        <v>0</v>
      </c>
      <c r="I9607" t="n">
        <v>0</v>
      </c>
      <c r="J9607" t="n">
        <v>0</v>
      </c>
      <c r="K9607" t="n">
        <v>0</v>
      </c>
      <c r="L9607" t="n">
        <v>0</v>
      </c>
      <c r="M9607" t="n">
        <v>0</v>
      </c>
      <c r="N9607" t="n">
        <v>0</v>
      </c>
      <c r="O9607" t="n">
        <v>0</v>
      </c>
      <c r="P9607" t="n">
        <v>0</v>
      </c>
      <c r="Q9607" t="n">
        <v>0</v>
      </c>
      <c r="R9607" s="2" t="inlineStr"/>
    </row>
    <row r="9608" ht="15" customHeight="1">
      <c r="A9608" t="inlineStr">
        <is>
          <t>A 8633-2026</t>
        </is>
      </c>
      <c r="B9608" s="1" t="n">
        <v>46066.35101851852</v>
      </c>
      <c r="C9608" s="1" t="n">
        <v>46114</v>
      </c>
      <c r="D9608" t="inlineStr">
        <is>
          <t>DALARNAS LÄN</t>
        </is>
      </c>
      <c r="E9608" t="inlineStr">
        <is>
          <t>FALUN</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8689-2026</t>
        </is>
      </c>
      <c r="B9609" s="1" t="n">
        <v>46066</v>
      </c>
      <c r="C9609" s="1" t="n">
        <v>46114</v>
      </c>
      <c r="D9609" t="inlineStr">
        <is>
          <t>DALARNAS LÄN</t>
        </is>
      </c>
      <c r="E9609" t="inlineStr">
        <is>
          <t>BORLÄNGE</t>
        </is>
      </c>
      <c r="G9609" t="n">
        <v>3.1</v>
      </c>
      <c r="H9609" t="n">
        <v>0</v>
      </c>
      <c r="I9609" t="n">
        <v>0</v>
      </c>
      <c r="J9609" t="n">
        <v>0</v>
      </c>
      <c r="K9609" t="n">
        <v>0</v>
      </c>
      <c r="L9609" t="n">
        <v>0</v>
      </c>
      <c r="M9609" t="n">
        <v>0</v>
      </c>
      <c r="N9609" t="n">
        <v>0</v>
      </c>
      <c r="O9609" t="n">
        <v>0</v>
      </c>
      <c r="P9609" t="n">
        <v>0</v>
      </c>
      <c r="Q9609" t="n">
        <v>0</v>
      </c>
      <c r="R9609" s="2" t="inlineStr"/>
    </row>
    <row r="9610" ht="15" customHeight="1">
      <c r="A9610" t="inlineStr">
        <is>
          <t>A 8695-2026</t>
        </is>
      </c>
      <c r="B9610" s="1" t="n">
        <v>46066.45186342593</v>
      </c>
      <c r="C9610" s="1" t="n">
        <v>46114</v>
      </c>
      <c r="D9610" t="inlineStr">
        <is>
          <t>DALARNAS LÄN</t>
        </is>
      </c>
      <c r="E9610" t="inlineStr">
        <is>
          <t>RÄTTVIK</t>
        </is>
      </c>
      <c r="G9610" t="n">
        <v>5.4</v>
      </c>
      <c r="H9610" t="n">
        <v>0</v>
      </c>
      <c r="I9610" t="n">
        <v>0</v>
      </c>
      <c r="J9610" t="n">
        <v>0</v>
      </c>
      <c r="K9610" t="n">
        <v>0</v>
      </c>
      <c r="L9610" t="n">
        <v>0</v>
      </c>
      <c r="M9610" t="n">
        <v>0</v>
      </c>
      <c r="N9610" t="n">
        <v>0</v>
      </c>
      <c r="O9610" t="n">
        <v>0</v>
      </c>
      <c r="P9610" t="n">
        <v>0</v>
      </c>
      <c r="Q9610" t="n">
        <v>0</v>
      </c>
      <c r="R9610" s="2" t="inlineStr"/>
    </row>
    <row r="9611" ht="15" customHeight="1">
      <c r="A9611" t="inlineStr">
        <is>
          <t>A 15954-2026</t>
        </is>
      </c>
      <c r="B9611" s="1" t="n">
        <v>46108.28134259259</v>
      </c>
      <c r="C9611" s="1" t="n">
        <v>46114</v>
      </c>
      <c r="D9611" t="inlineStr">
        <is>
          <t>DALARNAS LÄN</t>
        </is>
      </c>
      <c r="E9611" t="inlineStr">
        <is>
          <t>FALUN</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9021-2026</t>
        </is>
      </c>
      <c r="B9612" s="1" t="n">
        <v>46066</v>
      </c>
      <c r="C9612" s="1" t="n">
        <v>46114</v>
      </c>
      <c r="D9612" t="inlineStr">
        <is>
          <t>DALARNAS LÄN</t>
        </is>
      </c>
      <c r="E9612" t="inlineStr">
        <is>
          <t>HEDEMORA</t>
        </is>
      </c>
      <c r="G9612" t="n">
        <v>4.9</v>
      </c>
      <c r="H9612" t="n">
        <v>0</v>
      </c>
      <c r="I9612" t="n">
        <v>0</v>
      </c>
      <c r="J9612" t="n">
        <v>0</v>
      </c>
      <c r="K9612" t="n">
        <v>0</v>
      </c>
      <c r="L9612" t="n">
        <v>0</v>
      </c>
      <c r="M9612" t="n">
        <v>0</v>
      </c>
      <c r="N9612" t="n">
        <v>0</v>
      </c>
      <c r="O9612" t="n">
        <v>0</v>
      </c>
      <c r="P9612" t="n">
        <v>0</v>
      </c>
      <c r="Q9612" t="n">
        <v>0</v>
      </c>
      <c r="R9612" s="2" t="inlineStr"/>
    </row>
    <row r="9613" ht="15" customHeight="1">
      <c r="A9613" t="inlineStr">
        <is>
          <t>A 13073-2026</t>
        </is>
      </c>
      <c r="B9613" s="1" t="n">
        <v>46093</v>
      </c>
      <c r="C9613" s="1" t="n">
        <v>46114</v>
      </c>
      <c r="D9613" t="inlineStr">
        <is>
          <t>DALARNAS LÄN</t>
        </is>
      </c>
      <c r="E9613" t="inlineStr">
        <is>
          <t>FALUN</t>
        </is>
      </c>
      <c r="F9613" t="inlineStr">
        <is>
          <t>Allmännings- och besparingsskogar</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13592-2026</t>
        </is>
      </c>
      <c r="B9614" s="1" t="n">
        <v>46096</v>
      </c>
      <c r="C9614" s="1" t="n">
        <v>46114</v>
      </c>
      <c r="D9614" t="inlineStr">
        <is>
          <t>DALARNAS LÄN</t>
        </is>
      </c>
      <c r="E9614" t="inlineStr">
        <is>
          <t>FALUN</t>
        </is>
      </c>
      <c r="F9614" t="inlineStr">
        <is>
          <t>Bergvik skog väst AB</t>
        </is>
      </c>
      <c r="G9614" t="n">
        <v>30.3</v>
      </c>
      <c r="H9614" t="n">
        <v>0</v>
      </c>
      <c r="I9614" t="n">
        <v>0</v>
      </c>
      <c r="J9614" t="n">
        <v>0</v>
      </c>
      <c r="K9614" t="n">
        <v>0</v>
      </c>
      <c r="L9614" t="n">
        <v>0</v>
      </c>
      <c r="M9614" t="n">
        <v>0</v>
      </c>
      <c r="N9614" t="n">
        <v>0</v>
      </c>
      <c r="O9614" t="n">
        <v>0</v>
      </c>
      <c r="P9614" t="n">
        <v>0</v>
      </c>
      <c r="Q9614" t="n">
        <v>0</v>
      </c>
      <c r="R9614" s="2" t="inlineStr"/>
    </row>
    <row r="9615" ht="15" customHeight="1">
      <c r="A9615" t="inlineStr">
        <is>
          <t>A 13622-2026</t>
        </is>
      </c>
      <c r="B9615" s="1" t="n">
        <v>46097.34530092592</v>
      </c>
      <c r="C9615" s="1" t="n">
        <v>46114</v>
      </c>
      <c r="D9615" t="inlineStr">
        <is>
          <t>DALARNAS LÄN</t>
        </is>
      </c>
      <c r="E9615" t="inlineStr">
        <is>
          <t>HEDEMORA</t>
        </is>
      </c>
      <c r="G9615" t="n">
        <v>0.9</v>
      </c>
      <c r="H9615" t="n">
        <v>0</v>
      </c>
      <c r="I9615" t="n">
        <v>0</v>
      </c>
      <c r="J9615" t="n">
        <v>0</v>
      </c>
      <c r="K9615" t="n">
        <v>0</v>
      </c>
      <c r="L9615" t="n">
        <v>0</v>
      </c>
      <c r="M9615" t="n">
        <v>0</v>
      </c>
      <c r="N9615" t="n">
        <v>0</v>
      </c>
      <c r="O9615" t="n">
        <v>0</v>
      </c>
      <c r="P9615" t="n">
        <v>0</v>
      </c>
      <c r="Q9615" t="n">
        <v>0</v>
      </c>
      <c r="R9615" s="2" t="inlineStr"/>
      <c r="U9615">
        <f>HYPERLINK("https://klasma.github.io/Logging_2083/knärot/A 13622-2026 karta knärot.png", "A 13622-2026")</f>
        <v/>
      </c>
      <c r="V9615">
        <f>HYPERLINK("https://klasma.github.io/Logging_2083/klagomål/A 13622-2026 FSC-klagomål.docx", "A 13622-2026")</f>
        <v/>
      </c>
      <c r="W9615">
        <f>HYPERLINK("https://klasma.github.io/Logging_2083/klagomålsmail/A 13622-2026 FSC-klagomål mail.docx", "A 13622-2026")</f>
        <v/>
      </c>
      <c r="X9615">
        <f>HYPERLINK("https://klasma.github.io/Logging_2083/tillsyn/A 13622-2026 tillsynsbegäran.docx", "A 13622-2026")</f>
        <v/>
      </c>
      <c r="Y9615">
        <f>HYPERLINK("https://klasma.github.io/Logging_2083/tillsynsmail/A 13622-2026 tillsynsbegäran mail.docx", "A 13622-2026")</f>
        <v/>
      </c>
    </row>
    <row r="9616" ht="15" customHeight="1">
      <c r="A9616" t="inlineStr">
        <is>
          <t>A 13673-2026</t>
        </is>
      </c>
      <c r="B9616" s="1" t="n">
        <v>46097</v>
      </c>
      <c r="C9616" s="1" t="n">
        <v>46114</v>
      </c>
      <c r="D9616" t="inlineStr">
        <is>
          <t>DALARNAS LÄN</t>
        </is>
      </c>
      <c r="E9616" t="inlineStr">
        <is>
          <t>FALUN</t>
        </is>
      </c>
      <c r="G9616" t="n">
        <v>2.5</v>
      </c>
      <c r="H9616" t="n">
        <v>0</v>
      </c>
      <c r="I9616" t="n">
        <v>0</v>
      </c>
      <c r="J9616" t="n">
        <v>0</v>
      </c>
      <c r="K9616" t="n">
        <v>0</v>
      </c>
      <c r="L9616" t="n">
        <v>0</v>
      </c>
      <c r="M9616" t="n">
        <v>0</v>
      </c>
      <c r="N9616" t="n">
        <v>0</v>
      </c>
      <c r="O9616" t="n">
        <v>0</v>
      </c>
      <c r="P9616" t="n">
        <v>0</v>
      </c>
      <c r="Q9616" t="n">
        <v>0</v>
      </c>
      <c r="R9616" s="2" t="inlineStr"/>
    </row>
    <row r="9617" ht="15" customHeight="1">
      <c r="A9617" t="inlineStr">
        <is>
          <t>A 13716-2026</t>
        </is>
      </c>
      <c r="B9617" s="1" t="n">
        <v>46097</v>
      </c>
      <c r="C9617" s="1" t="n">
        <v>46114</v>
      </c>
      <c r="D9617" t="inlineStr">
        <is>
          <t>DALARNAS LÄN</t>
        </is>
      </c>
      <c r="E9617" t="inlineStr">
        <is>
          <t>SÄTER</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19719-2024</t>
        </is>
      </c>
      <c r="B9618" s="1" t="n">
        <v>45428</v>
      </c>
      <c r="C9618" s="1" t="n">
        <v>46114</v>
      </c>
      <c r="D9618" t="inlineStr">
        <is>
          <t>DALARNAS LÄN</t>
        </is>
      </c>
      <c r="E9618" t="inlineStr">
        <is>
          <t>MALUNG-SÄLEN</t>
        </is>
      </c>
      <c r="G9618" t="n">
        <v>27.6</v>
      </c>
      <c r="H9618" t="n">
        <v>0</v>
      </c>
      <c r="I9618" t="n">
        <v>0</v>
      </c>
      <c r="J9618" t="n">
        <v>0</v>
      </c>
      <c r="K9618" t="n">
        <v>0</v>
      </c>
      <c r="L9618" t="n">
        <v>0</v>
      </c>
      <c r="M9618" t="n">
        <v>0</v>
      </c>
      <c r="N9618" t="n">
        <v>0</v>
      </c>
      <c r="O9618" t="n">
        <v>0</v>
      </c>
      <c r="P9618" t="n">
        <v>0</v>
      </c>
      <c r="Q9618" t="n">
        <v>0</v>
      </c>
      <c r="R9618" s="2" t="inlineStr"/>
    </row>
    <row r="9619" ht="15" customHeight="1">
      <c r="A9619" t="inlineStr">
        <is>
          <t>A 16378-2026</t>
        </is>
      </c>
      <c r="B9619" s="1" t="n">
        <v>46111</v>
      </c>
      <c r="C9619" s="1" t="n">
        <v>46114</v>
      </c>
      <c r="D9619" t="inlineStr">
        <is>
          <t>DALARNAS LÄN</t>
        </is>
      </c>
      <c r="E9619" t="inlineStr">
        <is>
          <t>FALUN</t>
        </is>
      </c>
      <c r="F9619" t="inlineStr">
        <is>
          <t>Allmännings- och besparingsskogar</t>
        </is>
      </c>
      <c r="G9619" t="n">
        <v>6.3</v>
      </c>
      <c r="H9619" t="n">
        <v>0</v>
      </c>
      <c r="I9619" t="n">
        <v>0</v>
      </c>
      <c r="J9619" t="n">
        <v>0</v>
      </c>
      <c r="K9619" t="n">
        <v>0</v>
      </c>
      <c r="L9619" t="n">
        <v>0</v>
      </c>
      <c r="M9619" t="n">
        <v>0</v>
      </c>
      <c r="N9619" t="n">
        <v>0</v>
      </c>
      <c r="O9619" t="n">
        <v>0</v>
      </c>
      <c r="P9619" t="n">
        <v>0</v>
      </c>
      <c r="Q9619" t="n">
        <v>0</v>
      </c>
      <c r="R9619" s="2" t="inlineStr"/>
    </row>
    <row r="9620" ht="15" customHeight="1">
      <c r="A9620" t="inlineStr">
        <is>
          <t>A 16379-2026</t>
        </is>
      </c>
      <c r="B9620" s="1" t="n">
        <v>46111</v>
      </c>
      <c r="C9620" s="1" t="n">
        <v>46114</v>
      </c>
      <c r="D9620" t="inlineStr">
        <is>
          <t>DALARNAS LÄN</t>
        </is>
      </c>
      <c r="E9620" t="inlineStr">
        <is>
          <t>FALUN</t>
        </is>
      </c>
      <c r="F9620" t="inlineStr">
        <is>
          <t>Allmännings- och besparingsskogar</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16412-2026</t>
        </is>
      </c>
      <c r="B9621" s="1" t="n">
        <v>46111</v>
      </c>
      <c r="C9621" s="1" t="n">
        <v>46114</v>
      </c>
      <c r="D9621" t="inlineStr">
        <is>
          <t>DALARNAS LÄN</t>
        </is>
      </c>
      <c r="E9621" t="inlineStr">
        <is>
          <t>FALUN</t>
        </is>
      </c>
      <c r="F9621" t="inlineStr">
        <is>
          <t>Allmännings- och besparingsskogar</t>
        </is>
      </c>
      <c r="G9621" t="n">
        <v>10.6</v>
      </c>
      <c r="H9621" t="n">
        <v>0</v>
      </c>
      <c r="I9621" t="n">
        <v>0</v>
      </c>
      <c r="J9621" t="n">
        <v>0</v>
      </c>
      <c r="K9621" t="n">
        <v>0</v>
      </c>
      <c r="L9621" t="n">
        <v>0</v>
      </c>
      <c r="M9621" t="n">
        <v>0</v>
      </c>
      <c r="N9621" t="n">
        <v>0</v>
      </c>
      <c r="O9621" t="n">
        <v>0</v>
      </c>
      <c r="P9621" t="n">
        <v>0</v>
      </c>
      <c r="Q9621" t="n">
        <v>0</v>
      </c>
      <c r="R9621" s="2" t="inlineStr"/>
    </row>
    <row r="9622" ht="15" customHeight="1">
      <c r="A9622" t="inlineStr">
        <is>
          <t>A 11259-2026</t>
        </is>
      </c>
      <c r="B9622" s="1" t="n">
        <v>46080.55461805555</v>
      </c>
      <c r="C9622" s="1" t="n">
        <v>46114</v>
      </c>
      <c r="D9622" t="inlineStr">
        <is>
          <t>DALARNAS LÄN</t>
        </is>
      </c>
      <c r="E9622" t="inlineStr">
        <is>
          <t>GAGNEF</t>
        </is>
      </c>
      <c r="G9622" t="n">
        <v>7.1</v>
      </c>
      <c r="H9622" t="n">
        <v>0</v>
      </c>
      <c r="I9622" t="n">
        <v>0</v>
      </c>
      <c r="J9622" t="n">
        <v>0</v>
      </c>
      <c r="K9622" t="n">
        <v>0</v>
      </c>
      <c r="L9622" t="n">
        <v>0</v>
      </c>
      <c r="M9622" t="n">
        <v>0</v>
      </c>
      <c r="N9622" t="n">
        <v>0</v>
      </c>
      <c r="O9622" t="n">
        <v>0</v>
      </c>
      <c r="P9622" t="n">
        <v>0</v>
      </c>
      <c r="Q9622" t="n">
        <v>0</v>
      </c>
      <c r="R9622" s="2" t="inlineStr"/>
    </row>
    <row r="9623" ht="15" customHeight="1">
      <c r="A9623" t="inlineStr">
        <is>
          <t>A 14179-2026</t>
        </is>
      </c>
      <c r="B9623" s="1" t="n">
        <v>46099.49658564815</v>
      </c>
      <c r="C9623" s="1" t="n">
        <v>46114</v>
      </c>
      <c r="D9623" t="inlineStr">
        <is>
          <t>DALARNAS LÄN</t>
        </is>
      </c>
      <c r="E9623" t="inlineStr">
        <is>
          <t>FALUN</t>
        </is>
      </c>
      <c r="F9623" t="inlineStr">
        <is>
          <t>Bergvik skog väst AB</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14407-2026</t>
        </is>
      </c>
      <c r="B9624" s="1" t="n">
        <v>46100.43003472222</v>
      </c>
      <c r="C9624" s="1" t="n">
        <v>46114</v>
      </c>
      <c r="D9624" t="inlineStr">
        <is>
          <t>DALARNAS LÄN</t>
        </is>
      </c>
      <c r="E9624" t="inlineStr">
        <is>
          <t>FALUN</t>
        </is>
      </c>
      <c r="G9624" t="n">
        <v>9.6</v>
      </c>
      <c r="H9624" t="n">
        <v>0</v>
      </c>
      <c r="I9624" t="n">
        <v>0</v>
      </c>
      <c r="J9624" t="n">
        <v>0</v>
      </c>
      <c r="K9624" t="n">
        <v>0</v>
      </c>
      <c r="L9624" t="n">
        <v>0</v>
      </c>
      <c r="M9624" t="n">
        <v>0</v>
      </c>
      <c r="N9624" t="n">
        <v>0</v>
      </c>
      <c r="O9624" t="n">
        <v>0</v>
      </c>
      <c r="P9624" t="n">
        <v>0</v>
      </c>
      <c r="Q9624" t="n">
        <v>0</v>
      </c>
      <c r="R9624" s="2" t="inlineStr"/>
    </row>
    <row r="9625" ht="15" customHeight="1">
      <c r="A9625" t="inlineStr">
        <is>
          <t>A 14409-2026</t>
        </is>
      </c>
      <c r="B9625" s="1" t="n">
        <v>46100.43488425926</v>
      </c>
      <c r="C9625" s="1" t="n">
        <v>46114</v>
      </c>
      <c r="D9625" t="inlineStr">
        <is>
          <t>DALARNAS LÄN</t>
        </is>
      </c>
      <c r="E9625" t="inlineStr">
        <is>
          <t>FALUN</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6798-2024</t>
        </is>
      </c>
      <c r="B9626" s="1" t="n">
        <v>45342.56981481481</v>
      </c>
      <c r="C9626" s="1" t="n">
        <v>46114</v>
      </c>
      <c r="D9626" t="inlineStr">
        <is>
          <t>DALARNAS LÄN</t>
        </is>
      </c>
      <c r="E9626" t="inlineStr">
        <is>
          <t>BORLÄNGE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64071-2025</t>
        </is>
      </c>
      <c r="B9627" s="1" t="n">
        <v>46021</v>
      </c>
      <c r="C9627" s="1" t="n">
        <v>46114</v>
      </c>
      <c r="D9627" t="inlineStr">
        <is>
          <t>DALARNAS LÄN</t>
        </is>
      </c>
      <c r="E9627" t="inlineStr">
        <is>
          <t>VANSBRO</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9037-2026</t>
        </is>
      </c>
      <c r="B9628" s="1" t="n">
        <v>46069</v>
      </c>
      <c r="C9628" s="1" t="n">
        <v>46114</v>
      </c>
      <c r="D9628" t="inlineStr">
        <is>
          <t>DALARNAS LÄN</t>
        </is>
      </c>
      <c r="E9628" t="inlineStr">
        <is>
          <t>FALUN</t>
        </is>
      </c>
      <c r="F9628" t="inlineStr">
        <is>
          <t>Bergvik skog väst AB</t>
        </is>
      </c>
      <c r="G9628" t="n">
        <v>27.8</v>
      </c>
      <c r="H9628" t="n">
        <v>0</v>
      </c>
      <c r="I9628" t="n">
        <v>0</v>
      </c>
      <c r="J9628" t="n">
        <v>0</v>
      </c>
      <c r="K9628" t="n">
        <v>0</v>
      </c>
      <c r="L9628" t="n">
        <v>0</v>
      </c>
      <c r="M9628" t="n">
        <v>0</v>
      </c>
      <c r="N9628" t="n">
        <v>0</v>
      </c>
      <c r="O9628" t="n">
        <v>0</v>
      </c>
      <c r="P9628" t="n">
        <v>0</v>
      </c>
      <c r="Q9628" t="n">
        <v>0</v>
      </c>
      <c r="R9628" s="2" t="inlineStr"/>
    </row>
    <row r="9629" ht="15" customHeight="1">
      <c r="A9629" t="inlineStr">
        <is>
          <t>A 9044-2026</t>
        </is>
      </c>
      <c r="B9629" s="1" t="n">
        <v>46069</v>
      </c>
      <c r="C9629" s="1" t="n">
        <v>46114</v>
      </c>
      <c r="D9629" t="inlineStr">
        <is>
          <t>DALARNAS LÄN</t>
        </is>
      </c>
      <c r="E9629" t="inlineStr">
        <is>
          <t>ORSA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17165-2023</t>
        </is>
      </c>
      <c r="B9630" s="1" t="n">
        <v>45034.64519675926</v>
      </c>
      <c r="C9630" s="1" t="n">
        <v>46114</v>
      </c>
      <c r="D9630" t="inlineStr">
        <is>
          <t>DALARNAS LÄN</t>
        </is>
      </c>
      <c r="E9630" t="inlineStr">
        <is>
          <t>MALUNG-SÄLEN</t>
        </is>
      </c>
      <c r="G9630" t="n">
        <v>5.1</v>
      </c>
      <c r="H9630" t="n">
        <v>0</v>
      </c>
      <c r="I9630" t="n">
        <v>0</v>
      </c>
      <c r="J9630" t="n">
        <v>0</v>
      </c>
      <c r="K9630" t="n">
        <v>0</v>
      </c>
      <c r="L9630" t="n">
        <v>0</v>
      </c>
      <c r="M9630" t="n">
        <v>0</v>
      </c>
      <c r="N9630" t="n">
        <v>0</v>
      </c>
      <c r="O9630" t="n">
        <v>0</v>
      </c>
      <c r="P9630" t="n">
        <v>0</v>
      </c>
      <c r="Q9630" t="n">
        <v>0</v>
      </c>
      <c r="R9630" s="2" t="inlineStr"/>
    </row>
    <row r="9631" ht="15" customHeight="1">
      <c r="A9631" t="inlineStr">
        <is>
          <t>A 33198-2022</t>
        </is>
      </c>
      <c r="B9631" s="1" t="n">
        <v>44785.68597222222</v>
      </c>
      <c r="C9631" s="1" t="n">
        <v>46114</v>
      </c>
      <c r="D9631" t="inlineStr">
        <is>
          <t>DALARNAS LÄN</t>
        </is>
      </c>
      <c r="E9631" t="inlineStr">
        <is>
          <t>LEKSAND</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16134-2026</t>
        </is>
      </c>
      <c r="B9632" s="1" t="n">
        <v>46108.64822916667</v>
      </c>
      <c r="C9632" s="1" t="n">
        <v>46114</v>
      </c>
      <c r="D9632" t="inlineStr">
        <is>
          <t>DALARNAS LÄN</t>
        </is>
      </c>
      <c r="E9632" t="inlineStr">
        <is>
          <t>VANSBRO</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32814-2024</t>
        </is>
      </c>
      <c r="B9633" s="1" t="n">
        <v>45516.57633101852</v>
      </c>
      <c r="C9633" s="1" t="n">
        <v>46114</v>
      </c>
      <c r="D9633" t="inlineStr">
        <is>
          <t>DALARNAS LÄN</t>
        </is>
      </c>
      <c r="E9633" t="inlineStr">
        <is>
          <t>RÄTTVIK</t>
        </is>
      </c>
      <c r="F9633" t="inlineStr">
        <is>
          <t>Sveaskog</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9938-2023</t>
        </is>
      </c>
      <c r="B9634" s="1" t="n">
        <v>44985</v>
      </c>
      <c r="C9634" s="1" t="n">
        <v>46114</v>
      </c>
      <c r="D9634" t="inlineStr">
        <is>
          <t>DALARNAS LÄN</t>
        </is>
      </c>
      <c r="E9634" t="inlineStr">
        <is>
          <t>LEKSAND</t>
        </is>
      </c>
      <c r="G9634" t="n">
        <v>3.1</v>
      </c>
      <c r="H9634" t="n">
        <v>0</v>
      </c>
      <c r="I9634" t="n">
        <v>0</v>
      </c>
      <c r="J9634" t="n">
        <v>0</v>
      </c>
      <c r="K9634" t="n">
        <v>0</v>
      </c>
      <c r="L9634" t="n">
        <v>0</v>
      </c>
      <c r="M9634" t="n">
        <v>0</v>
      </c>
      <c r="N9634" t="n">
        <v>0</v>
      </c>
      <c r="O9634" t="n">
        <v>0</v>
      </c>
      <c r="P9634" t="n">
        <v>0</v>
      </c>
      <c r="Q9634" t="n">
        <v>0</v>
      </c>
      <c r="R9634" s="2" t="inlineStr"/>
    </row>
    <row r="9635" ht="15" customHeight="1">
      <c r="A9635" t="inlineStr">
        <is>
          <t>A 16218-2026</t>
        </is>
      </c>
      <c r="B9635" s="1" t="n">
        <v>46111.43640046296</v>
      </c>
      <c r="C9635" s="1" t="n">
        <v>46114</v>
      </c>
      <c r="D9635" t="inlineStr">
        <is>
          <t>DALARNAS LÄN</t>
        </is>
      </c>
      <c r="E9635" t="inlineStr">
        <is>
          <t>MORA</t>
        </is>
      </c>
      <c r="F9635" t="inlineStr">
        <is>
          <t>Bergvik skog öst AB</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16690-2024</t>
        </is>
      </c>
      <c r="B9636" s="1" t="n">
        <v>45408</v>
      </c>
      <c r="C9636" s="1" t="n">
        <v>46114</v>
      </c>
      <c r="D9636" t="inlineStr">
        <is>
          <t>DALARNAS LÄN</t>
        </is>
      </c>
      <c r="E9636" t="inlineStr">
        <is>
          <t>AVESTA</t>
        </is>
      </c>
      <c r="F9636" t="inlineStr">
        <is>
          <t>Bergvik skog väst AB</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19710-2025</t>
        </is>
      </c>
      <c r="B9637" s="1" t="n">
        <v>45771.34391203704</v>
      </c>
      <c r="C9637" s="1" t="n">
        <v>46114</v>
      </c>
      <c r="D9637" t="inlineStr">
        <is>
          <t>DALARNAS LÄN</t>
        </is>
      </c>
      <c r="E9637" t="inlineStr">
        <is>
          <t>VANSBRO</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9035-2026</t>
        </is>
      </c>
      <c r="B9638" s="1" t="n">
        <v>46069.52863425926</v>
      </c>
      <c r="C9638" s="1" t="n">
        <v>46114</v>
      </c>
      <c r="D9638" t="inlineStr">
        <is>
          <t>DALARNAS LÄN</t>
        </is>
      </c>
      <c r="E9638" t="inlineStr">
        <is>
          <t>SÄTER</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15974-2026</t>
        </is>
      </c>
      <c r="B9639" s="1" t="n">
        <v>46108.34766203703</v>
      </c>
      <c r="C9639" s="1" t="n">
        <v>46114</v>
      </c>
      <c r="D9639" t="inlineStr">
        <is>
          <t>DALARNAS LÄN</t>
        </is>
      </c>
      <c r="E9639" t="inlineStr">
        <is>
          <t>FALUN</t>
        </is>
      </c>
      <c r="F9639" t="inlineStr">
        <is>
          <t>Bergvik skog väst AB</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8983-2026</t>
        </is>
      </c>
      <c r="B9640" s="1" t="n">
        <v>46069</v>
      </c>
      <c r="C9640" s="1" t="n">
        <v>46114</v>
      </c>
      <c r="D9640" t="inlineStr">
        <is>
          <t>DALARNAS LÄN</t>
        </is>
      </c>
      <c r="E9640" t="inlineStr">
        <is>
          <t>MORA</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62525-2025</t>
        </is>
      </c>
      <c r="B9641" s="1" t="n">
        <v>46007.63509259259</v>
      </c>
      <c r="C9641" s="1" t="n">
        <v>46114</v>
      </c>
      <c r="D9641" t="inlineStr">
        <is>
          <t>DALARNAS LÄN</t>
        </is>
      </c>
      <c r="E9641" t="inlineStr">
        <is>
          <t>LEKSAND</t>
        </is>
      </c>
      <c r="G9641" t="n">
        <v>5.7</v>
      </c>
      <c r="H9641" t="n">
        <v>0</v>
      </c>
      <c r="I9641" t="n">
        <v>0</v>
      </c>
      <c r="J9641" t="n">
        <v>0</v>
      </c>
      <c r="K9641" t="n">
        <v>0</v>
      </c>
      <c r="L9641" t="n">
        <v>0</v>
      </c>
      <c r="M9641" t="n">
        <v>0</v>
      </c>
      <c r="N9641" t="n">
        <v>0</v>
      </c>
      <c r="O9641" t="n">
        <v>0</v>
      </c>
      <c r="P9641" t="n">
        <v>0</v>
      </c>
      <c r="Q9641" t="n">
        <v>0</v>
      </c>
      <c r="R9641" s="2" t="inlineStr"/>
    </row>
    <row r="9642" ht="15" customHeight="1">
      <c r="A9642" t="inlineStr">
        <is>
          <t>A 40922-2021</t>
        </is>
      </c>
      <c r="B9642" s="1" t="n">
        <v>44421.50993055556</v>
      </c>
      <c r="C9642" s="1" t="n">
        <v>46114</v>
      </c>
      <c r="D9642" t="inlineStr">
        <is>
          <t>DALARNAS LÄN</t>
        </is>
      </c>
      <c r="E9642" t="inlineStr">
        <is>
          <t>BORLÄNGE</t>
        </is>
      </c>
      <c r="G9642" t="n">
        <v>3.9</v>
      </c>
      <c r="H9642" t="n">
        <v>0</v>
      </c>
      <c r="I9642" t="n">
        <v>0</v>
      </c>
      <c r="J9642" t="n">
        <v>0</v>
      </c>
      <c r="K9642" t="n">
        <v>0</v>
      </c>
      <c r="L9642" t="n">
        <v>0</v>
      </c>
      <c r="M9642" t="n">
        <v>0</v>
      </c>
      <c r="N9642" t="n">
        <v>0</v>
      </c>
      <c r="O9642" t="n">
        <v>0</v>
      </c>
      <c r="P9642" t="n">
        <v>0</v>
      </c>
      <c r="Q9642" t="n">
        <v>0</v>
      </c>
      <c r="R9642" s="2" t="inlineStr"/>
    </row>
    <row r="9643" ht="15" customHeight="1">
      <c r="A9643" t="inlineStr">
        <is>
          <t>A 51138-2022</t>
        </is>
      </c>
      <c r="B9643" s="1" t="n">
        <v>44868</v>
      </c>
      <c r="C9643" s="1" t="n">
        <v>46114</v>
      </c>
      <c r="D9643" t="inlineStr">
        <is>
          <t>DALARNAS LÄN</t>
        </is>
      </c>
      <c r="E9643" t="inlineStr">
        <is>
          <t>GAGNEF</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30290-2024</t>
        </is>
      </c>
      <c r="B9644" s="1" t="n">
        <v>45490.64681712963</v>
      </c>
      <c r="C9644" s="1" t="n">
        <v>46114</v>
      </c>
      <c r="D9644" t="inlineStr">
        <is>
          <t>DALARNAS LÄN</t>
        </is>
      </c>
      <c r="E9644" t="inlineStr">
        <is>
          <t>ORSA</t>
        </is>
      </c>
      <c r="F9644" t="inlineStr">
        <is>
          <t>Bergvik skog öst AB</t>
        </is>
      </c>
      <c r="G9644" t="n">
        <v>9.199999999999999</v>
      </c>
      <c r="H9644" t="n">
        <v>0</v>
      </c>
      <c r="I9644" t="n">
        <v>0</v>
      </c>
      <c r="J9644" t="n">
        <v>0</v>
      </c>
      <c r="K9644" t="n">
        <v>0</v>
      </c>
      <c r="L9644" t="n">
        <v>0</v>
      </c>
      <c r="M9644" t="n">
        <v>0</v>
      </c>
      <c r="N9644" t="n">
        <v>0</v>
      </c>
      <c r="O9644" t="n">
        <v>0</v>
      </c>
      <c r="P9644" t="n">
        <v>0</v>
      </c>
      <c r="Q9644" t="n">
        <v>0</v>
      </c>
      <c r="R9644" s="2" t="inlineStr"/>
    </row>
    <row r="9645" ht="15" customHeight="1">
      <c r="A9645" t="inlineStr">
        <is>
          <t>A 16004-2024</t>
        </is>
      </c>
      <c r="B9645" s="1" t="n">
        <v>45405</v>
      </c>
      <c r="C9645" s="1" t="n">
        <v>46114</v>
      </c>
      <c r="D9645" t="inlineStr">
        <is>
          <t>DALARNAS LÄN</t>
        </is>
      </c>
      <c r="E9645" t="inlineStr">
        <is>
          <t>FALUN</t>
        </is>
      </c>
      <c r="G9645" t="n">
        <v>0.9</v>
      </c>
      <c r="H9645" t="n">
        <v>0</v>
      </c>
      <c r="I9645" t="n">
        <v>0</v>
      </c>
      <c r="J9645" t="n">
        <v>0</v>
      </c>
      <c r="K9645" t="n">
        <v>0</v>
      </c>
      <c r="L9645" t="n">
        <v>0</v>
      </c>
      <c r="M9645" t="n">
        <v>0</v>
      </c>
      <c r="N9645" t="n">
        <v>0</v>
      </c>
      <c r="O9645" t="n">
        <v>0</v>
      </c>
      <c r="P9645" t="n">
        <v>0</v>
      </c>
      <c r="Q9645" t="n">
        <v>0</v>
      </c>
      <c r="R9645" s="2" t="inlineStr"/>
    </row>
    <row r="9646" ht="15" customHeight="1">
      <c r="A9646" t="inlineStr">
        <is>
          <t>A 64072-2025</t>
        </is>
      </c>
      <c r="B9646" s="1" t="n">
        <v>46021</v>
      </c>
      <c r="C9646" s="1" t="n">
        <v>46114</v>
      </c>
      <c r="D9646" t="inlineStr">
        <is>
          <t>DALARNAS LÄN</t>
        </is>
      </c>
      <c r="E9646" t="inlineStr">
        <is>
          <t>VANSBRO</t>
        </is>
      </c>
      <c r="G9646" t="n">
        <v>19.1</v>
      </c>
      <c r="H9646" t="n">
        <v>0</v>
      </c>
      <c r="I9646" t="n">
        <v>0</v>
      </c>
      <c r="J9646" t="n">
        <v>0</v>
      </c>
      <c r="K9646" t="n">
        <v>0</v>
      </c>
      <c r="L9646" t="n">
        <v>0</v>
      </c>
      <c r="M9646" t="n">
        <v>0</v>
      </c>
      <c r="N9646" t="n">
        <v>0</v>
      </c>
      <c r="O9646" t="n">
        <v>0</v>
      </c>
      <c r="P9646" t="n">
        <v>0</v>
      </c>
      <c r="Q9646" t="n">
        <v>0</v>
      </c>
      <c r="R9646" s="2" t="inlineStr"/>
    </row>
    <row r="9647" ht="15" customHeight="1">
      <c r="A9647" t="inlineStr">
        <is>
          <t>A 64133-2025</t>
        </is>
      </c>
      <c r="B9647" s="1" t="n">
        <v>46022</v>
      </c>
      <c r="C9647" s="1" t="n">
        <v>46114</v>
      </c>
      <c r="D9647" t="inlineStr">
        <is>
          <t>DALARNAS LÄN</t>
        </is>
      </c>
      <c r="E9647" t="inlineStr">
        <is>
          <t>ORSA</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70621-2021</t>
        </is>
      </c>
      <c r="B9648" s="1" t="n">
        <v>44537.4658449074</v>
      </c>
      <c r="C9648" s="1" t="n">
        <v>46114</v>
      </c>
      <c r="D9648" t="inlineStr">
        <is>
          <t>DALARNAS LÄN</t>
        </is>
      </c>
      <c r="E9648" t="inlineStr">
        <is>
          <t>BORLÄNGE</t>
        </is>
      </c>
      <c r="G9648" t="n">
        <v>3.5</v>
      </c>
      <c r="H9648" t="n">
        <v>0</v>
      </c>
      <c r="I9648" t="n">
        <v>0</v>
      </c>
      <c r="J9648" t="n">
        <v>0</v>
      </c>
      <c r="K9648" t="n">
        <v>0</v>
      </c>
      <c r="L9648" t="n">
        <v>0</v>
      </c>
      <c r="M9648" t="n">
        <v>0</v>
      </c>
      <c r="N9648" t="n">
        <v>0</v>
      </c>
      <c r="O9648" t="n">
        <v>0</v>
      </c>
      <c r="P9648" t="n">
        <v>0</v>
      </c>
      <c r="Q9648" t="n">
        <v>0</v>
      </c>
      <c r="R9648" s="2" t="inlineStr"/>
    </row>
    <row r="9649" ht="15" customHeight="1">
      <c r="A9649" t="inlineStr">
        <is>
          <t>A 16073-2026</t>
        </is>
      </c>
      <c r="B9649" s="1" t="n">
        <v>46108.53928240741</v>
      </c>
      <c r="C9649" s="1" t="n">
        <v>46114</v>
      </c>
      <c r="D9649" t="inlineStr">
        <is>
          <t>DALARNAS LÄN</t>
        </is>
      </c>
      <c r="E9649" t="inlineStr">
        <is>
          <t>FALUN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16114-2026</t>
        </is>
      </c>
      <c r="B9650" s="1" t="n">
        <v>46108.61211805556</v>
      </c>
      <c r="C9650" s="1" t="n">
        <v>46114</v>
      </c>
      <c r="D9650" t="inlineStr">
        <is>
          <t>DALARNAS LÄN</t>
        </is>
      </c>
      <c r="E9650" t="inlineStr">
        <is>
          <t>MORA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16118-2026</t>
        </is>
      </c>
      <c r="B9651" s="1" t="n">
        <v>46108.61659722222</v>
      </c>
      <c r="C9651" s="1" t="n">
        <v>46114</v>
      </c>
      <c r="D9651" t="inlineStr">
        <is>
          <t>DALARNAS LÄN</t>
        </is>
      </c>
      <c r="E9651" t="inlineStr">
        <is>
          <t>FALUN</t>
        </is>
      </c>
      <c r="F9651" t="inlineStr">
        <is>
          <t>Allmännings- och besparingsskogar</t>
        </is>
      </c>
      <c r="G9651" t="n">
        <v>11.4</v>
      </c>
      <c r="H9651" t="n">
        <v>0</v>
      </c>
      <c r="I9651" t="n">
        <v>0</v>
      </c>
      <c r="J9651" t="n">
        <v>0</v>
      </c>
      <c r="K9651" t="n">
        <v>0</v>
      </c>
      <c r="L9651" t="n">
        <v>0</v>
      </c>
      <c r="M9651" t="n">
        <v>0</v>
      </c>
      <c r="N9651" t="n">
        <v>0</v>
      </c>
      <c r="O9651" t="n">
        <v>0</v>
      </c>
      <c r="P9651" t="n">
        <v>0</v>
      </c>
      <c r="Q9651" t="n">
        <v>0</v>
      </c>
      <c r="R9651" s="2" t="inlineStr"/>
    </row>
    <row r="9652" ht="15" customHeight="1">
      <c r="A9652" t="inlineStr">
        <is>
          <t>A 16123-2026</t>
        </is>
      </c>
      <c r="B9652" s="1" t="n">
        <v>46108.62996527777</v>
      </c>
      <c r="C9652" s="1" t="n">
        <v>46114</v>
      </c>
      <c r="D9652" t="inlineStr">
        <is>
          <t>DALARNAS LÄN</t>
        </is>
      </c>
      <c r="E9652" t="inlineStr">
        <is>
          <t>ÄLVDALEN</t>
        </is>
      </c>
      <c r="F9652" t="inlineStr">
        <is>
          <t>Allmännings- och besparingsskogar</t>
        </is>
      </c>
      <c r="G9652" t="n">
        <v>14.5</v>
      </c>
      <c r="H9652" t="n">
        <v>0</v>
      </c>
      <c r="I9652" t="n">
        <v>0</v>
      </c>
      <c r="J9652" t="n">
        <v>0</v>
      </c>
      <c r="K9652" t="n">
        <v>0</v>
      </c>
      <c r="L9652" t="n">
        <v>0</v>
      </c>
      <c r="M9652" t="n">
        <v>0</v>
      </c>
      <c r="N9652" t="n">
        <v>0</v>
      </c>
      <c r="O9652" t="n">
        <v>0</v>
      </c>
      <c r="P9652" t="n">
        <v>0</v>
      </c>
      <c r="Q9652" t="n">
        <v>0</v>
      </c>
      <c r="R9652" s="2" t="inlineStr"/>
    </row>
    <row r="9653" ht="15" customHeight="1">
      <c r="A9653" t="inlineStr">
        <is>
          <t>A 16133-2026</t>
        </is>
      </c>
      <c r="B9653" s="1" t="n">
        <v>46108.64758101852</v>
      </c>
      <c r="C9653" s="1" t="n">
        <v>46114</v>
      </c>
      <c r="D9653" t="inlineStr">
        <is>
          <t>DALARNAS LÄN</t>
        </is>
      </c>
      <c r="E9653" t="inlineStr">
        <is>
          <t>FALUN</t>
        </is>
      </c>
      <c r="F9653" t="inlineStr">
        <is>
          <t>Allmännings- och besparingsskogar</t>
        </is>
      </c>
      <c r="G9653" t="n">
        <v>2.2</v>
      </c>
      <c r="H9653" t="n">
        <v>0</v>
      </c>
      <c r="I9653" t="n">
        <v>0</v>
      </c>
      <c r="J9653" t="n">
        <v>0</v>
      </c>
      <c r="K9653" t="n">
        <v>0</v>
      </c>
      <c r="L9653" t="n">
        <v>0</v>
      </c>
      <c r="M9653" t="n">
        <v>0</v>
      </c>
      <c r="N9653" t="n">
        <v>0</v>
      </c>
      <c r="O9653" t="n">
        <v>0</v>
      </c>
      <c r="P9653" t="n">
        <v>0</v>
      </c>
      <c r="Q9653" t="n">
        <v>0</v>
      </c>
      <c r="R9653" s="2" t="inlineStr"/>
    </row>
    <row r="9654" ht="15" customHeight="1">
      <c r="A9654" t="inlineStr">
        <is>
          <t>A 8810-2026</t>
        </is>
      </c>
      <c r="B9654" s="1" t="n">
        <v>46066.6115625</v>
      </c>
      <c r="C9654" s="1" t="n">
        <v>46114</v>
      </c>
      <c r="D9654" t="inlineStr">
        <is>
          <t>DALARNAS LÄN</t>
        </is>
      </c>
      <c r="E9654" t="inlineStr">
        <is>
          <t>SÄTER</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11233-2026</t>
        </is>
      </c>
      <c r="B9655" s="1" t="n">
        <v>46080</v>
      </c>
      <c r="C9655" s="1" t="n">
        <v>46114</v>
      </c>
      <c r="D9655" t="inlineStr">
        <is>
          <t>DALARNAS LÄN</t>
        </is>
      </c>
      <c r="E9655" t="inlineStr">
        <is>
          <t>FALUN</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14907-2026</t>
        </is>
      </c>
      <c r="B9656" s="1" t="n">
        <v>46104</v>
      </c>
      <c r="C9656" s="1" t="n">
        <v>46114</v>
      </c>
      <c r="D9656" t="inlineStr">
        <is>
          <t>DALARNAS LÄN</t>
        </is>
      </c>
      <c r="E9656" t="inlineStr">
        <is>
          <t>FALUN</t>
        </is>
      </c>
      <c r="G9656" t="n">
        <v>0.5</v>
      </c>
      <c r="H9656" t="n">
        <v>0</v>
      </c>
      <c r="I9656" t="n">
        <v>0</v>
      </c>
      <c r="J9656" t="n">
        <v>0</v>
      </c>
      <c r="K9656" t="n">
        <v>0</v>
      </c>
      <c r="L9656" t="n">
        <v>0</v>
      </c>
      <c r="M9656" t="n">
        <v>0</v>
      </c>
      <c r="N9656" t="n">
        <v>0</v>
      </c>
      <c r="O9656" t="n">
        <v>0</v>
      </c>
      <c r="P9656" t="n">
        <v>0</v>
      </c>
      <c r="Q9656" t="n">
        <v>0</v>
      </c>
      <c r="R9656" s="2" t="inlineStr"/>
    </row>
    <row r="9657" ht="15" customHeight="1">
      <c r="A9657" t="inlineStr">
        <is>
          <t>A 8725-2026</t>
        </is>
      </c>
      <c r="B9657" s="1" t="n">
        <v>46066</v>
      </c>
      <c r="C9657" s="1" t="n">
        <v>46114</v>
      </c>
      <c r="D9657" t="inlineStr">
        <is>
          <t>DALARNAS LÄN</t>
        </is>
      </c>
      <c r="E9657" t="inlineStr">
        <is>
          <t>ORSA</t>
        </is>
      </c>
      <c r="F9657" t="inlineStr">
        <is>
          <t>Bergvik skog öst AB</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9102-2026</t>
        </is>
      </c>
      <c r="B9658" s="1" t="n">
        <v>46069</v>
      </c>
      <c r="C9658" s="1" t="n">
        <v>46114</v>
      </c>
      <c r="D9658" t="inlineStr">
        <is>
          <t>DALARNAS LÄN</t>
        </is>
      </c>
      <c r="E9658" t="inlineStr">
        <is>
          <t>FALUN</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9135-2026</t>
        </is>
      </c>
      <c r="B9659" s="1" t="n">
        <v>46069</v>
      </c>
      <c r="C9659" s="1" t="n">
        <v>46114</v>
      </c>
      <c r="D9659" t="inlineStr">
        <is>
          <t>DALARNAS LÄN</t>
        </is>
      </c>
      <c r="E9659" t="inlineStr">
        <is>
          <t>FALUN</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8991-2026</t>
        </is>
      </c>
      <c r="B9660" s="1" t="n">
        <v>46069.46327546296</v>
      </c>
      <c r="C9660" s="1" t="n">
        <v>46114</v>
      </c>
      <c r="D9660" t="inlineStr">
        <is>
          <t>DALARNAS LÄN</t>
        </is>
      </c>
      <c r="E9660" t="inlineStr">
        <is>
          <t>SÄTER</t>
        </is>
      </c>
      <c r="G9660" t="n">
        <v>4.4</v>
      </c>
      <c r="H9660" t="n">
        <v>0</v>
      </c>
      <c r="I9660" t="n">
        <v>0</v>
      </c>
      <c r="J9660" t="n">
        <v>0</v>
      </c>
      <c r="K9660" t="n">
        <v>0</v>
      </c>
      <c r="L9660" t="n">
        <v>0</v>
      </c>
      <c r="M9660" t="n">
        <v>0</v>
      </c>
      <c r="N9660" t="n">
        <v>0</v>
      </c>
      <c r="O9660" t="n">
        <v>0</v>
      </c>
      <c r="P9660" t="n">
        <v>0</v>
      </c>
      <c r="Q9660" t="n">
        <v>0</v>
      </c>
      <c r="R9660" s="2" t="inlineStr"/>
    </row>
    <row r="9661" ht="15" customHeight="1">
      <c r="A9661" t="inlineStr">
        <is>
          <t>A 8644-2026</t>
        </is>
      </c>
      <c r="B9661" s="1" t="n">
        <v>46066.36326388889</v>
      </c>
      <c r="C9661" s="1" t="n">
        <v>46114</v>
      </c>
      <c r="D9661" t="inlineStr">
        <is>
          <t>DALARNAS LÄN</t>
        </is>
      </c>
      <c r="E9661" t="inlineStr">
        <is>
          <t>ÄLVDALEN</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15714-2026</t>
        </is>
      </c>
      <c r="B9662" s="1" t="n">
        <v>46107</v>
      </c>
      <c r="C9662" s="1" t="n">
        <v>46114</v>
      </c>
      <c r="D9662" t="inlineStr">
        <is>
          <t>DALARNAS LÄN</t>
        </is>
      </c>
      <c r="E9662" t="inlineStr">
        <is>
          <t>FALUN</t>
        </is>
      </c>
      <c r="G9662" t="n">
        <v>6.3</v>
      </c>
      <c r="H9662" t="n">
        <v>0</v>
      </c>
      <c r="I9662" t="n">
        <v>0</v>
      </c>
      <c r="J9662" t="n">
        <v>0</v>
      </c>
      <c r="K9662" t="n">
        <v>0</v>
      </c>
      <c r="L9662" t="n">
        <v>0</v>
      </c>
      <c r="M9662" t="n">
        <v>0</v>
      </c>
      <c r="N9662" t="n">
        <v>0</v>
      </c>
      <c r="O9662" t="n">
        <v>0</v>
      </c>
      <c r="P9662" t="n">
        <v>0</v>
      </c>
      <c r="Q9662" t="n">
        <v>0</v>
      </c>
      <c r="R9662" s="2" t="inlineStr"/>
    </row>
    <row r="9663" ht="15" customHeight="1">
      <c r="A9663" t="inlineStr">
        <is>
          <t>A 15207-2026</t>
        </is>
      </c>
      <c r="B9663" s="1" t="n">
        <v>46105</v>
      </c>
      <c r="C9663" s="1" t="n">
        <v>46114</v>
      </c>
      <c r="D9663" t="inlineStr">
        <is>
          <t>DALARNAS LÄN</t>
        </is>
      </c>
      <c r="E9663" t="inlineStr">
        <is>
          <t>FALUN</t>
        </is>
      </c>
      <c r="G9663" t="n">
        <v>2.1</v>
      </c>
      <c r="H9663" t="n">
        <v>0</v>
      </c>
      <c r="I9663" t="n">
        <v>0</v>
      </c>
      <c r="J9663" t="n">
        <v>0</v>
      </c>
      <c r="K9663" t="n">
        <v>0</v>
      </c>
      <c r="L9663" t="n">
        <v>0</v>
      </c>
      <c r="M9663" t="n">
        <v>0</v>
      </c>
      <c r="N9663" t="n">
        <v>0</v>
      </c>
      <c r="O9663" t="n">
        <v>0</v>
      </c>
      <c r="P9663" t="n">
        <v>0</v>
      </c>
      <c r="Q9663" t="n">
        <v>0</v>
      </c>
      <c r="R9663" s="2" t="inlineStr"/>
    </row>
    <row r="9664" ht="15" customHeight="1">
      <c r="A9664" t="inlineStr">
        <is>
          <t>A 15208-2026</t>
        </is>
      </c>
      <c r="B9664" s="1" t="n">
        <v>46105</v>
      </c>
      <c r="C9664" s="1" t="n">
        <v>46114</v>
      </c>
      <c r="D9664" t="inlineStr">
        <is>
          <t>DALARNAS LÄN</t>
        </is>
      </c>
      <c r="E9664" t="inlineStr">
        <is>
          <t>FALUN</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59954-2023</t>
        </is>
      </c>
      <c r="B9665" s="1" t="n">
        <v>45257</v>
      </c>
      <c r="C9665" s="1" t="n">
        <v>46114</v>
      </c>
      <c r="D9665" t="inlineStr">
        <is>
          <t>DALARNAS LÄN</t>
        </is>
      </c>
      <c r="E9665" t="inlineStr">
        <is>
          <t>MALUNG-SÄLEN</t>
        </is>
      </c>
      <c r="G9665" t="n">
        <v>10.1</v>
      </c>
      <c r="H9665" t="n">
        <v>0</v>
      </c>
      <c r="I9665" t="n">
        <v>0</v>
      </c>
      <c r="J9665" t="n">
        <v>0</v>
      </c>
      <c r="K9665" t="n">
        <v>0</v>
      </c>
      <c r="L9665" t="n">
        <v>0</v>
      </c>
      <c r="M9665" t="n">
        <v>0</v>
      </c>
      <c r="N9665" t="n">
        <v>0</v>
      </c>
      <c r="O9665" t="n">
        <v>0</v>
      </c>
      <c r="P9665" t="n">
        <v>0</v>
      </c>
      <c r="Q9665" t="n">
        <v>0</v>
      </c>
      <c r="R9665" s="2" t="inlineStr"/>
    </row>
    <row r="9666" ht="15" customHeight="1">
      <c r="A9666" t="inlineStr">
        <is>
          <t>A 9080-2026</t>
        </is>
      </c>
      <c r="B9666" s="1" t="n">
        <v>46069</v>
      </c>
      <c r="C9666" s="1" t="n">
        <v>46114</v>
      </c>
      <c r="D9666" t="inlineStr">
        <is>
          <t>DALARNAS LÄN</t>
        </is>
      </c>
      <c r="E9666" t="inlineStr">
        <is>
          <t>FALUN</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9082-2026</t>
        </is>
      </c>
      <c r="B9667" s="1" t="n">
        <v>46069.60684027777</v>
      </c>
      <c r="C9667" s="1" t="n">
        <v>46114</v>
      </c>
      <c r="D9667" t="inlineStr">
        <is>
          <t>DALARNAS LÄN</t>
        </is>
      </c>
      <c r="E9667" t="inlineStr">
        <is>
          <t>FALUN</t>
        </is>
      </c>
      <c r="F9667" t="inlineStr">
        <is>
          <t>Bergvik skog väst AB</t>
        </is>
      </c>
      <c r="G9667" t="n">
        <v>5.8</v>
      </c>
      <c r="H9667" t="n">
        <v>0</v>
      </c>
      <c r="I9667" t="n">
        <v>0</v>
      </c>
      <c r="J9667" t="n">
        <v>0</v>
      </c>
      <c r="K9667" t="n">
        <v>0</v>
      </c>
      <c r="L9667" t="n">
        <v>0</v>
      </c>
      <c r="M9667" t="n">
        <v>0</v>
      </c>
      <c r="N9667" t="n">
        <v>0</v>
      </c>
      <c r="O9667" t="n">
        <v>0</v>
      </c>
      <c r="P9667" t="n">
        <v>0</v>
      </c>
      <c r="Q9667" t="n">
        <v>0</v>
      </c>
      <c r="R9667" s="2" t="inlineStr"/>
    </row>
    <row r="9668" ht="15" customHeight="1">
      <c r="A9668" t="inlineStr">
        <is>
          <t>A 9128-2026</t>
        </is>
      </c>
      <c r="B9668" s="1" t="n">
        <v>46069.70519675926</v>
      </c>
      <c r="C9668" s="1" t="n">
        <v>46114</v>
      </c>
      <c r="D9668" t="inlineStr">
        <is>
          <t>DALARNAS LÄN</t>
        </is>
      </c>
      <c r="E9668" t="inlineStr">
        <is>
          <t>FALUN</t>
        </is>
      </c>
      <c r="G9668" t="n">
        <v>4.3</v>
      </c>
      <c r="H9668" t="n">
        <v>0</v>
      </c>
      <c r="I9668" t="n">
        <v>0</v>
      </c>
      <c r="J9668" t="n">
        <v>0</v>
      </c>
      <c r="K9668" t="n">
        <v>0</v>
      </c>
      <c r="L9668" t="n">
        <v>0</v>
      </c>
      <c r="M9668" t="n">
        <v>0</v>
      </c>
      <c r="N9668" t="n">
        <v>0</v>
      </c>
      <c r="O9668" t="n">
        <v>0</v>
      </c>
      <c r="P9668" t="n">
        <v>0</v>
      </c>
      <c r="Q9668" t="n">
        <v>0</v>
      </c>
      <c r="R9668" s="2" t="inlineStr"/>
    </row>
    <row r="9669" ht="15" customHeight="1">
      <c r="A9669" t="inlineStr">
        <is>
          <t>A 9131-2026</t>
        </is>
      </c>
      <c r="B9669" s="1" t="n">
        <v>46069</v>
      </c>
      <c r="C9669" s="1" t="n">
        <v>46114</v>
      </c>
      <c r="D9669" t="inlineStr">
        <is>
          <t>DALARNAS LÄN</t>
        </is>
      </c>
      <c r="E9669" t="inlineStr">
        <is>
          <t>FALUN</t>
        </is>
      </c>
      <c r="G9669" t="n">
        <v>2.1</v>
      </c>
      <c r="H9669" t="n">
        <v>0</v>
      </c>
      <c r="I9669" t="n">
        <v>0</v>
      </c>
      <c r="J9669" t="n">
        <v>0</v>
      </c>
      <c r="K9669" t="n">
        <v>0</v>
      </c>
      <c r="L9669" t="n">
        <v>0</v>
      </c>
      <c r="M9669" t="n">
        <v>0</v>
      </c>
      <c r="N9669" t="n">
        <v>0</v>
      </c>
      <c r="O9669" t="n">
        <v>0</v>
      </c>
      <c r="P9669" t="n">
        <v>0</v>
      </c>
      <c r="Q9669" t="n">
        <v>0</v>
      </c>
      <c r="R9669" s="2" t="inlineStr"/>
    </row>
    <row r="9670" ht="15" customHeight="1">
      <c r="A9670" t="inlineStr">
        <is>
          <t>A 12923-2026</t>
        </is>
      </c>
      <c r="B9670" s="1" t="n">
        <v>46092</v>
      </c>
      <c r="C9670" s="1" t="n">
        <v>46114</v>
      </c>
      <c r="D9670" t="inlineStr">
        <is>
          <t>DALARNAS LÄN</t>
        </is>
      </c>
      <c r="E9670" t="inlineStr">
        <is>
          <t>BORLÄNGE</t>
        </is>
      </c>
      <c r="G9670" t="n">
        <v>3.5</v>
      </c>
      <c r="H9670" t="n">
        <v>0</v>
      </c>
      <c r="I9670" t="n">
        <v>0</v>
      </c>
      <c r="J9670" t="n">
        <v>0</v>
      </c>
      <c r="K9670" t="n">
        <v>0</v>
      </c>
      <c r="L9670" t="n">
        <v>0</v>
      </c>
      <c r="M9670" t="n">
        <v>0</v>
      </c>
      <c r="N9670" t="n">
        <v>0</v>
      </c>
      <c r="O9670" t="n">
        <v>0</v>
      </c>
      <c r="P9670" t="n">
        <v>0</v>
      </c>
      <c r="Q9670" t="n">
        <v>0</v>
      </c>
      <c r="R9670" s="2" t="inlineStr"/>
    </row>
    <row r="9671" ht="15" customHeight="1">
      <c r="A9671" t="inlineStr">
        <is>
          <t>A 60060-2023</t>
        </is>
      </c>
      <c r="B9671" s="1" t="n">
        <v>45258.38181712963</v>
      </c>
      <c r="C9671" s="1" t="n">
        <v>46114</v>
      </c>
      <c r="D9671" t="inlineStr">
        <is>
          <t>DALARNAS LÄN</t>
        </is>
      </c>
      <c r="E9671" t="inlineStr">
        <is>
          <t>BORLÄNGE</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51606-2023</t>
        </is>
      </c>
      <c r="B9672" s="1" t="n">
        <v>45222.49092592593</v>
      </c>
      <c r="C9672" s="1" t="n">
        <v>46114</v>
      </c>
      <c r="D9672" t="inlineStr">
        <is>
          <t>DALARNAS LÄN</t>
        </is>
      </c>
      <c r="E9672" t="inlineStr">
        <is>
          <t>VANSBRO</t>
        </is>
      </c>
      <c r="F9672" t="inlineStr">
        <is>
          <t>Bergvik skog väst AB</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5975-2026</t>
        </is>
      </c>
      <c r="B9673" s="1" t="n">
        <v>46052</v>
      </c>
      <c r="C9673" s="1" t="n">
        <v>46114</v>
      </c>
      <c r="D9673" t="inlineStr">
        <is>
          <t>DALARNAS LÄN</t>
        </is>
      </c>
      <c r="E9673" t="inlineStr">
        <is>
          <t>RÄTTVIK</t>
        </is>
      </c>
      <c r="G9673" t="n">
        <v>16.1</v>
      </c>
      <c r="H9673" t="n">
        <v>0</v>
      </c>
      <c r="I9673" t="n">
        <v>0</v>
      </c>
      <c r="J9673" t="n">
        <v>0</v>
      </c>
      <c r="K9673" t="n">
        <v>0</v>
      </c>
      <c r="L9673" t="n">
        <v>0</v>
      </c>
      <c r="M9673" t="n">
        <v>0</v>
      </c>
      <c r="N9673" t="n">
        <v>0</v>
      </c>
      <c r="O9673" t="n">
        <v>0</v>
      </c>
      <c r="P9673" t="n">
        <v>0</v>
      </c>
      <c r="Q9673" t="n">
        <v>0</v>
      </c>
      <c r="R9673" s="2" t="inlineStr"/>
    </row>
    <row r="9674" ht="15" customHeight="1">
      <c r="A9674" t="inlineStr">
        <is>
          <t>A 6799-2026</t>
        </is>
      </c>
      <c r="B9674" s="1" t="n">
        <v>46055</v>
      </c>
      <c r="C9674" s="1" t="n">
        <v>46114</v>
      </c>
      <c r="D9674" t="inlineStr">
        <is>
          <t>DALARNAS LÄN</t>
        </is>
      </c>
      <c r="E9674" t="inlineStr">
        <is>
          <t>FALUN</t>
        </is>
      </c>
      <c r="F9674" t="inlineStr">
        <is>
          <t>Övriga statliga verk och myndigheter</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16303-2026</t>
        </is>
      </c>
      <c r="B9675" s="1" t="n">
        <v>46111.53947916667</v>
      </c>
      <c r="C9675" s="1" t="n">
        <v>46114</v>
      </c>
      <c r="D9675" t="inlineStr">
        <is>
          <t>DALARNAS LÄN</t>
        </is>
      </c>
      <c r="E9675" t="inlineStr">
        <is>
          <t>FALUN</t>
        </is>
      </c>
      <c r="G9675" t="n">
        <v>7.5</v>
      </c>
      <c r="H9675" t="n">
        <v>0</v>
      </c>
      <c r="I9675" t="n">
        <v>0</v>
      </c>
      <c r="J9675" t="n">
        <v>0</v>
      </c>
      <c r="K9675" t="n">
        <v>0</v>
      </c>
      <c r="L9675" t="n">
        <v>0</v>
      </c>
      <c r="M9675" t="n">
        <v>0</v>
      </c>
      <c r="N9675" t="n">
        <v>0</v>
      </c>
      <c r="O9675" t="n">
        <v>0</v>
      </c>
      <c r="P9675" t="n">
        <v>0</v>
      </c>
      <c r="Q9675" t="n">
        <v>0</v>
      </c>
      <c r="R9675" s="2" t="inlineStr"/>
    </row>
    <row r="9676" ht="15" customHeight="1">
      <c r="A9676" t="inlineStr">
        <is>
          <t>A 6792-2026</t>
        </is>
      </c>
      <c r="B9676" s="1" t="n">
        <v>46055</v>
      </c>
      <c r="C9676" s="1" t="n">
        <v>46114</v>
      </c>
      <c r="D9676" t="inlineStr">
        <is>
          <t>DALARNAS LÄN</t>
        </is>
      </c>
      <c r="E9676" t="inlineStr">
        <is>
          <t>FALUN</t>
        </is>
      </c>
      <c r="F9676" t="inlineStr">
        <is>
          <t>Övriga statliga verk och myndigheter</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8766-2026</t>
        </is>
      </c>
      <c r="B9677" s="1" t="n">
        <v>46066</v>
      </c>
      <c r="C9677" s="1" t="n">
        <v>46114</v>
      </c>
      <c r="D9677" t="inlineStr">
        <is>
          <t>DALARNAS LÄN</t>
        </is>
      </c>
      <c r="E9677" t="inlineStr">
        <is>
          <t>RÄTTVIK</t>
        </is>
      </c>
      <c r="G9677" t="n">
        <v>0.1</v>
      </c>
      <c r="H9677" t="n">
        <v>0</v>
      </c>
      <c r="I9677" t="n">
        <v>0</v>
      </c>
      <c r="J9677" t="n">
        <v>0</v>
      </c>
      <c r="K9677" t="n">
        <v>0</v>
      </c>
      <c r="L9677" t="n">
        <v>0</v>
      </c>
      <c r="M9677" t="n">
        <v>0</v>
      </c>
      <c r="N9677" t="n">
        <v>0</v>
      </c>
      <c r="O9677" t="n">
        <v>0</v>
      </c>
      <c r="P9677" t="n">
        <v>0</v>
      </c>
      <c r="Q9677" t="n">
        <v>0</v>
      </c>
      <c r="R9677" s="2" t="inlineStr"/>
    </row>
    <row r="9678" ht="15" customHeight="1">
      <c r="A9678" t="inlineStr">
        <is>
          <t>A 14558-2026</t>
        </is>
      </c>
      <c r="B9678" s="1" t="n">
        <v>46100</v>
      </c>
      <c r="C9678" s="1" t="n">
        <v>46114</v>
      </c>
      <c r="D9678" t="inlineStr">
        <is>
          <t>DALARNAS LÄN</t>
        </is>
      </c>
      <c r="E9678" t="inlineStr">
        <is>
          <t>FALUN</t>
        </is>
      </c>
      <c r="F9678" t="inlineStr">
        <is>
          <t>Allmännings- och besparingsskogar</t>
        </is>
      </c>
      <c r="G9678" t="n">
        <v>9.800000000000001</v>
      </c>
      <c r="H9678" t="n">
        <v>0</v>
      </c>
      <c r="I9678" t="n">
        <v>0</v>
      </c>
      <c r="J9678" t="n">
        <v>0</v>
      </c>
      <c r="K9678" t="n">
        <v>0</v>
      </c>
      <c r="L9678" t="n">
        <v>0</v>
      </c>
      <c r="M9678" t="n">
        <v>0</v>
      </c>
      <c r="N9678" t="n">
        <v>0</v>
      </c>
      <c r="O9678" t="n">
        <v>0</v>
      </c>
      <c r="P9678" t="n">
        <v>0</v>
      </c>
      <c r="Q9678" t="n">
        <v>0</v>
      </c>
      <c r="R9678" s="2" t="inlineStr"/>
    </row>
    <row r="9679" ht="15" customHeight="1">
      <c r="A9679" t="inlineStr">
        <is>
          <t>A 14658-2026</t>
        </is>
      </c>
      <c r="B9679" s="1" t="n">
        <v>46101</v>
      </c>
      <c r="C9679" s="1" t="n">
        <v>46114</v>
      </c>
      <c r="D9679" t="inlineStr">
        <is>
          <t>DALARNAS LÄN</t>
        </is>
      </c>
      <c r="E9679" t="inlineStr">
        <is>
          <t>FALUN</t>
        </is>
      </c>
      <c r="G9679" t="n">
        <v>4.1</v>
      </c>
      <c r="H9679" t="n">
        <v>0</v>
      </c>
      <c r="I9679" t="n">
        <v>0</v>
      </c>
      <c r="J9679" t="n">
        <v>0</v>
      </c>
      <c r="K9679" t="n">
        <v>0</v>
      </c>
      <c r="L9679" t="n">
        <v>0</v>
      </c>
      <c r="M9679" t="n">
        <v>0</v>
      </c>
      <c r="N9679" t="n">
        <v>0</v>
      </c>
      <c r="O9679" t="n">
        <v>0</v>
      </c>
      <c r="P9679" t="n">
        <v>0</v>
      </c>
      <c r="Q9679" t="n">
        <v>0</v>
      </c>
      <c r="R9679" s="2" t="inlineStr"/>
    </row>
    <row r="9680" ht="15" customHeight="1">
      <c r="A9680" t="inlineStr">
        <is>
          <t>A 16115-2026</t>
        </is>
      </c>
      <c r="B9680" s="1" t="n">
        <v>46108.6127662037</v>
      </c>
      <c r="C9680" s="1" t="n">
        <v>46114</v>
      </c>
      <c r="D9680" t="inlineStr">
        <is>
          <t>DALARNAS LÄN</t>
        </is>
      </c>
      <c r="E9680" t="inlineStr">
        <is>
          <t>RÄTTVIK</t>
        </is>
      </c>
      <c r="F9680" t="inlineStr">
        <is>
          <t>Bergvik skog väst AB</t>
        </is>
      </c>
      <c r="G9680" t="n">
        <v>3.2</v>
      </c>
      <c r="H9680" t="n">
        <v>0</v>
      </c>
      <c r="I9680" t="n">
        <v>0</v>
      </c>
      <c r="J9680" t="n">
        <v>0</v>
      </c>
      <c r="K9680" t="n">
        <v>0</v>
      </c>
      <c r="L9680" t="n">
        <v>0</v>
      </c>
      <c r="M9680" t="n">
        <v>0</v>
      </c>
      <c r="N9680" t="n">
        <v>0</v>
      </c>
      <c r="O9680" t="n">
        <v>0</v>
      </c>
      <c r="P9680" t="n">
        <v>0</v>
      </c>
      <c r="Q9680" t="n">
        <v>0</v>
      </c>
      <c r="R9680" s="2" t="inlineStr"/>
    </row>
    <row r="9681" ht="15" customHeight="1">
      <c r="A9681" t="inlineStr">
        <is>
          <t>A 35746-2025</t>
        </is>
      </c>
      <c r="B9681" s="1" t="n">
        <v>45860</v>
      </c>
      <c r="C9681" s="1" t="n">
        <v>46114</v>
      </c>
      <c r="D9681" t="inlineStr">
        <is>
          <t>DALARNAS LÄN</t>
        </is>
      </c>
      <c r="E9681" t="inlineStr">
        <is>
          <t>LEKSAND</t>
        </is>
      </c>
      <c r="G9681" t="n">
        <v>1.9</v>
      </c>
      <c r="H9681" t="n">
        <v>0</v>
      </c>
      <c r="I9681" t="n">
        <v>0</v>
      </c>
      <c r="J9681" t="n">
        <v>0</v>
      </c>
      <c r="K9681" t="n">
        <v>0</v>
      </c>
      <c r="L9681" t="n">
        <v>0</v>
      </c>
      <c r="M9681" t="n">
        <v>0</v>
      </c>
      <c r="N9681" t="n">
        <v>0</v>
      </c>
      <c r="O9681" t="n">
        <v>0</v>
      </c>
      <c r="P9681" t="n">
        <v>0</v>
      </c>
      <c r="Q9681" t="n">
        <v>0</v>
      </c>
      <c r="R9681" s="2" t="inlineStr"/>
    </row>
    <row r="9682" ht="15" customHeight="1">
      <c r="A9682" t="inlineStr">
        <is>
          <t>A 4238-2026</t>
        </is>
      </c>
      <c r="B9682" s="1" t="n">
        <v>46044</v>
      </c>
      <c r="C9682" s="1" t="n">
        <v>46114</v>
      </c>
      <c r="D9682" t="inlineStr">
        <is>
          <t>DALARNAS LÄN</t>
        </is>
      </c>
      <c r="E9682" t="inlineStr">
        <is>
          <t>GAGNEF</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16265-2026</t>
        </is>
      </c>
      <c r="B9683" s="1" t="n">
        <v>46111.48438657408</v>
      </c>
      <c r="C9683" s="1" t="n">
        <v>46114</v>
      </c>
      <c r="D9683" t="inlineStr">
        <is>
          <t>DALARNAS LÄN</t>
        </is>
      </c>
      <c r="E9683" t="inlineStr">
        <is>
          <t>BORLÄNGE</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37836-2024</t>
        </is>
      </c>
      <c r="B9684" s="1" t="n">
        <v>45544.35747685185</v>
      </c>
      <c r="C9684" s="1" t="n">
        <v>46114</v>
      </c>
      <c r="D9684" t="inlineStr">
        <is>
          <t>DALARNAS LÄN</t>
        </is>
      </c>
      <c r="E9684" t="inlineStr">
        <is>
          <t>ORSA</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41275-2023</t>
        </is>
      </c>
      <c r="B9685" s="1" t="n">
        <v>45174.55957175926</v>
      </c>
      <c r="C9685" s="1" t="n">
        <v>46114</v>
      </c>
      <c r="D9685" t="inlineStr">
        <is>
          <t>DALARNAS LÄN</t>
        </is>
      </c>
      <c r="E9685" t="inlineStr">
        <is>
          <t>FALUN</t>
        </is>
      </c>
      <c r="G9685" t="n">
        <v>2.4</v>
      </c>
      <c r="H9685" t="n">
        <v>0</v>
      </c>
      <c r="I9685" t="n">
        <v>0</v>
      </c>
      <c r="J9685" t="n">
        <v>0</v>
      </c>
      <c r="K9685" t="n">
        <v>0</v>
      </c>
      <c r="L9685" t="n">
        <v>0</v>
      </c>
      <c r="M9685" t="n">
        <v>0</v>
      </c>
      <c r="N9685" t="n">
        <v>0</v>
      </c>
      <c r="O9685" t="n">
        <v>0</v>
      </c>
      <c r="P9685" t="n">
        <v>0</v>
      </c>
      <c r="Q9685" t="n">
        <v>0</v>
      </c>
      <c r="R9685" s="2" t="inlineStr"/>
    </row>
    <row r="9686" ht="15" customHeight="1">
      <c r="A9686" t="inlineStr">
        <is>
          <t>A 44240-2023</t>
        </is>
      </c>
      <c r="B9686" s="1" t="n">
        <v>45188</v>
      </c>
      <c r="C9686" s="1" t="n">
        <v>46114</v>
      </c>
      <c r="D9686" t="inlineStr">
        <is>
          <t>DALARNAS LÄN</t>
        </is>
      </c>
      <c r="E9686" t="inlineStr">
        <is>
          <t>BORLÄNGE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45390-2024</t>
        </is>
      </c>
      <c r="B9687" s="1" t="n">
        <v>45576.54820601852</v>
      </c>
      <c r="C9687" s="1" t="n">
        <v>46114</v>
      </c>
      <c r="D9687" t="inlineStr">
        <is>
          <t>DALARNAS LÄN</t>
        </is>
      </c>
      <c r="E9687" t="inlineStr">
        <is>
          <t>MORA</t>
        </is>
      </c>
      <c r="F9687" t="inlineStr">
        <is>
          <t>Bergvik skog väst AB</t>
        </is>
      </c>
      <c r="G9687" t="n">
        <v>5.6</v>
      </c>
      <c r="H9687" t="n">
        <v>0</v>
      </c>
      <c r="I9687" t="n">
        <v>0</v>
      </c>
      <c r="J9687" t="n">
        <v>0</v>
      </c>
      <c r="K9687" t="n">
        <v>0</v>
      </c>
      <c r="L9687" t="n">
        <v>0</v>
      </c>
      <c r="M9687" t="n">
        <v>0</v>
      </c>
      <c r="N9687" t="n">
        <v>0</v>
      </c>
      <c r="O9687" t="n">
        <v>0</v>
      </c>
      <c r="P9687" t="n">
        <v>0</v>
      </c>
      <c r="Q9687" t="n">
        <v>0</v>
      </c>
      <c r="R9687" s="2" t="inlineStr"/>
    </row>
    <row r="9688" ht="15" customHeight="1">
      <c r="A9688" t="inlineStr">
        <is>
          <t>A 8728-2026</t>
        </is>
      </c>
      <c r="B9688" s="1" t="n">
        <v>46066</v>
      </c>
      <c r="C9688" s="1" t="n">
        <v>46114</v>
      </c>
      <c r="D9688" t="inlineStr">
        <is>
          <t>DALARNAS LÄN</t>
        </is>
      </c>
      <c r="E9688" t="inlineStr">
        <is>
          <t>LUDVIKA</t>
        </is>
      </c>
      <c r="F9688" t="inlineStr">
        <is>
          <t>Bergvik skog väst AB</t>
        </is>
      </c>
      <c r="G9688" t="n">
        <v>2.2</v>
      </c>
      <c r="H9688" t="n">
        <v>0</v>
      </c>
      <c r="I9688" t="n">
        <v>0</v>
      </c>
      <c r="J9688" t="n">
        <v>0</v>
      </c>
      <c r="K9688" t="n">
        <v>0</v>
      </c>
      <c r="L9688" t="n">
        <v>0</v>
      </c>
      <c r="M9688" t="n">
        <v>0</v>
      </c>
      <c r="N9688" t="n">
        <v>0</v>
      </c>
      <c r="O9688" t="n">
        <v>0</v>
      </c>
      <c r="P9688" t="n">
        <v>0</v>
      </c>
      <c r="Q9688" t="n">
        <v>0</v>
      </c>
      <c r="R9688" s="2" t="inlineStr"/>
    </row>
    <row r="9689" ht="15" customHeight="1">
      <c r="A9689" t="inlineStr">
        <is>
          <t>A 8734-2026</t>
        </is>
      </c>
      <c r="B9689" s="1" t="n">
        <v>46066.4991087963</v>
      </c>
      <c r="C9689" s="1" t="n">
        <v>46114</v>
      </c>
      <c r="D9689" t="inlineStr">
        <is>
          <t>DALARNAS LÄN</t>
        </is>
      </c>
      <c r="E9689" t="inlineStr">
        <is>
          <t>FALUN</t>
        </is>
      </c>
      <c r="F9689" t="inlineStr">
        <is>
          <t>Bergvik skog väst AB</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8762-2026</t>
        </is>
      </c>
      <c r="B9690" s="1" t="n">
        <v>46066.55876157407</v>
      </c>
      <c r="C9690" s="1" t="n">
        <v>46114</v>
      </c>
      <c r="D9690" t="inlineStr">
        <is>
          <t>DALARNAS LÄN</t>
        </is>
      </c>
      <c r="E9690" t="inlineStr">
        <is>
          <t>MORA</t>
        </is>
      </c>
      <c r="F9690" t="inlineStr">
        <is>
          <t>Bergvik skog väst AB</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8843-2026</t>
        </is>
      </c>
      <c r="B9691" s="1" t="n">
        <v>46066</v>
      </c>
      <c r="C9691" s="1" t="n">
        <v>46114</v>
      </c>
      <c r="D9691" t="inlineStr">
        <is>
          <t>DALARNAS LÄN</t>
        </is>
      </c>
      <c r="E9691" t="inlineStr">
        <is>
          <t>HEDEMORA</t>
        </is>
      </c>
      <c r="F9691" t="inlineStr">
        <is>
          <t>Sveaskog</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55908-2024</t>
        </is>
      </c>
      <c r="B9692" s="1" t="n">
        <v>45623.585625</v>
      </c>
      <c r="C9692" s="1" t="n">
        <v>46114</v>
      </c>
      <c r="D9692" t="inlineStr">
        <is>
          <t>DALARNAS LÄN</t>
        </is>
      </c>
      <c r="E9692" t="inlineStr">
        <is>
          <t>FALUN</t>
        </is>
      </c>
      <c r="G9692" t="n">
        <v>1.7</v>
      </c>
      <c r="H9692" t="n">
        <v>0</v>
      </c>
      <c r="I9692" t="n">
        <v>0</v>
      </c>
      <c r="J9692" t="n">
        <v>0</v>
      </c>
      <c r="K9692" t="n">
        <v>0</v>
      </c>
      <c r="L9692" t="n">
        <v>0</v>
      </c>
      <c r="M9692" t="n">
        <v>0</v>
      </c>
      <c r="N9692" t="n">
        <v>0</v>
      </c>
      <c r="O9692" t="n">
        <v>0</v>
      </c>
      <c r="P9692" t="n">
        <v>0</v>
      </c>
      <c r="Q9692" t="n">
        <v>0</v>
      </c>
      <c r="R9692" s="2" t="inlineStr"/>
    </row>
    <row r="9693" ht="15" customHeight="1">
      <c r="A9693" t="inlineStr">
        <is>
          <t>A 58072-2024</t>
        </is>
      </c>
      <c r="B9693" s="1" t="n">
        <v>45632.01575231482</v>
      </c>
      <c r="C9693" s="1" t="n">
        <v>46114</v>
      </c>
      <c r="D9693" t="inlineStr">
        <is>
          <t>DALARNAS LÄN</t>
        </is>
      </c>
      <c r="E9693" t="inlineStr">
        <is>
          <t>LUDVIKA</t>
        </is>
      </c>
      <c r="G9693" t="n">
        <v>0.8</v>
      </c>
      <c r="H9693" t="n">
        <v>0</v>
      </c>
      <c r="I9693" t="n">
        <v>0</v>
      </c>
      <c r="J9693" t="n">
        <v>0</v>
      </c>
      <c r="K9693" t="n">
        <v>0</v>
      </c>
      <c r="L9693" t="n">
        <v>0</v>
      </c>
      <c r="M9693" t="n">
        <v>0</v>
      </c>
      <c r="N9693" t="n">
        <v>0</v>
      </c>
      <c r="O9693" t="n">
        <v>0</v>
      </c>
      <c r="P9693" t="n">
        <v>0</v>
      </c>
      <c r="Q9693" t="n">
        <v>0</v>
      </c>
      <c r="R9693" s="2" t="inlineStr"/>
    </row>
    <row r="9694" ht="15" customHeight="1">
      <c r="A9694" t="inlineStr">
        <is>
          <t>A 31726-2024</t>
        </is>
      </c>
      <c r="B9694" s="1" t="n">
        <v>45509.33908564815</v>
      </c>
      <c r="C9694" s="1" t="n">
        <v>46114</v>
      </c>
      <c r="D9694" t="inlineStr">
        <is>
          <t>DALARNAS LÄN</t>
        </is>
      </c>
      <c r="E9694" t="inlineStr">
        <is>
          <t>LEKSAND</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8877-2026</t>
        </is>
      </c>
      <c r="B9695" s="1" t="n">
        <v>46067.45509259259</v>
      </c>
      <c r="C9695" s="1" t="n">
        <v>46114</v>
      </c>
      <c r="D9695" t="inlineStr">
        <is>
          <t>DALARNAS LÄN</t>
        </is>
      </c>
      <c r="E9695" t="inlineStr">
        <is>
          <t>BORLÄNGE</t>
        </is>
      </c>
      <c r="F9695" t="inlineStr">
        <is>
          <t>Bergvik skog väst AB</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58089-2024</t>
        </is>
      </c>
      <c r="B9696" s="1" t="n">
        <v>45632.34984953704</v>
      </c>
      <c r="C9696" s="1" t="n">
        <v>46114</v>
      </c>
      <c r="D9696" t="inlineStr">
        <is>
          <t>DALARNAS LÄN</t>
        </is>
      </c>
      <c r="E9696" t="inlineStr">
        <is>
          <t>MORA</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58090-2024</t>
        </is>
      </c>
      <c r="B9697" s="1" t="n">
        <v>45632.35070601852</v>
      </c>
      <c r="C9697" s="1" t="n">
        <v>46114</v>
      </c>
      <c r="D9697" t="inlineStr">
        <is>
          <t>DALARNAS LÄN</t>
        </is>
      </c>
      <c r="E9697" t="inlineStr">
        <is>
          <t>LUDVIKA</t>
        </is>
      </c>
      <c r="F9697" t="inlineStr">
        <is>
          <t>Bergvik skog väst AB</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3311-2026</t>
        </is>
      </c>
      <c r="B9698" s="1" t="n">
        <v>46041</v>
      </c>
      <c r="C9698" s="1" t="n">
        <v>46114</v>
      </c>
      <c r="D9698" t="inlineStr">
        <is>
          <t>DALARNAS LÄN</t>
        </is>
      </c>
      <c r="E9698" t="inlineStr">
        <is>
          <t>BORLÄNGE</t>
        </is>
      </c>
      <c r="G9698" t="n">
        <v>1.5</v>
      </c>
      <c r="H9698" t="n">
        <v>0</v>
      </c>
      <c r="I9698" t="n">
        <v>0</v>
      </c>
      <c r="J9698" t="n">
        <v>0</v>
      </c>
      <c r="K9698" t="n">
        <v>0</v>
      </c>
      <c r="L9698" t="n">
        <v>0</v>
      </c>
      <c r="M9698" t="n">
        <v>0</v>
      </c>
      <c r="N9698" t="n">
        <v>0</v>
      </c>
      <c r="O9698" t="n">
        <v>0</v>
      </c>
      <c r="P9698" t="n">
        <v>0</v>
      </c>
      <c r="Q9698" t="n">
        <v>0</v>
      </c>
      <c r="R9698" s="2" t="inlineStr"/>
    </row>
    <row r="9699" ht="15" customHeight="1">
      <c r="A9699" t="inlineStr">
        <is>
          <t>A 3385-2026</t>
        </is>
      </c>
      <c r="B9699" s="1" t="n">
        <v>46042.36462962963</v>
      </c>
      <c r="C9699" s="1" t="n">
        <v>46114</v>
      </c>
      <c r="D9699" t="inlineStr">
        <is>
          <t>DALARNAS LÄN</t>
        </is>
      </c>
      <c r="E9699" t="inlineStr">
        <is>
          <t>HEDEMORA</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32015-2021</t>
        </is>
      </c>
      <c r="B9700" s="1" t="n">
        <v>44370</v>
      </c>
      <c r="C9700" s="1" t="n">
        <v>46114</v>
      </c>
      <c r="D9700" t="inlineStr">
        <is>
          <t>DALARNAS LÄN</t>
        </is>
      </c>
      <c r="E9700" t="inlineStr">
        <is>
          <t>LUDVIKA</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8797-2026</t>
        </is>
      </c>
      <c r="B9701" s="1" t="n">
        <v>46066.59480324074</v>
      </c>
      <c r="C9701" s="1" t="n">
        <v>46114</v>
      </c>
      <c r="D9701" t="inlineStr">
        <is>
          <t>DALARNAS LÄN</t>
        </is>
      </c>
      <c r="E9701" t="inlineStr">
        <is>
          <t>FALUN</t>
        </is>
      </c>
      <c r="G9701" t="n">
        <v>6.3</v>
      </c>
      <c r="H9701" t="n">
        <v>0</v>
      </c>
      <c r="I9701" t="n">
        <v>0</v>
      </c>
      <c r="J9701" t="n">
        <v>0</v>
      </c>
      <c r="K9701" t="n">
        <v>0</v>
      </c>
      <c r="L9701" t="n">
        <v>0</v>
      </c>
      <c r="M9701" t="n">
        <v>0</v>
      </c>
      <c r="N9701" t="n">
        <v>0</v>
      </c>
      <c r="O9701" t="n">
        <v>0</v>
      </c>
      <c r="P9701" t="n">
        <v>0</v>
      </c>
      <c r="Q9701" t="n">
        <v>0</v>
      </c>
      <c r="R9701" s="2" t="inlineStr"/>
    </row>
    <row r="9702" ht="15" customHeight="1">
      <c r="A9702" t="inlineStr">
        <is>
          <t>A 8815-2026</t>
        </is>
      </c>
      <c r="B9702" s="1" t="n">
        <v>46066.6190162037</v>
      </c>
      <c r="C9702" s="1" t="n">
        <v>46114</v>
      </c>
      <c r="D9702" t="inlineStr">
        <is>
          <t>DALARNAS LÄN</t>
        </is>
      </c>
      <c r="E9702" t="inlineStr">
        <is>
          <t>FALUN</t>
        </is>
      </c>
      <c r="G9702" t="n">
        <v>5</v>
      </c>
      <c r="H9702" t="n">
        <v>0</v>
      </c>
      <c r="I9702" t="n">
        <v>0</v>
      </c>
      <c r="J9702" t="n">
        <v>0</v>
      </c>
      <c r="K9702" t="n">
        <v>0</v>
      </c>
      <c r="L9702" t="n">
        <v>0</v>
      </c>
      <c r="M9702" t="n">
        <v>0</v>
      </c>
      <c r="N9702" t="n">
        <v>0</v>
      </c>
      <c r="O9702" t="n">
        <v>0</v>
      </c>
      <c r="P9702" t="n">
        <v>0</v>
      </c>
      <c r="Q9702" t="n">
        <v>0</v>
      </c>
      <c r="R9702" s="2" t="inlineStr"/>
    </row>
    <row r="9703" ht="15" customHeight="1">
      <c r="A9703" t="inlineStr">
        <is>
          <t>A 8821-2026</t>
        </is>
      </c>
      <c r="B9703" s="1" t="n">
        <v>46066.62600694445</v>
      </c>
      <c r="C9703" s="1" t="n">
        <v>46114</v>
      </c>
      <c r="D9703" t="inlineStr">
        <is>
          <t>DALARNAS LÄN</t>
        </is>
      </c>
      <c r="E9703" t="inlineStr">
        <is>
          <t>FALUN</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10219-2026</t>
        </is>
      </c>
      <c r="B9704" s="1" t="n">
        <v>46076</v>
      </c>
      <c r="C9704" s="1" t="n">
        <v>46114</v>
      </c>
      <c r="D9704" t="inlineStr">
        <is>
          <t>DALARNAS LÄN</t>
        </is>
      </c>
      <c r="E9704" t="inlineStr">
        <is>
          <t>FALUN</t>
        </is>
      </c>
      <c r="G9704" t="n">
        <v>0.5</v>
      </c>
      <c r="H9704" t="n">
        <v>0</v>
      </c>
      <c r="I9704" t="n">
        <v>0</v>
      </c>
      <c r="J9704" t="n">
        <v>0</v>
      </c>
      <c r="K9704" t="n">
        <v>0</v>
      </c>
      <c r="L9704" t="n">
        <v>0</v>
      </c>
      <c r="M9704" t="n">
        <v>0</v>
      </c>
      <c r="N9704" t="n">
        <v>0</v>
      </c>
      <c r="O9704" t="n">
        <v>0</v>
      </c>
      <c r="P9704" t="n">
        <v>0</v>
      </c>
      <c r="Q9704" t="n">
        <v>0</v>
      </c>
      <c r="R9704" s="2" t="inlineStr"/>
    </row>
    <row r="9705" ht="15" customHeight="1">
      <c r="A9705" t="inlineStr">
        <is>
          <t>A 10285-2026</t>
        </is>
      </c>
      <c r="B9705" s="1" t="n">
        <v>46076</v>
      </c>
      <c r="C9705" s="1" t="n">
        <v>46114</v>
      </c>
      <c r="D9705" t="inlineStr">
        <is>
          <t>DALARNAS LÄN</t>
        </is>
      </c>
      <c r="E9705" t="inlineStr">
        <is>
          <t>SÄTER</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13064-2026</t>
        </is>
      </c>
      <c r="B9706" s="1" t="n">
        <v>46093</v>
      </c>
      <c r="C9706" s="1" t="n">
        <v>46114</v>
      </c>
      <c r="D9706" t="inlineStr">
        <is>
          <t>DALARNAS LÄN</t>
        </is>
      </c>
      <c r="E9706" t="inlineStr">
        <is>
          <t>FALUN</t>
        </is>
      </c>
      <c r="F9706" t="inlineStr">
        <is>
          <t>Allmännings- och besparingsskogar</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13078-2026</t>
        </is>
      </c>
      <c r="B9707" s="1" t="n">
        <v>46093</v>
      </c>
      <c r="C9707" s="1" t="n">
        <v>46114</v>
      </c>
      <c r="D9707" t="inlineStr">
        <is>
          <t>DALARNAS LÄN</t>
        </is>
      </c>
      <c r="E9707" t="inlineStr">
        <is>
          <t>FALUN</t>
        </is>
      </c>
      <c r="G9707" t="n">
        <v>7.2</v>
      </c>
      <c r="H9707" t="n">
        <v>0</v>
      </c>
      <c r="I9707" t="n">
        <v>0</v>
      </c>
      <c r="J9707" t="n">
        <v>0</v>
      </c>
      <c r="K9707" t="n">
        <v>0</v>
      </c>
      <c r="L9707" t="n">
        <v>0</v>
      </c>
      <c r="M9707" t="n">
        <v>0</v>
      </c>
      <c r="N9707" t="n">
        <v>0</v>
      </c>
      <c r="O9707" t="n">
        <v>0</v>
      </c>
      <c r="P9707" t="n">
        <v>0</v>
      </c>
      <c r="Q9707" t="n">
        <v>0</v>
      </c>
      <c r="R9707" s="2" t="inlineStr"/>
    </row>
    <row r="9708" ht="15" customHeight="1">
      <c r="A9708" t="inlineStr">
        <is>
          <t>A 13116-2026</t>
        </is>
      </c>
      <c r="B9708" s="1" t="n">
        <v>46093</v>
      </c>
      <c r="C9708" s="1" t="n">
        <v>46114</v>
      </c>
      <c r="D9708" t="inlineStr">
        <is>
          <t>DALARNAS LÄN</t>
        </is>
      </c>
      <c r="E9708" t="inlineStr">
        <is>
          <t>FALUN</t>
        </is>
      </c>
      <c r="F9708" t="inlineStr">
        <is>
          <t>Allmännings- och besparingsskogar</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15100-2026</t>
        </is>
      </c>
      <c r="B9709" s="1" t="n">
        <v>46105</v>
      </c>
      <c r="C9709" s="1" t="n">
        <v>46114</v>
      </c>
      <c r="D9709" t="inlineStr">
        <is>
          <t>DALARNAS LÄN</t>
        </is>
      </c>
      <c r="E9709" t="inlineStr">
        <is>
          <t>FALUN</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13896-2026</t>
        </is>
      </c>
      <c r="B9710" s="1" t="n">
        <v>46098.46572916667</v>
      </c>
      <c r="C9710" s="1" t="n">
        <v>46114</v>
      </c>
      <c r="D9710" t="inlineStr">
        <is>
          <t>DALARNAS LÄN</t>
        </is>
      </c>
      <c r="E9710" t="inlineStr">
        <is>
          <t>FALUN</t>
        </is>
      </c>
      <c r="F9710" t="inlineStr">
        <is>
          <t>Bergvik skog väst AB</t>
        </is>
      </c>
      <c r="G9710" t="n">
        <v>2</v>
      </c>
      <c r="H9710" t="n">
        <v>0</v>
      </c>
      <c r="I9710" t="n">
        <v>0</v>
      </c>
      <c r="J9710" t="n">
        <v>0</v>
      </c>
      <c r="K9710" t="n">
        <v>0</v>
      </c>
      <c r="L9710" t="n">
        <v>0</v>
      </c>
      <c r="M9710" t="n">
        <v>0</v>
      </c>
      <c r="N9710" t="n">
        <v>0</v>
      </c>
      <c r="O9710" t="n">
        <v>0</v>
      </c>
      <c r="P9710" t="n">
        <v>0</v>
      </c>
      <c r="Q9710" t="n">
        <v>0</v>
      </c>
      <c r="R9710" s="2" t="inlineStr"/>
    </row>
    <row r="9711" ht="15" customHeight="1">
      <c r="A9711" t="inlineStr">
        <is>
          <t>A 1968-2026</t>
        </is>
      </c>
      <c r="B9711" s="1" t="n">
        <v>46035.63878472222</v>
      </c>
      <c r="C9711" s="1" t="n">
        <v>46114</v>
      </c>
      <c r="D9711" t="inlineStr">
        <is>
          <t>DALARNAS LÄN</t>
        </is>
      </c>
      <c r="E9711" t="inlineStr">
        <is>
          <t>LEKSAND</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26957-2023</t>
        </is>
      </c>
      <c r="B9712" s="1" t="n">
        <v>45093</v>
      </c>
      <c r="C9712" s="1" t="n">
        <v>46114</v>
      </c>
      <c r="D9712" t="inlineStr">
        <is>
          <t>DALARNAS LÄN</t>
        </is>
      </c>
      <c r="E9712" t="inlineStr">
        <is>
          <t>LEKSAND</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39595-2023</t>
        </is>
      </c>
      <c r="B9713" s="1" t="n">
        <v>45167</v>
      </c>
      <c r="C9713" s="1" t="n">
        <v>46114</v>
      </c>
      <c r="D9713" t="inlineStr">
        <is>
          <t>DALARNAS LÄN</t>
        </is>
      </c>
      <c r="E9713" t="inlineStr">
        <is>
          <t>LEKSAND</t>
        </is>
      </c>
      <c r="G9713" t="n">
        <v>0.9</v>
      </c>
      <c r="H9713" t="n">
        <v>0</v>
      </c>
      <c r="I9713" t="n">
        <v>0</v>
      </c>
      <c r="J9713" t="n">
        <v>0</v>
      </c>
      <c r="K9713" t="n">
        <v>0</v>
      </c>
      <c r="L9713" t="n">
        <v>0</v>
      </c>
      <c r="M9713" t="n">
        <v>0</v>
      </c>
      <c r="N9713" t="n">
        <v>0</v>
      </c>
      <c r="O9713" t="n">
        <v>0</v>
      </c>
      <c r="P9713" t="n">
        <v>0</v>
      </c>
      <c r="Q9713" t="n">
        <v>0</v>
      </c>
      <c r="R9713" s="2" t="inlineStr"/>
    </row>
    <row r="9714" ht="15" customHeight="1">
      <c r="A9714" t="inlineStr">
        <is>
          <t>A 16241-2026</t>
        </is>
      </c>
      <c r="B9714" s="1" t="n">
        <v>46111.45780092593</v>
      </c>
      <c r="C9714" s="1" t="n">
        <v>46114</v>
      </c>
      <c r="D9714" t="inlineStr">
        <is>
          <t>DALARNAS LÄN</t>
        </is>
      </c>
      <c r="E9714" t="inlineStr">
        <is>
          <t>RÄTTVIK</t>
        </is>
      </c>
      <c r="F9714" t="inlineStr">
        <is>
          <t>Bergvik skog väst AB</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10784-2024</t>
        </is>
      </c>
      <c r="B9715" s="1" t="n">
        <v>45369</v>
      </c>
      <c r="C9715" s="1" t="n">
        <v>46114</v>
      </c>
      <c r="D9715" t="inlineStr">
        <is>
          <t>DALARNAS LÄN</t>
        </is>
      </c>
      <c r="E9715" t="inlineStr">
        <is>
          <t>AVESTA</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61502-2022</t>
        </is>
      </c>
      <c r="B9716" s="1" t="n">
        <v>44916.48710648148</v>
      </c>
      <c r="C9716" s="1" t="n">
        <v>46114</v>
      </c>
      <c r="D9716" t="inlineStr">
        <is>
          <t>DALARNAS LÄN</t>
        </is>
      </c>
      <c r="E9716" t="inlineStr">
        <is>
          <t>MALUNG-SÄLEN</t>
        </is>
      </c>
      <c r="G9716" t="n">
        <v>1</v>
      </c>
      <c r="H9716" t="n">
        <v>0</v>
      </c>
      <c r="I9716" t="n">
        <v>0</v>
      </c>
      <c r="J9716" t="n">
        <v>0</v>
      </c>
      <c r="K9716" t="n">
        <v>0</v>
      </c>
      <c r="L9716" t="n">
        <v>0</v>
      </c>
      <c r="M9716" t="n">
        <v>0</v>
      </c>
      <c r="N9716" t="n">
        <v>0</v>
      </c>
      <c r="O9716" t="n">
        <v>0</v>
      </c>
      <c r="P9716" t="n">
        <v>0</v>
      </c>
      <c r="Q9716" t="n">
        <v>0</v>
      </c>
      <c r="R9716" s="2" t="inlineStr"/>
    </row>
    <row r="9717" ht="15" customHeight="1">
      <c r="A9717" t="inlineStr">
        <is>
          <t>A 56269-2023</t>
        </is>
      </c>
      <c r="B9717" s="1" t="n">
        <v>45240.98564814815</v>
      </c>
      <c r="C9717" s="1" t="n">
        <v>46114</v>
      </c>
      <c r="D9717" t="inlineStr">
        <is>
          <t>DALARNAS LÄN</t>
        </is>
      </c>
      <c r="E9717" t="inlineStr">
        <is>
          <t>VANSBRO</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52230-2023</t>
        </is>
      </c>
      <c r="B9718" s="1" t="n">
        <v>45224</v>
      </c>
      <c r="C9718" s="1" t="n">
        <v>46114</v>
      </c>
      <c r="D9718" t="inlineStr">
        <is>
          <t>DALARNAS LÄN</t>
        </is>
      </c>
      <c r="E9718" t="inlineStr">
        <is>
          <t>LUDVIKA</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5347-2025</t>
        </is>
      </c>
      <c r="B9719" s="1" t="n">
        <v>45692.55440972222</v>
      </c>
      <c r="C9719" s="1" t="n">
        <v>46114</v>
      </c>
      <c r="D9719" t="inlineStr">
        <is>
          <t>DALARNAS LÄN</t>
        </is>
      </c>
      <c r="E9719" t="inlineStr">
        <is>
          <t>GAGNEF</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37024-2023</t>
        </is>
      </c>
      <c r="B9720" s="1" t="n">
        <v>45154</v>
      </c>
      <c r="C9720" s="1" t="n">
        <v>46114</v>
      </c>
      <c r="D9720" t="inlineStr">
        <is>
          <t>DALARNAS LÄN</t>
        </is>
      </c>
      <c r="E9720" t="inlineStr">
        <is>
          <t>SMEDJEBACKEN</t>
        </is>
      </c>
      <c r="G9720" t="n">
        <v>3.2</v>
      </c>
      <c r="H9720" t="n">
        <v>0</v>
      </c>
      <c r="I9720" t="n">
        <v>0</v>
      </c>
      <c r="J9720" t="n">
        <v>0</v>
      </c>
      <c r="K9720" t="n">
        <v>0</v>
      </c>
      <c r="L9720" t="n">
        <v>0</v>
      </c>
      <c r="M9720" t="n">
        <v>0</v>
      </c>
      <c r="N9720" t="n">
        <v>0</v>
      </c>
      <c r="O9720" t="n">
        <v>0</v>
      </c>
      <c r="P9720" t="n">
        <v>0</v>
      </c>
      <c r="Q9720" t="n">
        <v>0</v>
      </c>
      <c r="R9720" s="2" t="inlineStr"/>
    </row>
    <row r="9721" ht="15" customHeight="1">
      <c r="A9721" t="inlineStr">
        <is>
          <t>A 16220-2026</t>
        </is>
      </c>
      <c r="B9721" s="1" t="n">
        <v>46111.44028935185</v>
      </c>
      <c r="C9721" s="1" t="n">
        <v>46114</v>
      </c>
      <c r="D9721" t="inlineStr">
        <is>
          <t>DALARNAS LÄN</t>
        </is>
      </c>
      <c r="E9721" t="inlineStr">
        <is>
          <t>ORSA</t>
        </is>
      </c>
      <c r="F9721" t="inlineStr">
        <is>
          <t>Bergvik skog öst AB</t>
        </is>
      </c>
      <c r="G9721" t="n">
        <v>7.7</v>
      </c>
      <c r="H9721" t="n">
        <v>0</v>
      </c>
      <c r="I9721" t="n">
        <v>0</v>
      </c>
      <c r="J9721" t="n">
        <v>0</v>
      </c>
      <c r="K9721" t="n">
        <v>0</v>
      </c>
      <c r="L9721" t="n">
        <v>0</v>
      </c>
      <c r="M9721" t="n">
        <v>0</v>
      </c>
      <c r="N9721" t="n">
        <v>0</v>
      </c>
      <c r="O9721" t="n">
        <v>0</v>
      </c>
      <c r="P9721" t="n">
        <v>0</v>
      </c>
      <c r="Q9721" t="n">
        <v>0</v>
      </c>
      <c r="R9721" s="2" t="inlineStr"/>
    </row>
    <row r="9722" ht="15" customHeight="1">
      <c r="A9722" t="inlineStr">
        <is>
          <t>A 16236-2026</t>
        </is>
      </c>
      <c r="B9722" s="1" t="n">
        <v>46111.45560185185</v>
      </c>
      <c r="C9722" s="1" t="n">
        <v>46114</v>
      </c>
      <c r="D9722" t="inlineStr">
        <is>
          <t>DALARNAS LÄN</t>
        </is>
      </c>
      <c r="E9722" t="inlineStr">
        <is>
          <t>FALUN</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16238-2026</t>
        </is>
      </c>
      <c r="B9723" s="1" t="n">
        <v>46111.45684027778</v>
      </c>
      <c r="C9723" s="1" t="n">
        <v>46114</v>
      </c>
      <c r="D9723" t="inlineStr">
        <is>
          <t>DALARNAS LÄN</t>
        </is>
      </c>
      <c r="E9723" t="inlineStr">
        <is>
          <t>LEKSAND</t>
        </is>
      </c>
      <c r="F9723" t="inlineStr">
        <is>
          <t>Bergvik skog väst AB</t>
        </is>
      </c>
      <c r="G9723" t="n">
        <v>2.5</v>
      </c>
      <c r="H9723" t="n">
        <v>0</v>
      </c>
      <c r="I9723" t="n">
        <v>0</v>
      </c>
      <c r="J9723" t="n">
        <v>0</v>
      </c>
      <c r="K9723" t="n">
        <v>0</v>
      </c>
      <c r="L9723" t="n">
        <v>0</v>
      </c>
      <c r="M9723" t="n">
        <v>0</v>
      </c>
      <c r="N9723" t="n">
        <v>0</v>
      </c>
      <c r="O9723" t="n">
        <v>0</v>
      </c>
      <c r="P9723" t="n">
        <v>0</v>
      </c>
      <c r="Q9723" t="n">
        <v>0</v>
      </c>
      <c r="R9723" s="2" t="inlineStr"/>
    </row>
    <row r="9724" ht="15" customHeight="1">
      <c r="A9724" t="inlineStr">
        <is>
          <t>A 16256-2026</t>
        </is>
      </c>
      <c r="B9724" s="1" t="n">
        <v>46111.47146990741</v>
      </c>
      <c r="C9724" s="1" t="n">
        <v>46114</v>
      </c>
      <c r="D9724" t="inlineStr">
        <is>
          <t>DALARNAS LÄN</t>
        </is>
      </c>
      <c r="E9724" t="inlineStr">
        <is>
          <t>FALUN</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16268-2026</t>
        </is>
      </c>
      <c r="B9725" s="1" t="n">
        <v>46108</v>
      </c>
      <c r="C9725" s="1" t="n">
        <v>46114</v>
      </c>
      <c r="D9725" t="inlineStr">
        <is>
          <t>DALARNAS LÄN</t>
        </is>
      </c>
      <c r="E9725" t="inlineStr">
        <is>
          <t>HEDEMORA</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8951-2026</t>
        </is>
      </c>
      <c r="B9726" s="1" t="n">
        <v>46069.39009259259</v>
      </c>
      <c r="C9726" s="1" t="n">
        <v>46114</v>
      </c>
      <c r="D9726" t="inlineStr">
        <is>
          <t>DALARNAS LÄN</t>
        </is>
      </c>
      <c r="E9726" t="inlineStr">
        <is>
          <t>SÄTER</t>
        </is>
      </c>
      <c r="F9726" t="inlineStr">
        <is>
          <t>Bergvik skog väst AB</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5266-2026</t>
        </is>
      </c>
      <c r="B9727" s="1" t="n">
        <v>46050</v>
      </c>
      <c r="C9727" s="1" t="n">
        <v>46114</v>
      </c>
      <c r="D9727" t="inlineStr">
        <is>
          <t>DALARNAS LÄN</t>
        </is>
      </c>
      <c r="E9727" t="inlineStr">
        <is>
          <t>FALUN</t>
        </is>
      </c>
      <c r="F9727" t="inlineStr">
        <is>
          <t>Kyrkan</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5275-2026</t>
        </is>
      </c>
      <c r="B9728" s="1" t="n">
        <v>46050</v>
      </c>
      <c r="C9728" s="1" t="n">
        <v>46114</v>
      </c>
      <c r="D9728" t="inlineStr">
        <is>
          <t>DALARNAS LÄN</t>
        </is>
      </c>
      <c r="E9728" t="inlineStr">
        <is>
          <t>FALUN</t>
        </is>
      </c>
      <c r="F9728" t="inlineStr">
        <is>
          <t>Kyrkan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383-2022</t>
        </is>
      </c>
      <c r="B9729" s="1" t="n">
        <v>44565</v>
      </c>
      <c r="C9729" s="1" t="n">
        <v>46114</v>
      </c>
      <c r="D9729" t="inlineStr">
        <is>
          <t>DALARNAS LÄN</t>
        </is>
      </c>
      <c r="E9729" t="inlineStr">
        <is>
          <t>BORLÄNGE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15860-2026</t>
        </is>
      </c>
      <c r="B9730" s="1" t="n">
        <v>46107</v>
      </c>
      <c r="C9730" s="1" t="n">
        <v>46114</v>
      </c>
      <c r="D9730" t="inlineStr">
        <is>
          <t>DALARNAS LÄN</t>
        </is>
      </c>
      <c r="E9730" t="inlineStr">
        <is>
          <t>MORA</t>
        </is>
      </c>
      <c r="G9730" t="n">
        <v>2</v>
      </c>
      <c r="H9730" t="n">
        <v>0</v>
      </c>
      <c r="I9730" t="n">
        <v>0</v>
      </c>
      <c r="J9730" t="n">
        <v>0</v>
      </c>
      <c r="K9730" t="n">
        <v>0</v>
      </c>
      <c r="L9730" t="n">
        <v>0</v>
      </c>
      <c r="M9730" t="n">
        <v>0</v>
      </c>
      <c r="N9730" t="n">
        <v>0</v>
      </c>
      <c r="O9730" t="n">
        <v>0</v>
      </c>
      <c r="P9730" t="n">
        <v>0</v>
      </c>
      <c r="Q9730" t="n">
        <v>0</v>
      </c>
      <c r="R9730" s="2" t="inlineStr"/>
    </row>
    <row r="9731" ht="15" customHeight="1">
      <c r="A9731" t="inlineStr">
        <is>
          <t>A 34374-2024</t>
        </is>
      </c>
      <c r="B9731" s="1" t="n">
        <v>45525.40091435185</v>
      </c>
      <c r="C9731" s="1" t="n">
        <v>46114</v>
      </c>
      <c r="D9731" t="inlineStr">
        <is>
          <t>DALARNAS LÄN</t>
        </is>
      </c>
      <c r="E9731" t="inlineStr">
        <is>
          <t>ORSA</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51333-2024</t>
        </is>
      </c>
      <c r="B9732" s="1" t="n">
        <v>45604.34403935185</v>
      </c>
      <c r="C9732" s="1" t="n">
        <v>46114</v>
      </c>
      <c r="D9732" t="inlineStr">
        <is>
          <t>DALARNAS LÄN</t>
        </is>
      </c>
      <c r="E9732" t="inlineStr">
        <is>
          <t>SÄTER</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52767-2022</t>
        </is>
      </c>
      <c r="B9733" s="1" t="n">
        <v>44875.34275462963</v>
      </c>
      <c r="C9733" s="1" t="n">
        <v>46114</v>
      </c>
      <c r="D9733" t="inlineStr">
        <is>
          <t>DALARNAS LÄN</t>
        </is>
      </c>
      <c r="E9733" t="inlineStr">
        <is>
          <t>AVESTA</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30813-2025</t>
        </is>
      </c>
      <c r="B9734" s="1" t="n">
        <v>45831.6599537037</v>
      </c>
      <c r="C9734" s="1" t="n">
        <v>46114</v>
      </c>
      <c r="D9734" t="inlineStr">
        <is>
          <t>DALARNAS LÄN</t>
        </is>
      </c>
      <c r="E9734" t="inlineStr">
        <is>
          <t>LUDVIKA</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5826-2023</t>
        </is>
      </c>
      <c r="B9735" s="1" t="n">
        <v>44963.52038194444</v>
      </c>
      <c r="C9735" s="1" t="n">
        <v>46114</v>
      </c>
      <c r="D9735" t="inlineStr">
        <is>
          <t>DALARNAS LÄN</t>
        </is>
      </c>
      <c r="E9735" t="inlineStr">
        <is>
          <t>ÄLVDALEN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2469-2026</t>
        </is>
      </c>
      <c r="B9736" s="1" t="n">
        <v>46037.36643518518</v>
      </c>
      <c r="C9736" s="1" t="n">
        <v>46114</v>
      </c>
      <c r="D9736" t="inlineStr">
        <is>
          <t>DALARNAS LÄN</t>
        </is>
      </c>
      <c r="E9736" t="inlineStr">
        <is>
          <t>BORLÄNGE</t>
        </is>
      </c>
      <c r="G9736" t="n">
        <v>3.6</v>
      </c>
      <c r="H9736" t="n">
        <v>0</v>
      </c>
      <c r="I9736" t="n">
        <v>0</v>
      </c>
      <c r="J9736" t="n">
        <v>0</v>
      </c>
      <c r="K9736" t="n">
        <v>0</v>
      </c>
      <c r="L9736" t="n">
        <v>0</v>
      </c>
      <c r="M9736" t="n">
        <v>0</v>
      </c>
      <c r="N9736" t="n">
        <v>0</v>
      </c>
      <c r="O9736" t="n">
        <v>0</v>
      </c>
      <c r="P9736" t="n">
        <v>0</v>
      </c>
      <c r="Q9736" t="n">
        <v>0</v>
      </c>
      <c r="R9736" s="2" t="inlineStr"/>
    </row>
    <row r="9737" ht="15" customHeight="1">
      <c r="A9737" t="inlineStr">
        <is>
          <t>A 63325-2025</t>
        </is>
      </c>
      <c r="B9737" s="1" t="n">
        <v>46010.63777777777</v>
      </c>
      <c r="C9737" s="1" t="n">
        <v>46114</v>
      </c>
      <c r="D9737" t="inlineStr">
        <is>
          <t>DALARNAS LÄN</t>
        </is>
      </c>
      <c r="E9737" t="inlineStr">
        <is>
          <t>GAGNEF</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8726-2026</t>
        </is>
      </c>
      <c r="B9738" s="1" t="n">
        <v>46066.49141203704</v>
      </c>
      <c r="C9738" s="1" t="n">
        <v>46114</v>
      </c>
      <c r="D9738" t="inlineStr">
        <is>
          <t>DALARNAS LÄN</t>
        </is>
      </c>
      <c r="E9738" t="inlineStr">
        <is>
          <t>LEKSAND</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24373-2025</t>
        </is>
      </c>
      <c r="B9739" s="1" t="n">
        <v>45797.61113425926</v>
      </c>
      <c r="C9739" s="1" t="n">
        <v>46114</v>
      </c>
      <c r="D9739" t="inlineStr">
        <is>
          <t>DALARNAS LÄN</t>
        </is>
      </c>
      <c r="E9739" t="inlineStr">
        <is>
          <t>LEKSAND</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58409-2024</t>
        </is>
      </c>
      <c r="B9740" s="1" t="n">
        <v>45634.73024305556</v>
      </c>
      <c r="C9740" s="1" t="n">
        <v>46114</v>
      </c>
      <c r="D9740" t="inlineStr">
        <is>
          <t>DALARNAS LÄN</t>
        </is>
      </c>
      <c r="E9740" t="inlineStr">
        <is>
          <t>VANSBRO</t>
        </is>
      </c>
      <c r="G9740" t="n">
        <v>3.9</v>
      </c>
      <c r="H9740" t="n">
        <v>0</v>
      </c>
      <c r="I9740" t="n">
        <v>0</v>
      </c>
      <c r="J9740" t="n">
        <v>0</v>
      </c>
      <c r="K9740" t="n">
        <v>0</v>
      </c>
      <c r="L9740" t="n">
        <v>0</v>
      </c>
      <c r="M9740" t="n">
        <v>0</v>
      </c>
      <c r="N9740" t="n">
        <v>0</v>
      </c>
      <c r="O9740" t="n">
        <v>0</v>
      </c>
      <c r="P9740" t="n">
        <v>0</v>
      </c>
      <c r="Q9740" t="n">
        <v>0</v>
      </c>
      <c r="R9740" s="2" t="inlineStr"/>
    </row>
    <row r="9741" ht="15" customHeight="1">
      <c r="A9741" t="inlineStr">
        <is>
          <t>A 8770-2026</t>
        </is>
      </c>
      <c r="B9741" s="1" t="n">
        <v>46066</v>
      </c>
      <c r="C9741" s="1" t="n">
        <v>46114</v>
      </c>
      <c r="D9741" t="inlineStr">
        <is>
          <t>DALARNAS LÄN</t>
        </is>
      </c>
      <c r="E9741" t="inlineStr">
        <is>
          <t>FALUN</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25247-2025</t>
        </is>
      </c>
      <c r="B9742" s="1" t="n">
        <v>45800.49591435185</v>
      </c>
      <c r="C9742" s="1" t="n">
        <v>46114</v>
      </c>
      <c r="D9742" t="inlineStr">
        <is>
          <t>DALARNAS LÄN</t>
        </is>
      </c>
      <c r="E9742" t="inlineStr">
        <is>
          <t>VANSBRO</t>
        </is>
      </c>
      <c r="G9742" t="n">
        <v>4.4</v>
      </c>
      <c r="H9742" t="n">
        <v>0</v>
      </c>
      <c r="I9742" t="n">
        <v>0</v>
      </c>
      <c r="J9742" t="n">
        <v>0</v>
      </c>
      <c r="K9742" t="n">
        <v>0</v>
      </c>
      <c r="L9742" t="n">
        <v>0</v>
      </c>
      <c r="M9742" t="n">
        <v>0</v>
      </c>
      <c r="N9742" t="n">
        <v>0</v>
      </c>
      <c r="O9742" t="n">
        <v>0</v>
      </c>
      <c r="P9742" t="n">
        <v>0</v>
      </c>
      <c r="Q9742" t="n">
        <v>0</v>
      </c>
      <c r="R9742" s="2" t="inlineStr"/>
    </row>
    <row r="9743" ht="15" customHeight="1">
      <c r="A9743" t="inlineStr">
        <is>
          <t>A 13539-2026</t>
        </is>
      </c>
      <c r="B9743" s="1" t="n">
        <v>46094</v>
      </c>
      <c r="C9743" s="1" t="n">
        <v>46114</v>
      </c>
      <c r="D9743" t="inlineStr">
        <is>
          <t>DALARNAS LÄN</t>
        </is>
      </c>
      <c r="E9743" t="inlineStr">
        <is>
          <t>FALUN</t>
        </is>
      </c>
      <c r="G9743" t="n">
        <v>38</v>
      </c>
      <c r="H9743" t="n">
        <v>0</v>
      </c>
      <c r="I9743" t="n">
        <v>0</v>
      </c>
      <c r="J9743" t="n">
        <v>0</v>
      </c>
      <c r="K9743" t="n">
        <v>0</v>
      </c>
      <c r="L9743" t="n">
        <v>0</v>
      </c>
      <c r="M9743" t="n">
        <v>0</v>
      </c>
      <c r="N9743" t="n">
        <v>0</v>
      </c>
      <c r="O9743" t="n">
        <v>0</v>
      </c>
      <c r="P9743" t="n">
        <v>0</v>
      </c>
      <c r="Q9743" t="n">
        <v>0</v>
      </c>
      <c r="R9743" s="2" t="inlineStr"/>
      <c r="U9743">
        <f>HYPERLINK("https://klasma.github.io/Logging_2080/knärot/A 13539-2026 karta knärot.png", "A 13539-2026")</f>
        <v/>
      </c>
      <c r="V9743">
        <f>HYPERLINK("https://klasma.github.io/Logging_2080/klagomål/A 13539-2026 FSC-klagomål.docx", "A 13539-2026")</f>
        <v/>
      </c>
      <c r="W9743">
        <f>HYPERLINK("https://klasma.github.io/Logging_2080/klagomålsmail/A 13539-2026 FSC-klagomål mail.docx", "A 13539-2026")</f>
        <v/>
      </c>
      <c r="X9743">
        <f>HYPERLINK("https://klasma.github.io/Logging_2080/tillsyn/A 13539-2026 tillsynsbegäran.docx", "A 13539-2026")</f>
        <v/>
      </c>
      <c r="Y9743">
        <f>HYPERLINK("https://klasma.github.io/Logging_2080/tillsynsmail/A 13539-2026 tillsynsbegäran mail.docx", "A 13539-2026")</f>
        <v/>
      </c>
    </row>
    <row r="9744" ht="15" customHeight="1">
      <c r="A9744" t="inlineStr">
        <is>
          <t>A 13676-2026</t>
        </is>
      </c>
      <c r="B9744" s="1" t="n">
        <v>46097</v>
      </c>
      <c r="C9744" s="1" t="n">
        <v>46114</v>
      </c>
      <c r="D9744" t="inlineStr">
        <is>
          <t>DALARNAS LÄN</t>
        </is>
      </c>
      <c r="E9744" t="inlineStr">
        <is>
          <t>FALUN</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14228-2026</t>
        </is>
      </c>
      <c r="B9745" s="1" t="n">
        <v>46099.57856481482</v>
      </c>
      <c r="C9745" s="1" t="n">
        <v>46114</v>
      </c>
      <c r="D9745" t="inlineStr">
        <is>
          <t>DALARNAS LÄN</t>
        </is>
      </c>
      <c r="E9745" t="inlineStr">
        <is>
          <t>HEDEMORA</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14231-2026</t>
        </is>
      </c>
      <c r="B9746" s="1" t="n">
        <v>46099.58938657407</v>
      </c>
      <c r="C9746" s="1" t="n">
        <v>46114</v>
      </c>
      <c r="D9746" t="inlineStr">
        <is>
          <t>DALARNAS LÄN</t>
        </is>
      </c>
      <c r="E9746" t="inlineStr">
        <is>
          <t>FALUN</t>
        </is>
      </c>
      <c r="F9746" t="inlineStr">
        <is>
          <t>Bergvik skog väst AB</t>
        </is>
      </c>
      <c r="G9746" t="n">
        <v>2.6</v>
      </c>
      <c r="H9746" t="n">
        <v>0</v>
      </c>
      <c r="I9746" t="n">
        <v>0</v>
      </c>
      <c r="J9746" t="n">
        <v>0</v>
      </c>
      <c r="K9746" t="n">
        <v>0</v>
      </c>
      <c r="L9746" t="n">
        <v>0</v>
      </c>
      <c r="M9746" t="n">
        <v>0</v>
      </c>
      <c r="N9746" t="n">
        <v>0</v>
      </c>
      <c r="O9746" t="n">
        <v>0</v>
      </c>
      <c r="P9746" t="n">
        <v>0</v>
      </c>
      <c r="Q9746" t="n">
        <v>0</v>
      </c>
      <c r="R9746" s="2" t="inlineStr"/>
    </row>
    <row r="9747" ht="15" customHeight="1">
      <c r="A9747" t="inlineStr">
        <is>
          <t>A 14303-2026</t>
        </is>
      </c>
      <c r="B9747" s="1" t="n">
        <v>46099.78733796296</v>
      </c>
      <c r="C9747" s="1" t="n">
        <v>46114</v>
      </c>
      <c r="D9747" t="inlineStr">
        <is>
          <t>DALARNAS LÄN</t>
        </is>
      </c>
      <c r="E9747" t="inlineStr">
        <is>
          <t>FALUN</t>
        </is>
      </c>
      <c r="F9747" t="inlineStr">
        <is>
          <t>Bergvik skog väst AB</t>
        </is>
      </c>
      <c r="G9747" t="n">
        <v>4.3</v>
      </c>
      <c r="H9747" t="n">
        <v>0</v>
      </c>
      <c r="I9747" t="n">
        <v>0</v>
      </c>
      <c r="J9747" t="n">
        <v>0</v>
      </c>
      <c r="K9747" t="n">
        <v>0</v>
      </c>
      <c r="L9747" t="n">
        <v>0</v>
      </c>
      <c r="M9747" t="n">
        <v>0</v>
      </c>
      <c r="N9747" t="n">
        <v>0</v>
      </c>
      <c r="O9747" t="n">
        <v>0</v>
      </c>
      <c r="P9747" t="n">
        <v>0</v>
      </c>
      <c r="Q9747" t="n">
        <v>0</v>
      </c>
      <c r="R9747" s="2" t="inlineStr"/>
    </row>
    <row r="9748" ht="15" customHeight="1">
      <c r="A9748" t="inlineStr">
        <is>
          <t>A 15965-2023</t>
        </is>
      </c>
      <c r="B9748" s="1" t="n">
        <v>45022.65944444444</v>
      </c>
      <c r="C9748" s="1" t="n">
        <v>46114</v>
      </c>
      <c r="D9748" t="inlineStr">
        <is>
          <t>DALARNAS LÄN</t>
        </is>
      </c>
      <c r="E9748" t="inlineStr">
        <is>
          <t>GAGNEF</t>
        </is>
      </c>
      <c r="F9748" t="inlineStr">
        <is>
          <t>Bergvik skog väst AB</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23553-2025</t>
        </is>
      </c>
      <c r="B9749" s="1" t="n">
        <v>45792</v>
      </c>
      <c r="C9749" s="1" t="n">
        <v>46114</v>
      </c>
      <c r="D9749" t="inlineStr">
        <is>
          <t>DALARNAS LÄN</t>
        </is>
      </c>
      <c r="E9749" t="inlineStr">
        <is>
          <t>ÄLVDALEN</t>
        </is>
      </c>
      <c r="G9749" t="n">
        <v>46.2</v>
      </c>
      <c r="H9749" t="n">
        <v>0</v>
      </c>
      <c r="I9749" t="n">
        <v>0</v>
      </c>
      <c r="J9749" t="n">
        <v>0</v>
      </c>
      <c r="K9749" t="n">
        <v>0</v>
      </c>
      <c r="L9749" t="n">
        <v>0</v>
      </c>
      <c r="M9749" t="n">
        <v>0</v>
      </c>
      <c r="N9749" t="n">
        <v>0</v>
      </c>
      <c r="O9749" t="n">
        <v>0</v>
      </c>
      <c r="P9749" t="n">
        <v>0</v>
      </c>
      <c r="Q9749" t="n">
        <v>0</v>
      </c>
      <c r="R9749" s="2" t="inlineStr"/>
    </row>
    <row r="9750" ht="15" customHeight="1">
      <c r="A9750" t="inlineStr">
        <is>
          <t>A 48005-2022</t>
        </is>
      </c>
      <c r="B9750" s="1" t="n">
        <v>44855.65384259259</v>
      </c>
      <c r="C9750" s="1" t="n">
        <v>46114</v>
      </c>
      <c r="D9750" t="inlineStr">
        <is>
          <t>DALARNAS LÄN</t>
        </is>
      </c>
      <c r="E9750" t="inlineStr">
        <is>
          <t>VANSBRO</t>
        </is>
      </c>
      <c r="G9750" t="n">
        <v>4.1</v>
      </c>
      <c r="H9750" t="n">
        <v>0</v>
      </c>
      <c r="I9750" t="n">
        <v>0</v>
      </c>
      <c r="J9750" t="n">
        <v>0</v>
      </c>
      <c r="K9750" t="n">
        <v>0</v>
      </c>
      <c r="L9750" t="n">
        <v>0</v>
      </c>
      <c r="M9750" t="n">
        <v>0</v>
      </c>
      <c r="N9750" t="n">
        <v>0</v>
      </c>
      <c r="O9750" t="n">
        <v>0</v>
      </c>
      <c r="P9750" t="n">
        <v>0</v>
      </c>
      <c r="Q9750" t="n">
        <v>0</v>
      </c>
      <c r="R9750" s="2" t="inlineStr"/>
    </row>
    <row r="9751" ht="15" customHeight="1">
      <c r="A9751" t="inlineStr">
        <is>
          <t>A 11163-2025</t>
        </is>
      </c>
      <c r="B9751" s="1" t="n">
        <v>45723</v>
      </c>
      <c r="C9751" s="1" t="n">
        <v>46114</v>
      </c>
      <c r="D9751" t="inlineStr">
        <is>
          <t>DALARNAS LÄN</t>
        </is>
      </c>
      <c r="E9751" t="inlineStr">
        <is>
          <t>FALUN</t>
        </is>
      </c>
      <c r="G9751" t="n">
        <v>4.7</v>
      </c>
      <c r="H9751" t="n">
        <v>0</v>
      </c>
      <c r="I9751" t="n">
        <v>0</v>
      </c>
      <c r="J9751" t="n">
        <v>0</v>
      </c>
      <c r="K9751" t="n">
        <v>0</v>
      </c>
      <c r="L9751" t="n">
        <v>0</v>
      </c>
      <c r="M9751" t="n">
        <v>0</v>
      </c>
      <c r="N9751" t="n">
        <v>0</v>
      </c>
      <c r="O9751" t="n">
        <v>0</v>
      </c>
      <c r="P9751" t="n">
        <v>0</v>
      </c>
      <c r="Q9751" t="n">
        <v>0</v>
      </c>
      <c r="R9751" s="2" t="inlineStr"/>
    </row>
    <row r="9752" ht="15" customHeight="1">
      <c r="A9752" t="inlineStr">
        <is>
          <t>A 36127-2024</t>
        </is>
      </c>
      <c r="B9752" s="1" t="n">
        <v>45534.3334375</v>
      </c>
      <c r="C9752" s="1" t="n">
        <v>46114</v>
      </c>
      <c r="D9752" t="inlineStr">
        <is>
          <t>DALARNAS LÄN</t>
        </is>
      </c>
      <c r="E9752" t="inlineStr">
        <is>
          <t>GAGNEF</t>
        </is>
      </c>
      <c r="F9752" t="inlineStr">
        <is>
          <t>Bergvik skog väst AB</t>
        </is>
      </c>
      <c r="G9752" t="n">
        <v>3.4</v>
      </c>
      <c r="H9752" t="n">
        <v>0</v>
      </c>
      <c r="I9752" t="n">
        <v>0</v>
      </c>
      <c r="J9752" t="n">
        <v>0</v>
      </c>
      <c r="K9752" t="n">
        <v>0</v>
      </c>
      <c r="L9752" t="n">
        <v>0</v>
      </c>
      <c r="M9752" t="n">
        <v>0</v>
      </c>
      <c r="N9752" t="n">
        <v>0</v>
      </c>
      <c r="O9752" t="n">
        <v>0</v>
      </c>
      <c r="P9752" t="n">
        <v>0</v>
      </c>
      <c r="Q9752" t="n">
        <v>0</v>
      </c>
      <c r="R9752" s="2" t="inlineStr"/>
    </row>
    <row r="9753" ht="15" customHeight="1">
      <c r="A9753" t="inlineStr">
        <is>
          <t>A 36132-2024</t>
        </is>
      </c>
      <c r="B9753" s="1" t="n">
        <v>45534.34255787037</v>
      </c>
      <c r="C9753" s="1" t="n">
        <v>46114</v>
      </c>
      <c r="D9753" t="inlineStr">
        <is>
          <t>DALARNAS LÄN</t>
        </is>
      </c>
      <c r="E9753" t="inlineStr">
        <is>
          <t>GAGNEF</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15203-2026</t>
        </is>
      </c>
      <c r="B9754" s="1" t="n">
        <v>46105</v>
      </c>
      <c r="C9754" s="1" t="n">
        <v>46114</v>
      </c>
      <c r="D9754" t="inlineStr">
        <is>
          <t>DALARNAS LÄN</t>
        </is>
      </c>
      <c r="E9754" t="inlineStr">
        <is>
          <t>MORA</t>
        </is>
      </c>
      <c r="G9754" t="n">
        <v>2.5</v>
      </c>
      <c r="H9754" t="n">
        <v>0</v>
      </c>
      <c r="I9754" t="n">
        <v>0</v>
      </c>
      <c r="J9754" t="n">
        <v>0</v>
      </c>
      <c r="K9754" t="n">
        <v>0</v>
      </c>
      <c r="L9754" t="n">
        <v>0</v>
      </c>
      <c r="M9754" t="n">
        <v>0</v>
      </c>
      <c r="N9754" t="n">
        <v>0</v>
      </c>
      <c r="O9754" t="n">
        <v>0</v>
      </c>
      <c r="P9754" t="n">
        <v>0</v>
      </c>
      <c r="Q9754" t="n">
        <v>0</v>
      </c>
      <c r="R9754" s="2" t="inlineStr"/>
    </row>
    <row r="9755" ht="15" customHeight="1">
      <c r="A9755" t="inlineStr">
        <is>
          <t>A 14011-2026</t>
        </is>
      </c>
      <c r="B9755" s="1" t="n">
        <v>46098</v>
      </c>
      <c r="C9755" s="1" t="n">
        <v>46114</v>
      </c>
      <c r="D9755" t="inlineStr">
        <is>
          <t>DALARNAS LÄN</t>
        </is>
      </c>
      <c r="E9755" t="inlineStr">
        <is>
          <t>SMEDJEBACKEN</t>
        </is>
      </c>
      <c r="F9755" t="inlineStr">
        <is>
          <t>Bergvik skog väst AB</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14571-2026</t>
        </is>
      </c>
      <c r="B9756" s="1" t="n">
        <v>46100</v>
      </c>
      <c r="C9756" s="1" t="n">
        <v>46114</v>
      </c>
      <c r="D9756" t="inlineStr">
        <is>
          <t>DALARNAS LÄN</t>
        </is>
      </c>
      <c r="E9756" t="inlineStr">
        <is>
          <t>FALUN</t>
        </is>
      </c>
      <c r="G9756" t="n">
        <v>5.3</v>
      </c>
      <c r="H9756" t="n">
        <v>0</v>
      </c>
      <c r="I9756" t="n">
        <v>0</v>
      </c>
      <c r="J9756" t="n">
        <v>0</v>
      </c>
      <c r="K9756" t="n">
        <v>0</v>
      </c>
      <c r="L9756" t="n">
        <v>0</v>
      </c>
      <c r="M9756" t="n">
        <v>0</v>
      </c>
      <c r="N9756" t="n">
        <v>0</v>
      </c>
      <c r="O9756" t="n">
        <v>0</v>
      </c>
      <c r="P9756" t="n">
        <v>0</v>
      </c>
      <c r="Q9756" t="n">
        <v>0</v>
      </c>
      <c r="R9756" s="2" t="inlineStr"/>
    </row>
    <row r="9757" ht="15" customHeight="1">
      <c r="A9757" t="inlineStr">
        <is>
          <t>A 49669-2024</t>
        </is>
      </c>
      <c r="B9757" s="1" t="n">
        <v>45596.65178240741</v>
      </c>
      <c r="C9757" s="1" t="n">
        <v>46114</v>
      </c>
      <c r="D9757" t="inlineStr">
        <is>
          <t>DALARNAS LÄN</t>
        </is>
      </c>
      <c r="E9757" t="inlineStr">
        <is>
          <t>LUDVIKA</t>
        </is>
      </c>
      <c r="F9757" t="inlineStr">
        <is>
          <t>Bergvik skog väst AB</t>
        </is>
      </c>
      <c r="G9757" t="n">
        <v>2.9</v>
      </c>
      <c r="H9757" t="n">
        <v>0</v>
      </c>
      <c r="I9757" t="n">
        <v>0</v>
      </c>
      <c r="J9757" t="n">
        <v>0</v>
      </c>
      <c r="K9757" t="n">
        <v>0</v>
      </c>
      <c r="L9757" t="n">
        <v>0</v>
      </c>
      <c r="M9757" t="n">
        <v>0</v>
      </c>
      <c r="N9757" t="n">
        <v>0</v>
      </c>
      <c r="O9757" t="n">
        <v>0</v>
      </c>
      <c r="P9757" t="n">
        <v>0</v>
      </c>
      <c r="Q9757" t="n">
        <v>0</v>
      </c>
      <c r="R9757" s="2" t="inlineStr"/>
    </row>
    <row r="9758" ht="15" customHeight="1">
      <c r="A9758" t="inlineStr">
        <is>
          <t>A 466-2025</t>
        </is>
      </c>
      <c r="B9758" s="1" t="n">
        <v>45664.41989583334</v>
      </c>
      <c r="C9758" s="1" t="n">
        <v>46114</v>
      </c>
      <c r="D9758" t="inlineStr">
        <is>
          <t>DALARNAS LÄN</t>
        </is>
      </c>
      <c r="E9758" t="inlineStr">
        <is>
          <t>BORLÄNGE</t>
        </is>
      </c>
      <c r="G9758" t="n">
        <v>3.4</v>
      </c>
      <c r="H9758" t="n">
        <v>0</v>
      </c>
      <c r="I9758" t="n">
        <v>0</v>
      </c>
      <c r="J9758" t="n">
        <v>0</v>
      </c>
      <c r="K9758" t="n">
        <v>0</v>
      </c>
      <c r="L9758" t="n">
        <v>0</v>
      </c>
      <c r="M9758" t="n">
        <v>0</v>
      </c>
      <c r="N9758" t="n">
        <v>0</v>
      </c>
      <c r="O9758" t="n">
        <v>0</v>
      </c>
      <c r="P9758" t="n">
        <v>0</v>
      </c>
      <c r="Q9758" t="n">
        <v>0</v>
      </c>
      <c r="R9758" s="2" t="inlineStr"/>
    </row>
    <row r="9759" ht="15" customHeight="1">
      <c r="A9759" t="inlineStr">
        <is>
          <t>A 14795-2026</t>
        </is>
      </c>
      <c r="B9759" s="1" t="n">
        <v>46101.95008101852</v>
      </c>
      <c r="C9759" s="1" t="n">
        <v>46114</v>
      </c>
      <c r="D9759" t="inlineStr">
        <is>
          <t>DALARNAS LÄN</t>
        </is>
      </c>
      <c r="E9759" t="inlineStr">
        <is>
          <t>LEKSAND</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15209-2026</t>
        </is>
      </c>
      <c r="B9760" s="1" t="n">
        <v>46105</v>
      </c>
      <c r="C9760" s="1" t="n">
        <v>46114</v>
      </c>
      <c r="D9760" t="inlineStr">
        <is>
          <t>DALARNAS LÄN</t>
        </is>
      </c>
      <c r="E9760" t="inlineStr">
        <is>
          <t>FALUN</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15274-2026</t>
        </is>
      </c>
      <c r="B9761" s="1" t="n">
        <v>46105</v>
      </c>
      <c r="C9761" s="1" t="n">
        <v>46114</v>
      </c>
      <c r="D9761" t="inlineStr">
        <is>
          <t>DALARNAS LÄN</t>
        </is>
      </c>
      <c r="E9761" t="inlineStr">
        <is>
          <t>HEDEMORA</t>
        </is>
      </c>
      <c r="F9761" t="inlineStr">
        <is>
          <t>Övriga Aktiebolag</t>
        </is>
      </c>
      <c r="G9761" t="n">
        <v>1.9</v>
      </c>
      <c r="H9761" t="n">
        <v>0</v>
      </c>
      <c r="I9761" t="n">
        <v>0</v>
      </c>
      <c r="J9761" t="n">
        <v>0</v>
      </c>
      <c r="K9761" t="n">
        <v>0</v>
      </c>
      <c r="L9761" t="n">
        <v>0</v>
      </c>
      <c r="M9761" t="n">
        <v>0</v>
      </c>
      <c r="N9761" t="n">
        <v>0</v>
      </c>
      <c r="O9761" t="n">
        <v>0</v>
      </c>
      <c r="P9761" t="n">
        <v>0</v>
      </c>
      <c r="Q9761" t="n">
        <v>0</v>
      </c>
      <c r="R9761" s="2" t="inlineStr"/>
    </row>
    <row r="9762" ht="15" customHeight="1">
      <c r="A9762" t="inlineStr">
        <is>
          <t>A 14566-2026</t>
        </is>
      </c>
      <c r="B9762" s="1" t="n">
        <v>46100.81971064815</v>
      </c>
      <c r="C9762" s="1" t="n">
        <v>46114</v>
      </c>
      <c r="D9762" t="inlineStr">
        <is>
          <t>DALARNAS LÄN</t>
        </is>
      </c>
      <c r="E9762" t="inlineStr">
        <is>
          <t>FALUN</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40642-2023</t>
        </is>
      </c>
      <c r="B9763" s="1" t="n">
        <v>45169</v>
      </c>
      <c r="C9763" s="1" t="n">
        <v>46114</v>
      </c>
      <c r="D9763" t="inlineStr">
        <is>
          <t>DALARNAS LÄN</t>
        </is>
      </c>
      <c r="E9763" t="inlineStr">
        <is>
          <t>LEKSAND</t>
        </is>
      </c>
      <c r="G9763" t="n">
        <v>1.9</v>
      </c>
      <c r="H9763" t="n">
        <v>0</v>
      </c>
      <c r="I9763" t="n">
        <v>0</v>
      </c>
      <c r="J9763" t="n">
        <v>0</v>
      </c>
      <c r="K9763" t="n">
        <v>0</v>
      </c>
      <c r="L9763" t="n">
        <v>0</v>
      </c>
      <c r="M9763" t="n">
        <v>0</v>
      </c>
      <c r="N9763" t="n">
        <v>0</v>
      </c>
      <c r="O9763" t="n">
        <v>0</v>
      </c>
      <c r="P9763" t="n">
        <v>0</v>
      </c>
      <c r="Q9763" t="n">
        <v>0</v>
      </c>
      <c r="R9763" s="2" t="inlineStr"/>
    </row>
    <row r="9764" ht="15" customHeight="1">
      <c r="A9764" t="inlineStr">
        <is>
          <t>A 4420-2022</t>
        </is>
      </c>
      <c r="B9764" s="1" t="n">
        <v>44589</v>
      </c>
      <c r="C9764" s="1" t="n">
        <v>46114</v>
      </c>
      <c r="D9764" t="inlineStr">
        <is>
          <t>DALARNAS LÄN</t>
        </is>
      </c>
      <c r="E9764" t="inlineStr">
        <is>
          <t>MALUNG-SÄLEN</t>
        </is>
      </c>
      <c r="F9764" t="inlineStr">
        <is>
          <t>Bergvik skog väst AB</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4208-2023</t>
        </is>
      </c>
      <c r="B9765" s="1" t="n">
        <v>44953</v>
      </c>
      <c r="C9765" s="1" t="n">
        <v>46114</v>
      </c>
      <c r="D9765" t="inlineStr">
        <is>
          <t>DALARNAS LÄN</t>
        </is>
      </c>
      <c r="E9765" t="inlineStr">
        <is>
          <t>MORA</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4210-2023</t>
        </is>
      </c>
      <c r="B9766" s="1" t="n">
        <v>44953.44965277778</v>
      </c>
      <c r="C9766" s="1" t="n">
        <v>46114</v>
      </c>
      <c r="D9766" t="inlineStr">
        <is>
          <t>DALARNAS LÄN</t>
        </is>
      </c>
      <c r="E9766" t="inlineStr">
        <is>
          <t>MORA</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54546-2024</t>
        </is>
      </c>
      <c r="B9767" s="1" t="n">
        <v>45617.61476851852</v>
      </c>
      <c r="C9767" s="1" t="n">
        <v>46114</v>
      </c>
      <c r="D9767" t="inlineStr">
        <is>
          <t>DALARNAS LÄN</t>
        </is>
      </c>
      <c r="E9767" t="inlineStr">
        <is>
          <t>ORSA</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61368-2024</t>
        </is>
      </c>
      <c r="B9768" s="1" t="n">
        <v>45646.38755787037</v>
      </c>
      <c r="C9768" s="1" t="n">
        <v>46114</v>
      </c>
      <c r="D9768" t="inlineStr">
        <is>
          <t>DALARNAS LÄN</t>
        </is>
      </c>
      <c r="E9768" t="inlineStr">
        <is>
          <t>MALUNG-SÄLEN</t>
        </is>
      </c>
      <c r="G9768" t="n">
        <v>6.1</v>
      </c>
      <c r="H9768" t="n">
        <v>0</v>
      </c>
      <c r="I9768" t="n">
        <v>0</v>
      </c>
      <c r="J9768" t="n">
        <v>0</v>
      </c>
      <c r="K9768" t="n">
        <v>0</v>
      </c>
      <c r="L9768" t="n">
        <v>0</v>
      </c>
      <c r="M9768" t="n">
        <v>0</v>
      </c>
      <c r="N9768" t="n">
        <v>0</v>
      </c>
      <c r="O9768" t="n">
        <v>0</v>
      </c>
      <c r="P9768" t="n">
        <v>0</v>
      </c>
      <c r="Q9768" t="n">
        <v>0</v>
      </c>
      <c r="R9768" s="2" t="inlineStr"/>
    </row>
    <row r="9769" ht="15" customHeight="1">
      <c r="A9769" t="inlineStr">
        <is>
          <t>A 16084-2026</t>
        </is>
      </c>
      <c r="B9769" s="1" t="n">
        <v>46107</v>
      </c>
      <c r="C9769" s="1" t="n">
        <v>46114</v>
      </c>
      <c r="D9769" t="inlineStr">
        <is>
          <t>DALARNAS LÄN</t>
        </is>
      </c>
      <c r="E9769" t="inlineStr">
        <is>
          <t>FALUN</t>
        </is>
      </c>
      <c r="F9769" t="inlineStr">
        <is>
          <t>Allmännings- och besparingsskogar</t>
        </is>
      </c>
      <c r="G9769" t="n">
        <v>10.4</v>
      </c>
      <c r="H9769" t="n">
        <v>0</v>
      </c>
      <c r="I9769" t="n">
        <v>0</v>
      </c>
      <c r="J9769" t="n">
        <v>0</v>
      </c>
      <c r="K9769" t="n">
        <v>0</v>
      </c>
      <c r="L9769" t="n">
        <v>0</v>
      </c>
      <c r="M9769" t="n">
        <v>0</v>
      </c>
      <c r="N9769" t="n">
        <v>0</v>
      </c>
      <c r="O9769" t="n">
        <v>0</v>
      </c>
      <c r="P9769" t="n">
        <v>0</v>
      </c>
      <c r="Q9769" t="n">
        <v>0</v>
      </c>
      <c r="R9769" s="2" t="inlineStr"/>
    </row>
    <row r="9770" ht="15" customHeight="1">
      <c r="A9770" t="inlineStr">
        <is>
          <t>A 8795-2026</t>
        </is>
      </c>
      <c r="B9770" s="1" t="n">
        <v>46066.59405092592</v>
      </c>
      <c r="C9770" s="1" t="n">
        <v>46114</v>
      </c>
      <c r="D9770" t="inlineStr">
        <is>
          <t>DALARNAS LÄN</t>
        </is>
      </c>
      <c r="E9770" t="inlineStr">
        <is>
          <t>MALUNG-SÄLEN</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8807-2026</t>
        </is>
      </c>
      <c r="B9771" s="1" t="n">
        <v>46066</v>
      </c>
      <c r="C9771" s="1" t="n">
        <v>46114</v>
      </c>
      <c r="D9771" t="inlineStr">
        <is>
          <t>DALARNAS LÄN</t>
        </is>
      </c>
      <c r="E9771" t="inlineStr">
        <is>
          <t>ORSA</t>
        </is>
      </c>
      <c r="G9771" t="n">
        <v>1.2</v>
      </c>
      <c r="H9771" t="n">
        <v>0</v>
      </c>
      <c r="I9771" t="n">
        <v>0</v>
      </c>
      <c r="J9771" t="n">
        <v>0</v>
      </c>
      <c r="K9771" t="n">
        <v>0</v>
      </c>
      <c r="L9771" t="n">
        <v>0</v>
      </c>
      <c r="M9771" t="n">
        <v>0</v>
      </c>
      <c r="N9771" t="n">
        <v>0</v>
      </c>
      <c r="O9771" t="n">
        <v>0</v>
      </c>
      <c r="P9771" t="n">
        <v>0</v>
      </c>
      <c r="Q9771" t="n">
        <v>0</v>
      </c>
      <c r="R9771" s="2" t="inlineStr"/>
    </row>
    <row r="9772" ht="15" customHeight="1">
      <c r="A9772" t="inlineStr">
        <is>
          <t>A 1918-2025</t>
        </is>
      </c>
      <c r="B9772" s="1" t="n">
        <v>45671.66840277778</v>
      </c>
      <c r="C9772" s="1" t="n">
        <v>46114</v>
      </c>
      <c r="D9772" t="inlineStr">
        <is>
          <t>DALARNAS LÄN</t>
        </is>
      </c>
      <c r="E9772" t="inlineStr">
        <is>
          <t>GAGNEF</t>
        </is>
      </c>
      <c r="G9772" t="n">
        <v>6.8</v>
      </c>
      <c r="H9772" t="n">
        <v>0</v>
      </c>
      <c r="I9772" t="n">
        <v>0</v>
      </c>
      <c r="J9772" t="n">
        <v>0</v>
      </c>
      <c r="K9772" t="n">
        <v>0</v>
      </c>
      <c r="L9772" t="n">
        <v>0</v>
      </c>
      <c r="M9772" t="n">
        <v>0</v>
      </c>
      <c r="N9772" t="n">
        <v>0</v>
      </c>
      <c r="O9772" t="n">
        <v>0</v>
      </c>
      <c r="P9772" t="n">
        <v>0</v>
      </c>
      <c r="Q9772" t="n">
        <v>0</v>
      </c>
      <c r="R9772" s="2" t="inlineStr"/>
    </row>
    <row r="9773" ht="15" customHeight="1">
      <c r="A9773" t="inlineStr">
        <is>
          <t>A 59856-2024</t>
        </is>
      </c>
      <c r="B9773" s="1" t="n">
        <v>45639.71756944444</v>
      </c>
      <c r="C9773" s="1" t="n">
        <v>46114</v>
      </c>
      <c r="D9773" t="inlineStr">
        <is>
          <t>DALARNAS LÄN</t>
        </is>
      </c>
      <c r="E9773" t="inlineStr">
        <is>
          <t>VANSBRO</t>
        </is>
      </c>
      <c r="G9773" t="n">
        <v>6.1</v>
      </c>
      <c r="H9773" t="n">
        <v>0</v>
      </c>
      <c r="I9773" t="n">
        <v>0</v>
      </c>
      <c r="J9773" t="n">
        <v>0</v>
      </c>
      <c r="K9773" t="n">
        <v>0</v>
      </c>
      <c r="L9773" t="n">
        <v>0</v>
      </c>
      <c r="M9773" t="n">
        <v>0</v>
      </c>
      <c r="N9773" t="n">
        <v>0</v>
      </c>
      <c r="O9773" t="n">
        <v>0</v>
      </c>
      <c r="P9773" t="n">
        <v>0</v>
      </c>
      <c r="Q9773" t="n">
        <v>0</v>
      </c>
      <c r="R9773" s="2" t="inlineStr"/>
    </row>
    <row r="9774" ht="15" customHeight="1">
      <c r="A9774" t="inlineStr">
        <is>
          <t>A 491-2025</t>
        </is>
      </c>
      <c r="B9774" s="1" t="n">
        <v>45664.46144675926</v>
      </c>
      <c r="C9774" s="1" t="n">
        <v>46114</v>
      </c>
      <c r="D9774" t="inlineStr">
        <is>
          <t>DALARNAS LÄN</t>
        </is>
      </c>
      <c r="E9774" t="inlineStr">
        <is>
          <t>GAGNEF</t>
        </is>
      </c>
      <c r="F9774" t="inlineStr">
        <is>
          <t>Övriga statliga verk och myndigheter</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708-2026</t>
        </is>
      </c>
      <c r="B9775" s="1" t="n">
        <v>46029.6206712963</v>
      </c>
      <c r="C9775" s="1" t="n">
        <v>46114</v>
      </c>
      <c r="D9775" t="inlineStr">
        <is>
          <t>DALARNAS LÄN</t>
        </is>
      </c>
      <c r="E9775" t="inlineStr">
        <is>
          <t>GAGNEF</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16315-2026</t>
        </is>
      </c>
      <c r="B9776" s="1" t="n">
        <v>46111.55415509259</v>
      </c>
      <c r="C9776" s="1" t="n">
        <v>46114</v>
      </c>
      <c r="D9776" t="inlineStr">
        <is>
          <t>DALARNAS LÄN</t>
        </is>
      </c>
      <c r="E9776" t="inlineStr">
        <is>
          <t>FALUN</t>
        </is>
      </c>
      <c r="F9776" t="inlineStr">
        <is>
          <t>Bergvik skog väst AB</t>
        </is>
      </c>
      <c r="G9776" t="n">
        <v>3.1</v>
      </c>
      <c r="H9776" t="n">
        <v>0</v>
      </c>
      <c r="I9776" t="n">
        <v>0</v>
      </c>
      <c r="J9776" t="n">
        <v>0</v>
      </c>
      <c r="K9776" t="n">
        <v>0</v>
      </c>
      <c r="L9776" t="n">
        <v>0</v>
      </c>
      <c r="M9776" t="n">
        <v>0</v>
      </c>
      <c r="N9776" t="n">
        <v>0</v>
      </c>
      <c r="O9776" t="n">
        <v>0</v>
      </c>
      <c r="P9776" t="n">
        <v>0</v>
      </c>
      <c r="Q9776" t="n">
        <v>0</v>
      </c>
      <c r="R9776" s="2" t="inlineStr"/>
    </row>
    <row r="9777" ht="15" customHeight="1">
      <c r="A9777" t="inlineStr">
        <is>
          <t>A 16327-2026</t>
        </is>
      </c>
      <c r="B9777" s="1" t="n">
        <v>46111.56670138889</v>
      </c>
      <c r="C9777" s="1" t="n">
        <v>46114</v>
      </c>
      <c r="D9777" t="inlineStr">
        <is>
          <t>DALARNAS LÄN</t>
        </is>
      </c>
      <c r="E9777" t="inlineStr">
        <is>
          <t>FALUN</t>
        </is>
      </c>
      <c r="F9777" t="inlineStr">
        <is>
          <t>Bergvik skog väst AB</t>
        </is>
      </c>
      <c r="G9777" t="n">
        <v>13.5</v>
      </c>
      <c r="H9777" t="n">
        <v>0</v>
      </c>
      <c r="I9777" t="n">
        <v>0</v>
      </c>
      <c r="J9777" t="n">
        <v>0</v>
      </c>
      <c r="K9777" t="n">
        <v>0</v>
      </c>
      <c r="L9777" t="n">
        <v>0</v>
      </c>
      <c r="M9777" t="n">
        <v>0</v>
      </c>
      <c r="N9777" t="n">
        <v>0</v>
      </c>
      <c r="O9777" t="n">
        <v>0</v>
      </c>
      <c r="P9777" t="n">
        <v>0</v>
      </c>
      <c r="Q9777" t="n">
        <v>0</v>
      </c>
      <c r="R9777" s="2" t="inlineStr"/>
    </row>
    <row r="9778" ht="15" customHeight="1">
      <c r="A9778" t="inlineStr">
        <is>
          <t>A 16377-2026</t>
        </is>
      </c>
      <c r="B9778" s="1" t="n">
        <v>46111</v>
      </c>
      <c r="C9778" s="1" t="n">
        <v>46114</v>
      </c>
      <c r="D9778" t="inlineStr">
        <is>
          <t>DALARNAS LÄN</t>
        </is>
      </c>
      <c r="E9778" t="inlineStr">
        <is>
          <t>FALUN</t>
        </is>
      </c>
      <c r="F9778" t="inlineStr">
        <is>
          <t>Allmännings- och besparingsskogar</t>
        </is>
      </c>
      <c r="G9778" t="n">
        <v>7.3</v>
      </c>
      <c r="H9778" t="n">
        <v>0</v>
      </c>
      <c r="I9778" t="n">
        <v>0</v>
      </c>
      <c r="J9778" t="n">
        <v>0</v>
      </c>
      <c r="K9778" t="n">
        <v>0</v>
      </c>
      <c r="L9778" t="n">
        <v>0</v>
      </c>
      <c r="M9778" t="n">
        <v>0</v>
      </c>
      <c r="N9778" t="n">
        <v>0</v>
      </c>
      <c r="O9778" t="n">
        <v>0</v>
      </c>
      <c r="P9778" t="n">
        <v>0</v>
      </c>
      <c r="Q9778" t="n">
        <v>0</v>
      </c>
      <c r="R9778" s="2" t="inlineStr"/>
    </row>
    <row r="9779" ht="15" customHeight="1">
      <c r="A9779" t="inlineStr">
        <is>
          <t>A 8613-2026</t>
        </is>
      </c>
      <c r="B9779" s="1" t="n">
        <v>46065.90597222222</v>
      </c>
      <c r="C9779" s="1" t="n">
        <v>46114</v>
      </c>
      <c r="D9779" t="inlineStr">
        <is>
          <t>DALARNAS LÄN</t>
        </is>
      </c>
      <c r="E9779" t="inlineStr">
        <is>
          <t>HEDEMORA</t>
        </is>
      </c>
      <c r="F9779" t="inlineStr">
        <is>
          <t>Sveaskog</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8665-2026</t>
        </is>
      </c>
      <c r="B9780" s="1" t="n">
        <v>46066.38585648148</v>
      </c>
      <c r="C9780" s="1" t="n">
        <v>46114</v>
      </c>
      <c r="D9780" t="inlineStr">
        <is>
          <t>DALARNAS LÄN</t>
        </is>
      </c>
      <c r="E9780" t="inlineStr">
        <is>
          <t>RÄTTVIK</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15978-2026</t>
        </is>
      </c>
      <c r="B9781" s="1" t="n">
        <v>46108.35298611111</v>
      </c>
      <c r="C9781" s="1" t="n">
        <v>46114</v>
      </c>
      <c r="D9781" t="inlineStr">
        <is>
          <t>DALARNAS LÄN</t>
        </is>
      </c>
      <c r="E9781" t="inlineStr">
        <is>
          <t>BORLÄNGE</t>
        </is>
      </c>
      <c r="G9781" t="n">
        <v>10.6</v>
      </c>
      <c r="H9781" t="n">
        <v>0</v>
      </c>
      <c r="I9781" t="n">
        <v>0</v>
      </c>
      <c r="J9781" t="n">
        <v>0</v>
      </c>
      <c r="K9781" t="n">
        <v>0</v>
      </c>
      <c r="L9781" t="n">
        <v>0</v>
      </c>
      <c r="M9781" t="n">
        <v>0</v>
      </c>
      <c r="N9781" t="n">
        <v>0</v>
      </c>
      <c r="O9781" t="n">
        <v>0</v>
      </c>
      <c r="P9781" t="n">
        <v>0</v>
      </c>
      <c r="Q9781" t="n">
        <v>0</v>
      </c>
      <c r="R9781" s="2" t="inlineStr"/>
    </row>
    <row r="9782" ht="15" customHeight="1">
      <c r="A9782" t="inlineStr">
        <is>
          <t>A 12885-2026</t>
        </is>
      </c>
      <c r="B9782" s="1" t="n">
        <v>46092</v>
      </c>
      <c r="C9782" s="1" t="n">
        <v>46114</v>
      </c>
      <c r="D9782" t="inlineStr">
        <is>
          <t>DALARNAS LÄN</t>
        </is>
      </c>
      <c r="E9782" t="inlineStr">
        <is>
          <t>FALUN</t>
        </is>
      </c>
      <c r="F9782" t="inlineStr">
        <is>
          <t>Bergvik skog väst AB</t>
        </is>
      </c>
      <c r="G9782" t="n">
        <v>4.6</v>
      </c>
      <c r="H9782" t="n">
        <v>0</v>
      </c>
      <c r="I9782" t="n">
        <v>0</v>
      </c>
      <c r="J9782" t="n">
        <v>0</v>
      </c>
      <c r="K9782" t="n">
        <v>0</v>
      </c>
      <c r="L9782" t="n">
        <v>0</v>
      </c>
      <c r="M9782" t="n">
        <v>0</v>
      </c>
      <c r="N9782" t="n">
        <v>0</v>
      </c>
      <c r="O9782" t="n">
        <v>0</v>
      </c>
      <c r="P9782" t="n">
        <v>0</v>
      </c>
      <c r="Q9782" t="n">
        <v>0</v>
      </c>
      <c r="R9782" s="2" t="inlineStr"/>
    </row>
    <row r="9783" ht="15" customHeight="1">
      <c r="A9783" t="inlineStr">
        <is>
          <t>A 12265-2026</t>
        </is>
      </c>
      <c r="B9783" s="1" t="n">
        <v>46087</v>
      </c>
      <c r="C9783" s="1" t="n">
        <v>46114</v>
      </c>
      <c r="D9783" t="inlineStr">
        <is>
          <t>DALARNAS LÄN</t>
        </is>
      </c>
      <c r="E9783" t="inlineStr">
        <is>
          <t>SÄTER</t>
        </is>
      </c>
      <c r="F9783" t="inlineStr">
        <is>
          <t>Kommuner</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44769-2021</t>
        </is>
      </c>
      <c r="B9784" s="1" t="n">
        <v>44438</v>
      </c>
      <c r="C9784" s="1" t="n">
        <v>46114</v>
      </c>
      <c r="D9784" t="inlineStr">
        <is>
          <t>DALARNAS LÄN</t>
        </is>
      </c>
      <c r="E9784" t="inlineStr">
        <is>
          <t>MORA</t>
        </is>
      </c>
      <c r="G9784" t="n">
        <v>0.9</v>
      </c>
      <c r="H9784" t="n">
        <v>0</v>
      </c>
      <c r="I9784" t="n">
        <v>0</v>
      </c>
      <c r="J9784" t="n">
        <v>0</v>
      </c>
      <c r="K9784" t="n">
        <v>0</v>
      </c>
      <c r="L9784" t="n">
        <v>0</v>
      </c>
      <c r="M9784" t="n">
        <v>0</v>
      </c>
      <c r="N9784" t="n">
        <v>0</v>
      </c>
      <c r="O9784" t="n">
        <v>0</v>
      </c>
      <c r="P9784" t="n">
        <v>0</v>
      </c>
      <c r="Q9784" t="n">
        <v>0</v>
      </c>
      <c r="R9784" s="2" t="inlineStr"/>
    </row>
    <row r="9785" ht="15" customHeight="1">
      <c r="A9785" t="inlineStr">
        <is>
          <t>A 16249-2026</t>
        </is>
      </c>
      <c r="B9785" s="1" t="n">
        <v>46111.46751157408</v>
      </c>
      <c r="C9785" s="1" t="n">
        <v>46114</v>
      </c>
      <c r="D9785" t="inlineStr">
        <is>
          <t>DALARNAS LÄN</t>
        </is>
      </c>
      <c r="E9785" t="inlineStr">
        <is>
          <t>RÄTTVIK</t>
        </is>
      </c>
      <c r="F9785" t="inlineStr">
        <is>
          <t>Sveaskog</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16260-2026</t>
        </is>
      </c>
      <c r="B9786" s="1" t="n">
        <v>46108</v>
      </c>
      <c r="C9786" s="1" t="n">
        <v>46114</v>
      </c>
      <c r="D9786" t="inlineStr">
        <is>
          <t>DALARNAS LÄN</t>
        </is>
      </c>
      <c r="E9786" t="inlineStr">
        <is>
          <t>HEDEMORA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16274-2026</t>
        </is>
      </c>
      <c r="B9787" s="1" t="n">
        <v>46111.48952546297</v>
      </c>
      <c r="C9787" s="1" t="n">
        <v>46114</v>
      </c>
      <c r="D9787" t="inlineStr">
        <is>
          <t>DALARNAS LÄN</t>
        </is>
      </c>
      <c r="E9787" t="inlineStr">
        <is>
          <t>FALUN</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16279-2026</t>
        </is>
      </c>
      <c r="B9788" s="1" t="n">
        <v>46111.49445601852</v>
      </c>
      <c r="C9788" s="1" t="n">
        <v>46114</v>
      </c>
      <c r="D9788" t="inlineStr">
        <is>
          <t>DALARNAS LÄN</t>
        </is>
      </c>
      <c r="E9788" t="inlineStr">
        <is>
          <t>HEDEMORA</t>
        </is>
      </c>
      <c r="G9788" t="n">
        <v>7.6</v>
      </c>
      <c r="H9788" t="n">
        <v>0</v>
      </c>
      <c r="I9788" t="n">
        <v>0</v>
      </c>
      <c r="J9788" t="n">
        <v>0</v>
      </c>
      <c r="K9788" t="n">
        <v>0</v>
      </c>
      <c r="L9788" t="n">
        <v>0</v>
      </c>
      <c r="M9788" t="n">
        <v>0</v>
      </c>
      <c r="N9788" t="n">
        <v>0</v>
      </c>
      <c r="O9788" t="n">
        <v>0</v>
      </c>
      <c r="P9788" t="n">
        <v>0</v>
      </c>
      <c r="Q9788" t="n">
        <v>0</v>
      </c>
      <c r="R9788" s="2" t="inlineStr"/>
    </row>
    <row r="9789" ht="15" customHeight="1">
      <c r="A9789" t="inlineStr">
        <is>
          <t>A 16037-2026</t>
        </is>
      </c>
      <c r="B9789" s="1" t="n">
        <v>46108.46324074074</v>
      </c>
      <c r="C9789" s="1" t="n">
        <v>46114</v>
      </c>
      <c r="D9789" t="inlineStr">
        <is>
          <t>DALARNAS LÄN</t>
        </is>
      </c>
      <c r="E9789" t="inlineStr">
        <is>
          <t>LEKSAND</t>
        </is>
      </c>
      <c r="G9789" t="n">
        <v>3.4</v>
      </c>
      <c r="H9789" t="n">
        <v>0</v>
      </c>
      <c r="I9789" t="n">
        <v>0</v>
      </c>
      <c r="J9789" t="n">
        <v>0</v>
      </c>
      <c r="K9789" t="n">
        <v>0</v>
      </c>
      <c r="L9789" t="n">
        <v>0</v>
      </c>
      <c r="M9789" t="n">
        <v>0</v>
      </c>
      <c r="N9789" t="n">
        <v>0</v>
      </c>
      <c r="O9789" t="n">
        <v>0</v>
      </c>
      <c r="P9789" t="n">
        <v>0</v>
      </c>
      <c r="Q9789" t="n">
        <v>0</v>
      </c>
      <c r="R9789" s="2" t="inlineStr"/>
    </row>
    <row r="9790" ht="15" customHeight="1">
      <c r="A9790" t="inlineStr">
        <is>
          <t>A 2190-2025</t>
        </is>
      </c>
      <c r="B9790" s="1" t="n">
        <v>45673.36819444445</v>
      </c>
      <c r="C9790" s="1" t="n">
        <v>46114</v>
      </c>
      <c r="D9790" t="inlineStr">
        <is>
          <t>DALARNAS LÄN</t>
        </is>
      </c>
      <c r="E9790" t="inlineStr">
        <is>
          <t>VANSBRO</t>
        </is>
      </c>
      <c r="G9790" t="n">
        <v>3.3</v>
      </c>
      <c r="H9790" t="n">
        <v>0</v>
      </c>
      <c r="I9790" t="n">
        <v>0</v>
      </c>
      <c r="J9790" t="n">
        <v>0</v>
      </c>
      <c r="K9790" t="n">
        <v>0</v>
      </c>
      <c r="L9790" t="n">
        <v>0</v>
      </c>
      <c r="M9790" t="n">
        <v>0</v>
      </c>
      <c r="N9790" t="n">
        <v>0</v>
      </c>
      <c r="O9790" t="n">
        <v>0</v>
      </c>
      <c r="P9790" t="n">
        <v>0</v>
      </c>
      <c r="Q9790" t="n">
        <v>0</v>
      </c>
      <c r="R9790" s="2" t="inlineStr"/>
    </row>
    <row r="9791" ht="15" customHeight="1">
      <c r="A9791" t="inlineStr">
        <is>
          <t>A 11789-2026</t>
        </is>
      </c>
      <c r="B9791" s="1" t="n">
        <v>46085</v>
      </c>
      <c r="C9791" s="1" t="n">
        <v>46114</v>
      </c>
      <c r="D9791" t="inlineStr">
        <is>
          <t>DALARNAS LÄN</t>
        </is>
      </c>
      <c r="E9791" t="inlineStr">
        <is>
          <t>RÄTTVIK</t>
        </is>
      </c>
      <c r="G9791" t="n">
        <v>7.6</v>
      </c>
      <c r="H9791" t="n">
        <v>0</v>
      </c>
      <c r="I9791" t="n">
        <v>0</v>
      </c>
      <c r="J9791" t="n">
        <v>0</v>
      </c>
      <c r="K9791" t="n">
        <v>0</v>
      </c>
      <c r="L9791" t="n">
        <v>0</v>
      </c>
      <c r="M9791" t="n">
        <v>0</v>
      </c>
      <c r="N9791" t="n">
        <v>0</v>
      </c>
      <c r="O9791" t="n">
        <v>0</v>
      </c>
      <c r="P9791" t="n">
        <v>0</v>
      </c>
      <c r="Q9791" t="n">
        <v>0</v>
      </c>
      <c r="R9791" s="2" t="inlineStr"/>
    </row>
    <row r="9792" ht="15" customHeight="1">
      <c r="A9792" t="inlineStr">
        <is>
          <t>A 11790-2026</t>
        </is>
      </c>
      <c r="B9792" s="1" t="n">
        <v>46085</v>
      </c>
      <c r="C9792" s="1" t="n">
        <v>46114</v>
      </c>
      <c r="D9792" t="inlineStr">
        <is>
          <t>DALARNAS LÄN</t>
        </is>
      </c>
      <c r="E9792" t="inlineStr">
        <is>
          <t>RÄTTVIK</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12035-2026</t>
        </is>
      </c>
      <c r="B9793" s="1" t="n">
        <v>46086</v>
      </c>
      <c r="C9793" s="1" t="n">
        <v>46114</v>
      </c>
      <c r="D9793" t="inlineStr">
        <is>
          <t>DALARNAS LÄN</t>
        </is>
      </c>
      <c r="E9793" t="inlineStr">
        <is>
          <t>FALUN</t>
        </is>
      </c>
      <c r="F9793" t="inlineStr">
        <is>
          <t>Bergvik skog väst AB</t>
        </is>
      </c>
      <c r="G9793" t="n">
        <v>4.6</v>
      </c>
      <c r="H9793" t="n">
        <v>0</v>
      </c>
      <c r="I9793" t="n">
        <v>0</v>
      </c>
      <c r="J9793" t="n">
        <v>0</v>
      </c>
      <c r="K9793" t="n">
        <v>0</v>
      </c>
      <c r="L9793" t="n">
        <v>0</v>
      </c>
      <c r="M9793" t="n">
        <v>0</v>
      </c>
      <c r="N9793" t="n">
        <v>0</v>
      </c>
      <c r="O9793" t="n">
        <v>0</v>
      </c>
      <c r="P9793" t="n">
        <v>0</v>
      </c>
      <c r="Q9793" t="n">
        <v>0</v>
      </c>
      <c r="R9793" s="2" t="inlineStr"/>
    </row>
    <row r="9794" ht="15" customHeight="1">
      <c r="A9794" t="inlineStr">
        <is>
          <t>A 8824-2026</t>
        </is>
      </c>
      <c r="B9794" s="1" t="n">
        <v>46066</v>
      </c>
      <c r="C9794" s="1" t="n">
        <v>46114</v>
      </c>
      <c r="D9794" t="inlineStr">
        <is>
          <t>DALARNAS LÄN</t>
        </is>
      </c>
      <c r="E9794" t="inlineStr">
        <is>
          <t>HEDEMORA</t>
        </is>
      </c>
      <c r="F9794" t="inlineStr">
        <is>
          <t>Sveaskog</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8760-2026</t>
        </is>
      </c>
      <c r="B9795" s="1" t="n">
        <v>46066</v>
      </c>
      <c r="C9795" s="1" t="n">
        <v>46114</v>
      </c>
      <c r="D9795" t="inlineStr">
        <is>
          <t>DALARNAS LÄN</t>
        </is>
      </c>
      <c r="E9795" t="inlineStr">
        <is>
          <t>FALUN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16165-2026</t>
        </is>
      </c>
      <c r="B9796" s="1" t="n">
        <v>46110.7709837963</v>
      </c>
      <c r="C9796" s="1" t="n">
        <v>46114</v>
      </c>
      <c r="D9796" t="inlineStr">
        <is>
          <t>DALARNAS LÄN</t>
        </is>
      </c>
      <c r="E9796" t="inlineStr">
        <is>
          <t>FALUN</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2924-2026</t>
        </is>
      </c>
      <c r="B9797" s="1" t="n">
        <v>46038.58</v>
      </c>
      <c r="C9797" s="1" t="n">
        <v>46114</v>
      </c>
      <c r="D9797" t="inlineStr">
        <is>
          <t>DALARNAS LÄN</t>
        </is>
      </c>
      <c r="E9797" t="inlineStr">
        <is>
          <t>GAGNEF</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63084-2025</t>
        </is>
      </c>
      <c r="B9798" s="1" t="n">
        <v>46009.6719212963</v>
      </c>
      <c r="C9798" s="1" t="n">
        <v>46114</v>
      </c>
      <c r="D9798" t="inlineStr">
        <is>
          <t>DALARNAS LÄN</t>
        </is>
      </c>
      <c r="E9798" t="inlineStr">
        <is>
          <t>GAGNEF</t>
        </is>
      </c>
      <c r="F9798" t="inlineStr">
        <is>
          <t>Kyrkan</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8904-2026</t>
        </is>
      </c>
      <c r="B9799" s="1" t="n">
        <v>46068.88479166666</v>
      </c>
      <c r="C9799" s="1" t="n">
        <v>46114</v>
      </c>
      <c r="D9799" t="inlineStr">
        <is>
          <t>DALARNAS LÄN</t>
        </is>
      </c>
      <c r="E9799" t="inlineStr">
        <is>
          <t>FALUN</t>
        </is>
      </c>
      <c r="G9799" t="n">
        <v>2</v>
      </c>
      <c r="H9799" t="n">
        <v>0</v>
      </c>
      <c r="I9799" t="n">
        <v>0</v>
      </c>
      <c r="J9799" t="n">
        <v>0</v>
      </c>
      <c r="K9799" t="n">
        <v>0</v>
      </c>
      <c r="L9799" t="n">
        <v>0</v>
      </c>
      <c r="M9799" t="n">
        <v>0</v>
      </c>
      <c r="N9799" t="n">
        <v>0</v>
      </c>
      <c r="O9799" t="n">
        <v>0</v>
      </c>
      <c r="P9799" t="n">
        <v>0</v>
      </c>
      <c r="Q9799" t="n">
        <v>0</v>
      </c>
      <c r="R9799" s="2" t="inlineStr"/>
    </row>
    <row r="9800" ht="15" customHeight="1">
      <c r="A9800" t="inlineStr">
        <is>
          <t>A 15499-2026</t>
        </is>
      </c>
      <c r="B9800" s="1" t="n">
        <v>46106</v>
      </c>
      <c r="C9800" s="1" t="n">
        <v>46114</v>
      </c>
      <c r="D9800" t="inlineStr">
        <is>
          <t>DALARNAS LÄN</t>
        </is>
      </c>
      <c r="E9800" t="inlineStr">
        <is>
          <t>HEDEMORA</t>
        </is>
      </c>
      <c r="F9800" t="inlineStr">
        <is>
          <t>Sveaskog</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16291-2025</t>
        </is>
      </c>
      <c r="B9801" s="1" t="n">
        <v>45751.33146990741</v>
      </c>
      <c r="C9801" s="1" t="n">
        <v>46114</v>
      </c>
      <c r="D9801" t="inlineStr">
        <is>
          <t>DALARNAS LÄN</t>
        </is>
      </c>
      <c r="E9801" t="inlineStr">
        <is>
          <t>RÄTTVIK</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5859-2025</t>
        </is>
      </c>
      <c r="B9802" s="1" t="n">
        <v>45695.34581018519</v>
      </c>
      <c r="C9802" s="1" t="n">
        <v>46114</v>
      </c>
      <c r="D9802" t="inlineStr">
        <is>
          <t>DALARNAS LÄN</t>
        </is>
      </c>
      <c r="E9802" t="inlineStr">
        <is>
          <t>GAGNEF</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8731-2026</t>
        </is>
      </c>
      <c r="B9803" s="1" t="n">
        <v>46066</v>
      </c>
      <c r="C9803" s="1" t="n">
        <v>46114</v>
      </c>
      <c r="D9803" t="inlineStr">
        <is>
          <t>DALARNAS LÄN</t>
        </is>
      </c>
      <c r="E9803" t="inlineStr">
        <is>
          <t>LUDVIKA</t>
        </is>
      </c>
      <c r="F9803" t="inlineStr">
        <is>
          <t>Bergvik skog väst AB</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55534-2023</t>
        </is>
      </c>
      <c r="B9804" s="1" t="n">
        <v>45238</v>
      </c>
      <c r="C9804" s="1" t="n">
        <v>46114</v>
      </c>
      <c r="D9804" t="inlineStr">
        <is>
          <t>DALARNAS LÄN</t>
        </is>
      </c>
      <c r="E9804" t="inlineStr">
        <is>
          <t>ORSA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57933-2024</t>
        </is>
      </c>
      <c r="B9805" s="1" t="n">
        <v>45630</v>
      </c>
      <c r="C9805" s="1" t="n">
        <v>46114</v>
      </c>
      <c r="D9805" t="inlineStr">
        <is>
          <t>DALARNAS LÄN</t>
        </is>
      </c>
      <c r="E9805" t="inlineStr">
        <is>
          <t>LEKSAND</t>
        </is>
      </c>
      <c r="G9805" t="n">
        <v>1.1</v>
      </c>
      <c r="H9805" t="n">
        <v>0</v>
      </c>
      <c r="I9805" t="n">
        <v>0</v>
      </c>
      <c r="J9805" t="n">
        <v>0</v>
      </c>
      <c r="K9805" t="n">
        <v>0</v>
      </c>
      <c r="L9805" t="n">
        <v>0</v>
      </c>
      <c r="M9805" t="n">
        <v>0</v>
      </c>
      <c r="N9805" t="n">
        <v>0</v>
      </c>
      <c r="O9805" t="n">
        <v>0</v>
      </c>
      <c r="P9805" t="n">
        <v>0</v>
      </c>
      <c r="Q9805" t="n">
        <v>0</v>
      </c>
      <c r="R9805" s="2" t="inlineStr"/>
    </row>
    <row r="9806" ht="15" customHeight="1">
      <c r="A9806" t="inlineStr">
        <is>
          <t>A 19979-2025</t>
        </is>
      </c>
      <c r="B9806" s="1" t="n">
        <v>45771.70621527778</v>
      </c>
      <c r="C9806" s="1" t="n">
        <v>46114</v>
      </c>
      <c r="D9806" t="inlineStr">
        <is>
          <t>DALARNAS LÄN</t>
        </is>
      </c>
      <c r="E9806" t="inlineStr">
        <is>
          <t>SÄTER</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19990-2025</t>
        </is>
      </c>
      <c r="B9807" s="1" t="n">
        <v>45771.73082175926</v>
      </c>
      <c r="C9807" s="1" t="n">
        <v>46114</v>
      </c>
      <c r="D9807" t="inlineStr">
        <is>
          <t>DALARNAS LÄN</t>
        </is>
      </c>
      <c r="E9807" t="inlineStr">
        <is>
          <t>HEDEMORA</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16353-2026</t>
        </is>
      </c>
      <c r="B9808" s="1" t="n">
        <v>46111.59496527778</v>
      </c>
      <c r="C9808" s="1" t="n">
        <v>46114</v>
      </c>
      <c r="D9808" t="inlineStr">
        <is>
          <t>DALARNAS LÄN</t>
        </is>
      </c>
      <c r="E9808" t="inlineStr">
        <is>
          <t>FALUN</t>
        </is>
      </c>
      <c r="G9808" t="n">
        <v>11.4</v>
      </c>
      <c r="H9808" t="n">
        <v>0</v>
      </c>
      <c r="I9808" t="n">
        <v>0</v>
      </c>
      <c r="J9808" t="n">
        <v>0</v>
      </c>
      <c r="K9808" t="n">
        <v>0</v>
      </c>
      <c r="L9808" t="n">
        <v>0</v>
      </c>
      <c r="M9808" t="n">
        <v>0</v>
      </c>
      <c r="N9808" t="n">
        <v>0</v>
      </c>
      <c r="O9808" t="n">
        <v>0</v>
      </c>
      <c r="P9808" t="n">
        <v>0</v>
      </c>
      <c r="Q9808" t="n">
        <v>0</v>
      </c>
      <c r="R9808" s="2" t="inlineStr"/>
    </row>
    <row r="9809" ht="15" customHeight="1">
      <c r="A9809" t="inlineStr">
        <is>
          <t>A 58036-2024</t>
        </is>
      </c>
      <c r="B9809" s="1" t="n">
        <v>45631.71893518518</v>
      </c>
      <c r="C9809" s="1" t="n">
        <v>46114</v>
      </c>
      <c r="D9809" t="inlineStr">
        <is>
          <t>DALARNAS LÄN</t>
        </is>
      </c>
      <c r="E9809" t="inlineStr">
        <is>
          <t>MORA</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16431-2026</t>
        </is>
      </c>
      <c r="B9810" s="1" t="n">
        <v>46111.7409837963</v>
      </c>
      <c r="C9810" s="1" t="n">
        <v>46114</v>
      </c>
      <c r="D9810" t="inlineStr">
        <is>
          <t>DALARNAS LÄN</t>
        </is>
      </c>
      <c r="E9810" t="inlineStr">
        <is>
          <t>FALUN</t>
        </is>
      </c>
      <c r="G9810" t="n">
        <v>1.6</v>
      </c>
      <c r="H9810" t="n">
        <v>0</v>
      </c>
      <c r="I9810" t="n">
        <v>0</v>
      </c>
      <c r="J9810" t="n">
        <v>0</v>
      </c>
      <c r="K9810" t="n">
        <v>0</v>
      </c>
      <c r="L9810" t="n">
        <v>0</v>
      </c>
      <c r="M9810" t="n">
        <v>0</v>
      </c>
      <c r="N9810" t="n">
        <v>0</v>
      </c>
      <c r="O9810" t="n">
        <v>0</v>
      </c>
      <c r="P9810" t="n">
        <v>0</v>
      </c>
      <c r="Q9810" t="n">
        <v>0</v>
      </c>
      <c r="R9810" s="2" t="inlineStr"/>
    </row>
    <row r="9811" ht="15" customHeight="1">
      <c r="A9811" t="inlineStr">
        <is>
          <t>A 14556-2026</t>
        </is>
      </c>
      <c r="B9811" s="1" t="n">
        <v>46100.77256944445</v>
      </c>
      <c r="C9811" s="1" t="n">
        <v>46114</v>
      </c>
      <c r="D9811" t="inlineStr">
        <is>
          <t>DALARNAS LÄN</t>
        </is>
      </c>
      <c r="E9811" t="inlineStr">
        <is>
          <t>GAGNEF</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14559-2026</t>
        </is>
      </c>
      <c r="B9812" s="1" t="n">
        <v>46100</v>
      </c>
      <c r="C9812" s="1" t="n">
        <v>46114</v>
      </c>
      <c r="D9812" t="inlineStr">
        <is>
          <t>DALARNAS LÄN</t>
        </is>
      </c>
      <c r="E9812" t="inlineStr">
        <is>
          <t>FALUN</t>
        </is>
      </c>
      <c r="F9812" t="inlineStr">
        <is>
          <t>Allmännings- och besparingsskogar</t>
        </is>
      </c>
      <c r="G9812" t="n">
        <v>5.9</v>
      </c>
      <c r="H9812" t="n">
        <v>0</v>
      </c>
      <c r="I9812" t="n">
        <v>0</v>
      </c>
      <c r="J9812" t="n">
        <v>0</v>
      </c>
      <c r="K9812" t="n">
        <v>0</v>
      </c>
      <c r="L9812" t="n">
        <v>0</v>
      </c>
      <c r="M9812" t="n">
        <v>0</v>
      </c>
      <c r="N9812" t="n">
        <v>0</v>
      </c>
      <c r="O9812" t="n">
        <v>0</v>
      </c>
      <c r="P9812" t="n">
        <v>0</v>
      </c>
      <c r="Q9812" t="n">
        <v>0</v>
      </c>
      <c r="R9812" s="2" t="inlineStr"/>
    </row>
    <row r="9813" ht="15" customHeight="1">
      <c r="A9813" t="inlineStr">
        <is>
          <t>A 11316-2026</t>
        </is>
      </c>
      <c r="B9813" s="1" t="n">
        <v>46080.68315972222</v>
      </c>
      <c r="C9813" s="1" t="n">
        <v>46114</v>
      </c>
      <c r="D9813" t="inlineStr">
        <is>
          <t>DALARNAS LÄN</t>
        </is>
      </c>
      <c r="E9813" t="inlineStr">
        <is>
          <t>FALUN</t>
        </is>
      </c>
      <c r="F9813" t="inlineStr">
        <is>
          <t>Bergvik skog väst AB</t>
        </is>
      </c>
      <c r="G9813" t="n">
        <v>2.6</v>
      </c>
      <c r="H9813" t="n">
        <v>0</v>
      </c>
      <c r="I9813" t="n">
        <v>0</v>
      </c>
      <c r="J9813" t="n">
        <v>0</v>
      </c>
      <c r="K9813" t="n">
        <v>0</v>
      </c>
      <c r="L9813" t="n">
        <v>0</v>
      </c>
      <c r="M9813" t="n">
        <v>0</v>
      </c>
      <c r="N9813" t="n">
        <v>0</v>
      </c>
      <c r="O9813" t="n">
        <v>0</v>
      </c>
      <c r="P9813" t="n">
        <v>0</v>
      </c>
      <c r="Q9813" t="n">
        <v>0</v>
      </c>
      <c r="R9813" s="2" t="inlineStr"/>
    </row>
    <row r="9814" ht="15" customHeight="1">
      <c r="A9814" t="inlineStr">
        <is>
          <t>A 11230-2026</t>
        </is>
      </c>
      <c r="B9814" s="1" t="n">
        <v>46080</v>
      </c>
      <c r="C9814" s="1" t="n">
        <v>46114</v>
      </c>
      <c r="D9814" t="inlineStr">
        <is>
          <t>DALARNAS LÄN</t>
        </is>
      </c>
      <c r="E9814" t="inlineStr">
        <is>
          <t>FALUN</t>
        </is>
      </c>
      <c r="G9814" t="n">
        <v>3.4</v>
      </c>
      <c r="H9814" t="n">
        <v>0</v>
      </c>
      <c r="I9814" t="n">
        <v>0</v>
      </c>
      <c r="J9814" t="n">
        <v>0</v>
      </c>
      <c r="K9814" t="n">
        <v>0</v>
      </c>
      <c r="L9814" t="n">
        <v>0</v>
      </c>
      <c r="M9814" t="n">
        <v>0</v>
      </c>
      <c r="N9814" t="n">
        <v>0</v>
      </c>
      <c r="O9814" t="n">
        <v>0</v>
      </c>
      <c r="P9814" t="n">
        <v>0</v>
      </c>
      <c r="Q9814" t="n">
        <v>0</v>
      </c>
      <c r="R9814" s="2" t="inlineStr"/>
    </row>
    <row r="9815" ht="15" customHeight="1">
      <c r="A9815" t="inlineStr">
        <is>
          <t>A 13612-2026</t>
        </is>
      </c>
      <c r="B9815" s="1" t="n">
        <v>46097</v>
      </c>
      <c r="C9815" s="1" t="n">
        <v>46114</v>
      </c>
      <c r="D9815" t="inlineStr">
        <is>
          <t>DALARNAS LÄN</t>
        </is>
      </c>
      <c r="E9815" t="inlineStr">
        <is>
          <t>LEKSAND</t>
        </is>
      </c>
      <c r="G9815" t="n">
        <v>3.9</v>
      </c>
      <c r="H9815" t="n">
        <v>0</v>
      </c>
      <c r="I9815" t="n">
        <v>0</v>
      </c>
      <c r="J9815" t="n">
        <v>0</v>
      </c>
      <c r="K9815" t="n">
        <v>0</v>
      </c>
      <c r="L9815" t="n">
        <v>0</v>
      </c>
      <c r="M9815" t="n">
        <v>0</v>
      </c>
      <c r="N9815" t="n">
        <v>0</v>
      </c>
      <c r="O9815" t="n">
        <v>0</v>
      </c>
      <c r="P9815" t="n">
        <v>0</v>
      </c>
      <c r="Q9815" t="n">
        <v>0</v>
      </c>
      <c r="R9815" s="2" t="inlineStr"/>
      <c r="U9815">
        <f>HYPERLINK("https://klasma.github.io/Logging_2029/knärot/A 13612-2026 karta knärot.png", "A 13612-2026")</f>
        <v/>
      </c>
      <c r="V9815">
        <f>HYPERLINK("https://klasma.github.io/Logging_2029/klagomål/A 13612-2026 FSC-klagomål.docx", "A 13612-2026")</f>
        <v/>
      </c>
      <c r="W9815">
        <f>HYPERLINK("https://klasma.github.io/Logging_2029/klagomålsmail/A 13612-2026 FSC-klagomål mail.docx", "A 13612-2026")</f>
        <v/>
      </c>
      <c r="X9815">
        <f>HYPERLINK("https://klasma.github.io/Logging_2029/tillsyn/A 13612-2026 tillsynsbegäran.docx", "A 13612-2026")</f>
        <v/>
      </c>
      <c r="Y9815">
        <f>HYPERLINK("https://klasma.github.io/Logging_2029/tillsynsmail/A 13612-2026 tillsynsbegäran mail.docx", "A 13612-2026")</f>
        <v/>
      </c>
    </row>
    <row r="9816" ht="15" customHeight="1">
      <c r="A9816" t="inlineStr">
        <is>
          <t>A 11219-2026</t>
        </is>
      </c>
      <c r="B9816" s="1" t="n">
        <v>46080</v>
      </c>
      <c r="C9816" s="1" t="n">
        <v>46114</v>
      </c>
      <c r="D9816" t="inlineStr">
        <is>
          <t>DALARNAS LÄN</t>
        </is>
      </c>
      <c r="E9816" t="inlineStr">
        <is>
          <t>FALUN</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56621-2023</t>
        </is>
      </c>
      <c r="B9817" s="1" t="n">
        <v>45243.68557870371</v>
      </c>
      <c r="C9817" s="1" t="n">
        <v>46114</v>
      </c>
      <c r="D9817" t="inlineStr">
        <is>
          <t>DALARNAS LÄN</t>
        </is>
      </c>
      <c r="E9817" t="inlineStr">
        <is>
          <t>LUDVIKA</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16234-2026</t>
        </is>
      </c>
      <c r="B9818" s="1" t="n">
        <v>46111.45505787037</v>
      </c>
      <c r="C9818" s="1" t="n">
        <v>46114</v>
      </c>
      <c r="D9818" t="inlineStr">
        <is>
          <t>DALARNAS LÄN</t>
        </is>
      </c>
      <c r="E9818" t="inlineStr">
        <is>
          <t>LEKSAND</t>
        </is>
      </c>
      <c r="F9818" t="inlineStr">
        <is>
          <t>Bergvik skog väst AB</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56773-2023</t>
        </is>
      </c>
      <c r="B9819" s="1" t="n">
        <v>45244.41140046297</v>
      </c>
      <c r="C9819" s="1" t="n">
        <v>46114</v>
      </c>
      <c r="D9819" t="inlineStr">
        <is>
          <t>DALARNAS LÄN</t>
        </is>
      </c>
      <c r="E9819" t="inlineStr">
        <is>
          <t>VANSBRO</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28251-2024</t>
        </is>
      </c>
      <c r="B9820" s="1" t="n">
        <v>45477.41841435185</v>
      </c>
      <c r="C9820" s="1" t="n">
        <v>46114</v>
      </c>
      <c r="D9820" t="inlineStr">
        <is>
          <t>DALARNAS LÄN</t>
        </is>
      </c>
      <c r="E9820" t="inlineStr">
        <is>
          <t>SMEDJEBACKEN</t>
        </is>
      </c>
      <c r="F9820" t="inlineStr">
        <is>
          <t>Sveaskog</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8808-2026</t>
        </is>
      </c>
      <c r="B9821" s="1" t="n">
        <v>46066.60846064815</v>
      </c>
      <c r="C9821" s="1" t="n">
        <v>46114</v>
      </c>
      <c r="D9821" t="inlineStr">
        <is>
          <t>DALARNAS LÄN</t>
        </is>
      </c>
      <c r="E9821" t="inlineStr">
        <is>
          <t>FALUN</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16166-2026</t>
        </is>
      </c>
      <c r="B9822" s="1" t="n">
        <v>46110.91230324074</v>
      </c>
      <c r="C9822" s="1" t="n">
        <v>46114</v>
      </c>
      <c r="D9822" t="inlineStr">
        <is>
          <t>DALARNAS LÄN</t>
        </is>
      </c>
      <c r="E9822" t="inlineStr">
        <is>
          <t>FALUN</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16415-2026</t>
        </is>
      </c>
      <c r="B9823" s="1" t="n">
        <v>46111</v>
      </c>
      <c r="C9823" s="1" t="n">
        <v>46114</v>
      </c>
      <c r="D9823" t="inlineStr">
        <is>
          <t>DALARNAS LÄN</t>
        </is>
      </c>
      <c r="E9823" t="inlineStr">
        <is>
          <t>FALUN</t>
        </is>
      </c>
      <c r="F9823" t="inlineStr">
        <is>
          <t>Allmännings- och besparingsskogar</t>
        </is>
      </c>
      <c r="G9823" t="n">
        <v>4.8</v>
      </c>
      <c r="H9823" t="n">
        <v>0</v>
      </c>
      <c r="I9823" t="n">
        <v>0</v>
      </c>
      <c r="J9823" t="n">
        <v>0</v>
      </c>
      <c r="K9823" t="n">
        <v>0</v>
      </c>
      <c r="L9823" t="n">
        <v>0</v>
      </c>
      <c r="M9823" t="n">
        <v>0</v>
      </c>
      <c r="N9823" t="n">
        <v>0</v>
      </c>
      <c r="O9823" t="n">
        <v>0</v>
      </c>
      <c r="P9823" t="n">
        <v>0</v>
      </c>
      <c r="Q9823" t="n">
        <v>0</v>
      </c>
      <c r="R9823" s="2" t="inlineStr"/>
    </row>
    <row r="9824" ht="15" customHeight="1">
      <c r="A9824" t="inlineStr">
        <is>
          <t>A 8924-2026</t>
        </is>
      </c>
      <c r="B9824" s="1" t="n">
        <v>46069</v>
      </c>
      <c r="C9824" s="1" t="n">
        <v>46114</v>
      </c>
      <c r="D9824" t="inlineStr">
        <is>
          <t>DALARNAS LÄN</t>
        </is>
      </c>
      <c r="E9824" t="inlineStr">
        <is>
          <t>RÄTTVIK</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16333-2026</t>
        </is>
      </c>
      <c r="B9825" s="1" t="n">
        <v>46111.57320601852</v>
      </c>
      <c r="C9825" s="1" t="n">
        <v>46114</v>
      </c>
      <c r="D9825" t="inlineStr">
        <is>
          <t>DALARNAS LÄN</t>
        </is>
      </c>
      <c r="E9825" t="inlineStr">
        <is>
          <t>AVESTA</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62368-2025</t>
        </is>
      </c>
      <c r="B9826" s="1" t="n">
        <v>46007</v>
      </c>
      <c r="C9826" s="1" t="n">
        <v>46114</v>
      </c>
      <c r="D9826" t="inlineStr">
        <is>
          <t>DALARNAS LÄN</t>
        </is>
      </c>
      <c r="E9826" t="inlineStr">
        <is>
          <t>LUDVIKA</t>
        </is>
      </c>
      <c r="F9826" t="inlineStr">
        <is>
          <t>Bergvik skog väst AB</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54923-2025</t>
        </is>
      </c>
      <c r="B9827" s="1" t="n">
        <v>45967.40354166667</v>
      </c>
      <c r="C9827" s="1" t="n">
        <v>46114</v>
      </c>
      <c r="D9827" t="inlineStr">
        <is>
          <t>DALARNAS LÄN</t>
        </is>
      </c>
      <c r="E9827" t="inlineStr">
        <is>
          <t>VANSBRO</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4795-2026</t>
        </is>
      </c>
      <c r="B9828" s="1" t="n">
        <v>46048.56770833334</v>
      </c>
      <c r="C9828" s="1" t="n">
        <v>46114</v>
      </c>
      <c r="D9828" t="inlineStr">
        <is>
          <t>DALARNAS LÄN</t>
        </is>
      </c>
      <c r="E9828" t="inlineStr">
        <is>
          <t>BORLÄNGE</t>
        </is>
      </c>
      <c r="G9828" t="n">
        <v>3.9</v>
      </c>
      <c r="H9828" t="n">
        <v>0</v>
      </c>
      <c r="I9828" t="n">
        <v>0</v>
      </c>
      <c r="J9828" t="n">
        <v>0</v>
      </c>
      <c r="K9828" t="n">
        <v>0</v>
      </c>
      <c r="L9828" t="n">
        <v>0</v>
      </c>
      <c r="M9828" t="n">
        <v>0</v>
      </c>
      <c r="N9828" t="n">
        <v>0</v>
      </c>
      <c r="O9828" t="n">
        <v>0</v>
      </c>
      <c r="P9828" t="n">
        <v>0</v>
      </c>
      <c r="Q9828" t="n">
        <v>0</v>
      </c>
      <c r="R9828" s="2" t="inlineStr"/>
    </row>
    <row r="9829" ht="15" customHeight="1">
      <c r="A9829" t="inlineStr">
        <is>
          <t>A 21763-2024</t>
        </is>
      </c>
      <c r="B9829" s="1" t="n">
        <v>45442.60204861111</v>
      </c>
      <c r="C9829" s="1" t="n">
        <v>46114</v>
      </c>
      <c r="D9829" t="inlineStr">
        <is>
          <t>DALARNAS LÄN</t>
        </is>
      </c>
      <c r="E9829" t="inlineStr">
        <is>
          <t>HEDEMORA</t>
        </is>
      </c>
      <c r="G9829" t="n">
        <v>1.6</v>
      </c>
      <c r="H9829" t="n">
        <v>0</v>
      </c>
      <c r="I9829" t="n">
        <v>0</v>
      </c>
      <c r="J9829" t="n">
        <v>0</v>
      </c>
      <c r="K9829" t="n">
        <v>0</v>
      </c>
      <c r="L9829" t="n">
        <v>0</v>
      </c>
      <c r="M9829" t="n">
        <v>0</v>
      </c>
      <c r="N9829" t="n">
        <v>0</v>
      </c>
      <c r="O9829" t="n">
        <v>0</v>
      </c>
      <c r="P9829" t="n">
        <v>0</v>
      </c>
      <c r="Q9829" t="n">
        <v>0</v>
      </c>
      <c r="R9829" s="2" t="inlineStr"/>
    </row>
    <row r="9830" ht="15" customHeight="1">
      <c r="A9830" t="inlineStr">
        <is>
          <t>A 37785-2024</t>
        </is>
      </c>
      <c r="B9830" s="1" t="n">
        <v>45542.82690972222</v>
      </c>
      <c r="C9830" s="1" t="n">
        <v>46114</v>
      </c>
      <c r="D9830" t="inlineStr">
        <is>
          <t>DALARNAS LÄN</t>
        </is>
      </c>
      <c r="E9830" t="inlineStr">
        <is>
          <t>BORLÄNGE</t>
        </is>
      </c>
      <c r="G9830" t="n">
        <v>0.9</v>
      </c>
      <c r="H9830" t="n">
        <v>0</v>
      </c>
      <c r="I9830" t="n">
        <v>0</v>
      </c>
      <c r="J9830" t="n">
        <v>0</v>
      </c>
      <c r="K9830" t="n">
        <v>0</v>
      </c>
      <c r="L9830" t="n">
        <v>0</v>
      </c>
      <c r="M9830" t="n">
        <v>0</v>
      </c>
      <c r="N9830" t="n">
        <v>0</v>
      </c>
      <c r="O9830" t="n">
        <v>0</v>
      </c>
      <c r="P9830" t="n">
        <v>0</v>
      </c>
      <c r="Q9830" t="n">
        <v>0</v>
      </c>
      <c r="R9830" s="2" t="inlineStr"/>
    </row>
    <row r="9831" ht="15" customHeight="1">
      <c r="A9831" t="inlineStr">
        <is>
          <t>A 16044-2026</t>
        </is>
      </c>
      <c r="B9831" s="1" t="n">
        <v>46108.47385416667</v>
      </c>
      <c r="C9831" s="1" t="n">
        <v>46114</v>
      </c>
      <c r="D9831" t="inlineStr">
        <is>
          <t>DALARNAS LÄN</t>
        </is>
      </c>
      <c r="E9831" t="inlineStr">
        <is>
          <t>RÄTTVIK</t>
        </is>
      </c>
      <c r="G9831" t="n">
        <v>1.6</v>
      </c>
      <c r="H9831" t="n">
        <v>0</v>
      </c>
      <c r="I9831" t="n">
        <v>0</v>
      </c>
      <c r="J9831" t="n">
        <v>0</v>
      </c>
      <c r="K9831" t="n">
        <v>0</v>
      </c>
      <c r="L9831" t="n">
        <v>0</v>
      </c>
      <c r="M9831" t="n">
        <v>0</v>
      </c>
      <c r="N9831" t="n">
        <v>0</v>
      </c>
      <c r="O9831" t="n">
        <v>0</v>
      </c>
      <c r="P9831" t="n">
        <v>0</v>
      </c>
      <c r="Q9831" t="n">
        <v>0</v>
      </c>
      <c r="R9831" s="2" t="inlineStr"/>
    </row>
    <row r="9832" ht="15" customHeight="1">
      <c r="A9832" t="inlineStr">
        <is>
          <t>A 1995-2026</t>
        </is>
      </c>
      <c r="B9832" s="1" t="n">
        <v>46035.67491898148</v>
      </c>
      <c r="C9832" s="1" t="n">
        <v>46114</v>
      </c>
      <c r="D9832" t="inlineStr">
        <is>
          <t>DALARNAS LÄN</t>
        </is>
      </c>
      <c r="E9832" t="inlineStr">
        <is>
          <t>LEKSAND</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8839-2026</t>
        </is>
      </c>
      <c r="B9833" s="1" t="n">
        <v>46066</v>
      </c>
      <c r="C9833" s="1" t="n">
        <v>46114</v>
      </c>
      <c r="D9833" t="inlineStr">
        <is>
          <t>DALARNAS LÄN</t>
        </is>
      </c>
      <c r="E9833" t="inlineStr">
        <is>
          <t>HEDEMORA</t>
        </is>
      </c>
      <c r="F9833" t="inlineStr">
        <is>
          <t>Sveaskog</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13940-2023</t>
        </is>
      </c>
      <c r="B9834" s="1" t="n">
        <v>45008.44704861111</v>
      </c>
      <c r="C9834" s="1" t="n">
        <v>46114</v>
      </c>
      <c r="D9834" t="inlineStr">
        <is>
          <t>DALARNAS LÄN</t>
        </is>
      </c>
      <c r="E9834" t="inlineStr">
        <is>
          <t>AVESTA</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8842-2026</t>
        </is>
      </c>
      <c r="B9835" s="1" t="n">
        <v>46066.64539351852</v>
      </c>
      <c r="C9835" s="1" t="n">
        <v>46114</v>
      </c>
      <c r="D9835" t="inlineStr">
        <is>
          <t>DALARNAS LÄN</t>
        </is>
      </c>
      <c r="E9835" t="inlineStr">
        <is>
          <t>FALUN</t>
        </is>
      </c>
      <c r="F9835" t="inlineStr">
        <is>
          <t>Bergvik skog väst AB</t>
        </is>
      </c>
      <c r="G9835" t="n">
        <v>3.9</v>
      </c>
      <c r="H9835" t="n">
        <v>0</v>
      </c>
      <c r="I9835" t="n">
        <v>0</v>
      </c>
      <c r="J9835" t="n">
        <v>0</v>
      </c>
      <c r="K9835" t="n">
        <v>0</v>
      </c>
      <c r="L9835" t="n">
        <v>0</v>
      </c>
      <c r="M9835" t="n">
        <v>0</v>
      </c>
      <c r="N9835" t="n">
        <v>0</v>
      </c>
      <c r="O9835" t="n">
        <v>0</v>
      </c>
      <c r="P9835" t="n">
        <v>0</v>
      </c>
      <c r="Q9835" t="n">
        <v>0</v>
      </c>
      <c r="R9835" s="2" t="inlineStr"/>
      <c r="U9835">
        <f>HYPERLINK("https://klasma.github.io/Logging_2080/knärot/A 8842-2026 karta knärot.png", "A 8842-2026")</f>
        <v/>
      </c>
      <c r="V9835">
        <f>HYPERLINK("https://klasma.github.io/Logging_2080/klagomål/A 8842-2026 FSC-klagomål.docx", "A 8842-2026")</f>
        <v/>
      </c>
      <c r="W9835">
        <f>HYPERLINK("https://klasma.github.io/Logging_2080/klagomålsmail/A 8842-2026 FSC-klagomål mail.docx", "A 8842-2026")</f>
        <v/>
      </c>
      <c r="X9835">
        <f>HYPERLINK("https://klasma.github.io/Logging_2080/tillsyn/A 8842-2026 tillsynsbegäran.docx", "A 8842-2026")</f>
        <v/>
      </c>
      <c r="Y9835">
        <f>HYPERLINK("https://klasma.github.io/Logging_2080/tillsynsmail/A 8842-2026 tillsynsbegäran mail.docx", "A 8842-2026")</f>
        <v/>
      </c>
    </row>
    <row r="9836" ht="15" customHeight="1">
      <c r="A9836" t="inlineStr">
        <is>
          <t>A 8851-2026</t>
        </is>
      </c>
      <c r="B9836" s="1" t="n">
        <v>46066</v>
      </c>
      <c r="C9836" s="1" t="n">
        <v>46114</v>
      </c>
      <c r="D9836" t="inlineStr">
        <is>
          <t>DALARNAS LÄN</t>
        </is>
      </c>
      <c r="E9836" t="inlineStr">
        <is>
          <t>RÄTTVIK</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8854-2026</t>
        </is>
      </c>
      <c r="B9837" s="1" t="n">
        <v>46066</v>
      </c>
      <c r="C9837" s="1" t="n">
        <v>46114</v>
      </c>
      <c r="D9837" t="inlineStr">
        <is>
          <t>DALARNAS LÄN</t>
        </is>
      </c>
      <c r="E9837" t="inlineStr">
        <is>
          <t>FALUN</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8869-2026</t>
        </is>
      </c>
      <c r="B9838" s="1" t="n">
        <v>46066.80663194445</v>
      </c>
      <c r="C9838" s="1" t="n">
        <v>46114</v>
      </c>
      <c r="D9838" t="inlineStr">
        <is>
          <t>DALARNAS LÄN</t>
        </is>
      </c>
      <c r="E9838" t="inlineStr">
        <is>
          <t>FALUN</t>
        </is>
      </c>
      <c r="F9838" t="inlineStr">
        <is>
          <t>Bergvik skog väst AB</t>
        </is>
      </c>
      <c r="G9838" t="n">
        <v>6</v>
      </c>
      <c r="H9838" t="n">
        <v>0</v>
      </c>
      <c r="I9838" t="n">
        <v>0</v>
      </c>
      <c r="J9838" t="n">
        <v>0</v>
      </c>
      <c r="K9838" t="n">
        <v>0</v>
      </c>
      <c r="L9838" t="n">
        <v>0</v>
      </c>
      <c r="M9838" t="n">
        <v>0</v>
      </c>
      <c r="N9838" t="n">
        <v>0</v>
      </c>
      <c r="O9838" t="n">
        <v>0</v>
      </c>
      <c r="P9838" t="n">
        <v>0</v>
      </c>
      <c r="Q9838" t="n">
        <v>0</v>
      </c>
      <c r="R9838" s="2" t="inlineStr"/>
    </row>
    <row r="9839" ht="15" customHeight="1">
      <c r="A9839" t="inlineStr">
        <is>
          <t>A 11235-2026</t>
        </is>
      </c>
      <c r="B9839" s="1" t="n">
        <v>46080</v>
      </c>
      <c r="C9839" s="1" t="n">
        <v>46114</v>
      </c>
      <c r="D9839" t="inlineStr">
        <is>
          <t>DALARNAS LÄN</t>
        </is>
      </c>
      <c r="E9839" t="inlineStr">
        <is>
          <t>FALUN</t>
        </is>
      </c>
      <c r="G9839" t="n">
        <v>4.8</v>
      </c>
      <c r="H9839" t="n">
        <v>0</v>
      </c>
      <c r="I9839" t="n">
        <v>0</v>
      </c>
      <c r="J9839" t="n">
        <v>0</v>
      </c>
      <c r="K9839" t="n">
        <v>0</v>
      </c>
      <c r="L9839" t="n">
        <v>0</v>
      </c>
      <c r="M9839" t="n">
        <v>0</v>
      </c>
      <c r="N9839" t="n">
        <v>0</v>
      </c>
      <c r="O9839" t="n">
        <v>0</v>
      </c>
      <c r="P9839" t="n">
        <v>0</v>
      </c>
      <c r="Q9839" t="n">
        <v>0</v>
      </c>
      <c r="R9839" s="2" t="inlineStr"/>
    </row>
    <row r="9840" ht="15" customHeight="1">
      <c r="A9840" t="inlineStr">
        <is>
          <t>A 11261-2026</t>
        </is>
      </c>
      <c r="B9840" s="1" t="n">
        <v>46080</v>
      </c>
      <c r="C9840" s="1" t="n">
        <v>46114</v>
      </c>
      <c r="D9840" t="inlineStr">
        <is>
          <t>DALARNAS LÄN</t>
        </is>
      </c>
      <c r="E9840" t="inlineStr">
        <is>
          <t>GAGNEF</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11732-2026</t>
        </is>
      </c>
      <c r="B9841" s="1" t="n">
        <v>46084</v>
      </c>
      <c r="C9841" s="1" t="n">
        <v>46114</v>
      </c>
      <c r="D9841" t="inlineStr">
        <is>
          <t>DALARNAS LÄN</t>
        </is>
      </c>
      <c r="E9841" t="inlineStr">
        <is>
          <t>HEDEMORA</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9041-2026</t>
        </is>
      </c>
      <c r="B9842" s="1" t="n">
        <v>46069</v>
      </c>
      <c r="C9842" s="1" t="n">
        <v>46114</v>
      </c>
      <c r="D9842" t="inlineStr">
        <is>
          <t>DALARNAS LÄN</t>
        </is>
      </c>
      <c r="E9842" t="inlineStr">
        <is>
          <t>FALUN</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60031-2022</t>
        </is>
      </c>
      <c r="B9843" s="1" t="n">
        <v>44909</v>
      </c>
      <c r="C9843" s="1" t="n">
        <v>46114</v>
      </c>
      <c r="D9843" t="inlineStr">
        <is>
          <t>DALARNAS LÄN</t>
        </is>
      </c>
      <c r="E9843" t="inlineStr">
        <is>
          <t>VANSBRO</t>
        </is>
      </c>
      <c r="G9843" t="n">
        <v>0.1</v>
      </c>
      <c r="H9843" t="n">
        <v>0</v>
      </c>
      <c r="I9843" t="n">
        <v>0</v>
      </c>
      <c r="J9843" t="n">
        <v>0</v>
      </c>
      <c r="K9843" t="n">
        <v>0</v>
      </c>
      <c r="L9843" t="n">
        <v>0</v>
      </c>
      <c r="M9843" t="n">
        <v>0</v>
      </c>
      <c r="N9843" t="n">
        <v>0</v>
      </c>
      <c r="O9843" t="n">
        <v>0</v>
      </c>
      <c r="P9843" t="n">
        <v>0</v>
      </c>
      <c r="Q9843" t="n">
        <v>0</v>
      </c>
      <c r="R9843" s="2" t="inlineStr"/>
    </row>
    <row r="9844" ht="15" customHeight="1">
      <c r="A9844" t="inlineStr">
        <is>
          <t>A 60095-2022</t>
        </is>
      </c>
      <c r="B9844" s="1" t="n">
        <v>44909</v>
      </c>
      <c r="C9844" s="1" t="n">
        <v>46114</v>
      </c>
      <c r="D9844" t="inlineStr">
        <is>
          <t>DALARNAS LÄN</t>
        </is>
      </c>
      <c r="E9844" t="inlineStr">
        <is>
          <t>LEKSAND</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13516-2026</t>
        </is>
      </c>
      <c r="B9845" s="1" t="n">
        <v>46094.61412037037</v>
      </c>
      <c r="C9845" s="1" t="n">
        <v>46114</v>
      </c>
      <c r="D9845" t="inlineStr">
        <is>
          <t>DALARNAS LÄN</t>
        </is>
      </c>
      <c r="E9845" t="inlineStr">
        <is>
          <t>LEKSAND</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14173-2026</t>
        </is>
      </c>
      <c r="B9846" s="1" t="n">
        <v>46099.48815972222</v>
      </c>
      <c r="C9846" s="1" t="n">
        <v>46114</v>
      </c>
      <c r="D9846" t="inlineStr">
        <is>
          <t>DALARNAS LÄN</t>
        </is>
      </c>
      <c r="E9846" t="inlineStr">
        <is>
          <t>FALUN</t>
        </is>
      </c>
      <c r="F9846" t="inlineStr">
        <is>
          <t>Bergvik skog väst AB</t>
        </is>
      </c>
      <c r="G9846" t="n">
        <v>7.7</v>
      </c>
      <c r="H9846" t="n">
        <v>0</v>
      </c>
      <c r="I9846" t="n">
        <v>0</v>
      </c>
      <c r="J9846" t="n">
        <v>0</v>
      </c>
      <c r="K9846" t="n">
        <v>0</v>
      </c>
      <c r="L9846" t="n">
        <v>0</v>
      </c>
      <c r="M9846" t="n">
        <v>0</v>
      </c>
      <c r="N9846" t="n">
        <v>0</v>
      </c>
      <c r="O9846" t="n">
        <v>0</v>
      </c>
      <c r="P9846" t="n">
        <v>0</v>
      </c>
      <c r="Q9846" t="n">
        <v>0</v>
      </c>
      <c r="R9846" s="2" t="inlineStr"/>
    </row>
    <row r="9847" ht="15" customHeight="1">
      <c r="A9847" t="inlineStr">
        <is>
          <t>A 30595-2023</t>
        </is>
      </c>
      <c r="B9847" s="1" t="n">
        <v>45112</v>
      </c>
      <c r="C9847" s="1" t="n">
        <v>46114</v>
      </c>
      <c r="D9847" t="inlineStr">
        <is>
          <t>DALARNAS LÄN</t>
        </is>
      </c>
      <c r="E9847" t="inlineStr">
        <is>
          <t>LEKSAND</t>
        </is>
      </c>
      <c r="G9847" t="n">
        <v>1.1</v>
      </c>
      <c r="H9847" t="n">
        <v>0</v>
      </c>
      <c r="I9847" t="n">
        <v>0</v>
      </c>
      <c r="J9847" t="n">
        <v>0</v>
      </c>
      <c r="K9847" t="n">
        <v>0</v>
      </c>
      <c r="L9847" t="n">
        <v>0</v>
      </c>
      <c r="M9847" t="n">
        <v>0</v>
      </c>
      <c r="N9847" t="n">
        <v>0</v>
      </c>
      <c r="O9847" t="n">
        <v>0</v>
      </c>
      <c r="P9847" t="n">
        <v>0</v>
      </c>
      <c r="Q9847" t="n">
        <v>0</v>
      </c>
      <c r="R9847" s="2" t="inlineStr"/>
    </row>
    <row r="9848" ht="15" customHeight="1">
      <c r="A9848" t="inlineStr">
        <is>
          <t>A 16425-2026</t>
        </is>
      </c>
      <c r="B9848" s="1" t="n">
        <v>46111.68306712963</v>
      </c>
      <c r="C9848" s="1" t="n">
        <v>46114</v>
      </c>
      <c r="D9848" t="inlineStr">
        <is>
          <t>DALARNAS LÄN</t>
        </is>
      </c>
      <c r="E9848" t="inlineStr">
        <is>
          <t>ÄLVDALEN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14385-2026</t>
        </is>
      </c>
      <c r="B9849" s="1" t="n">
        <v>46100.38383101852</v>
      </c>
      <c r="C9849" s="1" t="n">
        <v>46114</v>
      </c>
      <c r="D9849" t="inlineStr">
        <is>
          <t>DALARNAS LÄN</t>
        </is>
      </c>
      <c r="E9849" t="inlineStr">
        <is>
          <t>FALUN</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3430-2023</t>
        </is>
      </c>
      <c r="B9850" s="1" t="n">
        <v>44949.57856481482</v>
      </c>
      <c r="C9850" s="1" t="n">
        <v>46114</v>
      </c>
      <c r="D9850" t="inlineStr">
        <is>
          <t>DALARNAS LÄN</t>
        </is>
      </c>
      <c r="E9850" t="inlineStr">
        <is>
          <t>MORA</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54018-2025</t>
        </is>
      </c>
      <c r="B9851" s="1" t="n">
        <v>45961</v>
      </c>
      <c r="C9851" s="1" t="n">
        <v>46114</v>
      </c>
      <c r="D9851" t="inlineStr">
        <is>
          <t>DALARNAS LÄN</t>
        </is>
      </c>
      <c r="E9851" t="inlineStr">
        <is>
          <t>GAGNEF</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51202-2025</t>
        </is>
      </c>
      <c r="B9852" s="1" t="n">
        <v>45947.6353125</v>
      </c>
      <c r="C9852" s="1" t="n">
        <v>46114</v>
      </c>
      <c r="D9852" t="inlineStr">
        <is>
          <t>DALARNAS LÄN</t>
        </is>
      </c>
      <c r="E9852" t="inlineStr">
        <is>
          <t>VANSBRO</t>
        </is>
      </c>
      <c r="G9852" t="n">
        <v>1.8</v>
      </c>
      <c r="H9852" t="n">
        <v>0</v>
      </c>
      <c r="I9852" t="n">
        <v>0</v>
      </c>
      <c r="J9852" t="n">
        <v>0</v>
      </c>
      <c r="K9852" t="n">
        <v>0</v>
      </c>
      <c r="L9852" t="n">
        <v>0</v>
      </c>
      <c r="M9852" t="n">
        <v>0</v>
      </c>
      <c r="N9852" t="n">
        <v>0</v>
      </c>
      <c r="O9852" t="n">
        <v>0</v>
      </c>
      <c r="P9852" t="n">
        <v>0</v>
      </c>
      <c r="Q9852" t="n">
        <v>0</v>
      </c>
      <c r="R9852" s="2" t="inlineStr"/>
    </row>
    <row r="9853" ht="15" customHeight="1">
      <c r="A9853" t="inlineStr">
        <is>
          <t>A 57267-2025</t>
        </is>
      </c>
      <c r="B9853" s="1" t="n">
        <v>45979.67476851852</v>
      </c>
      <c r="C9853" s="1" t="n">
        <v>46114</v>
      </c>
      <c r="D9853" t="inlineStr">
        <is>
          <t>DALARNAS LÄN</t>
        </is>
      </c>
      <c r="E9853" t="inlineStr">
        <is>
          <t>LEKSAND</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2916-2026</t>
        </is>
      </c>
      <c r="B9854" s="1" t="n">
        <v>46038.56959490741</v>
      </c>
      <c r="C9854" s="1" t="n">
        <v>46114</v>
      </c>
      <c r="D9854" t="inlineStr">
        <is>
          <t>DALARNAS LÄN</t>
        </is>
      </c>
      <c r="E9854" t="inlineStr">
        <is>
          <t>GAGNEF</t>
        </is>
      </c>
      <c r="G9854" t="n">
        <v>1.4</v>
      </c>
      <c r="H9854" t="n">
        <v>0</v>
      </c>
      <c r="I9854" t="n">
        <v>0</v>
      </c>
      <c r="J9854" t="n">
        <v>0</v>
      </c>
      <c r="K9854" t="n">
        <v>0</v>
      </c>
      <c r="L9854" t="n">
        <v>0</v>
      </c>
      <c r="M9854" t="n">
        <v>0</v>
      </c>
      <c r="N9854" t="n">
        <v>0</v>
      </c>
      <c r="O9854" t="n">
        <v>0</v>
      </c>
      <c r="P9854" t="n">
        <v>0</v>
      </c>
      <c r="Q9854" t="n">
        <v>0</v>
      </c>
      <c r="R9854" s="2" t="inlineStr"/>
    </row>
    <row r="9855" ht="15" customHeight="1">
      <c r="A9855" t="inlineStr">
        <is>
          <t>A 16043-2026</t>
        </is>
      </c>
      <c r="B9855" s="1" t="n">
        <v>46108.47174768519</v>
      </c>
      <c r="C9855" s="1" t="n">
        <v>46114</v>
      </c>
      <c r="D9855" t="inlineStr">
        <is>
          <t>DALARNAS LÄN</t>
        </is>
      </c>
      <c r="E9855" t="inlineStr">
        <is>
          <t>FALUN</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16163-2026</t>
        </is>
      </c>
      <c r="B9856" s="1" t="n">
        <v>46110.56267361111</v>
      </c>
      <c r="C9856" s="1" t="n">
        <v>46114</v>
      </c>
      <c r="D9856" t="inlineStr">
        <is>
          <t>DALARNAS LÄN</t>
        </is>
      </c>
      <c r="E9856" t="inlineStr">
        <is>
          <t>FALUN</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16188-2026</t>
        </is>
      </c>
      <c r="B9857" s="1" t="n">
        <v>46111.37313657408</v>
      </c>
      <c r="C9857" s="1" t="n">
        <v>46114</v>
      </c>
      <c r="D9857" t="inlineStr">
        <is>
          <t>DALARNAS LÄN</t>
        </is>
      </c>
      <c r="E9857" t="inlineStr">
        <is>
          <t>LEKSAND</t>
        </is>
      </c>
      <c r="F9857" t="inlineStr">
        <is>
          <t>Övriga Aktiebolag</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16191-2026</t>
        </is>
      </c>
      <c r="B9858" s="1" t="n">
        <v>46111.3803125</v>
      </c>
      <c r="C9858" s="1" t="n">
        <v>46114</v>
      </c>
      <c r="D9858" t="inlineStr">
        <is>
          <t>DALARNAS LÄN</t>
        </is>
      </c>
      <c r="E9858" t="inlineStr">
        <is>
          <t>BORLÄNGE</t>
        </is>
      </c>
      <c r="G9858" t="n">
        <v>5.5</v>
      </c>
      <c r="H9858" t="n">
        <v>0</v>
      </c>
      <c r="I9858" t="n">
        <v>0</v>
      </c>
      <c r="J9858" t="n">
        <v>0</v>
      </c>
      <c r="K9858" t="n">
        <v>0</v>
      </c>
      <c r="L9858" t="n">
        <v>0</v>
      </c>
      <c r="M9858" t="n">
        <v>0</v>
      </c>
      <c r="N9858" t="n">
        <v>0</v>
      </c>
      <c r="O9858" t="n">
        <v>0</v>
      </c>
      <c r="P9858" t="n">
        <v>0</v>
      </c>
      <c r="Q9858" t="n">
        <v>0</v>
      </c>
      <c r="R9858" s="2" t="inlineStr"/>
    </row>
    <row r="9859" ht="15" customHeight="1">
      <c r="A9859" t="inlineStr">
        <is>
          <t>A 16222-2026</t>
        </is>
      </c>
      <c r="B9859" s="1" t="n">
        <v>46108</v>
      </c>
      <c r="C9859" s="1" t="n">
        <v>46114</v>
      </c>
      <c r="D9859" t="inlineStr">
        <is>
          <t>DALARNAS LÄN</t>
        </is>
      </c>
      <c r="E9859" t="inlineStr">
        <is>
          <t>HEDEMORA</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16266-2026</t>
        </is>
      </c>
      <c r="B9860" s="1" t="n">
        <v>46111</v>
      </c>
      <c r="C9860" s="1" t="n">
        <v>46114</v>
      </c>
      <c r="D9860" t="inlineStr">
        <is>
          <t>DALARNAS LÄN</t>
        </is>
      </c>
      <c r="E9860" t="inlineStr">
        <is>
          <t>FALUN</t>
        </is>
      </c>
      <c r="G9860" t="n">
        <v>1.5</v>
      </c>
      <c r="H9860" t="n">
        <v>0</v>
      </c>
      <c r="I9860" t="n">
        <v>0</v>
      </c>
      <c r="J9860" t="n">
        <v>0</v>
      </c>
      <c r="K9860" t="n">
        <v>0</v>
      </c>
      <c r="L9860" t="n">
        <v>0</v>
      </c>
      <c r="M9860" t="n">
        <v>0</v>
      </c>
      <c r="N9860" t="n">
        <v>0</v>
      </c>
      <c r="O9860" t="n">
        <v>0</v>
      </c>
      <c r="P9860" t="n">
        <v>0</v>
      </c>
      <c r="Q9860" t="n">
        <v>0</v>
      </c>
      <c r="R9860" s="2" t="inlineStr"/>
    </row>
    <row r="9861" ht="15" customHeight="1">
      <c r="A9861" t="inlineStr">
        <is>
          <t>A 41616-2024</t>
        </is>
      </c>
      <c r="B9861" s="1" t="n">
        <v>45560.59856481481</v>
      </c>
      <c r="C9861" s="1" t="n">
        <v>46114</v>
      </c>
      <c r="D9861" t="inlineStr">
        <is>
          <t>DALARNAS LÄN</t>
        </is>
      </c>
      <c r="E9861" t="inlineStr">
        <is>
          <t>LUDVIKA</t>
        </is>
      </c>
      <c r="F9861" t="inlineStr">
        <is>
          <t>Bergvik skog väst AB</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16302-2026</t>
        </is>
      </c>
      <c r="B9862" s="1" t="n">
        <v>46111.53943287037</v>
      </c>
      <c r="C9862" s="1" t="n">
        <v>46114</v>
      </c>
      <c r="D9862" t="inlineStr">
        <is>
          <t>DALARNAS LÄN</t>
        </is>
      </c>
      <c r="E9862" t="inlineStr">
        <is>
          <t>ORSA</t>
        </is>
      </c>
      <c r="F9862" t="inlineStr">
        <is>
          <t>Bergvik skog öst AB</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45493-2023</t>
        </is>
      </c>
      <c r="B9863" s="1" t="n">
        <v>45194.46690972222</v>
      </c>
      <c r="C9863" s="1" t="n">
        <v>46114</v>
      </c>
      <c r="D9863" t="inlineStr">
        <is>
          <t>DALARNAS LÄN</t>
        </is>
      </c>
      <c r="E9863" t="inlineStr">
        <is>
          <t>RÄTTVIK</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17594-2025</t>
        </is>
      </c>
      <c r="B9864" s="1" t="n">
        <v>45757</v>
      </c>
      <c r="C9864" s="1" t="n">
        <v>46114</v>
      </c>
      <c r="D9864" t="inlineStr">
        <is>
          <t>DALARNAS LÄN</t>
        </is>
      </c>
      <c r="E9864" t="inlineStr">
        <is>
          <t>HEDEMORA</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16307-2026</t>
        </is>
      </c>
      <c r="B9865" s="1" t="n">
        <v>46111.54457175926</v>
      </c>
      <c r="C9865" s="1" t="n">
        <v>46114</v>
      </c>
      <c r="D9865" t="inlineStr">
        <is>
          <t>DALARNAS LÄN</t>
        </is>
      </c>
      <c r="E9865" t="inlineStr">
        <is>
          <t>FALUN</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16339-2026</t>
        </is>
      </c>
      <c r="B9866" s="1" t="n">
        <v>46111.5813425926</v>
      </c>
      <c r="C9866" s="1" t="n">
        <v>46114</v>
      </c>
      <c r="D9866" t="inlineStr">
        <is>
          <t>DALARNAS LÄN</t>
        </is>
      </c>
      <c r="E9866" t="inlineStr">
        <is>
          <t>RÄTTVIK</t>
        </is>
      </c>
      <c r="F9866" t="inlineStr">
        <is>
          <t>Bergvik skog väst AB</t>
        </is>
      </c>
      <c r="G9866" t="n">
        <v>1.3</v>
      </c>
      <c r="H9866" t="n">
        <v>0</v>
      </c>
      <c r="I9866" t="n">
        <v>0</v>
      </c>
      <c r="J9866" t="n">
        <v>0</v>
      </c>
      <c r="K9866" t="n">
        <v>0</v>
      </c>
      <c r="L9866" t="n">
        <v>0</v>
      </c>
      <c r="M9866" t="n">
        <v>0</v>
      </c>
      <c r="N9866" t="n">
        <v>0</v>
      </c>
      <c r="O9866" t="n">
        <v>0</v>
      </c>
      <c r="P9866" t="n">
        <v>0</v>
      </c>
      <c r="Q9866" t="n">
        <v>0</v>
      </c>
      <c r="R9866" s="2" t="inlineStr"/>
    </row>
    <row r="9867" ht="15" customHeight="1">
      <c r="A9867" t="inlineStr">
        <is>
          <t>A 16340-2026</t>
        </is>
      </c>
      <c r="B9867" s="1" t="n">
        <v>46111</v>
      </c>
      <c r="C9867" s="1" t="n">
        <v>46114</v>
      </c>
      <c r="D9867" t="inlineStr">
        <is>
          <t>DALARNAS LÄN</t>
        </is>
      </c>
      <c r="E9867" t="inlineStr">
        <is>
          <t>BORLÄNGE</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29438-2023</t>
        </is>
      </c>
      <c r="B9868" s="1" t="n">
        <v>45106.49553240741</v>
      </c>
      <c r="C9868" s="1" t="n">
        <v>46114</v>
      </c>
      <c r="D9868" t="inlineStr">
        <is>
          <t>DALARNAS LÄN</t>
        </is>
      </c>
      <c r="E9868" t="inlineStr">
        <is>
          <t>SMEDJEBACKEN</t>
        </is>
      </c>
      <c r="F9868" t="inlineStr">
        <is>
          <t>Sveaskog</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8969-2026</t>
        </is>
      </c>
      <c r="B9869" s="1" t="n">
        <v>46069</v>
      </c>
      <c r="C9869" s="1" t="n">
        <v>46114</v>
      </c>
      <c r="D9869" t="inlineStr">
        <is>
          <t>DALARNAS LÄN</t>
        </is>
      </c>
      <c r="E9869" t="inlineStr">
        <is>
          <t>LEKSAND</t>
        </is>
      </c>
      <c r="G9869" t="n">
        <v>1.9</v>
      </c>
      <c r="H9869" t="n">
        <v>0</v>
      </c>
      <c r="I9869" t="n">
        <v>0</v>
      </c>
      <c r="J9869" t="n">
        <v>0</v>
      </c>
      <c r="K9869" t="n">
        <v>0</v>
      </c>
      <c r="L9869" t="n">
        <v>0</v>
      </c>
      <c r="M9869" t="n">
        <v>0</v>
      </c>
      <c r="N9869" t="n">
        <v>0</v>
      </c>
      <c r="O9869" t="n">
        <v>0</v>
      </c>
      <c r="P9869" t="n">
        <v>0</v>
      </c>
      <c r="Q9869" t="n">
        <v>0</v>
      </c>
      <c r="R9869" s="2" t="inlineStr"/>
    </row>
    <row r="9870" ht="15" customHeight="1">
      <c r="A9870" t="inlineStr">
        <is>
          <t>A 8977-2026</t>
        </is>
      </c>
      <c r="B9870" s="1" t="n">
        <v>46069.43842592592</v>
      </c>
      <c r="C9870" s="1" t="n">
        <v>46114</v>
      </c>
      <c r="D9870" t="inlineStr">
        <is>
          <t>DALARNAS LÄN</t>
        </is>
      </c>
      <c r="E9870" t="inlineStr">
        <is>
          <t>FALUN</t>
        </is>
      </c>
      <c r="F9870" t="inlineStr">
        <is>
          <t>Bergvik skog väst AB</t>
        </is>
      </c>
      <c r="G9870" t="n">
        <v>19.2</v>
      </c>
      <c r="H9870" t="n">
        <v>0</v>
      </c>
      <c r="I9870" t="n">
        <v>0</v>
      </c>
      <c r="J9870" t="n">
        <v>0</v>
      </c>
      <c r="K9870" t="n">
        <v>0</v>
      </c>
      <c r="L9870" t="n">
        <v>0</v>
      </c>
      <c r="M9870" t="n">
        <v>0</v>
      </c>
      <c r="N9870" t="n">
        <v>0</v>
      </c>
      <c r="O9870" t="n">
        <v>0</v>
      </c>
      <c r="P9870" t="n">
        <v>0</v>
      </c>
      <c r="Q9870" t="n">
        <v>0</v>
      </c>
      <c r="R9870" s="2" t="inlineStr"/>
    </row>
    <row r="9871" ht="15" customHeight="1">
      <c r="A9871" t="inlineStr">
        <is>
          <t>A 16078-2026</t>
        </is>
      </c>
      <c r="B9871" s="1" t="n">
        <v>46107</v>
      </c>
      <c r="C9871" s="1" t="n">
        <v>46114</v>
      </c>
      <c r="D9871" t="inlineStr">
        <is>
          <t>DALARNAS LÄN</t>
        </is>
      </c>
      <c r="E9871" t="inlineStr">
        <is>
          <t>FALUN</t>
        </is>
      </c>
      <c r="F9871" t="inlineStr">
        <is>
          <t>Allmännings- och besparingsskogar</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14107-2026</t>
        </is>
      </c>
      <c r="B9872" s="1" t="n">
        <v>46099.41914351852</v>
      </c>
      <c r="C9872" s="1" t="n">
        <v>46114</v>
      </c>
      <c r="D9872" t="inlineStr">
        <is>
          <t>DALARNAS LÄN</t>
        </is>
      </c>
      <c r="E9872" t="inlineStr">
        <is>
          <t>FALUN</t>
        </is>
      </c>
      <c r="F9872" t="inlineStr">
        <is>
          <t>Bergvik skog väst AB</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13952-2026</t>
        </is>
      </c>
      <c r="B9873" s="1" t="n">
        <v>46098</v>
      </c>
      <c r="C9873" s="1" t="n">
        <v>46114</v>
      </c>
      <c r="D9873" t="inlineStr">
        <is>
          <t>DALARNAS LÄN</t>
        </is>
      </c>
      <c r="E9873" t="inlineStr">
        <is>
          <t>FALUN</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13995-2026</t>
        </is>
      </c>
      <c r="B9874" s="1" t="n">
        <v>46098</v>
      </c>
      <c r="C9874" s="1" t="n">
        <v>46114</v>
      </c>
      <c r="D9874" t="inlineStr">
        <is>
          <t>DALARNAS LÄN</t>
        </is>
      </c>
      <c r="E9874" t="inlineStr">
        <is>
          <t>ORSA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33345-2024</t>
        </is>
      </c>
      <c r="B9875" s="1" t="n">
        <v>45519</v>
      </c>
      <c r="C9875" s="1" t="n">
        <v>46114</v>
      </c>
      <c r="D9875" t="inlineStr">
        <is>
          <t>DALARNAS LÄN</t>
        </is>
      </c>
      <c r="E9875" t="inlineStr">
        <is>
          <t>LUDVIKA</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16235-2026</t>
        </is>
      </c>
      <c r="B9876" s="1" t="n">
        <v>46111.45541666666</v>
      </c>
      <c r="C9876" s="1" t="n">
        <v>46114</v>
      </c>
      <c r="D9876" t="inlineStr">
        <is>
          <t>DALARNAS LÄN</t>
        </is>
      </c>
      <c r="E9876" t="inlineStr">
        <is>
          <t>FALUN</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44629-2025</t>
        </is>
      </c>
      <c r="B9877" s="1" t="n">
        <v>45917</v>
      </c>
      <c r="C9877" s="1" t="n">
        <v>46114</v>
      </c>
      <c r="D9877" t="inlineStr">
        <is>
          <t>DALARNAS LÄN</t>
        </is>
      </c>
      <c r="E9877" t="inlineStr">
        <is>
          <t>FALUN</t>
        </is>
      </c>
      <c r="G9877" t="n">
        <v>3.3</v>
      </c>
      <c r="H9877" t="n">
        <v>0</v>
      </c>
      <c r="I9877" t="n">
        <v>0</v>
      </c>
      <c r="J9877" t="n">
        <v>0</v>
      </c>
      <c r="K9877" t="n">
        <v>0</v>
      </c>
      <c r="L9877" t="n">
        <v>0</v>
      </c>
      <c r="M9877" t="n">
        <v>0</v>
      </c>
      <c r="N9877" t="n">
        <v>0</v>
      </c>
      <c r="O9877" t="n">
        <v>0</v>
      </c>
      <c r="P9877" t="n">
        <v>0</v>
      </c>
      <c r="Q9877" t="n">
        <v>0</v>
      </c>
      <c r="R9877" s="2" t="inlineStr"/>
    </row>
    <row r="9878" ht="15" customHeight="1">
      <c r="A9878" t="inlineStr">
        <is>
          <t>A 10190-2026</t>
        </is>
      </c>
      <c r="B9878" s="1" t="n">
        <v>46076.45496527778</v>
      </c>
      <c r="C9878" s="1" t="n">
        <v>46114</v>
      </c>
      <c r="D9878" t="inlineStr">
        <is>
          <t>DALARNAS LÄN</t>
        </is>
      </c>
      <c r="E9878" t="inlineStr">
        <is>
          <t>FALUN</t>
        </is>
      </c>
      <c r="G9878" t="n">
        <v>4.8</v>
      </c>
      <c r="H9878" t="n">
        <v>0</v>
      </c>
      <c r="I9878" t="n">
        <v>0</v>
      </c>
      <c r="J9878" t="n">
        <v>0</v>
      </c>
      <c r="K9878" t="n">
        <v>0</v>
      </c>
      <c r="L9878" t="n">
        <v>0</v>
      </c>
      <c r="M9878" t="n">
        <v>0</v>
      </c>
      <c r="N9878" t="n">
        <v>0</v>
      </c>
      <c r="O9878" t="n">
        <v>0</v>
      </c>
      <c r="P9878" t="n">
        <v>0</v>
      </c>
      <c r="Q9878" t="n">
        <v>0</v>
      </c>
      <c r="R9878" s="2" t="inlineStr"/>
    </row>
    <row r="9879" ht="15" customHeight="1">
      <c r="A9879" t="inlineStr">
        <is>
          <t>A 11787-2026</t>
        </is>
      </c>
      <c r="B9879" s="1" t="n">
        <v>46085</v>
      </c>
      <c r="C9879" s="1" t="n">
        <v>46114</v>
      </c>
      <c r="D9879" t="inlineStr">
        <is>
          <t>DALARNAS LÄN</t>
        </is>
      </c>
      <c r="E9879" t="inlineStr">
        <is>
          <t>RÄTTVIK</t>
        </is>
      </c>
      <c r="G9879" t="n">
        <v>2.7</v>
      </c>
      <c r="H9879" t="n">
        <v>0</v>
      </c>
      <c r="I9879" t="n">
        <v>0</v>
      </c>
      <c r="J9879" t="n">
        <v>0</v>
      </c>
      <c r="K9879" t="n">
        <v>0</v>
      </c>
      <c r="L9879" t="n">
        <v>0</v>
      </c>
      <c r="M9879" t="n">
        <v>0</v>
      </c>
      <c r="N9879" t="n">
        <v>0</v>
      </c>
      <c r="O9879" t="n">
        <v>0</v>
      </c>
      <c r="P9879" t="n">
        <v>0</v>
      </c>
      <c r="Q9879" t="n">
        <v>0</v>
      </c>
      <c r="R9879" s="2" t="inlineStr"/>
    </row>
    <row r="9880" ht="15" customHeight="1">
      <c r="A9880" t="inlineStr">
        <is>
          <t>A 16916-2025</t>
        </is>
      </c>
      <c r="B9880" s="1" t="n">
        <v>45755.36767361111</v>
      </c>
      <c r="C9880" s="1" t="n">
        <v>46114</v>
      </c>
      <c r="D9880" t="inlineStr">
        <is>
          <t>DALARNAS LÄN</t>
        </is>
      </c>
      <c r="E9880" t="inlineStr">
        <is>
          <t>FALUN</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14397-2026</t>
        </is>
      </c>
      <c r="B9881" s="1" t="n">
        <v>46100.40832175926</v>
      </c>
      <c r="C9881" s="1" t="n">
        <v>46114</v>
      </c>
      <c r="D9881" t="inlineStr">
        <is>
          <t>DALARNAS LÄN</t>
        </is>
      </c>
      <c r="E9881" t="inlineStr">
        <is>
          <t>MORA</t>
        </is>
      </c>
      <c r="F9881" t="inlineStr">
        <is>
          <t>Bergvik skog väst AB</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16278-2026</t>
        </is>
      </c>
      <c r="B9882" s="1" t="n">
        <v>46108</v>
      </c>
      <c r="C9882" s="1" t="n">
        <v>46114</v>
      </c>
      <c r="D9882" t="inlineStr">
        <is>
          <t>DALARNAS LÄN</t>
        </is>
      </c>
      <c r="E9882" t="inlineStr">
        <is>
          <t>HEDEMORA</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16282-2026</t>
        </is>
      </c>
      <c r="B9883" s="1" t="n">
        <v>46111.49826388889</v>
      </c>
      <c r="C9883" s="1" t="n">
        <v>46114</v>
      </c>
      <c r="D9883" t="inlineStr">
        <is>
          <t>DALARNAS LÄN</t>
        </is>
      </c>
      <c r="E9883" t="inlineStr">
        <is>
          <t>HEDEMORA</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8978-2026</t>
        </is>
      </c>
      <c r="B9884" s="1" t="n">
        <v>46069</v>
      </c>
      <c r="C9884" s="1" t="n">
        <v>46114</v>
      </c>
      <c r="D9884" t="inlineStr">
        <is>
          <t>DALARNAS LÄN</t>
        </is>
      </c>
      <c r="E9884" t="inlineStr">
        <is>
          <t>FALUN</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24369-2025</t>
        </is>
      </c>
      <c r="B9885" s="1" t="n">
        <v>45797.60731481481</v>
      </c>
      <c r="C9885" s="1" t="n">
        <v>46114</v>
      </c>
      <c r="D9885" t="inlineStr">
        <is>
          <t>DALARNAS LÄN</t>
        </is>
      </c>
      <c r="E9885" t="inlineStr">
        <is>
          <t>LEKSAND</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7752-2024</t>
        </is>
      </c>
      <c r="B9886" s="1" t="n">
        <v>45349.51662037037</v>
      </c>
      <c r="C9886" s="1" t="n">
        <v>46114</v>
      </c>
      <c r="D9886" t="inlineStr">
        <is>
          <t>DALARNAS LÄN</t>
        </is>
      </c>
      <c r="E9886" t="inlineStr">
        <is>
          <t>RÄTTVIK</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9115-2026</t>
        </is>
      </c>
      <c r="B9887" s="1" t="n">
        <v>46069</v>
      </c>
      <c r="C9887" s="1" t="n">
        <v>46114</v>
      </c>
      <c r="D9887" t="inlineStr">
        <is>
          <t>DALARNAS LÄN</t>
        </is>
      </c>
      <c r="E9887" t="inlineStr">
        <is>
          <t>ÄLVDALEN</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13493-2026</t>
        </is>
      </c>
      <c r="B9888" s="1" t="n">
        <v>46094.58826388889</v>
      </c>
      <c r="C9888" s="1" t="n">
        <v>46114</v>
      </c>
      <c r="D9888" t="inlineStr">
        <is>
          <t>DALARNAS LÄN</t>
        </is>
      </c>
      <c r="E9888" t="inlineStr">
        <is>
          <t>SMEDJEBACKEN</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13531-2026</t>
        </is>
      </c>
      <c r="B9889" s="1" t="n">
        <v>46094</v>
      </c>
      <c r="C9889" s="1" t="n">
        <v>46114</v>
      </c>
      <c r="D9889" t="inlineStr">
        <is>
          <t>DALARNAS LÄN</t>
        </is>
      </c>
      <c r="E9889" t="inlineStr">
        <is>
          <t>RÄTTVIK</t>
        </is>
      </c>
      <c r="F9889" t="inlineStr">
        <is>
          <t>Bergvik skog väst AB</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747-2025</t>
        </is>
      </c>
      <c r="B9890" s="1" t="n">
        <v>45665.43965277778</v>
      </c>
      <c r="C9890" s="1" t="n">
        <v>46114</v>
      </c>
      <c r="D9890" t="inlineStr">
        <is>
          <t>DALARNAS LÄN</t>
        </is>
      </c>
      <c r="E9890" t="inlineStr">
        <is>
          <t>ÄLVDALEN</t>
        </is>
      </c>
      <c r="G9890" t="n">
        <v>1.5</v>
      </c>
      <c r="H9890" t="n">
        <v>0</v>
      </c>
      <c r="I9890" t="n">
        <v>0</v>
      </c>
      <c r="J9890" t="n">
        <v>0</v>
      </c>
      <c r="K9890" t="n">
        <v>0</v>
      </c>
      <c r="L9890" t="n">
        <v>0</v>
      </c>
      <c r="M9890" t="n">
        <v>0</v>
      </c>
      <c r="N9890" t="n">
        <v>0</v>
      </c>
      <c r="O9890" t="n">
        <v>0</v>
      </c>
      <c r="P9890" t="n">
        <v>0</v>
      </c>
      <c r="Q9890" t="n">
        <v>0</v>
      </c>
      <c r="R9890" s="2" t="inlineStr"/>
    </row>
    <row r="9891" ht="15" customHeight="1">
      <c r="A9891" t="inlineStr">
        <is>
          <t>A 16393-2026</t>
        </is>
      </c>
      <c r="B9891" s="1" t="n">
        <v>46111.63502314815</v>
      </c>
      <c r="C9891" s="1" t="n">
        <v>46114</v>
      </c>
      <c r="D9891" t="inlineStr">
        <is>
          <t>DALARNAS LÄN</t>
        </is>
      </c>
      <c r="E9891" t="inlineStr">
        <is>
          <t>ORSA</t>
        </is>
      </c>
      <c r="F9891" t="inlineStr">
        <is>
          <t>Bergvik skog öst AB</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4057-2024</t>
        </is>
      </c>
      <c r="B9892" s="1" t="n">
        <v>45323</v>
      </c>
      <c r="C9892" s="1" t="n">
        <v>46114</v>
      </c>
      <c r="D9892" t="inlineStr">
        <is>
          <t>DALARNAS LÄN</t>
        </is>
      </c>
      <c r="E9892" t="inlineStr">
        <is>
          <t>FALUN</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16375-2026</t>
        </is>
      </c>
      <c r="B9893" s="1" t="n">
        <v>46111</v>
      </c>
      <c r="C9893" s="1" t="n">
        <v>46114</v>
      </c>
      <c r="D9893" t="inlineStr">
        <is>
          <t>DALARNAS LÄN</t>
        </is>
      </c>
      <c r="E9893" t="inlineStr">
        <is>
          <t>FALUN</t>
        </is>
      </c>
      <c r="G9893" t="n">
        <v>3.4</v>
      </c>
      <c r="H9893" t="n">
        <v>0</v>
      </c>
      <c r="I9893" t="n">
        <v>0</v>
      </c>
      <c r="J9893" t="n">
        <v>0</v>
      </c>
      <c r="K9893" t="n">
        <v>0</v>
      </c>
      <c r="L9893" t="n">
        <v>0</v>
      </c>
      <c r="M9893" t="n">
        <v>0</v>
      </c>
      <c r="N9893" t="n">
        <v>0</v>
      </c>
      <c r="O9893" t="n">
        <v>0</v>
      </c>
      <c r="P9893" t="n">
        <v>0</v>
      </c>
      <c r="Q9893" t="n">
        <v>0</v>
      </c>
      <c r="R9893" s="2" t="inlineStr"/>
    </row>
    <row r="9894" ht="15" customHeight="1">
      <c r="A9894" t="inlineStr">
        <is>
          <t>A 16376-2026</t>
        </is>
      </c>
      <c r="B9894" s="1" t="n">
        <v>46111.618125</v>
      </c>
      <c r="C9894" s="1" t="n">
        <v>46114</v>
      </c>
      <c r="D9894" t="inlineStr">
        <is>
          <t>DALARNAS LÄN</t>
        </is>
      </c>
      <c r="E9894" t="inlineStr">
        <is>
          <t>FALUN</t>
        </is>
      </c>
      <c r="G9894" t="n">
        <v>10.7</v>
      </c>
      <c r="H9894" t="n">
        <v>0</v>
      </c>
      <c r="I9894" t="n">
        <v>0</v>
      </c>
      <c r="J9894" t="n">
        <v>0</v>
      </c>
      <c r="K9894" t="n">
        <v>0</v>
      </c>
      <c r="L9894" t="n">
        <v>0</v>
      </c>
      <c r="M9894" t="n">
        <v>0</v>
      </c>
      <c r="N9894" t="n">
        <v>0</v>
      </c>
      <c r="O9894" t="n">
        <v>0</v>
      </c>
      <c r="P9894" t="n">
        <v>0</v>
      </c>
      <c r="Q9894" t="n">
        <v>0</v>
      </c>
      <c r="R9894" s="2" t="inlineStr"/>
    </row>
    <row r="9895" ht="15" customHeight="1">
      <c r="A9895" t="inlineStr">
        <is>
          <t>A 12814-2026</t>
        </is>
      </c>
      <c r="B9895" s="1" t="n">
        <v>46092</v>
      </c>
      <c r="C9895" s="1" t="n">
        <v>46114</v>
      </c>
      <c r="D9895" t="inlineStr">
        <is>
          <t>DALARNAS LÄN</t>
        </is>
      </c>
      <c r="E9895" t="inlineStr">
        <is>
          <t>FALUN</t>
        </is>
      </c>
      <c r="F9895" t="inlineStr">
        <is>
          <t>Bergvik skog väst AB</t>
        </is>
      </c>
      <c r="G9895" t="n">
        <v>20.4</v>
      </c>
      <c r="H9895" t="n">
        <v>0</v>
      </c>
      <c r="I9895" t="n">
        <v>0</v>
      </c>
      <c r="J9895" t="n">
        <v>0</v>
      </c>
      <c r="K9895" t="n">
        <v>0</v>
      </c>
      <c r="L9895" t="n">
        <v>0</v>
      </c>
      <c r="M9895" t="n">
        <v>0</v>
      </c>
      <c r="N9895" t="n">
        <v>0</v>
      </c>
      <c r="O9895" t="n">
        <v>0</v>
      </c>
      <c r="P9895" t="n">
        <v>0</v>
      </c>
      <c r="Q9895" t="n">
        <v>0</v>
      </c>
      <c r="R9895" s="2" t="inlineStr"/>
    </row>
    <row r="9896" ht="15" customHeight="1">
      <c r="A9896" t="inlineStr">
        <is>
          <t>A 14193-2026</t>
        </is>
      </c>
      <c r="B9896" s="1" t="n">
        <v>46099.53559027778</v>
      </c>
      <c r="C9896" s="1" t="n">
        <v>46114</v>
      </c>
      <c r="D9896" t="inlineStr">
        <is>
          <t>DALARNAS LÄN</t>
        </is>
      </c>
      <c r="E9896" t="inlineStr">
        <is>
          <t>FALUN</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16326-2026</t>
        </is>
      </c>
      <c r="B9897" s="1" t="n">
        <v>46111.56666666667</v>
      </c>
      <c r="C9897" s="1" t="n">
        <v>46114</v>
      </c>
      <c r="D9897" t="inlineStr">
        <is>
          <t>DALARNAS LÄN</t>
        </is>
      </c>
      <c r="E9897" t="inlineStr">
        <is>
          <t>ORSA</t>
        </is>
      </c>
      <c r="F9897" t="inlineStr">
        <is>
          <t>Bergvik skog öst AB</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15987-2026</t>
        </is>
      </c>
      <c r="B9898" s="1" t="n">
        <v>46108.36831018519</v>
      </c>
      <c r="C9898" s="1" t="n">
        <v>46114</v>
      </c>
      <c r="D9898" t="inlineStr">
        <is>
          <t>DALARNAS LÄN</t>
        </is>
      </c>
      <c r="E9898" t="inlineStr">
        <is>
          <t>AVESTA</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3316-2022</t>
        </is>
      </c>
      <c r="B9899" s="1" t="n">
        <v>44585</v>
      </c>
      <c r="C9899" s="1" t="n">
        <v>46114</v>
      </c>
      <c r="D9899" t="inlineStr">
        <is>
          <t>DALARNAS LÄN</t>
        </is>
      </c>
      <c r="E9899" t="inlineStr">
        <is>
          <t>GAGNEF</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66613-2021</t>
        </is>
      </c>
      <c r="B9900" s="1" t="n">
        <v>44519</v>
      </c>
      <c r="C9900" s="1" t="n">
        <v>46114</v>
      </c>
      <c r="D9900" t="inlineStr">
        <is>
          <t>DALARNAS LÄN</t>
        </is>
      </c>
      <c r="E9900" t="inlineStr">
        <is>
          <t>GAGNEF</t>
        </is>
      </c>
      <c r="G9900" t="n">
        <v>0.2</v>
      </c>
      <c r="H9900" t="n">
        <v>0</v>
      </c>
      <c r="I9900" t="n">
        <v>0</v>
      </c>
      <c r="J9900" t="n">
        <v>0</v>
      </c>
      <c r="K9900" t="n">
        <v>0</v>
      </c>
      <c r="L9900" t="n">
        <v>0</v>
      </c>
      <c r="M9900" t="n">
        <v>0</v>
      </c>
      <c r="N9900" t="n">
        <v>0</v>
      </c>
      <c r="O9900" t="n">
        <v>0</v>
      </c>
      <c r="P9900" t="n">
        <v>0</v>
      </c>
      <c r="Q9900" t="n">
        <v>0</v>
      </c>
      <c r="R9900" s="2" t="inlineStr"/>
    </row>
    <row r="9901" ht="15" customHeight="1">
      <c r="A9901" t="inlineStr">
        <is>
          <t>A 25916-2022</t>
        </is>
      </c>
      <c r="B9901" s="1" t="n">
        <v>44734.32988425926</v>
      </c>
      <c r="C9901" s="1" t="n">
        <v>46114</v>
      </c>
      <c r="D9901" t="inlineStr">
        <is>
          <t>DALARNAS LÄN</t>
        </is>
      </c>
      <c r="E9901" t="inlineStr">
        <is>
          <t>VANSBRO</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8687-2026</t>
        </is>
      </c>
      <c r="B9902" s="1" t="n">
        <v>46066</v>
      </c>
      <c r="C9902" s="1" t="n">
        <v>46114</v>
      </c>
      <c r="D9902" t="inlineStr">
        <is>
          <t>DALARNAS LÄN</t>
        </is>
      </c>
      <c r="E9902" t="inlineStr">
        <is>
          <t>FALUN</t>
        </is>
      </c>
      <c r="F9902" t="inlineStr">
        <is>
          <t>Bergvik skog väst AB</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8867-2026</t>
        </is>
      </c>
      <c r="B9903" s="1" t="n">
        <v>46066</v>
      </c>
      <c r="C9903" s="1" t="n">
        <v>46114</v>
      </c>
      <c r="D9903" t="inlineStr">
        <is>
          <t>DALARNAS LÄN</t>
        </is>
      </c>
      <c r="E9903" t="inlineStr">
        <is>
          <t>FALUN</t>
        </is>
      </c>
      <c r="F9903" t="inlineStr">
        <is>
          <t>Bergvik skog väst AB</t>
        </is>
      </c>
      <c r="G9903" t="n">
        <v>8.199999999999999</v>
      </c>
      <c r="H9903" t="n">
        <v>0</v>
      </c>
      <c r="I9903" t="n">
        <v>0</v>
      </c>
      <c r="J9903" t="n">
        <v>0</v>
      </c>
      <c r="K9903" t="n">
        <v>0</v>
      </c>
      <c r="L9903" t="n">
        <v>0</v>
      </c>
      <c r="M9903" t="n">
        <v>0</v>
      </c>
      <c r="N9903" t="n">
        <v>0</v>
      </c>
      <c r="O9903" t="n">
        <v>0</v>
      </c>
      <c r="P9903" t="n">
        <v>0</v>
      </c>
      <c r="Q9903" t="n">
        <v>0</v>
      </c>
      <c r="R9903" s="2" t="inlineStr"/>
    </row>
    <row r="9904" ht="15" customHeight="1">
      <c r="A9904" t="inlineStr">
        <is>
          <t>A 16224-2026</t>
        </is>
      </c>
      <c r="B9904" s="1" t="n">
        <v>46111.4474537037</v>
      </c>
      <c r="C9904" s="1" t="n">
        <v>46114</v>
      </c>
      <c r="D9904" t="inlineStr">
        <is>
          <t>DALARNAS LÄN</t>
        </is>
      </c>
      <c r="E9904" t="inlineStr">
        <is>
          <t>ORSA</t>
        </is>
      </c>
      <c r="F9904" t="inlineStr">
        <is>
          <t>Bergvik skog öst AB</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16130-2026</t>
        </is>
      </c>
      <c r="B9905" s="1" t="n">
        <v>46108</v>
      </c>
      <c r="C9905" s="1" t="n">
        <v>46114</v>
      </c>
      <c r="D9905" t="inlineStr">
        <is>
          <t>DALARNAS LÄN</t>
        </is>
      </c>
      <c r="E9905" t="inlineStr">
        <is>
          <t>LEKSAND</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16209-2026</t>
        </is>
      </c>
      <c r="B9906" s="1" t="n">
        <v>46111</v>
      </c>
      <c r="C9906" s="1" t="n">
        <v>46114</v>
      </c>
      <c r="D9906" t="inlineStr">
        <is>
          <t>DALARNAS LÄN</t>
        </is>
      </c>
      <c r="E9906" t="inlineStr">
        <is>
          <t>RÄTTVIK</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16454-2026</t>
        </is>
      </c>
      <c r="B9907" s="1" t="n">
        <v>46112.3434837963</v>
      </c>
      <c r="C9907" s="1" t="n">
        <v>46114</v>
      </c>
      <c r="D9907" t="inlineStr">
        <is>
          <t>DALARNAS LÄN</t>
        </is>
      </c>
      <c r="E9907" t="inlineStr">
        <is>
          <t>FALUN</t>
        </is>
      </c>
      <c r="G9907" t="n">
        <v>6.8</v>
      </c>
      <c r="H9907" t="n">
        <v>0</v>
      </c>
      <c r="I9907" t="n">
        <v>0</v>
      </c>
      <c r="J9907" t="n">
        <v>0</v>
      </c>
      <c r="K9907" t="n">
        <v>0</v>
      </c>
      <c r="L9907" t="n">
        <v>0</v>
      </c>
      <c r="M9907" t="n">
        <v>0</v>
      </c>
      <c r="N9907" t="n">
        <v>0</v>
      </c>
      <c r="O9907" t="n">
        <v>0</v>
      </c>
      <c r="P9907" t="n">
        <v>0</v>
      </c>
      <c r="Q9907" t="n">
        <v>0</v>
      </c>
      <c r="R9907" s="2" t="inlineStr"/>
    </row>
    <row r="9908" ht="15" customHeight="1">
      <c r="A9908" t="inlineStr">
        <is>
          <t>A 16751-2026</t>
        </is>
      </c>
      <c r="B9908" s="1" t="n">
        <v>46113.39635416667</v>
      </c>
      <c r="C9908" s="1" t="n">
        <v>46114</v>
      </c>
      <c r="D9908" t="inlineStr">
        <is>
          <t>DALARNAS LÄN</t>
        </is>
      </c>
      <c r="E9908" t="inlineStr">
        <is>
          <t>HEDEMORA</t>
        </is>
      </c>
      <c r="G9908" t="n">
        <v>1.8</v>
      </c>
      <c r="H9908" t="n">
        <v>0</v>
      </c>
      <c r="I9908" t="n">
        <v>0</v>
      </c>
      <c r="J9908" t="n">
        <v>0</v>
      </c>
      <c r="K9908" t="n">
        <v>0</v>
      </c>
      <c r="L9908" t="n">
        <v>0</v>
      </c>
      <c r="M9908" t="n">
        <v>0</v>
      </c>
      <c r="N9908" t="n">
        <v>0</v>
      </c>
      <c r="O9908" t="n">
        <v>0</v>
      </c>
      <c r="P9908" t="n">
        <v>0</v>
      </c>
      <c r="Q9908" t="n">
        <v>0</v>
      </c>
      <c r="R9908" s="2" t="inlineStr"/>
    </row>
    <row r="9909" ht="15" customHeight="1">
      <c r="A9909" t="inlineStr">
        <is>
          <t>A 16766-2026</t>
        </is>
      </c>
      <c r="B9909" s="1" t="n">
        <v>46113.42405092593</v>
      </c>
      <c r="C9909" s="1" t="n">
        <v>46114</v>
      </c>
      <c r="D9909" t="inlineStr">
        <is>
          <t>DALARNAS LÄN</t>
        </is>
      </c>
      <c r="E9909" t="inlineStr">
        <is>
          <t>FALUN</t>
        </is>
      </c>
      <c r="G9909" t="n">
        <v>0.6</v>
      </c>
      <c r="H9909" t="n">
        <v>0</v>
      </c>
      <c r="I9909" t="n">
        <v>0</v>
      </c>
      <c r="J9909" t="n">
        <v>0</v>
      </c>
      <c r="K9909" t="n">
        <v>0</v>
      </c>
      <c r="L9909" t="n">
        <v>0</v>
      </c>
      <c r="M9909" t="n">
        <v>0</v>
      </c>
      <c r="N9909" t="n">
        <v>0</v>
      </c>
      <c r="O9909" t="n">
        <v>0</v>
      </c>
      <c r="P9909" t="n">
        <v>0</v>
      </c>
      <c r="Q9909" t="n">
        <v>0</v>
      </c>
      <c r="R9909" s="2" t="inlineStr"/>
    </row>
    <row r="9910" ht="15" customHeight="1">
      <c r="A9910" t="inlineStr">
        <is>
          <t>A 32892-2022</t>
        </is>
      </c>
      <c r="B9910" s="1" t="n">
        <v>44784.56407407407</v>
      </c>
      <c r="C9910" s="1" t="n">
        <v>46114</v>
      </c>
      <c r="D9910" t="inlineStr">
        <is>
          <t>DALARNAS LÄN</t>
        </is>
      </c>
      <c r="E9910" t="inlineStr">
        <is>
          <t>SÄTER</t>
        </is>
      </c>
      <c r="G9910" t="n">
        <v>6.8</v>
      </c>
      <c r="H9910" t="n">
        <v>0</v>
      </c>
      <c r="I9910" t="n">
        <v>0</v>
      </c>
      <c r="J9910" t="n">
        <v>0</v>
      </c>
      <c r="K9910" t="n">
        <v>0</v>
      </c>
      <c r="L9910" t="n">
        <v>0</v>
      </c>
      <c r="M9910" t="n">
        <v>0</v>
      </c>
      <c r="N9910" t="n">
        <v>0</v>
      </c>
      <c r="O9910" t="n">
        <v>0</v>
      </c>
      <c r="P9910" t="n">
        <v>0</v>
      </c>
      <c r="Q9910" t="n">
        <v>0</v>
      </c>
      <c r="R9910" s="2" t="inlineStr"/>
    </row>
    <row r="9911" ht="15" customHeight="1">
      <c r="A9911" t="inlineStr">
        <is>
          <t>A 16790-2026</t>
        </is>
      </c>
      <c r="B9911" s="1" t="n">
        <v>46113.46292824074</v>
      </c>
      <c r="C9911" s="1" t="n">
        <v>46114</v>
      </c>
      <c r="D9911" t="inlineStr">
        <is>
          <t>DALARNAS LÄN</t>
        </is>
      </c>
      <c r="E9911" t="inlineStr">
        <is>
          <t>FALUN</t>
        </is>
      </c>
      <c r="F9911" t="inlineStr">
        <is>
          <t>Bergvik skog väst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57185-2023</t>
        </is>
      </c>
      <c r="B9912" s="1" t="n">
        <v>45245.46958333333</v>
      </c>
      <c r="C9912" s="1" t="n">
        <v>46114</v>
      </c>
      <c r="D9912" t="inlineStr">
        <is>
          <t>DALARNAS LÄN</t>
        </is>
      </c>
      <c r="E9912" t="inlineStr">
        <is>
          <t>RÄTTVIK</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14012-2026</t>
        </is>
      </c>
      <c r="B9913" s="1" t="n">
        <v>46098</v>
      </c>
      <c r="C9913" s="1" t="n">
        <v>46114</v>
      </c>
      <c r="D9913" t="inlineStr">
        <is>
          <t>DALARNAS LÄN</t>
        </is>
      </c>
      <c r="E9913" t="inlineStr">
        <is>
          <t>FALUN</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16655-2026</t>
        </is>
      </c>
      <c r="B9914" s="1" t="n">
        <v>46112.65038194445</v>
      </c>
      <c r="C9914" s="1" t="n">
        <v>46114</v>
      </c>
      <c r="D9914" t="inlineStr">
        <is>
          <t>DALARNAS LÄN</t>
        </is>
      </c>
      <c r="E9914" t="inlineStr">
        <is>
          <t>FALUN</t>
        </is>
      </c>
      <c r="G9914" t="n">
        <v>4.7</v>
      </c>
      <c r="H9914" t="n">
        <v>0</v>
      </c>
      <c r="I9914" t="n">
        <v>0</v>
      </c>
      <c r="J9914" t="n">
        <v>0</v>
      </c>
      <c r="K9914" t="n">
        <v>0</v>
      </c>
      <c r="L9914" t="n">
        <v>0</v>
      </c>
      <c r="M9914" t="n">
        <v>0</v>
      </c>
      <c r="N9914" t="n">
        <v>0</v>
      </c>
      <c r="O9914" t="n">
        <v>0</v>
      </c>
      <c r="P9914" t="n">
        <v>0</v>
      </c>
      <c r="Q9914" t="n">
        <v>0</v>
      </c>
      <c r="R9914" s="2" t="inlineStr"/>
    </row>
    <row r="9915" ht="15" customHeight="1">
      <c r="A9915" t="inlineStr">
        <is>
          <t>A 16820-2026</t>
        </is>
      </c>
      <c r="B9915" s="1" t="n">
        <v>46113</v>
      </c>
      <c r="C9915" s="1" t="n">
        <v>46114</v>
      </c>
      <c r="D9915" t="inlineStr">
        <is>
          <t>DALARNAS LÄN</t>
        </is>
      </c>
      <c r="E9915" t="inlineStr">
        <is>
          <t>AVESTA</t>
        </is>
      </c>
      <c r="G9915" t="n">
        <v>2.5</v>
      </c>
      <c r="H9915" t="n">
        <v>0</v>
      </c>
      <c r="I9915" t="n">
        <v>0</v>
      </c>
      <c r="J9915" t="n">
        <v>0</v>
      </c>
      <c r="K9915" t="n">
        <v>0</v>
      </c>
      <c r="L9915" t="n">
        <v>0</v>
      </c>
      <c r="M9915" t="n">
        <v>0</v>
      </c>
      <c r="N9915" t="n">
        <v>0</v>
      </c>
      <c r="O9915" t="n">
        <v>0</v>
      </c>
      <c r="P9915" t="n">
        <v>0</v>
      </c>
      <c r="Q9915" t="n">
        <v>0</v>
      </c>
      <c r="R9915" s="2" t="inlineStr"/>
    </row>
    <row r="9916" ht="15" customHeight="1">
      <c r="A9916" t="inlineStr">
        <is>
          <t>A 16822-2026</t>
        </is>
      </c>
      <c r="B9916" s="1" t="n">
        <v>46113</v>
      </c>
      <c r="C9916" s="1" t="n">
        <v>46114</v>
      </c>
      <c r="D9916" t="inlineStr">
        <is>
          <t>DALARNAS LÄN</t>
        </is>
      </c>
      <c r="E9916" t="inlineStr">
        <is>
          <t>AVESTA</t>
        </is>
      </c>
      <c r="G9916" t="n">
        <v>8.4</v>
      </c>
      <c r="H9916" t="n">
        <v>0</v>
      </c>
      <c r="I9916" t="n">
        <v>0</v>
      </c>
      <c r="J9916" t="n">
        <v>0</v>
      </c>
      <c r="K9916" t="n">
        <v>0</v>
      </c>
      <c r="L9916" t="n">
        <v>0</v>
      </c>
      <c r="M9916" t="n">
        <v>0</v>
      </c>
      <c r="N9916" t="n">
        <v>0</v>
      </c>
      <c r="O9916" t="n">
        <v>0</v>
      </c>
      <c r="P9916" t="n">
        <v>0</v>
      </c>
      <c r="Q9916" t="n">
        <v>0</v>
      </c>
      <c r="R9916" s="2" t="inlineStr"/>
    </row>
    <row r="9917" ht="15" customHeight="1">
      <c r="A9917" t="inlineStr">
        <is>
          <t>A 16843-2026</t>
        </is>
      </c>
      <c r="B9917" s="1" t="n">
        <v>46113</v>
      </c>
      <c r="C9917" s="1" t="n">
        <v>46114</v>
      </c>
      <c r="D9917" t="inlineStr">
        <is>
          <t>DALARNAS LÄN</t>
        </is>
      </c>
      <c r="E9917" t="inlineStr">
        <is>
          <t>LUDVIKA</t>
        </is>
      </c>
      <c r="G9917" t="n">
        <v>3.9</v>
      </c>
      <c r="H9917" t="n">
        <v>0</v>
      </c>
      <c r="I9917" t="n">
        <v>0</v>
      </c>
      <c r="J9917" t="n">
        <v>0</v>
      </c>
      <c r="K9917" t="n">
        <v>0</v>
      </c>
      <c r="L9917" t="n">
        <v>0</v>
      </c>
      <c r="M9917" t="n">
        <v>0</v>
      </c>
      <c r="N9917" t="n">
        <v>0</v>
      </c>
      <c r="O9917" t="n">
        <v>0</v>
      </c>
      <c r="P9917" t="n">
        <v>0</v>
      </c>
      <c r="Q9917" t="n">
        <v>0</v>
      </c>
      <c r="R9917" s="2" t="inlineStr"/>
    </row>
    <row r="9918" ht="15" customHeight="1">
      <c r="A9918" t="inlineStr">
        <is>
          <t>A 33367-2023</t>
        </is>
      </c>
      <c r="B9918" s="1" t="n">
        <v>45128.54782407408</v>
      </c>
      <c r="C9918" s="1" t="n">
        <v>46114</v>
      </c>
      <c r="D9918" t="inlineStr">
        <is>
          <t>DALARNAS LÄN</t>
        </is>
      </c>
      <c r="E9918" t="inlineStr">
        <is>
          <t>MALUNG-SÄLEN</t>
        </is>
      </c>
      <c r="F9918" t="inlineStr">
        <is>
          <t>Kommuner</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7917-2025</t>
        </is>
      </c>
      <c r="B9919" s="1" t="n">
        <v>45707.35225694445</v>
      </c>
      <c r="C9919" s="1" t="n">
        <v>46114</v>
      </c>
      <c r="D9919" t="inlineStr">
        <is>
          <t>DALARNAS LÄN</t>
        </is>
      </c>
      <c r="E9919" t="inlineStr">
        <is>
          <t>ÄLVDALEN</t>
        </is>
      </c>
      <c r="G9919" t="n">
        <v>4.2</v>
      </c>
      <c r="H9919" t="n">
        <v>0</v>
      </c>
      <c r="I9919" t="n">
        <v>0</v>
      </c>
      <c r="J9919" t="n">
        <v>0</v>
      </c>
      <c r="K9919" t="n">
        <v>0</v>
      </c>
      <c r="L9919" t="n">
        <v>0</v>
      </c>
      <c r="M9919" t="n">
        <v>0</v>
      </c>
      <c r="N9919" t="n">
        <v>0</v>
      </c>
      <c r="O9919" t="n">
        <v>0</v>
      </c>
      <c r="P9919" t="n">
        <v>0</v>
      </c>
      <c r="Q9919" t="n">
        <v>0</v>
      </c>
      <c r="R9919" s="2" t="inlineStr"/>
    </row>
    <row r="9920" ht="15" customHeight="1">
      <c r="A9920" t="inlineStr">
        <is>
          <t>A 16881-2026</t>
        </is>
      </c>
      <c r="B9920" s="1" t="n">
        <v>46113.60310185186</v>
      </c>
      <c r="C9920" s="1" t="n">
        <v>46114</v>
      </c>
      <c r="D9920" t="inlineStr">
        <is>
          <t>DALARNAS LÄN</t>
        </is>
      </c>
      <c r="E9920" t="inlineStr">
        <is>
          <t>SMEDJEBACKEN</t>
        </is>
      </c>
      <c r="G9920" t="n">
        <v>1.9</v>
      </c>
      <c r="H9920" t="n">
        <v>0</v>
      </c>
      <c r="I9920" t="n">
        <v>0</v>
      </c>
      <c r="J9920" t="n">
        <v>0</v>
      </c>
      <c r="K9920" t="n">
        <v>0</v>
      </c>
      <c r="L9920" t="n">
        <v>0</v>
      </c>
      <c r="M9920" t="n">
        <v>0</v>
      </c>
      <c r="N9920" t="n">
        <v>0</v>
      </c>
      <c r="O9920" t="n">
        <v>0</v>
      </c>
      <c r="P9920" t="n">
        <v>0</v>
      </c>
      <c r="Q9920" t="n">
        <v>0</v>
      </c>
      <c r="R9920" s="2" t="inlineStr"/>
    </row>
    <row r="9921" ht="15" customHeight="1">
      <c r="A9921" t="inlineStr">
        <is>
          <t>A 16895-2026</t>
        </is>
      </c>
      <c r="B9921" s="1" t="n">
        <v>46113.62444444445</v>
      </c>
      <c r="C9921" s="1" t="n">
        <v>46114</v>
      </c>
      <c r="D9921" t="inlineStr">
        <is>
          <t>DALARNAS LÄN</t>
        </is>
      </c>
      <c r="E9921" t="inlineStr">
        <is>
          <t>MALUNG-SÄLEN</t>
        </is>
      </c>
      <c r="F9921" t="inlineStr">
        <is>
          <t>Bergvik skog öst AB</t>
        </is>
      </c>
      <c r="G9921" t="n">
        <v>13.5</v>
      </c>
      <c r="H9921" t="n">
        <v>0</v>
      </c>
      <c r="I9921" t="n">
        <v>0</v>
      </c>
      <c r="J9921" t="n">
        <v>0</v>
      </c>
      <c r="K9921" t="n">
        <v>0</v>
      </c>
      <c r="L9921" t="n">
        <v>0</v>
      </c>
      <c r="M9921" t="n">
        <v>0</v>
      </c>
      <c r="N9921" t="n">
        <v>0</v>
      </c>
      <c r="O9921" t="n">
        <v>0</v>
      </c>
      <c r="P9921" t="n">
        <v>0</v>
      </c>
      <c r="Q9921" t="n">
        <v>0</v>
      </c>
      <c r="R9921" s="2" t="inlineStr"/>
    </row>
    <row r="9922" ht="15" customHeight="1">
      <c r="A9922" t="inlineStr">
        <is>
          <t>A 16868-2026</t>
        </is>
      </c>
      <c r="B9922" s="1" t="n">
        <v>46113.57671296296</v>
      </c>
      <c r="C9922" s="1" t="n">
        <v>46114</v>
      </c>
      <c r="D9922" t="inlineStr">
        <is>
          <t>DALARNAS LÄN</t>
        </is>
      </c>
      <c r="E9922" t="inlineStr">
        <is>
          <t>LEKSAND</t>
        </is>
      </c>
      <c r="F9922" t="inlineStr">
        <is>
          <t>Bergvik skog väst AB</t>
        </is>
      </c>
      <c r="G9922" t="n">
        <v>4.4</v>
      </c>
      <c r="H9922" t="n">
        <v>0</v>
      </c>
      <c r="I9922" t="n">
        <v>0</v>
      </c>
      <c r="J9922" t="n">
        <v>0</v>
      </c>
      <c r="K9922" t="n">
        <v>0</v>
      </c>
      <c r="L9922" t="n">
        <v>0</v>
      </c>
      <c r="M9922" t="n">
        <v>0</v>
      </c>
      <c r="N9922" t="n">
        <v>0</v>
      </c>
      <c r="O9922" t="n">
        <v>0</v>
      </c>
      <c r="P9922" t="n">
        <v>0</v>
      </c>
      <c r="Q9922" t="n">
        <v>0</v>
      </c>
      <c r="R9922" s="2" t="inlineStr"/>
    </row>
    <row r="9923" ht="15" customHeight="1">
      <c r="A9923" t="inlineStr">
        <is>
          <t>A 16928-2026</t>
        </is>
      </c>
      <c r="B9923" s="1" t="n">
        <v>46113.68017361111</v>
      </c>
      <c r="C9923" s="1" t="n">
        <v>46114</v>
      </c>
      <c r="D9923" t="inlineStr">
        <is>
          <t>DALARNAS LÄN</t>
        </is>
      </c>
      <c r="E9923" t="inlineStr">
        <is>
          <t>BORLÄNGE</t>
        </is>
      </c>
      <c r="F9923" t="inlineStr">
        <is>
          <t>Bergvik skog väst AB</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13019-2026</t>
        </is>
      </c>
      <c r="B9924" s="1" t="n">
        <v>46092.75688657408</v>
      </c>
      <c r="C9924" s="1" t="n">
        <v>46114</v>
      </c>
      <c r="D9924" t="inlineStr">
        <is>
          <t>DALARNAS LÄN</t>
        </is>
      </c>
      <c r="E9924" t="inlineStr">
        <is>
          <t>ÄLVDALEN</t>
        </is>
      </c>
      <c r="G9924" t="n">
        <v>27.2</v>
      </c>
      <c r="H9924" t="n">
        <v>0</v>
      </c>
      <c r="I9924" t="n">
        <v>0</v>
      </c>
      <c r="J9924" t="n">
        <v>0</v>
      </c>
      <c r="K9924" t="n">
        <v>0</v>
      </c>
      <c r="L9924" t="n">
        <v>0</v>
      </c>
      <c r="M9924" t="n">
        <v>0</v>
      </c>
      <c r="N9924" t="n">
        <v>0</v>
      </c>
      <c r="O9924" t="n">
        <v>0</v>
      </c>
      <c r="P9924" t="n">
        <v>0</v>
      </c>
      <c r="Q9924" t="n">
        <v>0</v>
      </c>
      <c r="R9924" s="2" t="inlineStr"/>
    </row>
    <row r="9925" ht="15" customHeight="1">
      <c r="A9925" t="inlineStr">
        <is>
          <t>A 13048-2026</t>
        </is>
      </c>
      <c r="B9925" s="1" t="n">
        <v>46093</v>
      </c>
      <c r="C9925" s="1" t="n">
        <v>46114</v>
      </c>
      <c r="D9925" t="inlineStr">
        <is>
          <t>DALARNAS LÄN</t>
        </is>
      </c>
      <c r="E9925" t="inlineStr">
        <is>
          <t>FALUN</t>
        </is>
      </c>
      <c r="G9925" t="n">
        <v>5.5</v>
      </c>
      <c r="H9925" t="n">
        <v>0</v>
      </c>
      <c r="I9925" t="n">
        <v>0</v>
      </c>
      <c r="J9925" t="n">
        <v>0</v>
      </c>
      <c r="K9925" t="n">
        <v>0</v>
      </c>
      <c r="L9925" t="n">
        <v>0</v>
      </c>
      <c r="M9925" t="n">
        <v>0</v>
      </c>
      <c r="N9925" t="n">
        <v>0</v>
      </c>
      <c r="O9925" t="n">
        <v>0</v>
      </c>
      <c r="P9925" t="n">
        <v>0</v>
      </c>
      <c r="Q9925" t="n">
        <v>0</v>
      </c>
      <c r="R9925" s="2" t="inlineStr"/>
    </row>
    <row r="9926" ht="15" customHeight="1">
      <c r="A9926" t="inlineStr">
        <is>
          <t>A 6519-2025</t>
        </is>
      </c>
      <c r="B9926" s="1" t="n">
        <v>45699</v>
      </c>
      <c r="C9926" s="1" t="n">
        <v>46114</v>
      </c>
      <c r="D9926" t="inlineStr">
        <is>
          <t>DALARNAS LÄN</t>
        </is>
      </c>
      <c r="E9926" t="inlineStr">
        <is>
          <t>LEKSAND</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56480-2022</t>
        </is>
      </c>
      <c r="B9927" s="1" t="n">
        <v>44893</v>
      </c>
      <c r="C9927" s="1" t="n">
        <v>46114</v>
      </c>
      <c r="D9927" t="inlineStr">
        <is>
          <t>DALARNAS LÄN</t>
        </is>
      </c>
      <c r="E9927" t="inlineStr">
        <is>
          <t>SMEDJEBACKEN</t>
        </is>
      </c>
      <c r="F9927" t="inlineStr">
        <is>
          <t>Sveaskog</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9150-2026</t>
        </is>
      </c>
      <c r="B9928" s="1" t="n">
        <v>46070</v>
      </c>
      <c r="C9928" s="1" t="n">
        <v>46114</v>
      </c>
      <c r="D9928" t="inlineStr">
        <is>
          <t>DALARNAS LÄN</t>
        </is>
      </c>
      <c r="E9928" t="inlineStr">
        <is>
          <t>HEDEMORA</t>
        </is>
      </c>
      <c r="G9928" t="n">
        <v>0.9</v>
      </c>
      <c r="H9928" t="n">
        <v>0</v>
      </c>
      <c r="I9928" t="n">
        <v>0</v>
      </c>
      <c r="J9928" t="n">
        <v>0</v>
      </c>
      <c r="K9928" t="n">
        <v>0</v>
      </c>
      <c r="L9928" t="n">
        <v>0</v>
      </c>
      <c r="M9928" t="n">
        <v>0</v>
      </c>
      <c r="N9928" t="n">
        <v>0</v>
      </c>
      <c r="O9928" t="n">
        <v>0</v>
      </c>
      <c r="P9928" t="n">
        <v>0</v>
      </c>
      <c r="Q9928" t="n">
        <v>0</v>
      </c>
      <c r="R9928" s="2" t="inlineStr"/>
      <c r="U9928">
        <f>HYPERLINK("https://klasma.github.io/Logging_2083/knärot/A 9150-2026 karta knärot.png", "A 9150-2026")</f>
        <v/>
      </c>
      <c r="V9928">
        <f>HYPERLINK("https://klasma.github.io/Logging_2083/klagomål/A 9150-2026 FSC-klagomål.docx", "A 9150-2026")</f>
        <v/>
      </c>
      <c r="W9928">
        <f>HYPERLINK("https://klasma.github.io/Logging_2083/klagomålsmail/A 9150-2026 FSC-klagomål mail.docx", "A 9150-2026")</f>
        <v/>
      </c>
      <c r="X9928">
        <f>HYPERLINK("https://klasma.github.io/Logging_2083/tillsyn/A 9150-2026 tillsynsbegäran.docx", "A 9150-2026")</f>
        <v/>
      </c>
      <c r="Y9928">
        <f>HYPERLINK("https://klasma.github.io/Logging_2083/tillsynsmail/A 9150-2026 tillsynsbegäran mail.docx", "A 9150-2026")</f>
        <v/>
      </c>
    </row>
    <row r="9929" ht="15" customHeight="1">
      <c r="A9929" t="inlineStr">
        <is>
          <t>A 17681-2025</t>
        </is>
      </c>
      <c r="B9929" s="1" t="n">
        <v>45758.37951388889</v>
      </c>
      <c r="C9929" s="1" t="n">
        <v>46114</v>
      </c>
      <c r="D9929" t="inlineStr">
        <is>
          <t>DALARNAS LÄN</t>
        </is>
      </c>
      <c r="E9929" t="inlineStr">
        <is>
          <t>SMEDJEBACKEN</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9280-2026</t>
        </is>
      </c>
      <c r="B9930" s="1" t="n">
        <v>46070.57946759259</v>
      </c>
      <c r="C9930" s="1" t="n">
        <v>46114</v>
      </c>
      <c r="D9930" t="inlineStr">
        <is>
          <t>DALARNAS LÄN</t>
        </is>
      </c>
      <c r="E9930" t="inlineStr">
        <is>
          <t>RÄTTVIK</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9286-2026</t>
        </is>
      </c>
      <c r="B9931" s="1" t="n">
        <v>46070</v>
      </c>
      <c r="C9931" s="1" t="n">
        <v>46114</v>
      </c>
      <c r="D9931" t="inlineStr">
        <is>
          <t>DALARNAS LÄN</t>
        </is>
      </c>
      <c r="E9931" t="inlineStr">
        <is>
          <t>RÄTTVIK</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10261-2022</t>
        </is>
      </c>
      <c r="B9932" s="1" t="n">
        <v>44622.6445949074</v>
      </c>
      <c r="C9932" s="1" t="n">
        <v>46114</v>
      </c>
      <c r="D9932" t="inlineStr">
        <is>
          <t>DALARNAS LÄN</t>
        </is>
      </c>
      <c r="E9932" t="inlineStr">
        <is>
          <t>ORSA</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9430-2026</t>
        </is>
      </c>
      <c r="B9933" s="1" t="n">
        <v>46071.45420138889</v>
      </c>
      <c r="C9933" s="1" t="n">
        <v>46114</v>
      </c>
      <c r="D9933" t="inlineStr">
        <is>
          <t>DALARNAS LÄN</t>
        </is>
      </c>
      <c r="E9933" t="inlineStr">
        <is>
          <t>BORLÄNGE</t>
        </is>
      </c>
      <c r="F9933" t="inlineStr">
        <is>
          <t>Kommuner</t>
        </is>
      </c>
      <c r="G9933" t="n">
        <v>5.6</v>
      </c>
      <c r="H9933" t="n">
        <v>0</v>
      </c>
      <c r="I9933" t="n">
        <v>0</v>
      </c>
      <c r="J9933" t="n">
        <v>0</v>
      </c>
      <c r="K9933" t="n">
        <v>0</v>
      </c>
      <c r="L9933" t="n">
        <v>0</v>
      </c>
      <c r="M9933" t="n">
        <v>0</v>
      </c>
      <c r="N9933" t="n">
        <v>0</v>
      </c>
      <c r="O9933" t="n">
        <v>0</v>
      </c>
      <c r="P9933" t="n">
        <v>0</v>
      </c>
      <c r="Q9933" t="n">
        <v>0</v>
      </c>
      <c r="R9933" s="2" t="inlineStr"/>
    </row>
    <row r="9934" ht="15" customHeight="1">
      <c r="A9934" t="inlineStr">
        <is>
          <t>A 9431-2026</t>
        </is>
      </c>
      <c r="B9934" s="1" t="n">
        <v>46071.45515046296</v>
      </c>
      <c r="C9934" s="1" t="n">
        <v>46114</v>
      </c>
      <c r="D9934" t="inlineStr">
        <is>
          <t>DALARNAS LÄN</t>
        </is>
      </c>
      <c r="E9934" t="inlineStr">
        <is>
          <t>BORLÄNGE</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16542-2026</t>
        </is>
      </c>
      <c r="B9935" s="1" t="n">
        <v>46112</v>
      </c>
      <c r="C9935" s="1" t="n">
        <v>46114</v>
      </c>
      <c r="D9935" t="inlineStr">
        <is>
          <t>DALARNAS LÄN</t>
        </is>
      </c>
      <c r="E9935" t="inlineStr">
        <is>
          <t>FALUN</t>
        </is>
      </c>
      <c r="G9935" t="n">
        <v>1.5</v>
      </c>
      <c r="H9935" t="n">
        <v>0</v>
      </c>
      <c r="I9935" t="n">
        <v>0</v>
      </c>
      <c r="J9935" t="n">
        <v>0</v>
      </c>
      <c r="K9935" t="n">
        <v>0</v>
      </c>
      <c r="L9935" t="n">
        <v>0</v>
      </c>
      <c r="M9935" t="n">
        <v>0</v>
      </c>
      <c r="N9935" t="n">
        <v>0</v>
      </c>
      <c r="O9935" t="n">
        <v>0</v>
      </c>
      <c r="P9935" t="n">
        <v>0</v>
      </c>
      <c r="Q9935" t="n">
        <v>0</v>
      </c>
      <c r="R9935" s="2" t="inlineStr"/>
    </row>
    <row r="9936" ht="15" customHeight="1">
      <c r="A9936" t="inlineStr">
        <is>
          <t>A 16547-2026</t>
        </is>
      </c>
      <c r="B9936" s="1" t="n">
        <v>46112.5105787037</v>
      </c>
      <c r="C9936" s="1" t="n">
        <v>46114</v>
      </c>
      <c r="D9936" t="inlineStr">
        <is>
          <t>DALARNAS LÄN</t>
        </is>
      </c>
      <c r="E9936" t="inlineStr">
        <is>
          <t>MORA</t>
        </is>
      </c>
      <c r="G9936" t="n">
        <v>0.9</v>
      </c>
      <c r="H9936" t="n">
        <v>0</v>
      </c>
      <c r="I9936" t="n">
        <v>0</v>
      </c>
      <c r="J9936" t="n">
        <v>0</v>
      </c>
      <c r="K9936" t="n">
        <v>0</v>
      </c>
      <c r="L9936" t="n">
        <v>0</v>
      </c>
      <c r="M9936" t="n">
        <v>0</v>
      </c>
      <c r="N9936" t="n">
        <v>0</v>
      </c>
      <c r="O9936" t="n">
        <v>0</v>
      </c>
      <c r="P9936" t="n">
        <v>0</v>
      </c>
      <c r="Q9936" t="n">
        <v>0</v>
      </c>
      <c r="R9936" s="2" t="inlineStr"/>
    </row>
    <row r="9937" ht="15" customHeight="1">
      <c r="A9937" t="inlineStr">
        <is>
          <t>A 15211-2023</t>
        </is>
      </c>
      <c r="B9937" s="1" t="n">
        <v>45018</v>
      </c>
      <c r="C9937" s="1" t="n">
        <v>46114</v>
      </c>
      <c r="D9937" t="inlineStr">
        <is>
          <t>DALARNAS LÄN</t>
        </is>
      </c>
      <c r="E9937" t="inlineStr">
        <is>
          <t>SMEDJEBACKEN</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16824-2026</t>
        </is>
      </c>
      <c r="B9938" s="1" t="n">
        <v>46113</v>
      </c>
      <c r="C9938" s="1" t="n">
        <v>46114</v>
      </c>
      <c r="D9938" t="inlineStr">
        <is>
          <t>DALARNAS LÄN</t>
        </is>
      </c>
      <c r="E9938" t="inlineStr">
        <is>
          <t>AVESTA</t>
        </is>
      </c>
      <c r="G9938" t="n">
        <v>6.6</v>
      </c>
      <c r="H9938" t="n">
        <v>0</v>
      </c>
      <c r="I9938" t="n">
        <v>0</v>
      </c>
      <c r="J9938" t="n">
        <v>0</v>
      </c>
      <c r="K9938" t="n">
        <v>0</v>
      </c>
      <c r="L9938" t="n">
        <v>0</v>
      </c>
      <c r="M9938" t="n">
        <v>0</v>
      </c>
      <c r="N9938" t="n">
        <v>0</v>
      </c>
      <c r="O9938" t="n">
        <v>0</v>
      </c>
      <c r="P9938" t="n">
        <v>0</v>
      </c>
      <c r="Q9938" t="n">
        <v>0</v>
      </c>
      <c r="R9938" s="2" t="inlineStr"/>
    </row>
    <row r="9939" ht="15" customHeight="1">
      <c r="A9939" t="inlineStr">
        <is>
          <t>A 9683-2026</t>
        </is>
      </c>
      <c r="B9939" s="1" t="n">
        <v>46071</v>
      </c>
      <c r="C9939" s="1" t="n">
        <v>46114</v>
      </c>
      <c r="D9939" t="inlineStr">
        <is>
          <t>DALARNAS LÄN</t>
        </is>
      </c>
      <c r="E9939" t="inlineStr">
        <is>
          <t>FALUN</t>
        </is>
      </c>
      <c r="F9939" t="inlineStr">
        <is>
          <t>Allmännings- och besparingsskogar</t>
        </is>
      </c>
      <c r="G9939" t="n">
        <v>17.5</v>
      </c>
      <c r="H9939" t="n">
        <v>0</v>
      </c>
      <c r="I9939" t="n">
        <v>0</v>
      </c>
      <c r="J9939" t="n">
        <v>0</v>
      </c>
      <c r="K9939" t="n">
        <v>0</v>
      </c>
      <c r="L9939" t="n">
        <v>0</v>
      </c>
      <c r="M9939" t="n">
        <v>0</v>
      </c>
      <c r="N9939" t="n">
        <v>0</v>
      </c>
      <c r="O9939" t="n">
        <v>0</v>
      </c>
      <c r="P9939" t="n">
        <v>0</v>
      </c>
      <c r="Q9939" t="n">
        <v>0</v>
      </c>
      <c r="R9939" s="2" t="inlineStr"/>
    </row>
    <row r="9940" ht="15" customHeight="1">
      <c r="A9940" t="inlineStr">
        <is>
          <t>A 9214-2026</t>
        </is>
      </c>
      <c r="B9940" s="1" t="n">
        <v>46070</v>
      </c>
      <c r="C9940" s="1" t="n">
        <v>46114</v>
      </c>
      <c r="D9940" t="inlineStr">
        <is>
          <t>DALARNAS LÄN</t>
        </is>
      </c>
      <c r="E9940" t="inlineStr">
        <is>
          <t>FALUN</t>
        </is>
      </c>
      <c r="F9940" t="inlineStr">
        <is>
          <t>Bergvik skog väst AB</t>
        </is>
      </c>
      <c r="G9940" t="n">
        <v>8</v>
      </c>
      <c r="H9940" t="n">
        <v>0</v>
      </c>
      <c r="I9940" t="n">
        <v>0</v>
      </c>
      <c r="J9940" t="n">
        <v>0</v>
      </c>
      <c r="K9940" t="n">
        <v>0</v>
      </c>
      <c r="L9940" t="n">
        <v>0</v>
      </c>
      <c r="M9940" t="n">
        <v>0</v>
      </c>
      <c r="N9940" t="n">
        <v>0</v>
      </c>
      <c r="O9940" t="n">
        <v>0</v>
      </c>
      <c r="P9940" t="n">
        <v>0</v>
      </c>
      <c r="Q9940" t="n">
        <v>0</v>
      </c>
      <c r="R9940" s="2" t="inlineStr"/>
    </row>
    <row r="9941" ht="15" customHeight="1">
      <c r="A9941" t="inlineStr">
        <is>
          <t>A 46060-2022</t>
        </is>
      </c>
      <c r="B9941" s="1" t="n">
        <v>44847</v>
      </c>
      <c r="C9941" s="1" t="n">
        <v>46114</v>
      </c>
      <c r="D9941" t="inlineStr">
        <is>
          <t>DALARNAS LÄN</t>
        </is>
      </c>
      <c r="E9941" t="inlineStr">
        <is>
          <t>RÄTTVIK</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16853-2026</t>
        </is>
      </c>
      <c r="B9942" s="1" t="n">
        <v>46113</v>
      </c>
      <c r="C9942" s="1" t="n">
        <v>46114</v>
      </c>
      <c r="D9942" t="inlineStr">
        <is>
          <t>DALARNAS LÄN</t>
        </is>
      </c>
      <c r="E9942" t="inlineStr">
        <is>
          <t>HEDEMORA</t>
        </is>
      </c>
      <c r="G9942" t="n">
        <v>2.9</v>
      </c>
      <c r="H9942" t="n">
        <v>0</v>
      </c>
      <c r="I9942" t="n">
        <v>0</v>
      </c>
      <c r="J9942" t="n">
        <v>0</v>
      </c>
      <c r="K9942" t="n">
        <v>0</v>
      </c>
      <c r="L9942" t="n">
        <v>0</v>
      </c>
      <c r="M9942" t="n">
        <v>0</v>
      </c>
      <c r="N9942" t="n">
        <v>0</v>
      </c>
      <c r="O9942" t="n">
        <v>0</v>
      </c>
      <c r="P9942" t="n">
        <v>0</v>
      </c>
      <c r="Q9942" t="n">
        <v>0</v>
      </c>
      <c r="R9942" s="2" t="inlineStr"/>
    </row>
    <row r="9943" ht="15" customHeight="1">
      <c r="A9943" t="inlineStr">
        <is>
          <t>A 9408-2026</t>
        </is>
      </c>
      <c r="B9943" s="1" t="n">
        <v>46071</v>
      </c>
      <c r="C9943" s="1" t="n">
        <v>46114</v>
      </c>
      <c r="D9943" t="inlineStr">
        <is>
          <t>DALARNAS LÄN</t>
        </is>
      </c>
      <c r="E9943" t="inlineStr">
        <is>
          <t>SÄTER</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14242-2025</t>
        </is>
      </c>
      <c r="B9944" s="1" t="n">
        <v>45740.61185185185</v>
      </c>
      <c r="C9944" s="1" t="n">
        <v>46114</v>
      </c>
      <c r="D9944" t="inlineStr">
        <is>
          <t>DALARNAS LÄN</t>
        </is>
      </c>
      <c r="E9944" t="inlineStr">
        <is>
          <t>FALUN</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19527-2025</t>
        </is>
      </c>
      <c r="B9945" s="1" t="n">
        <v>45770.46546296297</v>
      </c>
      <c r="C9945" s="1" t="n">
        <v>46114</v>
      </c>
      <c r="D9945" t="inlineStr">
        <is>
          <t>DALARNAS LÄN</t>
        </is>
      </c>
      <c r="E9945" t="inlineStr">
        <is>
          <t>ÄLVDALEN</t>
        </is>
      </c>
      <c r="F9945" t="inlineStr">
        <is>
          <t>Allmännings- och besparingsskogar</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14239-2026</t>
        </is>
      </c>
      <c r="B9946" s="1" t="n">
        <v>46099.59994212963</v>
      </c>
      <c r="C9946" s="1" t="n">
        <v>46114</v>
      </c>
      <c r="D9946" t="inlineStr">
        <is>
          <t>DALARNAS LÄN</t>
        </is>
      </c>
      <c r="E9946" t="inlineStr">
        <is>
          <t>HEDEMORA</t>
        </is>
      </c>
      <c r="G9946" t="n">
        <v>4.4</v>
      </c>
      <c r="H9946" t="n">
        <v>0</v>
      </c>
      <c r="I9946" t="n">
        <v>0</v>
      </c>
      <c r="J9946" t="n">
        <v>0</v>
      </c>
      <c r="K9946" t="n">
        <v>0</v>
      </c>
      <c r="L9946" t="n">
        <v>0</v>
      </c>
      <c r="M9946" t="n">
        <v>0</v>
      </c>
      <c r="N9946" t="n">
        <v>0</v>
      </c>
      <c r="O9946" t="n">
        <v>0</v>
      </c>
      <c r="P9946" t="n">
        <v>0</v>
      </c>
      <c r="Q9946" t="n">
        <v>0</v>
      </c>
      <c r="R9946" s="2" t="inlineStr"/>
    </row>
    <row r="9947" ht="15" customHeight="1">
      <c r="A9947" t="inlineStr">
        <is>
          <t>A 22555-2023</t>
        </is>
      </c>
      <c r="B9947" s="1" t="n">
        <v>45071.44364583334</v>
      </c>
      <c r="C9947" s="1" t="n">
        <v>46114</v>
      </c>
      <c r="D9947" t="inlineStr">
        <is>
          <t>DALARNAS LÄN</t>
        </is>
      </c>
      <c r="E9947" t="inlineStr">
        <is>
          <t>LUDVIKA</t>
        </is>
      </c>
      <c r="F9947" t="inlineStr">
        <is>
          <t>Bergvik skog väst AB</t>
        </is>
      </c>
      <c r="G9947" t="n">
        <v>6</v>
      </c>
      <c r="H9947" t="n">
        <v>0</v>
      </c>
      <c r="I9947" t="n">
        <v>0</v>
      </c>
      <c r="J9947" t="n">
        <v>0</v>
      </c>
      <c r="K9947" t="n">
        <v>0</v>
      </c>
      <c r="L9947" t="n">
        <v>0</v>
      </c>
      <c r="M9947" t="n">
        <v>0</v>
      </c>
      <c r="N9947" t="n">
        <v>0</v>
      </c>
      <c r="O9947" t="n">
        <v>0</v>
      </c>
      <c r="P9947" t="n">
        <v>0</v>
      </c>
      <c r="Q9947" t="n">
        <v>0</v>
      </c>
      <c r="R9947" s="2" t="inlineStr"/>
    </row>
    <row r="9948" ht="15" customHeight="1">
      <c r="A9948" t="inlineStr">
        <is>
          <t>A 16386-2026</t>
        </is>
      </c>
      <c r="B9948" s="1" t="n">
        <v>46111</v>
      </c>
      <c r="C9948" s="1" t="n">
        <v>46114</v>
      </c>
      <c r="D9948" t="inlineStr">
        <is>
          <t>DALARNAS LÄN</t>
        </is>
      </c>
      <c r="E9948" t="inlineStr">
        <is>
          <t>MORA</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22677-2023</t>
        </is>
      </c>
      <c r="B9949" s="1" t="n">
        <v>45071.64552083334</v>
      </c>
      <c r="C9949" s="1" t="n">
        <v>46114</v>
      </c>
      <c r="D9949" t="inlineStr">
        <is>
          <t>DALARNAS LÄN</t>
        </is>
      </c>
      <c r="E9949" t="inlineStr">
        <is>
          <t>RÄTTVIK</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40755-2024</t>
        </is>
      </c>
      <c r="B9950" s="1" t="n">
        <v>45558.45815972222</v>
      </c>
      <c r="C9950" s="1" t="n">
        <v>46114</v>
      </c>
      <c r="D9950" t="inlineStr">
        <is>
          <t>DALARNAS LÄN</t>
        </is>
      </c>
      <c r="E9950" t="inlineStr">
        <is>
          <t>LEKSAND</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16458-2026</t>
        </is>
      </c>
      <c r="B9951" s="1" t="n">
        <v>46112.34539351852</v>
      </c>
      <c r="C9951" s="1" t="n">
        <v>46114</v>
      </c>
      <c r="D9951" t="inlineStr">
        <is>
          <t>DALARNAS LÄN</t>
        </is>
      </c>
      <c r="E9951" t="inlineStr">
        <is>
          <t>RÄTTVIK</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13526-2026</t>
        </is>
      </c>
      <c r="B9952" s="1" t="n">
        <v>46094</v>
      </c>
      <c r="C9952" s="1" t="n">
        <v>46114</v>
      </c>
      <c r="D9952" t="inlineStr">
        <is>
          <t>DALARNAS LÄN</t>
        </is>
      </c>
      <c r="E9952" t="inlineStr">
        <is>
          <t>SÄTER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14019-2026</t>
        </is>
      </c>
      <c r="B9953" s="1" t="n">
        <v>46098</v>
      </c>
      <c r="C9953" s="1" t="n">
        <v>46114</v>
      </c>
      <c r="D9953" t="inlineStr">
        <is>
          <t>DALARNAS LÄN</t>
        </is>
      </c>
      <c r="E9953" t="inlineStr">
        <is>
          <t>SÄTER</t>
        </is>
      </c>
      <c r="G9953" t="n">
        <v>6</v>
      </c>
      <c r="H9953" t="n">
        <v>0</v>
      </c>
      <c r="I9953" t="n">
        <v>0</v>
      </c>
      <c r="J9953" t="n">
        <v>0</v>
      </c>
      <c r="K9953" t="n">
        <v>0</v>
      </c>
      <c r="L9953" t="n">
        <v>0</v>
      </c>
      <c r="M9953" t="n">
        <v>0</v>
      </c>
      <c r="N9953" t="n">
        <v>0</v>
      </c>
      <c r="O9953" t="n">
        <v>0</v>
      </c>
      <c r="P9953" t="n">
        <v>0</v>
      </c>
      <c r="Q9953" t="n">
        <v>0</v>
      </c>
      <c r="R9953" s="2" t="inlineStr"/>
    </row>
    <row r="9954" ht="15" customHeight="1">
      <c r="A9954" t="inlineStr">
        <is>
          <t>A 14023-2026</t>
        </is>
      </c>
      <c r="B9954" s="1" t="n">
        <v>46098</v>
      </c>
      <c r="C9954" s="1" t="n">
        <v>46114</v>
      </c>
      <c r="D9954" t="inlineStr">
        <is>
          <t>DALARNAS LÄN</t>
        </is>
      </c>
      <c r="E9954" t="inlineStr">
        <is>
          <t>FALUN</t>
        </is>
      </c>
      <c r="F9954" t="inlineStr">
        <is>
          <t>Bergvik skog väst AB</t>
        </is>
      </c>
      <c r="G9954" t="n">
        <v>38.2</v>
      </c>
      <c r="H9954" t="n">
        <v>0</v>
      </c>
      <c r="I9954" t="n">
        <v>0</v>
      </c>
      <c r="J9954" t="n">
        <v>0</v>
      </c>
      <c r="K9954" t="n">
        <v>0</v>
      </c>
      <c r="L9954" t="n">
        <v>0</v>
      </c>
      <c r="M9954" t="n">
        <v>0</v>
      </c>
      <c r="N9954" t="n">
        <v>0</v>
      </c>
      <c r="O9954" t="n">
        <v>0</v>
      </c>
      <c r="P9954" t="n">
        <v>0</v>
      </c>
      <c r="Q9954" t="n">
        <v>0</v>
      </c>
      <c r="R9954" s="2" t="inlineStr"/>
    </row>
    <row r="9955" ht="15" customHeight="1">
      <c r="A9955" t="inlineStr">
        <is>
          <t>A 40832-2024</t>
        </is>
      </c>
      <c r="B9955" s="1" t="n">
        <v>45558.56628472222</v>
      </c>
      <c r="C9955" s="1" t="n">
        <v>46114</v>
      </c>
      <c r="D9955" t="inlineStr">
        <is>
          <t>DALARNAS LÄN</t>
        </is>
      </c>
      <c r="E9955" t="inlineStr">
        <is>
          <t>FALUN</t>
        </is>
      </c>
      <c r="F9955" t="inlineStr">
        <is>
          <t>Bergvik skog väst AB</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14692-2026</t>
        </is>
      </c>
      <c r="B9956" s="1" t="n">
        <v>46101</v>
      </c>
      <c r="C9956" s="1" t="n">
        <v>46114</v>
      </c>
      <c r="D9956" t="inlineStr">
        <is>
          <t>DALARNAS LÄN</t>
        </is>
      </c>
      <c r="E9956" t="inlineStr">
        <is>
          <t>FALUN</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60569-2024</t>
        </is>
      </c>
      <c r="B9957" s="1" t="n">
        <v>45644.31773148148</v>
      </c>
      <c r="C9957" s="1" t="n">
        <v>46114</v>
      </c>
      <c r="D9957" t="inlineStr">
        <is>
          <t>DALARNAS LÄN</t>
        </is>
      </c>
      <c r="E9957" t="inlineStr">
        <is>
          <t>SÄTER</t>
        </is>
      </c>
      <c r="F9957" t="inlineStr">
        <is>
          <t>Bergvik skog väst AB</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15749-2026</t>
        </is>
      </c>
      <c r="B9958" s="1" t="n">
        <v>46106</v>
      </c>
      <c r="C9958" s="1" t="n">
        <v>46114</v>
      </c>
      <c r="D9958" t="inlineStr">
        <is>
          <t>DALARNAS LÄN</t>
        </is>
      </c>
      <c r="E9958" t="inlineStr">
        <is>
          <t>MALUNG-SÄLEN</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9436-2026</t>
        </is>
      </c>
      <c r="B9959" s="1" t="n">
        <v>46071</v>
      </c>
      <c r="C9959" s="1" t="n">
        <v>46114</v>
      </c>
      <c r="D9959" t="inlineStr">
        <is>
          <t>DALARNAS LÄN</t>
        </is>
      </c>
      <c r="E9959" t="inlineStr">
        <is>
          <t>BORLÄNGE</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9442-2026</t>
        </is>
      </c>
      <c r="B9960" s="1" t="n">
        <v>46071.46711805555</v>
      </c>
      <c r="C9960" s="1" t="n">
        <v>46114</v>
      </c>
      <c r="D9960" t="inlineStr">
        <is>
          <t>DALARNAS LÄN</t>
        </is>
      </c>
      <c r="E9960" t="inlineStr">
        <is>
          <t>BORLÄNGE</t>
        </is>
      </c>
      <c r="G9960" t="n">
        <v>5.6</v>
      </c>
      <c r="H9960" t="n">
        <v>0</v>
      </c>
      <c r="I9960" t="n">
        <v>0</v>
      </c>
      <c r="J9960" t="n">
        <v>0</v>
      </c>
      <c r="K9960" t="n">
        <v>0</v>
      </c>
      <c r="L9960" t="n">
        <v>0</v>
      </c>
      <c r="M9960" t="n">
        <v>0</v>
      </c>
      <c r="N9960" t="n">
        <v>0</v>
      </c>
      <c r="O9960" t="n">
        <v>0</v>
      </c>
      <c r="P9960" t="n">
        <v>0</v>
      </c>
      <c r="Q9960" t="n">
        <v>0</v>
      </c>
      <c r="R9960" s="2" t="inlineStr"/>
    </row>
    <row r="9961" ht="15" customHeight="1">
      <c r="A9961" t="inlineStr">
        <is>
          <t>A 15172-2025</t>
        </is>
      </c>
      <c r="B9961" s="1" t="n">
        <v>45744.50722222222</v>
      </c>
      <c r="C9961" s="1" t="n">
        <v>46114</v>
      </c>
      <c r="D9961" t="inlineStr">
        <is>
          <t>DALARNAS LÄN</t>
        </is>
      </c>
      <c r="E9961" t="inlineStr">
        <is>
          <t>MORA</t>
        </is>
      </c>
      <c r="G9961" t="n">
        <v>3.2</v>
      </c>
      <c r="H9961" t="n">
        <v>0</v>
      </c>
      <c r="I9961" t="n">
        <v>0</v>
      </c>
      <c r="J9961" t="n">
        <v>0</v>
      </c>
      <c r="K9961" t="n">
        <v>0</v>
      </c>
      <c r="L9961" t="n">
        <v>0</v>
      </c>
      <c r="M9961" t="n">
        <v>0</v>
      </c>
      <c r="N9961" t="n">
        <v>0</v>
      </c>
      <c r="O9961" t="n">
        <v>0</v>
      </c>
      <c r="P9961" t="n">
        <v>0</v>
      </c>
      <c r="Q9961" t="n">
        <v>0</v>
      </c>
      <c r="R9961" s="2" t="inlineStr"/>
    </row>
    <row r="9962" ht="15" customHeight="1">
      <c r="A9962" t="inlineStr">
        <is>
          <t>A 8970-2026</t>
        </is>
      </c>
      <c r="B9962" s="1" t="n">
        <v>46069</v>
      </c>
      <c r="C9962" s="1" t="n">
        <v>46114</v>
      </c>
      <c r="D9962" t="inlineStr">
        <is>
          <t>DALARNAS LÄN</t>
        </is>
      </c>
      <c r="E9962" t="inlineStr">
        <is>
          <t>GAGNEF</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9462-2026</t>
        </is>
      </c>
      <c r="B9963" s="1" t="n">
        <v>46071</v>
      </c>
      <c r="C9963" s="1" t="n">
        <v>46114</v>
      </c>
      <c r="D9963" t="inlineStr">
        <is>
          <t>DALARNAS LÄN</t>
        </is>
      </c>
      <c r="E9963" t="inlineStr">
        <is>
          <t>HEDEMORA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17848-2025</t>
        </is>
      </c>
      <c r="B9964" s="1" t="n">
        <v>45758.59981481481</v>
      </c>
      <c r="C9964" s="1" t="n">
        <v>46114</v>
      </c>
      <c r="D9964" t="inlineStr">
        <is>
          <t>DALARNAS LÄN</t>
        </is>
      </c>
      <c r="E9964" t="inlineStr">
        <is>
          <t>ORSA</t>
        </is>
      </c>
      <c r="G9964" t="n">
        <v>1.6</v>
      </c>
      <c r="H9964" t="n">
        <v>0</v>
      </c>
      <c r="I9964" t="n">
        <v>0</v>
      </c>
      <c r="J9964" t="n">
        <v>0</v>
      </c>
      <c r="K9964" t="n">
        <v>0</v>
      </c>
      <c r="L9964" t="n">
        <v>0</v>
      </c>
      <c r="M9964" t="n">
        <v>0</v>
      </c>
      <c r="N9964" t="n">
        <v>0</v>
      </c>
      <c r="O9964" t="n">
        <v>0</v>
      </c>
      <c r="P9964" t="n">
        <v>0</v>
      </c>
      <c r="Q9964" t="n">
        <v>0</v>
      </c>
      <c r="R9964" s="2" t="inlineStr"/>
    </row>
    <row r="9965" ht="15" customHeight="1">
      <c r="A9965" t="inlineStr">
        <is>
          <t>A 16900-2026</t>
        </is>
      </c>
      <c r="B9965" s="1" t="n">
        <v>46113.6306712963</v>
      </c>
      <c r="C9965" s="1" t="n">
        <v>46114</v>
      </c>
      <c r="D9965" t="inlineStr">
        <is>
          <t>DALARNAS LÄN</t>
        </is>
      </c>
      <c r="E9965" t="inlineStr">
        <is>
          <t>ORSA</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14690-2026</t>
        </is>
      </c>
      <c r="B9966" s="1" t="n">
        <v>46101</v>
      </c>
      <c r="C9966" s="1" t="n">
        <v>46114</v>
      </c>
      <c r="D9966" t="inlineStr">
        <is>
          <t>DALARNAS LÄN</t>
        </is>
      </c>
      <c r="E9966" t="inlineStr">
        <is>
          <t>FALUN</t>
        </is>
      </c>
      <c r="G9966" t="n">
        <v>6.7</v>
      </c>
      <c r="H9966" t="n">
        <v>0</v>
      </c>
      <c r="I9966" t="n">
        <v>0</v>
      </c>
      <c r="J9966" t="n">
        <v>0</v>
      </c>
      <c r="K9966" t="n">
        <v>0</v>
      </c>
      <c r="L9966" t="n">
        <v>0</v>
      </c>
      <c r="M9966" t="n">
        <v>0</v>
      </c>
      <c r="N9966" t="n">
        <v>0</v>
      </c>
      <c r="O9966" t="n">
        <v>0</v>
      </c>
      <c r="P9966" t="n">
        <v>0</v>
      </c>
      <c r="Q9966" t="n">
        <v>0</v>
      </c>
      <c r="R9966" s="2" t="inlineStr"/>
    </row>
    <row r="9967" ht="15" customHeight="1">
      <c r="A9967" t="inlineStr">
        <is>
          <t>A 17917-2025</t>
        </is>
      </c>
      <c r="B9967" s="1" t="n">
        <v>45758.79458333334</v>
      </c>
      <c r="C9967" s="1" t="n">
        <v>46114</v>
      </c>
      <c r="D9967" t="inlineStr">
        <is>
          <t>DALARNAS LÄN</t>
        </is>
      </c>
      <c r="E9967" t="inlineStr">
        <is>
          <t>SÄTER</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15800-2026</t>
        </is>
      </c>
      <c r="B9968" s="1" t="n">
        <v>46107</v>
      </c>
      <c r="C9968" s="1" t="n">
        <v>46114</v>
      </c>
      <c r="D9968" t="inlineStr">
        <is>
          <t>DALARNAS LÄN</t>
        </is>
      </c>
      <c r="E9968" t="inlineStr">
        <is>
          <t>BORLÄNGE</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9320-2026</t>
        </is>
      </c>
      <c r="B9969" s="1" t="n">
        <v>46070.63092592593</v>
      </c>
      <c r="C9969" s="1" t="n">
        <v>46114</v>
      </c>
      <c r="D9969" t="inlineStr">
        <is>
          <t>DALARNAS LÄN</t>
        </is>
      </c>
      <c r="E9969" t="inlineStr">
        <is>
          <t>BORLÄNGE</t>
        </is>
      </c>
      <c r="F9969" t="inlineStr">
        <is>
          <t>Bergvik skog väst AB</t>
        </is>
      </c>
      <c r="G9969" t="n">
        <v>4.3</v>
      </c>
      <c r="H9969" t="n">
        <v>0</v>
      </c>
      <c r="I9969" t="n">
        <v>0</v>
      </c>
      <c r="J9969" t="n">
        <v>0</v>
      </c>
      <c r="K9969" t="n">
        <v>0</v>
      </c>
      <c r="L9969" t="n">
        <v>0</v>
      </c>
      <c r="M9969" t="n">
        <v>0</v>
      </c>
      <c r="N9969" t="n">
        <v>0</v>
      </c>
      <c r="O9969" t="n">
        <v>0</v>
      </c>
      <c r="P9969" t="n">
        <v>0</v>
      </c>
      <c r="Q9969" t="n">
        <v>0</v>
      </c>
      <c r="R9969" s="2" t="inlineStr"/>
    </row>
    <row r="9970" ht="15" customHeight="1">
      <c r="A9970" t="inlineStr">
        <is>
          <t>A 18573-2025</t>
        </is>
      </c>
      <c r="B9970" s="1" t="n">
        <v>45763.45927083334</v>
      </c>
      <c r="C9970" s="1" t="n">
        <v>46114</v>
      </c>
      <c r="D9970" t="inlineStr">
        <is>
          <t>DALARNAS LÄN</t>
        </is>
      </c>
      <c r="E9970" t="inlineStr">
        <is>
          <t>AVESTA</t>
        </is>
      </c>
      <c r="G9970" t="n">
        <v>2.2</v>
      </c>
      <c r="H9970" t="n">
        <v>0</v>
      </c>
      <c r="I9970" t="n">
        <v>0</v>
      </c>
      <c r="J9970" t="n">
        <v>0</v>
      </c>
      <c r="K9970" t="n">
        <v>0</v>
      </c>
      <c r="L9970" t="n">
        <v>0</v>
      </c>
      <c r="M9970" t="n">
        <v>0</v>
      </c>
      <c r="N9970" t="n">
        <v>0</v>
      </c>
      <c r="O9970" t="n">
        <v>0</v>
      </c>
      <c r="P9970" t="n">
        <v>0</v>
      </c>
      <c r="Q9970" t="n">
        <v>0</v>
      </c>
      <c r="R9970" s="2" t="inlineStr"/>
    </row>
    <row r="9971" ht="15" customHeight="1">
      <c r="A9971" t="inlineStr">
        <is>
          <t>A 57735-2024</t>
        </is>
      </c>
      <c r="B9971" s="1" t="n">
        <v>45630.72998842593</v>
      </c>
      <c r="C9971" s="1" t="n">
        <v>46114</v>
      </c>
      <c r="D9971" t="inlineStr">
        <is>
          <t>DALARNAS LÄN</t>
        </is>
      </c>
      <c r="E9971" t="inlineStr">
        <is>
          <t>VANSBRO</t>
        </is>
      </c>
      <c r="G9971" t="n">
        <v>10.1</v>
      </c>
      <c r="H9971" t="n">
        <v>0</v>
      </c>
      <c r="I9971" t="n">
        <v>0</v>
      </c>
      <c r="J9971" t="n">
        <v>0</v>
      </c>
      <c r="K9971" t="n">
        <v>0</v>
      </c>
      <c r="L9971" t="n">
        <v>0</v>
      </c>
      <c r="M9971" t="n">
        <v>0</v>
      </c>
      <c r="N9971" t="n">
        <v>0</v>
      </c>
      <c r="O9971" t="n">
        <v>0</v>
      </c>
      <c r="P9971" t="n">
        <v>0</v>
      </c>
      <c r="Q9971" t="n">
        <v>0</v>
      </c>
      <c r="R9971" s="2" t="inlineStr"/>
    </row>
    <row r="9972" ht="15" customHeight="1">
      <c r="A9972" t="inlineStr">
        <is>
          <t>A 57737-2024</t>
        </is>
      </c>
      <c r="B9972" s="1" t="n">
        <v>45630.74299768519</v>
      </c>
      <c r="C9972" s="1" t="n">
        <v>46114</v>
      </c>
      <c r="D9972" t="inlineStr">
        <is>
          <t>DALARNAS LÄN</t>
        </is>
      </c>
      <c r="E9972" t="inlineStr">
        <is>
          <t>VANSBRO</t>
        </is>
      </c>
      <c r="G9972" t="n">
        <v>0.9</v>
      </c>
      <c r="H9972" t="n">
        <v>0</v>
      </c>
      <c r="I9972" t="n">
        <v>0</v>
      </c>
      <c r="J9972" t="n">
        <v>0</v>
      </c>
      <c r="K9972" t="n">
        <v>0</v>
      </c>
      <c r="L9972" t="n">
        <v>0</v>
      </c>
      <c r="M9972" t="n">
        <v>0</v>
      </c>
      <c r="N9972" t="n">
        <v>0</v>
      </c>
      <c r="O9972" t="n">
        <v>0</v>
      </c>
      <c r="P9972" t="n">
        <v>0</v>
      </c>
      <c r="Q9972" t="n">
        <v>0</v>
      </c>
      <c r="R9972" s="2" t="inlineStr"/>
    </row>
    <row r="9973" ht="15" customHeight="1">
      <c r="A9973" t="inlineStr">
        <is>
          <t>A 2046-2024</t>
        </is>
      </c>
      <c r="B9973" s="1" t="n">
        <v>45308.8669212963</v>
      </c>
      <c r="C9973" s="1" t="n">
        <v>46114</v>
      </c>
      <c r="D9973" t="inlineStr">
        <is>
          <t>DALARNAS LÄN</t>
        </is>
      </c>
      <c r="E9973" t="inlineStr">
        <is>
          <t>SMEDJEBACKEN</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59922-2024</t>
        </is>
      </c>
      <c r="B9974" s="1" t="n">
        <v>45641.91351851852</v>
      </c>
      <c r="C9974" s="1" t="n">
        <v>46114</v>
      </c>
      <c r="D9974" t="inlineStr">
        <is>
          <t>DALARNAS LÄN</t>
        </is>
      </c>
      <c r="E9974" t="inlineStr">
        <is>
          <t>RÄTTVIK</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16443-2026</t>
        </is>
      </c>
      <c r="B9975" s="1" t="n">
        <v>46112.31292824074</v>
      </c>
      <c r="C9975" s="1" t="n">
        <v>46114</v>
      </c>
      <c r="D9975" t="inlineStr">
        <is>
          <t>DALARNAS LÄN</t>
        </is>
      </c>
      <c r="E9975" t="inlineStr">
        <is>
          <t>FALUN</t>
        </is>
      </c>
      <c r="F9975" t="inlineStr">
        <is>
          <t>Bergvik skog väst AB</t>
        </is>
      </c>
      <c r="G9975" t="n">
        <v>6.2</v>
      </c>
      <c r="H9975" t="n">
        <v>0</v>
      </c>
      <c r="I9975" t="n">
        <v>0</v>
      </c>
      <c r="J9975" t="n">
        <v>0</v>
      </c>
      <c r="K9975" t="n">
        <v>0</v>
      </c>
      <c r="L9975" t="n">
        <v>0</v>
      </c>
      <c r="M9975" t="n">
        <v>0</v>
      </c>
      <c r="N9975" t="n">
        <v>0</v>
      </c>
      <c r="O9975" t="n">
        <v>0</v>
      </c>
      <c r="P9975" t="n">
        <v>0</v>
      </c>
      <c r="Q9975" t="n">
        <v>0</v>
      </c>
      <c r="R9975" s="2" t="inlineStr"/>
    </row>
    <row r="9976" ht="15" customHeight="1">
      <c r="A9976" t="inlineStr">
        <is>
          <t>A 9541-2026</t>
        </is>
      </c>
      <c r="B9976" s="1" t="n">
        <v>46071</v>
      </c>
      <c r="C9976" s="1" t="n">
        <v>46114</v>
      </c>
      <c r="D9976" t="inlineStr">
        <is>
          <t>DALARNAS LÄN</t>
        </is>
      </c>
      <c r="E9976" t="inlineStr">
        <is>
          <t>LEKSAND</t>
        </is>
      </c>
      <c r="G9976" t="n">
        <v>10.8</v>
      </c>
      <c r="H9976" t="n">
        <v>0</v>
      </c>
      <c r="I9976" t="n">
        <v>0</v>
      </c>
      <c r="J9976" t="n">
        <v>0</v>
      </c>
      <c r="K9976" t="n">
        <v>0</v>
      </c>
      <c r="L9976" t="n">
        <v>0</v>
      </c>
      <c r="M9976" t="n">
        <v>0</v>
      </c>
      <c r="N9976" t="n">
        <v>0</v>
      </c>
      <c r="O9976" t="n">
        <v>0</v>
      </c>
      <c r="P9976" t="n">
        <v>0</v>
      </c>
      <c r="Q9976" t="n">
        <v>0</v>
      </c>
      <c r="R9976" s="2" t="inlineStr"/>
    </row>
    <row r="9977" ht="15" customHeight="1">
      <c r="A9977" t="inlineStr">
        <is>
          <t>A 9547-2026</t>
        </is>
      </c>
      <c r="B9977" s="1" t="n">
        <v>46071.63194444445</v>
      </c>
      <c r="C9977" s="1" t="n">
        <v>46114</v>
      </c>
      <c r="D9977" t="inlineStr">
        <is>
          <t>DALARNAS LÄN</t>
        </is>
      </c>
      <c r="E9977" t="inlineStr">
        <is>
          <t>RÄTTVIK</t>
        </is>
      </c>
      <c r="F9977" t="inlineStr">
        <is>
          <t>Bergvik skog väst AB</t>
        </is>
      </c>
      <c r="G9977" t="n">
        <v>6.8</v>
      </c>
      <c r="H9977" t="n">
        <v>0</v>
      </c>
      <c r="I9977" t="n">
        <v>0</v>
      </c>
      <c r="J9977" t="n">
        <v>0</v>
      </c>
      <c r="K9977" t="n">
        <v>0</v>
      </c>
      <c r="L9977" t="n">
        <v>0</v>
      </c>
      <c r="M9977" t="n">
        <v>0</v>
      </c>
      <c r="N9977" t="n">
        <v>0</v>
      </c>
      <c r="O9977" t="n">
        <v>0</v>
      </c>
      <c r="P9977" t="n">
        <v>0</v>
      </c>
      <c r="Q9977" t="n">
        <v>0</v>
      </c>
      <c r="R9977" s="2" t="inlineStr"/>
    </row>
    <row r="9978" ht="15" customHeight="1">
      <c r="A9978" t="inlineStr">
        <is>
          <t>A 16938-2026</t>
        </is>
      </c>
      <c r="B9978" s="1" t="n">
        <v>46113.71947916667</v>
      </c>
      <c r="C9978" s="1" t="n">
        <v>46114</v>
      </c>
      <c r="D9978" t="inlineStr">
        <is>
          <t>DALARNAS LÄN</t>
        </is>
      </c>
      <c r="E9978" t="inlineStr">
        <is>
          <t>FALUN</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47671-2024</t>
        </is>
      </c>
      <c r="B9979" s="1" t="n">
        <v>45588.39844907408</v>
      </c>
      <c r="C9979" s="1" t="n">
        <v>46114</v>
      </c>
      <c r="D9979" t="inlineStr">
        <is>
          <t>DALARNAS LÄN</t>
        </is>
      </c>
      <c r="E9979" t="inlineStr">
        <is>
          <t>LUDVIKA</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59634-2024</t>
        </is>
      </c>
      <c r="B9980" s="1" t="n">
        <v>45638.99978009259</v>
      </c>
      <c r="C9980" s="1" t="n">
        <v>46114</v>
      </c>
      <c r="D9980" t="inlineStr">
        <is>
          <t>DALARNAS LÄN</t>
        </is>
      </c>
      <c r="E9980" t="inlineStr">
        <is>
          <t>LUDVIKA</t>
        </is>
      </c>
      <c r="G9980" t="n">
        <v>4.1</v>
      </c>
      <c r="H9980" t="n">
        <v>0</v>
      </c>
      <c r="I9980" t="n">
        <v>0</v>
      </c>
      <c r="J9980" t="n">
        <v>0</v>
      </c>
      <c r="K9980" t="n">
        <v>0</v>
      </c>
      <c r="L9980" t="n">
        <v>0</v>
      </c>
      <c r="M9980" t="n">
        <v>0</v>
      </c>
      <c r="N9980" t="n">
        <v>0</v>
      </c>
      <c r="O9980" t="n">
        <v>0</v>
      </c>
      <c r="P9980" t="n">
        <v>0</v>
      </c>
      <c r="Q9980" t="n">
        <v>0</v>
      </c>
      <c r="R9980" s="2" t="inlineStr"/>
    </row>
    <row r="9981" ht="15" customHeight="1">
      <c r="A9981" t="inlineStr">
        <is>
          <t>A 4719-2026</t>
        </is>
      </c>
      <c r="B9981" s="1" t="n">
        <v>46048</v>
      </c>
      <c r="C9981" s="1" t="n">
        <v>46114</v>
      </c>
      <c r="D9981" t="inlineStr">
        <is>
          <t>DALARNAS LÄN</t>
        </is>
      </c>
      <c r="E9981" t="inlineStr">
        <is>
          <t>FALUN</t>
        </is>
      </c>
      <c r="G9981" t="n">
        <v>7.7</v>
      </c>
      <c r="H9981" t="n">
        <v>0</v>
      </c>
      <c r="I9981" t="n">
        <v>0</v>
      </c>
      <c r="J9981" t="n">
        <v>0</v>
      </c>
      <c r="K9981" t="n">
        <v>0</v>
      </c>
      <c r="L9981" t="n">
        <v>0</v>
      </c>
      <c r="M9981" t="n">
        <v>0</v>
      </c>
      <c r="N9981" t="n">
        <v>0</v>
      </c>
      <c r="O9981" t="n">
        <v>0</v>
      </c>
      <c r="P9981" t="n">
        <v>0</v>
      </c>
      <c r="Q9981" t="n">
        <v>0</v>
      </c>
      <c r="R9981" s="2" t="inlineStr"/>
    </row>
    <row r="9982" ht="15" customHeight="1">
      <c r="A9982" t="inlineStr">
        <is>
          <t>A 16818-2026</t>
        </is>
      </c>
      <c r="B9982" s="1" t="n">
        <v>46113.50706018518</v>
      </c>
      <c r="C9982" s="1" t="n">
        <v>46114</v>
      </c>
      <c r="D9982" t="inlineStr">
        <is>
          <t>DALARNAS LÄN</t>
        </is>
      </c>
      <c r="E9982" t="inlineStr">
        <is>
          <t>RÄTTVIK</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15059-2026</t>
        </is>
      </c>
      <c r="B9983" s="1" t="n">
        <v>46104</v>
      </c>
      <c r="C9983" s="1" t="n">
        <v>46114</v>
      </c>
      <c r="D9983" t="inlineStr">
        <is>
          <t>DALARNAS LÄN</t>
        </is>
      </c>
      <c r="E9983" t="inlineStr">
        <is>
          <t>FALUN</t>
        </is>
      </c>
      <c r="F9983" t="inlineStr">
        <is>
          <t>Bergvik skog väst AB</t>
        </is>
      </c>
      <c r="G9983" t="n">
        <v>9.6</v>
      </c>
      <c r="H9983" t="n">
        <v>0</v>
      </c>
      <c r="I9983" t="n">
        <v>0</v>
      </c>
      <c r="J9983" t="n">
        <v>0</v>
      </c>
      <c r="K9983" t="n">
        <v>0</v>
      </c>
      <c r="L9983" t="n">
        <v>0</v>
      </c>
      <c r="M9983" t="n">
        <v>0</v>
      </c>
      <c r="N9983" t="n">
        <v>0</v>
      </c>
      <c r="O9983" t="n">
        <v>0</v>
      </c>
      <c r="P9983" t="n">
        <v>0</v>
      </c>
      <c r="Q9983" t="n">
        <v>0</v>
      </c>
      <c r="R9983" s="2" t="inlineStr"/>
    </row>
    <row r="9984" ht="15" customHeight="1">
      <c r="A9984" t="inlineStr">
        <is>
          <t>A 9152-2026</t>
        </is>
      </c>
      <c r="B9984" s="1" t="n">
        <v>46070.33037037037</v>
      </c>
      <c r="C9984" s="1" t="n">
        <v>46114</v>
      </c>
      <c r="D9984" t="inlineStr">
        <is>
          <t>DALARNAS LÄN</t>
        </is>
      </c>
      <c r="E9984" t="inlineStr">
        <is>
          <t>MALUNG-SÄLEN</t>
        </is>
      </c>
      <c r="G9984" t="n">
        <v>0.7</v>
      </c>
      <c r="H9984" t="n">
        <v>0</v>
      </c>
      <c r="I9984" t="n">
        <v>0</v>
      </c>
      <c r="J9984" t="n">
        <v>0</v>
      </c>
      <c r="K9984" t="n">
        <v>0</v>
      </c>
      <c r="L9984" t="n">
        <v>0</v>
      </c>
      <c r="M9984" t="n">
        <v>0</v>
      </c>
      <c r="N9984" t="n">
        <v>0</v>
      </c>
      <c r="O9984" t="n">
        <v>0</v>
      </c>
      <c r="P9984" t="n">
        <v>0</v>
      </c>
      <c r="Q9984" t="n">
        <v>0</v>
      </c>
      <c r="R9984" s="2" t="inlineStr"/>
    </row>
    <row r="9985" ht="15" customHeight="1">
      <c r="A9985" t="inlineStr">
        <is>
          <t>A 9163-2026</t>
        </is>
      </c>
      <c r="B9985" s="1" t="n">
        <v>46070.34811342593</v>
      </c>
      <c r="C9985" s="1" t="n">
        <v>46114</v>
      </c>
      <c r="D9985" t="inlineStr">
        <is>
          <t>DALARNAS LÄN</t>
        </is>
      </c>
      <c r="E9985" t="inlineStr">
        <is>
          <t>LEKSAND</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7412-2025</t>
        </is>
      </c>
      <c r="B9986" s="1" t="n">
        <v>45705.37003472223</v>
      </c>
      <c r="C9986" s="1" t="n">
        <v>46114</v>
      </c>
      <c r="D9986" t="inlineStr">
        <is>
          <t>DALARNAS LÄN</t>
        </is>
      </c>
      <c r="E9986" t="inlineStr">
        <is>
          <t>SMEDJEBACKEN</t>
        </is>
      </c>
      <c r="G9986" t="n">
        <v>5.5</v>
      </c>
      <c r="H9986" t="n">
        <v>0</v>
      </c>
      <c r="I9986" t="n">
        <v>0</v>
      </c>
      <c r="J9986" t="n">
        <v>0</v>
      </c>
      <c r="K9986" t="n">
        <v>0</v>
      </c>
      <c r="L9986" t="n">
        <v>0</v>
      </c>
      <c r="M9986" t="n">
        <v>0</v>
      </c>
      <c r="N9986" t="n">
        <v>0</v>
      </c>
      <c r="O9986" t="n">
        <v>0</v>
      </c>
      <c r="P9986" t="n">
        <v>0</v>
      </c>
      <c r="Q9986" t="n">
        <v>0</v>
      </c>
      <c r="R9986" s="2" t="inlineStr"/>
    </row>
    <row r="9987" ht="15" customHeight="1">
      <c r="A9987" t="inlineStr">
        <is>
          <t>A 13568-2025</t>
        </is>
      </c>
      <c r="B9987" s="1" t="n">
        <v>45736.56929398148</v>
      </c>
      <c r="C9987" s="1" t="n">
        <v>46114</v>
      </c>
      <c r="D9987" t="inlineStr">
        <is>
          <t>DALARNAS LÄN</t>
        </is>
      </c>
      <c r="E9987" t="inlineStr">
        <is>
          <t>RÄTTVIK</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11468-2026</t>
        </is>
      </c>
      <c r="B9988" s="1" t="n">
        <v>46083</v>
      </c>
      <c r="C9988" s="1" t="n">
        <v>46114</v>
      </c>
      <c r="D9988" t="inlineStr">
        <is>
          <t>DALARNAS LÄN</t>
        </is>
      </c>
      <c r="E9988" t="inlineStr">
        <is>
          <t>RÄTTVIK</t>
        </is>
      </c>
      <c r="G9988" t="n">
        <v>9.6</v>
      </c>
      <c r="H9988" t="n">
        <v>0</v>
      </c>
      <c r="I9988" t="n">
        <v>0</v>
      </c>
      <c r="J9988" t="n">
        <v>0</v>
      </c>
      <c r="K9988" t="n">
        <v>0</v>
      </c>
      <c r="L9988" t="n">
        <v>0</v>
      </c>
      <c r="M9988" t="n">
        <v>0</v>
      </c>
      <c r="N9988" t="n">
        <v>0</v>
      </c>
      <c r="O9988" t="n">
        <v>0</v>
      </c>
      <c r="P9988" t="n">
        <v>0</v>
      </c>
      <c r="Q9988" t="n">
        <v>0</v>
      </c>
      <c r="R9988" s="2" t="inlineStr"/>
    </row>
    <row r="9989" ht="15" customHeight="1">
      <c r="A9989" t="inlineStr">
        <is>
          <t>A 14309-2026</t>
        </is>
      </c>
      <c r="B9989" s="1" t="n">
        <v>46099</v>
      </c>
      <c r="C9989" s="1" t="n">
        <v>46114</v>
      </c>
      <c r="D9989" t="inlineStr">
        <is>
          <t>DALARNAS LÄN</t>
        </is>
      </c>
      <c r="E9989" t="inlineStr">
        <is>
          <t>FALUN</t>
        </is>
      </c>
      <c r="F9989" t="inlineStr">
        <is>
          <t>Bergvik skog väst AB</t>
        </is>
      </c>
      <c r="G9989" t="n">
        <v>13.4</v>
      </c>
      <c r="H9989" t="n">
        <v>0</v>
      </c>
      <c r="I9989" t="n">
        <v>0</v>
      </c>
      <c r="J9989" t="n">
        <v>0</v>
      </c>
      <c r="K9989" t="n">
        <v>0</v>
      </c>
      <c r="L9989" t="n">
        <v>0</v>
      </c>
      <c r="M9989" t="n">
        <v>0</v>
      </c>
      <c r="N9989" t="n">
        <v>0</v>
      </c>
      <c r="O9989" t="n">
        <v>0</v>
      </c>
      <c r="P9989" t="n">
        <v>0</v>
      </c>
      <c r="Q9989" t="n">
        <v>0</v>
      </c>
      <c r="R9989" s="2" t="inlineStr"/>
    </row>
    <row r="9990" ht="15" customHeight="1">
      <c r="A9990" t="inlineStr">
        <is>
          <t>A 14310-2026</t>
        </is>
      </c>
      <c r="B9990" s="1" t="n">
        <v>46099</v>
      </c>
      <c r="C9990" s="1" t="n">
        <v>46114</v>
      </c>
      <c r="D9990" t="inlineStr">
        <is>
          <t>DALARNAS LÄN</t>
        </is>
      </c>
      <c r="E9990" t="inlineStr">
        <is>
          <t>FALUN</t>
        </is>
      </c>
      <c r="F9990" t="inlineStr">
        <is>
          <t>Bergvik skog väst AB</t>
        </is>
      </c>
      <c r="G9990" t="n">
        <v>29.8</v>
      </c>
      <c r="H9990" t="n">
        <v>0</v>
      </c>
      <c r="I9990" t="n">
        <v>0</v>
      </c>
      <c r="J9990" t="n">
        <v>0</v>
      </c>
      <c r="K9990" t="n">
        <v>0</v>
      </c>
      <c r="L9990" t="n">
        <v>0</v>
      </c>
      <c r="M9990" t="n">
        <v>0</v>
      </c>
      <c r="N9990" t="n">
        <v>0</v>
      </c>
      <c r="O9990" t="n">
        <v>0</v>
      </c>
      <c r="P9990" t="n">
        <v>0</v>
      </c>
      <c r="Q9990" t="n">
        <v>0</v>
      </c>
      <c r="R9990" s="2" t="inlineStr"/>
    </row>
    <row r="9991" ht="15" customHeight="1">
      <c r="A9991" t="inlineStr">
        <is>
          <t>A 14311-2026</t>
        </is>
      </c>
      <c r="B9991" s="1" t="n">
        <v>46099</v>
      </c>
      <c r="C9991" s="1" t="n">
        <v>46114</v>
      </c>
      <c r="D9991" t="inlineStr">
        <is>
          <t>DALARNAS LÄN</t>
        </is>
      </c>
      <c r="E9991" t="inlineStr">
        <is>
          <t>FALUN</t>
        </is>
      </c>
      <c r="F9991" t="inlineStr">
        <is>
          <t>Bergvik skog väst AB</t>
        </is>
      </c>
      <c r="G9991" t="n">
        <v>63.9</v>
      </c>
      <c r="H9991" t="n">
        <v>0</v>
      </c>
      <c r="I9991" t="n">
        <v>0</v>
      </c>
      <c r="J9991" t="n">
        <v>0</v>
      </c>
      <c r="K9991" t="n">
        <v>0</v>
      </c>
      <c r="L9991" t="n">
        <v>0</v>
      </c>
      <c r="M9991" t="n">
        <v>0</v>
      </c>
      <c r="N9991" t="n">
        <v>0</v>
      </c>
      <c r="O9991" t="n">
        <v>0</v>
      </c>
      <c r="P9991" t="n">
        <v>0</v>
      </c>
      <c r="Q9991" t="n">
        <v>0</v>
      </c>
      <c r="R9991" s="2" t="inlineStr"/>
    </row>
    <row r="9992" ht="15" customHeight="1">
      <c r="A9992" t="inlineStr">
        <is>
          <t>A 16613-2026</t>
        </is>
      </c>
      <c r="B9992" s="1" t="n">
        <v>46112.60303240741</v>
      </c>
      <c r="C9992" s="1" t="n">
        <v>46114</v>
      </c>
      <c r="D9992" t="inlineStr">
        <is>
          <t>DALARNAS LÄN</t>
        </is>
      </c>
      <c r="E9992" t="inlineStr">
        <is>
          <t>LEKSAND</t>
        </is>
      </c>
      <c r="F9992" t="inlineStr">
        <is>
          <t>Bergvik skog väst AB</t>
        </is>
      </c>
      <c r="G9992" t="n">
        <v>12.7</v>
      </c>
      <c r="H9992" t="n">
        <v>0</v>
      </c>
      <c r="I9992" t="n">
        <v>0</v>
      </c>
      <c r="J9992" t="n">
        <v>0</v>
      </c>
      <c r="K9992" t="n">
        <v>0</v>
      </c>
      <c r="L9992" t="n">
        <v>0</v>
      </c>
      <c r="M9992" t="n">
        <v>0</v>
      </c>
      <c r="N9992" t="n">
        <v>0</v>
      </c>
      <c r="O9992" t="n">
        <v>0</v>
      </c>
      <c r="P9992" t="n">
        <v>0</v>
      </c>
      <c r="Q9992" t="n">
        <v>0</v>
      </c>
      <c r="R9992" s="2" t="inlineStr"/>
    </row>
    <row r="9993" ht="15" customHeight="1">
      <c r="A9993" t="inlineStr">
        <is>
          <t>A 16626-2026</t>
        </is>
      </c>
      <c r="B9993" s="1" t="n">
        <v>46112.61127314815</v>
      </c>
      <c r="C9993" s="1" t="n">
        <v>46114</v>
      </c>
      <c r="D9993" t="inlineStr">
        <is>
          <t>DALARNAS LÄN</t>
        </is>
      </c>
      <c r="E9993" t="inlineStr">
        <is>
          <t>RÄTTVIK</t>
        </is>
      </c>
      <c r="F9993" t="inlineStr">
        <is>
          <t>Bergvik skog väst AB</t>
        </is>
      </c>
      <c r="G9993" t="n">
        <v>12.1</v>
      </c>
      <c r="H9993" t="n">
        <v>0</v>
      </c>
      <c r="I9993" t="n">
        <v>0</v>
      </c>
      <c r="J9993" t="n">
        <v>0</v>
      </c>
      <c r="K9993" t="n">
        <v>0</v>
      </c>
      <c r="L9993" t="n">
        <v>0</v>
      </c>
      <c r="M9993" t="n">
        <v>0</v>
      </c>
      <c r="N9993" t="n">
        <v>0</v>
      </c>
      <c r="O9993" t="n">
        <v>0</v>
      </c>
      <c r="P9993" t="n">
        <v>0</v>
      </c>
      <c r="Q9993" t="n">
        <v>0</v>
      </c>
      <c r="R9993" s="2" t="inlineStr"/>
    </row>
    <row r="9994" ht="15" customHeight="1">
      <c r="A9994" t="inlineStr">
        <is>
          <t>A 16677-2026</t>
        </is>
      </c>
      <c r="B9994" s="1" t="n">
        <v>46112.68851851852</v>
      </c>
      <c r="C9994" s="1" t="n">
        <v>46114</v>
      </c>
      <c r="D9994" t="inlineStr">
        <is>
          <t>DALARNAS LÄN</t>
        </is>
      </c>
      <c r="E9994" t="inlineStr">
        <is>
          <t>FALUN</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16680-2026</t>
        </is>
      </c>
      <c r="B9995" s="1" t="n">
        <v>46112.70152777778</v>
      </c>
      <c r="C9995" s="1" t="n">
        <v>46114</v>
      </c>
      <c r="D9995" t="inlineStr">
        <is>
          <t>DALARNAS LÄN</t>
        </is>
      </c>
      <c r="E9995" t="inlineStr">
        <is>
          <t>FALUN</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58375-2023</t>
        </is>
      </c>
      <c r="B9996" s="1" t="n">
        <v>45245</v>
      </c>
      <c r="C9996" s="1" t="n">
        <v>46114</v>
      </c>
      <c r="D9996" t="inlineStr">
        <is>
          <t>DALARNAS LÄN</t>
        </is>
      </c>
      <c r="E9996" t="inlineStr">
        <is>
          <t>MALUNG-SÄLEN</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9503-2026</t>
        </is>
      </c>
      <c r="B9997" s="1" t="n">
        <v>46071</v>
      </c>
      <c r="C9997" s="1" t="n">
        <v>46114</v>
      </c>
      <c r="D9997" t="inlineStr">
        <is>
          <t>DALARNAS LÄN</t>
        </is>
      </c>
      <c r="E9997" t="inlineStr">
        <is>
          <t>ORSA</t>
        </is>
      </c>
      <c r="F9997" t="inlineStr">
        <is>
          <t>Bergvik skog öst AB</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55218-2024</t>
        </is>
      </c>
      <c r="B9998" s="1" t="n">
        <v>45621.57195601852</v>
      </c>
      <c r="C9998" s="1" t="n">
        <v>46114</v>
      </c>
      <c r="D9998" t="inlineStr">
        <is>
          <t>DALARNAS LÄN</t>
        </is>
      </c>
      <c r="E9998" t="inlineStr">
        <is>
          <t>LUDVIKA</t>
        </is>
      </c>
      <c r="F9998" t="inlineStr">
        <is>
          <t>Naturvårdsverket</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12775-2026</t>
        </is>
      </c>
      <c r="B9999" s="1" t="n">
        <v>46091.70668981481</v>
      </c>
      <c r="C9999" s="1" t="n">
        <v>46114</v>
      </c>
      <c r="D9999" t="inlineStr">
        <is>
          <t>DALARNAS LÄN</t>
        </is>
      </c>
      <c r="E9999" t="inlineStr">
        <is>
          <t>FALUN</t>
        </is>
      </c>
      <c r="G9999" t="n">
        <v>3.5</v>
      </c>
      <c r="H9999" t="n">
        <v>0</v>
      </c>
      <c r="I9999" t="n">
        <v>0</v>
      </c>
      <c r="J9999" t="n">
        <v>0</v>
      </c>
      <c r="K9999" t="n">
        <v>0</v>
      </c>
      <c r="L9999" t="n">
        <v>0</v>
      </c>
      <c r="M9999" t="n">
        <v>0</v>
      </c>
      <c r="N9999" t="n">
        <v>0</v>
      </c>
      <c r="O9999" t="n">
        <v>0</v>
      </c>
      <c r="P9999" t="n">
        <v>0</v>
      </c>
      <c r="Q9999" t="n">
        <v>0</v>
      </c>
      <c r="R9999" s="2" t="inlineStr"/>
    </row>
    <row r="10000" ht="15" customHeight="1">
      <c r="A10000" t="inlineStr">
        <is>
          <t>A 14022-2026</t>
        </is>
      </c>
      <c r="B10000" s="1" t="n">
        <v>46098</v>
      </c>
      <c r="C10000" s="1" t="n">
        <v>46114</v>
      </c>
      <c r="D10000" t="inlineStr">
        <is>
          <t>DALARNAS LÄN</t>
        </is>
      </c>
      <c r="E10000" t="inlineStr">
        <is>
          <t>FALUN</t>
        </is>
      </c>
      <c r="F10000" t="inlineStr">
        <is>
          <t>Bergvik skog väst AB</t>
        </is>
      </c>
      <c r="G10000" t="n">
        <v>33.9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5232-2022</t>
        </is>
      </c>
      <c r="B10001" s="1" t="n">
        <v>44594</v>
      </c>
      <c r="C10001" s="1" t="n">
        <v>46114</v>
      </c>
      <c r="D10001" t="inlineStr">
        <is>
          <t>DALARNAS LÄN</t>
        </is>
      </c>
      <c r="E10001" t="inlineStr">
        <is>
          <t>SÄTER</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14088-2026</t>
        </is>
      </c>
      <c r="B10002" s="1" t="n">
        <v>46099</v>
      </c>
      <c r="C10002" s="1" t="n">
        <v>46114</v>
      </c>
      <c r="D10002" t="inlineStr">
        <is>
          <t>DALARNAS LÄN</t>
        </is>
      </c>
      <c r="E10002" t="inlineStr">
        <is>
          <t>RÄTTVIK</t>
        </is>
      </c>
      <c r="F10002" t="inlineStr">
        <is>
          <t>Bergvik skog väst AB</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14694-2026</t>
        </is>
      </c>
      <c r="B10003" s="1" t="n">
        <v>46101</v>
      </c>
      <c r="C10003" s="1" t="n">
        <v>46114</v>
      </c>
      <c r="D10003" t="inlineStr">
        <is>
          <t>DALARNAS LÄN</t>
        </is>
      </c>
      <c r="E10003" t="inlineStr">
        <is>
          <t>FALUN</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15393-2026</t>
        </is>
      </c>
      <c r="B10004" s="1" t="n">
        <v>46106</v>
      </c>
      <c r="C10004" s="1" t="n">
        <v>46114</v>
      </c>
      <c r="D10004" t="inlineStr">
        <is>
          <t>DALARNAS LÄN</t>
        </is>
      </c>
      <c r="E10004" t="inlineStr">
        <is>
          <t>FALUN</t>
        </is>
      </c>
      <c r="G10004" t="n">
        <v>2.7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5420-2024</t>
        </is>
      </c>
      <c r="B10005" s="1" t="n">
        <v>45331</v>
      </c>
      <c r="C10005" s="1" t="n">
        <v>46114</v>
      </c>
      <c r="D10005" t="inlineStr">
        <is>
          <t>DALARNAS LÄN</t>
        </is>
      </c>
      <c r="E10005" t="inlineStr">
        <is>
          <t>VANSBRO</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3194-2024</t>
        </is>
      </c>
      <c r="B10006" s="1" t="n">
        <v>45316.67782407408</v>
      </c>
      <c r="C10006" s="1" t="n">
        <v>46114</v>
      </c>
      <c r="D10006" t="inlineStr">
        <is>
          <t>DALARNAS LÄN</t>
        </is>
      </c>
      <c r="E10006" t="inlineStr">
        <is>
          <t>AVESTA</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16669-2026</t>
        </is>
      </c>
      <c r="B10007" s="1" t="n">
        <v>46112</v>
      </c>
      <c r="C10007" s="1" t="n">
        <v>46114</v>
      </c>
      <c r="D10007" t="inlineStr">
        <is>
          <t>DALARNAS LÄN</t>
        </is>
      </c>
      <c r="E10007" t="inlineStr">
        <is>
          <t>VANSBRO</t>
        </is>
      </c>
      <c r="F10007" t="inlineStr">
        <is>
          <t>Bergvik skog väst AB</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3280-2024</t>
        </is>
      </c>
      <c r="B10008" s="1" t="n">
        <v>45317</v>
      </c>
      <c r="C10008" s="1" t="n">
        <v>46114</v>
      </c>
      <c r="D10008" t="inlineStr">
        <is>
          <t>DALARNAS LÄN</t>
        </is>
      </c>
      <c r="E10008" t="inlineStr">
        <is>
          <t>LUDVIKA</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56587-2024</t>
        </is>
      </c>
      <c r="B10009" s="1" t="n">
        <v>45625.61111111111</v>
      </c>
      <c r="C10009" s="1" t="n">
        <v>46114</v>
      </c>
      <c r="D10009" t="inlineStr">
        <is>
          <t>DALARNAS LÄN</t>
        </is>
      </c>
      <c r="E10009" t="inlineStr">
        <is>
          <t>FALUN</t>
        </is>
      </c>
      <c r="F10009" t="inlineStr">
        <is>
          <t>Bergvik skog väst AB</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16771-2026</t>
        </is>
      </c>
      <c r="B10010" s="1" t="n">
        <v>46113.44231481481</v>
      </c>
      <c r="C10010" s="1" t="n">
        <v>46114</v>
      </c>
      <c r="D10010" t="inlineStr">
        <is>
          <t>DALARNAS LÄN</t>
        </is>
      </c>
      <c r="E10010" t="inlineStr">
        <is>
          <t>FALUN</t>
        </is>
      </c>
      <c r="F10010" t="inlineStr">
        <is>
          <t>Bergvik skog väst AB</t>
        </is>
      </c>
      <c r="G10010" t="n">
        <v>9.800000000000001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3470-2025</t>
        </is>
      </c>
      <c r="B10011" s="1" t="n">
        <v>45680.5206712963</v>
      </c>
      <c r="C10011" s="1" t="n">
        <v>46114</v>
      </c>
      <c r="D10011" t="inlineStr">
        <is>
          <t>DALARNAS LÄN</t>
        </is>
      </c>
      <c r="E10011" t="inlineStr">
        <is>
          <t>LUDVIKA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9343-2026</t>
        </is>
      </c>
      <c r="B10012" s="1" t="n">
        <v>46070</v>
      </c>
      <c r="C10012" s="1" t="n">
        <v>46114</v>
      </c>
      <c r="D10012" t="inlineStr">
        <is>
          <t>DALARNAS LÄN</t>
        </is>
      </c>
      <c r="E10012" t="inlineStr">
        <is>
          <t>FALUN</t>
        </is>
      </c>
      <c r="F10012" t="inlineStr">
        <is>
          <t>Bergvik skog väst AB</t>
        </is>
      </c>
      <c r="G10012" t="n">
        <v>14.6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3880-2025</t>
        </is>
      </c>
      <c r="B10013" s="1" t="n">
        <v>45684.34828703704</v>
      </c>
      <c r="C10013" s="1" t="n">
        <v>46114</v>
      </c>
      <c r="D10013" t="inlineStr">
        <is>
          <t>DALARNAS LÄN</t>
        </is>
      </c>
      <c r="E10013" t="inlineStr">
        <is>
          <t>MALUNG-SÄLEN</t>
        </is>
      </c>
      <c r="G10013" t="n">
        <v>7.1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3131-2025</t>
        </is>
      </c>
      <c r="B10014" s="1" t="n">
        <v>45678</v>
      </c>
      <c r="C10014" s="1" t="n">
        <v>46114</v>
      </c>
      <c r="D10014" t="inlineStr">
        <is>
          <t>DALARNAS LÄN</t>
        </is>
      </c>
      <c r="E10014" t="inlineStr">
        <is>
          <t>FALUN</t>
        </is>
      </c>
      <c r="G10014" t="n">
        <v>4.8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16821-2026</t>
        </is>
      </c>
      <c r="B10015" s="1" t="n">
        <v>46113</v>
      </c>
      <c r="C10015" s="1" t="n">
        <v>46114</v>
      </c>
      <c r="D10015" t="inlineStr">
        <is>
          <t>DALARNAS LÄN</t>
        </is>
      </c>
      <c r="E10015" t="inlineStr">
        <is>
          <t>AVESTA</t>
        </is>
      </c>
      <c r="G10015" t="n">
        <v>6.4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9482-2026</t>
        </is>
      </c>
      <c r="B10016" s="1" t="n">
        <v>46071</v>
      </c>
      <c r="C10016" s="1" t="n">
        <v>46114</v>
      </c>
      <c r="D10016" t="inlineStr">
        <is>
          <t>DALARNAS LÄN</t>
        </is>
      </c>
      <c r="E10016" t="inlineStr">
        <is>
          <t>HEDEMORA</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34497-2023</t>
        </is>
      </c>
      <c r="B10017" s="1" t="n">
        <v>45140</v>
      </c>
      <c r="C10017" s="1" t="n">
        <v>46114</v>
      </c>
      <c r="D10017" t="inlineStr">
        <is>
          <t>DALARNAS LÄN</t>
        </is>
      </c>
      <c r="E10017" t="inlineStr">
        <is>
          <t>SÄTER</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14796-2026</t>
        </is>
      </c>
      <c r="B10018" s="1" t="n">
        <v>46102</v>
      </c>
      <c r="C10018" s="1" t="n">
        <v>46114</v>
      </c>
      <c r="D10018" t="inlineStr">
        <is>
          <t>DALARNAS LÄN</t>
        </is>
      </c>
      <c r="E10018" t="inlineStr">
        <is>
          <t>FALUN</t>
        </is>
      </c>
      <c r="F10018" t="inlineStr">
        <is>
          <t>Bergvik skog väst AB</t>
        </is>
      </c>
      <c r="G10018" t="n">
        <v>12.4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12592-2026</t>
        </is>
      </c>
      <c r="B10019" s="1" t="n">
        <v>46090</v>
      </c>
      <c r="C10019" s="1" t="n">
        <v>46114</v>
      </c>
      <c r="D10019" t="inlineStr">
        <is>
          <t>DALARNAS LÄN</t>
        </is>
      </c>
      <c r="E10019" t="inlineStr">
        <is>
          <t>RÄTTVIK</t>
        </is>
      </c>
      <c r="G10019" t="n">
        <v>1.3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9269-2026</t>
        </is>
      </c>
      <c r="B10020" s="1" t="n">
        <v>46070.55048611111</v>
      </c>
      <c r="C10020" s="1" t="n">
        <v>46114</v>
      </c>
      <c r="D10020" t="inlineStr">
        <is>
          <t>DALARNAS LÄN</t>
        </is>
      </c>
      <c r="E10020" t="inlineStr">
        <is>
          <t>ORSA</t>
        </is>
      </c>
      <c r="G10020" t="n">
        <v>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61680-2024</t>
        </is>
      </c>
      <c r="B10021" s="1" t="n">
        <v>45647.42890046296</v>
      </c>
      <c r="C10021" s="1" t="n">
        <v>46114</v>
      </c>
      <c r="D10021" t="inlineStr">
        <is>
          <t>DALARNAS LÄN</t>
        </is>
      </c>
      <c r="E10021" t="inlineStr">
        <is>
          <t>LEKSAND</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61684-2024</t>
        </is>
      </c>
      <c r="B10022" s="1" t="n">
        <v>45647.56491898148</v>
      </c>
      <c r="C10022" s="1" t="n">
        <v>46114</v>
      </c>
      <c r="D10022" t="inlineStr">
        <is>
          <t>DALARNAS LÄN</t>
        </is>
      </c>
      <c r="E10022" t="inlineStr">
        <is>
          <t>ORSA</t>
        </is>
      </c>
      <c r="G10022" t="n">
        <v>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16825-2026</t>
        </is>
      </c>
      <c r="B10023" s="1" t="n">
        <v>46113</v>
      </c>
      <c r="C10023" s="1" t="n">
        <v>46114</v>
      </c>
      <c r="D10023" t="inlineStr">
        <is>
          <t>DALARNAS LÄN</t>
        </is>
      </c>
      <c r="E10023" t="inlineStr">
        <is>
          <t>AVESTA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8823-2023</t>
        </is>
      </c>
      <c r="B10024" s="1" t="n">
        <v>44978.65341435185</v>
      </c>
      <c r="C10024" s="1" t="n">
        <v>46114</v>
      </c>
      <c r="D10024" t="inlineStr">
        <is>
          <t>DALARNAS LÄN</t>
        </is>
      </c>
      <c r="E10024" t="inlineStr">
        <is>
          <t>FALUN</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16826-2026</t>
        </is>
      </c>
      <c r="B10025" s="1" t="n">
        <v>46113.51873842593</v>
      </c>
      <c r="C10025" s="1" t="n">
        <v>46114</v>
      </c>
      <c r="D10025" t="inlineStr">
        <is>
          <t>DALARNAS LÄN</t>
        </is>
      </c>
      <c r="E10025" t="inlineStr">
        <is>
          <t>SMEDJEBACKEN</t>
        </is>
      </c>
      <c r="G10025" t="n">
        <v>1.1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9198-2026</t>
        </is>
      </c>
      <c r="B10026" s="1" t="n">
        <v>46070</v>
      </c>
      <c r="C10026" s="1" t="n">
        <v>46114</v>
      </c>
      <c r="D10026" t="inlineStr">
        <is>
          <t>DALARNAS LÄN</t>
        </is>
      </c>
      <c r="E10026" t="inlineStr">
        <is>
          <t>FALUN</t>
        </is>
      </c>
      <c r="F10026" t="inlineStr">
        <is>
          <t>Bergvik skog väst AB</t>
        </is>
      </c>
      <c r="G10026" t="n">
        <v>4.8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48288-2023</t>
        </is>
      </c>
      <c r="B10027" s="1" t="n">
        <v>45205.5616087963</v>
      </c>
      <c r="C10027" s="1" t="n">
        <v>46114</v>
      </c>
      <c r="D10027" t="inlineStr">
        <is>
          <t>DALARNAS LÄN</t>
        </is>
      </c>
      <c r="E10027" t="inlineStr">
        <is>
          <t>LUDVIKA</t>
        </is>
      </c>
      <c r="F10027" t="inlineStr">
        <is>
          <t>Bergvik skog väst AB</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11043-2026</t>
        </is>
      </c>
      <c r="B10028" s="1" t="n">
        <v>46079</v>
      </c>
      <c r="C10028" s="1" t="n">
        <v>46114</v>
      </c>
      <c r="D10028" t="inlineStr">
        <is>
          <t>DALARNAS LÄN</t>
        </is>
      </c>
      <c r="E10028" t="inlineStr">
        <is>
          <t>FALUN</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13829-2026</t>
        </is>
      </c>
      <c r="B10029" s="1" t="n">
        <v>46098</v>
      </c>
      <c r="C10029" s="1" t="n">
        <v>46114</v>
      </c>
      <c r="D10029" t="inlineStr">
        <is>
          <t>DALARNAS LÄN</t>
        </is>
      </c>
      <c r="E10029" t="inlineStr">
        <is>
          <t>FALUN</t>
        </is>
      </c>
      <c r="G10029" t="n">
        <v>13.1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13946-2026</t>
        </is>
      </c>
      <c r="B10030" s="1" t="n">
        <v>46098</v>
      </c>
      <c r="C10030" s="1" t="n">
        <v>46114</v>
      </c>
      <c r="D10030" t="inlineStr">
        <is>
          <t>DALARNAS LÄN</t>
        </is>
      </c>
      <c r="E10030" t="inlineStr">
        <is>
          <t>FALUN</t>
        </is>
      </c>
      <c r="F10030" t="inlineStr">
        <is>
          <t>Allmännings- och besparingsskogar</t>
        </is>
      </c>
      <c r="G10030" t="n">
        <v>12.5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15789-2026</t>
        </is>
      </c>
      <c r="B10031" s="1" t="n">
        <v>46107</v>
      </c>
      <c r="C10031" s="1" t="n">
        <v>46114</v>
      </c>
      <c r="D10031" t="inlineStr">
        <is>
          <t>DALARNAS LÄN</t>
        </is>
      </c>
      <c r="E10031" t="inlineStr">
        <is>
          <t>BORLÄNGE</t>
        </is>
      </c>
      <c r="F10031" t="inlineStr">
        <is>
          <t>Bergvik skog väst AB</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16100-2026</t>
        </is>
      </c>
      <c r="B10032" s="1" t="n">
        <v>46107</v>
      </c>
      <c r="C10032" s="1" t="n">
        <v>46114</v>
      </c>
      <c r="D10032" t="inlineStr">
        <is>
          <t>DALARNAS LÄN</t>
        </is>
      </c>
      <c r="E10032" t="inlineStr">
        <is>
          <t>FALUN</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16883-2026</t>
        </is>
      </c>
      <c r="B10033" s="1" t="n">
        <v>46113.60572916667</v>
      </c>
      <c r="C10033" s="1" t="n">
        <v>46114</v>
      </c>
      <c r="D10033" t="inlineStr">
        <is>
          <t>DALARNAS LÄN</t>
        </is>
      </c>
      <c r="E10033" t="inlineStr">
        <is>
          <t>FALUN</t>
        </is>
      </c>
      <c r="F10033" t="inlineStr">
        <is>
          <t>Bergvik skog väst AB</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16517-2026</t>
        </is>
      </c>
      <c r="B10034" s="1" t="n">
        <v>46112.45333333333</v>
      </c>
      <c r="C10034" s="1" t="n">
        <v>46114</v>
      </c>
      <c r="D10034" t="inlineStr">
        <is>
          <t>DALARNAS LÄN</t>
        </is>
      </c>
      <c r="E10034" t="inlineStr">
        <is>
          <t>ÄLVDALEN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9552-2026</t>
        </is>
      </c>
      <c r="B10035" s="1" t="n">
        <v>46071.64008101852</v>
      </c>
      <c r="C10035" s="1" t="n">
        <v>46114</v>
      </c>
      <c r="D10035" t="inlineStr">
        <is>
          <t>DALARNAS LÄN</t>
        </is>
      </c>
      <c r="E10035" t="inlineStr">
        <is>
          <t>RÄTTVIK</t>
        </is>
      </c>
      <c r="F10035" t="inlineStr">
        <is>
          <t>Bergvik skog väst AB</t>
        </is>
      </c>
      <c r="G10035" t="n">
        <v>3.3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9346-2026</t>
        </is>
      </c>
      <c r="B10036" s="1" t="n">
        <v>46070</v>
      </c>
      <c r="C10036" s="1" t="n">
        <v>46114</v>
      </c>
      <c r="D10036" t="inlineStr">
        <is>
          <t>DALARNAS LÄN</t>
        </is>
      </c>
      <c r="E10036" t="inlineStr">
        <is>
          <t>FALUN</t>
        </is>
      </c>
      <c r="F10036" t="inlineStr">
        <is>
          <t>Bergvik skog väst AB</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15227-2026</t>
        </is>
      </c>
      <c r="B10037" s="1" t="n">
        <v>46105</v>
      </c>
      <c r="C10037" s="1" t="n">
        <v>46114</v>
      </c>
      <c r="D10037" t="inlineStr">
        <is>
          <t>DALARNAS LÄN</t>
        </is>
      </c>
      <c r="E10037" t="inlineStr">
        <is>
          <t>FALUN</t>
        </is>
      </c>
      <c r="F10037" t="inlineStr">
        <is>
          <t>Bergvik skog väst AB</t>
        </is>
      </c>
      <c r="G10037" t="n">
        <v>8.699999999999999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9417-2026</t>
        </is>
      </c>
      <c r="B10038" s="1" t="n">
        <v>46071.43306712963</v>
      </c>
      <c r="C10038" s="1" t="n">
        <v>46114</v>
      </c>
      <c r="D10038" t="inlineStr">
        <is>
          <t>DALARNAS LÄN</t>
        </is>
      </c>
      <c r="E10038" t="inlineStr">
        <is>
          <t>VANSBRO</t>
        </is>
      </c>
      <c r="G10038" t="n">
        <v>3.3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16698-2026</t>
        </is>
      </c>
      <c r="B10039" s="1" t="n">
        <v>46113.33006944445</v>
      </c>
      <c r="C10039" s="1" t="n">
        <v>46114</v>
      </c>
      <c r="D10039" t="inlineStr">
        <is>
          <t>DALARNAS LÄN</t>
        </is>
      </c>
      <c r="E10039" t="inlineStr">
        <is>
          <t>SÄTER</t>
        </is>
      </c>
      <c r="G10039" t="n">
        <v>2.4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9170-2026</t>
        </is>
      </c>
      <c r="B10040" s="1" t="n">
        <v>46070.36207175926</v>
      </c>
      <c r="C10040" s="1" t="n">
        <v>46114</v>
      </c>
      <c r="D10040" t="inlineStr">
        <is>
          <t>DALARNAS LÄN</t>
        </is>
      </c>
      <c r="E10040" t="inlineStr">
        <is>
          <t>LEKSAND</t>
        </is>
      </c>
      <c r="G10040" t="n">
        <v>2.9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9203-2026</t>
        </is>
      </c>
      <c r="B10041" s="1" t="n">
        <v>46070.4134837963</v>
      </c>
      <c r="C10041" s="1" t="n">
        <v>46114</v>
      </c>
      <c r="D10041" t="inlineStr">
        <is>
          <t>DALARNAS LÄN</t>
        </is>
      </c>
      <c r="E10041" t="inlineStr">
        <is>
          <t>GAGNEF</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5654-2026</t>
        </is>
      </c>
      <c r="B10042" s="1" t="n">
        <v>46051</v>
      </c>
      <c r="C10042" s="1" t="n">
        <v>46114</v>
      </c>
      <c r="D10042" t="inlineStr">
        <is>
          <t>DALARNAS LÄN</t>
        </is>
      </c>
      <c r="E10042" t="inlineStr">
        <is>
          <t>FALUN</t>
        </is>
      </c>
      <c r="F10042" t="inlineStr">
        <is>
          <t>Kyrkan</t>
        </is>
      </c>
      <c r="G10042" t="n">
        <v>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9421-2026</t>
        </is>
      </c>
      <c r="B10043" s="1" t="n">
        <v>46071</v>
      </c>
      <c r="C10043" s="1" t="n">
        <v>46114</v>
      </c>
      <c r="D10043" t="inlineStr">
        <is>
          <t>DALARNAS LÄN</t>
        </is>
      </c>
      <c r="E10043" t="inlineStr">
        <is>
          <t>MORA</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9427-2026</t>
        </is>
      </c>
      <c r="B10044" s="1" t="n">
        <v>46071.44907407407</v>
      </c>
      <c r="C10044" s="1" t="n">
        <v>46114</v>
      </c>
      <c r="D10044" t="inlineStr">
        <is>
          <t>DALARNAS LÄN</t>
        </is>
      </c>
      <c r="E10044" t="inlineStr">
        <is>
          <t>AVESTA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9429-2026</t>
        </is>
      </c>
      <c r="B10045" s="1" t="n">
        <v>46071</v>
      </c>
      <c r="C10045" s="1" t="n">
        <v>46114</v>
      </c>
      <c r="D10045" t="inlineStr">
        <is>
          <t>DALARNAS LÄN</t>
        </is>
      </c>
      <c r="E10045" t="inlineStr">
        <is>
          <t>FALUN</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9481-2026</t>
        </is>
      </c>
      <c r="B10046" s="1" t="n">
        <v>46071.53571759259</v>
      </c>
      <c r="C10046" s="1" t="n">
        <v>46114</v>
      </c>
      <c r="D10046" t="inlineStr">
        <is>
          <t>DALARNAS LÄN</t>
        </is>
      </c>
      <c r="E10046" t="inlineStr">
        <is>
          <t>BORLÄNGE</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62295-2023</t>
        </is>
      </c>
      <c r="B10047" s="1" t="n">
        <v>45267</v>
      </c>
      <c r="C10047" s="1" t="n">
        <v>46114</v>
      </c>
      <c r="D10047" t="inlineStr">
        <is>
          <t>DALARNAS LÄN</t>
        </is>
      </c>
      <c r="E10047" t="inlineStr">
        <is>
          <t>LEKSAND</t>
        </is>
      </c>
      <c r="G10047" t="n">
        <v>2.5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58420-2024</t>
        </is>
      </c>
      <c r="B10048" s="1" t="n">
        <v>45634.86686342592</v>
      </c>
      <c r="C10048" s="1" t="n">
        <v>46114</v>
      </c>
      <c r="D10048" t="inlineStr">
        <is>
          <t>DALARNAS LÄN</t>
        </is>
      </c>
      <c r="E10048" t="inlineStr">
        <is>
          <t>MALUNG-SÄLEN</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16552-2026</t>
        </is>
      </c>
      <c r="B10049" s="1" t="n">
        <v>46112.54060185186</v>
      </c>
      <c r="C10049" s="1" t="n">
        <v>46114</v>
      </c>
      <c r="D10049" t="inlineStr">
        <is>
          <t>DALARNAS LÄN</t>
        </is>
      </c>
      <c r="E10049" t="inlineStr">
        <is>
          <t>ÄLVDALEN</t>
        </is>
      </c>
      <c r="G10049" t="n">
        <v>17.2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59600-2023</t>
        </is>
      </c>
      <c r="B10050" s="1" t="n">
        <v>45254.62652777778</v>
      </c>
      <c r="C10050" s="1" t="n">
        <v>46114</v>
      </c>
      <c r="D10050" t="inlineStr">
        <is>
          <t>DALARNAS LÄN</t>
        </is>
      </c>
      <c r="E10050" t="inlineStr">
        <is>
          <t>VANSBRO</t>
        </is>
      </c>
      <c r="G10050" t="n">
        <v>5.5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55338-2022</t>
        </is>
      </c>
      <c r="B10051" s="1" t="n">
        <v>44887.45185185185</v>
      </c>
      <c r="C10051" s="1" t="n">
        <v>46114</v>
      </c>
      <c r="D10051" t="inlineStr">
        <is>
          <t>DALARNAS LÄN</t>
        </is>
      </c>
      <c r="E10051" t="inlineStr">
        <is>
          <t>ORSA</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23747-2024</t>
        </is>
      </c>
      <c r="B10052" s="1" t="n">
        <v>45455.32771990741</v>
      </c>
      <c r="C10052" s="1" t="n">
        <v>46114</v>
      </c>
      <c r="D10052" t="inlineStr">
        <is>
          <t>DALARNAS LÄN</t>
        </is>
      </c>
      <c r="E10052" t="inlineStr">
        <is>
          <t>RÄTTVIK</t>
        </is>
      </c>
      <c r="F10052" t="inlineStr">
        <is>
          <t>Allmännings- och besparingsskogar</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16488-2026</t>
        </is>
      </c>
      <c r="B10053" s="1" t="n">
        <v>46112.41454861111</v>
      </c>
      <c r="C10053" s="1" t="n">
        <v>46114</v>
      </c>
      <c r="D10053" t="inlineStr">
        <is>
          <t>DALARNAS LÄN</t>
        </is>
      </c>
      <c r="E10053" t="inlineStr">
        <is>
          <t>ÄLVDALEN</t>
        </is>
      </c>
      <c r="G10053" t="n">
        <v>3.3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16489-2026</t>
        </is>
      </c>
      <c r="B10054" s="1" t="n">
        <v>46112.4153125</v>
      </c>
      <c r="C10054" s="1" t="n">
        <v>46114</v>
      </c>
      <c r="D10054" t="inlineStr">
        <is>
          <t>DALARNAS LÄN</t>
        </is>
      </c>
      <c r="E10054" t="inlineStr">
        <is>
          <t>ÄLVDALEN</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9492-2026</t>
        </is>
      </c>
      <c r="B10055" s="1" t="n">
        <v>46071.55731481482</v>
      </c>
      <c r="C10055" s="1" t="n">
        <v>46114</v>
      </c>
      <c r="D10055" t="inlineStr">
        <is>
          <t>DALARNAS LÄN</t>
        </is>
      </c>
      <c r="E10055" t="inlineStr">
        <is>
          <t>ÄLVDALEN</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9498-2026</t>
        </is>
      </c>
      <c r="B10056" s="1" t="n">
        <v>46071.57155092592</v>
      </c>
      <c r="C10056" s="1" t="n">
        <v>46114</v>
      </c>
      <c r="D10056" t="inlineStr">
        <is>
          <t>DALARNAS LÄN</t>
        </is>
      </c>
      <c r="E10056" t="inlineStr">
        <is>
          <t>ÄLVDALEN</t>
        </is>
      </c>
      <c r="G10056" t="n">
        <v>5.3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4036-2026</t>
        </is>
      </c>
      <c r="B10057" s="1" t="n">
        <v>46044</v>
      </c>
      <c r="C10057" s="1" t="n">
        <v>46114</v>
      </c>
      <c r="D10057" t="inlineStr">
        <is>
          <t>DALARNAS LÄN</t>
        </is>
      </c>
      <c r="E10057" t="inlineStr">
        <is>
          <t>FALUN</t>
        </is>
      </c>
      <c r="F10057" t="inlineStr">
        <is>
          <t>Kyrkan</t>
        </is>
      </c>
      <c r="G10057" t="n">
        <v>18.5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9028-2026</t>
        </is>
      </c>
      <c r="B10058" s="1" t="n">
        <v>46068</v>
      </c>
      <c r="C10058" s="1" t="n">
        <v>46114</v>
      </c>
      <c r="D10058" t="inlineStr">
        <is>
          <t>DALARNAS LÄN</t>
        </is>
      </c>
      <c r="E10058" t="inlineStr">
        <is>
          <t>FALUN</t>
        </is>
      </c>
      <c r="G10058" t="n">
        <v>7.7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11274-2024</t>
        </is>
      </c>
      <c r="B10059" s="1" t="n">
        <v>45371</v>
      </c>
      <c r="C10059" s="1" t="n">
        <v>46114</v>
      </c>
      <c r="D10059" t="inlineStr">
        <is>
          <t>DALARNAS LÄN</t>
        </is>
      </c>
      <c r="E10059" t="inlineStr">
        <is>
          <t>VANSBRO</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9231-2026</t>
        </is>
      </c>
      <c r="B10060" s="1" t="n">
        <v>46070.465</v>
      </c>
      <c r="C10060" s="1" t="n">
        <v>46114</v>
      </c>
      <c r="D10060" t="inlineStr">
        <is>
          <t>DALARNAS LÄN</t>
        </is>
      </c>
      <c r="E10060" t="inlineStr">
        <is>
          <t>FALUN</t>
        </is>
      </c>
      <c r="F10060" t="inlineStr">
        <is>
          <t>Bergvik skog väst AB</t>
        </is>
      </c>
      <c r="G10060" t="n">
        <v>9.800000000000001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16934-2026</t>
        </is>
      </c>
      <c r="B10061" s="1" t="n">
        <v>46113.70584490741</v>
      </c>
      <c r="C10061" s="1" t="n">
        <v>46114</v>
      </c>
      <c r="D10061" t="inlineStr">
        <is>
          <t>DALARNAS LÄN</t>
        </is>
      </c>
      <c r="E10061" t="inlineStr">
        <is>
          <t>FALUN</t>
        </is>
      </c>
      <c r="G10061" t="n">
        <v>2.7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625-2023</t>
        </is>
      </c>
      <c r="B10062" s="1" t="n">
        <v>44930.61575231481</v>
      </c>
      <c r="C10062" s="1" t="n">
        <v>46114</v>
      </c>
      <c r="D10062" t="inlineStr">
        <is>
          <t>DALARNAS LÄN</t>
        </is>
      </c>
      <c r="E10062" t="inlineStr">
        <is>
          <t>VANSBRO</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651-2023</t>
        </is>
      </c>
      <c r="B10063" s="1" t="n">
        <v>44930</v>
      </c>
      <c r="C10063" s="1" t="n">
        <v>46114</v>
      </c>
      <c r="D10063" t="inlineStr">
        <is>
          <t>DALARNAS LÄN</t>
        </is>
      </c>
      <c r="E10063" t="inlineStr">
        <is>
          <t>RÄTTVIK</t>
        </is>
      </c>
      <c r="G10063" t="n">
        <v>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9571-2026</t>
        </is>
      </c>
      <c r="B10064" s="1" t="n">
        <v>46071</v>
      </c>
      <c r="C10064" s="1" t="n">
        <v>46114</v>
      </c>
      <c r="D10064" t="inlineStr">
        <is>
          <t>DALARNAS LÄN</t>
        </is>
      </c>
      <c r="E10064" t="inlineStr">
        <is>
          <t>BORLÄNGE</t>
        </is>
      </c>
      <c r="G10064" t="n">
        <v>1.2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13403-2026</t>
        </is>
      </c>
      <c r="B10065" s="1" t="n">
        <v>46094</v>
      </c>
      <c r="C10065" s="1" t="n">
        <v>46114</v>
      </c>
      <c r="D10065" t="inlineStr">
        <is>
          <t>DALARNAS LÄN</t>
        </is>
      </c>
      <c r="E10065" t="inlineStr">
        <is>
          <t>VANSBRO</t>
        </is>
      </c>
      <c r="F10065" t="inlineStr">
        <is>
          <t>Bergvik skog väst AB</t>
        </is>
      </c>
      <c r="G10065" t="n">
        <v>2.5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30355-2021</t>
        </is>
      </c>
      <c r="B10066" s="1" t="n">
        <v>44364</v>
      </c>
      <c r="C10066" s="1" t="n">
        <v>46114</v>
      </c>
      <c r="D10066" t="inlineStr">
        <is>
          <t>DALARNAS LÄN</t>
        </is>
      </c>
      <c r="E10066" t="inlineStr">
        <is>
          <t>ÄLVDALEN</t>
        </is>
      </c>
      <c r="G10066" t="n">
        <v>2.3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13532-2026</t>
        </is>
      </c>
      <c r="B10067" s="1" t="n">
        <v>46094</v>
      </c>
      <c r="C10067" s="1" t="n">
        <v>46114</v>
      </c>
      <c r="D10067" t="inlineStr">
        <is>
          <t>DALARNAS LÄN</t>
        </is>
      </c>
      <c r="E10067" t="inlineStr">
        <is>
          <t>SÄTER</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13830-2026</t>
        </is>
      </c>
      <c r="B10068" s="1" t="n">
        <v>46098</v>
      </c>
      <c r="C10068" s="1" t="n">
        <v>46114</v>
      </c>
      <c r="D10068" t="inlineStr">
        <is>
          <t>DALARNAS LÄN</t>
        </is>
      </c>
      <c r="E10068" t="inlineStr">
        <is>
          <t>FALUN</t>
        </is>
      </c>
      <c r="F10068" t="inlineStr">
        <is>
          <t>Bergvik skog väst AB</t>
        </is>
      </c>
      <c r="G10068" t="n">
        <v>40.2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13836-2026</t>
        </is>
      </c>
      <c r="B10069" s="1" t="n">
        <v>46098</v>
      </c>
      <c r="C10069" s="1" t="n">
        <v>46114</v>
      </c>
      <c r="D10069" t="inlineStr">
        <is>
          <t>DALARNAS LÄN</t>
        </is>
      </c>
      <c r="E10069" t="inlineStr">
        <is>
          <t>FALUN</t>
        </is>
      </c>
      <c r="F10069" t="inlineStr">
        <is>
          <t>Bergvik skog väst AB</t>
        </is>
      </c>
      <c r="G10069" t="n">
        <v>17.3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11290-2024</t>
        </is>
      </c>
      <c r="B10070" s="1" t="n">
        <v>45371</v>
      </c>
      <c r="C10070" s="1" t="n">
        <v>46114</v>
      </c>
      <c r="D10070" t="inlineStr">
        <is>
          <t>DALARNAS LÄN</t>
        </is>
      </c>
      <c r="E10070" t="inlineStr">
        <is>
          <t>RÄTTVIK</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14940-2026</t>
        </is>
      </c>
      <c r="B10071" s="1" t="n">
        <v>46104</v>
      </c>
      <c r="C10071" s="1" t="n">
        <v>46114</v>
      </c>
      <c r="D10071" t="inlineStr">
        <is>
          <t>DALARNAS LÄN</t>
        </is>
      </c>
      <c r="E10071" t="inlineStr">
        <is>
          <t>RÄTTVIK</t>
        </is>
      </c>
      <c r="F10071" t="inlineStr">
        <is>
          <t>Bergvik skog väst AB</t>
        </is>
      </c>
      <c r="G10071" t="n">
        <v>32.8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47715-2024</t>
        </is>
      </c>
      <c r="B10072" s="1" t="n">
        <v>45588.48271990741</v>
      </c>
      <c r="C10072" s="1" t="n">
        <v>46114</v>
      </c>
      <c r="D10072" t="inlineStr">
        <is>
          <t>DALARNAS LÄN</t>
        </is>
      </c>
      <c r="E10072" t="inlineStr">
        <is>
          <t>FALUN</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47743-2024</t>
        </is>
      </c>
      <c r="B10073" s="1" t="n">
        <v>45588.52550925926</v>
      </c>
      <c r="C10073" s="1" t="n">
        <v>46114</v>
      </c>
      <c r="D10073" t="inlineStr">
        <is>
          <t>DALARNAS LÄN</t>
        </is>
      </c>
      <c r="E10073" t="inlineStr">
        <is>
          <t>ÄLVDALEN</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15173-2025</t>
        </is>
      </c>
      <c r="B10074" s="1" t="n">
        <v>45744.50858796296</v>
      </c>
      <c r="C10074" s="1" t="n">
        <v>46114</v>
      </c>
      <c r="D10074" t="inlineStr">
        <is>
          <t>DALARNAS LÄN</t>
        </is>
      </c>
      <c r="E10074" t="inlineStr">
        <is>
          <t>LEKSAND</t>
        </is>
      </c>
      <c r="G10074" t="n">
        <v>0.3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9337-2026</t>
        </is>
      </c>
      <c r="B10075" s="1" t="n">
        <v>46070.66954861111</v>
      </c>
      <c r="C10075" s="1" t="n">
        <v>46114</v>
      </c>
      <c r="D10075" t="inlineStr">
        <is>
          <t>DALARNAS LÄN</t>
        </is>
      </c>
      <c r="E10075" t="inlineStr">
        <is>
          <t>FALUN</t>
        </is>
      </c>
      <c r="G10075" t="n">
        <v>4.6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9342-2026</t>
        </is>
      </c>
      <c r="B10076" s="1" t="n">
        <v>46070.67762731481</v>
      </c>
      <c r="C10076" s="1" t="n">
        <v>46114</v>
      </c>
      <c r="D10076" t="inlineStr">
        <is>
          <t>DALARNAS LÄN</t>
        </is>
      </c>
      <c r="E10076" t="inlineStr">
        <is>
          <t>FALUN</t>
        </is>
      </c>
      <c r="G10076" t="n">
        <v>4.9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9350-2026</t>
        </is>
      </c>
      <c r="B10077" s="1" t="n">
        <v>46070</v>
      </c>
      <c r="C10077" s="1" t="n">
        <v>46114</v>
      </c>
      <c r="D10077" t="inlineStr">
        <is>
          <t>DALARNAS LÄN</t>
        </is>
      </c>
      <c r="E10077" t="inlineStr">
        <is>
          <t>MORA</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9360-2026</t>
        </is>
      </c>
      <c r="B10078" s="1" t="n">
        <v>46070.72917824074</v>
      </c>
      <c r="C10078" s="1" t="n">
        <v>46114</v>
      </c>
      <c r="D10078" t="inlineStr">
        <is>
          <t>DALARNAS LÄN</t>
        </is>
      </c>
      <c r="E10078" t="inlineStr">
        <is>
          <t>LEKSAND</t>
        </is>
      </c>
      <c r="G10078" t="n">
        <v>2.1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9439-2026</t>
        </is>
      </c>
      <c r="B10079" s="1" t="n">
        <v>46071.4655324074</v>
      </c>
      <c r="C10079" s="1" t="n">
        <v>46114</v>
      </c>
      <c r="D10079" t="inlineStr">
        <is>
          <t>DALARNAS LÄN</t>
        </is>
      </c>
      <c r="E10079" t="inlineStr">
        <is>
          <t>FALUN</t>
        </is>
      </c>
      <c r="F10079" t="inlineStr">
        <is>
          <t>Bergvik skog väst AB</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35943-2023</t>
        </is>
      </c>
      <c r="B10080" s="1" t="n">
        <v>45148</v>
      </c>
      <c r="C10080" s="1" t="n">
        <v>46114</v>
      </c>
      <c r="D10080" t="inlineStr">
        <is>
          <t>DALARNAS LÄN</t>
        </is>
      </c>
      <c r="E10080" t="inlineStr">
        <is>
          <t>FALUN</t>
        </is>
      </c>
      <c r="G10080" t="n">
        <v>0.5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23416-2023</t>
        </is>
      </c>
      <c r="B10081" s="1" t="n">
        <v>45076.51174768519</v>
      </c>
      <c r="C10081" s="1" t="n">
        <v>46114</v>
      </c>
      <c r="D10081" t="inlineStr">
        <is>
          <t>DALARNAS LÄN</t>
        </is>
      </c>
      <c r="E10081" t="inlineStr">
        <is>
          <t>BORLÄNGE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23422-2023</t>
        </is>
      </c>
      <c r="B10082" s="1" t="n">
        <v>45072</v>
      </c>
      <c r="C10082" s="1" t="n">
        <v>46114</v>
      </c>
      <c r="D10082" t="inlineStr">
        <is>
          <t>DALARNAS LÄN</t>
        </is>
      </c>
      <c r="E10082" t="inlineStr">
        <is>
          <t>MALUNG-SÄLEN</t>
        </is>
      </c>
      <c r="G10082" t="n">
        <v>9.4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14807-2026</t>
        </is>
      </c>
      <c r="B10083" s="1" t="n">
        <v>46103.88275462963</v>
      </c>
      <c r="C10083" s="1" t="n">
        <v>46114</v>
      </c>
      <c r="D10083" t="inlineStr">
        <is>
          <t>DALARNAS LÄN</t>
        </is>
      </c>
      <c r="E10083" t="inlineStr">
        <is>
          <t>FALUN</t>
        </is>
      </c>
      <c r="G10083" t="n">
        <v>0.8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36005-2023</t>
        </is>
      </c>
      <c r="B10084" s="1" t="n">
        <v>45148</v>
      </c>
      <c r="C10084" s="1" t="n">
        <v>46114</v>
      </c>
      <c r="D10084" t="inlineStr">
        <is>
          <t>DALARNAS LÄN</t>
        </is>
      </c>
      <c r="E10084" t="inlineStr">
        <is>
          <t>GAGNEF</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12591-2026</t>
        </is>
      </c>
      <c r="B10085" s="1" t="n">
        <v>46090</v>
      </c>
      <c r="C10085" s="1" t="n">
        <v>46114</v>
      </c>
      <c r="D10085" t="inlineStr">
        <is>
          <t>DALARNAS LÄN</t>
        </is>
      </c>
      <c r="E10085" t="inlineStr">
        <is>
          <t>RÄTTVIK</t>
        </is>
      </c>
      <c r="G10085" t="n">
        <v>2.3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15398-2026</t>
        </is>
      </c>
      <c r="B10086" s="1" t="n">
        <v>46106</v>
      </c>
      <c r="C10086" s="1" t="n">
        <v>46114</v>
      </c>
      <c r="D10086" t="inlineStr">
        <is>
          <t>DALARNAS LÄN</t>
        </is>
      </c>
      <c r="E10086" t="inlineStr">
        <is>
          <t>FALUN</t>
        </is>
      </c>
      <c r="G10086" t="n">
        <v>5.2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15402-2026</t>
        </is>
      </c>
      <c r="B10087" s="1" t="n">
        <v>46106</v>
      </c>
      <c r="C10087" s="1" t="n">
        <v>46114</v>
      </c>
      <c r="D10087" t="inlineStr">
        <is>
          <t>DALARNAS LÄN</t>
        </is>
      </c>
      <c r="E10087" t="inlineStr">
        <is>
          <t>FALUN</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6937-2026</t>
        </is>
      </c>
      <c r="B10088" s="1" t="n">
        <v>46057</v>
      </c>
      <c r="C10088" s="1" t="n">
        <v>46114</v>
      </c>
      <c r="D10088" t="inlineStr">
        <is>
          <t>DALARNAS LÄN</t>
        </is>
      </c>
      <c r="E10088" t="inlineStr">
        <is>
          <t>LEKSAND</t>
        </is>
      </c>
      <c r="F10088" t="inlineStr">
        <is>
          <t>Bergvik skog väst AB</t>
        </is>
      </c>
      <c r="G10088" t="n">
        <v>24.2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2838-2022</t>
        </is>
      </c>
      <c r="B10089" s="1" t="n">
        <v>44581</v>
      </c>
      <c r="C10089" s="1" t="n">
        <v>46114</v>
      </c>
      <c r="D10089" t="inlineStr">
        <is>
          <t>DALARNAS LÄN</t>
        </is>
      </c>
      <c r="E10089" t="inlineStr">
        <is>
          <t>LUDVIKA</t>
        </is>
      </c>
      <c r="F10089" t="inlineStr">
        <is>
          <t>Bergvik skog väst AB</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9364-2026</t>
        </is>
      </c>
      <c r="B10090" s="1" t="n">
        <v>46070</v>
      </c>
      <c r="C10090" s="1" t="n">
        <v>46114</v>
      </c>
      <c r="D10090" t="inlineStr">
        <is>
          <t>DALARNAS LÄN</t>
        </is>
      </c>
      <c r="E10090" t="inlineStr">
        <is>
          <t>FALUN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9371-2026</t>
        </is>
      </c>
      <c r="B10091" s="1" t="n">
        <v>46070</v>
      </c>
      <c r="C10091" s="1" t="n">
        <v>46114</v>
      </c>
      <c r="D10091" t="inlineStr">
        <is>
          <t>DALARNAS LÄN</t>
        </is>
      </c>
      <c r="E10091" t="inlineStr">
        <is>
          <t>RÄTTVIK</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15394-2026</t>
        </is>
      </c>
      <c r="B10092" s="1" t="n">
        <v>46106</v>
      </c>
      <c r="C10092" s="1" t="n">
        <v>46114</v>
      </c>
      <c r="D10092" t="inlineStr">
        <is>
          <t>DALARNAS LÄN</t>
        </is>
      </c>
      <c r="E10092" t="inlineStr">
        <is>
          <t>FALUN</t>
        </is>
      </c>
      <c r="G10092" t="n">
        <v>3.4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9251-2026</t>
        </is>
      </c>
      <c r="B10093" s="1" t="n">
        <v>46070.50584490741</v>
      </c>
      <c r="C10093" s="1" t="n">
        <v>46114</v>
      </c>
      <c r="D10093" t="inlineStr">
        <is>
          <t>DALARNAS LÄN</t>
        </is>
      </c>
      <c r="E10093" t="inlineStr">
        <is>
          <t>SMEDJEBACKEN</t>
        </is>
      </c>
      <c r="G10093" t="n">
        <v>1.7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16524-2026</t>
        </is>
      </c>
      <c r="B10094" s="1" t="n">
        <v>46112.46851851852</v>
      </c>
      <c r="C10094" s="1" t="n">
        <v>46114</v>
      </c>
      <c r="D10094" t="inlineStr">
        <is>
          <t>DALARNAS LÄN</t>
        </is>
      </c>
      <c r="E10094" t="inlineStr">
        <is>
          <t>FALUN</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16532-2026</t>
        </is>
      </c>
      <c r="B10095" s="1" t="n">
        <v>46112.4882175926</v>
      </c>
      <c r="C10095" s="1" t="n">
        <v>46114</v>
      </c>
      <c r="D10095" t="inlineStr">
        <is>
          <t>DALARNAS LÄN</t>
        </is>
      </c>
      <c r="E10095" t="inlineStr">
        <is>
          <t>FALUN</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9232-2026</t>
        </is>
      </c>
      <c r="B10096" s="1" t="n">
        <v>46070.46709490741</v>
      </c>
      <c r="C10096" s="1" t="n">
        <v>46114</v>
      </c>
      <c r="D10096" t="inlineStr">
        <is>
          <t>DALARNAS LÄN</t>
        </is>
      </c>
      <c r="E10096" t="inlineStr">
        <is>
          <t>FALUN</t>
        </is>
      </c>
      <c r="F10096" t="inlineStr">
        <is>
          <t>Bergvik skog väst AB</t>
        </is>
      </c>
      <c r="G10096" t="n">
        <v>2.8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9536-2026</t>
        </is>
      </c>
      <c r="B10097" s="1" t="n">
        <v>46071</v>
      </c>
      <c r="C10097" s="1" t="n">
        <v>46114</v>
      </c>
      <c r="D10097" t="inlineStr">
        <is>
          <t>DALARNAS LÄN</t>
        </is>
      </c>
      <c r="E10097" t="inlineStr">
        <is>
          <t>MORA</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9544-2026</t>
        </is>
      </c>
      <c r="B10098" s="1" t="n">
        <v>46071</v>
      </c>
      <c r="C10098" s="1" t="n">
        <v>46114</v>
      </c>
      <c r="D10098" t="inlineStr">
        <is>
          <t>DALARNAS LÄN</t>
        </is>
      </c>
      <c r="E10098" t="inlineStr">
        <is>
          <t>FALUN</t>
        </is>
      </c>
      <c r="F10098" t="inlineStr">
        <is>
          <t>Bergvik skog väst AB</t>
        </is>
      </c>
      <c r="G10098" t="n">
        <v>11.3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15633-2026</t>
        </is>
      </c>
      <c r="B10099" s="1" t="n">
        <v>46106</v>
      </c>
      <c r="C10099" s="1" t="n">
        <v>46114</v>
      </c>
      <c r="D10099" t="inlineStr">
        <is>
          <t>DALARNAS LÄN</t>
        </is>
      </c>
      <c r="E10099" t="inlineStr">
        <is>
          <t>RÄTTVIK</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15637-2026</t>
        </is>
      </c>
      <c r="B10100" s="1" t="n">
        <v>46106</v>
      </c>
      <c r="C10100" s="1" t="n">
        <v>46114</v>
      </c>
      <c r="D10100" t="inlineStr">
        <is>
          <t>DALARNAS LÄN</t>
        </is>
      </c>
      <c r="E10100" t="inlineStr">
        <is>
          <t>FALUN</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16827-2026</t>
        </is>
      </c>
      <c r="B10101" s="1" t="n">
        <v>46113</v>
      </c>
      <c r="C10101" s="1" t="n">
        <v>46114</v>
      </c>
      <c r="D10101" t="inlineStr">
        <is>
          <t>DALARNAS LÄN</t>
        </is>
      </c>
      <c r="E10101" t="inlineStr">
        <is>
          <t>AVESTA</t>
        </is>
      </c>
      <c r="G10101" t="n">
        <v>5.7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16846-2026</t>
        </is>
      </c>
      <c r="B10102" s="1" t="n">
        <v>46113</v>
      </c>
      <c r="C10102" s="1" t="n">
        <v>46114</v>
      </c>
      <c r="D10102" t="inlineStr">
        <is>
          <t>DALARNAS LÄN</t>
        </is>
      </c>
      <c r="E10102" t="inlineStr">
        <is>
          <t>FALUN</t>
        </is>
      </c>
      <c r="G10102" t="n">
        <v>4.2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55599-2023</t>
        </is>
      </c>
      <c r="B10103" s="1" t="n">
        <v>45238.69153935185</v>
      </c>
      <c r="C10103" s="1" t="n">
        <v>46114</v>
      </c>
      <c r="D10103" t="inlineStr">
        <is>
          <t>DALARNAS LÄN</t>
        </is>
      </c>
      <c r="E10103" t="inlineStr">
        <is>
          <t>MALUNG-SÄLEN</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16861-2026</t>
        </is>
      </c>
      <c r="B10104" s="1" t="n">
        <v>46113.57138888889</v>
      </c>
      <c r="C10104" s="1" t="n">
        <v>46114</v>
      </c>
      <c r="D10104" t="inlineStr">
        <is>
          <t>DALARNAS LÄN</t>
        </is>
      </c>
      <c r="E10104" t="inlineStr">
        <is>
          <t>LEKSAND</t>
        </is>
      </c>
      <c r="G10104" t="n">
        <v>18.9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16907-2026</t>
        </is>
      </c>
      <c r="B10105" s="1" t="n">
        <v>46113.63842592593</v>
      </c>
      <c r="C10105" s="1" t="n">
        <v>46114</v>
      </c>
      <c r="D10105" t="inlineStr">
        <is>
          <t>DALARNAS LÄN</t>
        </is>
      </c>
      <c r="E10105" t="inlineStr">
        <is>
          <t>ORSA</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9587-2026</t>
        </is>
      </c>
      <c r="B10106" s="1" t="n">
        <v>46071</v>
      </c>
      <c r="C10106" s="1" t="n">
        <v>46114</v>
      </c>
      <c r="D10106" t="inlineStr">
        <is>
          <t>DALARNAS LÄN</t>
        </is>
      </c>
      <c r="E10106" t="inlineStr">
        <is>
          <t>FALUN</t>
        </is>
      </c>
      <c r="F10106" t="inlineStr">
        <is>
          <t>Bergvik skog väst AB</t>
        </is>
      </c>
      <c r="G10106" t="n">
        <v>4.7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12827-2026</t>
        </is>
      </c>
      <c r="B10107" s="1" t="n">
        <v>46092</v>
      </c>
      <c r="C10107" s="1" t="n">
        <v>46114</v>
      </c>
      <c r="D10107" t="inlineStr">
        <is>
          <t>DALARNAS LÄN</t>
        </is>
      </c>
      <c r="E10107" t="inlineStr">
        <is>
          <t>MALUNG-SÄLEN</t>
        </is>
      </c>
      <c r="G10107" t="n">
        <v>6.7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36614-2023</t>
        </is>
      </c>
      <c r="B10108" s="1" t="n">
        <v>45153</v>
      </c>
      <c r="C10108" s="1" t="n">
        <v>46114</v>
      </c>
      <c r="D10108" t="inlineStr">
        <is>
          <t>DALARNAS LÄN</t>
        </is>
      </c>
      <c r="E10108" t="inlineStr">
        <is>
          <t>SMEDJEBACKEN</t>
        </is>
      </c>
      <c r="G10108" t="n">
        <v>8</v>
      </c>
      <c r="H10108" t="n">
        <v>0</v>
      </c>
      <c r="I10108" t="n">
        <v>0</v>
      </c>
      <c r="J10108" t="n">
        <v>0</v>
      </c>
      <c r="K10108" t="n">
        <v>0</v>
      </c>
      <c r="L10108" t="n">
        <v>0</v>
      </c>
      <c r="M10108" t="n">
        <v>0</v>
      </c>
      <c r="N10108" t="n">
        <v>0</v>
      </c>
      <c r="O10108" t="n">
        <v>0</v>
      </c>
      <c r="P10108" t="n">
        <v>0</v>
      </c>
      <c r="Q10108" t="n">
        <v>0</v>
      </c>
      <c r="R10108" s="2" t="inlineStr"/>
      <c r="U10108">
        <f>HYPERLINK("https://klasma.github.io/Logging_2061/knärot/A 36614-2023 karta knärot.png", "A 36614-2023")</f>
        <v/>
      </c>
      <c r="V10108">
        <f>HYPERLINK("https://klasma.github.io/Logging_2061/klagomål/A 36614-2023 FSC-klagomål.docx", "A 36614-2023")</f>
        <v/>
      </c>
      <c r="W10108">
        <f>HYPERLINK("https://klasma.github.io/Logging_2061/klagomålsmail/A 36614-2023 FSC-klagomål mail.docx", "A 36614-2023")</f>
        <v/>
      </c>
      <c r="X10108">
        <f>HYPERLINK("https://klasma.github.io/Logging_2061/tillsyn/A 36614-2023 tillsynsbegäran.docx", "A 36614-2023")</f>
        <v/>
      </c>
      <c r="Y10108">
        <f>HYPERLINK("https://klasma.github.io/Logging_2061/tillsynsmail/A 36614-2023 tillsynsbegäran mail.docx", "A 36614-2023")</f>
        <v/>
      </c>
    </row>
    <row r="10109" ht="15" customHeight="1">
      <c r="A10109" t="inlineStr">
        <is>
          <t>A 65967-2021</t>
        </is>
      </c>
      <c r="B10109" s="1" t="n">
        <v>44517.52438657408</v>
      </c>
      <c r="C10109" s="1" t="n">
        <v>46114</v>
      </c>
      <c r="D10109" t="inlineStr">
        <is>
          <t>DALARNAS LÄN</t>
        </is>
      </c>
      <c r="E10109" t="inlineStr">
        <is>
          <t>RÄTTVIK</t>
        </is>
      </c>
      <c r="G10109" t="n">
        <v>4.7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13514-2026</t>
        </is>
      </c>
      <c r="B10110" s="1" t="n">
        <v>46094</v>
      </c>
      <c r="C10110" s="1" t="n">
        <v>46114</v>
      </c>
      <c r="D10110" t="inlineStr">
        <is>
          <t>DALARNAS LÄN</t>
        </is>
      </c>
      <c r="E10110" t="inlineStr">
        <is>
          <t>FALUN</t>
        </is>
      </c>
      <c r="F10110" t="inlineStr">
        <is>
          <t>Bergvik skog väst AB</t>
        </is>
      </c>
      <c r="G10110" t="n">
        <v>17.2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14780-2026</t>
        </is>
      </c>
      <c r="B10111" s="1" t="n">
        <v>46101</v>
      </c>
      <c r="C10111" s="1" t="n">
        <v>46114</v>
      </c>
      <c r="D10111" t="inlineStr">
        <is>
          <t>DALARNAS LÄN</t>
        </is>
      </c>
      <c r="E10111" t="inlineStr">
        <is>
          <t>FALUN</t>
        </is>
      </c>
      <c r="F10111" t="inlineStr">
        <is>
          <t>Allmännings- och besparingsskogar</t>
        </is>
      </c>
      <c r="G10111" t="n">
        <v>15.9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18497-2024</t>
        </is>
      </c>
      <c r="B10112" s="1" t="n">
        <v>45425.56932870371</v>
      </c>
      <c r="C10112" s="1" t="n">
        <v>46114</v>
      </c>
      <c r="D10112" t="inlineStr">
        <is>
          <t>DALARNAS LÄN</t>
        </is>
      </c>
      <c r="E10112" t="inlineStr">
        <is>
          <t>VANSBRO</t>
        </is>
      </c>
      <c r="F10112" t="inlineStr">
        <is>
          <t>Bergvik skog väst AB</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14794-2026</t>
        </is>
      </c>
      <c r="B10113" s="1" t="n">
        <v>46101</v>
      </c>
      <c r="C10113" s="1" t="n">
        <v>46114</v>
      </c>
      <c r="D10113" t="inlineStr">
        <is>
          <t>DALARNAS LÄN</t>
        </is>
      </c>
      <c r="E10113" t="inlineStr">
        <is>
          <t>LEKSAND</t>
        </is>
      </c>
      <c r="G10113" t="n">
        <v>0.5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16546-2026</t>
        </is>
      </c>
      <c r="B10114" s="1" t="n">
        <v>46112.51039351852</v>
      </c>
      <c r="C10114" s="1" t="n">
        <v>46114</v>
      </c>
      <c r="D10114" t="inlineStr">
        <is>
          <t>DALARNAS LÄN</t>
        </is>
      </c>
      <c r="E10114" t="inlineStr">
        <is>
          <t>FALUN</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16548-2026</t>
        </is>
      </c>
      <c r="B10115" s="1" t="n">
        <v>46112.51292824074</v>
      </c>
      <c r="C10115" s="1" t="n">
        <v>46114</v>
      </c>
      <c r="D10115" t="inlineStr">
        <is>
          <t>DALARNAS LÄN</t>
        </is>
      </c>
      <c r="E10115" t="inlineStr">
        <is>
          <t>FALUN</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61054-2023</t>
        </is>
      </c>
      <c r="B10116" s="1" t="n">
        <v>45261</v>
      </c>
      <c r="C10116" s="1" t="n">
        <v>46114</v>
      </c>
      <c r="D10116" t="inlineStr">
        <is>
          <t>DALARNAS LÄN</t>
        </is>
      </c>
      <c r="E10116" t="inlineStr">
        <is>
          <t>LEKSAND</t>
        </is>
      </c>
      <c r="G10116" t="n">
        <v>0.4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61056-2023</t>
        </is>
      </c>
      <c r="B10117" s="1" t="n">
        <v>45261</v>
      </c>
      <c r="C10117" s="1" t="n">
        <v>46114</v>
      </c>
      <c r="D10117" t="inlineStr">
        <is>
          <t>DALARNAS LÄN</t>
        </is>
      </c>
      <c r="E10117" t="inlineStr">
        <is>
          <t>LEKSAND</t>
        </is>
      </c>
      <c r="G10117" t="n">
        <v>0.3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34630-2023</t>
        </is>
      </c>
      <c r="B10118" s="1" t="n">
        <v>45139</v>
      </c>
      <c r="C10118" s="1" t="n">
        <v>46114</v>
      </c>
      <c r="D10118" t="inlineStr">
        <is>
          <t>DALARNAS LÄN</t>
        </is>
      </c>
      <c r="E10118" t="inlineStr">
        <is>
          <t>RÄTTVIK</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6072-2026</t>
        </is>
      </c>
      <c r="B10119" s="1" t="n">
        <v>46052</v>
      </c>
      <c r="C10119" s="1" t="n">
        <v>46114</v>
      </c>
      <c r="D10119" t="inlineStr">
        <is>
          <t>DALARNAS LÄN</t>
        </is>
      </c>
      <c r="E10119" t="inlineStr">
        <is>
          <t>GAGNEF</t>
        </is>
      </c>
      <c r="G10119" t="n">
        <v>7.4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16486-2026</t>
        </is>
      </c>
      <c r="B10120" s="1" t="n">
        <v>46112.41054398148</v>
      </c>
      <c r="C10120" s="1" t="n">
        <v>46114</v>
      </c>
      <c r="D10120" t="inlineStr">
        <is>
          <t>DALARNAS LÄN</t>
        </is>
      </c>
      <c r="E10120" t="inlineStr">
        <is>
          <t>RÄTTVIK</t>
        </is>
      </c>
      <c r="F10120" t="inlineStr">
        <is>
          <t>Bergvik skog väst AB</t>
        </is>
      </c>
      <c r="G10120" t="n">
        <v>3.5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39897-2022</t>
        </is>
      </c>
      <c r="B10121" s="1" t="n">
        <v>44819.66083333334</v>
      </c>
      <c r="C10121" s="1" t="n">
        <v>46114</v>
      </c>
      <c r="D10121" t="inlineStr">
        <is>
          <t>DALARNAS LÄN</t>
        </is>
      </c>
      <c r="E10121" t="inlineStr">
        <is>
          <t>MORA</t>
        </is>
      </c>
      <c r="G10121" t="n">
        <v>15.8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51029-2024</t>
        </is>
      </c>
      <c r="B10122" s="1" t="n">
        <v>45603.42096064815</v>
      </c>
      <c r="C10122" s="1" t="n">
        <v>46114</v>
      </c>
      <c r="D10122" t="inlineStr">
        <is>
          <t>DALARNAS LÄN</t>
        </is>
      </c>
      <c r="E10122" t="inlineStr">
        <is>
          <t>LUDVIKA</t>
        </is>
      </c>
      <c r="F10122" t="inlineStr">
        <is>
          <t>Bergvik skog väst AB</t>
        </is>
      </c>
      <c r="G10122" t="n">
        <v>3.4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68085-2021</t>
        </is>
      </c>
      <c r="B10123" s="1" t="n">
        <v>44526.3409375</v>
      </c>
      <c r="C10123" s="1" t="n">
        <v>46114</v>
      </c>
      <c r="D10123" t="inlineStr">
        <is>
          <t>DALARNAS LÄN</t>
        </is>
      </c>
      <c r="E10123" t="inlineStr">
        <is>
          <t>BORLÄNGE</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14453-2026</t>
        </is>
      </c>
      <c r="B10124" s="1" t="n">
        <v>46100</v>
      </c>
      <c r="C10124" s="1" t="n">
        <v>46114</v>
      </c>
      <c r="D10124" t="inlineStr">
        <is>
          <t>DALARNAS LÄN</t>
        </is>
      </c>
      <c r="E10124" t="inlineStr">
        <is>
          <t>RÄTTVIK</t>
        </is>
      </c>
      <c r="F10124" t="inlineStr">
        <is>
          <t>Bergvik skog väst AB</t>
        </is>
      </c>
      <c r="G10124" t="n">
        <v>2.9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16649-2026</t>
        </is>
      </c>
      <c r="B10125" s="1" t="n">
        <v>46112.64055555555</v>
      </c>
      <c r="C10125" s="1" t="n">
        <v>46114</v>
      </c>
      <c r="D10125" t="inlineStr">
        <is>
          <t>DALARNAS LÄN</t>
        </is>
      </c>
      <c r="E10125" t="inlineStr">
        <is>
          <t>RÄTTVIK</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9549-2026</t>
        </is>
      </c>
      <c r="B10126" s="1" t="n">
        <v>46070</v>
      </c>
      <c r="C10126" s="1" t="n">
        <v>46114</v>
      </c>
      <c r="D10126" t="inlineStr">
        <is>
          <t>DALARNAS LÄN</t>
        </is>
      </c>
      <c r="E10126" t="inlineStr">
        <is>
          <t>HEDEMORA</t>
        </is>
      </c>
      <c r="G10126" t="n">
        <v>4.2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37762-2024</t>
        </is>
      </c>
      <c r="B10127" s="1" t="n">
        <v>45541.79369212963</v>
      </c>
      <c r="C10127" s="1" t="n">
        <v>46114</v>
      </c>
      <c r="D10127" t="inlineStr">
        <is>
          <t>DALARNAS LÄN</t>
        </is>
      </c>
      <c r="E10127" t="inlineStr">
        <is>
          <t>HEDEMORA</t>
        </is>
      </c>
      <c r="F10127" t="inlineStr">
        <is>
          <t>Sveaskog</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18308-2025</t>
        </is>
      </c>
      <c r="B10128" s="1" t="n">
        <v>45762</v>
      </c>
      <c r="C10128" s="1" t="n">
        <v>46114</v>
      </c>
      <c r="D10128" t="inlineStr">
        <is>
          <t>DALARNAS LÄN</t>
        </is>
      </c>
      <c r="E10128" t="inlineStr">
        <is>
          <t>FALUN</t>
        </is>
      </c>
      <c r="F10128" t="inlineStr">
        <is>
          <t>Bergvik skog väst AB</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55390-2022</t>
        </is>
      </c>
      <c r="B10129" s="1" t="n">
        <v>44887.56288194445</v>
      </c>
      <c r="C10129" s="1" t="n">
        <v>46114</v>
      </c>
      <c r="D10129" t="inlineStr">
        <is>
          <t>DALARNAS LÄN</t>
        </is>
      </c>
      <c r="E10129" t="inlineStr">
        <is>
          <t>FALUN</t>
        </is>
      </c>
      <c r="G10129" t="n">
        <v>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9466-2026</t>
        </is>
      </c>
      <c r="B10130" s="1" t="n">
        <v>46071</v>
      </c>
      <c r="C10130" s="1" t="n">
        <v>46114</v>
      </c>
      <c r="D10130" t="inlineStr">
        <is>
          <t>DALARNAS LÄN</t>
        </is>
      </c>
      <c r="E10130" t="inlineStr">
        <is>
          <t>FALUN</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14144-2026</t>
        </is>
      </c>
      <c r="B10131" s="1" t="n">
        <v>46099</v>
      </c>
      <c r="C10131" s="1" t="n">
        <v>46114</v>
      </c>
      <c r="D10131" t="inlineStr">
        <is>
          <t>DALARNAS LÄN</t>
        </is>
      </c>
      <c r="E10131" t="inlineStr">
        <is>
          <t>FALUN</t>
        </is>
      </c>
      <c r="G10131" t="n">
        <v>7.5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62853-2023</t>
        </is>
      </c>
      <c r="B10132" s="1" t="n">
        <v>45272</v>
      </c>
      <c r="C10132" s="1" t="n">
        <v>46114</v>
      </c>
      <c r="D10132" t="inlineStr">
        <is>
          <t>DALARNAS LÄN</t>
        </is>
      </c>
      <c r="E10132" t="inlineStr">
        <is>
          <t>MORA</t>
        </is>
      </c>
      <c r="G10132" t="n">
        <v>13.6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14700-2025</t>
        </is>
      </c>
      <c r="B10133" s="1" t="n">
        <v>45742.60196759259</v>
      </c>
      <c r="C10133" s="1" t="n">
        <v>46114</v>
      </c>
      <c r="D10133" t="inlineStr">
        <is>
          <t>DALARNAS LÄN</t>
        </is>
      </c>
      <c r="E10133" t="inlineStr">
        <is>
          <t>RÄTTVIK</t>
        </is>
      </c>
      <c r="G10133" t="n">
        <v>3.6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16715-2026</t>
        </is>
      </c>
      <c r="B10134" s="1" t="n">
        <v>46113.34630787037</v>
      </c>
      <c r="C10134" s="1" t="n">
        <v>46114</v>
      </c>
      <c r="D10134" t="inlineStr">
        <is>
          <t>DALARNAS LÄN</t>
        </is>
      </c>
      <c r="E10134" t="inlineStr">
        <is>
          <t>RÄTTVIK</t>
        </is>
      </c>
      <c r="F10134" t="inlineStr">
        <is>
          <t>Bergvik skog väst AB</t>
        </is>
      </c>
      <c r="G10134" t="n">
        <v>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16718-2026</t>
        </is>
      </c>
      <c r="B10135" s="1" t="n">
        <v>46113.35163194445</v>
      </c>
      <c r="C10135" s="1" t="n">
        <v>46114</v>
      </c>
      <c r="D10135" t="inlineStr">
        <is>
          <t>DALARNAS LÄN</t>
        </is>
      </c>
      <c r="E10135" t="inlineStr">
        <is>
          <t>RÄTTVIK</t>
        </is>
      </c>
      <c r="F10135" t="inlineStr">
        <is>
          <t>Bergvik skog väst AB</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16789-2026</t>
        </is>
      </c>
      <c r="B10136" s="1" t="n">
        <v>46113.46158564815</v>
      </c>
      <c r="C10136" s="1" t="n">
        <v>46114</v>
      </c>
      <c r="D10136" t="inlineStr">
        <is>
          <t>DALARNAS LÄN</t>
        </is>
      </c>
      <c r="E10136" t="inlineStr">
        <is>
          <t>FALUN</t>
        </is>
      </c>
      <c r="F10136" t="inlineStr">
        <is>
          <t>Bergvik skog väst AB</t>
        </is>
      </c>
      <c r="G10136" t="n">
        <v>12.7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14188-2026</t>
        </is>
      </c>
      <c r="B10137" s="1" t="n">
        <v>46099</v>
      </c>
      <c r="C10137" s="1" t="n">
        <v>46114</v>
      </c>
      <c r="D10137" t="inlineStr">
        <is>
          <t>DALARNAS LÄN</t>
        </is>
      </c>
      <c r="E10137" t="inlineStr">
        <is>
          <t>FALUN</t>
        </is>
      </c>
      <c r="F10137" t="inlineStr">
        <is>
          <t>Bergvik skog väst AB</t>
        </is>
      </c>
      <c r="G10137" t="n">
        <v>3.9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13186-2022</t>
        </is>
      </c>
      <c r="B10138" s="1" t="n">
        <v>44644</v>
      </c>
      <c r="C10138" s="1" t="n">
        <v>46114</v>
      </c>
      <c r="D10138" t="inlineStr">
        <is>
          <t>DALARNAS LÄN</t>
        </is>
      </c>
      <c r="E10138" t="inlineStr">
        <is>
          <t>FALUN</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16420-2026</t>
        </is>
      </c>
      <c r="B10139" s="1" t="n">
        <v>46111</v>
      </c>
      <c r="C10139" s="1" t="n">
        <v>46114</v>
      </c>
      <c r="D10139" t="inlineStr">
        <is>
          <t>DALARNAS LÄN</t>
        </is>
      </c>
      <c r="E10139" t="inlineStr">
        <is>
          <t>BORLÄNGE</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16748-2026</t>
        </is>
      </c>
      <c r="B10140" s="1" t="n">
        <v>46113.38866898148</v>
      </c>
      <c r="C10140" s="1" t="n">
        <v>46114</v>
      </c>
      <c r="D10140" t="inlineStr">
        <is>
          <t>DALARNAS LÄN</t>
        </is>
      </c>
      <c r="E10140" t="inlineStr">
        <is>
          <t>LUDVIKA</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16809-2026</t>
        </is>
      </c>
      <c r="B10141" s="1" t="n">
        <v>46113.49240740741</v>
      </c>
      <c r="C10141" s="1" t="n">
        <v>46114</v>
      </c>
      <c r="D10141" t="inlineStr">
        <is>
          <t>DALARNAS LÄN</t>
        </is>
      </c>
      <c r="E10141" t="inlineStr">
        <is>
          <t>RÄTTVIK</t>
        </is>
      </c>
      <c r="F10141" t="inlineStr">
        <is>
          <t>Bergvik skog väst AB</t>
        </is>
      </c>
      <c r="G10141" t="n">
        <v>3.5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15642-2026</t>
        </is>
      </c>
      <c r="B10142" s="1" t="n">
        <v>46106</v>
      </c>
      <c r="C10142" s="1" t="n">
        <v>46114</v>
      </c>
      <c r="D10142" t="inlineStr">
        <is>
          <t>DALARNAS LÄN</t>
        </is>
      </c>
      <c r="E10142" t="inlineStr">
        <is>
          <t>FALUN</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9686-2026</t>
        </is>
      </c>
      <c r="B10143" s="1" t="n">
        <v>46071</v>
      </c>
      <c r="C10143" s="1" t="n">
        <v>46114</v>
      </c>
      <c r="D10143" t="inlineStr">
        <is>
          <t>DALARNAS LÄN</t>
        </is>
      </c>
      <c r="E10143" t="inlineStr">
        <is>
          <t>FALUN</t>
        </is>
      </c>
      <c r="G10143" t="n">
        <v>2.9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16933-2026</t>
        </is>
      </c>
      <c r="B10144" s="1" t="n">
        <v>46113.70055555556</v>
      </c>
      <c r="C10144" s="1" t="n">
        <v>46114</v>
      </c>
      <c r="D10144" t="inlineStr">
        <is>
          <t>DALARNAS LÄN</t>
        </is>
      </c>
      <c r="E10144" t="inlineStr">
        <is>
          <t>FALUN</t>
        </is>
      </c>
      <c r="G10144" t="n">
        <v>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13392-2026</t>
        </is>
      </c>
      <c r="B10145" s="1" t="n">
        <v>46094</v>
      </c>
      <c r="C10145" s="1" t="n">
        <v>46114</v>
      </c>
      <c r="D10145" t="inlineStr">
        <is>
          <t>DALARNAS LÄN</t>
        </is>
      </c>
      <c r="E10145" t="inlineStr">
        <is>
          <t>VANSBRO</t>
        </is>
      </c>
      <c r="F10145" t="inlineStr">
        <is>
          <t>Bergvik skog väst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9285-2026</t>
        </is>
      </c>
      <c r="B10146" s="1" t="n">
        <v>46070.58225694444</v>
      </c>
      <c r="C10146" s="1" t="n">
        <v>46114</v>
      </c>
      <c r="D10146" t="inlineStr">
        <is>
          <t>DALARNAS LÄN</t>
        </is>
      </c>
      <c r="E10146" t="inlineStr">
        <is>
          <t>RÄTTVIK</t>
        </is>
      </c>
      <c r="F10146" t="inlineStr">
        <is>
          <t>Bergvik skog väst AB</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9322-2026</t>
        </is>
      </c>
      <c r="B10147" s="1" t="n">
        <v>46070</v>
      </c>
      <c r="C10147" s="1" t="n">
        <v>46114</v>
      </c>
      <c r="D10147" t="inlineStr">
        <is>
          <t>DALARNAS LÄN</t>
        </is>
      </c>
      <c r="E10147" t="inlineStr">
        <is>
          <t>RÄTTVIK</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9366-2026</t>
        </is>
      </c>
      <c r="B10148" s="1" t="n">
        <v>46070</v>
      </c>
      <c r="C10148" s="1" t="n">
        <v>46114</v>
      </c>
      <c r="D10148" t="inlineStr">
        <is>
          <t>DALARNAS LÄN</t>
        </is>
      </c>
      <c r="E10148" t="inlineStr">
        <is>
          <t>FALUN</t>
        </is>
      </c>
      <c r="G10148" t="n">
        <v>2.6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9372-2026</t>
        </is>
      </c>
      <c r="B10149" s="1" t="n">
        <v>46070.81976851852</v>
      </c>
      <c r="C10149" s="1" t="n">
        <v>46114</v>
      </c>
      <c r="D10149" t="inlineStr">
        <is>
          <t>DALARNAS LÄN</t>
        </is>
      </c>
      <c r="E10149" t="inlineStr">
        <is>
          <t>RÄTTVIK</t>
        </is>
      </c>
      <c r="G10149" t="n">
        <v>0.8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9607-2026</t>
        </is>
      </c>
      <c r="B10150" s="1" t="n">
        <v>46071</v>
      </c>
      <c r="C10150" s="1" t="n">
        <v>46114</v>
      </c>
      <c r="D10150" t="inlineStr">
        <is>
          <t>DALARNAS LÄN</t>
        </is>
      </c>
      <c r="E10150" t="inlineStr">
        <is>
          <t>RÄTTVIK</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41368-2023</t>
        </is>
      </c>
      <c r="B10151" s="1" t="n">
        <v>45174</v>
      </c>
      <c r="C10151" s="1" t="n">
        <v>46114</v>
      </c>
      <c r="D10151" t="inlineStr">
        <is>
          <t>DALARNAS LÄN</t>
        </is>
      </c>
      <c r="E10151" t="inlineStr">
        <is>
          <t>GAGNEF</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53408-2023</t>
        </is>
      </c>
      <c r="B10152" s="1" t="n">
        <v>45229</v>
      </c>
      <c r="C10152" s="1" t="n">
        <v>46114</v>
      </c>
      <c r="D10152" t="inlineStr">
        <is>
          <t>DALARNAS LÄN</t>
        </is>
      </c>
      <c r="E10152" t="inlineStr">
        <is>
          <t>ÄLVDALEN</t>
        </is>
      </c>
      <c r="G10152" t="n">
        <v>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27343-2024</t>
        </is>
      </c>
      <c r="B10153" s="1" t="n">
        <v>45473.49309027778</v>
      </c>
      <c r="C10153" s="1" t="n">
        <v>46114</v>
      </c>
      <c r="D10153" t="inlineStr">
        <is>
          <t>DALARNAS LÄN</t>
        </is>
      </c>
      <c r="E10153" t="inlineStr">
        <is>
          <t>AVESTA</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17336-2025</t>
        </is>
      </c>
      <c r="B10154" s="1" t="n">
        <v>45756.65042824074</v>
      </c>
      <c r="C10154" s="1" t="n">
        <v>46114</v>
      </c>
      <c r="D10154" t="inlineStr">
        <is>
          <t>DALARNAS LÄN</t>
        </is>
      </c>
      <c r="E10154" t="inlineStr">
        <is>
          <t>FALUN</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6846-2023</t>
        </is>
      </c>
      <c r="B10155" s="1" t="n">
        <v>44967.43953703704</v>
      </c>
      <c r="C10155" s="1" t="n">
        <v>46114</v>
      </c>
      <c r="D10155" t="inlineStr">
        <is>
          <t>DALARNAS LÄN</t>
        </is>
      </c>
      <c r="E10155" t="inlineStr">
        <is>
          <t>LEKSAND</t>
        </is>
      </c>
      <c r="F10155" t="inlineStr">
        <is>
          <t>Bergvik skog väst AB</t>
        </is>
      </c>
      <c r="G10155" t="n">
        <v>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11919-2024</t>
        </is>
      </c>
      <c r="B10156" s="1" t="n">
        <v>45376.61019675926</v>
      </c>
      <c r="C10156" s="1" t="n">
        <v>46114</v>
      </c>
      <c r="D10156" t="inlineStr">
        <is>
          <t>DALARNAS LÄN</t>
        </is>
      </c>
      <c r="E10156" t="inlineStr">
        <is>
          <t>MORA</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56986-2023</t>
        </is>
      </c>
      <c r="B10157" s="1" t="n">
        <v>45244</v>
      </c>
      <c r="C10157" s="1" t="n">
        <v>46114</v>
      </c>
      <c r="D10157" t="inlineStr">
        <is>
          <t>DALARNAS LÄN</t>
        </is>
      </c>
      <c r="E10157" t="inlineStr">
        <is>
          <t>VANSBRO</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53864-2023</t>
        </is>
      </c>
      <c r="B10158" s="1" t="n">
        <v>45231.47888888889</v>
      </c>
      <c r="C10158" s="1" t="n">
        <v>46114</v>
      </c>
      <c r="D10158" t="inlineStr">
        <is>
          <t>DALARNAS LÄN</t>
        </is>
      </c>
      <c r="E10158" t="inlineStr">
        <is>
          <t>FALUN</t>
        </is>
      </c>
      <c r="G10158" t="n">
        <v>2.2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53874-2023</t>
        </is>
      </c>
      <c r="B10159" s="1" t="n">
        <v>45231.4996875</v>
      </c>
      <c r="C10159" s="1" t="n">
        <v>46114</v>
      </c>
      <c r="D10159" t="inlineStr">
        <is>
          <t>DALARNAS LÄN</t>
        </is>
      </c>
      <c r="E10159" t="inlineStr">
        <is>
          <t>RÄTTVIK</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53876-2023</t>
        </is>
      </c>
      <c r="B10160" s="1" t="n">
        <v>45231</v>
      </c>
      <c r="C10160" s="1" t="n">
        <v>46114</v>
      </c>
      <c r="D10160" t="inlineStr">
        <is>
          <t>DALARNAS LÄN</t>
        </is>
      </c>
      <c r="E10160" t="inlineStr">
        <is>
          <t>RÄTTVIK</t>
        </is>
      </c>
      <c r="G10160" t="n">
        <v>6.7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40125-2024</t>
        </is>
      </c>
      <c r="B10161" s="1" t="n">
        <v>45554.46881944445</v>
      </c>
      <c r="C10161" s="1" t="n">
        <v>46114</v>
      </c>
      <c r="D10161" t="inlineStr">
        <is>
          <t>DALARNAS LÄN</t>
        </is>
      </c>
      <c r="E10161" t="inlineStr">
        <is>
          <t>LUDVIKA</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17413-2023</t>
        </is>
      </c>
      <c r="B10162" s="1" t="n">
        <v>45035</v>
      </c>
      <c r="C10162" s="1" t="n">
        <v>46114</v>
      </c>
      <c r="D10162" t="inlineStr">
        <is>
          <t>DALARNAS LÄN</t>
        </is>
      </c>
      <c r="E10162" t="inlineStr">
        <is>
          <t>LEKSAND</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59206-2023</t>
        </is>
      </c>
      <c r="B10163" s="1" t="n">
        <v>45253.47579861111</v>
      </c>
      <c r="C10163" s="1" t="n">
        <v>46114</v>
      </c>
      <c r="D10163" t="inlineStr">
        <is>
          <t>DALARNAS LÄN</t>
        </is>
      </c>
      <c r="E10163" t="inlineStr">
        <is>
          <t>LUDVIKA</t>
        </is>
      </c>
      <c r="F10163" t="inlineStr">
        <is>
          <t>Bergvik skog väst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23654-2023</t>
        </is>
      </c>
      <c r="B10164" s="1" t="n">
        <v>45077</v>
      </c>
      <c r="C10164" s="1" t="n">
        <v>46114</v>
      </c>
      <c r="D10164" t="inlineStr">
        <is>
          <t>DALARNAS LÄN</t>
        </is>
      </c>
      <c r="E10164" t="inlineStr">
        <is>
          <t>GAGNEF</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1897-2023</t>
        </is>
      </c>
      <c r="B10165" s="1" t="n">
        <v>44937</v>
      </c>
      <c r="C10165" s="1" t="n">
        <v>46114</v>
      </c>
      <c r="D10165" t="inlineStr">
        <is>
          <t>DALARNAS LÄN</t>
        </is>
      </c>
      <c r="E10165" t="inlineStr">
        <is>
          <t>MORA</t>
        </is>
      </c>
      <c r="G10165" t="n">
        <v>0.8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23262-2024</t>
        </is>
      </c>
      <c r="B10166" s="1" t="n">
        <v>45453.36730324074</v>
      </c>
      <c r="C10166" s="1" t="n">
        <v>46114</v>
      </c>
      <c r="D10166" t="inlineStr">
        <is>
          <t>DALARNAS LÄN</t>
        </is>
      </c>
      <c r="E10166" t="inlineStr">
        <is>
          <t>SÄTER</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36169-2024</t>
        </is>
      </c>
      <c r="B10167" s="1" t="n">
        <v>45534.40212962963</v>
      </c>
      <c r="C10167" s="1" t="n">
        <v>46114</v>
      </c>
      <c r="D10167" t="inlineStr">
        <is>
          <t>DALARNAS LÄN</t>
        </is>
      </c>
      <c r="E10167" t="inlineStr">
        <is>
          <t>RÄTTVIK</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13994-2024</t>
        </is>
      </c>
      <c r="B10168" s="1" t="n">
        <v>45392.44894675926</v>
      </c>
      <c r="C10168" s="1" t="n">
        <v>46114</v>
      </c>
      <c r="D10168" t="inlineStr">
        <is>
          <t>DALARNAS LÄN</t>
        </is>
      </c>
      <c r="E10168" t="inlineStr">
        <is>
          <t>RÄTTVIK</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12069-2023</t>
        </is>
      </c>
      <c r="B10169" s="1" t="n">
        <v>44997.40393518518</v>
      </c>
      <c r="C10169" s="1" t="n">
        <v>46114</v>
      </c>
      <c r="D10169" t="inlineStr">
        <is>
          <t>DALARNAS LÄN</t>
        </is>
      </c>
      <c r="E10169" t="inlineStr">
        <is>
          <t>RÄTTVIK</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1775-2022</t>
        </is>
      </c>
      <c r="B10170" s="1" t="n">
        <v>44574</v>
      </c>
      <c r="C10170" s="1" t="n">
        <v>46114</v>
      </c>
      <c r="D10170" t="inlineStr">
        <is>
          <t>DALARNAS LÄN</t>
        </is>
      </c>
      <c r="E10170" t="inlineStr">
        <is>
          <t>LEKSAND</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37385-2022</t>
        </is>
      </c>
      <c r="B10171" s="1" t="n">
        <v>44806</v>
      </c>
      <c r="C10171" s="1" t="n">
        <v>46114</v>
      </c>
      <c r="D10171" t="inlineStr">
        <is>
          <t>DALARNAS LÄN</t>
        </is>
      </c>
      <c r="E10171" t="inlineStr">
        <is>
          <t>MORA</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56753-2023</t>
        </is>
      </c>
      <c r="B10172" s="1" t="n">
        <v>45244.37094907407</v>
      </c>
      <c r="C10172" s="1" t="n">
        <v>46114</v>
      </c>
      <c r="D10172" t="inlineStr">
        <is>
          <t>DALARNAS LÄN</t>
        </is>
      </c>
      <c r="E10172" t="inlineStr">
        <is>
          <t>LEKSAND</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45052-2024</t>
        </is>
      </c>
      <c r="B10173" s="1" t="n">
        <v>45575.54987268519</v>
      </c>
      <c r="C10173" s="1" t="n">
        <v>46114</v>
      </c>
      <c r="D10173" t="inlineStr">
        <is>
          <t>DALARNAS LÄN</t>
        </is>
      </c>
      <c r="E10173" t="inlineStr">
        <is>
          <t>RÄTTVIK</t>
        </is>
      </c>
      <c r="F10173" t="inlineStr">
        <is>
          <t>Bergvik skog väst AB</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28055-2024</t>
        </is>
      </c>
      <c r="B10174" s="1" t="n">
        <v>45476.5606712963</v>
      </c>
      <c r="C10174" s="1" t="n">
        <v>46114</v>
      </c>
      <c r="D10174" t="inlineStr">
        <is>
          <t>DALARNAS LÄN</t>
        </is>
      </c>
      <c r="E10174" t="inlineStr">
        <is>
          <t>MALUNG-SÄLEN</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18042-2025</t>
        </is>
      </c>
      <c r="B10175" s="1" t="n">
        <v>45761</v>
      </c>
      <c r="C10175" s="1" t="n">
        <v>46114</v>
      </c>
      <c r="D10175" t="inlineStr">
        <is>
          <t>DALARNAS LÄN</t>
        </is>
      </c>
      <c r="E10175" t="inlineStr">
        <is>
          <t>FALUN</t>
        </is>
      </c>
      <c r="F10175" t="inlineStr">
        <is>
          <t>Bergvik skog väst AB</t>
        </is>
      </c>
      <c r="G10175" t="n">
        <v>5.1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18051-2025</t>
        </is>
      </c>
      <c r="B10176" s="1" t="n">
        <v>45761</v>
      </c>
      <c r="C10176" s="1" t="n">
        <v>46114</v>
      </c>
      <c r="D10176" t="inlineStr">
        <is>
          <t>DALARNAS LÄN</t>
        </is>
      </c>
      <c r="E10176" t="inlineStr">
        <is>
          <t>FALUN</t>
        </is>
      </c>
      <c r="F10176" t="inlineStr">
        <is>
          <t>Bergvik skog väst AB</t>
        </is>
      </c>
      <c r="G10176" t="n">
        <v>5.1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18062-2025</t>
        </is>
      </c>
      <c r="B10177" s="1" t="n">
        <v>45761.48274305555</v>
      </c>
      <c r="C10177" s="1" t="n">
        <v>46114</v>
      </c>
      <c r="D10177" t="inlineStr">
        <is>
          <t>DALARNAS LÄN</t>
        </is>
      </c>
      <c r="E10177" t="inlineStr">
        <is>
          <t>SÄTER</t>
        </is>
      </c>
      <c r="G10177" t="n">
        <v>5.5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4257-2025</t>
        </is>
      </c>
      <c r="B10178" s="1" t="n">
        <v>45685.61693287037</v>
      </c>
      <c r="C10178" s="1" t="n">
        <v>46114</v>
      </c>
      <c r="D10178" t="inlineStr">
        <is>
          <t>DALARNAS LÄN</t>
        </is>
      </c>
      <c r="E10178" t="inlineStr">
        <is>
          <t>SMEDJEBACKEN</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43808-2023</t>
        </is>
      </c>
      <c r="B10179" s="1" t="n">
        <v>45187</v>
      </c>
      <c r="C10179" s="1" t="n">
        <v>46114</v>
      </c>
      <c r="D10179" t="inlineStr">
        <is>
          <t>DALARNAS LÄN</t>
        </is>
      </c>
      <c r="E10179" t="inlineStr">
        <is>
          <t>MALUNG-SÄLEN</t>
        </is>
      </c>
      <c r="G10179" t="n">
        <v>9.300000000000001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43839-2023</t>
        </is>
      </c>
      <c r="B10180" s="1" t="n">
        <v>45187.58707175926</v>
      </c>
      <c r="C10180" s="1" t="n">
        <v>46114</v>
      </c>
      <c r="D10180" t="inlineStr">
        <is>
          <t>DALARNAS LÄN</t>
        </is>
      </c>
      <c r="E10180" t="inlineStr">
        <is>
          <t>LUDVIKA</t>
        </is>
      </c>
      <c r="F10180" t="inlineStr">
        <is>
          <t>Bergvik skog väst AB</t>
        </is>
      </c>
      <c r="G10180" t="n">
        <v>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13032-2023</t>
        </is>
      </c>
      <c r="B10181" s="1" t="n">
        <v>45002.34532407407</v>
      </c>
      <c r="C10181" s="1" t="n">
        <v>46114</v>
      </c>
      <c r="D10181" t="inlineStr">
        <is>
          <t>DALARNAS LÄN</t>
        </is>
      </c>
      <c r="E10181" t="inlineStr">
        <is>
          <t>RÄTTVIK</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41880-2024</t>
        </is>
      </c>
      <c r="B10182" s="1" t="n">
        <v>45561</v>
      </c>
      <c r="C10182" s="1" t="n">
        <v>46114</v>
      </c>
      <c r="D10182" t="inlineStr">
        <is>
          <t>DALARNAS LÄN</t>
        </is>
      </c>
      <c r="E10182" t="inlineStr">
        <is>
          <t>MALUNG-SÄLEN</t>
        </is>
      </c>
      <c r="G10182" t="n">
        <v>5.1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41928-2024</t>
        </is>
      </c>
      <c r="B10183" s="1" t="n">
        <v>45561.56046296296</v>
      </c>
      <c r="C10183" s="1" t="n">
        <v>46114</v>
      </c>
      <c r="D10183" t="inlineStr">
        <is>
          <t>DALARNAS LÄN</t>
        </is>
      </c>
      <c r="E10183" t="inlineStr">
        <is>
          <t>FALUN</t>
        </is>
      </c>
      <c r="G10183" t="n">
        <v>1.7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43077-2024</t>
        </is>
      </c>
      <c r="B10184" s="1" t="n">
        <v>45567.50030092592</v>
      </c>
      <c r="C10184" s="1" t="n">
        <v>46114</v>
      </c>
      <c r="D10184" t="inlineStr">
        <is>
          <t>DALARNAS LÄN</t>
        </is>
      </c>
      <c r="E10184" t="inlineStr">
        <is>
          <t>LEKSAND</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33019-2024</t>
        </is>
      </c>
      <c r="B10185" s="1" t="n">
        <v>45517.54996527778</v>
      </c>
      <c r="C10185" s="1" t="n">
        <v>46114</v>
      </c>
      <c r="D10185" t="inlineStr">
        <is>
          <t>DALARNAS LÄN</t>
        </is>
      </c>
      <c r="E10185" t="inlineStr">
        <is>
          <t>SMEDJEBACKEN</t>
        </is>
      </c>
      <c r="F10185" t="inlineStr">
        <is>
          <t>Övriga Aktiebolag</t>
        </is>
      </c>
      <c r="G10185" t="n">
        <v>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57899-2024</t>
        </is>
      </c>
      <c r="B10186" s="1" t="n">
        <v>45630</v>
      </c>
      <c r="C10186" s="1" t="n">
        <v>46114</v>
      </c>
      <c r="D10186" t="inlineStr">
        <is>
          <t>DALARNAS LÄN</t>
        </is>
      </c>
      <c r="E10186" t="inlineStr">
        <is>
          <t>LEKSAND</t>
        </is>
      </c>
      <c r="G10186" t="n">
        <v>0.6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57903-2024</t>
        </is>
      </c>
      <c r="B10187" s="1" t="n">
        <v>45631.48559027778</v>
      </c>
      <c r="C10187" s="1" t="n">
        <v>46114</v>
      </c>
      <c r="D10187" t="inlineStr">
        <is>
          <t>DALARNAS LÄN</t>
        </is>
      </c>
      <c r="E10187" t="inlineStr">
        <is>
          <t>VANSBRO</t>
        </is>
      </c>
      <c r="G10187" t="n">
        <v>1.2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60873-2023</t>
        </is>
      </c>
      <c r="B10188" s="1" t="n">
        <v>45261.03266203704</v>
      </c>
      <c r="C10188" s="1" t="n">
        <v>46114</v>
      </c>
      <c r="D10188" t="inlineStr">
        <is>
          <t>DALARNAS LÄN</t>
        </is>
      </c>
      <c r="E10188" t="inlineStr">
        <is>
          <t>LEKSAND</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60958-2023</t>
        </is>
      </c>
      <c r="B10189" s="1" t="n">
        <v>45259</v>
      </c>
      <c r="C10189" s="1" t="n">
        <v>46114</v>
      </c>
      <c r="D10189" t="inlineStr">
        <is>
          <t>DALARNAS LÄN</t>
        </is>
      </c>
      <c r="E10189" t="inlineStr">
        <is>
          <t>RÄTTVIK</t>
        </is>
      </c>
      <c r="G10189" t="n">
        <v>7.5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28348-2024</t>
        </is>
      </c>
      <c r="B10190" s="1" t="n">
        <v>45477</v>
      </c>
      <c r="C10190" s="1" t="n">
        <v>46114</v>
      </c>
      <c r="D10190" t="inlineStr">
        <is>
          <t>DALARNAS LÄN</t>
        </is>
      </c>
      <c r="E10190" t="inlineStr">
        <is>
          <t>SMEDJEBACKEN</t>
        </is>
      </c>
      <c r="F10190" t="inlineStr">
        <is>
          <t>Bergvik skog väst AB</t>
        </is>
      </c>
      <c r="G10190" t="n">
        <v>11</v>
      </c>
      <c r="H10190" t="n">
        <v>0</v>
      </c>
      <c r="I10190" t="n">
        <v>0</v>
      </c>
      <c r="J10190" t="n">
        <v>0</v>
      </c>
      <c r="K10190" t="n">
        <v>0</v>
      </c>
      <c r="L10190" t="n">
        <v>0</v>
      </c>
      <c r="M10190" t="n">
        <v>0</v>
      </c>
      <c r="N10190" t="n">
        <v>0</v>
      </c>
      <c r="O10190" t="n">
        <v>0</v>
      </c>
      <c r="P10190" t="n">
        <v>0</v>
      </c>
      <c r="Q10190" t="n">
        <v>0</v>
      </c>
      <c r="R10190" s="2" t="inlineStr"/>
      <c r="U10190">
        <f>HYPERLINK("https://klasma.github.io/Logging_2061/knärot/A 28348-2024 karta knärot.png", "A 28348-2024")</f>
        <v/>
      </c>
      <c r="V10190">
        <f>HYPERLINK("https://klasma.github.io/Logging_2061/klagomål/A 28348-2024 FSC-klagomål.docx", "A 28348-2024")</f>
        <v/>
      </c>
      <c r="W10190">
        <f>HYPERLINK("https://klasma.github.io/Logging_2061/klagomålsmail/A 28348-2024 FSC-klagomål mail.docx", "A 28348-2024")</f>
        <v/>
      </c>
      <c r="X10190">
        <f>HYPERLINK("https://klasma.github.io/Logging_2061/tillsyn/A 28348-2024 tillsynsbegäran.docx", "A 28348-2024")</f>
        <v/>
      </c>
      <c r="Y10190">
        <f>HYPERLINK("https://klasma.github.io/Logging_2061/tillsynsmail/A 28348-2024 tillsynsbegäran mail.docx", "A 28348-2024")</f>
        <v/>
      </c>
    </row>
    <row r="10191" ht="15" customHeight="1">
      <c r="A10191" t="inlineStr">
        <is>
          <t>A 58071-2024</t>
        </is>
      </c>
      <c r="B10191" s="1" t="n">
        <v>45631.99221064815</v>
      </c>
      <c r="C10191" s="1" t="n">
        <v>46114</v>
      </c>
      <c r="D10191" t="inlineStr">
        <is>
          <t>DALARNAS LÄN</t>
        </is>
      </c>
      <c r="E10191" t="inlineStr">
        <is>
          <t>LUDVIKA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42391-2023</t>
        </is>
      </c>
      <c r="B10192" s="1" t="n">
        <v>45180</v>
      </c>
      <c r="C10192" s="1" t="n">
        <v>46114</v>
      </c>
      <c r="D10192" t="inlineStr">
        <is>
          <t>DALARNAS LÄN</t>
        </is>
      </c>
      <c r="E10192" t="inlineStr">
        <is>
          <t>MORA</t>
        </is>
      </c>
      <c r="F10192" t="inlineStr">
        <is>
          <t>Kommuner</t>
        </is>
      </c>
      <c r="G10192" t="n">
        <v>0.3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19987-2025</t>
        </is>
      </c>
      <c r="B10193" s="1" t="n">
        <v>45771.72193287037</v>
      </c>
      <c r="C10193" s="1" t="n">
        <v>46114</v>
      </c>
      <c r="D10193" t="inlineStr">
        <is>
          <t>DALARNAS LÄN</t>
        </is>
      </c>
      <c r="E10193" t="inlineStr">
        <is>
          <t>HEDEMORA</t>
        </is>
      </c>
      <c r="G10193" t="n">
        <v>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56383-2024</t>
        </is>
      </c>
      <c r="B10194" s="1" t="n">
        <v>45625</v>
      </c>
      <c r="C10194" s="1" t="n">
        <v>46114</v>
      </c>
      <c r="D10194" t="inlineStr">
        <is>
          <t>DALARNAS LÄN</t>
        </is>
      </c>
      <c r="E10194" t="inlineStr">
        <is>
          <t>RÄTTVIK</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40287-2024</t>
        </is>
      </c>
      <c r="B10195" s="1" t="n">
        <v>45554.67652777778</v>
      </c>
      <c r="C10195" s="1" t="n">
        <v>46114</v>
      </c>
      <c r="D10195" t="inlineStr">
        <is>
          <t>DALARNAS LÄN</t>
        </is>
      </c>
      <c r="E10195" t="inlineStr">
        <is>
          <t>FALUN</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37923-2022</t>
        </is>
      </c>
      <c r="B10196" s="1" t="n">
        <v>44811.45211805555</v>
      </c>
      <c r="C10196" s="1" t="n">
        <v>46114</v>
      </c>
      <c r="D10196" t="inlineStr">
        <is>
          <t>DALARNAS LÄN</t>
        </is>
      </c>
      <c r="E10196" t="inlineStr">
        <is>
          <t>SÄTER</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37878-2023</t>
        </is>
      </c>
      <c r="B10197" s="1" t="n">
        <v>45160.43616898148</v>
      </c>
      <c r="C10197" s="1" t="n">
        <v>46114</v>
      </c>
      <c r="D10197" t="inlineStr">
        <is>
          <t>DALARNAS LÄN</t>
        </is>
      </c>
      <c r="E10197" t="inlineStr">
        <is>
          <t>VANSBRO</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70140-2021</t>
        </is>
      </c>
      <c r="B10198" s="1" t="n">
        <v>44533</v>
      </c>
      <c r="C10198" s="1" t="n">
        <v>46114</v>
      </c>
      <c r="D10198" t="inlineStr">
        <is>
          <t>DALARNAS LÄN</t>
        </is>
      </c>
      <c r="E10198" t="inlineStr">
        <is>
          <t>ÄLVDALEN</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70141-2021</t>
        </is>
      </c>
      <c r="B10199" s="1" t="n">
        <v>44533</v>
      </c>
      <c r="C10199" s="1" t="n">
        <v>46114</v>
      </c>
      <c r="D10199" t="inlineStr">
        <is>
          <t>DALARNAS LÄN</t>
        </is>
      </c>
      <c r="E10199" t="inlineStr">
        <is>
          <t>MORA</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62505-2023</t>
        </is>
      </c>
      <c r="B10200" s="1" t="n">
        <v>45267</v>
      </c>
      <c r="C10200" s="1" t="n">
        <v>46114</v>
      </c>
      <c r="D10200" t="inlineStr">
        <is>
          <t>DALARNAS LÄN</t>
        </is>
      </c>
      <c r="E10200" t="inlineStr">
        <is>
          <t>RÄTTVIK</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43238-2024</t>
        </is>
      </c>
      <c r="B10201" s="1" t="n">
        <v>45567.94900462963</v>
      </c>
      <c r="C10201" s="1" t="n">
        <v>46114</v>
      </c>
      <c r="D10201" t="inlineStr">
        <is>
          <t>DALARNAS LÄN</t>
        </is>
      </c>
      <c r="E10201" t="inlineStr">
        <is>
          <t>FALUN</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12581-2025</t>
        </is>
      </c>
      <c r="B10202" s="1" t="n">
        <v>45732.62201388889</v>
      </c>
      <c r="C10202" s="1" t="n">
        <v>46114</v>
      </c>
      <c r="D10202" t="inlineStr">
        <is>
          <t>DALARNAS LÄN</t>
        </is>
      </c>
      <c r="E10202" t="inlineStr">
        <is>
          <t>LEKSAND</t>
        </is>
      </c>
      <c r="G10202" t="n">
        <v>5.1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12620-2025</t>
        </is>
      </c>
      <c r="B10203" s="1" t="n">
        <v>45733.35498842593</v>
      </c>
      <c r="C10203" s="1" t="n">
        <v>46114</v>
      </c>
      <c r="D10203" t="inlineStr">
        <is>
          <t>DALARNAS LÄN</t>
        </is>
      </c>
      <c r="E10203" t="inlineStr">
        <is>
          <t>LEKSAND</t>
        </is>
      </c>
      <c r="F10203" t="inlineStr">
        <is>
          <t>Bergvik skog väst AB</t>
        </is>
      </c>
      <c r="G10203" t="n">
        <v>3.9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12623-2025</t>
        </is>
      </c>
      <c r="B10204" s="1" t="n">
        <v>45733.36079861111</v>
      </c>
      <c r="C10204" s="1" t="n">
        <v>46114</v>
      </c>
      <c r="D10204" t="inlineStr">
        <is>
          <t>DALARNAS LÄN</t>
        </is>
      </c>
      <c r="E10204" t="inlineStr">
        <is>
          <t>LEKSAND</t>
        </is>
      </c>
      <c r="F10204" t="inlineStr">
        <is>
          <t>Bergvik skog väst AB</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30113-2023</t>
        </is>
      </c>
      <c r="B10205" s="1" t="n">
        <v>45110</v>
      </c>
      <c r="C10205" s="1" t="n">
        <v>46114</v>
      </c>
      <c r="D10205" t="inlineStr">
        <is>
          <t>DALARNAS LÄN</t>
        </is>
      </c>
      <c r="E10205" t="inlineStr">
        <is>
          <t>LUDVIKA</t>
        </is>
      </c>
      <c r="G10205" t="n">
        <v>3.3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5294-2025</t>
        </is>
      </c>
      <c r="B10206" s="1" t="n">
        <v>45692.44940972222</v>
      </c>
      <c r="C10206" s="1" t="n">
        <v>46114</v>
      </c>
      <c r="D10206" t="inlineStr">
        <is>
          <t>DALARNAS LÄN</t>
        </is>
      </c>
      <c r="E10206" t="inlineStr">
        <is>
          <t>GAGNEF</t>
        </is>
      </c>
      <c r="G10206" t="n">
        <v>6.2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49814-2023</t>
        </is>
      </c>
      <c r="B10207" s="1" t="n">
        <v>45212.67149305555</v>
      </c>
      <c r="C10207" s="1" t="n">
        <v>46114</v>
      </c>
      <c r="D10207" t="inlineStr">
        <is>
          <t>DALARNAS LÄN</t>
        </is>
      </c>
      <c r="E10207" t="inlineStr">
        <is>
          <t>ORSA</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64093-2023</t>
        </is>
      </c>
      <c r="B10208" s="1" t="n">
        <v>45279</v>
      </c>
      <c r="C10208" s="1" t="n">
        <v>46114</v>
      </c>
      <c r="D10208" t="inlineStr">
        <is>
          <t>DALARNAS LÄN</t>
        </is>
      </c>
      <c r="E10208" t="inlineStr">
        <is>
          <t>MORA</t>
        </is>
      </c>
      <c r="G10208" t="n">
        <v>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27445-2024</t>
        </is>
      </c>
      <c r="B10209" s="1" t="n">
        <v>45474.42474537037</v>
      </c>
      <c r="C10209" s="1" t="n">
        <v>46114</v>
      </c>
      <c r="D10209" t="inlineStr">
        <is>
          <t>DALARNAS LÄN</t>
        </is>
      </c>
      <c r="E10209" t="inlineStr">
        <is>
          <t>LEKSAND</t>
        </is>
      </c>
      <c r="G10209" t="n">
        <v>0.7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31332-2023</t>
        </is>
      </c>
      <c r="B10210" s="1" t="n">
        <v>45114</v>
      </c>
      <c r="C10210" s="1" t="n">
        <v>46114</v>
      </c>
      <c r="D10210" t="inlineStr">
        <is>
          <t>DALARNAS LÄN</t>
        </is>
      </c>
      <c r="E10210" t="inlineStr">
        <is>
          <t>ÄLVDALEN</t>
        </is>
      </c>
      <c r="F10210" t="inlineStr">
        <is>
          <t>Övriga statliga verk och myndigheter</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16834-2024</t>
        </is>
      </c>
      <c r="B10211" s="1" t="n">
        <v>45411.48457175926</v>
      </c>
      <c r="C10211" s="1" t="n">
        <v>46114</v>
      </c>
      <c r="D10211" t="inlineStr">
        <is>
          <t>DALARNAS LÄN</t>
        </is>
      </c>
      <c r="E10211" t="inlineStr">
        <is>
          <t>SÄTER</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25273-2022</t>
        </is>
      </c>
      <c r="B10212" s="1" t="n">
        <v>44729.99359953704</v>
      </c>
      <c r="C10212" s="1" t="n">
        <v>46114</v>
      </c>
      <c r="D10212" t="inlineStr">
        <is>
          <t>DALARNAS LÄN</t>
        </is>
      </c>
      <c r="E10212" t="inlineStr">
        <is>
          <t>LUDVIKA</t>
        </is>
      </c>
      <c r="F10212" t="inlineStr">
        <is>
          <t>Bergvik skog väst AB</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25591-2022</t>
        </is>
      </c>
      <c r="B10213" s="1" t="n">
        <v>44732.67958333333</v>
      </c>
      <c r="C10213" s="1" t="n">
        <v>46114</v>
      </c>
      <c r="D10213" t="inlineStr">
        <is>
          <t>DALARNAS LÄN</t>
        </is>
      </c>
      <c r="E10213" t="inlineStr">
        <is>
          <t>ORSA</t>
        </is>
      </c>
      <c r="G10213" t="n">
        <v>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50681-2024</t>
        </is>
      </c>
      <c r="B10214" s="1" t="n">
        <v>45602.28886574074</v>
      </c>
      <c r="C10214" s="1" t="n">
        <v>46114</v>
      </c>
      <c r="D10214" t="inlineStr">
        <is>
          <t>DALARNAS LÄN</t>
        </is>
      </c>
      <c r="E10214" t="inlineStr">
        <is>
          <t>AVESTA</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37439-2024</t>
        </is>
      </c>
      <c r="B10215" s="1" t="n">
        <v>45540</v>
      </c>
      <c r="C10215" s="1" t="n">
        <v>46114</v>
      </c>
      <c r="D10215" t="inlineStr">
        <is>
          <t>DALARNAS LÄN</t>
        </is>
      </c>
      <c r="E10215" t="inlineStr">
        <is>
          <t>ÄLVDALEN</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50778-2024</t>
        </is>
      </c>
      <c r="B10216" s="1" t="n">
        <v>45601</v>
      </c>
      <c r="C10216" s="1" t="n">
        <v>46114</v>
      </c>
      <c r="D10216" t="inlineStr">
        <is>
          <t>DALARNAS LÄN</t>
        </is>
      </c>
      <c r="E10216" t="inlineStr">
        <is>
          <t>SMEDJEBACKEN</t>
        </is>
      </c>
      <c r="F10216" t="inlineStr">
        <is>
          <t>Bergvik skog väst AB</t>
        </is>
      </c>
      <c r="G10216" t="n">
        <v>14.8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37471-2024</t>
        </is>
      </c>
      <c r="B10217" s="1" t="n">
        <v>45540.85054398148</v>
      </c>
      <c r="C10217" s="1" t="n">
        <v>46114</v>
      </c>
      <c r="D10217" t="inlineStr">
        <is>
          <t>DALARNAS LÄN</t>
        </is>
      </c>
      <c r="E10217" t="inlineStr">
        <is>
          <t>MORA</t>
        </is>
      </c>
      <c r="G10217" t="n">
        <v>3.5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14936-2025</t>
        </is>
      </c>
      <c r="B10218" s="1" t="n">
        <v>45743.55756944444</v>
      </c>
      <c r="C10218" s="1" t="n">
        <v>46114</v>
      </c>
      <c r="D10218" t="inlineStr">
        <is>
          <t>DALARNAS LÄN</t>
        </is>
      </c>
      <c r="E10218" t="inlineStr">
        <is>
          <t>MORA</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8823-2024</t>
        </is>
      </c>
      <c r="B10219" s="1" t="n">
        <v>45355</v>
      </c>
      <c r="C10219" s="1" t="n">
        <v>46114</v>
      </c>
      <c r="D10219" t="inlineStr">
        <is>
          <t>DALARNAS LÄN</t>
        </is>
      </c>
      <c r="E10219" t="inlineStr">
        <is>
          <t>MALUNG-SÄLEN</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8825-2024</t>
        </is>
      </c>
      <c r="B10220" s="1" t="n">
        <v>45355</v>
      </c>
      <c r="C10220" s="1" t="n">
        <v>46114</v>
      </c>
      <c r="D10220" t="inlineStr">
        <is>
          <t>DALARNAS LÄN</t>
        </is>
      </c>
      <c r="E10220" t="inlineStr">
        <is>
          <t>MALUNG-SÄLEN</t>
        </is>
      </c>
      <c r="G10220" t="n">
        <v>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49236-2023</t>
        </is>
      </c>
      <c r="B10221" s="1" t="n">
        <v>45210.63995370371</v>
      </c>
      <c r="C10221" s="1" t="n">
        <v>46114</v>
      </c>
      <c r="D10221" t="inlineStr">
        <is>
          <t>DALARNAS LÄN</t>
        </is>
      </c>
      <c r="E10221" t="inlineStr">
        <is>
          <t>ÄLVDALEN</t>
        </is>
      </c>
      <c r="F10221" t="inlineStr">
        <is>
          <t>Bergvik skog väst AB</t>
        </is>
      </c>
      <c r="G10221" t="n">
        <v>4.4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906-2024</t>
        </is>
      </c>
      <c r="B10222" s="1" t="n">
        <v>45301.45540509259</v>
      </c>
      <c r="C10222" s="1" t="n">
        <v>46114</v>
      </c>
      <c r="D10222" t="inlineStr">
        <is>
          <t>DALARNAS LÄN</t>
        </is>
      </c>
      <c r="E10222" t="inlineStr">
        <is>
          <t>MALUNG-SÄLEN</t>
        </is>
      </c>
      <c r="G10222" t="n">
        <v>10.4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55969-2024</t>
        </is>
      </c>
      <c r="B10223" s="1" t="n">
        <v>45623.64973379629</v>
      </c>
      <c r="C10223" s="1" t="n">
        <v>46114</v>
      </c>
      <c r="D10223" t="inlineStr">
        <is>
          <t>DALARNAS LÄN</t>
        </is>
      </c>
      <c r="E10223" t="inlineStr">
        <is>
          <t>MALUNG-SÄLEN</t>
        </is>
      </c>
      <c r="G10223" t="n">
        <v>4.6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58956-2023</t>
        </is>
      </c>
      <c r="B10224" s="1" t="n">
        <v>45252.59842592593</v>
      </c>
      <c r="C10224" s="1" t="n">
        <v>46114</v>
      </c>
      <c r="D10224" t="inlineStr">
        <is>
          <t>DALARNAS LÄN</t>
        </is>
      </c>
      <c r="E10224" t="inlineStr">
        <is>
          <t>MALUNG-SÄLEN</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28013-2022</t>
        </is>
      </c>
      <c r="B10225" s="1" t="n">
        <v>44746.35429398148</v>
      </c>
      <c r="C10225" s="1" t="n">
        <v>46114</v>
      </c>
      <c r="D10225" t="inlineStr">
        <is>
          <t>DALARNAS LÄN</t>
        </is>
      </c>
      <c r="E10225" t="inlineStr">
        <is>
          <t>RÄTTVIK</t>
        </is>
      </c>
      <c r="G10225" t="n">
        <v>3.6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35063-2022</t>
        </is>
      </c>
      <c r="B10226" s="1" t="n">
        <v>44797</v>
      </c>
      <c r="C10226" s="1" t="n">
        <v>46114</v>
      </c>
      <c r="D10226" t="inlineStr">
        <is>
          <t>DALARNAS LÄN</t>
        </is>
      </c>
      <c r="E10226" t="inlineStr">
        <is>
          <t>FALUN</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28248-2024</t>
        </is>
      </c>
      <c r="B10227" s="1" t="n">
        <v>45477.41465277778</v>
      </c>
      <c r="C10227" s="1" t="n">
        <v>46114</v>
      </c>
      <c r="D10227" t="inlineStr">
        <is>
          <t>DALARNAS LÄN</t>
        </is>
      </c>
      <c r="E10227" t="inlineStr">
        <is>
          <t>SMEDJEBACKEN</t>
        </is>
      </c>
      <c r="F10227" t="inlineStr">
        <is>
          <t>Sveaskog</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60189-2022</t>
        </is>
      </c>
      <c r="B10228" s="1" t="n">
        <v>44910.36798611111</v>
      </c>
      <c r="C10228" s="1" t="n">
        <v>46114</v>
      </c>
      <c r="D10228" t="inlineStr">
        <is>
          <t>DALARNAS LÄN</t>
        </is>
      </c>
      <c r="E10228" t="inlineStr">
        <is>
          <t>ORSA</t>
        </is>
      </c>
      <c r="F10228" t="inlineStr">
        <is>
          <t>Bergvik skog öst AB</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53344-2023</t>
        </is>
      </c>
      <c r="B10229" s="1" t="n">
        <v>45229</v>
      </c>
      <c r="C10229" s="1" t="n">
        <v>46114</v>
      </c>
      <c r="D10229" t="inlineStr">
        <is>
          <t>DALARNAS LÄN</t>
        </is>
      </c>
      <c r="E10229" t="inlineStr">
        <is>
          <t>MORA</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58920-2024</t>
        </is>
      </c>
      <c r="B10230" s="1" t="n">
        <v>45636</v>
      </c>
      <c r="C10230" s="1" t="n">
        <v>46114</v>
      </c>
      <c r="D10230" t="inlineStr">
        <is>
          <t>DALARNAS LÄN</t>
        </is>
      </c>
      <c r="E10230" t="inlineStr">
        <is>
          <t>MALUNG-SÄLEN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37300-2021</t>
        </is>
      </c>
      <c r="B10231" s="1" t="n">
        <v>44397</v>
      </c>
      <c r="C10231" s="1" t="n">
        <v>46114</v>
      </c>
      <c r="D10231" t="inlineStr">
        <is>
          <t>DALARNAS LÄN</t>
        </is>
      </c>
      <c r="E10231" t="inlineStr">
        <is>
          <t>FALUN</t>
        </is>
      </c>
      <c r="G10231" t="n">
        <v>0.1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24957-2024</t>
        </is>
      </c>
      <c r="B10232" s="1" t="n">
        <v>45461.64128472222</v>
      </c>
      <c r="C10232" s="1" t="n">
        <v>46114</v>
      </c>
      <c r="D10232" t="inlineStr">
        <is>
          <t>DALARNAS LÄN</t>
        </is>
      </c>
      <c r="E10232" t="inlineStr">
        <is>
          <t>MALUNG-SÄLEN</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13327-2025</t>
        </is>
      </c>
      <c r="B10233" s="1" t="n">
        <v>45735.60324074074</v>
      </c>
      <c r="C10233" s="1" t="n">
        <v>46114</v>
      </c>
      <c r="D10233" t="inlineStr">
        <is>
          <t>DALARNAS LÄN</t>
        </is>
      </c>
      <c r="E10233" t="inlineStr">
        <is>
          <t>VANSBRO</t>
        </is>
      </c>
      <c r="F10233" t="inlineStr">
        <is>
          <t>Kommuner</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32471-2024</t>
        </is>
      </c>
      <c r="B10234" s="1" t="n">
        <v>45513.28902777778</v>
      </c>
      <c r="C10234" s="1" t="n">
        <v>46114</v>
      </c>
      <c r="D10234" t="inlineStr">
        <is>
          <t>DALARNAS LÄN</t>
        </is>
      </c>
      <c r="E10234" t="inlineStr">
        <is>
          <t>VANSBRO</t>
        </is>
      </c>
      <c r="G10234" t="n">
        <v>2.2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49412-2024</t>
        </is>
      </c>
      <c r="B10235" s="1" t="n">
        <v>45595.69030092593</v>
      </c>
      <c r="C10235" s="1" t="n">
        <v>46114</v>
      </c>
      <c r="D10235" t="inlineStr">
        <is>
          <t>DALARNAS LÄN</t>
        </is>
      </c>
      <c r="E10235" t="inlineStr">
        <is>
          <t>VANSBRO</t>
        </is>
      </c>
      <c r="G10235" t="n">
        <v>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25917-2024</t>
        </is>
      </c>
      <c r="B10236" s="1" t="n">
        <v>45467.60181712963</v>
      </c>
      <c r="C10236" s="1" t="n">
        <v>46114</v>
      </c>
      <c r="D10236" t="inlineStr">
        <is>
          <t>DALARNAS LÄN</t>
        </is>
      </c>
      <c r="E10236" t="inlineStr">
        <is>
          <t>MALUNG-SÄLEN</t>
        </is>
      </c>
      <c r="F10236" t="inlineStr">
        <is>
          <t>Bergvik skog väst AB</t>
        </is>
      </c>
      <c r="G10236" t="n">
        <v>3</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40635-2022</t>
        </is>
      </c>
      <c r="B10237" s="1" t="n">
        <v>44824</v>
      </c>
      <c r="C10237" s="1" t="n">
        <v>46114</v>
      </c>
      <c r="D10237" t="inlineStr">
        <is>
          <t>DALARNAS LÄN</t>
        </is>
      </c>
      <c r="E10237" t="inlineStr">
        <is>
          <t>FALUN</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5673-2023</t>
        </is>
      </c>
      <c r="B10238" s="1" t="n">
        <v>44960.65702546296</v>
      </c>
      <c r="C10238" s="1" t="n">
        <v>46114</v>
      </c>
      <c r="D10238" t="inlineStr">
        <is>
          <t>DALARNAS LÄN</t>
        </is>
      </c>
      <c r="E10238" t="inlineStr">
        <is>
          <t>LUDVIKA</t>
        </is>
      </c>
      <c r="F10238" t="inlineStr">
        <is>
          <t>Naturvårdsverket</t>
        </is>
      </c>
      <c r="G10238" t="n">
        <v>0.7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5581-2023</t>
        </is>
      </c>
      <c r="B10239" s="1" t="n">
        <v>44960.50465277778</v>
      </c>
      <c r="C10239" s="1" t="n">
        <v>46114</v>
      </c>
      <c r="D10239" t="inlineStr">
        <is>
          <t>DALARNAS LÄN</t>
        </is>
      </c>
      <c r="E10239" t="inlineStr">
        <is>
          <t>VANSBRO</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28559-2024</t>
        </is>
      </c>
      <c r="B10240" s="1" t="n">
        <v>45478.38052083334</v>
      </c>
      <c r="C10240" s="1" t="n">
        <v>46114</v>
      </c>
      <c r="D10240" t="inlineStr">
        <is>
          <t>DALARNAS LÄN</t>
        </is>
      </c>
      <c r="E10240" t="inlineStr">
        <is>
          <t>GAGNEF</t>
        </is>
      </c>
      <c r="G10240" t="n">
        <v>0.6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1400-2024</t>
        </is>
      </c>
      <c r="B10241" s="1" t="n">
        <v>45303</v>
      </c>
      <c r="C10241" s="1" t="n">
        <v>46114</v>
      </c>
      <c r="D10241" t="inlineStr">
        <is>
          <t>DALARNAS LÄN</t>
        </is>
      </c>
      <c r="E10241" t="inlineStr">
        <is>
          <t>MALUNG-SÄLEN</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15285-2025</t>
        </is>
      </c>
      <c r="B10242" s="1" t="n">
        <v>45744.9047337963</v>
      </c>
      <c r="C10242" s="1" t="n">
        <v>46114</v>
      </c>
      <c r="D10242" t="inlineStr">
        <is>
          <t>DALARNAS LÄN</t>
        </is>
      </c>
      <c r="E10242" t="inlineStr">
        <is>
          <t>GAGNEF</t>
        </is>
      </c>
      <c r="G10242" t="n">
        <v>1.1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32362-2021</t>
        </is>
      </c>
      <c r="B10243" s="1" t="n">
        <v>44371</v>
      </c>
      <c r="C10243" s="1" t="n">
        <v>46114</v>
      </c>
      <c r="D10243" t="inlineStr">
        <is>
          <t>DALARNAS LÄN</t>
        </is>
      </c>
      <c r="E10243" t="inlineStr">
        <is>
          <t>ÄLVDALEN</t>
        </is>
      </c>
      <c r="F10243" t="inlineStr">
        <is>
          <t>Sveaskog</t>
        </is>
      </c>
      <c r="G10243" t="n">
        <v>3.7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62793-2023</t>
        </is>
      </c>
      <c r="B10244" s="1" t="n">
        <v>45271.73105324074</v>
      </c>
      <c r="C10244" s="1" t="n">
        <v>46114</v>
      </c>
      <c r="D10244" t="inlineStr">
        <is>
          <t>DALARNAS LÄN</t>
        </is>
      </c>
      <c r="E10244" t="inlineStr">
        <is>
          <t>MALUNG-SÄLEN</t>
        </is>
      </c>
      <c r="G10244" t="n">
        <v>1.3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57906-2024</t>
        </is>
      </c>
      <c r="B10245" s="1" t="n">
        <v>45631.49017361111</v>
      </c>
      <c r="C10245" s="1" t="n">
        <v>46114</v>
      </c>
      <c r="D10245" t="inlineStr">
        <is>
          <t>DALARNAS LÄN</t>
        </is>
      </c>
      <c r="E10245" t="inlineStr">
        <is>
          <t>VANSBRO</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12787-2024</t>
        </is>
      </c>
      <c r="B10246" s="1" t="n">
        <v>45384.61032407408</v>
      </c>
      <c r="C10246" s="1" t="n">
        <v>46114</v>
      </c>
      <c r="D10246" t="inlineStr">
        <is>
          <t>DALARNAS LÄN</t>
        </is>
      </c>
      <c r="E10246" t="inlineStr">
        <is>
          <t>BORLÄNGE</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16419-2025</t>
        </is>
      </c>
      <c r="B10247" s="1" t="n">
        <v>45751.46453703703</v>
      </c>
      <c r="C10247" s="1" t="n">
        <v>46114</v>
      </c>
      <c r="D10247" t="inlineStr">
        <is>
          <t>DALARNAS LÄN</t>
        </is>
      </c>
      <c r="E10247" t="inlineStr">
        <is>
          <t>SMEDJEBACKEN</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28813-2024</t>
        </is>
      </c>
      <c r="B10248" s="1" t="n">
        <v>45478.641875</v>
      </c>
      <c r="C10248" s="1" t="n">
        <v>46114</v>
      </c>
      <c r="D10248" t="inlineStr">
        <is>
          <t>DALARNAS LÄN</t>
        </is>
      </c>
      <c r="E10248" t="inlineStr">
        <is>
          <t>HEDEMORA</t>
        </is>
      </c>
      <c r="F10248" t="inlineStr">
        <is>
          <t>Sveaskog</t>
        </is>
      </c>
      <c r="G10248" t="n">
        <v>2.3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53754-2024</t>
        </is>
      </c>
      <c r="B10249" s="1" t="n">
        <v>45615.49371527778</v>
      </c>
      <c r="C10249" s="1" t="n">
        <v>46114</v>
      </c>
      <c r="D10249" t="inlineStr">
        <is>
          <t>DALARNAS LÄN</t>
        </is>
      </c>
      <c r="E10249" t="inlineStr">
        <is>
          <t>MORA</t>
        </is>
      </c>
      <c r="G10249" t="n">
        <v>4.8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14040-2023</t>
        </is>
      </c>
      <c r="B10250" s="1" t="n">
        <v>45008.64575231481</v>
      </c>
      <c r="C10250" s="1" t="n">
        <v>46114</v>
      </c>
      <c r="D10250" t="inlineStr">
        <is>
          <t>DALARNAS LÄN</t>
        </is>
      </c>
      <c r="E10250" t="inlineStr">
        <is>
          <t>MORA</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53799-2023</t>
        </is>
      </c>
      <c r="B10251" s="1" t="n">
        <v>45231.35564814815</v>
      </c>
      <c r="C10251" s="1" t="n">
        <v>46114</v>
      </c>
      <c r="D10251" t="inlineStr">
        <is>
          <t>DALARNAS LÄN</t>
        </is>
      </c>
      <c r="E10251" t="inlineStr">
        <is>
          <t>LEKSAND</t>
        </is>
      </c>
      <c r="F10251" t="inlineStr">
        <is>
          <t>Bergvik skog väst AB</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1310-2024</t>
        </is>
      </c>
      <c r="B10252" s="1" t="n">
        <v>45303</v>
      </c>
      <c r="C10252" s="1" t="n">
        <v>46114</v>
      </c>
      <c r="D10252" t="inlineStr">
        <is>
          <t>DALARNAS LÄN</t>
        </is>
      </c>
      <c r="E10252" t="inlineStr">
        <is>
          <t>ÄLVDALEN</t>
        </is>
      </c>
      <c r="G10252" t="n">
        <v>4.3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39204-2024</t>
        </is>
      </c>
      <c r="B10253" s="1" t="n">
        <v>45548.73366898148</v>
      </c>
      <c r="C10253" s="1" t="n">
        <v>46114</v>
      </c>
      <c r="D10253" t="inlineStr">
        <is>
          <t>DALARNAS LÄN</t>
        </is>
      </c>
      <c r="E10253" t="inlineStr">
        <is>
          <t>MALUNG-SÄLEN</t>
        </is>
      </c>
      <c r="G10253" t="n">
        <v>4</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10386-2022</t>
        </is>
      </c>
      <c r="B10254" s="1" t="n">
        <v>44623.41967592593</v>
      </c>
      <c r="C10254" s="1" t="n">
        <v>46114</v>
      </c>
      <c r="D10254" t="inlineStr">
        <is>
          <t>DALARNAS LÄN</t>
        </is>
      </c>
      <c r="E10254" t="inlineStr">
        <is>
          <t>MALUNG-SÄLEN</t>
        </is>
      </c>
      <c r="G10254" t="n">
        <v>3.5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13658-2024</t>
        </is>
      </c>
      <c r="B10255" s="1" t="n">
        <v>45390.48613425926</v>
      </c>
      <c r="C10255" s="1" t="n">
        <v>46114</v>
      </c>
      <c r="D10255" t="inlineStr">
        <is>
          <t>DALARNAS LÄN</t>
        </is>
      </c>
      <c r="E10255" t="inlineStr">
        <is>
          <t>BORLÄNGE</t>
        </is>
      </c>
      <c r="F10255" t="inlineStr">
        <is>
          <t>Kommuner</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45114-2023</t>
        </is>
      </c>
      <c r="B10256" s="1" t="n">
        <v>45191.43945601852</v>
      </c>
      <c r="C10256" s="1" t="n">
        <v>46114</v>
      </c>
      <c r="D10256" t="inlineStr">
        <is>
          <t>DALARNAS LÄN</t>
        </is>
      </c>
      <c r="E10256" t="inlineStr">
        <is>
          <t>SMEDJEBACKEN</t>
        </is>
      </c>
      <c r="F10256" t="inlineStr">
        <is>
          <t>Sveaskog</t>
        </is>
      </c>
      <c r="G10256" t="n">
        <v>3.4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18045-2024</t>
        </is>
      </c>
      <c r="B10257" s="1" t="n">
        <v>45420.37567129629</v>
      </c>
      <c r="C10257" s="1" t="n">
        <v>46114</v>
      </c>
      <c r="D10257" t="inlineStr">
        <is>
          <t>DALARNAS LÄN</t>
        </is>
      </c>
      <c r="E10257" t="inlineStr">
        <is>
          <t>MALUNG-SÄLEN</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56770-2024</t>
        </is>
      </c>
      <c r="B10258" s="1" t="n">
        <v>45628.41587962963</v>
      </c>
      <c r="C10258" s="1" t="n">
        <v>46114</v>
      </c>
      <c r="D10258" t="inlineStr">
        <is>
          <t>DALARNAS LÄN</t>
        </is>
      </c>
      <c r="E10258" t="inlineStr">
        <is>
          <t>MORA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34993-2024</t>
        </is>
      </c>
      <c r="B10259" s="1" t="n">
        <v>45527.56167824074</v>
      </c>
      <c r="C10259" s="1" t="n">
        <v>46114</v>
      </c>
      <c r="D10259" t="inlineStr">
        <is>
          <t>DALARNAS LÄN</t>
        </is>
      </c>
      <c r="E10259" t="inlineStr">
        <is>
          <t>SÄTER</t>
        </is>
      </c>
      <c r="G10259" t="n">
        <v>0.9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62130-2024</t>
        </is>
      </c>
      <c r="B10260" s="1" t="n">
        <v>45656.61827546296</v>
      </c>
      <c r="C10260" s="1" t="n">
        <v>46114</v>
      </c>
      <c r="D10260" t="inlineStr">
        <is>
          <t>DALARNAS LÄN</t>
        </is>
      </c>
      <c r="E10260" t="inlineStr">
        <is>
          <t>LEKSAND</t>
        </is>
      </c>
      <c r="G10260" t="n">
        <v>11.4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73002-2021</t>
        </is>
      </c>
      <c r="B10261" s="1" t="n">
        <v>44550.27520833333</v>
      </c>
      <c r="C10261" s="1" t="n">
        <v>46114</v>
      </c>
      <c r="D10261" t="inlineStr">
        <is>
          <t>DALARNAS LÄN</t>
        </is>
      </c>
      <c r="E10261" t="inlineStr">
        <is>
          <t>BORLÄNGE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50153-2024</t>
        </is>
      </c>
      <c r="B10262" s="1" t="n">
        <v>45600.45541666666</v>
      </c>
      <c r="C10262" s="1" t="n">
        <v>46114</v>
      </c>
      <c r="D10262" t="inlineStr">
        <is>
          <t>DALARNAS LÄN</t>
        </is>
      </c>
      <c r="E10262" t="inlineStr">
        <is>
          <t>RÄTTVIK</t>
        </is>
      </c>
      <c r="G10262" t="n">
        <v>9.800000000000001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42455-2022</t>
        </is>
      </c>
      <c r="B10263" s="1" t="n">
        <v>44831.49181712963</v>
      </c>
      <c r="C10263" s="1" t="n">
        <v>46114</v>
      </c>
      <c r="D10263" t="inlineStr">
        <is>
          <t>DALARNAS LÄN</t>
        </is>
      </c>
      <c r="E10263" t="inlineStr">
        <is>
          <t>FALUN</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21766-2024</t>
        </is>
      </c>
      <c r="B10264" s="1" t="n">
        <v>45442.60379629629</v>
      </c>
      <c r="C10264" s="1" t="n">
        <v>46114</v>
      </c>
      <c r="D10264" t="inlineStr">
        <is>
          <t>DALARNAS LÄN</t>
        </is>
      </c>
      <c r="E10264" t="inlineStr">
        <is>
          <t>SÄTER</t>
        </is>
      </c>
      <c r="G10264" t="n">
        <v>0.7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21799-2024</t>
        </is>
      </c>
      <c r="B10265" s="1" t="n">
        <v>45442.65350694444</v>
      </c>
      <c r="C10265" s="1" t="n">
        <v>46114</v>
      </c>
      <c r="D10265" t="inlineStr">
        <is>
          <t>DALARNAS LÄN</t>
        </is>
      </c>
      <c r="E10265" t="inlineStr">
        <is>
          <t>MALUNG-SÄLEN</t>
        </is>
      </c>
      <c r="G10265" t="n">
        <v>10.5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62314-2022</t>
        </is>
      </c>
      <c r="B10266" s="1" t="n">
        <v>44916</v>
      </c>
      <c r="C10266" s="1" t="n">
        <v>46114</v>
      </c>
      <c r="D10266" t="inlineStr">
        <is>
          <t>DALARNAS LÄN</t>
        </is>
      </c>
      <c r="E10266" t="inlineStr">
        <is>
          <t>ÄLVDALEN</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60678-2024</t>
        </is>
      </c>
      <c r="B10267" s="1" t="n">
        <v>45644</v>
      </c>
      <c r="C10267" s="1" t="n">
        <v>46114</v>
      </c>
      <c r="D10267" t="inlineStr">
        <is>
          <t>DALARNAS LÄN</t>
        </is>
      </c>
      <c r="E10267" t="inlineStr">
        <is>
          <t>SMEDJEBACKEN</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60684-2024</t>
        </is>
      </c>
      <c r="B10268" s="1" t="n">
        <v>45644.46756944444</v>
      </c>
      <c r="C10268" s="1" t="n">
        <v>46114</v>
      </c>
      <c r="D10268" t="inlineStr">
        <is>
          <t>DALARNAS LÄN</t>
        </is>
      </c>
      <c r="E10268" t="inlineStr">
        <is>
          <t>SMEDJEBACKEN</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18120-2025</t>
        </is>
      </c>
      <c r="B10269" s="1" t="n">
        <v>45761</v>
      </c>
      <c r="C10269" s="1" t="n">
        <v>46114</v>
      </c>
      <c r="D10269" t="inlineStr">
        <is>
          <t>DALARNAS LÄN</t>
        </is>
      </c>
      <c r="E10269" t="inlineStr">
        <is>
          <t>MORA</t>
        </is>
      </c>
      <c r="F10269" t="inlineStr">
        <is>
          <t>Bergvik skog väst AB</t>
        </is>
      </c>
      <c r="G10269" t="n">
        <v>6.4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18127-2025</t>
        </is>
      </c>
      <c r="B10270" s="1" t="n">
        <v>45761.59523148148</v>
      </c>
      <c r="C10270" s="1" t="n">
        <v>46114</v>
      </c>
      <c r="D10270" t="inlineStr">
        <is>
          <t>DALARNAS LÄN</t>
        </is>
      </c>
      <c r="E10270" t="inlineStr">
        <is>
          <t>MORA</t>
        </is>
      </c>
      <c r="F10270" t="inlineStr">
        <is>
          <t>Bergvik skog öst AB</t>
        </is>
      </c>
      <c r="G10270" t="n">
        <v>0.6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21117-2024</t>
        </is>
      </c>
      <c r="B10271" s="1" t="n">
        <v>45440.31517361111</v>
      </c>
      <c r="C10271" s="1" t="n">
        <v>46114</v>
      </c>
      <c r="D10271" t="inlineStr">
        <is>
          <t>DALARNAS LÄN</t>
        </is>
      </c>
      <c r="E10271" t="inlineStr">
        <is>
          <t>VANSBRO</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4489-2022</t>
        </is>
      </c>
      <c r="B10272" s="1" t="n">
        <v>44589</v>
      </c>
      <c r="C10272" s="1" t="n">
        <v>46114</v>
      </c>
      <c r="D10272" t="inlineStr">
        <is>
          <t>DALARNAS LÄN</t>
        </is>
      </c>
      <c r="E10272" t="inlineStr">
        <is>
          <t>MORA</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63513-2023</t>
        </is>
      </c>
      <c r="B10273" s="1" t="n">
        <v>45274</v>
      </c>
      <c r="C10273" s="1" t="n">
        <v>46114</v>
      </c>
      <c r="D10273" t="inlineStr">
        <is>
          <t>DALARNAS LÄN</t>
        </is>
      </c>
      <c r="E10273" t="inlineStr">
        <is>
          <t>LEKSAND</t>
        </is>
      </c>
      <c r="G10273" t="n">
        <v>2.3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44116-2023</t>
        </is>
      </c>
      <c r="B10274" s="1" t="n">
        <v>45188</v>
      </c>
      <c r="C10274" s="1" t="n">
        <v>46114</v>
      </c>
      <c r="D10274" t="inlineStr">
        <is>
          <t>DALARNAS LÄN</t>
        </is>
      </c>
      <c r="E10274" t="inlineStr">
        <is>
          <t>SMEDJEBACKEN</t>
        </is>
      </c>
      <c r="F10274" t="inlineStr">
        <is>
          <t>Bergvik skog väst AB</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14845-2023</t>
        </is>
      </c>
      <c r="B10275" s="1" t="n">
        <v>45014</v>
      </c>
      <c r="C10275" s="1" t="n">
        <v>46114</v>
      </c>
      <c r="D10275" t="inlineStr">
        <is>
          <t>DALARNAS LÄN</t>
        </is>
      </c>
      <c r="E10275" t="inlineStr">
        <is>
          <t>SMEDJEBACKEN</t>
        </is>
      </c>
      <c r="G10275" t="n">
        <v>3.8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45574-2023</t>
        </is>
      </c>
      <c r="B10276" s="1" t="n">
        <v>45194</v>
      </c>
      <c r="C10276" s="1" t="n">
        <v>46114</v>
      </c>
      <c r="D10276" t="inlineStr">
        <is>
          <t>DALARNAS LÄN</t>
        </is>
      </c>
      <c r="E10276" t="inlineStr">
        <is>
          <t>MORA</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45601-2023</t>
        </is>
      </c>
      <c r="B10277" s="1" t="n">
        <v>45194</v>
      </c>
      <c r="C10277" s="1" t="n">
        <v>46114</v>
      </c>
      <c r="D10277" t="inlineStr">
        <is>
          <t>DALARNAS LÄN</t>
        </is>
      </c>
      <c r="E10277" t="inlineStr">
        <is>
          <t>MALUNG-SÄLEN</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26516-2022</t>
        </is>
      </c>
      <c r="B10278" s="1" t="n">
        <v>44739.429375</v>
      </c>
      <c r="C10278" s="1" t="n">
        <v>46114</v>
      </c>
      <c r="D10278" t="inlineStr">
        <is>
          <t>DALARNAS LÄN</t>
        </is>
      </c>
      <c r="E10278" t="inlineStr">
        <is>
          <t>AVESTA</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47869-2023</t>
        </is>
      </c>
      <c r="B10279" s="1" t="n">
        <v>45204</v>
      </c>
      <c r="C10279" s="1" t="n">
        <v>46114</v>
      </c>
      <c r="D10279" t="inlineStr">
        <is>
          <t>DALARNAS LÄN</t>
        </is>
      </c>
      <c r="E10279" t="inlineStr">
        <is>
          <t>ÄLVDALEN</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55696-2023</t>
        </is>
      </c>
      <c r="B10280" s="1" t="n">
        <v>45232</v>
      </c>
      <c r="C10280" s="1" t="n">
        <v>46114</v>
      </c>
      <c r="D10280" t="inlineStr">
        <is>
          <t>DALARNAS LÄN</t>
        </is>
      </c>
      <c r="E10280" t="inlineStr">
        <is>
          <t>RÄTTVIK</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45315-2024</t>
        </is>
      </c>
      <c r="B10281" s="1" t="n">
        <v>45576.43782407408</v>
      </c>
      <c r="C10281" s="1" t="n">
        <v>46114</v>
      </c>
      <c r="D10281" t="inlineStr">
        <is>
          <t>DALARNAS LÄN</t>
        </is>
      </c>
      <c r="E10281" t="inlineStr">
        <is>
          <t>MORA</t>
        </is>
      </c>
      <c r="G10281" t="n">
        <v>8.199999999999999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47976-2023</t>
        </is>
      </c>
      <c r="B10282" s="1" t="n">
        <v>45204.61171296296</v>
      </c>
      <c r="C10282" s="1" t="n">
        <v>46114</v>
      </c>
      <c r="D10282" t="inlineStr">
        <is>
          <t>DALARNAS LÄN</t>
        </is>
      </c>
      <c r="E10282" t="inlineStr">
        <is>
          <t>MALUNG-SÄLEN</t>
        </is>
      </c>
      <c r="F10282" t="inlineStr">
        <is>
          <t>Bergvik skog öst AB</t>
        </is>
      </c>
      <c r="G10282" t="n">
        <v>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19590-2023</t>
        </is>
      </c>
      <c r="B10283" s="1" t="n">
        <v>45049</v>
      </c>
      <c r="C10283" s="1" t="n">
        <v>46114</v>
      </c>
      <c r="D10283" t="inlineStr">
        <is>
          <t>DALARNAS LÄN</t>
        </is>
      </c>
      <c r="E10283" t="inlineStr">
        <is>
          <t>LEKSAND</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52925-2024</t>
        </is>
      </c>
      <c r="B10284" s="1" t="n">
        <v>45610.73276620371</v>
      </c>
      <c r="C10284" s="1" t="n">
        <v>46114</v>
      </c>
      <c r="D10284" t="inlineStr">
        <is>
          <t>DALARNAS LÄN</t>
        </is>
      </c>
      <c r="E10284" t="inlineStr">
        <is>
          <t>ORSA</t>
        </is>
      </c>
      <c r="F10284" t="inlineStr">
        <is>
          <t>Allmännings- och besparingsskogar</t>
        </is>
      </c>
      <c r="G10284" t="n">
        <v>2.5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7588-2023</t>
        </is>
      </c>
      <c r="B10285" s="1" t="n">
        <v>44972</v>
      </c>
      <c r="C10285" s="1" t="n">
        <v>46114</v>
      </c>
      <c r="D10285" t="inlineStr">
        <is>
          <t>DALARNAS LÄN</t>
        </is>
      </c>
      <c r="E10285" t="inlineStr">
        <is>
          <t>BORLÄNGE</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6975-2023</t>
        </is>
      </c>
      <c r="B10286" s="1" t="n">
        <v>44967.64229166666</v>
      </c>
      <c r="C10286" s="1" t="n">
        <v>46114</v>
      </c>
      <c r="D10286" t="inlineStr">
        <is>
          <t>DALARNAS LÄN</t>
        </is>
      </c>
      <c r="E10286" t="inlineStr">
        <is>
          <t>LUDVIKA</t>
        </is>
      </c>
      <c r="G10286" t="n">
        <v>2.1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5170-2024</t>
        </is>
      </c>
      <c r="B10287" s="1" t="n">
        <v>45330.55390046296</v>
      </c>
      <c r="C10287" s="1" t="n">
        <v>46114</v>
      </c>
      <c r="D10287" t="inlineStr">
        <is>
          <t>DALARNAS LÄN</t>
        </is>
      </c>
      <c r="E10287" t="inlineStr">
        <is>
          <t>ÄLVDALEN</t>
        </is>
      </c>
      <c r="G10287" t="n">
        <v>15.8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30000-2023</t>
        </is>
      </c>
      <c r="B10288" s="1" t="n">
        <v>45109.71128472222</v>
      </c>
      <c r="C10288" s="1" t="n">
        <v>46114</v>
      </c>
      <c r="D10288" t="inlineStr">
        <is>
          <t>DALARNAS LÄN</t>
        </is>
      </c>
      <c r="E10288" t="inlineStr">
        <is>
          <t>LEKSAND</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58700-2024</t>
        </is>
      </c>
      <c r="B10289" s="1" t="n">
        <v>45635.63774305556</v>
      </c>
      <c r="C10289" s="1" t="n">
        <v>46114</v>
      </c>
      <c r="D10289" t="inlineStr">
        <is>
          <t>DALARNAS LÄN</t>
        </is>
      </c>
      <c r="E10289" t="inlineStr">
        <is>
          <t>RÄTTVIK</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61933-2023</t>
        </is>
      </c>
      <c r="B10290" s="1" t="n">
        <v>45266</v>
      </c>
      <c r="C10290" s="1" t="n">
        <v>46114</v>
      </c>
      <c r="D10290" t="inlineStr">
        <is>
          <t>DALARNAS LÄN</t>
        </is>
      </c>
      <c r="E10290" t="inlineStr">
        <is>
          <t>LEKSAND</t>
        </is>
      </c>
      <c r="G10290" t="n">
        <v>0.2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56385-2024</t>
        </is>
      </c>
      <c r="B10291" s="1" t="n">
        <v>45625.34310185185</v>
      </c>
      <c r="C10291" s="1" t="n">
        <v>46114</v>
      </c>
      <c r="D10291" t="inlineStr">
        <is>
          <t>DALARNAS LÄN</t>
        </is>
      </c>
      <c r="E10291" t="inlineStr">
        <is>
          <t>VANSBRO</t>
        </is>
      </c>
      <c r="F10291" t="inlineStr">
        <is>
          <t>Bergvik skog väst AB</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41015-2024</t>
        </is>
      </c>
      <c r="B10292" s="1" t="n">
        <v>45559.32537037037</v>
      </c>
      <c r="C10292" s="1" t="n">
        <v>46114</v>
      </c>
      <c r="D10292" t="inlineStr">
        <is>
          <t>DALARNAS LÄN</t>
        </is>
      </c>
      <c r="E10292" t="inlineStr">
        <is>
          <t>LEKSAND</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18105-2025</t>
        </is>
      </c>
      <c r="B10293" s="1" t="n">
        <v>45761.55462962963</v>
      </c>
      <c r="C10293" s="1" t="n">
        <v>46114</v>
      </c>
      <c r="D10293" t="inlineStr">
        <is>
          <t>DALARNAS LÄN</t>
        </is>
      </c>
      <c r="E10293" t="inlineStr">
        <is>
          <t>SMEDJEBACKEN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18107-2025</t>
        </is>
      </c>
      <c r="B10294" s="1" t="n">
        <v>45761.55939814815</v>
      </c>
      <c r="C10294" s="1" t="n">
        <v>46114</v>
      </c>
      <c r="D10294" t="inlineStr">
        <is>
          <t>DALARNAS LÄN</t>
        </is>
      </c>
      <c r="E10294" t="inlineStr">
        <is>
          <t>LEKSAND</t>
        </is>
      </c>
      <c r="G10294" t="n">
        <v>1.2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57947-2023</t>
        </is>
      </c>
      <c r="B10295" s="1" t="n">
        <v>45247.5615625</v>
      </c>
      <c r="C10295" s="1" t="n">
        <v>46114</v>
      </c>
      <c r="D10295" t="inlineStr">
        <is>
          <t>DALARNAS LÄN</t>
        </is>
      </c>
      <c r="E10295" t="inlineStr">
        <is>
          <t>VANSBRO</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49395-2024</t>
        </is>
      </c>
      <c r="B10296" s="1" t="n">
        <v>45595</v>
      </c>
      <c r="C10296" s="1" t="n">
        <v>46114</v>
      </c>
      <c r="D10296" t="inlineStr">
        <is>
          <t>DALARNAS LÄN</t>
        </is>
      </c>
      <c r="E10296" t="inlineStr">
        <is>
          <t>LEKSAND</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16706-2021</t>
        </is>
      </c>
      <c r="B10297" s="1" t="n">
        <v>44294.6346412037</v>
      </c>
      <c r="C10297" s="1" t="n">
        <v>46114</v>
      </c>
      <c r="D10297" t="inlineStr">
        <is>
          <t>DALARNAS LÄN</t>
        </is>
      </c>
      <c r="E10297" t="inlineStr">
        <is>
          <t>BORLÄNGE</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25441-2023</t>
        </is>
      </c>
      <c r="B10298" s="1" t="n">
        <v>45089</v>
      </c>
      <c r="C10298" s="1" t="n">
        <v>46114</v>
      </c>
      <c r="D10298" t="inlineStr">
        <is>
          <t>DALARNAS LÄN</t>
        </is>
      </c>
      <c r="E10298" t="inlineStr">
        <is>
          <t>MALUNG-SÄLEN</t>
        </is>
      </c>
      <c r="F10298" t="inlineStr">
        <is>
          <t>Bergvik skog öst AB</t>
        </is>
      </c>
      <c r="G10298" t="n">
        <v>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33533-2021</t>
        </is>
      </c>
      <c r="B10299" s="1" t="n">
        <v>44377</v>
      </c>
      <c r="C10299" s="1" t="n">
        <v>46114</v>
      </c>
      <c r="D10299" t="inlineStr">
        <is>
          <t>DALARNAS LÄN</t>
        </is>
      </c>
      <c r="E10299" t="inlineStr">
        <is>
          <t>RÄTTVIK</t>
        </is>
      </c>
      <c r="F10299" t="inlineStr">
        <is>
          <t>Kyrkan</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17157-2025</t>
        </is>
      </c>
      <c r="B10300" s="1" t="n">
        <v>45756.34162037037</v>
      </c>
      <c r="C10300" s="1" t="n">
        <v>46114</v>
      </c>
      <c r="D10300" t="inlineStr">
        <is>
          <t>DALARNAS LÄN</t>
        </is>
      </c>
      <c r="E10300" t="inlineStr">
        <is>
          <t>RÄTTVIK</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17172-2025</t>
        </is>
      </c>
      <c r="B10301" s="1" t="n">
        <v>45756.37201388889</v>
      </c>
      <c r="C10301" s="1" t="n">
        <v>46114</v>
      </c>
      <c r="D10301" t="inlineStr">
        <is>
          <t>DALARNAS LÄN</t>
        </is>
      </c>
      <c r="E10301" t="inlineStr">
        <is>
          <t>MORA</t>
        </is>
      </c>
      <c r="F10301" t="inlineStr">
        <is>
          <t>Bergvik skog öst AB</t>
        </is>
      </c>
      <c r="G10301" t="n">
        <v>0.5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59518-2022</t>
        </is>
      </c>
      <c r="B10302" s="1" t="n">
        <v>44907.52895833334</v>
      </c>
      <c r="C10302" s="1" t="n">
        <v>46114</v>
      </c>
      <c r="D10302" t="inlineStr">
        <is>
          <t>DALARNAS LÄN</t>
        </is>
      </c>
      <c r="E10302" t="inlineStr">
        <is>
          <t>RÄTTVIK</t>
        </is>
      </c>
      <c r="F10302" t="inlineStr">
        <is>
          <t>Övriga statliga verk och myndigheter</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44588-2023</t>
        </is>
      </c>
      <c r="B10303" s="1" t="n">
        <v>45189</v>
      </c>
      <c r="C10303" s="1" t="n">
        <v>46114</v>
      </c>
      <c r="D10303" t="inlineStr">
        <is>
          <t>DALARNAS LÄN</t>
        </is>
      </c>
      <c r="E10303" t="inlineStr">
        <is>
          <t>FALUN</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44593-2023</t>
        </is>
      </c>
      <c r="B10304" s="1" t="n">
        <v>45189</v>
      </c>
      <c r="C10304" s="1" t="n">
        <v>46114</v>
      </c>
      <c r="D10304" t="inlineStr">
        <is>
          <t>DALARNAS LÄN</t>
        </is>
      </c>
      <c r="E10304" t="inlineStr">
        <is>
          <t>FALUN</t>
        </is>
      </c>
      <c r="G10304" t="n">
        <v>0.2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18755-2025</t>
        </is>
      </c>
      <c r="B10305" s="1" t="n">
        <v>45763.81319444445</v>
      </c>
      <c r="C10305" s="1" t="n">
        <v>46114</v>
      </c>
      <c r="D10305" t="inlineStr">
        <is>
          <t>DALARNAS LÄN</t>
        </is>
      </c>
      <c r="E10305" t="inlineStr">
        <is>
          <t>SMEDJEBACKEN</t>
        </is>
      </c>
      <c r="F10305" t="inlineStr">
        <is>
          <t>Övriga Aktiebolag</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19426-2025</t>
        </is>
      </c>
      <c r="B10306" s="1" t="n">
        <v>45769.77425925926</v>
      </c>
      <c r="C10306" s="1" t="n">
        <v>46114</v>
      </c>
      <c r="D10306" t="inlineStr">
        <is>
          <t>DALARNAS LÄN</t>
        </is>
      </c>
      <c r="E10306" t="inlineStr">
        <is>
          <t>FALUN</t>
        </is>
      </c>
      <c r="G10306" t="n">
        <v>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34077-2022</t>
        </is>
      </c>
      <c r="B10307" s="1" t="n">
        <v>44791.42771990741</v>
      </c>
      <c r="C10307" s="1" t="n">
        <v>46114</v>
      </c>
      <c r="D10307" t="inlineStr">
        <is>
          <t>DALARNAS LÄN</t>
        </is>
      </c>
      <c r="E10307" t="inlineStr">
        <is>
          <t>MALUNG-SÄLEN</t>
        </is>
      </c>
      <c r="F10307" t="inlineStr">
        <is>
          <t>Bergvik skog öst AB</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56626-2024</t>
        </is>
      </c>
      <c r="B10308" s="1" t="n">
        <v>45625.66725694444</v>
      </c>
      <c r="C10308" s="1" t="n">
        <v>46114</v>
      </c>
      <c r="D10308" t="inlineStr">
        <is>
          <t>DALARNAS LÄN</t>
        </is>
      </c>
      <c r="E10308" t="inlineStr">
        <is>
          <t>FALUN</t>
        </is>
      </c>
      <c r="G10308" t="n">
        <v>14.1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12957-2022</t>
        </is>
      </c>
      <c r="B10309" s="1" t="n">
        <v>44643</v>
      </c>
      <c r="C10309" s="1" t="n">
        <v>46114</v>
      </c>
      <c r="D10309" t="inlineStr">
        <is>
          <t>DALARNAS LÄN</t>
        </is>
      </c>
      <c r="E10309" t="inlineStr">
        <is>
          <t>SÄTER</t>
        </is>
      </c>
      <c r="G10309" t="n">
        <v>8.1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13983-2024</t>
        </is>
      </c>
      <c r="B10310" s="1" t="n">
        <v>45392.40825231482</v>
      </c>
      <c r="C10310" s="1" t="n">
        <v>46114</v>
      </c>
      <c r="D10310" t="inlineStr">
        <is>
          <t>DALARNAS LÄN</t>
        </is>
      </c>
      <c r="E10310" t="inlineStr">
        <is>
          <t>BORLÄNGE</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46428-2024</t>
        </is>
      </c>
      <c r="B10311" s="1" t="n">
        <v>45582</v>
      </c>
      <c r="C10311" s="1" t="n">
        <v>46114</v>
      </c>
      <c r="D10311" t="inlineStr">
        <is>
          <t>DALARNAS LÄN</t>
        </is>
      </c>
      <c r="E10311" t="inlineStr">
        <is>
          <t>RÄTTVIK</t>
        </is>
      </c>
      <c r="G10311" t="n">
        <v>0.6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54414-2024</t>
        </is>
      </c>
      <c r="B10312" s="1" t="n">
        <v>45617</v>
      </c>
      <c r="C10312" s="1" t="n">
        <v>46114</v>
      </c>
      <c r="D10312" t="inlineStr">
        <is>
          <t>DALARNAS LÄN</t>
        </is>
      </c>
      <c r="E10312" t="inlineStr">
        <is>
          <t>BORLÄNGE</t>
        </is>
      </c>
      <c r="F10312" t="inlineStr">
        <is>
          <t>Bergvik skog väst AB</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19758-2025</t>
        </is>
      </c>
      <c r="B10313" s="1" t="n">
        <v>45771.39299768519</v>
      </c>
      <c r="C10313" s="1" t="n">
        <v>46114</v>
      </c>
      <c r="D10313" t="inlineStr">
        <is>
          <t>DALARNAS LÄN</t>
        </is>
      </c>
      <c r="E10313" t="inlineStr">
        <is>
          <t>SMEDJEBACKEN</t>
        </is>
      </c>
      <c r="F10313" t="inlineStr">
        <is>
          <t>Sveaskog</t>
        </is>
      </c>
      <c r="G10313" t="n">
        <v>9.1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36961-2024</t>
        </is>
      </c>
      <c r="B10314" s="1" t="n">
        <v>45538</v>
      </c>
      <c r="C10314" s="1" t="n">
        <v>46114</v>
      </c>
      <c r="D10314" t="inlineStr">
        <is>
          <t>DALARNAS LÄN</t>
        </is>
      </c>
      <c r="E10314" t="inlineStr">
        <is>
          <t>AVESTA</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757-2023</t>
        </is>
      </c>
      <c r="B10315" s="1" t="n">
        <v>44931.36844907407</v>
      </c>
      <c r="C10315" s="1" t="n">
        <v>46114</v>
      </c>
      <c r="D10315" t="inlineStr">
        <is>
          <t>DALARNAS LÄN</t>
        </is>
      </c>
      <c r="E10315" t="inlineStr">
        <is>
          <t>VANSBRO</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20670-2024</t>
        </is>
      </c>
      <c r="B10316" s="1" t="n">
        <v>45436</v>
      </c>
      <c r="C10316" s="1" t="n">
        <v>46114</v>
      </c>
      <c r="D10316" t="inlineStr">
        <is>
          <t>DALARNAS LÄN</t>
        </is>
      </c>
      <c r="E10316" t="inlineStr">
        <is>
          <t>HEDEMORA</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39009-2023</t>
        </is>
      </c>
      <c r="B10317" s="1" t="n">
        <v>45162</v>
      </c>
      <c r="C10317" s="1" t="n">
        <v>46114</v>
      </c>
      <c r="D10317" t="inlineStr">
        <is>
          <t>DALARNAS LÄN</t>
        </is>
      </c>
      <c r="E10317" t="inlineStr">
        <is>
          <t>MORA</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16034-2023</t>
        </is>
      </c>
      <c r="B10318" s="1" t="n">
        <v>45027.3740625</v>
      </c>
      <c r="C10318" s="1" t="n">
        <v>46114</v>
      </c>
      <c r="D10318" t="inlineStr">
        <is>
          <t>DALARNAS LÄN</t>
        </is>
      </c>
      <c r="E10318" t="inlineStr">
        <is>
          <t>MALUNG-SÄLEN</t>
        </is>
      </c>
      <c r="G10318" t="n">
        <v>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56532-2024</t>
        </is>
      </c>
      <c r="B10319" s="1" t="n">
        <v>45625.55440972222</v>
      </c>
      <c r="C10319" s="1" t="n">
        <v>46114</v>
      </c>
      <c r="D10319" t="inlineStr">
        <is>
          <t>DALARNAS LÄN</t>
        </is>
      </c>
      <c r="E10319" t="inlineStr">
        <is>
          <t>MORA</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56536-2024</t>
        </is>
      </c>
      <c r="B10320" s="1" t="n">
        <v>45625.55699074074</v>
      </c>
      <c r="C10320" s="1" t="n">
        <v>46114</v>
      </c>
      <c r="D10320" t="inlineStr">
        <is>
          <t>DALARNAS LÄN</t>
        </is>
      </c>
      <c r="E10320" t="inlineStr">
        <is>
          <t>AVESTA</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5973-2024</t>
        </is>
      </c>
      <c r="B10321" s="1" t="n">
        <v>45336</v>
      </c>
      <c r="C10321" s="1" t="n">
        <v>46114</v>
      </c>
      <c r="D10321" t="inlineStr">
        <is>
          <t>DALARNAS LÄN</t>
        </is>
      </c>
      <c r="E10321" t="inlineStr">
        <is>
          <t>FALUN</t>
        </is>
      </c>
      <c r="G10321" t="n">
        <v>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481-2024</t>
        </is>
      </c>
      <c r="B10322" s="1" t="n">
        <v>45298</v>
      </c>
      <c r="C10322" s="1" t="n">
        <v>46114</v>
      </c>
      <c r="D10322" t="inlineStr">
        <is>
          <t>DALARNAS LÄN</t>
        </is>
      </c>
      <c r="E10322" t="inlineStr">
        <is>
          <t>LEKSAND</t>
        </is>
      </c>
      <c r="G10322" t="n">
        <v>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7232-2025</t>
        </is>
      </c>
      <c r="B10323" s="1" t="n">
        <v>45702.51415509259</v>
      </c>
      <c r="C10323" s="1" t="n">
        <v>46114</v>
      </c>
      <c r="D10323" t="inlineStr">
        <is>
          <t>DALARNAS LÄN</t>
        </is>
      </c>
      <c r="E10323" t="inlineStr">
        <is>
          <t>ÄLVDALEN</t>
        </is>
      </c>
      <c r="F10323" t="inlineStr">
        <is>
          <t>Allmännings- och besparingsskogar</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3360-2023</t>
        </is>
      </c>
      <c r="B10324" s="1" t="n">
        <v>44949</v>
      </c>
      <c r="C10324" s="1" t="n">
        <v>46114</v>
      </c>
      <c r="D10324" t="inlineStr">
        <is>
          <t>DALARNAS LÄN</t>
        </is>
      </c>
      <c r="E10324" t="inlineStr">
        <is>
          <t>FALUN</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6476-2025</t>
        </is>
      </c>
      <c r="B10325" s="1" t="n">
        <v>45699</v>
      </c>
      <c r="C10325" s="1" t="n">
        <v>46114</v>
      </c>
      <c r="D10325" t="inlineStr">
        <is>
          <t>DALARNAS LÄN</t>
        </is>
      </c>
      <c r="E10325" t="inlineStr">
        <is>
          <t>ORSA</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6479-2025</t>
        </is>
      </c>
      <c r="B10326" s="1" t="n">
        <v>45699</v>
      </c>
      <c r="C10326" s="1" t="n">
        <v>46114</v>
      </c>
      <c r="D10326" t="inlineStr">
        <is>
          <t>DALARNAS LÄN</t>
        </is>
      </c>
      <c r="E10326" t="inlineStr">
        <is>
          <t>ORSA</t>
        </is>
      </c>
      <c r="G10326" t="n">
        <v>3.2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48645-2021</t>
        </is>
      </c>
      <c r="B10327" s="1" t="n">
        <v>44452.52619212963</v>
      </c>
      <c r="C10327" s="1" t="n">
        <v>46114</v>
      </c>
      <c r="D10327" t="inlineStr">
        <is>
          <t>DALARNAS LÄN</t>
        </is>
      </c>
      <c r="E10327" t="inlineStr">
        <is>
          <t>GAGNEF</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56807-2024</t>
        </is>
      </c>
      <c r="B10328" s="1" t="n">
        <v>45628.47519675926</v>
      </c>
      <c r="C10328" s="1" t="n">
        <v>46114</v>
      </c>
      <c r="D10328" t="inlineStr">
        <is>
          <t>DALARNAS LÄN</t>
        </is>
      </c>
      <c r="E10328" t="inlineStr">
        <is>
          <t>ORSA</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15277-2025</t>
        </is>
      </c>
      <c r="B10329" s="1" t="n">
        <v>45744</v>
      </c>
      <c r="C10329" s="1" t="n">
        <v>46114</v>
      </c>
      <c r="D10329" t="inlineStr">
        <is>
          <t>DALARNAS LÄN</t>
        </is>
      </c>
      <c r="E10329" t="inlineStr">
        <is>
          <t>RÄTTVIK</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5001-2025</t>
        </is>
      </c>
      <c r="B10330" s="1" t="n">
        <v>45691.36403935185</v>
      </c>
      <c r="C10330" s="1" t="n">
        <v>46114</v>
      </c>
      <c r="D10330" t="inlineStr">
        <is>
          <t>DALARNAS LÄN</t>
        </is>
      </c>
      <c r="E10330" t="inlineStr">
        <is>
          <t>MORA</t>
        </is>
      </c>
      <c r="G10330" t="n">
        <v>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44590-2023</t>
        </is>
      </c>
      <c r="B10331" s="1" t="n">
        <v>45189</v>
      </c>
      <c r="C10331" s="1" t="n">
        <v>46114</v>
      </c>
      <c r="D10331" t="inlineStr">
        <is>
          <t>DALARNAS LÄN</t>
        </is>
      </c>
      <c r="E10331" t="inlineStr">
        <is>
          <t>FALUN</t>
        </is>
      </c>
      <c r="G10331" t="n">
        <v>3.6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6778-2025</t>
        </is>
      </c>
      <c r="B10332" s="1" t="n">
        <v>45700.64615740741</v>
      </c>
      <c r="C10332" s="1" t="n">
        <v>46114</v>
      </c>
      <c r="D10332" t="inlineStr">
        <is>
          <t>DALARNAS LÄN</t>
        </is>
      </c>
      <c r="E10332" t="inlineStr">
        <is>
          <t>LEKSAND</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54965-2022</t>
        </is>
      </c>
      <c r="B10333" s="1" t="n">
        <v>44886</v>
      </c>
      <c r="C10333" s="1" t="n">
        <v>46114</v>
      </c>
      <c r="D10333" t="inlineStr">
        <is>
          <t>DALARNAS LÄN</t>
        </is>
      </c>
      <c r="E10333" t="inlineStr">
        <is>
          <t>SMEDJEBACKEN</t>
        </is>
      </c>
      <c r="F10333" t="inlineStr">
        <is>
          <t>Sveaskog</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60129-2022</t>
        </is>
      </c>
      <c r="B10334" s="1" t="n">
        <v>44909</v>
      </c>
      <c r="C10334" s="1" t="n">
        <v>46114</v>
      </c>
      <c r="D10334" t="inlineStr">
        <is>
          <t>DALARNAS LÄN</t>
        </is>
      </c>
      <c r="E10334" t="inlineStr">
        <is>
          <t>RÄTTVIK</t>
        </is>
      </c>
      <c r="F10334" t="inlineStr">
        <is>
          <t>Sveaskog</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44733-2023</t>
        </is>
      </c>
      <c r="B10335" s="1" t="n">
        <v>45190</v>
      </c>
      <c r="C10335" s="1" t="n">
        <v>46114</v>
      </c>
      <c r="D10335" t="inlineStr">
        <is>
          <t>DALARNAS LÄN</t>
        </is>
      </c>
      <c r="E10335" t="inlineStr">
        <is>
          <t>RÄTTVIK</t>
        </is>
      </c>
      <c r="G10335" t="n">
        <v>5.7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20021-2023</t>
        </is>
      </c>
      <c r="B10336" s="1" t="n">
        <v>45054</v>
      </c>
      <c r="C10336" s="1" t="n">
        <v>46114</v>
      </c>
      <c r="D10336" t="inlineStr">
        <is>
          <t>DALARNAS LÄN</t>
        </is>
      </c>
      <c r="E10336" t="inlineStr">
        <is>
          <t>MALUNG-SÄLEN</t>
        </is>
      </c>
      <c r="G10336" t="n">
        <v>2.5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9371-2025</t>
        </is>
      </c>
      <c r="B10337" s="1" t="n">
        <v>45715.32804398148</v>
      </c>
      <c r="C10337" s="1" t="n">
        <v>46114</v>
      </c>
      <c r="D10337" t="inlineStr">
        <is>
          <t>DALARNAS LÄN</t>
        </is>
      </c>
      <c r="E10337" t="inlineStr">
        <is>
          <t>VANSBRO</t>
        </is>
      </c>
      <c r="G10337" t="n">
        <v>5.8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60360-2023</t>
        </is>
      </c>
      <c r="B10338" s="1" t="n">
        <v>45259</v>
      </c>
      <c r="C10338" s="1" t="n">
        <v>46114</v>
      </c>
      <c r="D10338" t="inlineStr">
        <is>
          <t>DALARNAS LÄN</t>
        </is>
      </c>
      <c r="E10338" t="inlineStr">
        <is>
          <t>MORA</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41682-2023</t>
        </is>
      </c>
      <c r="B10339" s="1" t="n">
        <v>45176.35158564815</v>
      </c>
      <c r="C10339" s="1" t="n">
        <v>46114</v>
      </c>
      <c r="D10339" t="inlineStr">
        <is>
          <t>DALARNAS LÄN</t>
        </is>
      </c>
      <c r="E10339" t="inlineStr">
        <is>
          <t>RÄTTVIK</t>
        </is>
      </c>
      <c r="F10339" t="inlineStr">
        <is>
          <t>Bergvik skog väst AB</t>
        </is>
      </c>
      <c r="G10339" t="n">
        <v>2.1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17164-2025</t>
        </is>
      </c>
      <c r="B10340" s="1" t="n">
        <v>45756.36403935185</v>
      </c>
      <c r="C10340" s="1" t="n">
        <v>46114</v>
      </c>
      <c r="D10340" t="inlineStr">
        <is>
          <t>DALARNAS LÄN</t>
        </is>
      </c>
      <c r="E10340" t="inlineStr">
        <is>
          <t>MORA</t>
        </is>
      </c>
      <c r="F10340" t="inlineStr">
        <is>
          <t>Bergvik skog öst AB</t>
        </is>
      </c>
      <c r="G10340" t="n">
        <v>0.3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24768-2024</t>
        </is>
      </c>
      <c r="B10341" s="1" t="n">
        <v>45460.69545138889</v>
      </c>
      <c r="C10341" s="1" t="n">
        <v>46114</v>
      </c>
      <c r="D10341" t="inlineStr">
        <is>
          <t>DALARNAS LÄN</t>
        </is>
      </c>
      <c r="E10341" t="inlineStr">
        <is>
          <t>MORA</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22622-2023</t>
        </is>
      </c>
      <c r="B10342" s="1" t="n">
        <v>45071</v>
      </c>
      <c r="C10342" s="1" t="n">
        <v>46114</v>
      </c>
      <c r="D10342" t="inlineStr">
        <is>
          <t>DALARNAS LÄN</t>
        </is>
      </c>
      <c r="E10342" t="inlineStr">
        <is>
          <t>MALUNG-SÄLEN</t>
        </is>
      </c>
      <c r="F10342" t="inlineStr">
        <is>
          <t>Bergvik skog öst AB</t>
        </is>
      </c>
      <c r="G10342" t="n">
        <v>1.6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50278-2023</t>
        </is>
      </c>
      <c r="B10343" s="1" t="n">
        <v>45216.43444444444</v>
      </c>
      <c r="C10343" s="1" t="n">
        <v>46114</v>
      </c>
      <c r="D10343" t="inlineStr">
        <is>
          <t>DALARNAS LÄN</t>
        </is>
      </c>
      <c r="E10343" t="inlineStr">
        <is>
          <t>LEKSAND</t>
        </is>
      </c>
      <c r="G10343" t="n">
        <v>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29506-2024</t>
        </is>
      </c>
      <c r="B10344" s="1" t="n">
        <v>45484.42069444444</v>
      </c>
      <c r="C10344" s="1" t="n">
        <v>46114</v>
      </c>
      <c r="D10344" t="inlineStr">
        <is>
          <t>DALARNAS LÄN</t>
        </is>
      </c>
      <c r="E10344" t="inlineStr">
        <is>
          <t>RÄTTVIK</t>
        </is>
      </c>
      <c r="F10344" t="inlineStr">
        <is>
          <t>Bergvik skog väst AB</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29508-2024</t>
        </is>
      </c>
      <c r="B10345" s="1" t="n">
        <v>45484.42530092593</v>
      </c>
      <c r="C10345" s="1" t="n">
        <v>46114</v>
      </c>
      <c r="D10345" t="inlineStr">
        <is>
          <t>DALARNAS LÄN</t>
        </is>
      </c>
      <c r="E10345" t="inlineStr">
        <is>
          <t>FALUN</t>
        </is>
      </c>
      <c r="G10345" t="n">
        <v>0.5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60072-2023</t>
        </is>
      </c>
      <c r="B10346" s="1" t="n">
        <v>45258</v>
      </c>
      <c r="C10346" s="1" t="n">
        <v>46114</v>
      </c>
      <c r="D10346" t="inlineStr">
        <is>
          <t>DALARNAS LÄN</t>
        </is>
      </c>
      <c r="E10346" t="inlineStr">
        <is>
          <t>BORLÄNGE</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60138-2023</t>
        </is>
      </c>
      <c r="B10347" s="1" t="n">
        <v>45258.49928240741</v>
      </c>
      <c r="C10347" s="1" t="n">
        <v>46114</v>
      </c>
      <c r="D10347" t="inlineStr">
        <is>
          <t>DALARNAS LÄN</t>
        </is>
      </c>
      <c r="E10347" t="inlineStr">
        <is>
          <t>LUDVIKA</t>
        </is>
      </c>
      <c r="G10347" t="n">
        <v>1.3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52634-2024</t>
        </is>
      </c>
      <c r="B10348" s="1" t="n">
        <v>45610.31482638889</v>
      </c>
      <c r="C10348" s="1" t="n">
        <v>46114</v>
      </c>
      <c r="D10348" t="inlineStr">
        <is>
          <t>DALARNAS LÄN</t>
        </is>
      </c>
      <c r="E10348" t="inlineStr">
        <is>
          <t>FALUN</t>
        </is>
      </c>
      <c r="F10348" t="inlineStr">
        <is>
          <t>Bergvik skog väst AB</t>
        </is>
      </c>
      <c r="G10348" t="n">
        <v>0.9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52643-2024</t>
        </is>
      </c>
      <c r="B10349" s="1" t="n">
        <v>45610.34175925926</v>
      </c>
      <c r="C10349" s="1" t="n">
        <v>46114</v>
      </c>
      <c r="D10349" t="inlineStr">
        <is>
          <t>DALARNAS LÄN</t>
        </is>
      </c>
      <c r="E10349" t="inlineStr">
        <is>
          <t>ORSA</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39535-2021</t>
        </is>
      </c>
      <c r="B10350" s="1" t="n">
        <v>44415.96331018519</v>
      </c>
      <c r="C10350" s="1" t="n">
        <v>46114</v>
      </c>
      <c r="D10350" t="inlineStr">
        <is>
          <t>DALARNAS LÄN</t>
        </is>
      </c>
      <c r="E10350" t="inlineStr">
        <is>
          <t>SMEDJEBACKEN</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59318-2024</t>
        </is>
      </c>
      <c r="B10351" s="1" t="n">
        <v>45637.70024305556</v>
      </c>
      <c r="C10351" s="1" t="n">
        <v>46114</v>
      </c>
      <c r="D10351" t="inlineStr">
        <is>
          <t>DALARNAS LÄN</t>
        </is>
      </c>
      <c r="E10351" t="inlineStr">
        <is>
          <t>MALUNG-SÄLEN</t>
        </is>
      </c>
      <c r="F10351" t="inlineStr">
        <is>
          <t>Allmännings- och besparingsskogar</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59319-2024</t>
        </is>
      </c>
      <c r="B10352" s="1" t="n">
        <v>45637.70347222222</v>
      </c>
      <c r="C10352" s="1" t="n">
        <v>46114</v>
      </c>
      <c r="D10352" t="inlineStr">
        <is>
          <t>DALARNAS LÄN</t>
        </is>
      </c>
      <c r="E10352" t="inlineStr">
        <is>
          <t>FALUN</t>
        </is>
      </c>
      <c r="G10352" t="n">
        <v>5.2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51354-2022</t>
        </is>
      </c>
      <c r="B10353" s="1" t="n">
        <v>44866</v>
      </c>
      <c r="C10353" s="1" t="n">
        <v>46114</v>
      </c>
      <c r="D10353" t="inlineStr">
        <is>
          <t>DALARNAS LÄN</t>
        </is>
      </c>
      <c r="E10353" t="inlineStr">
        <is>
          <t>RÄTTVIK</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19197-2023</t>
        </is>
      </c>
      <c r="B10354" s="1" t="n">
        <v>45048</v>
      </c>
      <c r="C10354" s="1" t="n">
        <v>46114</v>
      </c>
      <c r="D10354" t="inlineStr">
        <is>
          <t>DALARNAS LÄN</t>
        </is>
      </c>
      <c r="E10354" t="inlineStr">
        <is>
          <t>GAGNEF</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13401-2023</t>
        </is>
      </c>
      <c r="B10355" s="1" t="n">
        <v>45005</v>
      </c>
      <c r="C10355" s="1" t="n">
        <v>46114</v>
      </c>
      <c r="D10355" t="inlineStr">
        <is>
          <t>DALARNAS LÄN</t>
        </is>
      </c>
      <c r="E10355" t="inlineStr">
        <is>
          <t>LEKSAND</t>
        </is>
      </c>
      <c r="G10355" t="n">
        <v>0.7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19394-2025</t>
        </is>
      </c>
      <c r="B10356" s="1" t="n">
        <v>45769</v>
      </c>
      <c r="C10356" s="1" t="n">
        <v>46114</v>
      </c>
      <c r="D10356" t="inlineStr">
        <is>
          <t>DALARNAS LÄN</t>
        </is>
      </c>
      <c r="E10356" t="inlineStr">
        <is>
          <t>RÄTTVIK</t>
        </is>
      </c>
      <c r="F10356" t="inlineStr">
        <is>
          <t>Bergvik skog väst AB</t>
        </is>
      </c>
      <c r="G10356" t="n">
        <v>5.4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50529-2024</t>
        </is>
      </c>
      <c r="B10357" s="1" t="n">
        <v>45601.56384259259</v>
      </c>
      <c r="C10357" s="1" t="n">
        <v>46114</v>
      </c>
      <c r="D10357" t="inlineStr">
        <is>
          <t>DALARNAS LÄN</t>
        </is>
      </c>
      <c r="E10357" t="inlineStr">
        <is>
          <t>LUDVIKA</t>
        </is>
      </c>
      <c r="G10357" t="n">
        <v>0.2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35354-2024</t>
        </is>
      </c>
      <c r="B10358" s="1" t="n">
        <v>45531.30974537037</v>
      </c>
      <c r="C10358" s="1" t="n">
        <v>46114</v>
      </c>
      <c r="D10358" t="inlineStr">
        <is>
          <t>DALARNAS LÄN</t>
        </is>
      </c>
      <c r="E10358" t="inlineStr">
        <is>
          <t>LUDVIKA</t>
        </is>
      </c>
      <c r="F10358" t="inlineStr">
        <is>
          <t>Bergvik skog väst AB</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47732-2021</t>
        </is>
      </c>
      <c r="B10359" s="1" t="n">
        <v>44448.52815972222</v>
      </c>
      <c r="C10359" s="1" t="n">
        <v>46114</v>
      </c>
      <c r="D10359" t="inlineStr">
        <is>
          <t>DALARNAS LÄN</t>
        </is>
      </c>
      <c r="E10359" t="inlineStr">
        <is>
          <t>ORSA</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18293-2024</t>
        </is>
      </c>
      <c r="B10360" s="1" t="n">
        <v>45422.40207175926</v>
      </c>
      <c r="C10360" s="1" t="n">
        <v>46114</v>
      </c>
      <c r="D10360" t="inlineStr">
        <is>
          <t>DALARNAS LÄN</t>
        </is>
      </c>
      <c r="E10360" t="inlineStr">
        <is>
          <t>RÄTTVIK</t>
        </is>
      </c>
      <c r="F10360" t="inlineStr">
        <is>
          <t>Allmännings- och besparingsskogar</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10363-2025</t>
        </is>
      </c>
      <c r="B10361" s="1" t="n">
        <v>45720.54300925926</v>
      </c>
      <c r="C10361" s="1" t="n">
        <v>46114</v>
      </c>
      <c r="D10361" t="inlineStr">
        <is>
          <t>DALARNAS LÄN</t>
        </is>
      </c>
      <c r="E10361" t="inlineStr">
        <is>
          <t>MALUNG-SÄLEN</t>
        </is>
      </c>
      <c r="G10361" t="n">
        <v>7.7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16026-2025</t>
        </is>
      </c>
      <c r="B10362" s="1" t="n">
        <v>45749</v>
      </c>
      <c r="C10362" s="1" t="n">
        <v>46114</v>
      </c>
      <c r="D10362" t="inlineStr">
        <is>
          <t>DALARNAS LÄN</t>
        </is>
      </c>
      <c r="E10362" t="inlineStr">
        <is>
          <t>MALUNG-SÄLEN</t>
        </is>
      </c>
      <c r="G10362" t="n">
        <v>2.8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7814-2025</t>
        </is>
      </c>
      <c r="B10363" s="1" t="n">
        <v>45706</v>
      </c>
      <c r="C10363" s="1" t="n">
        <v>46114</v>
      </c>
      <c r="D10363" t="inlineStr">
        <is>
          <t>DALARNAS LÄN</t>
        </is>
      </c>
      <c r="E10363" t="inlineStr">
        <is>
          <t>FALUN</t>
        </is>
      </c>
      <c r="F10363" t="inlineStr">
        <is>
          <t>Övriga statliga verk och myndigheter</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7052-2025</t>
        </is>
      </c>
      <c r="B10364" s="1" t="n">
        <v>45701.64659722222</v>
      </c>
      <c r="C10364" s="1" t="n">
        <v>46114</v>
      </c>
      <c r="D10364" t="inlineStr">
        <is>
          <t>DALARNAS LÄN</t>
        </is>
      </c>
      <c r="E10364" t="inlineStr">
        <is>
          <t>HEDEMORA</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56827-2024</t>
        </is>
      </c>
      <c r="B10365" s="1" t="n">
        <v>45628.49442129629</v>
      </c>
      <c r="C10365" s="1" t="n">
        <v>46114</v>
      </c>
      <c r="D10365" t="inlineStr">
        <is>
          <t>DALARNAS LÄN</t>
        </is>
      </c>
      <c r="E10365" t="inlineStr">
        <is>
          <t>SÄTER</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32841-2024</t>
        </is>
      </c>
      <c r="B10366" s="1" t="n">
        <v>45516.60981481482</v>
      </c>
      <c r="C10366" s="1" t="n">
        <v>46114</v>
      </c>
      <c r="D10366" t="inlineStr">
        <is>
          <t>DALARNAS LÄN</t>
        </is>
      </c>
      <c r="E10366" t="inlineStr">
        <is>
          <t>RÄTTVIK</t>
        </is>
      </c>
      <c r="G10366" t="n">
        <v>0.9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48321-2024</t>
        </is>
      </c>
      <c r="B10367" s="1" t="n">
        <v>45590.50111111111</v>
      </c>
      <c r="C10367" s="1" t="n">
        <v>46114</v>
      </c>
      <c r="D10367" t="inlineStr">
        <is>
          <t>DALARNAS LÄN</t>
        </is>
      </c>
      <c r="E10367" t="inlineStr">
        <is>
          <t>HEDEMORA</t>
        </is>
      </c>
      <c r="F10367" t="inlineStr">
        <is>
          <t>Sveaskog</t>
        </is>
      </c>
      <c r="G10367" t="n">
        <v>5.2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30776-2023</t>
        </is>
      </c>
      <c r="B10368" s="1" t="n">
        <v>45112</v>
      </c>
      <c r="C10368" s="1" t="n">
        <v>46114</v>
      </c>
      <c r="D10368" t="inlineStr">
        <is>
          <t>DALARNAS LÄN</t>
        </is>
      </c>
      <c r="E10368" t="inlineStr">
        <is>
          <t>RÄTTVIK</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40101-2024</t>
        </is>
      </c>
      <c r="B10369" s="1" t="n">
        <v>45554.42622685185</v>
      </c>
      <c r="C10369" s="1" t="n">
        <v>46114</v>
      </c>
      <c r="D10369" t="inlineStr">
        <is>
          <t>DALARNAS LÄN</t>
        </is>
      </c>
      <c r="E10369" t="inlineStr">
        <is>
          <t>ORSA</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54312-2023</t>
        </is>
      </c>
      <c r="B10370" s="1" t="n">
        <v>45232</v>
      </c>
      <c r="C10370" s="1" t="n">
        <v>46114</v>
      </c>
      <c r="D10370" t="inlineStr">
        <is>
          <t>DALARNAS LÄN</t>
        </is>
      </c>
      <c r="E10370" t="inlineStr">
        <is>
          <t>SÄTER</t>
        </is>
      </c>
      <c r="G10370" t="n">
        <v>2.7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48615-2023</t>
        </is>
      </c>
      <c r="B10371" s="1" t="n">
        <v>45208</v>
      </c>
      <c r="C10371" s="1" t="n">
        <v>46114</v>
      </c>
      <c r="D10371" t="inlineStr">
        <is>
          <t>DALARNAS LÄN</t>
        </is>
      </c>
      <c r="E10371" t="inlineStr">
        <is>
          <t>LUDVIKA</t>
        </is>
      </c>
      <c r="F10371" t="inlineStr">
        <is>
          <t>Bergvik skog väst AB</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1257-2023</t>
        </is>
      </c>
      <c r="B10372" s="1" t="n">
        <v>44936.37686342592</v>
      </c>
      <c r="C10372" s="1" t="n">
        <v>46114</v>
      </c>
      <c r="D10372" t="inlineStr">
        <is>
          <t>DALARNAS LÄN</t>
        </is>
      </c>
      <c r="E10372" t="inlineStr">
        <is>
          <t>MALUNG-SÄLEN</t>
        </is>
      </c>
      <c r="G10372" t="n">
        <v>3.1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23323-2023</t>
        </is>
      </c>
      <c r="B10373" s="1" t="n">
        <v>45076</v>
      </c>
      <c r="C10373" s="1" t="n">
        <v>46114</v>
      </c>
      <c r="D10373" t="inlineStr">
        <is>
          <t>DALARNAS LÄN</t>
        </is>
      </c>
      <c r="E10373" t="inlineStr">
        <is>
          <t>LEKSAND</t>
        </is>
      </c>
      <c r="G10373" t="n">
        <v>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3543-2023</t>
        </is>
      </c>
      <c r="B10374" s="1" t="n">
        <v>44950</v>
      </c>
      <c r="C10374" s="1" t="n">
        <v>46114</v>
      </c>
      <c r="D10374" t="inlineStr">
        <is>
          <t>DALARNAS LÄN</t>
        </is>
      </c>
      <c r="E10374" t="inlineStr">
        <is>
          <t>MALUNG-SÄLEN</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18761-2025</t>
        </is>
      </c>
      <c r="B10375" s="1" t="n">
        <v>45763.91444444445</v>
      </c>
      <c r="C10375" s="1" t="n">
        <v>46114</v>
      </c>
      <c r="D10375" t="inlineStr">
        <is>
          <t>DALARNAS LÄN</t>
        </is>
      </c>
      <c r="E10375" t="inlineStr">
        <is>
          <t>SMEDJEBACKEN</t>
        </is>
      </c>
      <c r="F10375" t="inlineStr">
        <is>
          <t>Övriga Aktiebolag</t>
        </is>
      </c>
      <c r="G10375" t="n">
        <v>6.8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17278-2025</t>
        </is>
      </c>
      <c r="B10376" s="1" t="n">
        <v>45756.56131944444</v>
      </c>
      <c r="C10376" s="1" t="n">
        <v>46114</v>
      </c>
      <c r="D10376" t="inlineStr">
        <is>
          <t>DALARNAS LÄN</t>
        </is>
      </c>
      <c r="E10376" t="inlineStr">
        <is>
          <t>MORA</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47790-2024</t>
        </is>
      </c>
      <c r="B10377" s="1" t="n">
        <v>45588.595625</v>
      </c>
      <c r="C10377" s="1" t="n">
        <v>46114</v>
      </c>
      <c r="D10377" t="inlineStr">
        <is>
          <t>DALARNAS LÄN</t>
        </is>
      </c>
      <c r="E10377" t="inlineStr">
        <is>
          <t>VANSBRO</t>
        </is>
      </c>
      <c r="F10377" t="inlineStr">
        <is>
          <t>Övriga statliga verk och myndigheter</t>
        </is>
      </c>
      <c r="G10377" t="n">
        <v>0.6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36462-2024</t>
        </is>
      </c>
      <c r="B10378" s="1" t="n">
        <v>45537.35211805555</v>
      </c>
      <c r="C10378" s="1" t="n">
        <v>46114</v>
      </c>
      <c r="D10378" t="inlineStr">
        <is>
          <t>DALARNAS LÄN</t>
        </is>
      </c>
      <c r="E10378" t="inlineStr">
        <is>
          <t>ÄLVDALEN</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4209-2023</t>
        </is>
      </c>
      <c r="B10379" s="1" t="n">
        <v>44953</v>
      </c>
      <c r="C10379" s="1" t="n">
        <v>46114</v>
      </c>
      <c r="D10379" t="inlineStr">
        <is>
          <t>DALARNAS LÄN</t>
        </is>
      </c>
      <c r="E10379" t="inlineStr">
        <is>
          <t>MORA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4216-2023</t>
        </is>
      </c>
      <c r="B10380" s="1" t="n">
        <v>44953.45762731481</v>
      </c>
      <c r="C10380" s="1" t="n">
        <v>46114</v>
      </c>
      <c r="D10380" t="inlineStr">
        <is>
          <t>DALARNAS LÄN</t>
        </is>
      </c>
      <c r="E10380" t="inlineStr">
        <is>
          <t>SÄTER</t>
        </is>
      </c>
      <c r="G10380" t="n">
        <v>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61397-2024</t>
        </is>
      </c>
      <c r="B10381" s="1" t="n">
        <v>45646.42331018519</v>
      </c>
      <c r="C10381" s="1" t="n">
        <v>46114</v>
      </c>
      <c r="D10381" t="inlineStr">
        <is>
          <t>DALARNAS LÄN</t>
        </is>
      </c>
      <c r="E10381" t="inlineStr">
        <is>
          <t>FALUN</t>
        </is>
      </c>
      <c r="F10381" t="inlineStr">
        <is>
          <t>Bergvik skog väst AB</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19085-2025</t>
        </is>
      </c>
      <c r="B10382" s="1" t="n">
        <v>45766.80628472222</v>
      </c>
      <c r="C10382" s="1" t="n">
        <v>46114</v>
      </c>
      <c r="D10382" t="inlineStr">
        <is>
          <t>DALARNAS LÄN</t>
        </is>
      </c>
      <c r="E10382" t="inlineStr">
        <is>
          <t>SMEDJEBACKEN</t>
        </is>
      </c>
      <c r="G10382" t="n">
        <v>2.4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17485-2025</t>
        </is>
      </c>
      <c r="B10383" s="1" t="n">
        <v>45757.49976851852</v>
      </c>
      <c r="C10383" s="1" t="n">
        <v>46114</v>
      </c>
      <c r="D10383" t="inlineStr">
        <is>
          <t>DALARNAS LÄN</t>
        </is>
      </c>
      <c r="E10383" t="inlineStr">
        <is>
          <t>LEKSAND</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17503-2025</t>
        </is>
      </c>
      <c r="B10384" s="1" t="n">
        <v>45757.55321759259</v>
      </c>
      <c r="C10384" s="1" t="n">
        <v>46114</v>
      </c>
      <c r="D10384" t="inlineStr">
        <is>
          <t>DALARNAS LÄN</t>
        </is>
      </c>
      <c r="E10384" t="inlineStr">
        <is>
          <t>ORSA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18176-2024</t>
        </is>
      </c>
      <c r="B10385" s="1" t="n">
        <v>45420.63901620371</v>
      </c>
      <c r="C10385" s="1" t="n">
        <v>46114</v>
      </c>
      <c r="D10385" t="inlineStr">
        <is>
          <t>DALARNAS LÄN</t>
        </is>
      </c>
      <c r="E10385" t="inlineStr">
        <is>
          <t>LEKSAND</t>
        </is>
      </c>
      <c r="F10385" t="inlineStr">
        <is>
          <t>Bergvik skog väst AB</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5981-2023</t>
        </is>
      </c>
      <c r="B10386" s="1" t="n">
        <v>44964</v>
      </c>
      <c r="C10386" s="1" t="n">
        <v>46114</v>
      </c>
      <c r="D10386" t="inlineStr">
        <is>
          <t>DALARNAS LÄN</t>
        </is>
      </c>
      <c r="E10386" t="inlineStr">
        <is>
          <t>SÄTER</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18658-2025</t>
        </is>
      </c>
      <c r="B10387" s="1" t="n">
        <v>45763.58126157407</v>
      </c>
      <c r="C10387" s="1" t="n">
        <v>46114</v>
      </c>
      <c r="D10387" t="inlineStr">
        <is>
          <t>DALARNAS LÄN</t>
        </is>
      </c>
      <c r="E10387" t="inlineStr">
        <is>
          <t>VANSBRO</t>
        </is>
      </c>
      <c r="G10387" t="n">
        <v>2.7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61507-2024</t>
        </is>
      </c>
      <c r="B10388" s="1" t="n">
        <v>45646.56313657408</v>
      </c>
      <c r="C10388" s="1" t="n">
        <v>46114</v>
      </c>
      <c r="D10388" t="inlineStr">
        <is>
          <t>DALARNAS LÄN</t>
        </is>
      </c>
      <c r="E10388" t="inlineStr">
        <is>
          <t>AVESTA</t>
        </is>
      </c>
      <c r="G10388" t="n">
        <v>1.3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49056-2023</t>
        </is>
      </c>
      <c r="B10389" s="1" t="n">
        <v>45210.33983796297</v>
      </c>
      <c r="C10389" s="1" t="n">
        <v>46114</v>
      </c>
      <c r="D10389" t="inlineStr">
        <is>
          <t>DALARNAS LÄN</t>
        </is>
      </c>
      <c r="E10389" t="inlineStr">
        <is>
          <t>BORLÄNGE</t>
        </is>
      </c>
      <c r="F10389" t="inlineStr">
        <is>
          <t>Bergvik skog väst AB</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44205-2023</t>
        </is>
      </c>
      <c r="B10390" s="1" t="n">
        <v>45188</v>
      </c>
      <c r="C10390" s="1" t="n">
        <v>46114</v>
      </c>
      <c r="D10390" t="inlineStr">
        <is>
          <t>DALARNAS LÄN</t>
        </is>
      </c>
      <c r="E10390" t="inlineStr">
        <is>
          <t>MORA</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5518-2024</t>
        </is>
      </c>
      <c r="B10391" s="1" t="n">
        <v>45334.3753125</v>
      </c>
      <c r="C10391" s="1" t="n">
        <v>46114</v>
      </c>
      <c r="D10391" t="inlineStr">
        <is>
          <t>DALARNAS LÄN</t>
        </is>
      </c>
      <c r="E10391" t="inlineStr">
        <is>
          <t>RÄTTVIK</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22732-2024</t>
        </is>
      </c>
      <c r="B10392" s="1" t="n">
        <v>45448.38677083333</v>
      </c>
      <c r="C10392" s="1" t="n">
        <v>46114</v>
      </c>
      <c r="D10392" t="inlineStr">
        <is>
          <t>DALARNAS LÄN</t>
        </is>
      </c>
      <c r="E10392" t="inlineStr">
        <is>
          <t>MORA</t>
        </is>
      </c>
      <c r="G10392" t="n">
        <v>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37830-2024</t>
        </is>
      </c>
      <c r="B10393" s="1" t="n">
        <v>45544.34504629629</v>
      </c>
      <c r="C10393" s="1" t="n">
        <v>46114</v>
      </c>
      <c r="D10393" t="inlineStr">
        <is>
          <t>DALARNAS LÄN</t>
        </is>
      </c>
      <c r="E10393" t="inlineStr">
        <is>
          <t>ORSA</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19756-2022</t>
        </is>
      </c>
      <c r="B10394" s="1" t="n">
        <v>44694.62913194444</v>
      </c>
      <c r="C10394" s="1" t="n">
        <v>46114</v>
      </c>
      <c r="D10394" t="inlineStr">
        <is>
          <t>DALARNAS LÄN</t>
        </is>
      </c>
      <c r="E10394" t="inlineStr">
        <is>
          <t>MORA</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128-2024</t>
        </is>
      </c>
      <c r="B10395" s="1" t="n">
        <v>45294.41001157407</v>
      </c>
      <c r="C10395" s="1" t="n">
        <v>46114</v>
      </c>
      <c r="D10395" t="inlineStr">
        <is>
          <t>DALARNAS LÄN</t>
        </is>
      </c>
      <c r="E10395" t="inlineStr">
        <is>
          <t>BORLÄNGE</t>
        </is>
      </c>
      <c r="G10395" t="n">
        <v>1.5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33072-2021</t>
        </is>
      </c>
      <c r="B10396" s="1" t="n">
        <v>44375</v>
      </c>
      <c r="C10396" s="1" t="n">
        <v>46114</v>
      </c>
      <c r="D10396" t="inlineStr">
        <is>
          <t>DALARNAS LÄN</t>
        </is>
      </c>
      <c r="E10396" t="inlineStr">
        <is>
          <t>LEKSAND</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412-2024</t>
        </is>
      </c>
      <c r="B10397" s="1" t="n">
        <v>45296</v>
      </c>
      <c r="C10397" s="1" t="n">
        <v>46114</v>
      </c>
      <c r="D10397" t="inlineStr">
        <is>
          <t>DALARNAS LÄN</t>
        </is>
      </c>
      <c r="E10397" t="inlineStr">
        <is>
          <t>LEKSAND</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4928-2024</t>
        </is>
      </c>
      <c r="B10398" s="1" t="n">
        <v>45329.50412037037</v>
      </c>
      <c r="C10398" s="1" t="n">
        <v>46114</v>
      </c>
      <c r="D10398" t="inlineStr">
        <is>
          <t>DALARNAS LÄN</t>
        </is>
      </c>
      <c r="E10398" t="inlineStr">
        <is>
          <t>FALUN</t>
        </is>
      </c>
      <c r="G10398" t="n">
        <v>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41052-2023</t>
        </is>
      </c>
      <c r="B10399" s="1" t="n">
        <v>45173.62484953704</v>
      </c>
      <c r="C10399" s="1" t="n">
        <v>46114</v>
      </c>
      <c r="D10399" t="inlineStr">
        <is>
          <t>DALARNAS LÄN</t>
        </is>
      </c>
      <c r="E10399" t="inlineStr">
        <is>
          <t>RÄTTVIK</t>
        </is>
      </c>
      <c r="G10399" t="n">
        <v>1.4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58421-2024</t>
        </is>
      </c>
      <c r="B10400" s="1" t="n">
        <v>45634.86971064815</v>
      </c>
      <c r="C10400" s="1" t="n">
        <v>46114</v>
      </c>
      <c r="D10400" t="inlineStr">
        <is>
          <t>DALARNAS LÄN</t>
        </is>
      </c>
      <c r="E10400" t="inlineStr">
        <is>
          <t>MALUNG-SÄLEN</t>
        </is>
      </c>
      <c r="G10400" t="n">
        <v>1.4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40382-2023</t>
        </is>
      </c>
      <c r="B10401" s="1" t="n">
        <v>45169.86748842592</v>
      </c>
      <c r="C10401" s="1" t="n">
        <v>46114</v>
      </c>
      <c r="D10401" t="inlineStr">
        <is>
          <t>DALARNAS LÄN</t>
        </is>
      </c>
      <c r="E10401" t="inlineStr">
        <is>
          <t>VANSBRO</t>
        </is>
      </c>
      <c r="G10401" t="n">
        <v>2.9</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32740-2024</t>
        </is>
      </c>
      <c r="B10402" s="1" t="n">
        <v>45516.43834490741</v>
      </c>
      <c r="C10402" s="1" t="n">
        <v>46114</v>
      </c>
      <c r="D10402" t="inlineStr">
        <is>
          <t>DALARNAS LÄN</t>
        </is>
      </c>
      <c r="E10402" t="inlineStr">
        <is>
          <t>ÄLVDALEN</t>
        </is>
      </c>
      <c r="G10402" t="n">
        <v>2.1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61483-2023</t>
        </is>
      </c>
      <c r="B10403" s="1" t="n">
        <v>45264.94263888889</v>
      </c>
      <c r="C10403" s="1" t="n">
        <v>46114</v>
      </c>
      <c r="D10403" t="inlineStr">
        <is>
          <t>DALARNAS LÄN</t>
        </is>
      </c>
      <c r="E10403" t="inlineStr">
        <is>
          <t>AVESTA</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15684-2024</t>
        </is>
      </c>
      <c r="B10404" s="1" t="n">
        <v>45404.43857638889</v>
      </c>
      <c r="C10404" s="1" t="n">
        <v>46114</v>
      </c>
      <c r="D10404" t="inlineStr">
        <is>
          <t>DALARNAS LÄN</t>
        </is>
      </c>
      <c r="E10404" t="inlineStr">
        <is>
          <t>GAGNEF</t>
        </is>
      </c>
      <c r="G10404" t="n">
        <v>1.8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37586-2024</t>
        </is>
      </c>
      <c r="B10405" s="1" t="n">
        <v>45541.46269675926</v>
      </c>
      <c r="C10405" s="1" t="n">
        <v>46114</v>
      </c>
      <c r="D10405" t="inlineStr">
        <is>
          <t>DALARNAS LÄN</t>
        </is>
      </c>
      <c r="E10405" t="inlineStr">
        <is>
          <t>LUDVIKA</t>
        </is>
      </c>
      <c r="F10405" t="inlineStr">
        <is>
          <t>Bergvik skog väst AB</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55551-2024</t>
        </is>
      </c>
      <c r="B10406" s="1" t="n">
        <v>45622.51221064815</v>
      </c>
      <c r="C10406" s="1" t="n">
        <v>46114</v>
      </c>
      <c r="D10406" t="inlineStr">
        <is>
          <t>DALARNAS LÄN</t>
        </is>
      </c>
      <c r="E10406" t="inlineStr">
        <is>
          <t>LUDVIKA</t>
        </is>
      </c>
      <c r="F10406" t="inlineStr">
        <is>
          <t>Bergvik skog väst AB</t>
        </is>
      </c>
      <c r="G10406" t="n">
        <v>6.2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63518-2021</t>
        </is>
      </c>
      <c r="B10407" s="1" t="n">
        <v>44508</v>
      </c>
      <c r="C10407" s="1" t="n">
        <v>46114</v>
      </c>
      <c r="D10407" t="inlineStr">
        <is>
          <t>DALARNAS LÄN</t>
        </is>
      </c>
      <c r="E10407" t="inlineStr">
        <is>
          <t>SMEDJEBACKEN</t>
        </is>
      </c>
      <c r="F10407" t="inlineStr">
        <is>
          <t>Sveaskog</t>
        </is>
      </c>
      <c r="G10407" t="n">
        <v>0.6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26480-2023</t>
        </is>
      </c>
      <c r="B10408" s="1" t="n">
        <v>45092</v>
      </c>
      <c r="C10408" s="1" t="n">
        <v>46114</v>
      </c>
      <c r="D10408" t="inlineStr">
        <is>
          <t>DALARNAS LÄN</t>
        </is>
      </c>
      <c r="E10408" t="inlineStr">
        <is>
          <t>SMEDJEBACKEN</t>
        </is>
      </c>
      <c r="F10408" t="inlineStr">
        <is>
          <t>Sveaskog</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56330-2022</t>
        </is>
      </c>
      <c r="B10409" s="1" t="n">
        <v>44890.62630787037</v>
      </c>
      <c r="C10409" s="1" t="n">
        <v>46114</v>
      </c>
      <c r="D10409" t="inlineStr">
        <is>
          <t>DALARNAS LÄN</t>
        </is>
      </c>
      <c r="E10409" t="inlineStr">
        <is>
          <t>LEKSAND</t>
        </is>
      </c>
      <c r="G10409" t="n">
        <v>4.9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46801-2022</t>
        </is>
      </c>
      <c r="B10410" s="1" t="n">
        <v>44851</v>
      </c>
      <c r="C10410" s="1" t="n">
        <v>46114</v>
      </c>
      <c r="D10410" t="inlineStr">
        <is>
          <t>DALARNAS LÄN</t>
        </is>
      </c>
      <c r="E10410" t="inlineStr">
        <is>
          <t>MORA</t>
        </is>
      </c>
      <c r="G10410" t="n">
        <v>1.5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33972-2023</t>
        </is>
      </c>
      <c r="B10411" s="1" t="n">
        <v>45134</v>
      </c>
      <c r="C10411" s="1" t="n">
        <v>46114</v>
      </c>
      <c r="D10411" t="inlineStr">
        <is>
          <t>DALARNAS LÄN</t>
        </is>
      </c>
      <c r="E10411" t="inlineStr">
        <is>
          <t>FALUN</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5644-2024</t>
        </is>
      </c>
      <c r="B10412" s="1" t="n">
        <v>45334</v>
      </c>
      <c r="C10412" s="1" t="n">
        <v>46114</v>
      </c>
      <c r="D10412" t="inlineStr">
        <is>
          <t>DALARNAS LÄN</t>
        </is>
      </c>
      <c r="E10412" t="inlineStr">
        <is>
          <t>MORA</t>
        </is>
      </c>
      <c r="F10412" t="inlineStr">
        <is>
          <t>Bergvik skog väst AB</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20009-2025</t>
        </is>
      </c>
      <c r="B10413" s="1" t="n">
        <v>45772.28409722223</v>
      </c>
      <c r="C10413" s="1" t="n">
        <v>46114</v>
      </c>
      <c r="D10413" t="inlineStr">
        <is>
          <t>DALARNAS LÄN</t>
        </is>
      </c>
      <c r="E10413" t="inlineStr">
        <is>
          <t>RÄTTVIK</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24140-2022</t>
        </is>
      </c>
      <c r="B10414" s="1" t="n">
        <v>44725</v>
      </c>
      <c r="C10414" s="1" t="n">
        <v>46114</v>
      </c>
      <c r="D10414" t="inlineStr">
        <is>
          <t>DALARNAS LÄN</t>
        </is>
      </c>
      <c r="E10414" t="inlineStr">
        <is>
          <t>MALUNG-SÄLEN</t>
        </is>
      </c>
      <c r="F10414" t="inlineStr">
        <is>
          <t>Kommuner</t>
        </is>
      </c>
      <c r="G10414" t="n">
        <v>10.2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21905-2022</t>
        </is>
      </c>
      <c r="B10415" s="1" t="n">
        <v>44711</v>
      </c>
      <c r="C10415" s="1" t="n">
        <v>46114</v>
      </c>
      <c r="D10415" t="inlineStr">
        <is>
          <t>DALARNAS LÄN</t>
        </is>
      </c>
      <c r="E10415" t="inlineStr">
        <is>
          <t>ORSA</t>
        </is>
      </c>
      <c r="F10415" t="inlineStr">
        <is>
          <t>Allmännings- och besparingsskogar</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60078-2022</t>
        </is>
      </c>
      <c r="B10416" s="1" t="n">
        <v>44909.58811342593</v>
      </c>
      <c r="C10416" s="1" t="n">
        <v>46114</v>
      </c>
      <c r="D10416" t="inlineStr">
        <is>
          <t>DALARNAS LÄN</t>
        </is>
      </c>
      <c r="E10416" t="inlineStr">
        <is>
          <t>HEDEMORA</t>
        </is>
      </c>
      <c r="G10416" t="n">
        <v>0.5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33627-2024</t>
        </is>
      </c>
      <c r="B10417" s="1" t="n">
        <v>45520</v>
      </c>
      <c r="C10417" s="1" t="n">
        <v>46114</v>
      </c>
      <c r="D10417" t="inlineStr">
        <is>
          <t>DALARNAS LÄN</t>
        </is>
      </c>
      <c r="E10417" t="inlineStr">
        <is>
          <t>MORA</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47146-2024</t>
        </is>
      </c>
      <c r="B10418" s="1" t="n">
        <v>45586.59115740741</v>
      </c>
      <c r="C10418" s="1" t="n">
        <v>46114</v>
      </c>
      <c r="D10418" t="inlineStr">
        <is>
          <t>DALARNAS LÄN</t>
        </is>
      </c>
      <c r="E10418" t="inlineStr">
        <is>
          <t>RÄTTVIK</t>
        </is>
      </c>
      <c r="F10418" t="inlineStr">
        <is>
          <t>Bergvik skog väst AB</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46923-2024</t>
        </is>
      </c>
      <c r="B10419" s="1" t="n">
        <v>45584.42887731481</v>
      </c>
      <c r="C10419" s="1" t="n">
        <v>46114</v>
      </c>
      <c r="D10419" t="inlineStr">
        <is>
          <t>DALARNAS LÄN</t>
        </is>
      </c>
      <c r="E10419" t="inlineStr">
        <is>
          <t>MORA</t>
        </is>
      </c>
      <c r="G10419" t="n">
        <v>3.4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46926-2024</t>
        </is>
      </c>
      <c r="B10420" s="1" t="n">
        <v>45584.68275462963</v>
      </c>
      <c r="C10420" s="1" t="n">
        <v>46114</v>
      </c>
      <c r="D10420" t="inlineStr">
        <is>
          <t>DALARNAS LÄN</t>
        </is>
      </c>
      <c r="E10420" t="inlineStr">
        <is>
          <t>ÄLVDALEN</t>
        </is>
      </c>
      <c r="G10420" t="n">
        <v>4.4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33872-2024</t>
        </is>
      </c>
      <c r="B10421" s="1" t="n">
        <v>45520.96</v>
      </c>
      <c r="C10421" s="1" t="n">
        <v>46114</v>
      </c>
      <c r="D10421" t="inlineStr">
        <is>
          <t>DALARNAS LÄN</t>
        </is>
      </c>
      <c r="E10421" t="inlineStr">
        <is>
          <t>SÄTER</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48521-2024</t>
        </is>
      </c>
      <c r="B10422" s="1" t="n">
        <v>45593.32871527778</v>
      </c>
      <c r="C10422" s="1" t="n">
        <v>46114</v>
      </c>
      <c r="D10422" t="inlineStr">
        <is>
          <t>DALARNAS LÄN</t>
        </is>
      </c>
      <c r="E10422" t="inlineStr">
        <is>
          <t>ORSA</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33487-2023</t>
        </is>
      </c>
      <c r="B10423" s="1" t="n">
        <v>45131.44578703704</v>
      </c>
      <c r="C10423" s="1" t="n">
        <v>46114</v>
      </c>
      <c r="D10423" t="inlineStr">
        <is>
          <t>DALARNAS LÄN</t>
        </is>
      </c>
      <c r="E10423" t="inlineStr">
        <is>
          <t>SMEDJEBACKEN</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15390-2025</t>
        </is>
      </c>
      <c r="B10424" s="1" t="n">
        <v>45747.42923611111</v>
      </c>
      <c r="C10424" s="1" t="n">
        <v>46114</v>
      </c>
      <c r="D10424" t="inlineStr">
        <is>
          <t>DALARNAS LÄN</t>
        </is>
      </c>
      <c r="E10424" t="inlineStr">
        <is>
          <t>SMEDJEBACKEN</t>
        </is>
      </c>
      <c r="F10424" t="inlineStr">
        <is>
          <t>Bergvik skog väst AB</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42998-2023</t>
        </is>
      </c>
      <c r="B10425" s="1" t="n">
        <v>45182</v>
      </c>
      <c r="C10425" s="1" t="n">
        <v>46114</v>
      </c>
      <c r="D10425" t="inlineStr">
        <is>
          <t>DALARNAS LÄN</t>
        </is>
      </c>
      <c r="E10425" t="inlineStr">
        <is>
          <t>SÄTER</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35501-2023</t>
        </is>
      </c>
      <c r="B10426" s="1" t="n">
        <v>45146</v>
      </c>
      <c r="C10426" s="1" t="n">
        <v>46114</v>
      </c>
      <c r="D10426" t="inlineStr">
        <is>
          <t>DALARNAS LÄN</t>
        </is>
      </c>
      <c r="E10426" t="inlineStr">
        <is>
          <t>BORLÄNGE</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30372-2024</t>
        </is>
      </c>
      <c r="B10427" s="1" t="n">
        <v>45491.40144675926</v>
      </c>
      <c r="C10427" s="1" t="n">
        <v>46114</v>
      </c>
      <c r="D10427" t="inlineStr">
        <is>
          <t>DALARNAS LÄN</t>
        </is>
      </c>
      <c r="E10427" t="inlineStr">
        <is>
          <t>MALUNG-SÄLEN</t>
        </is>
      </c>
      <c r="F10427" t="inlineStr">
        <is>
          <t>Bergvik skog öst AB</t>
        </is>
      </c>
      <c r="G10427" t="n">
        <v>3.8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30392-2024</t>
        </is>
      </c>
      <c r="B10428" s="1" t="n">
        <v>45491.50755787037</v>
      </c>
      <c r="C10428" s="1" t="n">
        <v>46114</v>
      </c>
      <c r="D10428" t="inlineStr">
        <is>
          <t>DALARNAS LÄN</t>
        </is>
      </c>
      <c r="E10428" t="inlineStr">
        <is>
          <t>VANSBRO</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14677-2024</t>
        </is>
      </c>
      <c r="B10429" s="1" t="n">
        <v>45397.4553125</v>
      </c>
      <c r="C10429" s="1" t="n">
        <v>46114</v>
      </c>
      <c r="D10429" t="inlineStr">
        <is>
          <t>DALARNAS LÄN</t>
        </is>
      </c>
      <c r="E10429" t="inlineStr">
        <is>
          <t>SMEDJEBACKEN</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15119-2025</t>
        </is>
      </c>
      <c r="B10430" s="1" t="n">
        <v>45744.30858796297</v>
      </c>
      <c r="C10430" s="1" t="n">
        <v>46114</v>
      </c>
      <c r="D10430" t="inlineStr">
        <is>
          <t>DALARNAS LÄN</t>
        </is>
      </c>
      <c r="E10430" t="inlineStr">
        <is>
          <t>FALUN</t>
        </is>
      </c>
      <c r="G10430" t="n">
        <v>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39888-2024</t>
        </is>
      </c>
      <c r="B10431" s="1" t="n">
        <v>45553.47538194444</v>
      </c>
      <c r="C10431" s="1" t="n">
        <v>46114</v>
      </c>
      <c r="D10431" t="inlineStr">
        <is>
          <t>DALARNAS LÄN</t>
        </is>
      </c>
      <c r="E10431" t="inlineStr">
        <is>
          <t>MORA</t>
        </is>
      </c>
      <c r="G10431" t="n">
        <v>5.4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24427-2022</t>
        </is>
      </c>
      <c r="B10432" s="1" t="n">
        <v>44726</v>
      </c>
      <c r="C10432" s="1" t="n">
        <v>46114</v>
      </c>
      <c r="D10432" t="inlineStr">
        <is>
          <t>DALARNAS LÄN</t>
        </is>
      </c>
      <c r="E10432" t="inlineStr">
        <is>
          <t>HEDEMORA</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59673-2023</t>
        </is>
      </c>
      <c r="B10433" s="1" t="n">
        <v>45255.44603009259</v>
      </c>
      <c r="C10433" s="1" t="n">
        <v>46114</v>
      </c>
      <c r="D10433" t="inlineStr">
        <is>
          <t>DALARNAS LÄN</t>
        </is>
      </c>
      <c r="E10433" t="inlineStr">
        <is>
          <t>LEKSAND</t>
        </is>
      </c>
      <c r="G10433" t="n">
        <v>12.2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17726-2024</t>
        </is>
      </c>
      <c r="B10434" s="1" t="n">
        <v>45418.55609953704</v>
      </c>
      <c r="C10434" s="1" t="n">
        <v>46114</v>
      </c>
      <c r="D10434" t="inlineStr">
        <is>
          <t>DALARNAS LÄN</t>
        </is>
      </c>
      <c r="E10434" t="inlineStr">
        <is>
          <t>LEKSAND</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12-2024</t>
        </is>
      </c>
      <c r="B10435" s="1" t="n">
        <v>45293.36917824074</v>
      </c>
      <c r="C10435" s="1" t="n">
        <v>46114</v>
      </c>
      <c r="D10435" t="inlineStr">
        <is>
          <t>DALARNAS LÄN</t>
        </is>
      </c>
      <c r="E10435" t="inlineStr">
        <is>
          <t>MALUNG-SÄLEN</t>
        </is>
      </c>
      <c r="G10435" t="n">
        <v>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32-2024</t>
        </is>
      </c>
      <c r="B10436" s="1" t="n">
        <v>45293</v>
      </c>
      <c r="C10436" s="1" t="n">
        <v>46114</v>
      </c>
      <c r="D10436" t="inlineStr">
        <is>
          <t>DALARNAS LÄN</t>
        </is>
      </c>
      <c r="E10436" t="inlineStr">
        <is>
          <t>LEKSAND</t>
        </is>
      </c>
      <c r="G10436" t="n">
        <v>0.6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1719-2024</t>
        </is>
      </c>
      <c r="B10437" s="1" t="n">
        <v>45307</v>
      </c>
      <c r="C10437" s="1" t="n">
        <v>46114</v>
      </c>
      <c r="D10437" t="inlineStr">
        <is>
          <t>DALARNAS LÄN</t>
        </is>
      </c>
      <c r="E10437" t="inlineStr">
        <is>
          <t>LEKSAND</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1758-2024</t>
        </is>
      </c>
      <c r="B10438" s="1" t="n">
        <v>45307.47775462963</v>
      </c>
      <c r="C10438" s="1" t="n">
        <v>46114</v>
      </c>
      <c r="D10438" t="inlineStr">
        <is>
          <t>DALARNAS LÄN</t>
        </is>
      </c>
      <c r="E10438" t="inlineStr">
        <is>
          <t>FALUN</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51768-2024</t>
        </is>
      </c>
      <c r="B10439" s="1" t="n">
        <v>45607.44731481482</v>
      </c>
      <c r="C10439" s="1" t="n">
        <v>46114</v>
      </c>
      <c r="D10439" t="inlineStr">
        <is>
          <t>DALARNAS LÄN</t>
        </is>
      </c>
      <c r="E10439" t="inlineStr">
        <is>
          <t>MALUNG-SÄLEN</t>
        </is>
      </c>
      <c r="F10439" t="inlineStr">
        <is>
          <t>Bergvik skog väst AB</t>
        </is>
      </c>
      <c r="G10439" t="n">
        <v>2.6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51794-2024</t>
        </is>
      </c>
      <c r="B10440" s="1" t="n">
        <v>45607.4666087963</v>
      </c>
      <c r="C10440" s="1" t="n">
        <v>46114</v>
      </c>
      <c r="D10440" t="inlineStr">
        <is>
          <t>DALARNAS LÄN</t>
        </is>
      </c>
      <c r="E10440" t="inlineStr">
        <is>
          <t>MALUNG-SÄLEN</t>
        </is>
      </c>
      <c r="F10440" t="inlineStr">
        <is>
          <t>Bergvik skog öst AB</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33463-2023</t>
        </is>
      </c>
      <c r="B10441" s="1" t="n">
        <v>45131</v>
      </c>
      <c r="C10441" s="1" t="n">
        <v>46114</v>
      </c>
      <c r="D10441" t="inlineStr">
        <is>
          <t>DALARNAS LÄN</t>
        </is>
      </c>
      <c r="E10441" t="inlineStr">
        <is>
          <t>LEKSAND</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53092-2021</t>
        </is>
      </c>
      <c r="B10442" s="1" t="n">
        <v>44467</v>
      </c>
      <c r="C10442" s="1" t="n">
        <v>46114</v>
      </c>
      <c r="D10442" t="inlineStr">
        <is>
          <t>DALARNAS LÄN</t>
        </is>
      </c>
      <c r="E10442" t="inlineStr">
        <is>
          <t>BORLÄNGE</t>
        </is>
      </c>
      <c r="G10442" t="n">
        <v>0.4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33666-2024</t>
        </is>
      </c>
      <c r="B10443" s="1" t="n">
        <v>45520.48304398148</v>
      </c>
      <c r="C10443" s="1" t="n">
        <v>46114</v>
      </c>
      <c r="D10443" t="inlineStr">
        <is>
          <t>DALARNAS LÄN</t>
        </is>
      </c>
      <c r="E10443" t="inlineStr">
        <is>
          <t>MORA</t>
        </is>
      </c>
      <c r="G10443" t="n">
        <v>0.7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30844-2024</t>
        </is>
      </c>
      <c r="B10444" s="1" t="n">
        <v>45497</v>
      </c>
      <c r="C10444" s="1" t="n">
        <v>46114</v>
      </c>
      <c r="D10444" t="inlineStr">
        <is>
          <t>DALARNAS LÄN</t>
        </is>
      </c>
      <c r="E10444" t="inlineStr">
        <is>
          <t>LUDVIKA</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20989-2024</t>
        </is>
      </c>
      <c r="B10445" s="1" t="n">
        <v>45439</v>
      </c>
      <c r="C10445" s="1" t="n">
        <v>46114</v>
      </c>
      <c r="D10445" t="inlineStr">
        <is>
          <t>DALARNAS LÄN</t>
        </is>
      </c>
      <c r="E10445" t="inlineStr">
        <is>
          <t>MORA</t>
        </is>
      </c>
      <c r="F10445" t="inlineStr">
        <is>
          <t>Bergvik skog öst AB</t>
        </is>
      </c>
      <c r="G10445" t="n">
        <v>14.7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55910-2022</t>
        </is>
      </c>
      <c r="B10446" s="1" t="n">
        <v>44889</v>
      </c>
      <c r="C10446" s="1" t="n">
        <v>46114</v>
      </c>
      <c r="D10446" t="inlineStr">
        <is>
          <t>DALARNAS LÄN</t>
        </is>
      </c>
      <c r="E10446" t="inlineStr">
        <is>
          <t>BORLÄNGE</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23974-2023</t>
        </is>
      </c>
      <c r="B10447" s="1" t="n">
        <v>45078.64047453704</v>
      </c>
      <c r="C10447" s="1" t="n">
        <v>46114</v>
      </c>
      <c r="D10447" t="inlineStr">
        <is>
          <t>DALARNAS LÄN</t>
        </is>
      </c>
      <c r="E10447" t="inlineStr">
        <is>
          <t>AVESTA</t>
        </is>
      </c>
      <c r="F10447" t="inlineStr">
        <is>
          <t>Sveaskog</t>
        </is>
      </c>
      <c r="G10447" t="n">
        <v>0.3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41812-2024</t>
        </is>
      </c>
      <c r="B10448" s="1" t="n">
        <v>45561.3771412037</v>
      </c>
      <c r="C10448" s="1" t="n">
        <v>46114</v>
      </c>
      <c r="D10448" t="inlineStr">
        <is>
          <t>DALARNAS LÄN</t>
        </is>
      </c>
      <c r="E10448" t="inlineStr">
        <is>
          <t>MORA</t>
        </is>
      </c>
      <c r="G10448" t="n">
        <v>2.2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41832-2024</t>
        </is>
      </c>
      <c r="B10449" s="1" t="n">
        <v>45561.40730324074</v>
      </c>
      <c r="C10449" s="1" t="n">
        <v>46114</v>
      </c>
      <c r="D10449" t="inlineStr">
        <is>
          <t>DALARNAS LÄN</t>
        </is>
      </c>
      <c r="E10449" t="inlineStr">
        <is>
          <t>ORSA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55516-2024</t>
        </is>
      </c>
      <c r="B10450" s="1" t="n">
        <v>45621</v>
      </c>
      <c r="C10450" s="1" t="n">
        <v>46114</v>
      </c>
      <c r="D10450" t="inlineStr">
        <is>
          <t>DALARNAS LÄN</t>
        </is>
      </c>
      <c r="E10450" t="inlineStr">
        <is>
          <t>LEKSAND</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20411-2023</t>
        </is>
      </c>
      <c r="B10451" s="1" t="n">
        <v>45056.64452546297</v>
      </c>
      <c r="C10451" s="1" t="n">
        <v>46114</v>
      </c>
      <c r="D10451" t="inlineStr">
        <is>
          <t>DALARNAS LÄN</t>
        </is>
      </c>
      <c r="E10451" t="inlineStr">
        <is>
          <t>LUDVIKA</t>
        </is>
      </c>
      <c r="F10451" t="inlineStr">
        <is>
          <t>Bergvik skog väst AB</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12992-2022</t>
        </is>
      </c>
      <c r="B10452" s="1" t="n">
        <v>44643</v>
      </c>
      <c r="C10452" s="1" t="n">
        <v>46114</v>
      </c>
      <c r="D10452" t="inlineStr">
        <is>
          <t>DALARNAS LÄN</t>
        </is>
      </c>
      <c r="E10452" t="inlineStr">
        <is>
          <t>LEKSAND</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15989-2024</t>
        </is>
      </c>
      <c r="B10453" s="1" t="n">
        <v>45405.60082175926</v>
      </c>
      <c r="C10453" s="1" t="n">
        <v>46114</v>
      </c>
      <c r="D10453" t="inlineStr">
        <is>
          <t>DALARNAS LÄN</t>
        </is>
      </c>
      <c r="E10453" t="inlineStr">
        <is>
          <t>BORLÄNGE</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19659-2024</t>
        </is>
      </c>
      <c r="B10454" s="1" t="n">
        <v>45432.45540509259</v>
      </c>
      <c r="C10454" s="1" t="n">
        <v>46114</v>
      </c>
      <c r="D10454" t="inlineStr">
        <is>
          <t>DALARNAS LÄN</t>
        </is>
      </c>
      <c r="E10454" t="inlineStr">
        <is>
          <t>MALUNG-SÄLEN</t>
        </is>
      </c>
      <c r="G10454" t="n">
        <v>0.5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19717-2024</t>
        </is>
      </c>
      <c r="B10455" s="1" t="n">
        <v>45428</v>
      </c>
      <c r="C10455" s="1" t="n">
        <v>46114</v>
      </c>
      <c r="D10455" t="inlineStr">
        <is>
          <t>DALARNAS LÄN</t>
        </is>
      </c>
      <c r="E10455" t="inlineStr">
        <is>
          <t>MALUNG-SÄLEN</t>
        </is>
      </c>
      <c r="G10455" t="n">
        <v>2.6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19718-2024</t>
        </is>
      </c>
      <c r="B10456" s="1" t="n">
        <v>45428</v>
      </c>
      <c r="C10456" s="1" t="n">
        <v>46114</v>
      </c>
      <c r="D10456" t="inlineStr">
        <is>
          <t>DALARNAS LÄN</t>
        </is>
      </c>
      <c r="E10456" t="inlineStr">
        <is>
          <t>MALUNG-SÄLEN</t>
        </is>
      </c>
      <c r="G10456" t="n">
        <v>17.3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51847-2024</t>
        </is>
      </c>
      <c r="B10457" s="1" t="n">
        <v>45604</v>
      </c>
      <c r="C10457" s="1" t="n">
        <v>46114</v>
      </c>
      <c r="D10457" t="inlineStr">
        <is>
          <t>DALARNAS LÄN</t>
        </is>
      </c>
      <c r="E10457" t="inlineStr">
        <is>
          <t>SÄTER</t>
        </is>
      </c>
      <c r="F10457" t="inlineStr">
        <is>
          <t>Bergvik skog väst AB</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51888-2024</t>
        </is>
      </c>
      <c r="B10458" s="1" t="n">
        <v>45607.57142361111</v>
      </c>
      <c r="C10458" s="1" t="n">
        <v>46114</v>
      </c>
      <c r="D10458" t="inlineStr">
        <is>
          <t>DALARNAS LÄN</t>
        </is>
      </c>
      <c r="E10458" t="inlineStr">
        <is>
          <t>MORA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24033-2021</t>
        </is>
      </c>
      <c r="B10459" s="1" t="n">
        <v>44336.3533912037</v>
      </c>
      <c r="C10459" s="1" t="n">
        <v>46114</v>
      </c>
      <c r="D10459" t="inlineStr">
        <is>
          <t>DALARNAS LÄN</t>
        </is>
      </c>
      <c r="E10459" t="inlineStr">
        <is>
          <t>LUDVIKA</t>
        </is>
      </c>
      <c r="F10459" t="inlineStr">
        <is>
          <t>Allmännings- och besparingsskogar</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59347-2024</t>
        </is>
      </c>
      <c r="B10460" s="1" t="n">
        <v>45638.00060185185</v>
      </c>
      <c r="C10460" s="1" t="n">
        <v>46114</v>
      </c>
      <c r="D10460" t="inlineStr">
        <is>
          <t>DALARNAS LÄN</t>
        </is>
      </c>
      <c r="E10460" t="inlineStr">
        <is>
          <t>LUDVIKA</t>
        </is>
      </c>
      <c r="G10460" t="n">
        <v>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59357-2024</t>
        </is>
      </c>
      <c r="B10461" s="1" t="n">
        <v>45638.31672453704</v>
      </c>
      <c r="C10461" s="1" t="n">
        <v>46114</v>
      </c>
      <c r="D10461" t="inlineStr">
        <is>
          <t>DALARNAS LÄN</t>
        </is>
      </c>
      <c r="E10461" t="inlineStr">
        <is>
          <t>MALUNG-SÄLEN</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41583-2023</t>
        </is>
      </c>
      <c r="B10462" s="1" t="n">
        <v>45175.63001157407</v>
      </c>
      <c r="C10462" s="1" t="n">
        <v>46114</v>
      </c>
      <c r="D10462" t="inlineStr">
        <is>
          <t>DALARNAS LÄN</t>
        </is>
      </c>
      <c r="E10462" t="inlineStr">
        <is>
          <t>MALUNG-SÄLEN</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12761-2025</t>
        </is>
      </c>
      <c r="B10463" s="1" t="n">
        <v>45733.57180555556</v>
      </c>
      <c r="C10463" s="1" t="n">
        <v>46114</v>
      </c>
      <c r="D10463" t="inlineStr">
        <is>
          <t>DALARNAS LÄN</t>
        </is>
      </c>
      <c r="E10463" t="inlineStr">
        <is>
          <t>RÄTTVIK</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2147-2025</t>
        </is>
      </c>
      <c r="B10464" s="1" t="n">
        <v>45672.69732638889</v>
      </c>
      <c r="C10464" s="1" t="n">
        <v>46114</v>
      </c>
      <c r="D10464" t="inlineStr">
        <is>
          <t>DALARNAS LÄN</t>
        </is>
      </c>
      <c r="E10464" t="inlineStr">
        <is>
          <t>VANSBRO</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34339-2024</t>
        </is>
      </c>
      <c r="B10465" s="1" t="n">
        <v>45525.275</v>
      </c>
      <c r="C10465" s="1" t="n">
        <v>46114</v>
      </c>
      <c r="D10465" t="inlineStr">
        <is>
          <t>DALARNAS LÄN</t>
        </is>
      </c>
      <c r="E10465" t="inlineStr">
        <is>
          <t>RÄTTVIK</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34340-2024</t>
        </is>
      </c>
      <c r="B10466" s="1" t="n">
        <v>45525.28571759259</v>
      </c>
      <c r="C10466" s="1" t="n">
        <v>46114</v>
      </c>
      <c r="D10466" t="inlineStr">
        <is>
          <t>DALARNAS LÄN</t>
        </is>
      </c>
      <c r="E10466" t="inlineStr">
        <is>
          <t>RÄTTVIK</t>
        </is>
      </c>
      <c r="G10466" t="n">
        <v>2.5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53695-2024</t>
        </is>
      </c>
      <c r="B10467" s="1" t="n">
        <v>45614</v>
      </c>
      <c r="C10467" s="1" t="n">
        <v>46114</v>
      </c>
      <c r="D10467" t="inlineStr">
        <is>
          <t>DALARNAS LÄN</t>
        </is>
      </c>
      <c r="E10467" t="inlineStr">
        <is>
          <t>SÄTER</t>
        </is>
      </c>
      <c r="F10467" t="inlineStr">
        <is>
          <t>Bergvik skog väst AB</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53758-2024</t>
        </is>
      </c>
      <c r="B10468" s="1" t="n">
        <v>45615.50483796297</v>
      </c>
      <c r="C10468" s="1" t="n">
        <v>46114</v>
      </c>
      <c r="D10468" t="inlineStr">
        <is>
          <t>DALARNAS LÄN</t>
        </is>
      </c>
      <c r="E10468" t="inlineStr">
        <is>
          <t>ORSA</t>
        </is>
      </c>
      <c r="G10468" t="n">
        <v>0.5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60441-2024</t>
        </is>
      </c>
      <c r="B10469" s="1" t="n">
        <v>45643.59108796297</v>
      </c>
      <c r="C10469" s="1" t="n">
        <v>46114</v>
      </c>
      <c r="D10469" t="inlineStr">
        <is>
          <t>DALARNAS LÄN</t>
        </is>
      </c>
      <c r="E10469" t="inlineStr">
        <is>
          <t>MALUNG-SÄLEN</t>
        </is>
      </c>
      <c r="F10469" t="inlineStr">
        <is>
          <t>Övriga statliga verk och myndigheter</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15814-2025</t>
        </is>
      </c>
      <c r="B10470" s="1" t="n">
        <v>45748.66989583334</v>
      </c>
      <c r="C10470" s="1" t="n">
        <v>46114</v>
      </c>
      <c r="D10470" t="inlineStr">
        <is>
          <t>DALARNAS LÄN</t>
        </is>
      </c>
      <c r="E10470" t="inlineStr">
        <is>
          <t>VANSBRO</t>
        </is>
      </c>
      <c r="G10470" t="n">
        <v>4.6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73511-2021</t>
        </is>
      </c>
      <c r="B10471" s="1" t="n">
        <v>44551.68319444444</v>
      </c>
      <c r="C10471" s="1" t="n">
        <v>46114</v>
      </c>
      <c r="D10471" t="inlineStr">
        <is>
          <t>DALARNAS LÄN</t>
        </is>
      </c>
      <c r="E10471" t="inlineStr">
        <is>
          <t>RÄTTVIK</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194-2023</t>
        </is>
      </c>
      <c r="B10472" s="1" t="n">
        <v>44928.5894675926</v>
      </c>
      <c r="C10472" s="1" t="n">
        <v>46114</v>
      </c>
      <c r="D10472" t="inlineStr">
        <is>
          <t>DALARNAS LÄN</t>
        </is>
      </c>
      <c r="E10472" t="inlineStr">
        <is>
          <t>MALUNG-SÄLEN</t>
        </is>
      </c>
      <c r="G10472" t="n">
        <v>5.3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8211-2023</t>
        </is>
      </c>
      <c r="B10473" s="1" t="n">
        <v>44974</v>
      </c>
      <c r="C10473" s="1" t="n">
        <v>46114</v>
      </c>
      <c r="D10473" t="inlineStr">
        <is>
          <t>DALARNAS LÄN</t>
        </is>
      </c>
      <c r="E10473" t="inlineStr">
        <is>
          <t>LEKSAND</t>
        </is>
      </c>
      <c r="G10473" t="n">
        <v>5.2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32930-2024</t>
        </is>
      </c>
      <c r="B10474" s="1" t="n">
        <v>45517.30841435185</v>
      </c>
      <c r="C10474" s="1" t="n">
        <v>46114</v>
      </c>
      <c r="D10474" t="inlineStr">
        <is>
          <t>DALARNAS LÄN</t>
        </is>
      </c>
      <c r="E10474" t="inlineStr">
        <is>
          <t>MALUNG-SÄLEN</t>
        </is>
      </c>
      <c r="G10474" t="n">
        <v>9.4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30143-2024</t>
        </is>
      </c>
      <c r="B10475" s="1" t="n">
        <v>45488</v>
      </c>
      <c r="C10475" s="1" t="n">
        <v>46114</v>
      </c>
      <c r="D10475" t="inlineStr">
        <is>
          <t>DALARNAS LÄN</t>
        </is>
      </c>
      <c r="E10475" t="inlineStr">
        <is>
          <t>ÄLVDALEN</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30146-2024</t>
        </is>
      </c>
      <c r="B10476" s="1" t="n">
        <v>45488</v>
      </c>
      <c r="C10476" s="1" t="n">
        <v>46114</v>
      </c>
      <c r="D10476" t="inlineStr">
        <is>
          <t>DALARNAS LÄN</t>
        </is>
      </c>
      <c r="E10476" t="inlineStr">
        <is>
          <t>ÄLVDALEN</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32721-2024</t>
        </is>
      </c>
      <c r="B10477" s="1" t="n">
        <v>45516.40261574074</v>
      </c>
      <c r="C10477" s="1" t="n">
        <v>46114</v>
      </c>
      <c r="D10477" t="inlineStr">
        <is>
          <t>DALARNAS LÄN</t>
        </is>
      </c>
      <c r="E10477" t="inlineStr">
        <is>
          <t>MORA</t>
        </is>
      </c>
      <c r="G10477" t="n">
        <v>4.2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18306-2025</t>
        </is>
      </c>
      <c r="B10478" s="1" t="n">
        <v>45762</v>
      </c>
      <c r="C10478" s="1" t="n">
        <v>46114</v>
      </c>
      <c r="D10478" t="inlineStr">
        <is>
          <t>DALARNAS LÄN</t>
        </is>
      </c>
      <c r="E10478" t="inlineStr">
        <is>
          <t>VANSBRO</t>
        </is>
      </c>
      <c r="F10478" t="inlineStr">
        <is>
          <t>Bergvik skog väst AB</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17883-2025</t>
        </is>
      </c>
      <c r="B10479" s="1" t="n">
        <v>45758.65826388889</v>
      </c>
      <c r="C10479" s="1" t="n">
        <v>46114</v>
      </c>
      <c r="D10479" t="inlineStr">
        <is>
          <t>DALARNAS LÄN</t>
        </is>
      </c>
      <c r="E10479" t="inlineStr">
        <is>
          <t>FALUN</t>
        </is>
      </c>
      <c r="F10479" t="inlineStr">
        <is>
          <t>Bergvik skog väst AB</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17914-2025</t>
        </is>
      </c>
      <c r="B10480" s="1" t="n">
        <v>45758.78844907408</v>
      </c>
      <c r="C10480" s="1" t="n">
        <v>46114</v>
      </c>
      <c r="D10480" t="inlineStr">
        <is>
          <t>DALARNAS LÄN</t>
        </is>
      </c>
      <c r="E10480" t="inlineStr">
        <is>
          <t>SÄTER</t>
        </is>
      </c>
      <c r="G10480" t="n">
        <v>4.3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17915-2025</t>
        </is>
      </c>
      <c r="B10481" s="1" t="n">
        <v>45758.79019675926</v>
      </c>
      <c r="C10481" s="1" t="n">
        <v>46114</v>
      </c>
      <c r="D10481" t="inlineStr">
        <is>
          <t>DALARNAS LÄN</t>
        </is>
      </c>
      <c r="E10481" t="inlineStr">
        <is>
          <t>SÄTER</t>
        </is>
      </c>
      <c r="G10481" t="n">
        <v>0.9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3725-2024</t>
        </is>
      </c>
      <c r="B10482" s="1" t="n">
        <v>45321</v>
      </c>
      <c r="C10482" s="1" t="n">
        <v>46114</v>
      </c>
      <c r="D10482" t="inlineStr">
        <is>
          <t>DALARNAS LÄN</t>
        </is>
      </c>
      <c r="E10482" t="inlineStr">
        <is>
          <t>RÄTTVIK</t>
        </is>
      </c>
      <c r="G10482" t="n">
        <v>0.2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10886-2025</t>
        </is>
      </c>
      <c r="B10483" s="1" t="n">
        <v>45722.6621875</v>
      </c>
      <c r="C10483" s="1" t="n">
        <v>46114</v>
      </c>
      <c r="D10483" t="inlineStr">
        <is>
          <t>DALARNAS LÄN</t>
        </is>
      </c>
      <c r="E10483" t="inlineStr">
        <is>
          <t>VANSBRO</t>
        </is>
      </c>
      <c r="G10483" t="n">
        <v>15.5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6643-2025</t>
        </is>
      </c>
      <c r="B10484" s="1" t="n">
        <v>45700.38591435185</v>
      </c>
      <c r="C10484" s="1" t="n">
        <v>46114</v>
      </c>
      <c r="D10484" t="inlineStr">
        <is>
          <t>DALARNAS LÄN</t>
        </is>
      </c>
      <c r="E10484" t="inlineStr">
        <is>
          <t>VANSBRO</t>
        </is>
      </c>
      <c r="G10484" t="n">
        <v>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42332-2023</t>
        </is>
      </c>
      <c r="B10485" s="1" t="n">
        <v>45175</v>
      </c>
      <c r="C10485" s="1" t="n">
        <v>46114</v>
      </c>
      <c r="D10485" t="inlineStr">
        <is>
          <t>DALARNAS LÄN</t>
        </is>
      </c>
      <c r="E10485" t="inlineStr">
        <is>
          <t>ÄLVDALEN</t>
        </is>
      </c>
      <c r="G10485" t="n">
        <v>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10317-2024</t>
        </is>
      </c>
      <c r="B10486" s="1" t="n">
        <v>45365.54094907407</v>
      </c>
      <c r="C10486" s="1" t="n">
        <v>46114</v>
      </c>
      <c r="D10486" t="inlineStr">
        <is>
          <t>DALARNAS LÄN</t>
        </is>
      </c>
      <c r="E10486" t="inlineStr">
        <is>
          <t>RÄTTVIK</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36640-2023</t>
        </is>
      </c>
      <c r="B10487" s="1" t="n">
        <v>45153.54498842593</v>
      </c>
      <c r="C10487" s="1" t="n">
        <v>46114</v>
      </c>
      <c r="D10487" t="inlineStr">
        <is>
          <t>DALARNAS LÄN</t>
        </is>
      </c>
      <c r="E10487" t="inlineStr">
        <is>
          <t>ÄLVDALEN</t>
        </is>
      </c>
      <c r="G10487" t="n">
        <v>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52871-2023</t>
        </is>
      </c>
      <c r="B10488" s="1" t="n">
        <v>45226.46472222222</v>
      </c>
      <c r="C10488" s="1" t="n">
        <v>46114</v>
      </c>
      <c r="D10488" t="inlineStr">
        <is>
          <t>DALARNAS LÄN</t>
        </is>
      </c>
      <c r="E10488" t="inlineStr">
        <is>
          <t>MALUNG-SÄLEN</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19857-2023</t>
        </is>
      </c>
      <c r="B10489" s="1" t="n">
        <v>45053.85569444444</v>
      </c>
      <c r="C10489" s="1" t="n">
        <v>46114</v>
      </c>
      <c r="D10489" t="inlineStr">
        <is>
          <t>DALARNAS LÄN</t>
        </is>
      </c>
      <c r="E10489" t="inlineStr">
        <is>
          <t>MALUNG-SÄLEN</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6720-2023</t>
        </is>
      </c>
      <c r="B10490" s="1" t="n">
        <v>44966</v>
      </c>
      <c r="C10490" s="1" t="n">
        <v>46114</v>
      </c>
      <c r="D10490" t="inlineStr">
        <is>
          <t>DALARNAS LÄN</t>
        </is>
      </c>
      <c r="E10490" t="inlineStr">
        <is>
          <t>SMEDJEBACKEN</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25749-2023</t>
        </is>
      </c>
      <c r="B10491" s="1" t="n">
        <v>45090</v>
      </c>
      <c r="C10491" s="1" t="n">
        <v>46114</v>
      </c>
      <c r="D10491" t="inlineStr">
        <is>
          <t>DALARNAS LÄN</t>
        </is>
      </c>
      <c r="E10491" t="inlineStr">
        <is>
          <t>MORA</t>
        </is>
      </c>
      <c r="G10491" t="n">
        <v>2.4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17916-2025</t>
        </is>
      </c>
      <c r="B10492" s="1" t="n">
        <v>45758.79270833333</v>
      </c>
      <c r="C10492" s="1" t="n">
        <v>46114</v>
      </c>
      <c r="D10492" t="inlineStr">
        <is>
          <t>DALARNAS LÄN</t>
        </is>
      </c>
      <c r="E10492" t="inlineStr">
        <is>
          <t>SÄTER</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21762-2024</t>
        </is>
      </c>
      <c r="B10493" s="1" t="n">
        <v>45442.60010416667</v>
      </c>
      <c r="C10493" s="1" t="n">
        <v>46114</v>
      </c>
      <c r="D10493" t="inlineStr">
        <is>
          <t>DALARNAS LÄN</t>
        </is>
      </c>
      <c r="E10493" t="inlineStr">
        <is>
          <t>SÄTER</t>
        </is>
      </c>
      <c r="G10493" t="n">
        <v>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40325-2024</t>
        </is>
      </c>
      <c r="B10494" s="1" t="n">
        <v>45554.88538194444</v>
      </c>
      <c r="C10494" s="1" t="n">
        <v>46114</v>
      </c>
      <c r="D10494" t="inlineStr">
        <is>
          <t>DALARNAS LÄN</t>
        </is>
      </c>
      <c r="E10494" t="inlineStr">
        <is>
          <t>MORA</t>
        </is>
      </c>
      <c r="G10494" t="n">
        <v>2.8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11145-2025</t>
        </is>
      </c>
      <c r="B10495" s="1" t="n">
        <v>45723</v>
      </c>
      <c r="C10495" s="1" t="n">
        <v>46114</v>
      </c>
      <c r="D10495" t="inlineStr">
        <is>
          <t>DALARNAS LÄN</t>
        </is>
      </c>
      <c r="E10495" t="inlineStr">
        <is>
          <t>SMEDJEBACKEN</t>
        </is>
      </c>
      <c r="F10495" t="inlineStr">
        <is>
          <t>Bergvik skog väst AB</t>
        </is>
      </c>
      <c r="G10495" t="n">
        <v>0.5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43923-2024</t>
        </is>
      </c>
      <c r="B10496" s="1" t="n">
        <v>45572.44754629629</v>
      </c>
      <c r="C10496" s="1" t="n">
        <v>46114</v>
      </c>
      <c r="D10496" t="inlineStr">
        <is>
          <t>DALARNAS LÄN</t>
        </is>
      </c>
      <c r="E10496" t="inlineStr">
        <is>
          <t>SMEDJEBACKEN</t>
        </is>
      </c>
      <c r="F10496" t="inlineStr">
        <is>
          <t>Sveaskog</t>
        </is>
      </c>
      <c r="G10496" t="n">
        <v>6.3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43957-2024</t>
        </is>
      </c>
      <c r="B10497" s="1" t="n">
        <v>45572.47766203704</v>
      </c>
      <c r="C10497" s="1" t="n">
        <v>46114</v>
      </c>
      <c r="D10497" t="inlineStr">
        <is>
          <t>DALARNAS LÄN</t>
        </is>
      </c>
      <c r="E10497" t="inlineStr">
        <is>
          <t>BORLÄNGE</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43964-2024</t>
        </is>
      </c>
      <c r="B10498" s="1" t="n">
        <v>45572.48407407408</v>
      </c>
      <c r="C10498" s="1" t="n">
        <v>46114</v>
      </c>
      <c r="D10498" t="inlineStr">
        <is>
          <t>DALARNAS LÄN</t>
        </is>
      </c>
      <c r="E10498" t="inlineStr">
        <is>
          <t>MORA</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41611-2024</t>
        </is>
      </c>
      <c r="B10499" s="1" t="n">
        <v>45560.59398148148</v>
      </c>
      <c r="C10499" s="1" t="n">
        <v>46114</v>
      </c>
      <c r="D10499" t="inlineStr">
        <is>
          <t>DALARNAS LÄN</t>
        </is>
      </c>
      <c r="E10499" t="inlineStr">
        <is>
          <t>FALUN</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55385-2024</t>
        </is>
      </c>
      <c r="B10500" s="1" t="n">
        <v>45622.3167824074</v>
      </c>
      <c r="C10500" s="1" t="n">
        <v>46114</v>
      </c>
      <c r="D10500" t="inlineStr">
        <is>
          <t>DALARNAS LÄN</t>
        </is>
      </c>
      <c r="E10500" t="inlineStr">
        <is>
          <t>RÄTTVIK</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36524-2022</t>
        </is>
      </c>
      <c r="B10501" s="1" t="n">
        <v>44804.54327546297</v>
      </c>
      <c r="C10501" s="1" t="n">
        <v>46114</v>
      </c>
      <c r="D10501" t="inlineStr">
        <is>
          <t>DALARNAS LÄN</t>
        </is>
      </c>
      <c r="E10501" t="inlineStr">
        <is>
          <t>RÄTTVIK</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30405-2021</t>
        </is>
      </c>
      <c r="B10502" s="1" t="n">
        <v>44364</v>
      </c>
      <c r="C10502" s="1" t="n">
        <v>46114</v>
      </c>
      <c r="D10502" t="inlineStr">
        <is>
          <t>DALARNAS LÄN</t>
        </is>
      </c>
      <c r="E10502" t="inlineStr">
        <is>
          <t>MALUNG-SÄLEN</t>
        </is>
      </c>
      <c r="G10502" t="n">
        <v>1.9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29856-2024</t>
        </is>
      </c>
      <c r="B10503" s="1" t="n">
        <v>45485.66964120371</v>
      </c>
      <c r="C10503" s="1" t="n">
        <v>46114</v>
      </c>
      <c r="D10503" t="inlineStr">
        <is>
          <t>DALARNAS LÄN</t>
        </is>
      </c>
      <c r="E10503" t="inlineStr">
        <is>
          <t>BORLÄNGE</t>
        </is>
      </c>
      <c r="F10503" t="inlineStr">
        <is>
          <t>Bergvik skog väst AB</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19182-2023</t>
        </is>
      </c>
      <c r="B10504" s="1" t="n">
        <v>45048</v>
      </c>
      <c r="C10504" s="1" t="n">
        <v>46114</v>
      </c>
      <c r="D10504" t="inlineStr">
        <is>
          <t>DALARNAS LÄN</t>
        </is>
      </c>
      <c r="E10504" t="inlineStr">
        <is>
          <t>ÄLVDALEN</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51883-2024</t>
        </is>
      </c>
      <c r="B10505" s="1" t="n">
        <v>45607</v>
      </c>
      <c r="C10505" s="1" t="n">
        <v>46114</v>
      </c>
      <c r="D10505" t="inlineStr">
        <is>
          <t>DALARNAS LÄN</t>
        </is>
      </c>
      <c r="E10505" t="inlineStr">
        <is>
          <t>MORA</t>
        </is>
      </c>
      <c r="G10505" t="n">
        <v>0.2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32684-2023</t>
        </is>
      </c>
      <c r="B10506" s="1" t="n">
        <v>45112</v>
      </c>
      <c r="C10506" s="1" t="n">
        <v>46114</v>
      </c>
      <c r="D10506" t="inlineStr">
        <is>
          <t>DALARNAS LÄN</t>
        </is>
      </c>
      <c r="E10506" t="inlineStr">
        <is>
          <t>AVESTA</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50757-2024</t>
        </is>
      </c>
      <c r="B10507" s="1" t="n">
        <v>45602.4308912037</v>
      </c>
      <c r="C10507" s="1" t="n">
        <v>46114</v>
      </c>
      <c r="D10507" t="inlineStr">
        <is>
          <t>DALARNAS LÄN</t>
        </is>
      </c>
      <c r="E10507" t="inlineStr">
        <is>
          <t>FALUN</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50777-2024</t>
        </is>
      </c>
      <c r="B10508" s="1" t="n">
        <v>45602.4575</v>
      </c>
      <c r="C10508" s="1" t="n">
        <v>46114</v>
      </c>
      <c r="D10508" t="inlineStr">
        <is>
          <t>DALARNAS LÄN</t>
        </is>
      </c>
      <c r="E10508" t="inlineStr">
        <is>
          <t>LUDVIKA</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32770-2023</t>
        </is>
      </c>
      <c r="B10509" s="1" t="n">
        <v>45123.68409722222</v>
      </c>
      <c r="C10509" s="1" t="n">
        <v>46114</v>
      </c>
      <c r="D10509" t="inlineStr">
        <is>
          <t>DALARNAS LÄN</t>
        </is>
      </c>
      <c r="E10509" t="inlineStr">
        <is>
          <t>AVESTA</t>
        </is>
      </c>
      <c r="G10509" t="n">
        <v>5.6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42941-2024</t>
        </is>
      </c>
      <c r="B10510" s="1" t="n">
        <v>45567.3515162037</v>
      </c>
      <c r="C10510" s="1" t="n">
        <v>46114</v>
      </c>
      <c r="D10510" t="inlineStr">
        <is>
          <t>DALARNAS LÄN</t>
        </is>
      </c>
      <c r="E10510" t="inlineStr">
        <is>
          <t>MORA</t>
        </is>
      </c>
      <c r="G10510" t="n">
        <v>1.6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45589-2023</t>
        </is>
      </c>
      <c r="B10511" s="1" t="n">
        <v>45194.63086805555</v>
      </c>
      <c r="C10511" s="1" t="n">
        <v>46114</v>
      </c>
      <c r="D10511" t="inlineStr">
        <is>
          <t>DALARNAS LÄN</t>
        </is>
      </c>
      <c r="E10511" t="inlineStr">
        <is>
          <t>HEDEMORA</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43873-2024</t>
        </is>
      </c>
      <c r="B10512" s="1" t="n">
        <v>45572.38429398148</v>
      </c>
      <c r="C10512" s="1" t="n">
        <v>46114</v>
      </c>
      <c r="D10512" t="inlineStr">
        <is>
          <t>DALARNAS LÄN</t>
        </is>
      </c>
      <c r="E10512" t="inlineStr">
        <is>
          <t>MORA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43915-2024</t>
        </is>
      </c>
      <c r="B10513" s="1" t="n">
        <v>45572.43608796296</v>
      </c>
      <c r="C10513" s="1" t="n">
        <v>46114</v>
      </c>
      <c r="D10513" t="inlineStr">
        <is>
          <t>DALARNAS LÄN</t>
        </is>
      </c>
      <c r="E10513" t="inlineStr">
        <is>
          <t>GAGNEF</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50447-2023</t>
        </is>
      </c>
      <c r="B10514" s="1" t="n">
        <v>45216.72185185185</v>
      </c>
      <c r="C10514" s="1" t="n">
        <v>46114</v>
      </c>
      <c r="D10514" t="inlineStr">
        <is>
          <t>DALARNAS LÄN</t>
        </is>
      </c>
      <c r="E10514" t="inlineStr">
        <is>
          <t>LEKSAND</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9616-2024</t>
        </is>
      </c>
      <c r="B10515" s="1" t="n">
        <v>45361</v>
      </c>
      <c r="C10515" s="1" t="n">
        <v>46114</v>
      </c>
      <c r="D10515" t="inlineStr">
        <is>
          <t>DALARNAS LÄN</t>
        </is>
      </c>
      <c r="E10515" t="inlineStr">
        <is>
          <t>GAGNEF</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4414-2025</t>
        </is>
      </c>
      <c r="B10516" s="1" t="n">
        <v>45686.45730324074</v>
      </c>
      <c r="C10516" s="1" t="n">
        <v>46114</v>
      </c>
      <c r="D10516" t="inlineStr">
        <is>
          <t>DALARNAS LÄN</t>
        </is>
      </c>
      <c r="E10516" t="inlineStr">
        <is>
          <t>RÄTTVIK</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41668-2023</t>
        </is>
      </c>
      <c r="B10517" s="1" t="n">
        <v>45176.30253472222</v>
      </c>
      <c r="C10517" s="1" t="n">
        <v>46114</v>
      </c>
      <c r="D10517" t="inlineStr">
        <is>
          <t>DALARNAS LÄN</t>
        </is>
      </c>
      <c r="E10517" t="inlineStr">
        <is>
          <t>LUDVIKA</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54310-2023</t>
        </is>
      </c>
      <c r="B10518" s="1" t="n">
        <v>45232.89916666667</v>
      </c>
      <c r="C10518" s="1" t="n">
        <v>46114</v>
      </c>
      <c r="D10518" t="inlineStr">
        <is>
          <t>DALARNAS LÄN</t>
        </is>
      </c>
      <c r="E10518" t="inlineStr">
        <is>
          <t>SÄTER</t>
        </is>
      </c>
      <c r="G10518" t="n">
        <v>1.9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28773-2021</t>
        </is>
      </c>
      <c r="B10519" s="1" t="n">
        <v>44357</v>
      </c>
      <c r="C10519" s="1" t="n">
        <v>46114</v>
      </c>
      <c r="D10519" t="inlineStr">
        <is>
          <t>DALARNAS LÄN</t>
        </is>
      </c>
      <c r="E10519" t="inlineStr">
        <is>
          <t>FALUN</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44315-2023</t>
        </is>
      </c>
      <c r="B10520" s="1" t="n">
        <v>45188</v>
      </c>
      <c r="C10520" s="1" t="n">
        <v>46114</v>
      </c>
      <c r="D10520" t="inlineStr">
        <is>
          <t>DALARNAS LÄN</t>
        </is>
      </c>
      <c r="E10520" t="inlineStr">
        <is>
          <t>FALUN</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46876-2023</t>
        </is>
      </c>
      <c r="B10521" s="1" t="n">
        <v>45200</v>
      </c>
      <c r="C10521" s="1" t="n">
        <v>46114</v>
      </c>
      <c r="D10521" t="inlineStr">
        <is>
          <t>DALARNAS LÄN</t>
        </is>
      </c>
      <c r="E10521" t="inlineStr">
        <is>
          <t>LEKSAND</t>
        </is>
      </c>
      <c r="G10521" t="n">
        <v>2.4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36212-2024</t>
        </is>
      </c>
      <c r="B10522" s="1" t="n">
        <v>45534.461875</v>
      </c>
      <c r="C10522" s="1" t="n">
        <v>46114</v>
      </c>
      <c r="D10522" t="inlineStr">
        <is>
          <t>DALARNAS LÄN</t>
        </is>
      </c>
      <c r="E10522" t="inlineStr">
        <is>
          <t>FALUN</t>
        </is>
      </c>
      <c r="F10522" t="inlineStr">
        <is>
          <t>Bergvik skog väst AB</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48323-2021</t>
        </is>
      </c>
      <c r="B10523" s="1" t="n">
        <v>44450.84762731481</v>
      </c>
      <c r="C10523" s="1" t="n">
        <v>46114</v>
      </c>
      <c r="D10523" t="inlineStr">
        <is>
          <t>DALARNAS LÄN</t>
        </is>
      </c>
      <c r="E10523" t="inlineStr">
        <is>
          <t>HEDEMORA</t>
        </is>
      </c>
      <c r="G10523" t="n">
        <v>0.9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27163-2023</t>
        </is>
      </c>
      <c r="B10524" s="1" t="n">
        <v>45096.4878125</v>
      </c>
      <c r="C10524" s="1" t="n">
        <v>46114</v>
      </c>
      <c r="D10524" t="inlineStr">
        <is>
          <t>DALARNAS LÄN</t>
        </is>
      </c>
      <c r="E10524" t="inlineStr">
        <is>
          <t>ORSA</t>
        </is>
      </c>
      <c r="F10524" t="inlineStr">
        <is>
          <t>Bergvik skog öst AB</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950-2025</t>
        </is>
      </c>
      <c r="B10525" s="1" t="n">
        <v>45666.3599537037</v>
      </c>
      <c r="C10525" s="1" t="n">
        <v>46114</v>
      </c>
      <c r="D10525" t="inlineStr">
        <is>
          <t>DALARNAS LÄN</t>
        </is>
      </c>
      <c r="E10525" t="inlineStr">
        <is>
          <t>RÄTTVIK</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20330-2025</t>
        </is>
      </c>
      <c r="B10526" s="1" t="n">
        <v>45775.36167824074</v>
      </c>
      <c r="C10526" s="1" t="n">
        <v>46114</v>
      </c>
      <c r="D10526" t="inlineStr">
        <is>
          <t>DALARNAS LÄN</t>
        </is>
      </c>
      <c r="E10526" t="inlineStr">
        <is>
          <t>MALUNG-SÄLEN</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11897-2023</t>
        </is>
      </c>
      <c r="B10527" s="1" t="n">
        <v>44995.44731481482</v>
      </c>
      <c r="C10527" s="1" t="n">
        <v>46114</v>
      </c>
      <c r="D10527" t="inlineStr">
        <is>
          <t>DALARNAS LÄN</t>
        </is>
      </c>
      <c r="E10527" t="inlineStr">
        <is>
          <t>FALUN</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13000-2022</t>
        </is>
      </c>
      <c r="B10528" s="1" t="n">
        <v>44643.44597222222</v>
      </c>
      <c r="C10528" s="1" t="n">
        <v>46114</v>
      </c>
      <c r="D10528" t="inlineStr">
        <is>
          <t>DALARNAS LÄN</t>
        </is>
      </c>
      <c r="E10528" t="inlineStr">
        <is>
          <t>ÄLVDALEN</t>
        </is>
      </c>
      <c r="F10528" t="inlineStr">
        <is>
          <t>Sveaskog</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42291-2024</t>
        </is>
      </c>
      <c r="B10529" s="1" t="n">
        <v>45562.62109953703</v>
      </c>
      <c r="C10529" s="1" t="n">
        <v>46114</v>
      </c>
      <c r="D10529" t="inlineStr">
        <is>
          <t>DALARNAS LÄN</t>
        </is>
      </c>
      <c r="E10529" t="inlineStr">
        <is>
          <t>AVESTA</t>
        </is>
      </c>
      <c r="F10529" t="inlineStr">
        <is>
          <t>Sveaskog</t>
        </is>
      </c>
      <c r="G10529" t="n">
        <v>7.1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58397-2023</t>
        </is>
      </c>
      <c r="B10530" s="1" t="n">
        <v>45250</v>
      </c>
      <c r="C10530" s="1" t="n">
        <v>46114</v>
      </c>
      <c r="D10530" t="inlineStr">
        <is>
          <t>DALARNAS LÄN</t>
        </is>
      </c>
      <c r="E10530" t="inlineStr">
        <is>
          <t>SMEDJEBACKEN</t>
        </is>
      </c>
      <c r="G10530" t="n">
        <v>2.8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48925-2024</t>
        </is>
      </c>
      <c r="B10531" s="1" t="n">
        <v>45594.37643518519</v>
      </c>
      <c r="C10531" s="1" t="n">
        <v>46114</v>
      </c>
      <c r="D10531" t="inlineStr">
        <is>
          <t>DALARNAS LÄN</t>
        </is>
      </c>
      <c r="E10531" t="inlineStr">
        <is>
          <t>LUDVIKA</t>
        </is>
      </c>
      <c r="F10531" t="inlineStr">
        <is>
          <t>Bergvik skog väst AB</t>
        </is>
      </c>
      <c r="G10531" t="n">
        <v>5.9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43900-2024</t>
        </is>
      </c>
      <c r="B10532" s="1" t="n">
        <v>45572.41975694444</v>
      </c>
      <c r="C10532" s="1" t="n">
        <v>46114</v>
      </c>
      <c r="D10532" t="inlineStr">
        <is>
          <t>DALARNAS LÄN</t>
        </is>
      </c>
      <c r="E10532" t="inlineStr">
        <is>
          <t>ÄLVDALEN</t>
        </is>
      </c>
      <c r="F10532" t="inlineStr">
        <is>
          <t>Bergvik skog väst AB</t>
        </is>
      </c>
      <c r="G10532" t="n">
        <v>7.3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55462-2024</t>
        </is>
      </c>
      <c r="B10533" s="1" t="n">
        <v>45622.42880787037</v>
      </c>
      <c r="C10533" s="1" t="n">
        <v>46114</v>
      </c>
      <c r="D10533" t="inlineStr">
        <is>
          <t>DALARNAS LÄN</t>
        </is>
      </c>
      <c r="E10533" t="inlineStr">
        <is>
          <t>LUDVIKA</t>
        </is>
      </c>
      <c r="F10533" t="inlineStr">
        <is>
          <t>Naturvårdsverket</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22022-2022</t>
        </is>
      </c>
      <c r="B10534" s="1" t="n">
        <v>44711.60145833333</v>
      </c>
      <c r="C10534" s="1" t="n">
        <v>46114</v>
      </c>
      <c r="D10534" t="inlineStr">
        <is>
          <t>DALARNAS LÄN</t>
        </is>
      </c>
      <c r="E10534" t="inlineStr">
        <is>
          <t>ORSA</t>
        </is>
      </c>
      <c r="F10534" t="inlineStr">
        <is>
          <t>Bergvik skog öst AB</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43909-2024</t>
        </is>
      </c>
      <c r="B10535" s="1" t="n">
        <v>45572.43074074074</v>
      </c>
      <c r="C10535" s="1" t="n">
        <v>46114</v>
      </c>
      <c r="D10535" t="inlineStr">
        <is>
          <t>DALARNAS LÄN</t>
        </is>
      </c>
      <c r="E10535" t="inlineStr">
        <is>
          <t>SMEDJEBACKEN</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43911-2024</t>
        </is>
      </c>
      <c r="B10536" s="1" t="n">
        <v>45572.43356481481</v>
      </c>
      <c r="C10536" s="1" t="n">
        <v>46114</v>
      </c>
      <c r="D10536" t="inlineStr">
        <is>
          <t>DALARNAS LÄN</t>
        </is>
      </c>
      <c r="E10536" t="inlineStr">
        <is>
          <t>GAGNEF</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43913-2024</t>
        </is>
      </c>
      <c r="B10537" s="1" t="n">
        <v>45572</v>
      </c>
      <c r="C10537" s="1" t="n">
        <v>46114</v>
      </c>
      <c r="D10537" t="inlineStr">
        <is>
          <t>DALARNAS LÄN</t>
        </is>
      </c>
      <c r="E10537" t="inlineStr">
        <is>
          <t>GAGNEF</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43918-2024</t>
        </is>
      </c>
      <c r="B10538" s="1" t="n">
        <v>45572.44064814815</v>
      </c>
      <c r="C10538" s="1" t="n">
        <v>46114</v>
      </c>
      <c r="D10538" t="inlineStr">
        <is>
          <t>DALARNAS LÄN</t>
        </is>
      </c>
      <c r="E10538" t="inlineStr">
        <is>
          <t>BORLÄNGE</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55474-2024</t>
        </is>
      </c>
      <c r="B10539" s="1" t="n">
        <v>45622.43456018518</v>
      </c>
      <c r="C10539" s="1" t="n">
        <v>46114</v>
      </c>
      <c r="D10539" t="inlineStr">
        <is>
          <t>DALARNAS LÄN</t>
        </is>
      </c>
      <c r="E10539" t="inlineStr">
        <is>
          <t>LUDVIKA</t>
        </is>
      </c>
      <c r="F10539" t="inlineStr">
        <is>
          <t>Naturvårdsverket</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55510-2024</t>
        </is>
      </c>
      <c r="B10540" s="1" t="n">
        <v>45622.46479166667</v>
      </c>
      <c r="C10540" s="1" t="n">
        <v>46114</v>
      </c>
      <c r="D10540" t="inlineStr">
        <is>
          <t>DALARNAS LÄN</t>
        </is>
      </c>
      <c r="E10540" t="inlineStr">
        <is>
          <t>LUDVIKA</t>
        </is>
      </c>
      <c r="F10540" t="inlineStr">
        <is>
          <t>Naturvårdsverket</t>
        </is>
      </c>
      <c r="G10540" t="n">
        <v>3.8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55512-2024</t>
        </is>
      </c>
      <c r="B10541" s="1" t="n">
        <v>45621</v>
      </c>
      <c r="C10541" s="1" t="n">
        <v>46114</v>
      </c>
      <c r="D10541" t="inlineStr">
        <is>
          <t>DALARNAS LÄN</t>
        </is>
      </c>
      <c r="E10541" t="inlineStr">
        <is>
          <t>LEKSAND</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1596-2025</t>
        </is>
      </c>
      <c r="B10542" s="1" t="n">
        <v>45670.58552083333</v>
      </c>
      <c r="C10542" s="1" t="n">
        <v>46114</v>
      </c>
      <c r="D10542" t="inlineStr">
        <is>
          <t>DALARNAS LÄN</t>
        </is>
      </c>
      <c r="E10542" t="inlineStr">
        <is>
          <t>FALUN</t>
        </is>
      </c>
      <c r="G10542" t="n">
        <v>1.6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40919-2023</t>
        </is>
      </c>
      <c r="B10543" s="1" t="n">
        <v>45173.42707175926</v>
      </c>
      <c r="C10543" s="1" t="n">
        <v>46114</v>
      </c>
      <c r="D10543" t="inlineStr">
        <is>
          <t>DALARNAS LÄN</t>
        </is>
      </c>
      <c r="E10543" t="inlineStr">
        <is>
          <t>HEDEMORA</t>
        </is>
      </c>
      <c r="F10543" t="inlineStr">
        <is>
          <t>Bergvik skog väst AB</t>
        </is>
      </c>
      <c r="G10543" t="n">
        <v>2.6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58798-2024</t>
        </is>
      </c>
      <c r="B10544" s="1" t="n">
        <v>45636.30075231481</v>
      </c>
      <c r="C10544" s="1" t="n">
        <v>46114</v>
      </c>
      <c r="D10544" t="inlineStr">
        <is>
          <t>DALARNAS LÄN</t>
        </is>
      </c>
      <c r="E10544" t="inlineStr">
        <is>
          <t>SÄTER</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42596-2021</t>
        </is>
      </c>
      <c r="B10545" s="1" t="n">
        <v>44428.37861111111</v>
      </c>
      <c r="C10545" s="1" t="n">
        <v>46114</v>
      </c>
      <c r="D10545" t="inlineStr">
        <is>
          <t>DALARNAS LÄN</t>
        </is>
      </c>
      <c r="E10545" t="inlineStr">
        <is>
          <t>GAGNEF</t>
        </is>
      </c>
      <c r="G10545" t="n">
        <v>1.7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61541-2022</t>
        </is>
      </c>
      <c r="B10546" s="1" t="n">
        <v>44916.55944444444</v>
      </c>
      <c r="C10546" s="1" t="n">
        <v>46114</v>
      </c>
      <c r="D10546" t="inlineStr">
        <is>
          <t>DALARNAS LÄN</t>
        </is>
      </c>
      <c r="E10546" t="inlineStr">
        <is>
          <t>SMEDJEBACKEN</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55203-2021</t>
        </is>
      </c>
      <c r="B10547" s="1" t="n">
        <v>44475</v>
      </c>
      <c r="C10547" s="1" t="n">
        <v>46114</v>
      </c>
      <c r="D10547" t="inlineStr">
        <is>
          <t>DALARNAS LÄN</t>
        </is>
      </c>
      <c r="E10547" t="inlineStr">
        <is>
          <t>RÄTTVIK</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10573-2025</t>
        </is>
      </c>
      <c r="B10548" s="1" t="n">
        <v>45721.54224537037</v>
      </c>
      <c r="C10548" s="1" t="n">
        <v>46114</v>
      </c>
      <c r="D10548" t="inlineStr">
        <is>
          <t>DALARNAS LÄN</t>
        </is>
      </c>
      <c r="E10548" t="inlineStr">
        <is>
          <t>AVESTA</t>
        </is>
      </c>
      <c r="F10548" t="inlineStr">
        <is>
          <t>Sveaskog</t>
        </is>
      </c>
      <c r="G10548" t="n">
        <v>3.1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41416-2023</t>
        </is>
      </c>
      <c r="B10549" s="1" t="n">
        <v>45175.31414351852</v>
      </c>
      <c r="C10549" s="1" t="n">
        <v>46114</v>
      </c>
      <c r="D10549" t="inlineStr">
        <is>
          <t>DALARNAS LÄN</t>
        </is>
      </c>
      <c r="E10549" t="inlineStr">
        <is>
          <t>MALUNG-SÄLEN</t>
        </is>
      </c>
      <c r="G10549" t="n">
        <v>2.7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19344-2025</t>
        </is>
      </c>
      <c r="B10550" s="1" t="n">
        <v>45769.59975694444</v>
      </c>
      <c r="C10550" s="1" t="n">
        <v>46114</v>
      </c>
      <c r="D10550" t="inlineStr">
        <is>
          <t>DALARNAS LÄN</t>
        </is>
      </c>
      <c r="E10550" t="inlineStr">
        <is>
          <t>GAGNEF</t>
        </is>
      </c>
      <c r="G10550" t="n">
        <v>3.4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37440-2022</t>
        </is>
      </c>
      <c r="B10551" s="1" t="n">
        <v>44809</v>
      </c>
      <c r="C10551" s="1" t="n">
        <v>46114</v>
      </c>
      <c r="D10551" t="inlineStr">
        <is>
          <t>DALARNAS LÄN</t>
        </is>
      </c>
      <c r="E10551" t="inlineStr">
        <is>
          <t>SÄTER</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43470-2024</t>
        </is>
      </c>
      <c r="B10552" s="1" t="n">
        <v>45568</v>
      </c>
      <c r="C10552" s="1" t="n">
        <v>46114</v>
      </c>
      <c r="D10552" t="inlineStr">
        <is>
          <t>DALARNAS LÄN</t>
        </is>
      </c>
      <c r="E10552" t="inlineStr">
        <is>
          <t>LEKSAND</t>
        </is>
      </c>
      <c r="G10552" t="n">
        <v>3.1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43515-2024</t>
        </is>
      </c>
      <c r="B10553" s="1" t="n">
        <v>45569.32403935185</v>
      </c>
      <c r="C10553" s="1" t="n">
        <v>46114</v>
      </c>
      <c r="D10553" t="inlineStr">
        <is>
          <t>DALARNAS LÄN</t>
        </is>
      </c>
      <c r="E10553" t="inlineStr">
        <is>
          <t>BORLÄNGE</t>
        </is>
      </c>
      <c r="G10553" t="n">
        <v>1.1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43581-2024</t>
        </is>
      </c>
      <c r="B10554" s="1" t="n">
        <v>45569.42412037037</v>
      </c>
      <c r="C10554" s="1" t="n">
        <v>46114</v>
      </c>
      <c r="D10554" t="inlineStr">
        <is>
          <t>DALARNAS LÄN</t>
        </is>
      </c>
      <c r="E10554" t="inlineStr">
        <is>
          <t>MALUNG-SÄLEN</t>
        </is>
      </c>
      <c r="F10554" t="inlineStr">
        <is>
          <t>Allmännings- och besparingsskogar</t>
        </is>
      </c>
      <c r="G10554" t="n">
        <v>3.4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18304-2025</t>
        </is>
      </c>
      <c r="B10555" s="1" t="n">
        <v>45762</v>
      </c>
      <c r="C10555" s="1" t="n">
        <v>46114</v>
      </c>
      <c r="D10555" t="inlineStr">
        <is>
          <t>DALARNAS LÄN</t>
        </is>
      </c>
      <c r="E10555" t="inlineStr">
        <is>
          <t>VANSBRO</t>
        </is>
      </c>
      <c r="F10555" t="inlineStr">
        <is>
          <t>Bergvik skog väst AB</t>
        </is>
      </c>
      <c r="G10555" t="n">
        <v>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4550-2025</t>
        </is>
      </c>
      <c r="B10556" s="1" t="n">
        <v>45687.40626157408</v>
      </c>
      <c r="C10556" s="1" t="n">
        <v>46114</v>
      </c>
      <c r="D10556" t="inlineStr">
        <is>
          <t>DALARNAS LÄN</t>
        </is>
      </c>
      <c r="E10556" t="inlineStr">
        <is>
          <t>LUDVIKA</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18421-2025</t>
        </is>
      </c>
      <c r="B10557" s="1" t="n">
        <v>45762.61923611111</v>
      </c>
      <c r="C10557" s="1" t="n">
        <v>46114</v>
      </c>
      <c r="D10557" t="inlineStr">
        <is>
          <t>DALARNAS LÄN</t>
        </is>
      </c>
      <c r="E10557" t="inlineStr">
        <is>
          <t>LUDVIKA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11496-2025</t>
        </is>
      </c>
      <c r="B10558" s="1" t="n">
        <v>45726.74026620371</v>
      </c>
      <c r="C10558" s="1" t="n">
        <v>46114</v>
      </c>
      <c r="D10558" t="inlineStr">
        <is>
          <t>DALARNAS LÄN</t>
        </is>
      </c>
      <c r="E10558" t="inlineStr">
        <is>
          <t>MALUNG-SÄLEN</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11606-2025</t>
        </is>
      </c>
      <c r="B10559" s="1" t="n">
        <v>45727</v>
      </c>
      <c r="C10559" s="1" t="n">
        <v>46114</v>
      </c>
      <c r="D10559" t="inlineStr">
        <is>
          <t>DALARNAS LÄN</t>
        </is>
      </c>
      <c r="E10559" t="inlineStr">
        <is>
          <t>LEKSAND</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50714-2024</t>
        </is>
      </c>
      <c r="B10560" s="1" t="n">
        <v>45602</v>
      </c>
      <c r="C10560" s="1" t="n">
        <v>46114</v>
      </c>
      <c r="D10560" t="inlineStr">
        <is>
          <t>DALARNAS LÄN</t>
        </is>
      </c>
      <c r="E10560" t="inlineStr">
        <is>
          <t>LUDVIKA</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59923-2024</t>
        </is>
      </c>
      <c r="B10561" s="1" t="n">
        <v>45641.92173611111</v>
      </c>
      <c r="C10561" s="1" t="n">
        <v>46114</v>
      </c>
      <c r="D10561" t="inlineStr">
        <is>
          <t>DALARNAS LÄN</t>
        </is>
      </c>
      <c r="E10561" t="inlineStr">
        <is>
          <t>RÄTTVIK</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20237-2023</t>
        </is>
      </c>
      <c r="B10562" s="1" t="n">
        <v>45055</v>
      </c>
      <c r="C10562" s="1" t="n">
        <v>46114</v>
      </c>
      <c r="D10562" t="inlineStr">
        <is>
          <t>DALARNAS LÄN</t>
        </is>
      </c>
      <c r="E10562" t="inlineStr">
        <is>
          <t>HEDEMORA</t>
        </is>
      </c>
      <c r="F10562" t="inlineStr">
        <is>
          <t>Bergvik skog väst AB</t>
        </is>
      </c>
      <c r="G10562" t="n">
        <v>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56810-2024</t>
        </is>
      </c>
      <c r="B10563" s="1" t="n">
        <v>45628</v>
      </c>
      <c r="C10563" s="1" t="n">
        <v>46114</v>
      </c>
      <c r="D10563" t="inlineStr">
        <is>
          <t>DALARNAS LÄN</t>
        </is>
      </c>
      <c r="E10563" t="inlineStr">
        <is>
          <t>ORSA</t>
        </is>
      </c>
      <c r="G10563" t="n">
        <v>0.9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56811-2024</t>
        </is>
      </c>
      <c r="B10564" s="1" t="n">
        <v>45628</v>
      </c>
      <c r="C10564" s="1" t="n">
        <v>46114</v>
      </c>
      <c r="D10564" t="inlineStr">
        <is>
          <t>DALARNAS LÄN</t>
        </is>
      </c>
      <c r="E10564" t="inlineStr">
        <is>
          <t>ORSA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61940-2024</t>
        </is>
      </c>
      <c r="B10565" s="1" t="n">
        <v>45653</v>
      </c>
      <c r="C10565" s="1" t="n">
        <v>46114</v>
      </c>
      <c r="D10565" t="inlineStr">
        <is>
          <t>DALARNAS LÄN</t>
        </is>
      </c>
      <c r="E10565" t="inlineStr">
        <is>
          <t>VANSBRO</t>
        </is>
      </c>
      <c r="G10565" t="n">
        <v>5.8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14378-2025</t>
        </is>
      </c>
      <c r="B10566" s="1" t="n">
        <v>45741</v>
      </c>
      <c r="C10566" s="1" t="n">
        <v>46114</v>
      </c>
      <c r="D10566" t="inlineStr">
        <is>
          <t>DALARNAS LÄN</t>
        </is>
      </c>
      <c r="E10566" t="inlineStr">
        <is>
          <t>MORA</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14465-2025</t>
        </is>
      </c>
      <c r="B10567" s="1" t="n">
        <v>45741.57155092592</v>
      </c>
      <c r="C10567" s="1" t="n">
        <v>46114</v>
      </c>
      <c r="D10567" t="inlineStr">
        <is>
          <t>DALARNAS LÄN</t>
        </is>
      </c>
      <c r="E10567" t="inlineStr">
        <is>
          <t>FALUN</t>
        </is>
      </c>
      <c r="F10567" t="inlineStr">
        <is>
          <t>Bergvik skog väst AB</t>
        </is>
      </c>
      <c r="G10567" t="n">
        <v>2.2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10704-2025</t>
        </is>
      </c>
      <c r="B10568" s="1" t="n">
        <v>45722.33377314815</v>
      </c>
      <c r="C10568" s="1" t="n">
        <v>46114</v>
      </c>
      <c r="D10568" t="inlineStr">
        <is>
          <t>DALARNAS LÄN</t>
        </is>
      </c>
      <c r="E10568" t="inlineStr">
        <is>
          <t>MALUNG-SÄLEN</t>
        </is>
      </c>
      <c r="G10568" t="n">
        <v>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13370-2025</t>
        </is>
      </c>
      <c r="B10569" s="1" t="n">
        <v>45735.66260416667</v>
      </c>
      <c r="C10569" s="1" t="n">
        <v>46114</v>
      </c>
      <c r="D10569" t="inlineStr">
        <is>
          <t>DALARNAS LÄN</t>
        </is>
      </c>
      <c r="E10569" t="inlineStr">
        <is>
          <t>FALUN</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56803-2024</t>
        </is>
      </c>
      <c r="B10570" s="1" t="n">
        <v>45628.47212962963</v>
      </c>
      <c r="C10570" s="1" t="n">
        <v>46114</v>
      </c>
      <c r="D10570" t="inlineStr">
        <is>
          <t>DALARNAS LÄN</t>
        </is>
      </c>
      <c r="E10570" t="inlineStr">
        <is>
          <t>ORSA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16733-2024</t>
        </is>
      </c>
      <c r="B10571" s="1" t="n">
        <v>45410.78502314815</v>
      </c>
      <c r="C10571" s="1" t="n">
        <v>46114</v>
      </c>
      <c r="D10571" t="inlineStr">
        <is>
          <t>DALARNAS LÄN</t>
        </is>
      </c>
      <c r="E10571" t="inlineStr">
        <is>
          <t>MORA</t>
        </is>
      </c>
      <c r="G10571" t="n">
        <v>6.3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22683-2022</t>
        </is>
      </c>
      <c r="B10572" s="1" t="n">
        <v>44714</v>
      </c>
      <c r="C10572" s="1" t="n">
        <v>46114</v>
      </c>
      <c r="D10572" t="inlineStr">
        <is>
          <t>DALARNAS LÄN</t>
        </is>
      </c>
      <c r="E10572" t="inlineStr">
        <is>
          <t>LEKSAND</t>
        </is>
      </c>
      <c r="F10572" t="inlineStr">
        <is>
          <t>Bergvik skog väst AB</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22843-2022</t>
        </is>
      </c>
      <c r="B10573" s="1" t="n">
        <v>44715.45881944444</v>
      </c>
      <c r="C10573" s="1" t="n">
        <v>46114</v>
      </c>
      <c r="D10573" t="inlineStr">
        <is>
          <t>DALARNAS LÄN</t>
        </is>
      </c>
      <c r="E10573" t="inlineStr">
        <is>
          <t>FALUN</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13161-2024</t>
        </is>
      </c>
      <c r="B10574" s="1" t="n">
        <v>45386.38972222222</v>
      </c>
      <c r="C10574" s="1" t="n">
        <v>46114</v>
      </c>
      <c r="D10574" t="inlineStr">
        <is>
          <t>DALARNAS LÄN</t>
        </is>
      </c>
      <c r="E10574" t="inlineStr">
        <is>
          <t>LEKSAND</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61208-2023</t>
        </is>
      </c>
      <c r="B10575" s="1" t="n">
        <v>45260</v>
      </c>
      <c r="C10575" s="1" t="n">
        <v>46114</v>
      </c>
      <c r="D10575" t="inlineStr">
        <is>
          <t>DALARNAS LÄN</t>
        </is>
      </c>
      <c r="E10575" t="inlineStr">
        <is>
          <t>LEKSAND</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61217-2023</t>
        </is>
      </c>
      <c r="B10576" s="1" t="n">
        <v>45264.43802083333</v>
      </c>
      <c r="C10576" s="1" t="n">
        <v>46114</v>
      </c>
      <c r="D10576" t="inlineStr">
        <is>
          <t>DALARNAS LÄN</t>
        </is>
      </c>
      <c r="E10576" t="inlineStr">
        <is>
          <t>MORA</t>
        </is>
      </c>
      <c r="F10576" t="inlineStr">
        <is>
          <t>Allmännings- och besparingsskogar</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61218-2023</t>
        </is>
      </c>
      <c r="B10577" s="1" t="n">
        <v>45264</v>
      </c>
      <c r="C10577" s="1" t="n">
        <v>46114</v>
      </c>
      <c r="D10577" t="inlineStr">
        <is>
          <t>DALARNAS LÄN</t>
        </is>
      </c>
      <c r="E10577" t="inlineStr">
        <is>
          <t>MORA</t>
        </is>
      </c>
      <c r="F10577" t="inlineStr">
        <is>
          <t>Allmännings- och besparingsskogar</t>
        </is>
      </c>
      <c r="G10577" t="n">
        <v>2.6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61450-2022</t>
        </is>
      </c>
      <c r="B10578" s="1" t="n">
        <v>44910</v>
      </c>
      <c r="C10578" s="1" t="n">
        <v>46114</v>
      </c>
      <c r="D10578" t="inlineStr">
        <is>
          <t>DALARNAS LÄN</t>
        </is>
      </c>
      <c r="E10578" t="inlineStr">
        <is>
          <t>ÄLVDALEN</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31116-2023</t>
        </is>
      </c>
      <c r="B10579" s="1" t="n">
        <v>45103</v>
      </c>
      <c r="C10579" s="1" t="n">
        <v>46114</v>
      </c>
      <c r="D10579" t="inlineStr">
        <is>
          <t>DALARNAS LÄN</t>
        </is>
      </c>
      <c r="E10579" t="inlineStr">
        <is>
          <t>AVESTA</t>
        </is>
      </c>
      <c r="F10579" t="inlineStr">
        <is>
          <t>Bergvik skog väst AB</t>
        </is>
      </c>
      <c r="G10579" t="n">
        <v>37.2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19096-2021</t>
        </is>
      </c>
      <c r="B10580" s="1" t="n">
        <v>44308</v>
      </c>
      <c r="C10580" s="1" t="n">
        <v>46114</v>
      </c>
      <c r="D10580" t="inlineStr">
        <is>
          <t>DALARNAS LÄN</t>
        </is>
      </c>
      <c r="E10580" t="inlineStr">
        <is>
          <t>BORLÄNGE</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61515-2022</t>
        </is>
      </c>
      <c r="B10581" s="1" t="n">
        <v>44916</v>
      </c>
      <c r="C10581" s="1" t="n">
        <v>46114</v>
      </c>
      <c r="D10581" t="inlineStr">
        <is>
          <t>DALARNAS LÄN</t>
        </is>
      </c>
      <c r="E10581" t="inlineStr">
        <is>
          <t>VANSBRO</t>
        </is>
      </c>
      <c r="F10581" t="inlineStr">
        <is>
          <t>Bergvik skog väst AB</t>
        </is>
      </c>
      <c r="G10581" t="n">
        <v>0.1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24469-2022</t>
        </is>
      </c>
      <c r="B10582" s="1" t="n">
        <v>44726</v>
      </c>
      <c r="C10582" s="1" t="n">
        <v>46114</v>
      </c>
      <c r="D10582" t="inlineStr">
        <is>
          <t>DALARNAS LÄN</t>
        </is>
      </c>
      <c r="E10582" t="inlineStr">
        <is>
          <t>SMEDJEBACKEN</t>
        </is>
      </c>
      <c r="G10582" t="n">
        <v>4.3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26062-2024</t>
        </is>
      </c>
      <c r="B10583" s="1" t="n">
        <v>45468.3509375</v>
      </c>
      <c r="C10583" s="1" t="n">
        <v>46114</v>
      </c>
      <c r="D10583" t="inlineStr">
        <is>
          <t>DALARNAS LÄN</t>
        </is>
      </c>
      <c r="E10583" t="inlineStr">
        <is>
          <t>LEKSAND</t>
        </is>
      </c>
      <c r="F10583" t="inlineStr">
        <is>
          <t>Övriga statliga verk och myndigheter</t>
        </is>
      </c>
      <c r="G10583" t="n">
        <v>6.4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22517-2024</t>
        </is>
      </c>
      <c r="B10584" s="1" t="n">
        <v>45447.40143518519</v>
      </c>
      <c r="C10584" s="1" t="n">
        <v>46114</v>
      </c>
      <c r="D10584" t="inlineStr">
        <is>
          <t>DALARNAS LÄN</t>
        </is>
      </c>
      <c r="E10584" t="inlineStr">
        <is>
          <t>LEKSAND</t>
        </is>
      </c>
      <c r="G10584" t="n">
        <v>0.4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21794-2024</t>
        </is>
      </c>
      <c r="B10585" s="1" t="n">
        <v>45442.64577546297</v>
      </c>
      <c r="C10585" s="1" t="n">
        <v>46114</v>
      </c>
      <c r="D10585" t="inlineStr">
        <is>
          <t>DALARNAS LÄN</t>
        </is>
      </c>
      <c r="E10585" t="inlineStr">
        <is>
          <t>MALUNG-SÄLEN</t>
        </is>
      </c>
      <c r="G10585" t="n">
        <v>1.3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23500-2024</t>
        </is>
      </c>
      <c r="B10586" s="1" t="n">
        <v>45453.72688657408</v>
      </c>
      <c r="C10586" s="1" t="n">
        <v>46114</v>
      </c>
      <c r="D10586" t="inlineStr">
        <is>
          <t>DALARNAS LÄN</t>
        </is>
      </c>
      <c r="E10586" t="inlineStr">
        <is>
          <t>AVESTA</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61953-2023</t>
        </is>
      </c>
      <c r="B10587" s="1" t="n">
        <v>45266</v>
      </c>
      <c r="C10587" s="1" t="n">
        <v>46114</v>
      </c>
      <c r="D10587" t="inlineStr">
        <is>
          <t>DALARNAS LÄN</t>
        </is>
      </c>
      <c r="E10587" t="inlineStr">
        <is>
          <t>LEKSAND</t>
        </is>
      </c>
      <c r="G10587" t="n">
        <v>0.1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9836-2022</t>
        </is>
      </c>
      <c r="B10588" s="1" t="n">
        <v>44620</v>
      </c>
      <c r="C10588" s="1" t="n">
        <v>46114</v>
      </c>
      <c r="D10588" t="inlineStr">
        <is>
          <t>DALARNAS LÄN</t>
        </is>
      </c>
      <c r="E10588" t="inlineStr">
        <is>
          <t>ORSA</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16815-2025</t>
        </is>
      </c>
      <c r="B10589" s="1" t="n">
        <v>45754</v>
      </c>
      <c r="C10589" s="1" t="n">
        <v>46114</v>
      </c>
      <c r="D10589" t="inlineStr">
        <is>
          <t>DALARNAS LÄN</t>
        </is>
      </c>
      <c r="E10589" t="inlineStr">
        <is>
          <t>LEKSAND</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16826-2025</t>
        </is>
      </c>
      <c r="B10590" s="1" t="n">
        <v>45754.65130787037</v>
      </c>
      <c r="C10590" s="1" t="n">
        <v>46114</v>
      </c>
      <c r="D10590" t="inlineStr">
        <is>
          <t>DALARNAS LÄN</t>
        </is>
      </c>
      <c r="E10590" t="inlineStr">
        <is>
          <t>VANSBRO</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16854-2025</t>
        </is>
      </c>
      <c r="B10591" s="1" t="n">
        <v>45754.72883101852</v>
      </c>
      <c r="C10591" s="1" t="n">
        <v>46114</v>
      </c>
      <c r="D10591" t="inlineStr">
        <is>
          <t>DALARNAS LÄN</t>
        </is>
      </c>
      <c r="E10591" t="inlineStr">
        <is>
          <t>LEKSAND</t>
        </is>
      </c>
      <c r="G10591" t="n">
        <v>1.2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16892-2025</t>
        </is>
      </c>
      <c r="B10592" s="1" t="n">
        <v>45751</v>
      </c>
      <c r="C10592" s="1" t="n">
        <v>46114</v>
      </c>
      <c r="D10592" t="inlineStr">
        <is>
          <t>DALARNAS LÄN</t>
        </is>
      </c>
      <c r="E10592" t="inlineStr">
        <is>
          <t>RÄTTVIK</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19841-2025</t>
        </is>
      </c>
      <c r="B10593" s="1" t="n">
        <v>45771.47921296296</v>
      </c>
      <c r="C10593" s="1" t="n">
        <v>46114</v>
      </c>
      <c r="D10593" t="inlineStr">
        <is>
          <t>DALARNAS LÄN</t>
        </is>
      </c>
      <c r="E10593" t="inlineStr">
        <is>
          <t>RÄTTVIK</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19860-2025</t>
        </is>
      </c>
      <c r="B10594" s="1" t="n">
        <v>45771.53363425926</v>
      </c>
      <c r="C10594" s="1" t="n">
        <v>46114</v>
      </c>
      <c r="D10594" t="inlineStr">
        <is>
          <t>DALARNAS LÄN</t>
        </is>
      </c>
      <c r="E10594" t="inlineStr">
        <is>
          <t>FALUN</t>
        </is>
      </c>
      <c r="F10594" t="inlineStr">
        <is>
          <t>Bergvik skog väst AB</t>
        </is>
      </c>
      <c r="G10594" t="n">
        <v>4.3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19895-2025</t>
        </is>
      </c>
      <c r="B10595" s="1" t="n">
        <v>45771.58298611111</v>
      </c>
      <c r="C10595" s="1" t="n">
        <v>46114</v>
      </c>
      <c r="D10595" t="inlineStr">
        <is>
          <t>DALARNAS LÄN</t>
        </is>
      </c>
      <c r="E10595" t="inlineStr">
        <is>
          <t>FALUN</t>
        </is>
      </c>
      <c r="G10595" t="n">
        <v>9.6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68553-2021</t>
        </is>
      </c>
      <c r="B10596" s="1" t="n">
        <v>44529</v>
      </c>
      <c r="C10596" s="1" t="n">
        <v>46114</v>
      </c>
      <c r="D10596" t="inlineStr">
        <is>
          <t>DALARNAS LÄN</t>
        </is>
      </c>
      <c r="E10596" t="inlineStr">
        <is>
          <t>HEDEMORA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62133-2023</t>
        </is>
      </c>
      <c r="B10597" s="1" t="n">
        <v>45267.35582175926</v>
      </c>
      <c r="C10597" s="1" t="n">
        <v>46114</v>
      </c>
      <c r="D10597" t="inlineStr">
        <is>
          <t>DALARNAS LÄN</t>
        </is>
      </c>
      <c r="E10597" t="inlineStr">
        <is>
          <t>LEKSAND</t>
        </is>
      </c>
      <c r="G10597" t="n">
        <v>1.3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8492-2025</t>
        </is>
      </c>
      <c r="B10598" s="1" t="n">
        <v>45709.50980324074</v>
      </c>
      <c r="C10598" s="1" t="n">
        <v>46114</v>
      </c>
      <c r="D10598" t="inlineStr">
        <is>
          <t>DALARNAS LÄN</t>
        </is>
      </c>
      <c r="E10598" t="inlineStr">
        <is>
          <t>ÄLVDALEN</t>
        </is>
      </c>
      <c r="G10598" t="n">
        <v>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8496-2025</t>
        </is>
      </c>
      <c r="B10599" s="1" t="n">
        <v>45709.51084490741</v>
      </c>
      <c r="C10599" s="1" t="n">
        <v>46114</v>
      </c>
      <c r="D10599" t="inlineStr">
        <is>
          <t>DALARNAS LÄN</t>
        </is>
      </c>
      <c r="E10599" t="inlineStr">
        <is>
          <t>ÄLVDALEN</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30939-2023</t>
        </is>
      </c>
      <c r="B10600" s="1" t="n">
        <v>45113.45597222223</v>
      </c>
      <c r="C10600" s="1" t="n">
        <v>46114</v>
      </c>
      <c r="D10600" t="inlineStr">
        <is>
          <t>DALARNAS LÄN</t>
        </is>
      </c>
      <c r="E10600" t="inlineStr">
        <is>
          <t>HEDEMORA</t>
        </is>
      </c>
      <c r="F10600" t="inlineStr">
        <is>
          <t>Sveaskog</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38863-2023</t>
        </is>
      </c>
      <c r="B10601" s="1" t="n">
        <v>45163</v>
      </c>
      <c r="C10601" s="1" t="n">
        <v>46114</v>
      </c>
      <c r="D10601" t="inlineStr">
        <is>
          <t>DALARNAS LÄN</t>
        </is>
      </c>
      <c r="E10601" t="inlineStr">
        <is>
          <t>BORLÄNGE</t>
        </is>
      </c>
      <c r="G10601" t="n">
        <v>0.3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38868-2023</t>
        </is>
      </c>
      <c r="B10602" s="1" t="n">
        <v>45163</v>
      </c>
      <c r="C10602" s="1" t="n">
        <v>46114</v>
      </c>
      <c r="D10602" t="inlineStr">
        <is>
          <t>DALARNAS LÄN</t>
        </is>
      </c>
      <c r="E10602" t="inlineStr">
        <is>
          <t>BORLÄNGE</t>
        </is>
      </c>
      <c r="G10602" t="n">
        <v>0.7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8867-2025</t>
        </is>
      </c>
      <c r="B10603" s="1" t="n">
        <v>45713.36719907408</v>
      </c>
      <c r="C10603" s="1" t="n">
        <v>46114</v>
      </c>
      <c r="D10603" t="inlineStr">
        <is>
          <t>DALARNAS LÄN</t>
        </is>
      </c>
      <c r="E10603" t="inlineStr">
        <is>
          <t>GAGNEF</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56768-2024</t>
        </is>
      </c>
      <c r="B10604" s="1" t="n">
        <v>45628.4153125</v>
      </c>
      <c r="C10604" s="1" t="n">
        <v>46114</v>
      </c>
      <c r="D10604" t="inlineStr">
        <is>
          <t>DALARNAS LÄN</t>
        </is>
      </c>
      <c r="E10604" t="inlineStr">
        <is>
          <t>FALUN</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40009-2024</t>
        </is>
      </c>
      <c r="B10605" s="1" t="n">
        <v>45553.65361111111</v>
      </c>
      <c r="C10605" s="1" t="n">
        <v>46114</v>
      </c>
      <c r="D10605" t="inlineStr">
        <is>
          <t>DALARNAS LÄN</t>
        </is>
      </c>
      <c r="E10605" t="inlineStr">
        <is>
          <t>LEKSAND</t>
        </is>
      </c>
      <c r="F10605" t="inlineStr">
        <is>
          <t>Bergvik skog väst AB</t>
        </is>
      </c>
      <c r="G10605" t="n">
        <v>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3378-2025</t>
        </is>
      </c>
      <c r="B10606" s="1" t="n">
        <v>45680.33721064815</v>
      </c>
      <c r="C10606" s="1" t="n">
        <v>46114</v>
      </c>
      <c r="D10606" t="inlineStr">
        <is>
          <t>DALARNAS LÄN</t>
        </is>
      </c>
      <c r="E10606" t="inlineStr">
        <is>
          <t>VANSBRO</t>
        </is>
      </c>
      <c r="G10606" t="n">
        <v>1.5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10967-2023</t>
        </is>
      </c>
      <c r="B10607" s="1" t="n">
        <v>44991.58001157407</v>
      </c>
      <c r="C10607" s="1" t="n">
        <v>46114</v>
      </c>
      <c r="D10607" t="inlineStr">
        <is>
          <t>DALARNAS LÄN</t>
        </is>
      </c>
      <c r="E10607" t="inlineStr">
        <is>
          <t>LEKSAND</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10974-2023</t>
        </is>
      </c>
      <c r="B10608" s="1" t="n">
        <v>44991.59049768518</v>
      </c>
      <c r="C10608" s="1" t="n">
        <v>46114</v>
      </c>
      <c r="D10608" t="inlineStr">
        <is>
          <t>DALARNAS LÄN</t>
        </is>
      </c>
      <c r="E10608" t="inlineStr">
        <is>
          <t>LEKSAND</t>
        </is>
      </c>
      <c r="G10608" t="n">
        <v>0.3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32862-2023</t>
        </is>
      </c>
      <c r="B10609" s="1" t="n">
        <v>45112</v>
      </c>
      <c r="C10609" s="1" t="n">
        <v>46114</v>
      </c>
      <c r="D10609" t="inlineStr">
        <is>
          <t>DALARNAS LÄN</t>
        </is>
      </c>
      <c r="E10609" t="inlineStr">
        <is>
          <t>RÄTTVIK</t>
        </is>
      </c>
      <c r="G10609" t="n">
        <v>4.8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49176-2024</t>
        </is>
      </c>
      <c r="B10610" s="1" t="n">
        <v>45595</v>
      </c>
      <c r="C10610" s="1" t="n">
        <v>46114</v>
      </c>
      <c r="D10610" t="inlineStr">
        <is>
          <t>DALARNAS LÄN</t>
        </is>
      </c>
      <c r="E10610" t="inlineStr">
        <is>
          <t>RÄTTVIK</t>
        </is>
      </c>
      <c r="G10610" t="n">
        <v>2.1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33473-2022</t>
        </is>
      </c>
      <c r="B10611" s="1" t="n">
        <v>44788</v>
      </c>
      <c r="C10611" s="1" t="n">
        <v>46114</v>
      </c>
      <c r="D10611" t="inlineStr">
        <is>
          <t>DALARNAS LÄN</t>
        </is>
      </c>
      <c r="E10611" t="inlineStr">
        <is>
          <t>SÄTER</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890-2024</t>
        </is>
      </c>
      <c r="B10612" s="1" t="n">
        <v>45301.40552083333</v>
      </c>
      <c r="C10612" s="1" t="n">
        <v>46114</v>
      </c>
      <c r="D10612" t="inlineStr">
        <is>
          <t>DALARNAS LÄN</t>
        </is>
      </c>
      <c r="E10612" t="inlineStr">
        <is>
          <t>ORSA</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47203-2023</t>
        </is>
      </c>
      <c r="B10613" s="1" t="n">
        <v>45202</v>
      </c>
      <c r="C10613" s="1" t="n">
        <v>46114</v>
      </c>
      <c r="D10613" t="inlineStr">
        <is>
          <t>DALARNAS LÄN</t>
        </is>
      </c>
      <c r="E10613" t="inlineStr">
        <is>
          <t>LEKSAND</t>
        </is>
      </c>
      <c r="G10613" t="n">
        <v>2.1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59668-2024</t>
        </is>
      </c>
      <c r="B10614" s="1" t="n">
        <v>45639.37899305556</v>
      </c>
      <c r="C10614" s="1" t="n">
        <v>46114</v>
      </c>
      <c r="D10614" t="inlineStr">
        <is>
          <t>DALARNAS LÄN</t>
        </is>
      </c>
      <c r="E10614" t="inlineStr">
        <is>
          <t>ÄLVDALEN</t>
        </is>
      </c>
      <c r="G10614" t="n">
        <v>2.5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59671-2024</t>
        </is>
      </c>
      <c r="B10615" s="1" t="n">
        <v>45639.3862962963</v>
      </c>
      <c r="C10615" s="1" t="n">
        <v>46114</v>
      </c>
      <c r="D10615" t="inlineStr">
        <is>
          <t>DALARNAS LÄN</t>
        </is>
      </c>
      <c r="E10615" t="inlineStr">
        <is>
          <t>ÄLVDALEN</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59679-2024</t>
        </is>
      </c>
      <c r="B10616" s="1" t="n">
        <v>45639.39581018518</v>
      </c>
      <c r="C10616" s="1" t="n">
        <v>46114</v>
      </c>
      <c r="D10616" t="inlineStr">
        <is>
          <t>DALARNAS LÄN</t>
        </is>
      </c>
      <c r="E10616" t="inlineStr">
        <is>
          <t>AVESTA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18584-2023</t>
        </is>
      </c>
      <c r="B10617" s="1" t="n">
        <v>45041</v>
      </c>
      <c r="C10617" s="1" t="n">
        <v>46114</v>
      </c>
      <c r="D10617" t="inlineStr">
        <is>
          <t>DALARNAS LÄN</t>
        </is>
      </c>
      <c r="E10617" t="inlineStr">
        <is>
          <t>MALUNG-SÄLEN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18585-2023</t>
        </is>
      </c>
      <c r="B10618" s="1" t="n">
        <v>45043.39247685186</v>
      </c>
      <c r="C10618" s="1" t="n">
        <v>46114</v>
      </c>
      <c r="D10618" t="inlineStr">
        <is>
          <t>DALARNAS LÄN</t>
        </is>
      </c>
      <c r="E10618" t="inlineStr">
        <is>
          <t>LUDVIKA</t>
        </is>
      </c>
      <c r="F10618" t="inlineStr">
        <is>
          <t>Bergvik skog väst AB</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45621-2023</t>
        </is>
      </c>
      <c r="B10619" s="1" t="n">
        <v>45188</v>
      </c>
      <c r="C10619" s="1" t="n">
        <v>46114</v>
      </c>
      <c r="D10619" t="inlineStr">
        <is>
          <t>DALARNAS LÄN</t>
        </is>
      </c>
      <c r="E10619" t="inlineStr">
        <is>
          <t>RÄTTVIK</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39064-2021</t>
        </is>
      </c>
      <c r="B10620" s="1" t="n">
        <v>44411</v>
      </c>
      <c r="C10620" s="1" t="n">
        <v>46114</v>
      </c>
      <c r="D10620" t="inlineStr">
        <is>
          <t>DALARNAS LÄN</t>
        </is>
      </c>
      <c r="E10620" t="inlineStr">
        <is>
          <t>ÄLVDALEN</t>
        </is>
      </c>
      <c r="F10620" t="inlineStr">
        <is>
          <t>Övriga statliga verk och myndigheter</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41542-2024</t>
        </is>
      </c>
      <c r="B10621" s="1" t="n">
        <v>45560.50650462963</v>
      </c>
      <c r="C10621" s="1" t="n">
        <v>46114</v>
      </c>
      <c r="D10621" t="inlineStr">
        <is>
          <t>DALARNAS LÄN</t>
        </is>
      </c>
      <c r="E10621" t="inlineStr">
        <is>
          <t>RÄTTVIK</t>
        </is>
      </c>
      <c r="G10621" t="n">
        <v>0.6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38795-2024</t>
        </is>
      </c>
      <c r="B10622" s="1" t="n">
        <v>45547.50658564815</v>
      </c>
      <c r="C10622" s="1" t="n">
        <v>46114</v>
      </c>
      <c r="D10622" t="inlineStr">
        <is>
          <t>DALARNAS LÄN</t>
        </is>
      </c>
      <c r="E10622" t="inlineStr">
        <is>
          <t>MALUNG-SÄLEN</t>
        </is>
      </c>
      <c r="G10622" t="n">
        <v>5.5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39348-2024</t>
        </is>
      </c>
      <c r="B10623" s="1" t="n">
        <v>45551.45322916667</v>
      </c>
      <c r="C10623" s="1" t="n">
        <v>46114</v>
      </c>
      <c r="D10623" t="inlineStr">
        <is>
          <t>DALARNAS LÄN</t>
        </is>
      </c>
      <c r="E10623" t="inlineStr">
        <is>
          <t>MORA</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1010-2023</t>
        </is>
      </c>
      <c r="B10624" s="1" t="n">
        <v>44935</v>
      </c>
      <c r="C10624" s="1" t="n">
        <v>46114</v>
      </c>
      <c r="D10624" t="inlineStr">
        <is>
          <t>DALARNAS LÄN</t>
        </is>
      </c>
      <c r="E10624" t="inlineStr">
        <is>
          <t>FALUN</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13220-2025</t>
        </is>
      </c>
      <c r="B10625" s="1" t="n">
        <v>45735.45020833334</v>
      </c>
      <c r="C10625" s="1" t="n">
        <v>46114</v>
      </c>
      <c r="D10625" t="inlineStr">
        <is>
          <t>DALARNAS LÄN</t>
        </is>
      </c>
      <c r="E10625" t="inlineStr">
        <is>
          <t>FALUN</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971-2024</t>
        </is>
      </c>
      <c r="B10626" s="1" t="n">
        <v>45301</v>
      </c>
      <c r="C10626" s="1" t="n">
        <v>46114</v>
      </c>
      <c r="D10626" t="inlineStr">
        <is>
          <t>DALARNAS LÄN</t>
        </is>
      </c>
      <c r="E10626" t="inlineStr">
        <is>
          <t>MALUNG-SÄLEN</t>
        </is>
      </c>
      <c r="G10626" t="n">
        <v>4.7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42704-2024</t>
        </is>
      </c>
      <c r="B10627" s="1" t="n">
        <v>45566.43722222222</v>
      </c>
      <c r="C10627" s="1" t="n">
        <v>46114</v>
      </c>
      <c r="D10627" t="inlineStr">
        <is>
          <t>DALARNAS LÄN</t>
        </is>
      </c>
      <c r="E10627" t="inlineStr">
        <is>
          <t>GAGNEF</t>
        </is>
      </c>
      <c r="G10627" t="n">
        <v>3.5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42713-2024</t>
        </is>
      </c>
      <c r="B10628" s="1" t="n">
        <v>45566</v>
      </c>
      <c r="C10628" s="1" t="n">
        <v>46114</v>
      </c>
      <c r="D10628" t="inlineStr">
        <is>
          <t>DALARNAS LÄN</t>
        </is>
      </c>
      <c r="E10628" t="inlineStr">
        <is>
          <t>GAGNEF</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42727-2024</t>
        </is>
      </c>
      <c r="B10629" s="1" t="n">
        <v>45566</v>
      </c>
      <c r="C10629" s="1" t="n">
        <v>46114</v>
      </c>
      <c r="D10629" t="inlineStr">
        <is>
          <t>DALARNAS LÄN</t>
        </is>
      </c>
      <c r="E10629" t="inlineStr">
        <is>
          <t>LEKSAND</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42765-2024</t>
        </is>
      </c>
      <c r="B10630" s="1" t="n">
        <v>45566.50581018518</v>
      </c>
      <c r="C10630" s="1" t="n">
        <v>46114</v>
      </c>
      <c r="D10630" t="inlineStr">
        <is>
          <t>DALARNAS LÄN</t>
        </is>
      </c>
      <c r="E10630" t="inlineStr">
        <is>
          <t>FALUN</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27480-2022</t>
        </is>
      </c>
      <c r="B10631" s="1" t="n">
        <v>44742.60590277778</v>
      </c>
      <c r="C10631" s="1" t="n">
        <v>46114</v>
      </c>
      <c r="D10631" t="inlineStr">
        <is>
          <t>DALARNAS LÄN</t>
        </is>
      </c>
      <c r="E10631" t="inlineStr">
        <is>
          <t>ÄLVDALEN</t>
        </is>
      </c>
      <c r="F10631" t="inlineStr">
        <is>
          <t>Bergvik skog väst AB</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15141-2025</t>
        </is>
      </c>
      <c r="B10632" s="1" t="n">
        <v>45744.39063657408</v>
      </c>
      <c r="C10632" s="1" t="n">
        <v>46114</v>
      </c>
      <c r="D10632" t="inlineStr">
        <is>
          <t>DALARNAS LÄN</t>
        </is>
      </c>
      <c r="E10632" t="inlineStr">
        <is>
          <t>VANSBRO</t>
        </is>
      </c>
      <c r="G10632" t="n">
        <v>5.1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4173-2025</t>
        </is>
      </c>
      <c r="B10633" s="1" t="n">
        <v>45685.42758101852</v>
      </c>
      <c r="C10633" s="1" t="n">
        <v>46114</v>
      </c>
      <c r="D10633" t="inlineStr">
        <is>
          <t>DALARNAS LÄN</t>
        </is>
      </c>
      <c r="E10633" t="inlineStr">
        <is>
          <t>LUDVIKA</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64863-2021</t>
        </is>
      </c>
      <c r="B10634" s="1" t="n">
        <v>44512</v>
      </c>
      <c r="C10634" s="1" t="n">
        <v>46114</v>
      </c>
      <c r="D10634" t="inlineStr">
        <is>
          <t>DALARNAS LÄN</t>
        </is>
      </c>
      <c r="E10634" t="inlineStr">
        <is>
          <t>MALUNG-SÄLEN</t>
        </is>
      </c>
      <c r="F10634" t="inlineStr">
        <is>
          <t>Allmännings- och besparingsskogar</t>
        </is>
      </c>
      <c r="G10634" t="n">
        <v>0.3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14484-2024</t>
        </is>
      </c>
      <c r="B10635" s="1" t="n">
        <v>45394.57233796296</v>
      </c>
      <c r="C10635" s="1" t="n">
        <v>46114</v>
      </c>
      <c r="D10635" t="inlineStr">
        <is>
          <t>DALARNAS LÄN</t>
        </is>
      </c>
      <c r="E10635" t="inlineStr">
        <is>
          <t>FALUN</t>
        </is>
      </c>
      <c r="G10635" t="n">
        <v>1.5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32031-2023</t>
        </is>
      </c>
      <c r="B10636" s="1" t="n">
        <v>45107</v>
      </c>
      <c r="C10636" s="1" t="n">
        <v>46114</v>
      </c>
      <c r="D10636" t="inlineStr">
        <is>
          <t>DALARNAS LÄN</t>
        </is>
      </c>
      <c r="E10636" t="inlineStr">
        <is>
          <t>ÄLVDALEN</t>
        </is>
      </c>
      <c r="G10636" t="n">
        <v>2.7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32038-2023</t>
        </is>
      </c>
      <c r="B10637" s="1" t="n">
        <v>45119.54222222222</v>
      </c>
      <c r="C10637" s="1" t="n">
        <v>46114</v>
      </c>
      <c r="D10637" t="inlineStr">
        <is>
          <t>DALARNAS LÄN</t>
        </is>
      </c>
      <c r="E10637" t="inlineStr">
        <is>
          <t>MALUNG-SÄLEN</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1070-2025</t>
        </is>
      </c>
      <c r="B10638" s="1" t="n">
        <v>45666</v>
      </c>
      <c r="C10638" s="1" t="n">
        <v>46114</v>
      </c>
      <c r="D10638" t="inlineStr">
        <is>
          <t>DALARNAS LÄN</t>
        </is>
      </c>
      <c r="E10638" t="inlineStr">
        <is>
          <t>RÄTTVIK</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17051-2023</t>
        </is>
      </c>
      <c r="B10639" s="1" t="n">
        <v>45034</v>
      </c>
      <c r="C10639" s="1" t="n">
        <v>46114</v>
      </c>
      <c r="D10639" t="inlineStr">
        <is>
          <t>DALARNAS LÄN</t>
        </is>
      </c>
      <c r="E10639" t="inlineStr">
        <is>
          <t>ÄLVDALEN</t>
        </is>
      </c>
      <c r="G10639" t="n">
        <v>4.2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7576-2024</t>
        </is>
      </c>
      <c r="B10640" s="1" t="n">
        <v>45348.47555555555</v>
      </c>
      <c r="C10640" s="1" t="n">
        <v>46114</v>
      </c>
      <c r="D10640" t="inlineStr">
        <is>
          <t>DALARNAS LÄN</t>
        </is>
      </c>
      <c r="E10640" t="inlineStr">
        <is>
          <t>ÄLVDALEN</t>
        </is>
      </c>
      <c r="G10640" t="n">
        <v>11.1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50241-2024</t>
        </is>
      </c>
      <c r="B10641" s="1" t="n">
        <v>45600.56348379629</v>
      </c>
      <c r="C10641" s="1" t="n">
        <v>46114</v>
      </c>
      <c r="D10641" t="inlineStr">
        <is>
          <t>DALARNAS LÄN</t>
        </is>
      </c>
      <c r="E10641" t="inlineStr">
        <is>
          <t>FALUN</t>
        </is>
      </c>
      <c r="F10641" t="inlineStr">
        <is>
          <t>Bergvik skog väst AB</t>
        </is>
      </c>
      <c r="G10641" t="n">
        <v>2.5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28549-2022</t>
        </is>
      </c>
      <c r="B10642" s="1" t="n">
        <v>44748</v>
      </c>
      <c r="C10642" s="1" t="n">
        <v>46114</v>
      </c>
      <c r="D10642" t="inlineStr">
        <is>
          <t>DALARNAS LÄN</t>
        </is>
      </c>
      <c r="E10642" t="inlineStr">
        <is>
          <t>SÄTER</t>
        </is>
      </c>
      <c r="F10642" t="inlineStr">
        <is>
          <t>Bergvik skog väst AB</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19295-2024</t>
        </is>
      </c>
      <c r="B10643" s="1" t="n">
        <v>45428.69106481481</v>
      </c>
      <c r="C10643" s="1" t="n">
        <v>46114</v>
      </c>
      <c r="D10643" t="inlineStr">
        <is>
          <t>DALARNAS LÄN</t>
        </is>
      </c>
      <c r="E10643" t="inlineStr">
        <is>
          <t>LEKSAND</t>
        </is>
      </c>
      <c r="G10643" t="n">
        <v>1.6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4811-2023</t>
        </is>
      </c>
      <c r="B10644" s="1" t="n">
        <v>44957</v>
      </c>
      <c r="C10644" s="1" t="n">
        <v>46114</v>
      </c>
      <c r="D10644" t="inlineStr">
        <is>
          <t>DALARNAS LÄN</t>
        </is>
      </c>
      <c r="E10644" t="inlineStr">
        <is>
          <t>MALUNG-SÄLEN</t>
        </is>
      </c>
      <c r="G10644" t="n">
        <v>5.3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16197-2024</t>
        </is>
      </c>
      <c r="B10645" s="1" t="n">
        <v>45406.70356481482</v>
      </c>
      <c r="C10645" s="1" t="n">
        <v>46114</v>
      </c>
      <c r="D10645" t="inlineStr">
        <is>
          <t>DALARNAS LÄN</t>
        </is>
      </c>
      <c r="E10645" t="inlineStr">
        <is>
          <t>LEKSAND</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50125-2023</t>
        </is>
      </c>
      <c r="B10646" s="1" t="n">
        <v>45215.64871527778</v>
      </c>
      <c r="C10646" s="1" t="n">
        <v>46114</v>
      </c>
      <c r="D10646" t="inlineStr">
        <is>
          <t>DALARNAS LÄN</t>
        </is>
      </c>
      <c r="E10646" t="inlineStr">
        <is>
          <t>VANSBRO</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48760-2024</t>
        </is>
      </c>
      <c r="B10647" s="1" t="n">
        <v>45593.60061342592</v>
      </c>
      <c r="C10647" s="1" t="n">
        <v>46114</v>
      </c>
      <c r="D10647" t="inlineStr">
        <is>
          <t>DALARNAS LÄN</t>
        </is>
      </c>
      <c r="E10647" t="inlineStr">
        <is>
          <t>LUDVIKA</t>
        </is>
      </c>
      <c r="F10647" t="inlineStr">
        <is>
          <t>Naturvårdsverket</t>
        </is>
      </c>
      <c r="G10647" t="n">
        <v>5.7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2381-2024</t>
        </is>
      </c>
      <c r="B10648" s="1" t="n">
        <v>45310.64228009259</v>
      </c>
      <c r="C10648" s="1" t="n">
        <v>46114</v>
      </c>
      <c r="D10648" t="inlineStr">
        <is>
          <t>DALARNAS LÄN</t>
        </is>
      </c>
      <c r="E10648" t="inlineStr">
        <is>
          <t>ÄLVDALEN</t>
        </is>
      </c>
      <c r="G10648" t="n">
        <v>1.1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50141-2023</t>
        </is>
      </c>
      <c r="B10649" s="1" t="n">
        <v>45215</v>
      </c>
      <c r="C10649" s="1" t="n">
        <v>46114</v>
      </c>
      <c r="D10649" t="inlineStr">
        <is>
          <t>DALARNAS LÄN</t>
        </is>
      </c>
      <c r="E10649" t="inlineStr">
        <is>
          <t>VANSBRO</t>
        </is>
      </c>
      <c r="G10649" t="n">
        <v>3.1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60642-2021</t>
        </is>
      </c>
      <c r="B10650" s="1" t="n">
        <v>44496.61677083333</v>
      </c>
      <c r="C10650" s="1" t="n">
        <v>46114</v>
      </c>
      <c r="D10650" t="inlineStr">
        <is>
          <t>DALARNAS LÄN</t>
        </is>
      </c>
      <c r="E10650" t="inlineStr">
        <is>
          <t>ÄLVDALEN</t>
        </is>
      </c>
      <c r="F10650" t="inlineStr">
        <is>
          <t>Allmännings- och besparingsskogar</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20581-2024</t>
        </is>
      </c>
      <c r="B10651" s="1" t="n">
        <v>45436</v>
      </c>
      <c r="C10651" s="1" t="n">
        <v>46114</v>
      </c>
      <c r="D10651" t="inlineStr">
        <is>
          <t>DALARNAS LÄN</t>
        </is>
      </c>
      <c r="E10651" t="inlineStr">
        <is>
          <t>BORLÄNGE</t>
        </is>
      </c>
      <c r="F10651" t="inlineStr">
        <is>
          <t>Bergvik skog väst AB</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54903-2024</t>
        </is>
      </c>
      <c r="B10652" s="1" t="n">
        <v>45618</v>
      </c>
      <c r="C10652" s="1" t="n">
        <v>46114</v>
      </c>
      <c r="D10652" t="inlineStr">
        <is>
          <t>DALARNAS LÄN</t>
        </is>
      </c>
      <c r="E10652" t="inlineStr">
        <is>
          <t>MORA</t>
        </is>
      </c>
      <c r="G10652" t="n">
        <v>28.2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54909-2024</t>
        </is>
      </c>
      <c r="B10653" s="1" t="n">
        <v>45618.68392361111</v>
      </c>
      <c r="C10653" s="1" t="n">
        <v>46114</v>
      </c>
      <c r="D10653" t="inlineStr">
        <is>
          <t>DALARNAS LÄN</t>
        </is>
      </c>
      <c r="E10653" t="inlineStr">
        <is>
          <t>FALUN</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22663-2023</t>
        </is>
      </c>
      <c r="B10654" s="1" t="n">
        <v>45071.62336805555</v>
      </c>
      <c r="C10654" s="1" t="n">
        <v>46114</v>
      </c>
      <c r="D10654" t="inlineStr">
        <is>
          <t>DALARNAS LÄN</t>
        </is>
      </c>
      <c r="E10654" t="inlineStr">
        <is>
          <t>FALUN</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42108-2024</t>
        </is>
      </c>
      <c r="B10655" s="1" t="n">
        <v>45562.3693287037</v>
      </c>
      <c r="C10655" s="1" t="n">
        <v>46114</v>
      </c>
      <c r="D10655" t="inlineStr">
        <is>
          <t>DALARNAS LÄN</t>
        </is>
      </c>
      <c r="E10655" t="inlineStr">
        <is>
          <t>LUDVIKA</t>
        </is>
      </c>
      <c r="F10655" t="inlineStr">
        <is>
          <t>Bergvik skog väst AB</t>
        </is>
      </c>
      <c r="G10655" t="n">
        <v>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23302-2024</t>
        </is>
      </c>
      <c r="B10656" s="1" t="n">
        <v>45453.44091435185</v>
      </c>
      <c r="C10656" s="1" t="n">
        <v>46114</v>
      </c>
      <c r="D10656" t="inlineStr">
        <is>
          <t>DALARNAS LÄN</t>
        </is>
      </c>
      <c r="E10656" t="inlineStr">
        <is>
          <t>MORA</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5384-2025</t>
        </is>
      </c>
      <c r="B10657" s="1" t="n">
        <v>45692.61747685185</v>
      </c>
      <c r="C10657" s="1" t="n">
        <v>46114</v>
      </c>
      <c r="D10657" t="inlineStr">
        <is>
          <t>DALARNAS LÄN</t>
        </is>
      </c>
      <c r="E10657" t="inlineStr">
        <is>
          <t>BORLÄNGE</t>
        </is>
      </c>
      <c r="G10657" t="n">
        <v>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46559-2021</t>
        </is>
      </c>
      <c r="B10658" s="1" t="n">
        <v>44445</v>
      </c>
      <c r="C10658" s="1" t="n">
        <v>46114</v>
      </c>
      <c r="D10658" t="inlineStr">
        <is>
          <t>DALARNAS LÄN</t>
        </is>
      </c>
      <c r="E10658" t="inlineStr">
        <is>
          <t>SÄTER</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3642-2025</t>
        </is>
      </c>
      <c r="B10659" s="1" t="n">
        <v>45681.39009259259</v>
      </c>
      <c r="C10659" s="1" t="n">
        <v>46114</v>
      </c>
      <c r="D10659" t="inlineStr">
        <is>
          <t>DALARNAS LÄN</t>
        </is>
      </c>
      <c r="E10659" t="inlineStr">
        <is>
          <t>GAGNEF</t>
        </is>
      </c>
      <c r="G10659" t="n">
        <v>4.7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20937-2025</t>
        </is>
      </c>
      <c r="B10660" s="1" t="n">
        <v>45777.42769675926</v>
      </c>
      <c r="C10660" s="1" t="n">
        <v>46114</v>
      </c>
      <c r="D10660" t="inlineStr">
        <is>
          <t>DALARNAS LÄN</t>
        </is>
      </c>
      <c r="E10660" t="inlineStr">
        <is>
          <t>LEKSAND</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20954-2025</t>
        </is>
      </c>
      <c r="B10661" s="1" t="n">
        <v>45777.44325231481</v>
      </c>
      <c r="C10661" s="1" t="n">
        <v>46114</v>
      </c>
      <c r="D10661" t="inlineStr">
        <is>
          <t>DALARNAS LÄN</t>
        </is>
      </c>
      <c r="E10661" t="inlineStr">
        <is>
          <t>FALUN</t>
        </is>
      </c>
      <c r="G10661" t="n">
        <v>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20619-2025</t>
        </is>
      </c>
      <c r="B10662" s="1" t="n">
        <v>45776.31802083334</v>
      </c>
      <c r="C10662" s="1" t="n">
        <v>46114</v>
      </c>
      <c r="D10662" t="inlineStr">
        <is>
          <t>DALARNAS LÄN</t>
        </is>
      </c>
      <c r="E10662" t="inlineStr">
        <is>
          <t>RÄTTVIK</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20650-2025</t>
        </is>
      </c>
      <c r="B10663" s="1" t="n">
        <v>45776.39649305555</v>
      </c>
      <c r="C10663" s="1" t="n">
        <v>46114</v>
      </c>
      <c r="D10663" t="inlineStr">
        <is>
          <t>DALARNAS LÄN</t>
        </is>
      </c>
      <c r="E10663" t="inlineStr">
        <is>
          <t>RÄTTVIK</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20924-2025</t>
        </is>
      </c>
      <c r="B10664" s="1" t="n">
        <v>45777</v>
      </c>
      <c r="C10664" s="1" t="n">
        <v>46114</v>
      </c>
      <c r="D10664" t="inlineStr">
        <is>
          <t>DALARNAS LÄN</t>
        </is>
      </c>
      <c r="E10664" t="inlineStr">
        <is>
          <t>ÄLVDALEN</t>
        </is>
      </c>
      <c r="G10664" t="n">
        <v>2.3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20609-2025</t>
        </is>
      </c>
      <c r="B10665" s="1" t="n">
        <v>45775.8884375</v>
      </c>
      <c r="C10665" s="1" t="n">
        <v>46114</v>
      </c>
      <c r="D10665" t="inlineStr">
        <is>
          <t>DALARNAS LÄN</t>
        </is>
      </c>
      <c r="E10665" t="inlineStr">
        <is>
          <t>SMEDJEBACKEN</t>
        </is>
      </c>
      <c r="F10665" t="inlineStr">
        <is>
          <t>Övriga Aktiebolag</t>
        </is>
      </c>
      <c r="G10665" t="n">
        <v>3.5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20680-2025</t>
        </is>
      </c>
      <c r="B10666" s="1" t="n">
        <v>45776.44912037037</v>
      </c>
      <c r="C10666" s="1" t="n">
        <v>46114</v>
      </c>
      <c r="D10666" t="inlineStr">
        <is>
          <t>DALARNAS LÄN</t>
        </is>
      </c>
      <c r="E10666" t="inlineStr">
        <is>
          <t>FALUN</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21078-2025</t>
        </is>
      </c>
      <c r="B10667" s="1" t="n">
        <v>45777</v>
      </c>
      <c r="C10667" s="1" t="n">
        <v>46114</v>
      </c>
      <c r="D10667" t="inlineStr">
        <is>
          <t>DALARNAS LÄN</t>
        </is>
      </c>
      <c r="E10667" t="inlineStr">
        <is>
          <t>RÄTTVIK</t>
        </is>
      </c>
      <c r="F10667" t="inlineStr">
        <is>
          <t>Bergvik skog väst AB</t>
        </is>
      </c>
      <c r="G10667" t="n">
        <v>5.1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20771-2025</t>
        </is>
      </c>
      <c r="B10668" s="1" t="n">
        <v>45776.58692129629</v>
      </c>
      <c r="C10668" s="1" t="n">
        <v>46114</v>
      </c>
      <c r="D10668" t="inlineStr">
        <is>
          <t>DALARNAS LÄN</t>
        </is>
      </c>
      <c r="E10668" t="inlineStr">
        <is>
          <t>GAGNEF</t>
        </is>
      </c>
      <c r="G10668" t="n">
        <v>10.5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20901-2025</t>
        </is>
      </c>
      <c r="B10669" s="1" t="n">
        <v>45777.40040509259</v>
      </c>
      <c r="C10669" s="1" t="n">
        <v>46114</v>
      </c>
      <c r="D10669" t="inlineStr">
        <is>
          <t>DALARNAS LÄN</t>
        </is>
      </c>
      <c r="E10669" t="inlineStr">
        <is>
          <t>SMEDJEBACKEN</t>
        </is>
      </c>
      <c r="F10669" t="inlineStr">
        <is>
          <t>Sveaskog</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20903-2025</t>
        </is>
      </c>
      <c r="B10670" s="1" t="n">
        <v>45777.40322916667</v>
      </c>
      <c r="C10670" s="1" t="n">
        <v>46114</v>
      </c>
      <c r="D10670" t="inlineStr">
        <is>
          <t>DALARNAS LÄN</t>
        </is>
      </c>
      <c r="E10670" t="inlineStr">
        <is>
          <t>SMEDJEBACKEN</t>
        </is>
      </c>
      <c r="F10670" t="inlineStr">
        <is>
          <t>Sveaskog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20616-2025</t>
        </is>
      </c>
      <c r="B10671" s="1" t="n">
        <v>45776.28881944445</v>
      </c>
      <c r="C10671" s="1" t="n">
        <v>46114</v>
      </c>
      <c r="D10671" t="inlineStr">
        <is>
          <t>DALARNAS LÄN</t>
        </is>
      </c>
      <c r="E10671" t="inlineStr">
        <is>
          <t>RÄTTVIK</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20918-2025</t>
        </is>
      </c>
      <c r="B10672" s="1" t="n">
        <v>45777.41224537037</v>
      </c>
      <c r="C10672" s="1" t="n">
        <v>46114</v>
      </c>
      <c r="D10672" t="inlineStr">
        <is>
          <t>DALARNAS LÄN</t>
        </is>
      </c>
      <c r="E10672" t="inlineStr">
        <is>
          <t>SMEDJEBACKEN</t>
        </is>
      </c>
      <c r="F10672" t="inlineStr">
        <is>
          <t>Sveaskog</t>
        </is>
      </c>
      <c r="G10672" t="n">
        <v>7.5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18990-2025</t>
        </is>
      </c>
      <c r="B10673" s="1" t="n">
        <v>45764.57119212963</v>
      </c>
      <c r="C10673" s="1" t="n">
        <v>46114</v>
      </c>
      <c r="D10673" t="inlineStr">
        <is>
          <t>DALARNAS LÄN</t>
        </is>
      </c>
      <c r="E10673" t="inlineStr">
        <is>
          <t>RÄTTVIK</t>
        </is>
      </c>
      <c r="F10673" t="inlineStr">
        <is>
          <t>Sveaskog</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15127-2025</t>
        </is>
      </c>
      <c r="B10674" s="1" t="n">
        <v>45744.38049768518</v>
      </c>
      <c r="C10674" s="1" t="n">
        <v>46114</v>
      </c>
      <c r="D10674" t="inlineStr">
        <is>
          <t>DALARNAS LÄN</t>
        </is>
      </c>
      <c r="E10674" t="inlineStr">
        <is>
          <t>LUDVIKA</t>
        </is>
      </c>
      <c r="F10674" t="inlineStr">
        <is>
          <t>Bergvik skog väst AB</t>
        </is>
      </c>
      <c r="G10674" t="n">
        <v>8.6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28572-2025</t>
        </is>
      </c>
      <c r="B10675" s="1" t="n">
        <v>45819</v>
      </c>
      <c r="C10675" s="1" t="n">
        <v>46114</v>
      </c>
      <c r="D10675" t="inlineStr">
        <is>
          <t>DALARNAS LÄN</t>
        </is>
      </c>
      <c r="E10675" t="inlineStr">
        <is>
          <t>BORLÄNGE</t>
        </is>
      </c>
      <c r="F10675" t="inlineStr">
        <is>
          <t>Kommuner</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20808-2025</t>
        </is>
      </c>
      <c r="B10676" s="1" t="n">
        <v>45776</v>
      </c>
      <c r="C10676" s="1" t="n">
        <v>46114</v>
      </c>
      <c r="D10676" t="inlineStr">
        <is>
          <t>DALARNAS LÄN</t>
        </is>
      </c>
      <c r="E10676" t="inlineStr">
        <is>
          <t>ORSA</t>
        </is>
      </c>
      <c r="F10676" t="inlineStr">
        <is>
          <t>Bergvik skog väst AB</t>
        </is>
      </c>
      <c r="G10676" t="n">
        <v>14.3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20615-2025</t>
        </is>
      </c>
      <c r="B10677" s="1" t="n">
        <v>45776.28671296296</v>
      </c>
      <c r="C10677" s="1" t="n">
        <v>46114</v>
      </c>
      <c r="D10677" t="inlineStr">
        <is>
          <t>DALARNAS LÄN</t>
        </is>
      </c>
      <c r="E10677" t="inlineStr">
        <is>
          <t>RÄTTVIK</t>
        </is>
      </c>
      <c r="G10677" t="n">
        <v>2.3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20942-2025</t>
        </is>
      </c>
      <c r="B10678" s="1" t="n">
        <v>45777.43148148148</v>
      </c>
      <c r="C10678" s="1" t="n">
        <v>46114</v>
      </c>
      <c r="D10678" t="inlineStr">
        <is>
          <t>DALARNAS LÄN</t>
        </is>
      </c>
      <c r="E10678" t="inlineStr">
        <is>
          <t>AVESTA</t>
        </is>
      </c>
      <c r="F10678" t="inlineStr">
        <is>
          <t>Sveaskog</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20683-2025</t>
        </is>
      </c>
      <c r="B10679" s="1" t="n">
        <v>45776</v>
      </c>
      <c r="C10679" s="1" t="n">
        <v>46114</v>
      </c>
      <c r="D10679" t="inlineStr">
        <is>
          <t>DALARNAS LÄN</t>
        </is>
      </c>
      <c r="E10679" t="inlineStr">
        <is>
          <t>LEKSAND</t>
        </is>
      </c>
      <c r="F10679" t="inlineStr">
        <is>
          <t>Bergvik skog väst AB</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20669-2025</t>
        </is>
      </c>
      <c r="B10680" s="1" t="n">
        <v>45776</v>
      </c>
      <c r="C10680" s="1" t="n">
        <v>46114</v>
      </c>
      <c r="D10680" t="inlineStr">
        <is>
          <t>DALARNAS LÄN</t>
        </is>
      </c>
      <c r="E10680" t="inlineStr">
        <is>
          <t>VANSBRO</t>
        </is>
      </c>
      <c r="F10680" t="inlineStr">
        <is>
          <t>Bergvik skog väst AB</t>
        </is>
      </c>
      <c r="G10680" t="n">
        <v>3.6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20684-2025</t>
        </is>
      </c>
      <c r="B10681" s="1" t="n">
        <v>45776.45123842593</v>
      </c>
      <c r="C10681" s="1" t="n">
        <v>46114</v>
      </c>
      <c r="D10681" t="inlineStr">
        <is>
          <t>DALARNAS LÄN</t>
        </is>
      </c>
      <c r="E10681" t="inlineStr">
        <is>
          <t>FALUN</t>
        </is>
      </c>
      <c r="G10681" t="n">
        <v>0.4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21092-2025</t>
        </is>
      </c>
      <c r="B10682" s="1" t="n">
        <v>45777.6196875</v>
      </c>
      <c r="C10682" s="1" t="n">
        <v>46114</v>
      </c>
      <c r="D10682" t="inlineStr">
        <is>
          <t>DALARNAS LÄN</t>
        </is>
      </c>
      <c r="E10682" t="inlineStr">
        <is>
          <t>SMEDJEBACKEN</t>
        </is>
      </c>
      <c r="G10682" t="n">
        <v>10.4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20652-2025</t>
        </is>
      </c>
      <c r="B10683" s="1" t="n">
        <v>45776.3999537037</v>
      </c>
      <c r="C10683" s="1" t="n">
        <v>46114</v>
      </c>
      <c r="D10683" t="inlineStr">
        <is>
          <t>DALARNAS LÄN</t>
        </is>
      </c>
      <c r="E10683" t="inlineStr">
        <is>
          <t>RÄTTVIK</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20906-2025</t>
        </is>
      </c>
      <c r="B10684" s="1" t="n">
        <v>45777.40454861111</v>
      </c>
      <c r="C10684" s="1" t="n">
        <v>46114</v>
      </c>
      <c r="D10684" t="inlineStr">
        <is>
          <t>DALARNAS LÄN</t>
        </is>
      </c>
      <c r="E10684" t="inlineStr">
        <is>
          <t>SMEDJEBACKEN</t>
        </is>
      </c>
      <c r="F10684" t="inlineStr">
        <is>
          <t>Sveaskog</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20897-2025</t>
        </is>
      </c>
      <c r="B10685" s="1" t="n">
        <v>45777.39825231482</v>
      </c>
      <c r="C10685" s="1" t="n">
        <v>46114</v>
      </c>
      <c r="D10685" t="inlineStr">
        <is>
          <t>DALARNAS LÄN</t>
        </is>
      </c>
      <c r="E10685" t="inlineStr">
        <is>
          <t>SMEDJEBACKEN</t>
        </is>
      </c>
      <c r="F10685" t="inlineStr">
        <is>
          <t>Sveaskog</t>
        </is>
      </c>
      <c r="G10685" t="n">
        <v>2.7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20792-2025</t>
        </is>
      </c>
      <c r="B10686" s="1" t="n">
        <v>45776.63219907408</v>
      </c>
      <c r="C10686" s="1" t="n">
        <v>46114</v>
      </c>
      <c r="D10686" t="inlineStr">
        <is>
          <t>DALARNAS LÄN</t>
        </is>
      </c>
      <c r="E10686" t="inlineStr">
        <is>
          <t>FALUN</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20982-2025</t>
        </is>
      </c>
      <c r="B10687" s="1" t="n">
        <v>45777</v>
      </c>
      <c r="C10687" s="1" t="n">
        <v>46114</v>
      </c>
      <c r="D10687" t="inlineStr">
        <is>
          <t>DALARNAS LÄN</t>
        </is>
      </c>
      <c r="E10687" t="inlineStr">
        <is>
          <t>FALUN</t>
        </is>
      </c>
      <c r="F10687" t="inlineStr">
        <is>
          <t>Bergvik skog väst AB</t>
        </is>
      </c>
      <c r="G10687" t="n">
        <v>7.1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20965-2025</t>
        </is>
      </c>
      <c r="B10688" s="1" t="n">
        <v>45777.45135416667</v>
      </c>
      <c r="C10688" s="1" t="n">
        <v>46114</v>
      </c>
      <c r="D10688" t="inlineStr">
        <is>
          <t>DALARNAS LÄN</t>
        </is>
      </c>
      <c r="E10688" t="inlineStr">
        <is>
          <t>HEDEMORA</t>
        </is>
      </c>
      <c r="F10688" t="inlineStr">
        <is>
          <t>Sveaskog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20636-2025</t>
        </is>
      </c>
      <c r="B10689" s="1" t="n">
        <v>45776</v>
      </c>
      <c r="C10689" s="1" t="n">
        <v>46114</v>
      </c>
      <c r="D10689" t="inlineStr">
        <is>
          <t>DALARNAS LÄN</t>
        </is>
      </c>
      <c r="E10689" t="inlineStr">
        <is>
          <t>VANSBRO</t>
        </is>
      </c>
      <c r="F10689" t="inlineStr">
        <is>
          <t>Bergvik skog väst AB</t>
        </is>
      </c>
      <c r="G10689" t="n">
        <v>5.8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21230-2025</t>
        </is>
      </c>
      <c r="B10690" s="1" t="n">
        <v>45779.54589120371</v>
      </c>
      <c r="C10690" s="1" t="n">
        <v>46114</v>
      </c>
      <c r="D10690" t="inlineStr">
        <is>
          <t>DALARNAS LÄN</t>
        </is>
      </c>
      <c r="E10690" t="inlineStr">
        <is>
          <t>LEKSAND</t>
        </is>
      </c>
      <c r="G10690" t="n">
        <v>0.5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21193-2025</t>
        </is>
      </c>
      <c r="B10691" s="1" t="n">
        <v>45779.46675925926</v>
      </c>
      <c r="C10691" s="1" t="n">
        <v>46114</v>
      </c>
      <c r="D10691" t="inlineStr">
        <is>
          <t>DALARNAS LÄN</t>
        </is>
      </c>
      <c r="E10691" t="inlineStr">
        <is>
          <t>LEKSAND</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21216-2025</t>
        </is>
      </c>
      <c r="B10692" s="1" t="n">
        <v>45779</v>
      </c>
      <c r="C10692" s="1" t="n">
        <v>46114</v>
      </c>
      <c r="D10692" t="inlineStr">
        <is>
          <t>DALARNAS LÄN</t>
        </is>
      </c>
      <c r="E10692" t="inlineStr">
        <is>
          <t>RÄTTVIK</t>
        </is>
      </c>
      <c r="G10692" t="n">
        <v>4.3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21238-2025</t>
        </is>
      </c>
      <c r="B10693" s="1" t="n">
        <v>45779.56446759259</v>
      </c>
      <c r="C10693" s="1" t="n">
        <v>46114</v>
      </c>
      <c r="D10693" t="inlineStr">
        <is>
          <t>DALARNAS LÄN</t>
        </is>
      </c>
      <c r="E10693" t="inlineStr">
        <is>
          <t>RÄTTVIK</t>
        </is>
      </c>
      <c r="F10693" t="inlineStr">
        <is>
          <t>Sveaskog</t>
        </is>
      </c>
      <c r="G10693" t="n">
        <v>13.1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21395-2025</t>
        </is>
      </c>
      <c r="B10694" s="1" t="n">
        <v>45782.48197916667</v>
      </c>
      <c r="C10694" s="1" t="n">
        <v>46114</v>
      </c>
      <c r="D10694" t="inlineStr">
        <is>
          <t>DALARNAS LÄN</t>
        </is>
      </c>
      <c r="E10694" t="inlineStr">
        <is>
          <t>ÄLVDALEN</t>
        </is>
      </c>
      <c r="G10694" t="n">
        <v>6.4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38359-2024</t>
        </is>
      </c>
      <c r="B10695" s="1" t="n">
        <v>45545.79224537037</v>
      </c>
      <c r="C10695" s="1" t="n">
        <v>46114</v>
      </c>
      <c r="D10695" t="inlineStr">
        <is>
          <t>DALARNAS LÄN</t>
        </is>
      </c>
      <c r="E10695" t="inlineStr">
        <is>
          <t>LUDVIKA</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40627-2023</t>
        </is>
      </c>
      <c r="B10696" s="1" t="n">
        <v>45170</v>
      </c>
      <c r="C10696" s="1" t="n">
        <v>46114</v>
      </c>
      <c r="D10696" t="inlineStr">
        <is>
          <t>DALARNAS LÄN</t>
        </is>
      </c>
      <c r="E10696" t="inlineStr">
        <is>
          <t>LEKSAND</t>
        </is>
      </c>
      <c r="F10696" t="inlineStr">
        <is>
          <t>Bergvik skog väst AB</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21616-2025</t>
        </is>
      </c>
      <c r="B10697" s="1" t="n">
        <v>45783.40085648148</v>
      </c>
      <c r="C10697" s="1" t="n">
        <v>46114</v>
      </c>
      <c r="D10697" t="inlineStr">
        <is>
          <t>DALARNAS LÄN</t>
        </is>
      </c>
      <c r="E10697" t="inlineStr">
        <is>
          <t>VANSBRO</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54115-2024</t>
        </is>
      </c>
      <c r="B10698" s="1" t="n">
        <v>45616</v>
      </c>
      <c r="C10698" s="1" t="n">
        <v>46114</v>
      </c>
      <c r="D10698" t="inlineStr">
        <is>
          <t>DALARNAS LÄN</t>
        </is>
      </c>
      <c r="E10698" t="inlineStr">
        <is>
          <t>RÄTTVIK</t>
        </is>
      </c>
      <c r="G10698" t="n">
        <v>9.300000000000001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44183-2024</t>
        </is>
      </c>
      <c r="B10699" s="1" t="n">
        <v>45572.89640046296</v>
      </c>
      <c r="C10699" s="1" t="n">
        <v>46114</v>
      </c>
      <c r="D10699" t="inlineStr">
        <is>
          <t>DALARNAS LÄN</t>
        </is>
      </c>
      <c r="E10699" t="inlineStr">
        <is>
          <t>FALUN</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2558-2025</t>
        </is>
      </c>
      <c r="B10700" s="1" t="n">
        <v>45674.65028935186</v>
      </c>
      <c r="C10700" s="1" t="n">
        <v>46114</v>
      </c>
      <c r="D10700" t="inlineStr">
        <is>
          <t>DALARNAS LÄN</t>
        </is>
      </c>
      <c r="E10700" t="inlineStr">
        <is>
          <t>VANSBRO</t>
        </is>
      </c>
      <c r="G10700" t="n">
        <v>4.9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21600-2025</t>
        </is>
      </c>
      <c r="B10701" s="1" t="n">
        <v>45783.3521875</v>
      </c>
      <c r="C10701" s="1" t="n">
        <v>46114</v>
      </c>
      <c r="D10701" t="inlineStr">
        <is>
          <t>DALARNAS LÄN</t>
        </is>
      </c>
      <c r="E10701" t="inlineStr">
        <is>
          <t>LEKSAND</t>
        </is>
      </c>
      <c r="G10701" t="n">
        <v>7.7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21613-2025</t>
        </is>
      </c>
      <c r="B10702" s="1" t="n">
        <v>45783.39542824074</v>
      </c>
      <c r="C10702" s="1" t="n">
        <v>46114</v>
      </c>
      <c r="D10702" t="inlineStr">
        <is>
          <t>DALARNAS LÄN</t>
        </is>
      </c>
      <c r="E10702" t="inlineStr">
        <is>
          <t>ÄLVDALEN</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21629-2025</t>
        </is>
      </c>
      <c r="B10703" s="1" t="n">
        <v>45783.4247337963</v>
      </c>
      <c r="C10703" s="1" t="n">
        <v>46114</v>
      </c>
      <c r="D10703" t="inlineStr">
        <is>
          <t>DALARNAS LÄN</t>
        </is>
      </c>
      <c r="E10703" t="inlineStr">
        <is>
          <t>ÄLVDALEN</t>
        </is>
      </c>
      <c r="G10703" t="n">
        <v>1.8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21649-2025</t>
        </is>
      </c>
      <c r="B10704" s="1" t="n">
        <v>45783.43987268519</v>
      </c>
      <c r="C10704" s="1" t="n">
        <v>46114</v>
      </c>
      <c r="D10704" t="inlineStr">
        <is>
          <t>DALARNAS LÄN</t>
        </is>
      </c>
      <c r="E10704" t="inlineStr">
        <is>
          <t>FALUN</t>
        </is>
      </c>
      <c r="G10704" t="n">
        <v>1.4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29880-2024</t>
        </is>
      </c>
      <c r="B10705" s="1" t="n">
        <v>45486.57902777778</v>
      </c>
      <c r="C10705" s="1" t="n">
        <v>46114</v>
      </c>
      <c r="D10705" t="inlineStr">
        <is>
          <t>DALARNAS LÄN</t>
        </is>
      </c>
      <c r="E10705" t="inlineStr">
        <is>
          <t>FALUN</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26773-2024</t>
        </is>
      </c>
      <c r="B10706" s="1" t="n">
        <v>45470.47591435185</v>
      </c>
      <c r="C10706" s="1" t="n">
        <v>46114</v>
      </c>
      <c r="D10706" t="inlineStr">
        <is>
          <t>DALARNAS LÄN</t>
        </is>
      </c>
      <c r="E10706" t="inlineStr">
        <is>
          <t>FALUN</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43755-2023</t>
        </is>
      </c>
      <c r="B10707" s="1" t="n">
        <v>45187</v>
      </c>
      <c r="C10707" s="1" t="n">
        <v>46114</v>
      </c>
      <c r="D10707" t="inlineStr">
        <is>
          <t>DALARNAS LÄN</t>
        </is>
      </c>
      <c r="E10707" t="inlineStr">
        <is>
          <t>FALUN</t>
        </is>
      </c>
      <c r="G10707" t="n">
        <v>3.8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21460-2025</t>
        </is>
      </c>
      <c r="B10708" s="1" t="n">
        <v>45782.56483796296</v>
      </c>
      <c r="C10708" s="1" t="n">
        <v>46114</v>
      </c>
      <c r="D10708" t="inlineStr">
        <is>
          <t>DALARNAS LÄN</t>
        </is>
      </c>
      <c r="E10708" t="inlineStr">
        <is>
          <t>RÄTTVIK</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64094-2023</t>
        </is>
      </c>
      <c r="B10709" s="1" t="n">
        <v>45279</v>
      </c>
      <c r="C10709" s="1" t="n">
        <v>46114</v>
      </c>
      <c r="D10709" t="inlineStr">
        <is>
          <t>DALARNAS LÄN</t>
        </is>
      </c>
      <c r="E10709" t="inlineStr">
        <is>
          <t>RÄTTVIK</t>
        </is>
      </c>
      <c r="G10709" t="n">
        <v>4.1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6936-2024</t>
        </is>
      </c>
      <c r="B10710" s="1" t="n">
        <v>45343</v>
      </c>
      <c r="C10710" s="1" t="n">
        <v>46114</v>
      </c>
      <c r="D10710" t="inlineStr">
        <is>
          <t>DALARNAS LÄN</t>
        </is>
      </c>
      <c r="E10710" t="inlineStr">
        <is>
          <t>FALUN</t>
        </is>
      </c>
      <c r="G10710" t="n">
        <v>2.1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21376-2025</t>
        </is>
      </c>
      <c r="B10711" s="1" t="n">
        <v>45782.45069444444</v>
      </c>
      <c r="C10711" s="1" t="n">
        <v>46114</v>
      </c>
      <c r="D10711" t="inlineStr">
        <is>
          <t>DALARNAS LÄN</t>
        </is>
      </c>
      <c r="E10711" t="inlineStr">
        <is>
          <t>ORSA</t>
        </is>
      </c>
      <c r="G10711" t="n">
        <v>4.6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21335-2025</t>
        </is>
      </c>
      <c r="B10712" s="1" t="n">
        <v>45782.37519675926</v>
      </c>
      <c r="C10712" s="1" t="n">
        <v>46114</v>
      </c>
      <c r="D10712" t="inlineStr">
        <is>
          <t>DALARNAS LÄN</t>
        </is>
      </c>
      <c r="E10712" t="inlineStr">
        <is>
          <t>ORSA</t>
        </is>
      </c>
      <c r="F10712" t="inlineStr">
        <is>
          <t>Bergvik skog väst AB</t>
        </is>
      </c>
      <c r="G10712" t="n">
        <v>14.3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10779-2024</t>
        </is>
      </c>
      <c r="B10713" s="1" t="n">
        <v>45369</v>
      </c>
      <c r="C10713" s="1" t="n">
        <v>46114</v>
      </c>
      <c r="D10713" t="inlineStr">
        <is>
          <t>DALARNAS LÄN</t>
        </is>
      </c>
      <c r="E10713" t="inlineStr">
        <is>
          <t>AVESTA</t>
        </is>
      </c>
      <c r="G10713" t="n">
        <v>6.7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11872-2024</t>
        </is>
      </c>
      <c r="B10714" s="1" t="n">
        <v>45376.46833333333</v>
      </c>
      <c r="C10714" s="1" t="n">
        <v>46114</v>
      </c>
      <c r="D10714" t="inlineStr">
        <is>
          <t>DALARNAS LÄN</t>
        </is>
      </c>
      <c r="E10714" t="inlineStr">
        <is>
          <t>LEKSAND</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21775-2025</t>
        </is>
      </c>
      <c r="B10715" s="1" t="n">
        <v>45783.65847222223</v>
      </c>
      <c r="C10715" s="1" t="n">
        <v>46114</v>
      </c>
      <c r="D10715" t="inlineStr">
        <is>
          <t>DALARNAS LÄN</t>
        </is>
      </c>
      <c r="E10715" t="inlineStr">
        <is>
          <t>AVESTA</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21769-2025</t>
        </is>
      </c>
      <c r="B10716" s="1" t="n">
        <v>45783.65224537037</v>
      </c>
      <c r="C10716" s="1" t="n">
        <v>46114</v>
      </c>
      <c r="D10716" t="inlineStr">
        <is>
          <t>DALARNAS LÄN</t>
        </is>
      </c>
      <c r="E10716" t="inlineStr">
        <is>
          <t>AVESTA</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31390-2024</t>
        </is>
      </c>
      <c r="B10717" s="1" t="n">
        <v>45505.46570601852</v>
      </c>
      <c r="C10717" s="1" t="n">
        <v>46114</v>
      </c>
      <c r="D10717" t="inlineStr">
        <is>
          <t>DALARNAS LÄN</t>
        </is>
      </c>
      <c r="E10717" t="inlineStr">
        <is>
          <t>RÄTTVIK</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21656-2025</t>
        </is>
      </c>
      <c r="B10718" s="1" t="n">
        <v>45783.45273148148</v>
      </c>
      <c r="C10718" s="1" t="n">
        <v>46114</v>
      </c>
      <c r="D10718" t="inlineStr">
        <is>
          <t>DALARNAS LÄN</t>
        </is>
      </c>
      <c r="E10718" t="inlineStr">
        <is>
          <t>VANSBRO</t>
        </is>
      </c>
      <c r="G10718" t="n">
        <v>3.6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30430-2023</t>
        </is>
      </c>
      <c r="B10719" s="1" t="n">
        <v>45111.54344907407</v>
      </c>
      <c r="C10719" s="1" t="n">
        <v>46114</v>
      </c>
      <c r="D10719" t="inlineStr">
        <is>
          <t>DALARNAS LÄN</t>
        </is>
      </c>
      <c r="E10719" t="inlineStr">
        <is>
          <t>HEDEMORA</t>
        </is>
      </c>
      <c r="F10719" t="inlineStr">
        <is>
          <t>Sveaskog</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29217-2024</t>
        </is>
      </c>
      <c r="B10720" s="1" t="n">
        <v>45482.68785879629</v>
      </c>
      <c r="C10720" s="1" t="n">
        <v>46114</v>
      </c>
      <c r="D10720" t="inlineStr">
        <is>
          <t>DALARNAS LÄN</t>
        </is>
      </c>
      <c r="E10720" t="inlineStr">
        <is>
          <t>MALUNG-SÄLEN</t>
        </is>
      </c>
      <c r="F10720" t="inlineStr">
        <is>
          <t>Kommuner</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41471-2023</t>
        </is>
      </c>
      <c r="B10721" s="1" t="n">
        <v>45171</v>
      </c>
      <c r="C10721" s="1" t="n">
        <v>46114</v>
      </c>
      <c r="D10721" t="inlineStr">
        <is>
          <t>DALARNAS LÄN</t>
        </is>
      </c>
      <c r="E10721" t="inlineStr">
        <is>
          <t>SÄTER</t>
        </is>
      </c>
      <c r="F10721" t="inlineStr">
        <is>
          <t>Bergvik skog väst AB</t>
        </is>
      </c>
      <c r="G10721" t="n">
        <v>5.6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21583-2025</t>
        </is>
      </c>
      <c r="B10722" s="1" t="n">
        <v>45783.28149305555</v>
      </c>
      <c r="C10722" s="1" t="n">
        <v>46114</v>
      </c>
      <c r="D10722" t="inlineStr">
        <is>
          <t>DALARNAS LÄN</t>
        </is>
      </c>
      <c r="E10722" t="inlineStr">
        <is>
          <t>SÄTER</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63941-2023</t>
        </is>
      </c>
      <c r="B10723" s="1" t="n">
        <v>45278.61277777778</v>
      </c>
      <c r="C10723" s="1" t="n">
        <v>46114</v>
      </c>
      <c r="D10723" t="inlineStr">
        <is>
          <t>DALARNAS LÄN</t>
        </is>
      </c>
      <c r="E10723" t="inlineStr">
        <is>
          <t>HEDEMORA</t>
        </is>
      </c>
      <c r="G10723" t="n">
        <v>1.1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21457-2025</t>
        </is>
      </c>
      <c r="B10724" s="1" t="n">
        <v>45782.55451388889</v>
      </c>
      <c r="C10724" s="1" t="n">
        <v>46114</v>
      </c>
      <c r="D10724" t="inlineStr">
        <is>
          <t>DALARNAS LÄN</t>
        </is>
      </c>
      <c r="E10724" t="inlineStr">
        <is>
          <t>LEKSAND</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49684-2024</t>
        </is>
      </c>
      <c r="B10725" s="1" t="n">
        <v>45596.67398148148</v>
      </c>
      <c r="C10725" s="1" t="n">
        <v>46114</v>
      </c>
      <c r="D10725" t="inlineStr">
        <is>
          <t>DALARNAS LÄN</t>
        </is>
      </c>
      <c r="E10725" t="inlineStr">
        <is>
          <t>SÄTER</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34519-2024</t>
        </is>
      </c>
      <c r="B10726" s="1" t="n">
        <v>45525.67523148148</v>
      </c>
      <c r="C10726" s="1" t="n">
        <v>46114</v>
      </c>
      <c r="D10726" t="inlineStr">
        <is>
          <t>DALARNAS LÄN</t>
        </is>
      </c>
      <c r="E10726" t="inlineStr">
        <is>
          <t>MALUNG-SÄLEN</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10004-2023</t>
        </is>
      </c>
      <c r="B10727" s="1" t="n">
        <v>44985.60604166667</v>
      </c>
      <c r="C10727" s="1" t="n">
        <v>46114</v>
      </c>
      <c r="D10727" t="inlineStr">
        <is>
          <t>DALARNAS LÄN</t>
        </is>
      </c>
      <c r="E10727" t="inlineStr">
        <is>
          <t>ORSA</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21323-2025</t>
        </is>
      </c>
      <c r="B10728" s="1" t="n">
        <v>45782.34641203703</v>
      </c>
      <c r="C10728" s="1" t="n">
        <v>46114</v>
      </c>
      <c r="D10728" t="inlineStr">
        <is>
          <t>DALARNAS LÄN</t>
        </is>
      </c>
      <c r="E10728" t="inlineStr">
        <is>
          <t>MALUNG-SÄLEN</t>
        </is>
      </c>
      <c r="F10728" t="inlineStr">
        <is>
          <t>Bergvik skog öst AB</t>
        </is>
      </c>
      <c r="G10728" t="n">
        <v>6.8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42315-2024</t>
        </is>
      </c>
      <c r="B10729" s="1" t="n">
        <v>45562.64291666666</v>
      </c>
      <c r="C10729" s="1" t="n">
        <v>46114</v>
      </c>
      <c r="D10729" t="inlineStr">
        <is>
          <t>DALARNAS LÄN</t>
        </is>
      </c>
      <c r="E10729" t="inlineStr">
        <is>
          <t>SMEDJEBACKEN</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879-2024</t>
        </is>
      </c>
      <c r="B10730" s="1" t="n">
        <v>45301.36821759259</v>
      </c>
      <c r="C10730" s="1" t="n">
        <v>46114</v>
      </c>
      <c r="D10730" t="inlineStr">
        <is>
          <t>DALARNAS LÄN</t>
        </is>
      </c>
      <c r="E10730" t="inlineStr">
        <is>
          <t>ORSA</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24862-2024</t>
        </is>
      </c>
      <c r="B10731" s="1" t="n">
        <v>45461.48384259259</v>
      </c>
      <c r="C10731" s="1" t="n">
        <v>46114</v>
      </c>
      <c r="D10731" t="inlineStr">
        <is>
          <t>DALARNAS LÄN</t>
        </is>
      </c>
      <c r="E10731" t="inlineStr">
        <is>
          <t>GAGNEF</t>
        </is>
      </c>
      <c r="G10731" t="n">
        <v>2.3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19856-2023</t>
        </is>
      </c>
      <c r="B10732" s="1" t="n">
        <v>45053</v>
      </c>
      <c r="C10732" s="1" t="n">
        <v>46114</v>
      </c>
      <c r="D10732" t="inlineStr">
        <is>
          <t>DALARNAS LÄN</t>
        </is>
      </c>
      <c r="E10732" t="inlineStr">
        <is>
          <t>MALUNG-SÄLEN</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21363-2025</t>
        </is>
      </c>
      <c r="B10733" s="1" t="n">
        <v>45782.44003472223</v>
      </c>
      <c r="C10733" s="1" t="n">
        <v>46114</v>
      </c>
      <c r="D10733" t="inlineStr">
        <is>
          <t>DALARNAS LÄN</t>
        </is>
      </c>
      <c r="E10733" t="inlineStr">
        <is>
          <t>RÄTTVIK</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21647-2025</t>
        </is>
      </c>
      <c r="B10734" s="1" t="n">
        <v>45783</v>
      </c>
      <c r="C10734" s="1" t="n">
        <v>46114</v>
      </c>
      <c r="D10734" t="inlineStr">
        <is>
          <t>DALARNAS LÄN</t>
        </is>
      </c>
      <c r="E10734" t="inlineStr">
        <is>
          <t>VANSBRO</t>
        </is>
      </c>
      <c r="F10734" t="inlineStr">
        <is>
          <t>Bergvik skog väst AB</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18637-2021</t>
        </is>
      </c>
      <c r="B10735" s="1" t="n">
        <v>44306</v>
      </c>
      <c r="C10735" s="1" t="n">
        <v>46114</v>
      </c>
      <c r="D10735" t="inlineStr">
        <is>
          <t>DALARNAS LÄN</t>
        </is>
      </c>
      <c r="E10735" t="inlineStr">
        <is>
          <t>MALUNG-SÄLEN</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42207-2021</t>
        </is>
      </c>
      <c r="B10736" s="1" t="n">
        <v>44426</v>
      </c>
      <c r="C10736" s="1" t="n">
        <v>46114</v>
      </c>
      <c r="D10736" t="inlineStr">
        <is>
          <t>DALARNAS LÄN</t>
        </is>
      </c>
      <c r="E10736" t="inlineStr">
        <is>
          <t>VANSBRO</t>
        </is>
      </c>
      <c r="G10736" t="n">
        <v>25.5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41835-2024</t>
        </is>
      </c>
      <c r="B10737" s="1" t="n">
        <v>45561.40888888889</v>
      </c>
      <c r="C10737" s="1" t="n">
        <v>46114</v>
      </c>
      <c r="D10737" t="inlineStr">
        <is>
          <t>DALARNAS LÄN</t>
        </is>
      </c>
      <c r="E10737" t="inlineStr">
        <is>
          <t>ORSA</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32940-2024</t>
        </is>
      </c>
      <c r="B10738" s="1" t="n">
        <v>45517.33597222222</v>
      </c>
      <c r="C10738" s="1" t="n">
        <v>46114</v>
      </c>
      <c r="D10738" t="inlineStr">
        <is>
          <t>DALARNAS LÄN</t>
        </is>
      </c>
      <c r="E10738" t="inlineStr">
        <is>
          <t>BORLÄNGE</t>
        </is>
      </c>
      <c r="F10738" t="inlineStr">
        <is>
          <t>Bergvik skog väst AB</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19944-2021</t>
        </is>
      </c>
      <c r="B10739" s="1" t="n">
        <v>44313.6144212963</v>
      </c>
      <c r="C10739" s="1" t="n">
        <v>46114</v>
      </c>
      <c r="D10739" t="inlineStr">
        <is>
          <t>DALARNAS LÄN</t>
        </is>
      </c>
      <c r="E10739" t="inlineStr">
        <is>
          <t>MALUNG-SÄLEN</t>
        </is>
      </c>
      <c r="G10739" t="n">
        <v>10.7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24625-2024</t>
        </is>
      </c>
      <c r="B10740" s="1" t="n">
        <v>45460.50371527778</v>
      </c>
      <c r="C10740" s="1" t="n">
        <v>46114</v>
      </c>
      <c r="D10740" t="inlineStr">
        <is>
          <t>DALARNAS LÄN</t>
        </is>
      </c>
      <c r="E10740" t="inlineStr">
        <is>
          <t>FALUN</t>
        </is>
      </c>
      <c r="G10740" t="n">
        <v>3.8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16573-2024</t>
        </is>
      </c>
      <c r="B10741" s="1" t="n">
        <v>45408.46980324074</v>
      </c>
      <c r="C10741" s="1" t="n">
        <v>46114</v>
      </c>
      <c r="D10741" t="inlineStr">
        <is>
          <t>DALARNAS LÄN</t>
        </is>
      </c>
      <c r="E10741" t="inlineStr">
        <is>
          <t>MORA</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37061-2024</t>
        </is>
      </c>
      <c r="B10742" s="1" t="n">
        <v>45539</v>
      </c>
      <c r="C10742" s="1" t="n">
        <v>46114</v>
      </c>
      <c r="D10742" t="inlineStr">
        <is>
          <t>DALARNAS LÄN</t>
        </is>
      </c>
      <c r="E10742" t="inlineStr">
        <is>
          <t>ÄLVDALEN</t>
        </is>
      </c>
      <c r="G10742" t="n">
        <v>0.8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29288-2024</t>
        </is>
      </c>
      <c r="B10743" s="1" t="n">
        <v>45483.31819444444</v>
      </c>
      <c r="C10743" s="1" t="n">
        <v>46114</v>
      </c>
      <c r="D10743" t="inlineStr">
        <is>
          <t>DALARNAS LÄN</t>
        </is>
      </c>
      <c r="E10743" t="inlineStr">
        <is>
          <t>VANSBRO</t>
        </is>
      </c>
      <c r="G10743" t="n">
        <v>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22189-2025</t>
        </is>
      </c>
      <c r="B10744" s="1" t="n">
        <v>45785.62479166667</v>
      </c>
      <c r="C10744" s="1" t="n">
        <v>46114</v>
      </c>
      <c r="D10744" t="inlineStr">
        <is>
          <t>DALARNAS LÄN</t>
        </is>
      </c>
      <c r="E10744" t="inlineStr">
        <is>
          <t>ÄLVDALEN</t>
        </is>
      </c>
      <c r="F10744" t="inlineStr">
        <is>
          <t>Sveaskog</t>
        </is>
      </c>
      <c r="G10744" t="n">
        <v>1.9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19708-2024</t>
        </is>
      </c>
      <c r="B10745" s="1" t="n">
        <v>45432.55324074074</v>
      </c>
      <c r="C10745" s="1" t="n">
        <v>46114</v>
      </c>
      <c r="D10745" t="inlineStr">
        <is>
          <t>DALARNAS LÄN</t>
        </is>
      </c>
      <c r="E10745" t="inlineStr">
        <is>
          <t>ÄLVDALEN</t>
        </is>
      </c>
      <c r="G10745" t="n">
        <v>12.4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23790-2024</t>
        </is>
      </c>
      <c r="B10746" s="1" t="n">
        <v>45455.42601851852</v>
      </c>
      <c r="C10746" s="1" t="n">
        <v>46114</v>
      </c>
      <c r="D10746" t="inlineStr">
        <is>
          <t>DALARNAS LÄN</t>
        </is>
      </c>
      <c r="E10746" t="inlineStr">
        <is>
          <t>MALUNG-SÄLEN</t>
        </is>
      </c>
      <c r="F10746" t="inlineStr">
        <is>
          <t>Kommuner</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60439-2022</t>
        </is>
      </c>
      <c r="B10747" s="1" t="n">
        <v>44911.35559027778</v>
      </c>
      <c r="C10747" s="1" t="n">
        <v>46114</v>
      </c>
      <c r="D10747" t="inlineStr">
        <is>
          <t>DALARNAS LÄN</t>
        </is>
      </c>
      <c r="E10747" t="inlineStr">
        <is>
          <t>MALUNG-SÄLEN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4566-2025</t>
        </is>
      </c>
      <c r="B10748" s="1" t="n">
        <v>45687.46100694445</v>
      </c>
      <c r="C10748" s="1" t="n">
        <v>46114</v>
      </c>
      <c r="D10748" t="inlineStr">
        <is>
          <t>DALARNAS LÄN</t>
        </is>
      </c>
      <c r="E10748" t="inlineStr">
        <is>
          <t>ORSA</t>
        </is>
      </c>
      <c r="G10748" t="n">
        <v>2.1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21893-2025</t>
        </is>
      </c>
      <c r="B10749" s="1" t="n">
        <v>45784.4484837963</v>
      </c>
      <c r="C10749" s="1" t="n">
        <v>46114</v>
      </c>
      <c r="D10749" t="inlineStr">
        <is>
          <t>DALARNAS LÄN</t>
        </is>
      </c>
      <c r="E10749" t="inlineStr">
        <is>
          <t>LUDVIKA</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21894-2025</t>
        </is>
      </c>
      <c r="B10750" s="1" t="n">
        <v>45784.45060185185</v>
      </c>
      <c r="C10750" s="1" t="n">
        <v>46114</v>
      </c>
      <c r="D10750" t="inlineStr">
        <is>
          <t>DALARNAS LÄN</t>
        </is>
      </c>
      <c r="E10750" t="inlineStr">
        <is>
          <t>MORA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28123-2024</t>
        </is>
      </c>
      <c r="B10751" s="1" t="n">
        <v>45476</v>
      </c>
      <c r="C10751" s="1" t="n">
        <v>46114</v>
      </c>
      <c r="D10751" t="inlineStr">
        <is>
          <t>DALARNAS LÄN</t>
        </is>
      </c>
      <c r="E10751" t="inlineStr">
        <is>
          <t>FALUN</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27814-2024</t>
        </is>
      </c>
      <c r="B10752" s="1" t="n">
        <v>45475.5928587963</v>
      </c>
      <c r="C10752" s="1" t="n">
        <v>46114</v>
      </c>
      <c r="D10752" t="inlineStr">
        <is>
          <t>DALARNAS LÄN</t>
        </is>
      </c>
      <c r="E10752" t="inlineStr">
        <is>
          <t>GAGNEF</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28724-2024</t>
        </is>
      </c>
      <c r="B10753" s="1" t="n">
        <v>45478.55324074074</v>
      </c>
      <c r="C10753" s="1" t="n">
        <v>46114</v>
      </c>
      <c r="D10753" t="inlineStr">
        <is>
          <t>DALARNAS LÄN</t>
        </is>
      </c>
      <c r="E10753" t="inlineStr">
        <is>
          <t>FALUN</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15790-2024</t>
        </is>
      </c>
      <c r="B10754" s="1" t="n">
        <v>45404.62193287037</v>
      </c>
      <c r="C10754" s="1" t="n">
        <v>46114</v>
      </c>
      <c r="D10754" t="inlineStr">
        <is>
          <t>DALARNAS LÄN</t>
        </is>
      </c>
      <c r="E10754" t="inlineStr">
        <is>
          <t>FALUN</t>
        </is>
      </c>
      <c r="G10754" t="n">
        <v>3.7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61554-2024</t>
        </is>
      </c>
      <c r="B10755" s="1" t="n">
        <v>45646.60748842593</v>
      </c>
      <c r="C10755" s="1" t="n">
        <v>46114</v>
      </c>
      <c r="D10755" t="inlineStr">
        <is>
          <t>DALARNAS LÄN</t>
        </is>
      </c>
      <c r="E10755" t="inlineStr">
        <is>
          <t>LEKSAND</t>
        </is>
      </c>
      <c r="G10755" t="n">
        <v>2.6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35702-2022</t>
        </is>
      </c>
      <c r="B10756" s="1" t="n">
        <v>44799.64663194444</v>
      </c>
      <c r="C10756" s="1" t="n">
        <v>46114</v>
      </c>
      <c r="D10756" t="inlineStr">
        <is>
          <t>DALARNAS LÄN</t>
        </is>
      </c>
      <c r="E10756" t="inlineStr">
        <is>
          <t>RÄTTVIK</t>
        </is>
      </c>
      <c r="F10756" t="inlineStr">
        <is>
          <t>Sveaskog</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15923-2024</t>
        </is>
      </c>
      <c r="B10757" s="1" t="n">
        <v>45405.45550925926</v>
      </c>
      <c r="C10757" s="1" t="n">
        <v>46114</v>
      </c>
      <c r="D10757" t="inlineStr">
        <is>
          <t>DALARNAS LÄN</t>
        </is>
      </c>
      <c r="E10757" t="inlineStr">
        <is>
          <t>AVESTA</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48380-2024</t>
        </is>
      </c>
      <c r="B10758" s="1" t="n">
        <v>45590</v>
      </c>
      <c r="C10758" s="1" t="n">
        <v>46114</v>
      </c>
      <c r="D10758" t="inlineStr">
        <is>
          <t>DALARNAS LÄN</t>
        </is>
      </c>
      <c r="E10758" t="inlineStr">
        <is>
          <t>HEDEMORA</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21890-2025</t>
        </is>
      </c>
      <c r="B10759" s="1" t="n">
        <v>45784.44481481481</v>
      </c>
      <c r="C10759" s="1" t="n">
        <v>46114</v>
      </c>
      <c r="D10759" t="inlineStr">
        <is>
          <t>DALARNAS LÄN</t>
        </is>
      </c>
      <c r="E10759" t="inlineStr">
        <is>
          <t>MORA</t>
        </is>
      </c>
      <c r="G10759" t="n">
        <v>3.8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22097-2025</t>
        </is>
      </c>
      <c r="B10760" s="1" t="n">
        <v>45785</v>
      </c>
      <c r="C10760" s="1" t="n">
        <v>46114</v>
      </c>
      <c r="D10760" t="inlineStr">
        <is>
          <t>DALARNAS LÄN</t>
        </is>
      </c>
      <c r="E10760" t="inlineStr">
        <is>
          <t>FALUN</t>
        </is>
      </c>
      <c r="F10760" t="inlineStr">
        <is>
          <t>Bergvik skog väst AB</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21895-2025</t>
        </is>
      </c>
      <c r="B10761" s="1" t="n">
        <v>45784.45273148148</v>
      </c>
      <c r="C10761" s="1" t="n">
        <v>46114</v>
      </c>
      <c r="D10761" t="inlineStr">
        <is>
          <t>DALARNAS LÄN</t>
        </is>
      </c>
      <c r="E10761" t="inlineStr">
        <is>
          <t>MORA</t>
        </is>
      </c>
      <c r="G10761" t="n">
        <v>0.4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22080-2025</t>
        </is>
      </c>
      <c r="B10762" s="1" t="n">
        <v>45785</v>
      </c>
      <c r="C10762" s="1" t="n">
        <v>46114</v>
      </c>
      <c r="D10762" t="inlineStr">
        <is>
          <t>DALARNAS LÄN</t>
        </is>
      </c>
      <c r="E10762" t="inlineStr">
        <is>
          <t>LEKSAND</t>
        </is>
      </c>
      <c r="G10762" t="n">
        <v>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43785-2023</t>
        </is>
      </c>
      <c r="B10763" s="1" t="n">
        <v>45187</v>
      </c>
      <c r="C10763" s="1" t="n">
        <v>46114</v>
      </c>
      <c r="D10763" t="inlineStr">
        <is>
          <t>DALARNAS LÄN</t>
        </is>
      </c>
      <c r="E10763" t="inlineStr">
        <is>
          <t>HEDEMORA</t>
        </is>
      </c>
      <c r="F10763" t="inlineStr">
        <is>
          <t>Sveaskog</t>
        </is>
      </c>
      <c r="G10763" t="n">
        <v>5.7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51675-2024</t>
        </is>
      </c>
      <c r="B10764" s="1" t="n">
        <v>45607.29688657408</v>
      </c>
      <c r="C10764" s="1" t="n">
        <v>46114</v>
      </c>
      <c r="D10764" t="inlineStr">
        <is>
          <t>DALARNAS LÄN</t>
        </is>
      </c>
      <c r="E10764" t="inlineStr">
        <is>
          <t>BORLÄNGE</t>
        </is>
      </c>
      <c r="G10764" t="n">
        <v>1.9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25393-2024</t>
        </is>
      </c>
      <c r="B10765" s="1" t="n">
        <v>45463.32146990741</v>
      </c>
      <c r="C10765" s="1" t="n">
        <v>46114</v>
      </c>
      <c r="D10765" t="inlineStr">
        <is>
          <t>DALARNAS LÄN</t>
        </is>
      </c>
      <c r="E10765" t="inlineStr">
        <is>
          <t>SMEDJEBACKEN</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42421-2024</t>
        </is>
      </c>
      <c r="B10766" s="1" t="n">
        <v>45565.38796296297</v>
      </c>
      <c r="C10766" s="1" t="n">
        <v>46114</v>
      </c>
      <c r="D10766" t="inlineStr">
        <is>
          <t>DALARNAS LÄN</t>
        </is>
      </c>
      <c r="E10766" t="inlineStr">
        <is>
          <t>LUDVIKA</t>
        </is>
      </c>
      <c r="G10766" t="n">
        <v>5.3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8491-2025</t>
        </is>
      </c>
      <c r="B10767" s="1" t="n">
        <v>45709.50834490741</v>
      </c>
      <c r="C10767" s="1" t="n">
        <v>46114</v>
      </c>
      <c r="D10767" t="inlineStr">
        <is>
          <t>DALARNAS LÄN</t>
        </is>
      </c>
      <c r="E10767" t="inlineStr">
        <is>
          <t>GAGNEF</t>
        </is>
      </c>
      <c r="G10767" t="n">
        <v>3.2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36863-2021</t>
        </is>
      </c>
      <c r="B10768" s="1" t="n">
        <v>44393</v>
      </c>
      <c r="C10768" s="1" t="n">
        <v>46114</v>
      </c>
      <c r="D10768" t="inlineStr">
        <is>
          <t>DALARNAS LÄN</t>
        </is>
      </c>
      <c r="E10768" t="inlineStr">
        <is>
          <t>BORLÄNGE</t>
        </is>
      </c>
      <c r="G10768" t="n">
        <v>5.5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43926-2024</t>
        </is>
      </c>
      <c r="B10769" s="1" t="n">
        <v>45572.45065972222</v>
      </c>
      <c r="C10769" s="1" t="n">
        <v>46114</v>
      </c>
      <c r="D10769" t="inlineStr">
        <is>
          <t>DALARNAS LÄN</t>
        </is>
      </c>
      <c r="E10769" t="inlineStr">
        <is>
          <t>SMEDJEBACKEN</t>
        </is>
      </c>
      <c r="F10769" t="inlineStr">
        <is>
          <t>Sveaskog</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33250-2024</t>
        </is>
      </c>
      <c r="B10770" s="1" t="n">
        <v>45518.63627314815</v>
      </c>
      <c r="C10770" s="1" t="n">
        <v>46114</v>
      </c>
      <c r="D10770" t="inlineStr">
        <is>
          <t>DALARNAS LÄN</t>
        </is>
      </c>
      <c r="E10770" t="inlineStr">
        <is>
          <t>VANSBRO</t>
        </is>
      </c>
      <c r="G10770" t="n">
        <v>6.8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53602-2023</t>
        </is>
      </c>
      <c r="B10771" s="1" t="n">
        <v>45230.56142361111</v>
      </c>
      <c r="C10771" s="1" t="n">
        <v>46114</v>
      </c>
      <c r="D10771" t="inlineStr">
        <is>
          <t>DALARNAS LÄN</t>
        </is>
      </c>
      <c r="E10771" t="inlineStr">
        <is>
          <t>LUDVIKA</t>
        </is>
      </c>
      <c r="F10771" t="inlineStr">
        <is>
          <t>Bergvik skog väst AB</t>
        </is>
      </c>
      <c r="G10771" t="n">
        <v>4.9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21469-2024</t>
        </is>
      </c>
      <c r="B10772" s="1" t="n">
        <v>45441.486875</v>
      </c>
      <c r="C10772" s="1" t="n">
        <v>46114</v>
      </c>
      <c r="D10772" t="inlineStr">
        <is>
          <t>DALARNAS LÄN</t>
        </is>
      </c>
      <c r="E10772" t="inlineStr">
        <is>
          <t>ÄLVDALEN</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22321-2024</t>
        </is>
      </c>
      <c r="B10773" s="1" t="n">
        <v>45446.57864583333</v>
      </c>
      <c r="C10773" s="1" t="n">
        <v>46114</v>
      </c>
      <c r="D10773" t="inlineStr">
        <is>
          <t>DALARNAS LÄN</t>
        </is>
      </c>
      <c r="E10773" t="inlineStr">
        <is>
          <t>FALUN</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13118-2024</t>
        </is>
      </c>
      <c r="B10774" s="1" t="n">
        <v>45385.80540509259</v>
      </c>
      <c r="C10774" s="1" t="n">
        <v>46114</v>
      </c>
      <c r="D10774" t="inlineStr">
        <is>
          <t>DALARNAS LÄN</t>
        </is>
      </c>
      <c r="E10774" t="inlineStr">
        <is>
          <t>FALUN</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21899-2025</t>
        </is>
      </c>
      <c r="B10775" s="1" t="n">
        <v>45784</v>
      </c>
      <c r="C10775" s="1" t="n">
        <v>46114</v>
      </c>
      <c r="D10775" t="inlineStr">
        <is>
          <t>DALARNAS LÄN</t>
        </is>
      </c>
      <c r="E10775" t="inlineStr">
        <is>
          <t>RÄTTVIK</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21916-2025</t>
        </is>
      </c>
      <c r="B10776" s="1" t="n">
        <v>45784.50115740741</v>
      </c>
      <c r="C10776" s="1" t="n">
        <v>46114</v>
      </c>
      <c r="D10776" t="inlineStr">
        <is>
          <t>DALARNAS LÄN</t>
        </is>
      </c>
      <c r="E10776" t="inlineStr">
        <is>
          <t>LEKSAND</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11109-2024</t>
        </is>
      </c>
      <c r="B10777" s="1" t="n">
        <v>45371.36216435185</v>
      </c>
      <c r="C10777" s="1" t="n">
        <v>46114</v>
      </c>
      <c r="D10777" t="inlineStr">
        <is>
          <t>DALARNAS LÄN</t>
        </is>
      </c>
      <c r="E10777" t="inlineStr">
        <is>
          <t>FALUN</t>
        </is>
      </c>
      <c r="G10777" t="n">
        <v>2.6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42680-2023</t>
        </is>
      </c>
      <c r="B10778" s="1" t="n">
        <v>45181.57961805556</v>
      </c>
      <c r="C10778" s="1" t="n">
        <v>46114</v>
      </c>
      <c r="D10778" t="inlineStr">
        <is>
          <t>DALARNAS LÄN</t>
        </is>
      </c>
      <c r="E10778" t="inlineStr">
        <is>
          <t>FALUN</t>
        </is>
      </c>
      <c r="G10778" t="n">
        <v>7.1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40049-2024</t>
        </is>
      </c>
      <c r="B10779" s="1" t="n">
        <v>45553</v>
      </c>
      <c r="C10779" s="1" t="n">
        <v>46114</v>
      </c>
      <c r="D10779" t="inlineStr">
        <is>
          <t>DALARNAS LÄN</t>
        </is>
      </c>
      <c r="E10779" t="inlineStr">
        <is>
          <t>AVESTA</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12842-2022</t>
        </is>
      </c>
      <c r="B10780" s="1" t="n">
        <v>44641</v>
      </c>
      <c r="C10780" s="1" t="n">
        <v>46114</v>
      </c>
      <c r="D10780" t="inlineStr">
        <is>
          <t>DALARNAS LÄN</t>
        </is>
      </c>
      <c r="E10780" t="inlineStr">
        <is>
          <t>MALUNG-SÄLEN</t>
        </is>
      </c>
      <c r="F10780" t="inlineStr">
        <is>
          <t>Allmännings- och besparingsskogar</t>
        </is>
      </c>
      <c r="G10780" t="n">
        <v>35.1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19322-2024</t>
        </is>
      </c>
      <c r="B10781" s="1" t="n">
        <v>45428.91826388889</v>
      </c>
      <c r="C10781" s="1" t="n">
        <v>46114</v>
      </c>
      <c r="D10781" t="inlineStr">
        <is>
          <t>DALARNAS LÄN</t>
        </is>
      </c>
      <c r="E10781" t="inlineStr">
        <is>
          <t>SÄTER</t>
        </is>
      </c>
      <c r="G10781" t="n">
        <v>2.2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6210-2024</t>
        </is>
      </c>
      <c r="B10782" s="1" t="n">
        <v>45337</v>
      </c>
      <c r="C10782" s="1" t="n">
        <v>46114</v>
      </c>
      <c r="D10782" t="inlineStr">
        <is>
          <t>DALARNAS LÄN</t>
        </is>
      </c>
      <c r="E10782" t="inlineStr">
        <is>
          <t>HEDEMORA</t>
        </is>
      </c>
      <c r="G10782" t="n">
        <v>2.6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54490-2023</t>
        </is>
      </c>
      <c r="B10783" s="1" t="n">
        <v>45233</v>
      </c>
      <c r="C10783" s="1" t="n">
        <v>46114</v>
      </c>
      <c r="D10783" t="inlineStr">
        <is>
          <t>DALARNAS LÄN</t>
        </is>
      </c>
      <c r="E10783" t="inlineStr">
        <is>
          <t>MALUNG-SÄLEN</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62307-2023</t>
        </is>
      </c>
      <c r="B10784" s="1" t="n">
        <v>45266</v>
      </c>
      <c r="C10784" s="1" t="n">
        <v>46114</v>
      </c>
      <c r="D10784" t="inlineStr">
        <is>
          <t>DALARNAS LÄN</t>
        </is>
      </c>
      <c r="E10784" t="inlineStr">
        <is>
          <t>LEKSAND</t>
        </is>
      </c>
      <c r="G10784" t="n">
        <v>3.9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19767-2024</t>
        </is>
      </c>
      <c r="B10785" s="1" t="n">
        <v>45432.7103125</v>
      </c>
      <c r="C10785" s="1" t="n">
        <v>46114</v>
      </c>
      <c r="D10785" t="inlineStr">
        <is>
          <t>DALARNAS LÄN</t>
        </is>
      </c>
      <c r="E10785" t="inlineStr">
        <is>
          <t>SÄTER</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50892-2024</t>
        </is>
      </c>
      <c r="B10786" s="1" t="n">
        <v>45602.67575231481</v>
      </c>
      <c r="C10786" s="1" t="n">
        <v>46114</v>
      </c>
      <c r="D10786" t="inlineStr">
        <is>
          <t>DALARNAS LÄN</t>
        </is>
      </c>
      <c r="E10786" t="inlineStr">
        <is>
          <t>RÄTTVIK</t>
        </is>
      </c>
      <c r="G10786" t="n">
        <v>7.4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30544-2024</t>
        </is>
      </c>
      <c r="B10787" s="1" t="n">
        <v>45492</v>
      </c>
      <c r="C10787" s="1" t="n">
        <v>46114</v>
      </c>
      <c r="D10787" t="inlineStr">
        <is>
          <t>DALARNAS LÄN</t>
        </is>
      </c>
      <c r="E10787" t="inlineStr">
        <is>
          <t>VANSBRO</t>
        </is>
      </c>
      <c r="G10787" t="n">
        <v>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52359-2024</t>
        </is>
      </c>
      <c r="B10788" s="1" t="n">
        <v>45609.37012731482</v>
      </c>
      <c r="C10788" s="1" t="n">
        <v>46114</v>
      </c>
      <c r="D10788" t="inlineStr">
        <is>
          <t>DALARNAS LÄN</t>
        </is>
      </c>
      <c r="E10788" t="inlineStr">
        <is>
          <t>LUDVIKA</t>
        </is>
      </c>
      <c r="F10788" t="inlineStr">
        <is>
          <t>Bergvik skog väst AB</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32594-2023</t>
        </is>
      </c>
      <c r="B10789" s="1" t="n">
        <v>45121.50986111111</v>
      </c>
      <c r="C10789" s="1" t="n">
        <v>46114</v>
      </c>
      <c r="D10789" t="inlineStr">
        <is>
          <t>DALARNAS LÄN</t>
        </is>
      </c>
      <c r="E10789" t="inlineStr">
        <is>
          <t>ÄLVDALEN</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14993-2024</t>
        </is>
      </c>
      <c r="B10790" s="1" t="n">
        <v>45399.3711574074</v>
      </c>
      <c r="C10790" s="1" t="n">
        <v>46114</v>
      </c>
      <c r="D10790" t="inlineStr">
        <is>
          <t>DALARNAS LÄN</t>
        </is>
      </c>
      <c r="E10790" t="inlineStr">
        <is>
          <t>MALUNG-SÄLEN</t>
        </is>
      </c>
      <c r="G10790" t="n">
        <v>2.9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11349-2023</t>
        </is>
      </c>
      <c r="B10791" s="1" t="n">
        <v>44993</v>
      </c>
      <c r="C10791" s="1" t="n">
        <v>46114</v>
      </c>
      <c r="D10791" t="inlineStr">
        <is>
          <t>DALARNAS LÄN</t>
        </is>
      </c>
      <c r="E10791" t="inlineStr">
        <is>
          <t>GAGNEF</t>
        </is>
      </c>
      <c r="G10791" t="n">
        <v>5.8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22027-2025</t>
        </is>
      </c>
      <c r="B10792" s="1" t="n">
        <v>45784.99393518519</v>
      </c>
      <c r="C10792" s="1" t="n">
        <v>46114</v>
      </c>
      <c r="D10792" t="inlineStr">
        <is>
          <t>DALARNAS LÄN</t>
        </is>
      </c>
      <c r="E10792" t="inlineStr">
        <is>
          <t>RÄTTVIK</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21828-2025</t>
        </is>
      </c>
      <c r="B10793" s="1" t="n">
        <v>45783.91428240741</v>
      </c>
      <c r="C10793" s="1" t="n">
        <v>46114</v>
      </c>
      <c r="D10793" t="inlineStr">
        <is>
          <t>DALARNAS LÄN</t>
        </is>
      </c>
      <c r="E10793" t="inlineStr">
        <is>
          <t>BORLÄNGE</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14967-2023</t>
        </is>
      </c>
      <c r="B10794" s="1" t="n">
        <v>45015</v>
      </c>
      <c r="C10794" s="1" t="n">
        <v>46114</v>
      </c>
      <c r="D10794" t="inlineStr">
        <is>
          <t>DALARNAS LÄN</t>
        </is>
      </c>
      <c r="E10794" t="inlineStr">
        <is>
          <t>LEKSAND</t>
        </is>
      </c>
      <c r="G10794" t="n">
        <v>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30635-2024</t>
        </is>
      </c>
      <c r="B10795" s="1" t="n">
        <v>45495.54474537037</v>
      </c>
      <c r="C10795" s="1" t="n">
        <v>46114</v>
      </c>
      <c r="D10795" t="inlineStr">
        <is>
          <t>DALARNAS LÄN</t>
        </is>
      </c>
      <c r="E10795" t="inlineStr">
        <is>
          <t>GAGNEF</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61918-2024</t>
        </is>
      </c>
      <c r="B10796" s="1" t="n">
        <v>45653.43668981481</v>
      </c>
      <c r="C10796" s="1" t="n">
        <v>46114</v>
      </c>
      <c r="D10796" t="inlineStr">
        <is>
          <t>DALARNAS LÄN</t>
        </is>
      </c>
      <c r="E10796" t="inlineStr">
        <is>
          <t>BORLÄNGE</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7581-2024</t>
        </is>
      </c>
      <c r="B10797" s="1" t="n">
        <v>45348.49204861111</v>
      </c>
      <c r="C10797" s="1" t="n">
        <v>46114</v>
      </c>
      <c r="D10797" t="inlineStr">
        <is>
          <t>DALARNAS LÄN</t>
        </is>
      </c>
      <c r="E10797" t="inlineStr">
        <is>
          <t>ÄLVDALEN</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8127-2024</t>
        </is>
      </c>
      <c r="B10798" s="1" t="n">
        <v>45351</v>
      </c>
      <c r="C10798" s="1" t="n">
        <v>46114</v>
      </c>
      <c r="D10798" t="inlineStr">
        <is>
          <t>DALARNAS LÄN</t>
        </is>
      </c>
      <c r="E10798" t="inlineStr">
        <is>
          <t>RÄTTVIK</t>
        </is>
      </c>
      <c r="G10798" t="n">
        <v>5.7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21891-2025</t>
        </is>
      </c>
      <c r="B10799" s="1" t="n">
        <v>45784</v>
      </c>
      <c r="C10799" s="1" t="n">
        <v>46114</v>
      </c>
      <c r="D10799" t="inlineStr">
        <is>
          <t>DALARNAS LÄN</t>
        </is>
      </c>
      <c r="E10799" t="inlineStr">
        <is>
          <t>LUDVIKA</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21949-2025</t>
        </is>
      </c>
      <c r="B10800" s="1" t="n">
        <v>45784.59369212963</v>
      </c>
      <c r="C10800" s="1" t="n">
        <v>46114</v>
      </c>
      <c r="D10800" t="inlineStr">
        <is>
          <t>DALARNAS LÄN</t>
        </is>
      </c>
      <c r="E10800" t="inlineStr">
        <is>
          <t>ORSA</t>
        </is>
      </c>
      <c r="F10800" t="inlineStr">
        <is>
          <t>Bergvik skog öst AB</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21165-2024</t>
        </is>
      </c>
      <c r="B10801" s="1" t="n">
        <v>45440.45225694445</v>
      </c>
      <c r="C10801" s="1" t="n">
        <v>46114</v>
      </c>
      <c r="D10801" t="inlineStr">
        <is>
          <t>DALARNAS LÄN</t>
        </is>
      </c>
      <c r="E10801" t="inlineStr">
        <is>
          <t>ORSA</t>
        </is>
      </c>
      <c r="F10801" t="inlineStr">
        <is>
          <t>Bergvik skog öst AB</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38266-2024</t>
        </is>
      </c>
      <c r="B10802" s="1" t="n">
        <v>45545.59650462963</v>
      </c>
      <c r="C10802" s="1" t="n">
        <v>46114</v>
      </c>
      <c r="D10802" t="inlineStr">
        <is>
          <t>DALARNAS LÄN</t>
        </is>
      </c>
      <c r="E10802" t="inlineStr">
        <is>
          <t>RÄTTVIK</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20026-2023</t>
        </is>
      </c>
      <c r="B10803" s="1" t="n">
        <v>45054</v>
      </c>
      <c r="C10803" s="1" t="n">
        <v>46114</v>
      </c>
      <c r="D10803" t="inlineStr">
        <is>
          <t>DALARNAS LÄN</t>
        </is>
      </c>
      <c r="E10803" t="inlineStr">
        <is>
          <t>MALUNG-SÄLEN</t>
        </is>
      </c>
      <c r="F10803" t="inlineStr">
        <is>
          <t>Bergvik skog öst AB</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8540-2025</t>
        </is>
      </c>
      <c r="B10804" s="1" t="n">
        <v>45709.60369212963</v>
      </c>
      <c r="C10804" s="1" t="n">
        <v>46114</v>
      </c>
      <c r="D10804" t="inlineStr">
        <is>
          <t>DALARNAS LÄN</t>
        </is>
      </c>
      <c r="E10804" t="inlineStr">
        <is>
          <t>BORLÄNGE</t>
        </is>
      </c>
      <c r="F10804" t="inlineStr">
        <is>
          <t>Bergvik skog väst AB</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35894-2024</t>
        </is>
      </c>
      <c r="B10805" s="1" t="n">
        <v>45533.38748842593</v>
      </c>
      <c r="C10805" s="1" t="n">
        <v>46114</v>
      </c>
      <c r="D10805" t="inlineStr">
        <is>
          <t>DALARNAS LÄN</t>
        </is>
      </c>
      <c r="E10805" t="inlineStr">
        <is>
          <t>FALUN</t>
        </is>
      </c>
      <c r="G10805" t="n">
        <v>8.800000000000001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21850-2025</t>
        </is>
      </c>
      <c r="B10806" s="1" t="n">
        <v>45784.34387731482</v>
      </c>
      <c r="C10806" s="1" t="n">
        <v>46114</v>
      </c>
      <c r="D10806" t="inlineStr">
        <is>
          <t>DALARNAS LÄN</t>
        </is>
      </c>
      <c r="E10806" t="inlineStr">
        <is>
          <t>RÄTTVIK</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27668-2023</t>
        </is>
      </c>
      <c r="B10807" s="1" t="n">
        <v>45097</v>
      </c>
      <c r="C10807" s="1" t="n">
        <v>46114</v>
      </c>
      <c r="D10807" t="inlineStr">
        <is>
          <t>DALARNAS LÄN</t>
        </is>
      </c>
      <c r="E10807" t="inlineStr">
        <is>
          <t>GAGNEF</t>
        </is>
      </c>
      <c r="G10807" t="n">
        <v>1.4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7861-2024</t>
        </is>
      </c>
      <c r="B10808" s="1" t="n">
        <v>45350.30831018519</v>
      </c>
      <c r="C10808" s="1" t="n">
        <v>46114</v>
      </c>
      <c r="D10808" t="inlineStr">
        <is>
          <t>DALARNAS LÄN</t>
        </is>
      </c>
      <c r="E10808" t="inlineStr">
        <is>
          <t>LEKSAND</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22207-2024</t>
        </is>
      </c>
      <c r="B10809" s="1" t="n">
        <v>45446.38172453704</v>
      </c>
      <c r="C10809" s="1" t="n">
        <v>46114</v>
      </c>
      <c r="D10809" t="inlineStr">
        <is>
          <t>DALARNAS LÄN</t>
        </is>
      </c>
      <c r="E10809" t="inlineStr">
        <is>
          <t>SMEDJEBACKEN</t>
        </is>
      </c>
      <c r="F10809" t="inlineStr">
        <is>
          <t>Sveaskog</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23085-2022</t>
        </is>
      </c>
      <c r="B10810" s="1" t="n">
        <v>44719</v>
      </c>
      <c r="C10810" s="1" t="n">
        <v>46114</v>
      </c>
      <c r="D10810" t="inlineStr">
        <is>
          <t>DALARNAS LÄN</t>
        </is>
      </c>
      <c r="E10810" t="inlineStr">
        <is>
          <t>VANSBRO</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33914-2023</t>
        </is>
      </c>
      <c r="B10811" s="1" t="n">
        <v>45134.43274305556</v>
      </c>
      <c r="C10811" s="1" t="n">
        <v>46114</v>
      </c>
      <c r="D10811" t="inlineStr">
        <is>
          <t>DALARNAS LÄN</t>
        </is>
      </c>
      <c r="E10811" t="inlineStr">
        <is>
          <t>LUDVIKA</t>
        </is>
      </c>
      <c r="F10811" t="inlineStr">
        <is>
          <t>Bergvik skog väst AB</t>
        </is>
      </c>
      <c r="G10811" t="n">
        <v>2.6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35530-2024</t>
        </is>
      </c>
      <c r="B10812" s="1" t="n">
        <v>45531.58420138889</v>
      </c>
      <c r="C10812" s="1" t="n">
        <v>46114</v>
      </c>
      <c r="D10812" t="inlineStr">
        <is>
          <t>DALARNAS LÄN</t>
        </is>
      </c>
      <c r="E10812" t="inlineStr">
        <is>
          <t>FALUN</t>
        </is>
      </c>
      <c r="G10812" t="n">
        <v>1.2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5818-2024</t>
        </is>
      </c>
      <c r="B10813" s="1" t="n">
        <v>45335.54880787037</v>
      </c>
      <c r="C10813" s="1" t="n">
        <v>46114</v>
      </c>
      <c r="D10813" t="inlineStr">
        <is>
          <t>DALARNAS LÄN</t>
        </is>
      </c>
      <c r="E10813" t="inlineStr">
        <is>
          <t>FALUN</t>
        </is>
      </c>
      <c r="G10813" t="n">
        <v>1.2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50539-2024</t>
        </is>
      </c>
      <c r="B10814" s="1" t="n">
        <v>45600</v>
      </c>
      <c r="C10814" s="1" t="n">
        <v>46114</v>
      </c>
      <c r="D10814" t="inlineStr">
        <is>
          <t>DALARNAS LÄN</t>
        </is>
      </c>
      <c r="E10814" t="inlineStr">
        <is>
          <t>SMEDJEBACKEN</t>
        </is>
      </c>
      <c r="G10814" t="n">
        <v>0.8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22631-2025</t>
        </is>
      </c>
      <c r="B10815" s="1" t="n">
        <v>45789.44056712963</v>
      </c>
      <c r="C10815" s="1" t="n">
        <v>46114</v>
      </c>
      <c r="D10815" t="inlineStr">
        <is>
          <t>DALARNAS LÄN</t>
        </is>
      </c>
      <c r="E10815" t="inlineStr">
        <is>
          <t>ÄLVDALEN</t>
        </is>
      </c>
      <c r="F10815" t="inlineStr">
        <is>
          <t>Allmännings- och besparingsskogar</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22559-2025</t>
        </is>
      </c>
      <c r="B10816" s="1" t="n">
        <v>45789.32916666667</v>
      </c>
      <c r="C10816" s="1" t="n">
        <v>46114</v>
      </c>
      <c r="D10816" t="inlineStr">
        <is>
          <t>DALARNAS LÄN</t>
        </is>
      </c>
      <c r="E10816" t="inlineStr">
        <is>
          <t>ÄLVDALEN</t>
        </is>
      </c>
      <c r="F10816" t="inlineStr">
        <is>
          <t>Allmännings- och besparingsskogar</t>
        </is>
      </c>
      <c r="G10816" t="n">
        <v>6.4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7902-2024</t>
        </is>
      </c>
      <c r="B10817" s="1" t="n">
        <v>45350</v>
      </c>
      <c r="C10817" s="1" t="n">
        <v>46114</v>
      </c>
      <c r="D10817" t="inlineStr">
        <is>
          <t>DALARNAS LÄN</t>
        </is>
      </c>
      <c r="E10817" t="inlineStr">
        <is>
          <t>FALUN</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42607-2024</t>
        </is>
      </c>
      <c r="B10818" s="1" t="n">
        <v>45565.76509259259</v>
      </c>
      <c r="C10818" s="1" t="n">
        <v>46114</v>
      </c>
      <c r="D10818" t="inlineStr">
        <is>
          <t>DALARNAS LÄN</t>
        </is>
      </c>
      <c r="E10818" t="inlineStr">
        <is>
          <t>GAGNEF</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22462-2025</t>
        </is>
      </c>
      <c r="B10819" s="1" t="n">
        <v>45786.60820601852</v>
      </c>
      <c r="C10819" s="1" t="n">
        <v>46114</v>
      </c>
      <c r="D10819" t="inlineStr">
        <is>
          <t>DALARNAS LÄN</t>
        </is>
      </c>
      <c r="E10819" t="inlineStr">
        <is>
          <t>SMEDJEBACKEN</t>
        </is>
      </c>
      <c r="F10819" t="inlineStr">
        <is>
          <t>Sveaskog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22325-2025</t>
        </is>
      </c>
      <c r="B10820" s="1" t="n">
        <v>45786</v>
      </c>
      <c r="C10820" s="1" t="n">
        <v>46114</v>
      </c>
      <c r="D10820" t="inlineStr">
        <is>
          <t>DALARNAS LÄN</t>
        </is>
      </c>
      <c r="E10820" t="inlineStr">
        <is>
          <t>LUDVIKA</t>
        </is>
      </c>
      <c r="F10820" t="inlineStr">
        <is>
          <t>Bergvik skog väst AB</t>
        </is>
      </c>
      <c r="G10820" t="n">
        <v>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5169-2024</t>
        </is>
      </c>
      <c r="B10821" s="1" t="n">
        <v>45330</v>
      </c>
      <c r="C10821" s="1" t="n">
        <v>46114</v>
      </c>
      <c r="D10821" t="inlineStr">
        <is>
          <t>DALARNAS LÄN</t>
        </is>
      </c>
      <c r="E10821" t="inlineStr">
        <is>
          <t>FALUN</t>
        </is>
      </c>
      <c r="G10821" t="n">
        <v>2.2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32934-2024</t>
        </is>
      </c>
      <c r="B10822" s="1" t="n">
        <v>45517.32456018519</v>
      </c>
      <c r="C10822" s="1" t="n">
        <v>46114</v>
      </c>
      <c r="D10822" t="inlineStr">
        <is>
          <t>DALARNAS LÄN</t>
        </is>
      </c>
      <c r="E10822" t="inlineStr">
        <is>
          <t>SMEDJEBACKEN</t>
        </is>
      </c>
      <c r="F10822" t="inlineStr">
        <is>
          <t>Sveaskog</t>
        </is>
      </c>
      <c r="G10822" t="n">
        <v>4.8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63239-2023</t>
        </is>
      </c>
      <c r="B10823" s="1" t="n">
        <v>45273.66196759259</v>
      </c>
      <c r="C10823" s="1" t="n">
        <v>46114</v>
      </c>
      <c r="D10823" t="inlineStr">
        <is>
          <t>DALARNAS LÄN</t>
        </is>
      </c>
      <c r="E10823" t="inlineStr">
        <is>
          <t>RÄTTVIK</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42866-2024</t>
        </is>
      </c>
      <c r="B10824" s="1" t="n">
        <v>45566.66189814815</v>
      </c>
      <c r="C10824" s="1" t="n">
        <v>46114</v>
      </c>
      <c r="D10824" t="inlineStr">
        <is>
          <t>DALARNAS LÄN</t>
        </is>
      </c>
      <c r="E10824" t="inlineStr">
        <is>
          <t>SMEDJEBACKEN</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46095-2024</t>
        </is>
      </c>
      <c r="B10825" s="1" t="n">
        <v>45581.36174768519</v>
      </c>
      <c r="C10825" s="1" t="n">
        <v>46114</v>
      </c>
      <c r="D10825" t="inlineStr">
        <is>
          <t>DALARNAS LÄN</t>
        </is>
      </c>
      <c r="E10825" t="inlineStr">
        <is>
          <t>LUDVIKA</t>
        </is>
      </c>
      <c r="F10825" t="inlineStr">
        <is>
          <t>Bergvik skog väst AB</t>
        </is>
      </c>
      <c r="G10825" t="n">
        <v>2.1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41539-2024</t>
        </is>
      </c>
      <c r="B10826" s="1" t="n">
        <v>45560.50243055556</v>
      </c>
      <c r="C10826" s="1" t="n">
        <v>46114</v>
      </c>
      <c r="D10826" t="inlineStr">
        <is>
          <t>DALARNAS LÄN</t>
        </is>
      </c>
      <c r="E10826" t="inlineStr">
        <is>
          <t>LUDVIKA</t>
        </is>
      </c>
      <c r="F10826" t="inlineStr">
        <is>
          <t>Bergvik skog väst AB</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13528-2025</t>
        </is>
      </c>
      <c r="B10827" s="1" t="n">
        <v>45736.5049537037</v>
      </c>
      <c r="C10827" s="1" t="n">
        <v>46114</v>
      </c>
      <c r="D10827" t="inlineStr">
        <is>
          <t>DALARNAS LÄN</t>
        </is>
      </c>
      <c r="E10827" t="inlineStr">
        <is>
          <t>BORLÄNGE</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22536-2025</t>
        </is>
      </c>
      <c r="B10828" s="1" t="n">
        <v>45787.33037037037</v>
      </c>
      <c r="C10828" s="1" t="n">
        <v>46114</v>
      </c>
      <c r="D10828" t="inlineStr">
        <is>
          <t>DALARNAS LÄN</t>
        </is>
      </c>
      <c r="E10828" t="inlineStr">
        <is>
          <t>LEKSAND</t>
        </is>
      </c>
      <c r="G10828" t="n">
        <v>1.8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22328-2025</t>
        </is>
      </c>
      <c r="B10829" s="1" t="n">
        <v>45786</v>
      </c>
      <c r="C10829" s="1" t="n">
        <v>46114</v>
      </c>
      <c r="D10829" t="inlineStr">
        <is>
          <t>DALARNAS LÄN</t>
        </is>
      </c>
      <c r="E10829" t="inlineStr">
        <is>
          <t>LUDVIKA</t>
        </is>
      </c>
      <c r="F10829" t="inlineStr">
        <is>
          <t>Bergvik skog väst AB</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51771-2024</t>
        </is>
      </c>
      <c r="B10830" s="1" t="n">
        <v>45607.44939814815</v>
      </c>
      <c r="C10830" s="1" t="n">
        <v>46114</v>
      </c>
      <c r="D10830" t="inlineStr">
        <is>
          <t>DALARNAS LÄN</t>
        </is>
      </c>
      <c r="E10830" t="inlineStr">
        <is>
          <t>SMEDJEBACKEN</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22594-2025</t>
        </is>
      </c>
      <c r="B10831" s="1" t="n">
        <v>45789</v>
      </c>
      <c r="C10831" s="1" t="n">
        <v>46114</v>
      </c>
      <c r="D10831" t="inlineStr">
        <is>
          <t>DALARNAS LÄN</t>
        </is>
      </c>
      <c r="E10831" t="inlineStr">
        <is>
          <t>LUDVIKA</t>
        </is>
      </c>
      <c r="F10831" t="inlineStr">
        <is>
          <t>Bergvik skog väst AB</t>
        </is>
      </c>
      <c r="G10831" t="n">
        <v>3.1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22606-2025</t>
        </is>
      </c>
      <c r="B10832" s="1" t="n">
        <v>45789</v>
      </c>
      <c r="C10832" s="1" t="n">
        <v>46114</v>
      </c>
      <c r="D10832" t="inlineStr">
        <is>
          <t>DALARNAS LÄN</t>
        </is>
      </c>
      <c r="E10832" t="inlineStr">
        <is>
          <t>LUDVIKA</t>
        </is>
      </c>
      <c r="F10832" t="inlineStr">
        <is>
          <t>Bergvik skog väst AB</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22610-2025</t>
        </is>
      </c>
      <c r="B10833" s="1" t="n">
        <v>45789</v>
      </c>
      <c r="C10833" s="1" t="n">
        <v>46114</v>
      </c>
      <c r="D10833" t="inlineStr">
        <is>
          <t>DALARNAS LÄN</t>
        </is>
      </c>
      <c r="E10833" t="inlineStr">
        <is>
          <t>LUDVIKA</t>
        </is>
      </c>
      <c r="F10833" t="inlineStr">
        <is>
          <t>Bergvik skog väst AB</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22292-2025</t>
        </is>
      </c>
      <c r="B10834" s="1" t="n">
        <v>45786.34594907407</v>
      </c>
      <c r="C10834" s="1" t="n">
        <v>46114</v>
      </c>
      <c r="D10834" t="inlineStr">
        <is>
          <t>DALARNAS LÄN</t>
        </is>
      </c>
      <c r="E10834" t="inlineStr">
        <is>
          <t>SMEDJEBACKEN</t>
        </is>
      </c>
      <c r="F10834" t="inlineStr">
        <is>
          <t>Sveaskog</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22354-2025</t>
        </is>
      </c>
      <c r="B10835" s="1" t="n">
        <v>45786.45721064815</v>
      </c>
      <c r="C10835" s="1" t="n">
        <v>46114</v>
      </c>
      <c r="D10835" t="inlineStr">
        <is>
          <t>DALARNAS LÄN</t>
        </is>
      </c>
      <c r="E10835" t="inlineStr">
        <is>
          <t>MORA</t>
        </is>
      </c>
      <c r="F10835" t="inlineStr">
        <is>
          <t>Bergvik skog öst AB</t>
        </is>
      </c>
      <c r="G10835" t="n">
        <v>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22856-2025</t>
        </is>
      </c>
      <c r="B10836" s="1" t="n">
        <v>45789</v>
      </c>
      <c r="C10836" s="1" t="n">
        <v>46114</v>
      </c>
      <c r="D10836" t="inlineStr">
        <is>
          <t>DALARNAS LÄN</t>
        </is>
      </c>
      <c r="E10836" t="inlineStr">
        <is>
          <t>GAGNEF</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46093-2024</t>
        </is>
      </c>
      <c r="B10837" s="1" t="n">
        <v>45581.35516203703</v>
      </c>
      <c r="C10837" s="1" t="n">
        <v>46114</v>
      </c>
      <c r="D10837" t="inlineStr">
        <is>
          <t>DALARNAS LÄN</t>
        </is>
      </c>
      <c r="E10837" t="inlineStr">
        <is>
          <t>LUDVIKA</t>
        </is>
      </c>
      <c r="F10837" t="inlineStr">
        <is>
          <t>Bergvik skog väst AB</t>
        </is>
      </c>
      <c r="G10837" t="n">
        <v>3.5</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46107-2024</t>
        </is>
      </c>
      <c r="B10838" s="1" t="n">
        <v>45581.37739583333</v>
      </c>
      <c r="C10838" s="1" t="n">
        <v>46114</v>
      </c>
      <c r="D10838" t="inlineStr">
        <is>
          <t>DALARNAS LÄN</t>
        </is>
      </c>
      <c r="E10838" t="inlineStr">
        <is>
          <t>LUDVIKA</t>
        </is>
      </c>
      <c r="F10838" t="inlineStr">
        <is>
          <t>Bergvik skog väst AB</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22459-2025</t>
        </is>
      </c>
      <c r="B10839" s="1" t="n">
        <v>45786.60678240741</v>
      </c>
      <c r="C10839" s="1" t="n">
        <v>46114</v>
      </c>
      <c r="D10839" t="inlineStr">
        <is>
          <t>DALARNAS LÄN</t>
        </is>
      </c>
      <c r="E10839" t="inlineStr">
        <is>
          <t>SMEDJEBACKEN</t>
        </is>
      </c>
      <c r="F10839" t="inlineStr">
        <is>
          <t>Sveaskog</t>
        </is>
      </c>
      <c r="G10839" t="n">
        <v>8.800000000000001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31388-2024</t>
        </is>
      </c>
      <c r="B10840" s="1" t="n">
        <v>45505.46128472222</v>
      </c>
      <c r="C10840" s="1" t="n">
        <v>46114</v>
      </c>
      <c r="D10840" t="inlineStr">
        <is>
          <t>DALARNAS LÄN</t>
        </is>
      </c>
      <c r="E10840" t="inlineStr">
        <is>
          <t>RÄTTVIK</t>
        </is>
      </c>
      <c r="G10840" t="n">
        <v>6.9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60042-2023</t>
        </is>
      </c>
      <c r="B10841" s="1" t="n">
        <v>45256</v>
      </c>
      <c r="C10841" s="1" t="n">
        <v>46114</v>
      </c>
      <c r="D10841" t="inlineStr">
        <is>
          <t>DALARNAS LÄN</t>
        </is>
      </c>
      <c r="E10841" t="inlineStr">
        <is>
          <t>LEKSAND</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44904-2024</t>
        </is>
      </c>
      <c r="B10842" s="1" t="n">
        <v>45575.38193287037</v>
      </c>
      <c r="C10842" s="1" t="n">
        <v>46114</v>
      </c>
      <c r="D10842" t="inlineStr">
        <is>
          <t>DALARNAS LÄN</t>
        </is>
      </c>
      <c r="E10842" t="inlineStr">
        <is>
          <t>ORSA</t>
        </is>
      </c>
      <c r="F10842" t="inlineStr">
        <is>
          <t>Bergvik skog öst AB</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21928-2023</t>
        </is>
      </c>
      <c r="B10843" s="1" t="n">
        <v>45068</v>
      </c>
      <c r="C10843" s="1" t="n">
        <v>46114</v>
      </c>
      <c r="D10843" t="inlineStr">
        <is>
          <t>DALARNAS LÄN</t>
        </is>
      </c>
      <c r="E10843" t="inlineStr">
        <is>
          <t>BORLÄNGE</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46387-2024</t>
        </is>
      </c>
      <c r="B10844" s="1" t="n">
        <v>45582</v>
      </c>
      <c r="C10844" s="1" t="n">
        <v>46114</v>
      </c>
      <c r="D10844" t="inlineStr">
        <is>
          <t>DALARNAS LÄN</t>
        </is>
      </c>
      <c r="E10844" t="inlineStr">
        <is>
          <t>RÄTTVIK</t>
        </is>
      </c>
      <c r="G10844" t="n">
        <v>1.4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50240-2024</t>
        </is>
      </c>
      <c r="B10845" s="1" t="n">
        <v>45600.56336805555</v>
      </c>
      <c r="C10845" s="1" t="n">
        <v>46114</v>
      </c>
      <c r="D10845" t="inlineStr">
        <is>
          <t>DALARNAS LÄN</t>
        </is>
      </c>
      <c r="E10845" t="inlineStr">
        <is>
          <t>LUDVIKA</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51256-2024</t>
        </is>
      </c>
      <c r="B10846" s="1" t="n">
        <v>45603.68902777778</v>
      </c>
      <c r="C10846" s="1" t="n">
        <v>46114</v>
      </c>
      <c r="D10846" t="inlineStr">
        <is>
          <t>DALARNAS LÄN</t>
        </is>
      </c>
      <c r="E10846" t="inlineStr">
        <is>
          <t>HEDEMORA</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7128-2025</t>
        </is>
      </c>
      <c r="B10847" s="1" t="n">
        <v>45702</v>
      </c>
      <c r="C10847" s="1" t="n">
        <v>46114</v>
      </c>
      <c r="D10847" t="inlineStr">
        <is>
          <t>DALARNAS LÄN</t>
        </is>
      </c>
      <c r="E10847" t="inlineStr">
        <is>
          <t>RÄTTVIK</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22801-2025</t>
        </is>
      </c>
      <c r="B10848" s="1" t="n">
        <v>45789.66861111111</v>
      </c>
      <c r="C10848" s="1" t="n">
        <v>46114</v>
      </c>
      <c r="D10848" t="inlineStr">
        <is>
          <t>DALARNAS LÄN</t>
        </is>
      </c>
      <c r="E10848" t="inlineStr">
        <is>
          <t>LUDVIKA</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22273-2025</t>
        </is>
      </c>
      <c r="B10849" s="1" t="n">
        <v>45785.94997685185</v>
      </c>
      <c r="C10849" s="1" t="n">
        <v>46114</v>
      </c>
      <c r="D10849" t="inlineStr">
        <is>
          <t>DALARNAS LÄN</t>
        </is>
      </c>
      <c r="E10849" t="inlineStr">
        <is>
          <t>GAGNEF</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43702-2024</t>
        </is>
      </c>
      <c r="B10850" s="1" t="n">
        <v>45569.59144675926</v>
      </c>
      <c r="C10850" s="1" t="n">
        <v>46114</v>
      </c>
      <c r="D10850" t="inlineStr">
        <is>
          <t>DALARNAS LÄN</t>
        </is>
      </c>
      <c r="E10850" t="inlineStr">
        <is>
          <t>LUDVIKA</t>
        </is>
      </c>
      <c r="F10850" t="inlineStr">
        <is>
          <t>Bergvik skog väst AB</t>
        </is>
      </c>
      <c r="G10850" t="n">
        <v>1.9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22577-2025</t>
        </is>
      </c>
      <c r="B10851" s="1" t="n">
        <v>45789.36928240741</v>
      </c>
      <c r="C10851" s="1" t="n">
        <v>46114</v>
      </c>
      <c r="D10851" t="inlineStr">
        <is>
          <t>DALARNAS LÄN</t>
        </is>
      </c>
      <c r="E10851" t="inlineStr">
        <is>
          <t>ÄLVDALEN</t>
        </is>
      </c>
      <c r="F10851" t="inlineStr">
        <is>
          <t>Allmännings- och besparingsskogar</t>
        </is>
      </c>
      <c r="G10851" t="n">
        <v>18.1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31386-2024</t>
        </is>
      </c>
      <c r="B10852" s="1" t="n">
        <v>45505.45523148148</v>
      </c>
      <c r="C10852" s="1" t="n">
        <v>46114</v>
      </c>
      <c r="D10852" t="inlineStr">
        <is>
          <t>DALARNAS LÄN</t>
        </is>
      </c>
      <c r="E10852" t="inlineStr">
        <is>
          <t>RÄTTVIK</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22303-2025</t>
        </is>
      </c>
      <c r="B10853" s="1" t="n">
        <v>45786</v>
      </c>
      <c r="C10853" s="1" t="n">
        <v>46114</v>
      </c>
      <c r="D10853" t="inlineStr">
        <is>
          <t>DALARNAS LÄN</t>
        </is>
      </c>
      <c r="E10853" t="inlineStr">
        <is>
          <t>ÄLVDALEN</t>
        </is>
      </c>
      <c r="G10853" t="n">
        <v>3.7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22409-2025</t>
        </is>
      </c>
      <c r="B10854" s="1" t="n">
        <v>45786.54940972223</v>
      </c>
      <c r="C10854" s="1" t="n">
        <v>46114</v>
      </c>
      <c r="D10854" t="inlineStr">
        <is>
          <t>DALARNAS LÄN</t>
        </is>
      </c>
      <c r="E10854" t="inlineStr">
        <is>
          <t>MORA</t>
        </is>
      </c>
      <c r="F10854" t="inlineStr">
        <is>
          <t>Bergvik skog öst AB</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29882-2024</t>
        </is>
      </c>
      <c r="B10855" s="1" t="n">
        <v>45486</v>
      </c>
      <c r="C10855" s="1" t="n">
        <v>46114</v>
      </c>
      <c r="D10855" t="inlineStr">
        <is>
          <t>DALARNAS LÄN</t>
        </is>
      </c>
      <c r="E10855" t="inlineStr">
        <is>
          <t>LUDVIKA</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41333-2024</t>
        </is>
      </c>
      <c r="B10856" s="1" t="n">
        <v>45559.66320601852</v>
      </c>
      <c r="C10856" s="1" t="n">
        <v>46114</v>
      </c>
      <c r="D10856" t="inlineStr">
        <is>
          <t>DALARNAS LÄN</t>
        </is>
      </c>
      <c r="E10856" t="inlineStr">
        <is>
          <t>SMEDJEBACKEN</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34244-2024</t>
        </is>
      </c>
      <c r="B10857" s="1" t="n">
        <v>45524.58349537037</v>
      </c>
      <c r="C10857" s="1" t="n">
        <v>46114</v>
      </c>
      <c r="D10857" t="inlineStr">
        <is>
          <t>DALARNAS LÄN</t>
        </is>
      </c>
      <c r="E10857" t="inlineStr">
        <is>
          <t>LEKSAND</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22366-2025</t>
        </is>
      </c>
      <c r="B10858" s="1" t="n">
        <v>45786</v>
      </c>
      <c r="C10858" s="1" t="n">
        <v>46114</v>
      </c>
      <c r="D10858" t="inlineStr">
        <is>
          <t>DALARNAS LÄN</t>
        </is>
      </c>
      <c r="E10858" t="inlineStr">
        <is>
          <t>RÄTTVIK</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19129-2024</t>
        </is>
      </c>
      <c r="B10859" s="1" t="n">
        <v>45428.40965277778</v>
      </c>
      <c r="C10859" s="1" t="n">
        <v>46114</v>
      </c>
      <c r="D10859" t="inlineStr">
        <is>
          <t>DALARNAS LÄN</t>
        </is>
      </c>
      <c r="E10859" t="inlineStr">
        <is>
          <t>RÄTTVIK</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35890-2024</t>
        </is>
      </c>
      <c r="B10860" s="1" t="n">
        <v>45533.36881944445</v>
      </c>
      <c r="C10860" s="1" t="n">
        <v>46114</v>
      </c>
      <c r="D10860" t="inlineStr">
        <is>
          <t>DALARNAS LÄN</t>
        </is>
      </c>
      <c r="E10860" t="inlineStr">
        <is>
          <t>FALUN</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22330-2025</t>
        </is>
      </c>
      <c r="B10861" s="1" t="n">
        <v>45786</v>
      </c>
      <c r="C10861" s="1" t="n">
        <v>46114</v>
      </c>
      <c r="D10861" t="inlineStr">
        <is>
          <t>DALARNAS LÄN</t>
        </is>
      </c>
      <c r="E10861" t="inlineStr">
        <is>
          <t>LUDVIKA</t>
        </is>
      </c>
      <c r="F10861" t="inlineStr">
        <is>
          <t>Bergvik skog väst AB</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32837-2024</t>
        </is>
      </c>
      <c r="B10862" s="1" t="n">
        <v>45516.60577546297</v>
      </c>
      <c r="C10862" s="1" t="n">
        <v>46114</v>
      </c>
      <c r="D10862" t="inlineStr">
        <is>
          <t>DALARNAS LÄN</t>
        </is>
      </c>
      <c r="E10862" t="inlineStr">
        <is>
          <t>RÄTTVIK</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22788-2025</t>
        </is>
      </c>
      <c r="B10863" s="1" t="n">
        <v>45789.6521875</v>
      </c>
      <c r="C10863" s="1" t="n">
        <v>46114</v>
      </c>
      <c r="D10863" t="inlineStr">
        <is>
          <t>DALARNAS LÄN</t>
        </is>
      </c>
      <c r="E10863" t="inlineStr">
        <is>
          <t>RÄTTVIK</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23488-2024</t>
        </is>
      </c>
      <c r="B10864" s="1" t="n">
        <v>45453.67690972222</v>
      </c>
      <c r="C10864" s="1" t="n">
        <v>46114</v>
      </c>
      <c r="D10864" t="inlineStr">
        <is>
          <t>DALARNAS LÄN</t>
        </is>
      </c>
      <c r="E10864" t="inlineStr">
        <is>
          <t>GAGNEF</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5835-2025</t>
        </is>
      </c>
      <c r="B10865" s="1" t="n">
        <v>45694.86667824074</v>
      </c>
      <c r="C10865" s="1" t="n">
        <v>46114</v>
      </c>
      <c r="D10865" t="inlineStr">
        <is>
          <t>DALARNAS LÄN</t>
        </is>
      </c>
      <c r="E10865" t="inlineStr">
        <is>
          <t>GAGNEF</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24712-2024</t>
        </is>
      </c>
      <c r="B10866" s="1" t="n">
        <v>45460.62337962963</v>
      </c>
      <c r="C10866" s="1" t="n">
        <v>46114</v>
      </c>
      <c r="D10866" t="inlineStr">
        <is>
          <t>DALARNAS LÄN</t>
        </is>
      </c>
      <c r="E10866" t="inlineStr">
        <is>
          <t>LUDVIKA</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22762-2025</t>
        </is>
      </c>
      <c r="B10867" s="1" t="n">
        <v>45789.62225694444</v>
      </c>
      <c r="C10867" s="1" t="n">
        <v>46114</v>
      </c>
      <c r="D10867" t="inlineStr">
        <is>
          <t>DALARNAS LÄN</t>
        </is>
      </c>
      <c r="E10867" t="inlineStr">
        <is>
          <t>RÄTTVIK</t>
        </is>
      </c>
      <c r="G10867" t="n">
        <v>0.5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39536-2021</t>
        </is>
      </c>
      <c r="B10868" s="1" t="n">
        <v>44415.9652662037</v>
      </c>
      <c r="C10868" s="1" t="n">
        <v>46114</v>
      </c>
      <c r="D10868" t="inlineStr">
        <is>
          <t>DALARNAS LÄN</t>
        </is>
      </c>
      <c r="E10868" t="inlineStr">
        <is>
          <t>SMEDJEBACKEN</t>
        </is>
      </c>
      <c r="G10868" t="n">
        <v>5.1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22599-2025</t>
        </is>
      </c>
      <c r="B10869" s="1" t="n">
        <v>45789</v>
      </c>
      <c r="C10869" s="1" t="n">
        <v>46114</v>
      </c>
      <c r="D10869" t="inlineStr">
        <is>
          <t>DALARNAS LÄN</t>
        </is>
      </c>
      <c r="E10869" t="inlineStr">
        <is>
          <t>LUDVIKA</t>
        </is>
      </c>
      <c r="F10869" t="inlineStr">
        <is>
          <t>Bergvik skog väst AB</t>
        </is>
      </c>
      <c r="G10869" t="n">
        <v>2.7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50512-2024</t>
        </is>
      </c>
      <c r="B10870" s="1" t="n">
        <v>45601.54574074074</v>
      </c>
      <c r="C10870" s="1" t="n">
        <v>46114</v>
      </c>
      <c r="D10870" t="inlineStr">
        <is>
          <t>DALARNAS LÄN</t>
        </is>
      </c>
      <c r="E10870" t="inlineStr">
        <is>
          <t>FALUN</t>
        </is>
      </c>
      <c r="F10870" t="inlineStr">
        <is>
          <t>Bergvik skog väst AB</t>
        </is>
      </c>
      <c r="G10870" t="n">
        <v>1.7</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22647-2025</t>
        </is>
      </c>
      <c r="B10871" s="1" t="n">
        <v>45789</v>
      </c>
      <c r="C10871" s="1" t="n">
        <v>46114</v>
      </c>
      <c r="D10871" t="inlineStr">
        <is>
          <t>DALARNAS LÄN</t>
        </is>
      </c>
      <c r="E10871" t="inlineStr">
        <is>
          <t>MALUNG-SÄLEN</t>
        </is>
      </c>
      <c r="F10871" t="inlineStr">
        <is>
          <t>Bergvik skog väst AB</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23368-2025</t>
        </is>
      </c>
      <c r="B10872" s="1" t="n">
        <v>45791.70299768518</v>
      </c>
      <c r="C10872" s="1" t="n">
        <v>46114</v>
      </c>
      <c r="D10872" t="inlineStr">
        <is>
          <t>DALARNAS LÄN</t>
        </is>
      </c>
      <c r="E10872" t="inlineStr">
        <is>
          <t>MORA</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39712-2024</t>
        </is>
      </c>
      <c r="B10873" s="1" t="n">
        <v>45552</v>
      </c>
      <c r="C10873" s="1" t="n">
        <v>46114</v>
      </c>
      <c r="D10873" t="inlineStr">
        <is>
          <t>DALARNAS LÄN</t>
        </is>
      </c>
      <c r="E10873" t="inlineStr">
        <is>
          <t>RÄTTVIK</t>
        </is>
      </c>
      <c r="G10873" t="n">
        <v>3.4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38216-2024</t>
        </is>
      </c>
      <c r="B10874" s="1" t="n">
        <v>45545.52954861111</v>
      </c>
      <c r="C10874" s="1" t="n">
        <v>46114</v>
      </c>
      <c r="D10874" t="inlineStr">
        <is>
          <t>DALARNAS LÄN</t>
        </is>
      </c>
      <c r="E10874" t="inlineStr">
        <is>
          <t>FALUN</t>
        </is>
      </c>
      <c r="F10874" t="inlineStr">
        <is>
          <t>Bergvik skog väst AB</t>
        </is>
      </c>
      <c r="G10874" t="n">
        <v>9.699999999999999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23275-2025</t>
        </is>
      </c>
      <c r="B10875" s="1" t="n">
        <v>45791.56590277778</v>
      </c>
      <c r="C10875" s="1" t="n">
        <v>46114</v>
      </c>
      <c r="D10875" t="inlineStr">
        <is>
          <t>DALARNAS LÄN</t>
        </is>
      </c>
      <c r="E10875" t="inlineStr">
        <is>
          <t>FALUN</t>
        </is>
      </c>
      <c r="F10875" t="inlineStr">
        <is>
          <t>Bergvik skog väst AB</t>
        </is>
      </c>
      <c r="G10875" t="n">
        <v>2.7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23082-2025</t>
        </is>
      </c>
      <c r="B10876" s="1" t="n">
        <v>45791</v>
      </c>
      <c r="C10876" s="1" t="n">
        <v>46114</v>
      </c>
      <c r="D10876" t="inlineStr">
        <is>
          <t>DALARNAS LÄN</t>
        </is>
      </c>
      <c r="E10876" t="inlineStr">
        <is>
          <t>LUDVIKA</t>
        </is>
      </c>
      <c r="F10876" t="inlineStr">
        <is>
          <t>Bergvik skog väst AB</t>
        </is>
      </c>
      <c r="G10876" t="n">
        <v>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23088-2025</t>
        </is>
      </c>
      <c r="B10877" s="1" t="n">
        <v>45791.34212962963</v>
      </c>
      <c r="C10877" s="1" t="n">
        <v>46114</v>
      </c>
      <c r="D10877" t="inlineStr">
        <is>
          <t>DALARNAS LÄN</t>
        </is>
      </c>
      <c r="E10877" t="inlineStr">
        <is>
          <t>LUDVIKA</t>
        </is>
      </c>
      <c r="F10877" t="inlineStr">
        <is>
          <t>Bergvik skog väst AB</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23103-2025</t>
        </is>
      </c>
      <c r="B10878" s="1" t="n">
        <v>45791</v>
      </c>
      <c r="C10878" s="1" t="n">
        <v>46114</v>
      </c>
      <c r="D10878" t="inlineStr">
        <is>
          <t>DALARNAS LÄN</t>
        </is>
      </c>
      <c r="E10878" t="inlineStr">
        <is>
          <t>LUDVIKA</t>
        </is>
      </c>
      <c r="F10878" t="inlineStr">
        <is>
          <t>Bergvik skog väst AB</t>
        </is>
      </c>
      <c r="G10878" t="n">
        <v>15.9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23105-2025</t>
        </is>
      </c>
      <c r="B10879" s="1" t="n">
        <v>45791</v>
      </c>
      <c r="C10879" s="1" t="n">
        <v>46114</v>
      </c>
      <c r="D10879" t="inlineStr">
        <is>
          <t>DALARNAS LÄN</t>
        </is>
      </c>
      <c r="E10879" t="inlineStr">
        <is>
          <t>LUDVIKA</t>
        </is>
      </c>
      <c r="F10879" t="inlineStr">
        <is>
          <t>Bergvik skog väst AB</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23250-2025</t>
        </is>
      </c>
      <c r="B10880" s="1" t="n">
        <v>45791.53006944444</v>
      </c>
      <c r="C10880" s="1" t="n">
        <v>46114</v>
      </c>
      <c r="D10880" t="inlineStr">
        <is>
          <t>DALARNAS LÄN</t>
        </is>
      </c>
      <c r="E10880" t="inlineStr">
        <is>
          <t>FALUN</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23257-2025</t>
        </is>
      </c>
      <c r="B10881" s="1" t="n">
        <v>45791.53803240741</v>
      </c>
      <c r="C10881" s="1" t="n">
        <v>46114</v>
      </c>
      <c r="D10881" t="inlineStr">
        <is>
          <t>DALARNAS LÄN</t>
        </is>
      </c>
      <c r="E10881" t="inlineStr">
        <is>
          <t>RÄTTVIK</t>
        </is>
      </c>
      <c r="G10881" t="n">
        <v>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23056-2025</t>
        </is>
      </c>
      <c r="B10882" s="1" t="n">
        <v>45790.73627314815</v>
      </c>
      <c r="C10882" s="1" t="n">
        <v>46114</v>
      </c>
      <c r="D10882" t="inlineStr">
        <is>
          <t>DALARNAS LÄN</t>
        </is>
      </c>
      <c r="E10882" t="inlineStr">
        <is>
          <t>ORSA</t>
        </is>
      </c>
      <c r="G10882" t="n">
        <v>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56935-2024</t>
        </is>
      </c>
      <c r="B10883" s="1" t="n">
        <v>45625</v>
      </c>
      <c r="C10883" s="1" t="n">
        <v>46114</v>
      </c>
      <c r="D10883" t="inlineStr">
        <is>
          <t>DALARNAS LÄN</t>
        </is>
      </c>
      <c r="E10883" t="inlineStr">
        <is>
          <t>MORA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32254-2021</t>
        </is>
      </c>
      <c r="B10884" s="1" t="n">
        <v>44371.45925925926</v>
      </c>
      <c r="C10884" s="1" t="n">
        <v>46114</v>
      </c>
      <c r="D10884" t="inlineStr">
        <is>
          <t>DALARNAS LÄN</t>
        </is>
      </c>
      <c r="E10884" t="inlineStr">
        <is>
          <t>AVESTA</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56927-2024</t>
        </is>
      </c>
      <c r="B10885" s="1" t="n">
        <v>45625</v>
      </c>
      <c r="C10885" s="1" t="n">
        <v>46114</v>
      </c>
      <c r="D10885" t="inlineStr">
        <is>
          <t>DALARNAS LÄN</t>
        </is>
      </c>
      <c r="E10885" t="inlineStr">
        <is>
          <t>MORA</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23015-2025</t>
        </is>
      </c>
      <c r="B10886" s="1" t="n">
        <v>45790.6377662037</v>
      </c>
      <c r="C10886" s="1" t="n">
        <v>46114</v>
      </c>
      <c r="D10886" t="inlineStr">
        <is>
          <t>DALARNAS LÄN</t>
        </is>
      </c>
      <c r="E10886" t="inlineStr">
        <is>
          <t>ORSA</t>
        </is>
      </c>
      <c r="F10886" t="inlineStr">
        <is>
          <t>Bergvik skog öst AB</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22185-2025</t>
        </is>
      </c>
      <c r="B10887" s="1" t="n">
        <v>45785</v>
      </c>
      <c r="C10887" s="1" t="n">
        <v>46114</v>
      </c>
      <c r="D10887" t="inlineStr">
        <is>
          <t>DALARNAS LÄN</t>
        </is>
      </c>
      <c r="E10887" t="inlineStr">
        <is>
          <t>MORA</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16044-2025</t>
        </is>
      </c>
      <c r="B10888" s="1" t="n">
        <v>45749</v>
      </c>
      <c r="C10888" s="1" t="n">
        <v>46114</v>
      </c>
      <c r="D10888" t="inlineStr">
        <is>
          <t>DALARNAS LÄN</t>
        </is>
      </c>
      <c r="E10888" t="inlineStr">
        <is>
          <t>MALUNG-SÄLEN</t>
        </is>
      </c>
      <c r="F10888" t="inlineStr">
        <is>
          <t>Kommuner</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57468-2023</t>
        </is>
      </c>
      <c r="B10889" s="1" t="n">
        <v>45246</v>
      </c>
      <c r="C10889" s="1" t="n">
        <v>46114</v>
      </c>
      <c r="D10889" t="inlineStr">
        <is>
          <t>DALARNAS LÄN</t>
        </is>
      </c>
      <c r="E10889" t="inlineStr">
        <is>
          <t>LEKSAND</t>
        </is>
      </c>
      <c r="G10889" t="n">
        <v>4.6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31921-2024</t>
        </is>
      </c>
      <c r="B10890" s="1" t="n">
        <v>45510.39645833334</v>
      </c>
      <c r="C10890" s="1" t="n">
        <v>46114</v>
      </c>
      <c r="D10890" t="inlineStr">
        <is>
          <t>DALARNAS LÄN</t>
        </is>
      </c>
      <c r="E10890" t="inlineStr">
        <is>
          <t>AVESTA</t>
        </is>
      </c>
      <c r="G10890" t="n">
        <v>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51967-2023</t>
        </is>
      </c>
      <c r="B10891" s="1" t="n">
        <v>45223.56440972222</v>
      </c>
      <c r="C10891" s="1" t="n">
        <v>46114</v>
      </c>
      <c r="D10891" t="inlineStr">
        <is>
          <t>DALARNAS LÄN</t>
        </is>
      </c>
      <c r="E10891" t="inlineStr">
        <is>
          <t>ÄLVDALEN</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45893-2023</t>
        </is>
      </c>
      <c r="B10892" s="1" t="n">
        <v>45195.67271990741</v>
      </c>
      <c r="C10892" s="1" t="n">
        <v>46114</v>
      </c>
      <c r="D10892" t="inlineStr">
        <is>
          <t>DALARNAS LÄN</t>
        </is>
      </c>
      <c r="E10892" t="inlineStr">
        <is>
          <t>MALUNG-SÄLEN</t>
        </is>
      </c>
      <c r="G10892" t="n">
        <v>15.6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43497-2024</t>
        </is>
      </c>
      <c r="B10893" s="1" t="n">
        <v>45568</v>
      </c>
      <c r="C10893" s="1" t="n">
        <v>46114</v>
      </c>
      <c r="D10893" t="inlineStr">
        <is>
          <t>DALARNAS LÄN</t>
        </is>
      </c>
      <c r="E10893" t="inlineStr">
        <is>
          <t>BORLÄNGE</t>
        </is>
      </c>
      <c r="G10893" t="n">
        <v>2.8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50567-2024</t>
        </is>
      </c>
      <c r="B10894" s="1" t="n">
        <v>45600</v>
      </c>
      <c r="C10894" s="1" t="n">
        <v>46114</v>
      </c>
      <c r="D10894" t="inlineStr">
        <is>
          <t>DALARNAS LÄN</t>
        </is>
      </c>
      <c r="E10894" t="inlineStr">
        <is>
          <t>SMEDJEBACKEN</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34280-2024</t>
        </is>
      </c>
      <c r="B10895" s="1" t="n">
        <v>45524.62398148148</v>
      </c>
      <c r="C10895" s="1" t="n">
        <v>46114</v>
      </c>
      <c r="D10895" t="inlineStr">
        <is>
          <t>DALARNAS LÄN</t>
        </is>
      </c>
      <c r="E10895" t="inlineStr">
        <is>
          <t>LUDVIKA</t>
        </is>
      </c>
      <c r="F10895" t="inlineStr">
        <is>
          <t>Bergvik skog väst AB</t>
        </is>
      </c>
      <c r="G10895" t="n">
        <v>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23127-2025</t>
        </is>
      </c>
      <c r="B10896" s="1" t="n">
        <v>45791.38554398148</v>
      </c>
      <c r="C10896" s="1" t="n">
        <v>46114</v>
      </c>
      <c r="D10896" t="inlineStr">
        <is>
          <t>DALARNAS LÄN</t>
        </is>
      </c>
      <c r="E10896" t="inlineStr">
        <is>
          <t>FALUN</t>
        </is>
      </c>
      <c r="F10896" t="inlineStr">
        <is>
          <t>Bergvik skog väst AB</t>
        </is>
      </c>
      <c r="G10896" t="n">
        <v>4.9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23200-2025</t>
        </is>
      </c>
      <c r="B10897" s="1" t="n">
        <v>45791.45935185185</v>
      </c>
      <c r="C10897" s="1" t="n">
        <v>46114</v>
      </c>
      <c r="D10897" t="inlineStr">
        <is>
          <t>DALARNAS LÄN</t>
        </is>
      </c>
      <c r="E10897" t="inlineStr">
        <is>
          <t>AVESTA</t>
        </is>
      </c>
      <c r="G10897" t="n">
        <v>1.8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23227-2025</t>
        </is>
      </c>
      <c r="B10898" s="1" t="n">
        <v>45791.48747685185</v>
      </c>
      <c r="C10898" s="1" t="n">
        <v>46114</v>
      </c>
      <c r="D10898" t="inlineStr">
        <is>
          <t>DALARNAS LÄN</t>
        </is>
      </c>
      <c r="E10898" t="inlineStr">
        <is>
          <t>GAGNEF</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59404-2024</t>
        </is>
      </c>
      <c r="B10899" s="1" t="n">
        <v>45638</v>
      </c>
      <c r="C10899" s="1" t="n">
        <v>46114</v>
      </c>
      <c r="D10899" t="inlineStr">
        <is>
          <t>DALARNAS LÄN</t>
        </is>
      </c>
      <c r="E10899" t="inlineStr">
        <is>
          <t>MORA</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6640-2025</t>
        </is>
      </c>
      <c r="B10900" s="1" t="n">
        <v>45700.38395833333</v>
      </c>
      <c r="C10900" s="1" t="n">
        <v>46114</v>
      </c>
      <c r="D10900" t="inlineStr">
        <is>
          <t>DALARNAS LÄN</t>
        </is>
      </c>
      <c r="E10900" t="inlineStr">
        <is>
          <t>SÄTER</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36066-2024</t>
        </is>
      </c>
      <c r="B10901" s="1" t="n">
        <v>45533.64466435185</v>
      </c>
      <c r="C10901" s="1" t="n">
        <v>46114</v>
      </c>
      <c r="D10901" t="inlineStr">
        <is>
          <t>DALARNAS LÄN</t>
        </is>
      </c>
      <c r="E10901" t="inlineStr">
        <is>
          <t>LUDVIKA</t>
        </is>
      </c>
      <c r="F10901" t="inlineStr">
        <is>
          <t>Bergvik skog väst AB</t>
        </is>
      </c>
      <c r="G10901" t="n">
        <v>2.1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22970-2025</t>
        </is>
      </c>
      <c r="B10902" s="1" t="n">
        <v>45790</v>
      </c>
      <c r="C10902" s="1" t="n">
        <v>46114</v>
      </c>
      <c r="D10902" t="inlineStr">
        <is>
          <t>DALARNAS LÄN</t>
        </is>
      </c>
      <c r="E10902" t="inlineStr">
        <is>
          <t>SÄTER</t>
        </is>
      </c>
      <c r="F10902" t="inlineStr">
        <is>
          <t>Bergvik skog väst AB</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22876-2025</t>
        </is>
      </c>
      <c r="B10903" s="1" t="n">
        <v>45790.3728587963</v>
      </c>
      <c r="C10903" s="1" t="n">
        <v>46114</v>
      </c>
      <c r="D10903" t="inlineStr">
        <is>
          <t>DALARNAS LÄN</t>
        </is>
      </c>
      <c r="E10903" t="inlineStr">
        <is>
          <t>LEKSAND</t>
        </is>
      </c>
      <c r="G10903" t="n">
        <v>5.9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22909-2025</t>
        </is>
      </c>
      <c r="B10904" s="1" t="n">
        <v>45790.42219907408</v>
      </c>
      <c r="C10904" s="1" t="n">
        <v>46114</v>
      </c>
      <c r="D10904" t="inlineStr">
        <is>
          <t>DALARNAS LÄN</t>
        </is>
      </c>
      <c r="E10904" t="inlineStr">
        <is>
          <t>ÄLVDALEN</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20005-2023</t>
        </is>
      </c>
      <c r="B10905" s="1" t="n">
        <v>45054.62554398148</v>
      </c>
      <c r="C10905" s="1" t="n">
        <v>46114</v>
      </c>
      <c r="D10905" t="inlineStr">
        <is>
          <t>DALARNAS LÄN</t>
        </is>
      </c>
      <c r="E10905" t="inlineStr">
        <is>
          <t>BORLÄNGE</t>
        </is>
      </c>
      <c r="G10905" t="n">
        <v>1.9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23086-2025</t>
        </is>
      </c>
      <c r="B10906" s="1" t="n">
        <v>45791</v>
      </c>
      <c r="C10906" s="1" t="n">
        <v>46114</v>
      </c>
      <c r="D10906" t="inlineStr">
        <is>
          <t>DALARNAS LÄN</t>
        </is>
      </c>
      <c r="E10906" t="inlineStr">
        <is>
          <t>LUDVIKA</t>
        </is>
      </c>
      <c r="F10906" t="inlineStr">
        <is>
          <t>Bergvik skog väst AB</t>
        </is>
      </c>
      <c r="G10906" t="n">
        <v>8.5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19920-2025</t>
        </is>
      </c>
      <c r="B10907" s="1" t="n">
        <v>45771</v>
      </c>
      <c r="C10907" s="1" t="n">
        <v>46114</v>
      </c>
      <c r="D10907" t="inlineStr">
        <is>
          <t>DALARNAS LÄN</t>
        </is>
      </c>
      <c r="E10907" t="inlineStr">
        <is>
          <t>HEDEMORA</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58549-2023</t>
        </is>
      </c>
      <c r="B10908" s="1" t="n">
        <v>45251.42627314815</v>
      </c>
      <c r="C10908" s="1" t="n">
        <v>46114</v>
      </c>
      <c r="D10908" t="inlineStr">
        <is>
          <t>DALARNAS LÄN</t>
        </is>
      </c>
      <c r="E10908" t="inlineStr">
        <is>
          <t>ORSA</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22904-2025</t>
        </is>
      </c>
      <c r="B10909" s="1" t="n">
        <v>45790.41590277778</v>
      </c>
      <c r="C10909" s="1" t="n">
        <v>46114</v>
      </c>
      <c r="D10909" t="inlineStr">
        <is>
          <t>DALARNAS LÄN</t>
        </is>
      </c>
      <c r="E10909" t="inlineStr">
        <is>
          <t>RÄTTVIK</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23146-2025</t>
        </is>
      </c>
      <c r="B10910" s="1" t="n">
        <v>45791.39899305555</v>
      </c>
      <c r="C10910" s="1" t="n">
        <v>46114</v>
      </c>
      <c r="D10910" t="inlineStr">
        <is>
          <t>DALARNAS LÄN</t>
        </is>
      </c>
      <c r="E10910" t="inlineStr">
        <is>
          <t>AVESTA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23053-2025</t>
        </is>
      </c>
      <c r="B10911" s="1" t="n">
        <v>45790.73072916667</v>
      </c>
      <c r="C10911" s="1" t="n">
        <v>46114</v>
      </c>
      <c r="D10911" t="inlineStr">
        <is>
          <t>DALARNAS LÄN</t>
        </is>
      </c>
      <c r="E10911" t="inlineStr">
        <is>
          <t>ORSA</t>
        </is>
      </c>
      <c r="G10911" t="n">
        <v>3.3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62289-2023</t>
        </is>
      </c>
      <c r="B10912" s="1" t="n">
        <v>45266</v>
      </c>
      <c r="C10912" s="1" t="n">
        <v>46114</v>
      </c>
      <c r="D10912" t="inlineStr">
        <is>
          <t>DALARNAS LÄN</t>
        </is>
      </c>
      <c r="E10912" t="inlineStr">
        <is>
          <t>ORSA</t>
        </is>
      </c>
      <c r="G10912" t="n">
        <v>1.9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22782-2024</t>
        </is>
      </c>
      <c r="B10913" s="1" t="n">
        <v>45448.47833333333</v>
      </c>
      <c r="C10913" s="1" t="n">
        <v>46114</v>
      </c>
      <c r="D10913" t="inlineStr">
        <is>
          <t>DALARNAS LÄN</t>
        </is>
      </c>
      <c r="E10913" t="inlineStr">
        <is>
          <t>FALUN</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49499-2024</t>
        </is>
      </c>
      <c r="B10914" s="1" t="n">
        <v>45596</v>
      </c>
      <c r="C10914" s="1" t="n">
        <v>46114</v>
      </c>
      <c r="D10914" t="inlineStr">
        <is>
          <t>DALARNAS LÄN</t>
        </is>
      </c>
      <c r="E10914" t="inlineStr">
        <is>
          <t>LEKSAND</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11193-2025</t>
        </is>
      </c>
      <c r="B10915" s="1" t="n">
        <v>45725</v>
      </c>
      <c r="C10915" s="1" t="n">
        <v>46114</v>
      </c>
      <c r="D10915" t="inlineStr">
        <is>
          <t>DALARNAS LÄN</t>
        </is>
      </c>
      <c r="E10915" t="inlineStr">
        <is>
          <t>MORA</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3195-2024</t>
        </is>
      </c>
      <c r="B10916" s="1" t="n">
        <v>45316.6802662037</v>
      </c>
      <c r="C10916" s="1" t="n">
        <v>46114</v>
      </c>
      <c r="D10916" t="inlineStr">
        <is>
          <t>DALARNAS LÄN</t>
        </is>
      </c>
      <c r="E10916" t="inlineStr">
        <is>
          <t>AVESTA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36397-2024</t>
        </is>
      </c>
      <c r="B10917" s="1" t="n">
        <v>45535</v>
      </c>
      <c r="C10917" s="1" t="n">
        <v>46114</v>
      </c>
      <c r="D10917" t="inlineStr">
        <is>
          <t>DALARNAS LÄN</t>
        </is>
      </c>
      <c r="E10917" t="inlineStr">
        <is>
          <t>FALUN</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22850-2025</t>
        </is>
      </c>
      <c r="B10918" s="1" t="n">
        <v>45790.34148148148</v>
      </c>
      <c r="C10918" s="1" t="n">
        <v>46114</v>
      </c>
      <c r="D10918" t="inlineStr">
        <is>
          <t>DALARNAS LÄN</t>
        </is>
      </c>
      <c r="E10918" t="inlineStr">
        <is>
          <t>LUDVIKA</t>
        </is>
      </c>
      <c r="F10918" t="inlineStr">
        <is>
          <t>Övriga Aktiebolag</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44248-2023</t>
        </is>
      </c>
      <c r="B10919" s="1" t="n">
        <v>45188.58259259259</v>
      </c>
      <c r="C10919" s="1" t="n">
        <v>46114</v>
      </c>
      <c r="D10919" t="inlineStr">
        <is>
          <t>DALARNAS LÄN</t>
        </is>
      </c>
      <c r="E10919" t="inlineStr">
        <is>
          <t>RÄTTVIK</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23219-2025</t>
        </is>
      </c>
      <c r="B10920" s="1" t="n">
        <v>45791.47893518519</v>
      </c>
      <c r="C10920" s="1" t="n">
        <v>46114</v>
      </c>
      <c r="D10920" t="inlineStr">
        <is>
          <t>DALARNAS LÄN</t>
        </is>
      </c>
      <c r="E10920" t="inlineStr">
        <is>
          <t>ÄLVDALEN</t>
        </is>
      </c>
      <c r="F10920" t="inlineStr">
        <is>
          <t>Bergvik skog öst AB</t>
        </is>
      </c>
      <c r="G10920" t="n">
        <v>16.7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58283-2024</t>
        </is>
      </c>
      <c r="B10921" s="1" t="n">
        <v>45632.5812962963</v>
      </c>
      <c r="C10921" s="1" t="n">
        <v>46114</v>
      </c>
      <c r="D10921" t="inlineStr">
        <is>
          <t>DALARNAS LÄN</t>
        </is>
      </c>
      <c r="E10921" t="inlineStr">
        <is>
          <t>BORLÄNGE</t>
        </is>
      </c>
      <c r="G10921" t="n">
        <v>2.1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44822-2024</t>
        </is>
      </c>
      <c r="B10922" s="1" t="n">
        <v>45574.6646412037</v>
      </c>
      <c r="C10922" s="1" t="n">
        <v>46114</v>
      </c>
      <c r="D10922" t="inlineStr">
        <is>
          <t>DALARNAS LÄN</t>
        </is>
      </c>
      <c r="E10922" t="inlineStr">
        <is>
          <t>LEKSAND</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47233-2024</t>
        </is>
      </c>
      <c r="B10923" s="1" t="n">
        <v>45586.68033564815</v>
      </c>
      <c r="C10923" s="1" t="n">
        <v>46114</v>
      </c>
      <c r="D10923" t="inlineStr">
        <is>
          <t>DALARNAS LÄN</t>
        </is>
      </c>
      <c r="E10923" t="inlineStr">
        <is>
          <t>LUDVIKA</t>
        </is>
      </c>
      <c r="G10923" t="n">
        <v>9.5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23058-2025</t>
        </is>
      </c>
      <c r="B10924" s="1" t="n">
        <v>45790.78076388889</v>
      </c>
      <c r="C10924" s="1" t="n">
        <v>46114</v>
      </c>
      <c r="D10924" t="inlineStr">
        <is>
          <t>DALARNAS LÄN</t>
        </is>
      </c>
      <c r="E10924" t="inlineStr">
        <is>
          <t>LEKSAND</t>
        </is>
      </c>
      <c r="G10924" t="n">
        <v>6.7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23076-2025</t>
        </is>
      </c>
      <c r="B10925" s="1" t="n">
        <v>45790.90960648148</v>
      </c>
      <c r="C10925" s="1" t="n">
        <v>46114</v>
      </c>
      <c r="D10925" t="inlineStr">
        <is>
          <t>DALARNAS LÄN</t>
        </is>
      </c>
      <c r="E10925" t="inlineStr">
        <is>
          <t>LEKSAND</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33167-2024</t>
        </is>
      </c>
      <c r="B10926" s="1" t="n">
        <v>45518.41770833333</v>
      </c>
      <c r="C10926" s="1" t="n">
        <v>46114</v>
      </c>
      <c r="D10926" t="inlineStr">
        <is>
          <t>DALARNAS LÄN</t>
        </is>
      </c>
      <c r="E10926" t="inlineStr">
        <is>
          <t>RÄTTVIK</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56900-2024</t>
        </is>
      </c>
      <c r="B10927" s="1" t="n">
        <v>45625</v>
      </c>
      <c r="C10927" s="1" t="n">
        <v>46114</v>
      </c>
      <c r="D10927" t="inlineStr">
        <is>
          <t>DALARNAS LÄN</t>
        </is>
      </c>
      <c r="E10927" t="inlineStr">
        <is>
          <t>MORA</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23055-2025</t>
        </is>
      </c>
      <c r="B10928" s="1" t="n">
        <v>45790.73469907408</v>
      </c>
      <c r="C10928" s="1" t="n">
        <v>46114</v>
      </c>
      <c r="D10928" t="inlineStr">
        <is>
          <t>DALARNAS LÄN</t>
        </is>
      </c>
      <c r="E10928" t="inlineStr">
        <is>
          <t>ORSA</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14320-2025</t>
        </is>
      </c>
      <c r="B10929" s="1" t="n">
        <v>45740.74896990741</v>
      </c>
      <c r="C10929" s="1" t="n">
        <v>46114</v>
      </c>
      <c r="D10929" t="inlineStr">
        <is>
          <t>DALARNAS LÄN</t>
        </is>
      </c>
      <c r="E10929" t="inlineStr">
        <is>
          <t>RÄTTVIK</t>
        </is>
      </c>
      <c r="F10929" t="inlineStr">
        <is>
          <t>Bergvik skog väst AB</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41339-2024</t>
        </is>
      </c>
      <c r="B10930" s="1" t="n">
        <v>45559.67018518518</v>
      </c>
      <c r="C10930" s="1" t="n">
        <v>46114</v>
      </c>
      <c r="D10930" t="inlineStr">
        <is>
          <t>DALARNAS LÄN</t>
        </is>
      </c>
      <c r="E10930" t="inlineStr">
        <is>
          <t>RÄTTVIK</t>
        </is>
      </c>
      <c r="F10930" t="inlineStr">
        <is>
          <t>Bergvik skog väst AB</t>
        </is>
      </c>
      <c r="G10930" t="n">
        <v>6.1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5302-2024</t>
        </is>
      </c>
      <c r="B10931" s="1" t="n">
        <v>45331.38175925926</v>
      </c>
      <c r="C10931" s="1" t="n">
        <v>46114</v>
      </c>
      <c r="D10931" t="inlineStr">
        <is>
          <t>DALARNAS LÄN</t>
        </is>
      </c>
      <c r="E10931" t="inlineStr">
        <is>
          <t>ORSA</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35070-2024</t>
        </is>
      </c>
      <c r="B10932" s="1" t="n">
        <v>45527.66319444445</v>
      </c>
      <c r="C10932" s="1" t="n">
        <v>46114</v>
      </c>
      <c r="D10932" t="inlineStr">
        <is>
          <t>DALARNAS LÄN</t>
        </is>
      </c>
      <c r="E10932" t="inlineStr">
        <is>
          <t>FALUN</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23740-2025</t>
        </is>
      </c>
      <c r="B10933" s="1" t="n">
        <v>45793.43210648148</v>
      </c>
      <c r="C10933" s="1" t="n">
        <v>46114</v>
      </c>
      <c r="D10933" t="inlineStr">
        <is>
          <t>DALARNAS LÄN</t>
        </is>
      </c>
      <c r="E10933" t="inlineStr">
        <is>
          <t>ORSA</t>
        </is>
      </c>
      <c r="F10933" t="inlineStr">
        <is>
          <t>Bergvik skog väst AB</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8762-2025</t>
        </is>
      </c>
      <c r="B10934" s="1" t="n">
        <v>45712.57821759259</v>
      </c>
      <c r="C10934" s="1" t="n">
        <v>46114</v>
      </c>
      <c r="D10934" t="inlineStr">
        <is>
          <t>DALARNAS LÄN</t>
        </is>
      </c>
      <c r="E10934" t="inlineStr">
        <is>
          <t>MALUNG-SÄLEN</t>
        </is>
      </c>
      <c r="G10934" t="n">
        <v>1.7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23792-2025</t>
        </is>
      </c>
      <c r="B10935" s="1" t="n">
        <v>45793.54155092593</v>
      </c>
      <c r="C10935" s="1" t="n">
        <v>46114</v>
      </c>
      <c r="D10935" t="inlineStr">
        <is>
          <t>DALARNAS LÄN</t>
        </is>
      </c>
      <c r="E10935" t="inlineStr">
        <is>
          <t>VANSBRO</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26883-2022</t>
        </is>
      </c>
      <c r="B10936" s="1" t="n">
        <v>44740.55820601852</v>
      </c>
      <c r="C10936" s="1" t="n">
        <v>46114</v>
      </c>
      <c r="D10936" t="inlineStr">
        <is>
          <t>DALARNAS LÄN</t>
        </is>
      </c>
      <c r="E10936" t="inlineStr">
        <is>
          <t>FALUN</t>
        </is>
      </c>
      <c r="F10936" t="inlineStr">
        <is>
          <t>Bergvik skog väst AB</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23464-2025</t>
        </is>
      </c>
      <c r="B10937" s="1" t="n">
        <v>45792.43063657408</v>
      </c>
      <c r="C10937" s="1" t="n">
        <v>46114</v>
      </c>
      <c r="D10937" t="inlineStr">
        <is>
          <t>DALARNAS LÄN</t>
        </is>
      </c>
      <c r="E10937" t="inlineStr">
        <is>
          <t>FALUN</t>
        </is>
      </c>
      <c r="F10937" t="inlineStr">
        <is>
          <t>Bergvik skog väst AB</t>
        </is>
      </c>
      <c r="G10937" t="n">
        <v>5.5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23547-2025</t>
        </is>
      </c>
      <c r="B10938" s="1" t="n">
        <v>45792.56722222222</v>
      </c>
      <c r="C10938" s="1" t="n">
        <v>46114</v>
      </c>
      <c r="D10938" t="inlineStr">
        <is>
          <t>DALARNAS LÄN</t>
        </is>
      </c>
      <c r="E10938" t="inlineStr">
        <is>
          <t>SMEDJEBACKEN</t>
        </is>
      </c>
      <c r="G10938" t="n">
        <v>3.8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23555-2025</t>
        </is>
      </c>
      <c r="B10939" s="1" t="n">
        <v>45792.57824074074</v>
      </c>
      <c r="C10939" s="1" t="n">
        <v>46114</v>
      </c>
      <c r="D10939" t="inlineStr">
        <is>
          <t>DALARNAS LÄN</t>
        </is>
      </c>
      <c r="E10939" t="inlineStr">
        <is>
          <t>ÄLVDALEN</t>
        </is>
      </c>
      <c r="G10939" t="n">
        <v>3.1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23814-2025</t>
        </is>
      </c>
      <c r="B10940" s="1" t="n">
        <v>45793.57851851852</v>
      </c>
      <c r="C10940" s="1" t="n">
        <v>46114</v>
      </c>
      <c r="D10940" t="inlineStr">
        <is>
          <t>DALARNAS LÄN</t>
        </is>
      </c>
      <c r="E10940" t="inlineStr">
        <is>
          <t>RÄTTVIK</t>
        </is>
      </c>
      <c r="F10940" t="inlineStr">
        <is>
          <t>Sveaskog</t>
        </is>
      </c>
      <c r="G10940" t="n">
        <v>7.5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23836-2025</t>
        </is>
      </c>
      <c r="B10941" s="1" t="n">
        <v>45793.61202546296</v>
      </c>
      <c r="C10941" s="1" t="n">
        <v>46114</v>
      </c>
      <c r="D10941" t="inlineStr">
        <is>
          <t>DALARNAS LÄN</t>
        </is>
      </c>
      <c r="E10941" t="inlineStr">
        <is>
          <t>RÄTTVIK</t>
        </is>
      </c>
      <c r="G10941" t="n">
        <v>6.2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23797-2025</t>
        </is>
      </c>
      <c r="B10942" s="1" t="n">
        <v>45793.55232638889</v>
      </c>
      <c r="C10942" s="1" t="n">
        <v>46114</v>
      </c>
      <c r="D10942" t="inlineStr">
        <is>
          <t>DALARNAS LÄN</t>
        </is>
      </c>
      <c r="E10942" t="inlineStr">
        <is>
          <t>GAGNEF</t>
        </is>
      </c>
      <c r="F10942" t="inlineStr">
        <is>
          <t>Övriga statliga verk och myndigheter</t>
        </is>
      </c>
      <c r="G10942" t="n">
        <v>2.8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23855-2025</t>
        </is>
      </c>
      <c r="B10943" s="1" t="n">
        <v>45793.65900462963</v>
      </c>
      <c r="C10943" s="1" t="n">
        <v>46114</v>
      </c>
      <c r="D10943" t="inlineStr">
        <is>
          <t>DALARNAS LÄN</t>
        </is>
      </c>
      <c r="E10943" t="inlineStr">
        <is>
          <t>LEKSAND</t>
        </is>
      </c>
      <c r="G10943" t="n">
        <v>0.6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23568-2025</t>
        </is>
      </c>
      <c r="B10944" s="1" t="n">
        <v>45792.60416666666</v>
      </c>
      <c r="C10944" s="1" t="n">
        <v>46114</v>
      </c>
      <c r="D10944" t="inlineStr">
        <is>
          <t>DALARNAS LÄN</t>
        </is>
      </c>
      <c r="E10944" t="inlineStr">
        <is>
          <t>AVESTA</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23711-2025</t>
        </is>
      </c>
      <c r="B10945" s="1" t="n">
        <v>45793.38363425926</v>
      </c>
      <c r="C10945" s="1" t="n">
        <v>46114</v>
      </c>
      <c r="D10945" t="inlineStr">
        <is>
          <t>DALARNAS LÄN</t>
        </is>
      </c>
      <c r="E10945" t="inlineStr">
        <is>
          <t>FALUN</t>
        </is>
      </c>
      <c r="G10945" t="n">
        <v>5.3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23354-2022</t>
        </is>
      </c>
      <c r="B10946" s="1" t="n">
        <v>44720</v>
      </c>
      <c r="C10946" s="1" t="n">
        <v>46114</v>
      </c>
      <c r="D10946" t="inlineStr">
        <is>
          <t>DALARNAS LÄN</t>
        </is>
      </c>
      <c r="E10946" t="inlineStr">
        <is>
          <t>MORA</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27522-2023</t>
        </is>
      </c>
      <c r="B10947" s="1" t="n">
        <v>45097</v>
      </c>
      <c r="C10947" s="1" t="n">
        <v>46114</v>
      </c>
      <c r="D10947" t="inlineStr">
        <is>
          <t>DALARNAS LÄN</t>
        </is>
      </c>
      <c r="E10947" t="inlineStr">
        <is>
          <t>RÄTTVIK</t>
        </is>
      </c>
      <c r="F10947" t="inlineStr">
        <is>
          <t>Bergvik skog väst AB</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22686-2025</t>
        </is>
      </c>
      <c r="B10948" s="1" t="n">
        <v>45786</v>
      </c>
      <c r="C10948" s="1" t="n">
        <v>46114</v>
      </c>
      <c r="D10948" t="inlineStr">
        <is>
          <t>DALARNAS LÄN</t>
        </is>
      </c>
      <c r="E10948" t="inlineStr">
        <is>
          <t>LUDVIKA</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29930-2024</t>
        </is>
      </c>
      <c r="B10949" s="1" t="n">
        <v>45488.39434027778</v>
      </c>
      <c r="C10949" s="1" t="n">
        <v>46114</v>
      </c>
      <c r="D10949" t="inlineStr">
        <is>
          <t>DALARNAS LÄN</t>
        </is>
      </c>
      <c r="E10949" t="inlineStr">
        <is>
          <t>MALUNG-SÄLEN</t>
        </is>
      </c>
      <c r="F10949" t="inlineStr">
        <is>
          <t>Bergvik skog öst AB</t>
        </is>
      </c>
      <c r="G10949" t="n">
        <v>4.9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51130-2024</t>
        </is>
      </c>
      <c r="B10950" s="1" t="n">
        <v>45603.53090277778</v>
      </c>
      <c r="C10950" s="1" t="n">
        <v>46114</v>
      </c>
      <c r="D10950" t="inlineStr">
        <is>
          <t>DALARNAS LÄN</t>
        </is>
      </c>
      <c r="E10950" t="inlineStr">
        <is>
          <t>FALUN</t>
        </is>
      </c>
      <c r="G10950" t="n">
        <v>1.5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23512-2025</t>
        </is>
      </c>
      <c r="B10951" s="1" t="n">
        <v>45792</v>
      </c>
      <c r="C10951" s="1" t="n">
        <v>46114</v>
      </c>
      <c r="D10951" t="inlineStr">
        <is>
          <t>DALARNAS LÄN</t>
        </is>
      </c>
      <c r="E10951" t="inlineStr">
        <is>
          <t>FALUN</t>
        </is>
      </c>
      <c r="F10951" t="inlineStr">
        <is>
          <t>Bergvik skog väst AB</t>
        </is>
      </c>
      <c r="G10951" t="n">
        <v>7.1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23793-2025</t>
        </is>
      </c>
      <c r="B10952" s="1" t="n">
        <v>45793.54432870371</v>
      </c>
      <c r="C10952" s="1" t="n">
        <v>46114</v>
      </c>
      <c r="D10952" t="inlineStr">
        <is>
          <t>DALARNAS LÄN</t>
        </is>
      </c>
      <c r="E10952" t="inlineStr">
        <is>
          <t>MALUNG-SÄLEN</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54192-2023</t>
        </is>
      </c>
      <c r="B10953" s="1" t="n">
        <v>45232.53052083333</v>
      </c>
      <c r="C10953" s="1" t="n">
        <v>46114</v>
      </c>
      <c r="D10953" t="inlineStr">
        <is>
          <t>DALARNAS LÄN</t>
        </is>
      </c>
      <c r="E10953" t="inlineStr">
        <is>
          <t>MORA</t>
        </is>
      </c>
      <c r="G10953" t="n">
        <v>3.4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23743-2025</t>
        </is>
      </c>
      <c r="B10954" s="1" t="n">
        <v>45793</v>
      </c>
      <c r="C10954" s="1" t="n">
        <v>46114</v>
      </c>
      <c r="D10954" t="inlineStr">
        <is>
          <t>DALARNAS LÄN</t>
        </is>
      </c>
      <c r="E10954" t="inlineStr">
        <is>
          <t>VANSBRO</t>
        </is>
      </c>
      <c r="F10954" t="inlineStr">
        <is>
          <t>Bergvik skog väst AB</t>
        </is>
      </c>
      <c r="G10954" t="n">
        <v>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4760-2025</t>
        </is>
      </c>
      <c r="B10955" s="1" t="n">
        <v>45688.47202546296</v>
      </c>
      <c r="C10955" s="1" t="n">
        <v>46114</v>
      </c>
      <c r="D10955" t="inlineStr">
        <is>
          <t>DALARNAS LÄN</t>
        </is>
      </c>
      <c r="E10955" t="inlineStr">
        <is>
          <t>VANSBRO</t>
        </is>
      </c>
      <c r="G10955" t="n">
        <v>2.9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23229-2025</t>
        </is>
      </c>
      <c r="B10956" s="1" t="n">
        <v>45791</v>
      </c>
      <c r="C10956" s="1" t="n">
        <v>46114</v>
      </c>
      <c r="D10956" t="inlineStr">
        <is>
          <t>DALARNAS LÄN</t>
        </is>
      </c>
      <c r="E10956" t="inlineStr">
        <is>
          <t>MORA</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23891-2025</t>
        </is>
      </c>
      <c r="B10957" s="1" t="n">
        <v>45793</v>
      </c>
      <c r="C10957" s="1" t="n">
        <v>46114</v>
      </c>
      <c r="D10957" t="inlineStr">
        <is>
          <t>DALARNAS LÄN</t>
        </is>
      </c>
      <c r="E10957" t="inlineStr">
        <is>
          <t>LEKSAND</t>
        </is>
      </c>
      <c r="F10957" t="inlineStr">
        <is>
          <t>Kommuner</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17608-2023</t>
        </is>
      </c>
      <c r="B10958" s="1" t="n">
        <v>45036</v>
      </c>
      <c r="C10958" s="1" t="n">
        <v>46114</v>
      </c>
      <c r="D10958" t="inlineStr">
        <is>
          <t>DALARNAS LÄN</t>
        </is>
      </c>
      <c r="E10958" t="inlineStr">
        <is>
          <t>MALUNG-SÄLEN</t>
        </is>
      </c>
      <c r="G10958" t="n">
        <v>3.9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5434-2025</t>
        </is>
      </c>
      <c r="B10959" s="1" t="n">
        <v>45692</v>
      </c>
      <c r="C10959" s="1" t="n">
        <v>46114</v>
      </c>
      <c r="D10959" t="inlineStr">
        <is>
          <t>DALARNAS LÄN</t>
        </is>
      </c>
      <c r="E10959" t="inlineStr">
        <is>
          <t>ORSA</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23521-2025</t>
        </is>
      </c>
      <c r="B10960" s="1" t="n">
        <v>45792</v>
      </c>
      <c r="C10960" s="1" t="n">
        <v>46114</v>
      </c>
      <c r="D10960" t="inlineStr">
        <is>
          <t>DALARNAS LÄN</t>
        </is>
      </c>
      <c r="E10960" t="inlineStr">
        <is>
          <t>LUDVIKA</t>
        </is>
      </c>
      <c r="F10960" t="inlineStr">
        <is>
          <t>Bergvik skog väst AB</t>
        </is>
      </c>
      <c r="G10960" t="n">
        <v>5.2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27535-2023</t>
        </is>
      </c>
      <c r="B10961" s="1" t="n">
        <v>45097</v>
      </c>
      <c r="C10961" s="1" t="n">
        <v>46114</v>
      </c>
      <c r="D10961" t="inlineStr">
        <is>
          <t>DALARNAS LÄN</t>
        </is>
      </c>
      <c r="E10961" t="inlineStr">
        <is>
          <t>RÄTTVIK</t>
        </is>
      </c>
      <c r="F10961" t="inlineStr">
        <is>
          <t>Bergvik skog väst AB</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70332-2021</t>
        </is>
      </c>
      <c r="B10962" s="1" t="n">
        <v>44536</v>
      </c>
      <c r="C10962" s="1" t="n">
        <v>46114</v>
      </c>
      <c r="D10962" t="inlineStr">
        <is>
          <t>DALARNAS LÄN</t>
        </is>
      </c>
      <c r="E10962" t="inlineStr">
        <is>
          <t>ORSA</t>
        </is>
      </c>
      <c r="G10962" t="n">
        <v>7.2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29411-2024</t>
        </is>
      </c>
      <c r="B10963" s="1" t="n">
        <v>45483.67493055556</v>
      </c>
      <c r="C10963" s="1" t="n">
        <v>46114</v>
      </c>
      <c r="D10963" t="inlineStr">
        <is>
          <t>DALARNAS LÄN</t>
        </is>
      </c>
      <c r="E10963" t="inlineStr">
        <is>
          <t>VANSBRO</t>
        </is>
      </c>
      <c r="F10963" t="inlineStr">
        <is>
          <t>Bergvik skog väst AB</t>
        </is>
      </c>
      <c r="G10963" t="n">
        <v>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33276-2024</t>
        </is>
      </c>
      <c r="B10964" s="1" t="n">
        <v>45518</v>
      </c>
      <c r="C10964" s="1" t="n">
        <v>46114</v>
      </c>
      <c r="D10964" t="inlineStr">
        <is>
          <t>DALARNAS LÄN</t>
        </is>
      </c>
      <c r="E10964" t="inlineStr">
        <is>
          <t>RÄTTVIK</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23517-2025</t>
        </is>
      </c>
      <c r="B10965" s="1" t="n">
        <v>45792</v>
      </c>
      <c r="C10965" s="1" t="n">
        <v>46114</v>
      </c>
      <c r="D10965" t="inlineStr">
        <is>
          <t>DALARNAS LÄN</t>
        </is>
      </c>
      <c r="E10965" t="inlineStr">
        <is>
          <t>LEKSAND</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62854-2023</t>
        </is>
      </c>
      <c r="B10966" s="1" t="n">
        <v>45272</v>
      </c>
      <c r="C10966" s="1" t="n">
        <v>46114</v>
      </c>
      <c r="D10966" t="inlineStr">
        <is>
          <t>DALARNAS LÄN</t>
        </is>
      </c>
      <c r="E10966" t="inlineStr">
        <is>
          <t>MORA</t>
        </is>
      </c>
      <c r="G10966" t="n">
        <v>11.3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48939-2024</t>
        </is>
      </c>
      <c r="B10967" s="1" t="n">
        <v>45594.41760416667</v>
      </c>
      <c r="C10967" s="1" t="n">
        <v>46114</v>
      </c>
      <c r="D10967" t="inlineStr">
        <is>
          <t>DALARNAS LÄN</t>
        </is>
      </c>
      <c r="E10967" t="inlineStr">
        <is>
          <t>RÄTTVIK</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20449-2025</t>
        </is>
      </c>
      <c r="B10968" s="1" t="n">
        <v>45775</v>
      </c>
      <c r="C10968" s="1" t="n">
        <v>46114</v>
      </c>
      <c r="D10968" t="inlineStr">
        <is>
          <t>DALARNAS LÄN</t>
        </is>
      </c>
      <c r="E10968" t="inlineStr">
        <is>
          <t>LUDVIKA</t>
        </is>
      </c>
      <c r="F10968" t="inlineStr">
        <is>
          <t>Bergvik skog väst AB</t>
        </is>
      </c>
      <c r="G10968" t="n">
        <v>3.8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61278-2022</t>
        </is>
      </c>
      <c r="B10969" s="1" t="n">
        <v>44915.6166087963</v>
      </c>
      <c r="C10969" s="1" t="n">
        <v>46114</v>
      </c>
      <c r="D10969" t="inlineStr">
        <is>
          <t>DALARNAS LÄN</t>
        </is>
      </c>
      <c r="E10969" t="inlineStr">
        <is>
          <t>LUDVIKA</t>
        </is>
      </c>
      <c r="F10969" t="inlineStr">
        <is>
          <t>Bergvik skog väst AB</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12167-2023</t>
        </is>
      </c>
      <c r="B10970" s="1" t="n">
        <v>44998.51373842593</v>
      </c>
      <c r="C10970" s="1" t="n">
        <v>46114</v>
      </c>
      <c r="D10970" t="inlineStr">
        <is>
          <t>DALARNAS LÄN</t>
        </is>
      </c>
      <c r="E10970" t="inlineStr">
        <is>
          <t>AVESTA</t>
        </is>
      </c>
      <c r="G10970" t="n">
        <v>1.6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53149-2023</t>
        </is>
      </c>
      <c r="B10971" s="1" t="n">
        <v>45229.35677083334</v>
      </c>
      <c r="C10971" s="1" t="n">
        <v>46114</v>
      </c>
      <c r="D10971" t="inlineStr">
        <is>
          <t>DALARNAS LÄN</t>
        </is>
      </c>
      <c r="E10971" t="inlineStr">
        <is>
          <t>MALUNG-SÄLEN</t>
        </is>
      </c>
      <c r="F10971" t="inlineStr">
        <is>
          <t>Övriga statliga verk och myndigheter</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36308-2024</t>
        </is>
      </c>
      <c r="B10972" s="1" t="n">
        <v>45534.61678240741</v>
      </c>
      <c r="C10972" s="1" t="n">
        <v>46114</v>
      </c>
      <c r="D10972" t="inlineStr">
        <is>
          <t>DALARNAS LÄN</t>
        </is>
      </c>
      <c r="E10972" t="inlineStr">
        <is>
          <t>FALUN</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7598-2024</t>
        </is>
      </c>
      <c r="B10973" s="1" t="n">
        <v>45348.55574074074</v>
      </c>
      <c r="C10973" s="1" t="n">
        <v>46114</v>
      </c>
      <c r="D10973" t="inlineStr">
        <is>
          <t>DALARNAS LÄN</t>
        </is>
      </c>
      <c r="E10973" t="inlineStr">
        <is>
          <t>GAGNEF</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35437-2024</t>
        </is>
      </c>
      <c r="B10974" s="1" t="n">
        <v>45531.42296296296</v>
      </c>
      <c r="C10974" s="1" t="n">
        <v>46114</v>
      </c>
      <c r="D10974" t="inlineStr">
        <is>
          <t>DALARNAS LÄN</t>
        </is>
      </c>
      <c r="E10974" t="inlineStr">
        <is>
          <t>FALUN</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24127-2025</t>
        </is>
      </c>
      <c r="B10975" s="1" t="n">
        <v>45796.63137731481</v>
      </c>
      <c r="C10975" s="1" t="n">
        <v>46114</v>
      </c>
      <c r="D10975" t="inlineStr">
        <is>
          <t>DALARNAS LÄN</t>
        </is>
      </c>
      <c r="E10975" t="inlineStr">
        <is>
          <t>MORA</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19677-2025</t>
        </is>
      </c>
      <c r="B10976" s="1" t="n">
        <v>45770.75799768518</v>
      </c>
      <c r="C10976" s="1" t="n">
        <v>46114</v>
      </c>
      <c r="D10976" t="inlineStr">
        <is>
          <t>DALARNAS LÄN</t>
        </is>
      </c>
      <c r="E10976" t="inlineStr">
        <is>
          <t>LUDVIKA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23137-2025</t>
        </is>
      </c>
      <c r="B10977" s="1" t="n">
        <v>45791.39229166666</v>
      </c>
      <c r="C10977" s="1" t="n">
        <v>46114</v>
      </c>
      <c r="D10977" t="inlineStr">
        <is>
          <t>DALARNAS LÄN</t>
        </is>
      </c>
      <c r="E10977" t="inlineStr">
        <is>
          <t>LUDVIKA</t>
        </is>
      </c>
      <c r="F10977" t="inlineStr">
        <is>
          <t>Bergvik skog väst AB</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15602-2023</t>
        </is>
      </c>
      <c r="B10978" s="1" t="n">
        <v>45020</v>
      </c>
      <c r="C10978" s="1" t="n">
        <v>46114</v>
      </c>
      <c r="D10978" t="inlineStr">
        <is>
          <t>DALARNAS LÄN</t>
        </is>
      </c>
      <c r="E10978" t="inlineStr">
        <is>
          <t>MALUNG-SÄLEN</t>
        </is>
      </c>
      <c r="G10978" t="n">
        <v>15.5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31206-2024</t>
        </is>
      </c>
      <c r="B10979" s="1" t="n">
        <v>45503</v>
      </c>
      <c r="C10979" s="1" t="n">
        <v>46114</v>
      </c>
      <c r="D10979" t="inlineStr">
        <is>
          <t>DALARNAS LÄN</t>
        </is>
      </c>
      <c r="E10979" t="inlineStr">
        <is>
          <t>SMEDJEBACKEN</t>
        </is>
      </c>
      <c r="G10979" t="n">
        <v>3.9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24012-2025</t>
        </is>
      </c>
      <c r="B10980" s="1" t="n">
        <v>45796.44629629629</v>
      </c>
      <c r="C10980" s="1" t="n">
        <v>46114</v>
      </c>
      <c r="D10980" t="inlineStr">
        <is>
          <t>DALARNAS LÄN</t>
        </is>
      </c>
      <c r="E10980" t="inlineStr">
        <is>
          <t>FALUN</t>
        </is>
      </c>
      <c r="F10980" t="inlineStr">
        <is>
          <t>Bergvik skog väst AB</t>
        </is>
      </c>
      <c r="G10980" t="n">
        <v>38.3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24322-2025</t>
        </is>
      </c>
      <c r="B10981" s="1" t="n">
        <v>45797.5600462963</v>
      </c>
      <c r="C10981" s="1" t="n">
        <v>46114</v>
      </c>
      <c r="D10981" t="inlineStr">
        <is>
          <t>DALARNAS LÄN</t>
        </is>
      </c>
      <c r="E10981" t="inlineStr">
        <is>
          <t>MALUNG-SÄLEN</t>
        </is>
      </c>
      <c r="F10981" t="inlineStr">
        <is>
          <t>Bergvik skog öst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24377-2025</t>
        </is>
      </c>
      <c r="B10982" s="1" t="n">
        <v>45797.62296296296</v>
      </c>
      <c r="C10982" s="1" t="n">
        <v>46114</v>
      </c>
      <c r="D10982" t="inlineStr">
        <is>
          <t>DALARNAS LÄN</t>
        </is>
      </c>
      <c r="E10982" t="inlineStr">
        <is>
          <t>MALUNG-SÄLEN</t>
        </is>
      </c>
      <c r="G10982" t="n">
        <v>2.6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24379-2025</t>
        </is>
      </c>
      <c r="B10983" s="1" t="n">
        <v>45797.62625</v>
      </c>
      <c r="C10983" s="1" t="n">
        <v>46114</v>
      </c>
      <c r="D10983" t="inlineStr">
        <is>
          <t>DALARNAS LÄN</t>
        </is>
      </c>
      <c r="E10983" t="inlineStr">
        <is>
          <t>SMEDJEBACKEN</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24019-2025</t>
        </is>
      </c>
      <c r="B10984" s="1" t="n">
        <v>45796.44989583334</v>
      </c>
      <c r="C10984" s="1" t="n">
        <v>46114</v>
      </c>
      <c r="D10984" t="inlineStr">
        <is>
          <t>DALARNAS LÄN</t>
        </is>
      </c>
      <c r="E10984" t="inlineStr">
        <is>
          <t>BORLÄNGE</t>
        </is>
      </c>
      <c r="G10984" t="n">
        <v>0.8</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24081-2025</t>
        </is>
      </c>
      <c r="B10985" s="1" t="n">
        <v>45796.5571875</v>
      </c>
      <c r="C10985" s="1" t="n">
        <v>46114</v>
      </c>
      <c r="D10985" t="inlineStr">
        <is>
          <t>DALARNAS LÄN</t>
        </is>
      </c>
      <c r="E10985" t="inlineStr">
        <is>
          <t>LUDVIKA</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47645-2024</t>
        </is>
      </c>
      <c r="B10986" s="1" t="n">
        <v>45588.37167824074</v>
      </c>
      <c r="C10986" s="1" t="n">
        <v>46114</v>
      </c>
      <c r="D10986" t="inlineStr">
        <is>
          <t>DALARNAS LÄN</t>
        </is>
      </c>
      <c r="E10986" t="inlineStr">
        <is>
          <t>ÄLVDALEN</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1785-2024</t>
        </is>
      </c>
      <c r="B10987" s="1" t="n">
        <v>45307</v>
      </c>
      <c r="C10987" s="1" t="n">
        <v>46114</v>
      </c>
      <c r="D10987" t="inlineStr">
        <is>
          <t>DALARNAS LÄN</t>
        </is>
      </c>
      <c r="E10987" t="inlineStr">
        <is>
          <t>ORSA</t>
        </is>
      </c>
      <c r="G10987" t="n">
        <v>42.8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24248-2025</t>
        </is>
      </c>
      <c r="B10988" s="1" t="n">
        <v>45797.40101851852</v>
      </c>
      <c r="C10988" s="1" t="n">
        <v>46114</v>
      </c>
      <c r="D10988" t="inlineStr">
        <is>
          <t>DALARNAS LÄN</t>
        </is>
      </c>
      <c r="E10988" t="inlineStr">
        <is>
          <t>ORSA</t>
        </is>
      </c>
      <c r="F10988" t="inlineStr">
        <is>
          <t>Bergvik skog öst AB</t>
        </is>
      </c>
      <c r="G10988" t="n">
        <v>4.3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24249-2025</t>
        </is>
      </c>
      <c r="B10989" s="1" t="n">
        <v>45797.40260416667</v>
      </c>
      <c r="C10989" s="1" t="n">
        <v>46114</v>
      </c>
      <c r="D10989" t="inlineStr">
        <is>
          <t>DALARNAS LÄN</t>
        </is>
      </c>
      <c r="E10989" t="inlineStr">
        <is>
          <t>MORA</t>
        </is>
      </c>
      <c r="G10989" t="n">
        <v>9.300000000000001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10404-2024</t>
        </is>
      </c>
      <c r="B10990" s="1" t="n">
        <v>45365</v>
      </c>
      <c r="C10990" s="1" t="n">
        <v>46114</v>
      </c>
      <c r="D10990" t="inlineStr">
        <is>
          <t>DALARNAS LÄN</t>
        </is>
      </c>
      <c r="E10990" t="inlineStr">
        <is>
          <t>SÄTER</t>
        </is>
      </c>
      <c r="G10990" t="n">
        <v>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1123-2025</t>
        </is>
      </c>
      <c r="B10991" s="1" t="n">
        <v>45666.66917824074</v>
      </c>
      <c r="C10991" s="1" t="n">
        <v>46114</v>
      </c>
      <c r="D10991" t="inlineStr">
        <is>
          <t>DALARNAS LÄN</t>
        </is>
      </c>
      <c r="E10991" t="inlineStr">
        <is>
          <t>SÄTER</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23097-2025</t>
        </is>
      </c>
      <c r="B10992" s="1" t="n">
        <v>45791.3471875</v>
      </c>
      <c r="C10992" s="1" t="n">
        <v>46114</v>
      </c>
      <c r="D10992" t="inlineStr">
        <is>
          <t>DALARNAS LÄN</t>
        </is>
      </c>
      <c r="E10992" t="inlineStr">
        <is>
          <t>LUDVIKA</t>
        </is>
      </c>
      <c r="F10992" t="inlineStr">
        <is>
          <t>Bergvik skog väst AB</t>
        </is>
      </c>
      <c r="G10992" t="n">
        <v>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23328-2024</t>
        </is>
      </c>
      <c r="B10993" s="1" t="n">
        <v>45453.46716435185</v>
      </c>
      <c r="C10993" s="1" t="n">
        <v>46114</v>
      </c>
      <c r="D10993" t="inlineStr">
        <is>
          <t>DALARNAS LÄN</t>
        </is>
      </c>
      <c r="E10993" t="inlineStr">
        <is>
          <t>ÄLVDALEN</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53703-2024</t>
        </is>
      </c>
      <c r="B10994" s="1" t="n">
        <v>45615.3990162037</v>
      </c>
      <c r="C10994" s="1" t="n">
        <v>46114</v>
      </c>
      <c r="D10994" t="inlineStr">
        <is>
          <t>DALARNAS LÄN</t>
        </is>
      </c>
      <c r="E10994" t="inlineStr">
        <is>
          <t>ORSA</t>
        </is>
      </c>
      <c r="G10994" t="n">
        <v>1.4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24361-2025</t>
        </is>
      </c>
      <c r="B10995" s="1" t="n">
        <v>45797.59802083333</v>
      </c>
      <c r="C10995" s="1" t="n">
        <v>46114</v>
      </c>
      <c r="D10995" t="inlineStr">
        <is>
          <t>DALARNAS LÄN</t>
        </is>
      </c>
      <c r="E10995" t="inlineStr">
        <is>
          <t>SMEDJEBACKEN</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62371-2022</t>
        </is>
      </c>
      <c r="B10996" s="1" t="n">
        <v>44923</v>
      </c>
      <c r="C10996" s="1" t="n">
        <v>46114</v>
      </c>
      <c r="D10996" t="inlineStr">
        <is>
          <t>DALARNAS LÄN</t>
        </is>
      </c>
      <c r="E10996" t="inlineStr">
        <is>
          <t>MALUNG-SÄLEN</t>
        </is>
      </c>
      <c r="G10996" t="n">
        <v>9.199999999999999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24147-2025</t>
        </is>
      </c>
      <c r="B10997" s="1" t="n">
        <v>45796.64581018518</v>
      </c>
      <c r="C10997" s="1" t="n">
        <v>46114</v>
      </c>
      <c r="D10997" t="inlineStr">
        <is>
          <t>DALARNAS LÄN</t>
        </is>
      </c>
      <c r="E10997" t="inlineStr">
        <is>
          <t>AVESTA</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24156-2025</t>
        </is>
      </c>
      <c r="B10998" s="1" t="n">
        <v>45796.66003472222</v>
      </c>
      <c r="C10998" s="1" t="n">
        <v>46114</v>
      </c>
      <c r="D10998" t="inlineStr">
        <is>
          <t>DALARNAS LÄN</t>
        </is>
      </c>
      <c r="E10998" t="inlineStr">
        <is>
          <t>RÄTTVIK</t>
        </is>
      </c>
      <c r="G10998" t="n">
        <v>33.4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25195-2024</t>
        </is>
      </c>
      <c r="B10999" s="1" t="n">
        <v>45462</v>
      </c>
      <c r="C10999" s="1" t="n">
        <v>46114</v>
      </c>
      <c r="D10999" t="inlineStr">
        <is>
          <t>DALARNAS LÄN</t>
        </is>
      </c>
      <c r="E10999" t="inlineStr">
        <is>
          <t>HEDEMORA</t>
        </is>
      </c>
      <c r="F10999" t="inlineStr">
        <is>
          <t>Övriga statliga verk och myndigheter</t>
        </is>
      </c>
      <c r="G10999" t="n">
        <v>3.3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37386-2024</t>
        </is>
      </c>
      <c r="B11000" s="1" t="n">
        <v>45540.58754629629</v>
      </c>
      <c r="C11000" s="1" t="n">
        <v>46114</v>
      </c>
      <c r="D11000" t="inlineStr">
        <is>
          <t>DALARNAS LÄN</t>
        </is>
      </c>
      <c r="E11000" t="inlineStr">
        <is>
          <t>MALUNG-SÄLEN</t>
        </is>
      </c>
      <c r="G11000" t="n">
        <v>4.3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33482-2023</t>
        </is>
      </c>
      <c r="B11001" s="1" t="n">
        <v>45118</v>
      </c>
      <c r="C11001" s="1" t="n">
        <v>46114</v>
      </c>
      <c r="D11001" t="inlineStr">
        <is>
          <t>DALARNAS LÄN</t>
        </is>
      </c>
      <c r="E11001" t="inlineStr">
        <is>
          <t>SÄTER</t>
        </is>
      </c>
      <c r="F11001" t="inlineStr">
        <is>
          <t>Bergvik skog väst AB</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24203-2025</t>
        </is>
      </c>
      <c r="B11002" s="1" t="n">
        <v>45797.31393518519</v>
      </c>
      <c r="C11002" s="1" t="n">
        <v>46114</v>
      </c>
      <c r="D11002" t="inlineStr">
        <is>
          <t>DALARNAS LÄN</t>
        </is>
      </c>
      <c r="E11002" t="inlineStr">
        <is>
          <t>RÄTTVIK</t>
        </is>
      </c>
      <c r="G11002" t="n">
        <v>7.6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35516-2024</t>
        </is>
      </c>
      <c r="B11003" s="1" t="n">
        <v>45531.56623842593</v>
      </c>
      <c r="C11003" s="1" t="n">
        <v>46114</v>
      </c>
      <c r="D11003" t="inlineStr">
        <is>
          <t>DALARNAS LÄN</t>
        </is>
      </c>
      <c r="E11003" t="inlineStr">
        <is>
          <t>VANSBRO</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23443-2024</t>
        </is>
      </c>
      <c r="B11004" s="1" t="n">
        <v>45453</v>
      </c>
      <c r="C11004" s="1" t="n">
        <v>46114</v>
      </c>
      <c r="D11004" t="inlineStr">
        <is>
          <t>DALARNAS LÄN</t>
        </is>
      </c>
      <c r="E11004" t="inlineStr">
        <is>
          <t>LUDVIKA</t>
        </is>
      </c>
      <c r="F11004" t="inlineStr">
        <is>
          <t>Bergvik skog väst AB</t>
        </is>
      </c>
      <c r="G11004" t="n">
        <v>3.2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21911-2024</t>
        </is>
      </c>
      <c r="B11005" s="1" t="n">
        <v>45443.36738425926</v>
      </c>
      <c r="C11005" s="1" t="n">
        <v>46114</v>
      </c>
      <c r="D11005" t="inlineStr">
        <is>
          <t>DALARNAS LÄN</t>
        </is>
      </c>
      <c r="E11005" t="inlineStr">
        <is>
          <t>SÄTER</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37549-2024</t>
        </is>
      </c>
      <c r="B11006" s="1" t="n">
        <v>45541.43202546296</v>
      </c>
      <c r="C11006" s="1" t="n">
        <v>46114</v>
      </c>
      <c r="D11006" t="inlineStr">
        <is>
          <t>DALARNAS LÄN</t>
        </is>
      </c>
      <c r="E11006" t="inlineStr">
        <is>
          <t>LUDVIKA</t>
        </is>
      </c>
      <c r="F11006" t="inlineStr">
        <is>
          <t>Bergvik skog väst AB</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15925-2024</t>
        </is>
      </c>
      <c r="B11007" s="1" t="n">
        <v>45405.45806712963</v>
      </c>
      <c r="C11007" s="1" t="n">
        <v>46114</v>
      </c>
      <c r="D11007" t="inlineStr">
        <is>
          <t>DALARNAS LÄN</t>
        </is>
      </c>
      <c r="E11007" t="inlineStr">
        <is>
          <t>AVESTA</t>
        </is>
      </c>
      <c r="G11007" t="n">
        <v>13.7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24187-2025</t>
        </is>
      </c>
      <c r="B11008" s="1" t="n">
        <v>45796</v>
      </c>
      <c r="C11008" s="1" t="n">
        <v>46114</v>
      </c>
      <c r="D11008" t="inlineStr">
        <is>
          <t>DALARNAS LÄN</t>
        </is>
      </c>
      <c r="E11008" t="inlineStr">
        <is>
          <t>LEKSAND</t>
        </is>
      </c>
      <c r="G11008" t="n">
        <v>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24188-2025</t>
        </is>
      </c>
      <c r="B11009" s="1" t="n">
        <v>45796</v>
      </c>
      <c r="C11009" s="1" t="n">
        <v>46114</v>
      </c>
      <c r="D11009" t="inlineStr">
        <is>
          <t>DALARNAS LÄN</t>
        </is>
      </c>
      <c r="E11009" t="inlineStr">
        <is>
          <t>LEKSAND</t>
        </is>
      </c>
      <c r="G11009" t="n">
        <v>0.9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24364-2025</t>
        </is>
      </c>
      <c r="B11010" s="1" t="n">
        <v>45797.60143518518</v>
      </c>
      <c r="C11010" s="1" t="n">
        <v>46114</v>
      </c>
      <c r="D11010" t="inlineStr">
        <is>
          <t>DALARNAS LÄN</t>
        </is>
      </c>
      <c r="E11010" t="inlineStr">
        <is>
          <t>MALUNG-SÄLEN</t>
        </is>
      </c>
      <c r="F11010" t="inlineStr">
        <is>
          <t>Bergvik skog öst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9461-2025</t>
        </is>
      </c>
      <c r="B11011" s="1" t="n">
        <v>45715.45341435185</v>
      </c>
      <c r="C11011" s="1" t="n">
        <v>46114</v>
      </c>
      <c r="D11011" t="inlineStr">
        <is>
          <t>DALARNAS LÄN</t>
        </is>
      </c>
      <c r="E11011" t="inlineStr">
        <is>
          <t>MORA</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34928-2022</t>
        </is>
      </c>
      <c r="B11012" s="1" t="n">
        <v>44796.60479166666</v>
      </c>
      <c r="C11012" s="1" t="n">
        <v>46114</v>
      </c>
      <c r="D11012" t="inlineStr">
        <is>
          <t>DALARNAS LÄN</t>
        </is>
      </c>
      <c r="E11012" t="inlineStr">
        <is>
          <t>MORA</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7450-2023</t>
        </is>
      </c>
      <c r="B11013" s="1" t="n">
        <v>44971</v>
      </c>
      <c r="C11013" s="1" t="n">
        <v>46114</v>
      </c>
      <c r="D11013" t="inlineStr">
        <is>
          <t>DALARNAS LÄN</t>
        </is>
      </c>
      <c r="E11013" t="inlineStr">
        <is>
          <t>LEKSAND</t>
        </is>
      </c>
      <c r="G11013" t="n">
        <v>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24235-2025</t>
        </is>
      </c>
      <c r="B11014" s="1" t="n">
        <v>45797.38252314815</v>
      </c>
      <c r="C11014" s="1" t="n">
        <v>46114</v>
      </c>
      <c r="D11014" t="inlineStr">
        <is>
          <t>DALARNAS LÄN</t>
        </is>
      </c>
      <c r="E11014" t="inlineStr">
        <is>
          <t>ORSA</t>
        </is>
      </c>
      <c r="G11014" t="n">
        <v>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34923-2024</t>
        </is>
      </c>
      <c r="B11015" s="1" t="n">
        <v>45527.44208333334</v>
      </c>
      <c r="C11015" s="1" t="n">
        <v>46114</v>
      </c>
      <c r="D11015" t="inlineStr">
        <is>
          <t>DALARNAS LÄN</t>
        </is>
      </c>
      <c r="E11015" t="inlineStr">
        <is>
          <t>SMEDJEBACKEN</t>
        </is>
      </c>
      <c r="F11015" t="inlineStr">
        <is>
          <t>Övriga Aktiebolag</t>
        </is>
      </c>
      <c r="G11015" t="n">
        <v>3.2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23947-2025</t>
        </is>
      </c>
      <c r="B11016" s="1" t="n">
        <v>45796</v>
      </c>
      <c r="C11016" s="1" t="n">
        <v>46114</v>
      </c>
      <c r="D11016" t="inlineStr">
        <is>
          <t>DALARNAS LÄN</t>
        </is>
      </c>
      <c r="E11016" t="inlineStr">
        <is>
          <t>MALUNG-SÄLEN</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49144-2024</t>
        </is>
      </c>
      <c r="B11017" s="1" t="n">
        <v>45594</v>
      </c>
      <c r="C11017" s="1" t="n">
        <v>46114</v>
      </c>
      <c r="D11017" t="inlineStr">
        <is>
          <t>DALARNAS LÄN</t>
        </is>
      </c>
      <c r="E11017" t="inlineStr">
        <is>
          <t>SMEDJEBACKEN</t>
        </is>
      </c>
      <c r="F11017" t="inlineStr">
        <is>
          <t>Bergvik skog väst AB</t>
        </is>
      </c>
      <c r="G11017" t="n">
        <v>16.9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55384-2023</t>
        </is>
      </c>
      <c r="B11018" s="1" t="n">
        <v>45238.36009259259</v>
      </c>
      <c r="C11018" s="1" t="n">
        <v>46114</v>
      </c>
      <c r="D11018" t="inlineStr">
        <is>
          <t>DALARNAS LÄN</t>
        </is>
      </c>
      <c r="E11018" t="inlineStr">
        <is>
          <t>AVESTA</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24164-2025</t>
        </is>
      </c>
      <c r="B11019" s="1" t="n">
        <v>45796.67230324074</v>
      </c>
      <c r="C11019" s="1" t="n">
        <v>46114</v>
      </c>
      <c r="D11019" t="inlineStr">
        <is>
          <t>DALARNAS LÄN</t>
        </is>
      </c>
      <c r="E11019" t="inlineStr">
        <is>
          <t>SMEDJEBACKEN</t>
        </is>
      </c>
      <c r="F11019" t="inlineStr">
        <is>
          <t>Övriga Aktiebolag</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20642-2025</t>
        </is>
      </c>
      <c r="B11020" s="1" t="n">
        <v>45776.37806712963</v>
      </c>
      <c r="C11020" s="1" t="n">
        <v>46114</v>
      </c>
      <c r="D11020" t="inlineStr">
        <is>
          <t>DALARNAS LÄN</t>
        </is>
      </c>
      <c r="E11020" t="inlineStr">
        <is>
          <t>LUDVIKA</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19286-2023</t>
        </is>
      </c>
      <c r="B11021" s="1" t="n">
        <v>45049</v>
      </c>
      <c r="C11021" s="1" t="n">
        <v>46114</v>
      </c>
      <c r="D11021" t="inlineStr">
        <is>
          <t>DALARNAS LÄN</t>
        </is>
      </c>
      <c r="E11021" t="inlineStr">
        <is>
          <t>MORA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61499-2024</t>
        </is>
      </c>
      <c r="B11022" s="1" t="n">
        <v>45646.55732638889</v>
      </c>
      <c r="C11022" s="1" t="n">
        <v>46114</v>
      </c>
      <c r="D11022" t="inlineStr">
        <is>
          <t>DALARNAS LÄN</t>
        </is>
      </c>
      <c r="E11022" t="inlineStr">
        <is>
          <t>GAGNEF</t>
        </is>
      </c>
      <c r="G11022" t="n">
        <v>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7320-2025</t>
        </is>
      </c>
      <c r="B11023" s="1" t="n">
        <v>45702.8528125</v>
      </c>
      <c r="C11023" s="1" t="n">
        <v>46114</v>
      </c>
      <c r="D11023" t="inlineStr">
        <is>
          <t>DALARNAS LÄN</t>
        </is>
      </c>
      <c r="E11023" t="inlineStr">
        <is>
          <t>AVESTA</t>
        </is>
      </c>
      <c r="G11023" t="n">
        <v>1.3</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24230-2025</t>
        </is>
      </c>
      <c r="B11024" s="1" t="n">
        <v>45797.37607638889</v>
      </c>
      <c r="C11024" s="1" t="n">
        <v>46114</v>
      </c>
      <c r="D11024" t="inlineStr">
        <is>
          <t>DALARNAS LÄN</t>
        </is>
      </c>
      <c r="E11024" t="inlineStr">
        <is>
          <t>MORA</t>
        </is>
      </c>
      <c r="G11024" t="n">
        <v>6.8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24259-2025</t>
        </is>
      </c>
      <c r="B11025" s="1" t="n">
        <v>45797.411875</v>
      </c>
      <c r="C11025" s="1" t="n">
        <v>46114</v>
      </c>
      <c r="D11025" t="inlineStr">
        <is>
          <t>DALARNAS LÄN</t>
        </is>
      </c>
      <c r="E11025" t="inlineStr">
        <is>
          <t>MALUNG-SÄLEN</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24280-2025</t>
        </is>
      </c>
      <c r="B11026" s="1" t="n">
        <v>45797.45581018519</v>
      </c>
      <c r="C11026" s="1" t="n">
        <v>46114</v>
      </c>
      <c r="D11026" t="inlineStr">
        <is>
          <t>DALARNAS LÄN</t>
        </is>
      </c>
      <c r="E11026" t="inlineStr">
        <is>
          <t>MORA</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23111-2025</t>
        </is>
      </c>
      <c r="B11027" s="1" t="n">
        <v>45791.36640046296</v>
      </c>
      <c r="C11027" s="1" t="n">
        <v>46114</v>
      </c>
      <c r="D11027" t="inlineStr">
        <is>
          <t>DALARNAS LÄN</t>
        </is>
      </c>
      <c r="E11027" t="inlineStr">
        <is>
          <t>LUDVIKA</t>
        </is>
      </c>
      <c r="F11027" t="inlineStr">
        <is>
          <t>Bergvik skog väst AB</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658-2025</t>
        </is>
      </c>
      <c r="B11028" s="1" t="n">
        <v>45664.67826388889</v>
      </c>
      <c r="C11028" s="1" t="n">
        <v>46114</v>
      </c>
      <c r="D11028" t="inlineStr">
        <is>
          <t>DALARNAS LÄN</t>
        </is>
      </c>
      <c r="E11028" t="inlineStr">
        <is>
          <t>SMEDJEBACKEN</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19468-2025</t>
        </is>
      </c>
      <c r="B11029" s="1" t="n">
        <v>45770</v>
      </c>
      <c r="C11029" s="1" t="n">
        <v>46114</v>
      </c>
      <c r="D11029" t="inlineStr">
        <is>
          <t>DALARNAS LÄN</t>
        </is>
      </c>
      <c r="E11029" t="inlineStr">
        <is>
          <t>BORLÄNGE</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24022-2025</t>
        </is>
      </c>
      <c r="B11030" s="1" t="n">
        <v>45796.45900462963</v>
      </c>
      <c r="C11030" s="1" t="n">
        <v>46114</v>
      </c>
      <c r="D11030" t="inlineStr">
        <is>
          <t>DALARNAS LÄN</t>
        </is>
      </c>
      <c r="E11030" t="inlineStr">
        <is>
          <t>RÄTTVIK</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24027-2025</t>
        </is>
      </c>
      <c r="B11031" s="1" t="n">
        <v>45796</v>
      </c>
      <c r="C11031" s="1" t="n">
        <v>46114</v>
      </c>
      <c r="D11031" t="inlineStr">
        <is>
          <t>DALARNAS LÄN</t>
        </is>
      </c>
      <c r="E11031" t="inlineStr">
        <is>
          <t>LUDVIKA</t>
        </is>
      </c>
      <c r="F11031" t="inlineStr">
        <is>
          <t>Bergvik skog väst AB</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22646-2025</t>
        </is>
      </c>
      <c r="B11032" s="1" t="n">
        <v>45786</v>
      </c>
      <c r="C11032" s="1" t="n">
        <v>46114</v>
      </c>
      <c r="D11032" t="inlineStr">
        <is>
          <t>DALARNAS LÄN</t>
        </is>
      </c>
      <c r="E11032" t="inlineStr">
        <is>
          <t>LEKSAND</t>
        </is>
      </c>
      <c r="F11032" t="inlineStr">
        <is>
          <t>Kommuner</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24195-2025</t>
        </is>
      </c>
      <c r="B11033" s="1" t="n">
        <v>45796.90869212963</v>
      </c>
      <c r="C11033" s="1" t="n">
        <v>46114</v>
      </c>
      <c r="D11033" t="inlineStr">
        <is>
          <t>DALARNAS LÄN</t>
        </is>
      </c>
      <c r="E11033" t="inlineStr">
        <is>
          <t>AVESTA</t>
        </is>
      </c>
      <c r="G11033" t="n">
        <v>0.3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24197-2025</t>
        </is>
      </c>
      <c r="B11034" s="1" t="n">
        <v>45796.91277777778</v>
      </c>
      <c r="C11034" s="1" t="n">
        <v>46114</v>
      </c>
      <c r="D11034" t="inlineStr">
        <is>
          <t>DALARNAS LÄN</t>
        </is>
      </c>
      <c r="E11034" t="inlineStr">
        <is>
          <t>AVESTA</t>
        </is>
      </c>
      <c r="G11034" t="n">
        <v>0.3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24326-2025</t>
        </is>
      </c>
      <c r="B11035" s="1" t="n">
        <v>45797.56228009259</v>
      </c>
      <c r="C11035" s="1" t="n">
        <v>46114</v>
      </c>
      <c r="D11035" t="inlineStr">
        <is>
          <t>DALARNAS LÄN</t>
        </is>
      </c>
      <c r="E11035" t="inlineStr">
        <is>
          <t>MALUNG-SÄLEN</t>
        </is>
      </c>
      <c r="F11035" t="inlineStr">
        <is>
          <t>Bergvik skog öst AB</t>
        </is>
      </c>
      <c r="G11035" t="n">
        <v>0.1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24372-2025</t>
        </is>
      </c>
      <c r="B11036" s="1" t="n">
        <v>45797.61049768519</v>
      </c>
      <c r="C11036" s="1" t="n">
        <v>46114</v>
      </c>
      <c r="D11036" t="inlineStr">
        <is>
          <t>DALARNAS LÄN</t>
        </is>
      </c>
      <c r="E11036" t="inlineStr">
        <is>
          <t>SMEDJEBACKEN</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24177-2025</t>
        </is>
      </c>
      <c r="B11037" s="1" t="n">
        <v>45796.70064814815</v>
      </c>
      <c r="C11037" s="1" t="n">
        <v>46114</v>
      </c>
      <c r="D11037" t="inlineStr">
        <is>
          <t>DALARNAS LÄN</t>
        </is>
      </c>
      <c r="E11037" t="inlineStr">
        <is>
          <t>RÄTTVIK</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35889-2024</t>
        </is>
      </c>
      <c r="B11038" s="1" t="n">
        <v>45533</v>
      </c>
      <c r="C11038" s="1" t="n">
        <v>46114</v>
      </c>
      <c r="D11038" t="inlineStr">
        <is>
          <t>DALARNAS LÄN</t>
        </is>
      </c>
      <c r="E11038" t="inlineStr">
        <is>
          <t>RÄTTVIK</t>
        </is>
      </c>
      <c r="G11038" t="n">
        <v>3.8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58623-2024</t>
        </is>
      </c>
      <c r="B11039" s="1" t="n">
        <v>45635</v>
      </c>
      <c r="C11039" s="1" t="n">
        <v>46114</v>
      </c>
      <c r="D11039" t="inlineStr">
        <is>
          <t>DALARNAS LÄN</t>
        </is>
      </c>
      <c r="E11039" t="inlineStr">
        <is>
          <t>FALUN</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24919-2024</t>
        </is>
      </c>
      <c r="B11040" s="1" t="n">
        <v>45461.60636574074</v>
      </c>
      <c r="C11040" s="1" t="n">
        <v>46114</v>
      </c>
      <c r="D11040" t="inlineStr">
        <is>
          <t>DALARNAS LÄN</t>
        </is>
      </c>
      <c r="E11040" t="inlineStr">
        <is>
          <t>LEKSAND</t>
        </is>
      </c>
      <c r="G11040" t="n">
        <v>9.800000000000001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19183-2025</t>
        </is>
      </c>
      <c r="B11041" s="1" t="n">
        <v>45769</v>
      </c>
      <c r="C11041" s="1" t="n">
        <v>46114</v>
      </c>
      <c r="D11041" t="inlineStr">
        <is>
          <t>DALARNAS LÄN</t>
        </is>
      </c>
      <c r="E11041" t="inlineStr">
        <is>
          <t>MORA</t>
        </is>
      </c>
      <c r="G11041" t="n">
        <v>0.5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24199-2025</t>
        </is>
      </c>
      <c r="B11042" s="1" t="n">
        <v>45796.92254629629</v>
      </c>
      <c r="C11042" s="1" t="n">
        <v>46114</v>
      </c>
      <c r="D11042" t="inlineStr">
        <is>
          <t>DALARNAS LÄN</t>
        </is>
      </c>
      <c r="E11042" t="inlineStr">
        <is>
          <t>AVESTA</t>
        </is>
      </c>
      <c r="G11042" t="n">
        <v>3.5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24202-2025</t>
        </is>
      </c>
      <c r="B11043" s="1" t="n">
        <v>45797</v>
      </c>
      <c r="C11043" s="1" t="n">
        <v>46114</v>
      </c>
      <c r="D11043" t="inlineStr">
        <is>
          <t>DALARNAS LÄN</t>
        </is>
      </c>
      <c r="E11043" t="inlineStr">
        <is>
          <t>FALUN</t>
        </is>
      </c>
      <c r="F11043" t="inlineStr">
        <is>
          <t>Bergvik skog väst AB</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44350-2023</t>
        </is>
      </c>
      <c r="B11044" s="1" t="n">
        <v>45188.73751157407</v>
      </c>
      <c r="C11044" s="1" t="n">
        <v>46114</v>
      </c>
      <c r="D11044" t="inlineStr">
        <is>
          <t>DALARNAS LÄN</t>
        </is>
      </c>
      <c r="E11044" t="inlineStr">
        <is>
          <t>MALUNG-SÄLEN</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56211-2023</t>
        </is>
      </c>
      <c r="B11045" s="1" t="n">
        <v>45240</v>
      </c>
      <c r="C11045" s="1" t="n">
        <v>46114</v>
      </c>
      <c r="D11045" t="inlineStr">
        <is>
          <t>DALARNAS LÄN</t>
        </is>
      </c>
      <c r="E11045" t="inlineStr">
        <is>
          <t>LEKSAND</t>
        </is>
      </c>
      <c r="G11045" t="n">
        <v>1.5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24024-2025</t>
        </is>
      </c>
      <c r="B11046" s="1" t="n">
        <v>45796.46270833333</v>
      </c>
      <c r="C11046" s="1" t="n">
        <v>46114</v>
      </c>
      <c r="D11046" t="inlineStr">
        <is>
          <t>DALARNAS LÄN</t>
        </is>
      </c>
      <c r="E11046" t="inlineStr">
        <is>
          <t>RÄTTVIK</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61877-2024</t>
        </is>
      </c>
      <c r="B11047" s="1" t="n">
        <v>45652.39298611111</v>
      </c>
      <c r="C11047" s="1" t="n">
        <v>46114</v>
      </c>
      <c r="D11047" t="inlineStr">
        <is>
          <t>DALARNAS LÄN</t>
        </is>
      </c>
      <c r="E11047" t="inlineStr">
        <is>
          <t>FALUN</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17970-2025</t>
        </is>
      </c>
      <c r="B11048" s="1" t="n">
        <v>45761.36349537037</v>
      </c>
      <c r="C11048" s="1" t="n">
        <v>46114</v>
      </c>
      <c r="D11048" t="inlineStr">
        <is>
          <t>DALARNAS LÄN</t>
        </is>
      </c>
      <c r="E11048" t="inlineStr">
        <is>
          <t>SMEDJEBACKEN</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23982-2025</t>
        </is>
      </c>
      <c r="B11049" s="1" t="n">
        <v>45796</v>
      </c>
      <c r="C11049" s="1" t="n">
        <v>46114</v>
      </c>
      <c r="D11049" t="inlineStr">
        <is>
          <t>DALARNAS LÄN</t>
        </is>
      </c>
      <c r="E11049" t="inlineStr">
        <is>
          <t>RÄTTVIK</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24783-2025</t>
        </is>
      </c>
      <c r="B11050" s="1" t="n">
        <v>45799</v>
      </c>
      <c r="C11050" s="1" t="n">
        <v>46114</v>
      </c>
      <c r="D11050" t="inlineStr">
        <is>
          <t>DALARNAS LÄN</t>
        </is>
      </c>
      <c r="E11050" t="inlineStr">
        <is>
          <t>LUDVIKA</t>
        </is>
      </c>
      <c r="F11050" t="inlineStr">
        <is>
          <t>Bergvik skog väst AB</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24789-2025</t>
        </is>
      </c>
      <c r="B11051" s="1" t="n">
        <v>45799</v>
      </c>
      <c r="C11051" s="1" t="n">
        <v>46114</v>
      </c>
      <c r="D11051" t="inlineStr">
        <is>
          <t>DALARNAS LÄN</t>
        </is>
      </c>
      <c r="E11051" t="inlineStr">
        <is>
          <t>LUDVIKA</t>
        </is>
      </c>
      <c r="F11051" t="inlineStr">
        <is>
          <t>Bergvik skog väst AB</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24715-2025</t>
        </is>
      </c>
      <c r="B11052" s="1" t="n">
        <v>45798.97899305556</v>
      </c>
      <c r="C11052" s="1" t="n">
        <v>46114</v>
      </c>
      <c r="D11052" t="inlineStr">
        <is>
          <t>DALARNAS LÄN</t>
        </is>
      </c>
      <c r="E11052" t="inlineStr">
        <is>
          <t>LEKSAND</t>
        </is>
      </c>
      <c r="G11052" t="n">
        <v>8.4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24903-2025</t>
        </is>
      </c>
      <c r="B11053" s="1" t="n">
        <v>45799.52755787037</v>
      </c>
      <c r="C11053" s="1" t="n">
        <v>46114</v>
      </c>
      <c r="D11053" t="inlineStr">
        <is>
          <t>DALARNAS LÄN</t>
        </is>
      </c>
      <c r="E11053" t="inlineStr">
        <is>
          <t>RÄTTVIK</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24764-2025</t>
        </is>
      </c>
      <c r="B11054" s="1" t="n">
        <v>45799</v>
      </c>
      <c r="C11054" s="1" t="n">
        <v>46114</v>
      </c>
      <c r="D11054" t="inlineStr">
        <is>
          <t>DALARNAS LÄN</t>
        </is>
      </c>
      <c r="E11054" t="inlineStr">
        <is>
          <t>BORLÄNGE</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23117-2025</t>
        </is>
      </c>
      <c r="B11055" s="1" t="n">
        <v>45791.37006944444</v>
      </c>
      <c r="C11055" s="1" t="n">
        <v>46114</v>
      </c>
      <c r="D11055" t="inlineStr">
        <is>
          <t>DALARNAS LÄN</t>
        </is>
      </c>
      <c r="E11055" t="inlineStr">
        <is>
          <t>LUDVIKA</t>
        </is>
      </c>
      <c r="F11055" t="inlineStr">
        <is>
          <t>Bergvik skog väst AB</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23139-2025</t>
        </is>
      </c>
      <c r="B11056" s="1" t="n">
        <v>45791.3942824074</v>
      </c>
      <c r="C11056" s="1" t="n">
        <v>46114</v>
      </c>
      <c r="D11056" t="inlineStr">
        <is>
          <t>DALARNAS LÄN</t>
        </is>
      </c>
      <c r="E11056" t="inlineStr">
        <is>
          <t>LUDVIKA</t>
        </is>
      </c>
      <c r="F11056" t="inlineStr">
        <is>
          <t>Bergvik skog väst AB</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24628-2025</t>
        </is>
      </c>
      <c r="B11057" s="1" t="n">
        <v>45798.59552083333</v>
      </c>
      <c r="C11057" s="1" t="n">
        <v>46114</v>
      </c>
      <c r="D11057" t="inlineStr">
        <is>
          <t>DALARNAS LÄN</t>
        </is>
      </c>
      <c r="E11057" t="inlineStr">
        <is>
          <t>LUDVIKA</t>
        </is>
      </c>
      <c r="F11057" t="inlineStr">
        <is>
          <t>Bergvik skog väst AB</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24640-2025</t>
        </is>
      </c>
      <c r="B11058" s="1" t="n">
        <v>45798.62243055556</v>
      </c>
      <c r="C11058" s="1" t="n">
        <v>46114</v>
      </c>
      <c r="D11058" t="inlineStr">
        <is>
          <t>DALARNAS LÄN</t>
        </is>
      </c>
      <c r="E11058" t="inlineStr">
        <is>
          <t>MORA</t>
        </is>
      </c>
      <c r="F11058" t="inlineStr">
        <is>
          <t>Bergvik skog väst AB</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24643-2025</t>
        </is>
      </c>
      <c r="B11059" s="1" t="n">
        <v>45798</v>
      </c>
      <c r="C11059" s="1" t="n">
        <v>46114</v>
      </c>
      <c r="D11059" t="inlineStr">
        <is>
          <t>DALARNAS LÄN</t>
        </is>
      </c>
      <c r="E11059" t="inlineStr">
        <is>
          <t>BORLÄNGE</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24645-2025</t>
        </is>
      </c>
      <c r="B11060" s="1" t="n">
        <v>45798</v>
      </c>
      <c r="C11060" s="1" t="n">
        <v>46114</v>
      </c>
      <c r="D11060" t="inlineStr">
        <is>
          <t>DALARNAS LÄN</t>
        </is>
      </c>
      <c r="E11060" t="inlineStr">
        <is>
          <t>BORLÄNGE</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33171-2024</t>
        </is>
      </c>
      <c r="B11061" s="1" t="n">
        <v>45518.42835648148</v>
      </c>
      <c r="C11061" s="1" t="n">
        <v>46114</v>
      </c>
      <c r="D11061" t="inlineStr">
        <is>
          <t>DALARNAS LÄN</t>
        </is>
      </c>
      <c r="E11061" t="inlineStr">
        <is>
          <t>SMEDJEBACKEN</t>
        </is>
      </c>
      <c r="G11061" t="n">
        <v>5.7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62093-2024</t>
        </is>
      </c>
      <c r="B11062" s="1" t="n">
        <v>45656.48398148148</v>
      </c>
      <c r="C11062" s="1" t="n">
        <v>46114</v>
      </c>
      <c r="D11062" t="inlineStr">
        <is>
          <t>DALARNAS LÄN</t>
        </is>
      </c>
      <c r="E11062" t="inlineStr">
        <is>
          <t>AVESTA</t>
        </is>
      </c>
      <c r="G11062" t="n">
        <v>1.9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31387-2024</t>
        </is>
      </c>
      <c r="B11063" s="1" t="n">
        <v>45505.45959490741</v>
      </c>
      <c r="C11063" s="1" t="n">
        <v>46114</v>
      </c>
      <c r="D11063" t="inlineStr">
        <is>
          <t>DALARNAS LÄN</t>
        </is>
      </c>
      <c r="E11063" t="inlineStr">
        <is>
          <t>AVESTA</t>
        </is>
      </c>
      <c r="G11063" t="n">
        <v>2.6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40868-2024</t>
        </is>
      </c>
      <c r="B11064" s="1" t="n">
        <v>45558</v>
      </c>
      <c r="C11064" s="1" t="n">
        <v>46114</v>
      </c>
      <c r="D11064" t="inlineStr">
        <is>
          <t>DALARNAS LÄN</t>
        </is>
      </c>
      <c r="E11064" t="inlineStr">
        <is>
          <t>LEKSAND</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24461-2025</t>
        </is>
      </c>
      <c r="B11065" s="1" t="n">
        <v>45798.35150462963</v>
      </c>
      <c r="C11065" s="1" t="n">
        <v>46114</v>
      </c>
      <c r="D11065" t="inlineStr">
        <is>
          <t>DALARNAS LÄN</t>
        </is>
      </c>
      <c r="E11065" t="inlineStr">
        <is>
          <t>RÄTTVIK</t>
        </is>
      </c>
      <c r="F11065" t="inlineStr">
        <is>
          <t>Bergvik skog väst AB</t>
        </is>
      </c>
      <c r="G11065" t="n">
        <v>15.4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24848-2025</t>
        </is>
      </c>
      <c r="B11066" s="1" t="n">
        <v>45799</v>
      </c>
      <c r="C11066" s="1" t="n">
        <v>46114</v>
      </c>
      <c r="D11066" t="inlineStr">
        <is>
          <t>DALARNAS LÄN</t>
        </is>
      </c>
      <c r="E11066" t="inlineStr">
        <is>
          <t>LUDVIKA</t>
        </is>
      </c>
      <c r="F11066" t="inlineStr">
        <is>
          <t>Bergvik skog väst AB</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24902-2025</t>
        </is>
      </c>
      <c r="B11067" s="1" t="n">
        <v>45799.52506944445</v>
      </c>
      <c r="C11067" s="1" t="n">
        <v>46114</v>
      </c>
      <c r="D11067" t="inlineStr">
        <is>
          <t>DALARNAS LÄN</t>
        </is>
      </c>
      <c r="E11067" t="inlineStr">
        <is>
          <t>RÄTTVIK</t>
        </is>
      </c>
      <c r="G11067" t="n">
        <v>3.8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24522-2025</t>
        </is>
      </c>
      <c r="B11068" s="1" t="n">
        <v>45798</v>
      </c>
      <c r="C11068" s="1" t="n">
        <v>46114</v>
      </c>
      <c r="D11068" t="inlineStr">
        <is>
          <t>DALARNAS LÄN</t>
        </is>
      </c>
      <c r="E11068" t="inlineStr">
        <is>
          <t>VANSBRO</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20437-2024</t>
        </is>
      </c>
      <c r="B11069" s="1" t="n">
        <v>45435</v>
      </c>
      <c r="C11069" s="1" t="n">
        <v>46114</v>
      </c>
      <c r="D11069" t="inlineStr">
        <is>
          <t>DALARNAS LÄN</t>
        </is>
      </c>
      <c r="E11069" t="inlineStr">
        <is>
          <t>FALUN</t>
        </is>
      </c>
      <c r="G11069" t="n">
        <v>1.2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24939-2025</t>
        </is>
      </c>
      <c r="B11070" s="1" t="n">
        <v>45799</v>
      </c>
      <c r="C11070" s="1" t="n">
        <v>46114</v>
      </c>
      <c r="D11070" t="inlineStr">
        <is>
          <t>DALARNAS LÄN</t>
        </is>
      </c>
      <c r="E11070" t="inlineStr">
        <is>
          <t>LUDVIKA</t>
        </is>
      </c>
      <c r="F11070" t="inlineStr">
        <is>
          <t>Bergvik skog väst AB</t>
        </is>
      </c>
      <c r="G11070" t="n">
        <v>15.6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24262-2024</t>
        </is>
      </c>
      <c r="B11071" s="1" t="n">
        <v>45457.4087037037</v>
      </c>
      <c r="C11071" s="1" t="n">
        <v>46114</v>
      </c>
      <c r="D11071" t="inlineStr">
        <is>
          <t>DALARNAS LÄN</t>
        </is>
      </c>
      <c r="E11071" t="inlineStr">
        <is>
          <t>SMEDJEBACKEN</t>
        </is>
      </c>
      <c r="F11071" t="inlineStr">
        <is>
          <t>Sveaskog</t>
        </is>
      </c>
      <c r="G11071" t="n">
        <v>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25294-2024</t>
        </is>
      </c>
      <c r="B11072" s="1" t="n">
        <v>45462.65965277778</v>
      </c>
      <c r="C11072" s="1" t="n">
        <v>46114</v>
      </c>
      <c r="D11072" t="inlineStr">
        <is>
          <t>DALARNAS LÄN</t>
        </is>
      </c>
      <c r="E11072" t="inlineStr">
        <is>
          <t>SÄTER</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30977-2024</t>
        </is>
      </c>
      <c r="B11073" s="1" t="n">
        <v>45499</v>
      </c>
      <c r="C11073" s="1" t="n">
        <v>46114</v>
      </c>
      <c r="D11073" t="inlineStr">
        <is>
          <t>DALARNAS LÄN</t>
        </is>
      </c>
      <c r="E11073" t="inlineStr">
        <is>
          <t>LUDVIKA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24834-2025</t>
        </is>
      </c>
      <c r="B11074" s="1" t="n">
        <v>45799</v>
      </c>
      <c r="C11074" s="1" t="n">
        <v>46114</v>
      </c>
      <c r="D11074" t="inlineStr">
        <is>
          <t>DALARNAS LÄN</t>
        </is>
      </c>
      <c r="E11074" t="inlineStr">
        <is>
          <t>AVESTA</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24950-2025</t>
        </is>
      </c>
      <c r="B11075" s="1" t="n">
        <v>45799.56943287037</v>
      </c>
      <c r="C11075" s="1" t="n">
        <v>46114</v>
      </c>
      <c r="D11075" t="inlineStr">
        <is>
          <t>DALARNAS LÄN</t>
        </is>
      </c>
      <c r="E11075" t="inlineStr">
        <is>
          <t>ÄLVDALEN</t>
        </is>
      </c>
      <c r="F11075" t="inlineStr">
        <is>
          <t>Sveaskog</t>
        </is>
      </c>
      <c r="G11075" t="n">
        <v>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25004-2025</t>
        </is>
      </c>
      <c r="B11076" s="1" t="n">
        <v>45799</v>
      </c>
      <c r="C11076" s="1" t="n">
        <v>46114</v>
      </c>
      <c r="D11076" t="inlineStr">
        <is>
          <t>DALARNAS LÄN</t>
        </is>
      </c>
      <c r="E11076" t="inlineStr">
        <is>
          <t>LUDVIKA</t>
        </is>
      </c>
      <c r="F11076" t="inlineStr">
        <is>
          <t>Bergvik skog väst AB</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24617-2025</t>
        </is>
      </c>
      <c r="B11077" s="1" t="n">
        <v>45798.58796296296</v>
      </c>
      <c r="C11077" s="1" t="n">
        <v>46114</v>
      </c>
      <c r="D11077" t="inlineStr">
        <is>
          <t>DALARNAS LÄN</t>
        </is>
      </c>
      <c r="E11077" t="inlineStr">
        <is>
          <t>MALUNG-SÄLEN</t>
        </is>
      </c>
      <c r="G11077" t="n">
        <v>4.4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24838-2025</t>
        </is>
      </c>
      <c r="B11078" s="1" t="n">
        <v>45799.46366898148</v>
      </c>
      <c r="C11078" s="1" t="n">
        <v>46114</v>
      </c>
      <c r="D11078" t="inlineStr">
        <is>
          <t>DALARNAS LÄN</t>
        </is>
      </c>
      <c r="E11078" t="inlineStr">
        <is>
          <t>AVESTA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24867-2025</t>
        </is>
      </c>
      <c r="B11079" s="1" t="n">
        <v>45799</v>
      </c>
      <c r="C11079" s="1" t="n">
        <v>46114</v>
      </c>
      <c r="D11079" t="inlineStr">
        <is>
          <t>DALARNAS LÄN</t>
        </is>
      </c>
      <c r="E11079" t="inlineStr">
        <is>
          <t>AVESTA</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25021-2025</t>
        </is>
      </c>
      <c r="B11080" s="1" t="n">
        <v>45799.64574074074</v>
      </c>
      <c r="C11080" s="1" t="n">
        <v>46114</v>
      </c>
      <c r="D11080" t="inlineStr">
        <is>
          <t>DALARNAS LÄN</t>
        </is>
      </c>
      <c r="E11080" t="inlineStr">
        <is>
          <t>HEDEMORA</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42060-2024</t>
        </is>
      </c>
      <c r="B11081" s="1" t="n">
        <v>45561.90840277778</v>
      </c>
      <c r="C11081" s="1" t="n">
        <v>46114</v>
      </c>
      <c r="D11081" t="inlineStr">
        <is>
          <t>DALARNAS LÄN</t>
        </is>
      </c>
      <c r="E11081" t="inlineStr">
        <is>
          <t>FALUN</t>
        </is>
      </c>
      <c r="G11081" t="n">
        <v>2.5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12285-2024</t>
        </is>
      </c>
      <c r="B11082" s="1" t="n">
        <v>45377</v>
      </c>
      <c r="C11082" s="1" t="n">
        <v>46114</v>
      </c>
      <c r="D11082" t="inlineStr">
        <is>
          <t>DALARNAS LÄN</t>
        </is>
      </c>
      <c r="E11082" t="inlineStr">
        <is>
          <t>SÄTER</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2767-2024</t>
        </is>
      </c>
      <c r="B11083" s="1" t="n">
        <v>45314.61244212963</v>
      </c>
      <c r="C11083" s="1" t="n">
        <v>46114</v>
      </c>
      <c r="D11083" t="inlineStr">
        <is>
          <t>DALARNAS LÄN</t>
        </is>
      </c>
      <c r="E11083" t="inlineStr">
        <is>
          <t>FALUN</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24443-2025</t>
        </is>
      </c>
      <c r="B11084" s="1" t="n">
        <v>45798</v>
      </c>
      <c r="C11084" s="1" t="n">
        <v>46114</v>
      </c>
      <c r="D11084" t="inlineStr">
        <is>
          <t>DALARNAS LÄN</t>
        </is>
      </c>
      <c r="E11084" t="inlineStr">
        <is>
          <t>FALUN</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24697-2025</t>
        </is>
      </c>
      <c r="B11085" s="1" t="n">
        <v>45798</v>
      </c>
      <c r="C11085" s="1" t="n">
        <v>46114</v>
      </c>
      <c r="D11085" t="inlineStr">
        <is>
          <t>DALARNAS LÄN</t>
        </is>
      </c>
      <c r="E11085" t="inlineStr">
        <is>
          <t>LUDVIKA</t>
        </is>
      </c>
      <c r="F11085" t="inlineStr">
        <is>
          <t>Bergvik skog väst AB</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24845-2025</t>
        </is>
      </c>
      <c r="B11086" s="1" t="n">
        <v>45799</v>
      </c>
      <c r="C11086" s="1" t="n">
        <v>46114</v>
      </c>
      <c r="D11086" t="inlineStr">
        <is>
          <t>DALARNAS LÄN</t>
        </is>
      </c>
      <c r="E11086" t="inlineStr">
        <is>
          <t>AVESTA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24947-2025</t>
        </is>
      </c>
      <c r="B11087" s="1" t="n">
        <v>45799.56524305556</v>
      </c>
      <c r="C11087" s="1" t="n">
        <v>46114</v>
      </c>
      <c r="D11087" t="inlineStr">
        <is>
          <t>DALARNAS LÄN</t>
        </is>
      </c>
      <c r="E11087" t="inlineStr">
        <is>
          <t>MORA</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24969-2025</t>
        </is>
      </c>
      <c r="B11088" s="1" t="n">
        <v>45799</v>
      </c>
      <c r="C11088" s="1" t="n">
        <v>46114</v>
      </c>
      <c r="D11088" t="inlineStr">
        <is>
          <t>DALARNAS LÄN</t>
        </is>
      </c>
      <c r="E11088" t="inlineStr">
        <is>
          <t>ORSA</t>
        </is>
      </c>
      <c r="F11088" t="inlineStr">
        <is>
          <t>Allmännings- och besparingsskogar</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24630-2025</t>
        </is>
      </c>
      <c r="B11089" s="1" t="n">
        <v>45798.6003587963</v>
      </c>
      <c r="C11089" s="1" t="n">
        <v>46114</v>
      </c>
      <c r="D11089" t="inlineStr">
        <is>
          <t>DALARNAS LÄN</t>
        </is>
      </c>
      <c r="E11089" t="inlineStr">
        <is>
          <t>MORA</t>
        </is>
      </c>
      <c r="F11089" t="inlineStr">
        <is>
          <t>Bergvik skog väst AB</t>
        </is>
      </c>
      <c r="G11089" t="n">
        <v>10.4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24637-2025</t>
        </is>
      </c>
      <c r="B11090" s="1" t="n">
        <v>45798.616875</v>
      </c>
      <c r="C11090" s="1" t="n">
        <v>46114</v>
      </c>
      <c r="D11090" t="inlineStr">
        <is>
          <t>DALARNAS LÄN</t>
        </is>
      </c>
      <c r="E11090" t="inlineStr">
        <is>
          <t>ÄLVDALEN</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24641-2025</t>
        </is>
      </c>
      <c r="B11091" s="1" t="n">
        <v>45798</v>
      </c>
      <c r="C11091" s="1" t="n">
        <v>46114</v>
      </c>
      <c r="D11091" t="inlineStr">
        <is>
          <t>DALARNAS LÄN</t>
        </is>
      </c>
      <c r="E11091" t="inlineStr">
        <is>
          <t>BORLÄNGE</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24573-2025</t>
        </is>
      </c>
      <c r="B11092" s="1" t="n">
        <v>45798</v>
      </c>
      <c r="C11092" s="1" t="n">
        <v>46114</v>
      </c>
      <c r="D11092" t="inlineStr">
        <is>
          <t>DALARNAS LÄN</t>
        </is>
      </c>
      <c r="E11092" t="inlineStr">
        <is>
          <t>RÄTTVIK</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24960-2025</t>
        </is>
      </c>
      <c r="B11093" s="1" t="n">
        <v>45799.57666666667</v>
      </c>
      <c r="C11093" s="1" t="n">
        <v>46114</v>
      </c>
      <c r="D11093" t="inlineStr">
        <is>
          <t>DALARNAS LÄN</t>
        </is>
      </c>
      <c r="E11093" t="inlineStr">
        <is>
          <t>MORA</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24968-2025</t>
        </is>
      </c>
      <c r="B11094" s="1" t="n">
        <v>45799.58537037037</v>
      </c>
      <c r="C11094" s="1" t="n">
        <v>46114</v>
      </c>
      <c r="D11094" t="inlineStr">
        <is>
          <t>DALARNAS LÄN</t>
        </is>
      </c>
      <c r="E11094" t="inlineStr">
        <is>
          <t>MALUNG-SÄLEN</t>
        </is>
      </c>
      <c r="G11094" t="n">
        <v>5.5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24811-2025</t>
        </is>
      </c>
      <c r="B11095" s="1" t="n">
        <v>45799</v>
      </c>
      <c r="C11095" s="1" t="n">
        <v>46114</v>
      </c>
      <c r="D11095" t="inlineStr">
        <is>
          <t>DALARNAS LÄN</t>
        </is>
      </c>
      <c r="E11095" t="inlineStr">
        <is>
          <t>RÄTTVIK</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45568-2024</t>
        </is>
      </c>
      <c r="B11096" s="1" t="n">
        <v>45578</v>
      </c>
      <c r="C11096" s="1" t="n">
        <v>46114</v>
      </c>
      <c r="D11096" t="inlineStr">
        <is>
          <t>DALARNAS LÄN</t>
        </is>
      </c>
      <c r="E11096" t="inlineStr">
        <is>
          <t>SMEDJEBACKEN</t>
        </is>
      </c>
      <c r="F11096" t="inlineStr">
        <is>
          <t>Bergvik skog väst AB</t>
        </is>
      </c>
      <c r="G11096" t="n">
        <v>9.1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24642-2025</t>
        </is>
      </c>
      <c r="B11097" s="1" t="n">
        <v>45798.62894675926</v>
      </c>
      <c r="C11097" s="1" t="n">
        <v>46114</v>
      </c>
      <c r="D11097" t="inlineStr">
        <is>
          <t>DALARNAS LÄN</t>
        </is>
      </c>
      <c r="E11097" t="inlineStr">
        <is>
          <t>MORA</t>
        </is>
      </c>
      <c r="F11097" t="inlineStr">
        <is>
          <t>Bergvik skog väst AB</t>
        </is>
      </c>
      <c r="G11097" t="n">
        <v>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24689-2025</t>
        </is>
      </c>
      <c r="B11098" s="1" t="n">
        <v>45798.66893518518</v>
      </c>
      <c r="C11098" s="1" t="n">
        <v>46114</v>
      </c>
      <c r="D11098" t="inlineStr">
        <is>
          <t>DALARNAS LÄN</t>
        </is>
      </c>
      <c r="E11098" t="inlineStr">
        <is>
          <t>FALUN</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24696-2025</t>
        </is>
      </c>
      <c r="B11099" s="1" t="n">
        <v>45798</v>
      </c>
      <c r="C11099" s="1" t="n">
        <v>46114</v>
      </c>
      <c r="D11099" t="inlineStr">
        <is>
          <t>DALARNAS LÄN</t>
        </is>
      </c>
      <c r="E11099" t="inlineStr">
        <is>
          <t>LUDVIKA</t>
        </is>
      </c>
      <c r="F11099" t="inlineStr">
        <is>
          <t>Bergvik skog väst AB</t>
        </is>
      </c>
      <c r="G11099" t="n">
        <v>7.1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25371-2025</t>
        </is>
      </c>
      <c r="B11100" s="1" t="n">
        <v>45800.63150462963</v>
      </c>
      <c r="C11100" s="1" t="n">
        <v>46114</v>
      </c>
      <c r="D11100" t="inlineStr">
        <is>
          <t>DALARNAS LÄN</t>
        </is>
      </c>
      <c r="E11100" t="inlineStr">
        <is>
          <t>FALUN</t>
        </is>
      </c>
      <c r="F11100" t="inlineStr">
        <is>
          <t>Bergvik skog väst AB</t>
        </is>
      </c>
      <c r="G11100" t="n">
        <v>19.1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19397-2024</t>
        </is>
      </c>
      <c r="B11101" s="1" t="n">
        <v>45429.38474537037</v>
      </c>
      <c r="C11101" s="1" t="n">
        <v>46114</v>
      </c>
      <c r="D11101" t="inlineStr">
        <is>
          <t>DALARNAS LÄN</t>
        </is>
      </c>
      <c r="E11101" t="inlineStr">
        <is>
          <t>HEDEMORA</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40409-2024</t>
        </is>
      </c>
      <c r="B11102" s="1" t="n">
        <v>45555.45337962963</v>
      </c>
      <c r="C11102" s="1" t="n">
        <v>46114</v>
      </c>
      <c r="D11102" t="inlineStr">
        <is>
          <t>DALARNAS LÄN</t>
        </is>
      </c>
      <c r="E11102" t="inlineStr">
        <is>
          <t>RÄTTVIK</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25611-2025</t>
        </is>
      </c>
      <c r="B11103" s="1" t="n">
        <v>45803</v>
      </c>
      <c r="C11103" s="1" t="n">
        <v>46114</v>
      </c>
      <c r="D11103" t="inlineStr">
        <is>
          <t>DALARNAS LÄN</t>
        </is>
      </c>
      <c r="E11103" t="inlineStr">
        <is>
          <t>BORLÄNGE</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25646-2025</t>
        </is>
      </c>
      <c r="B11104" s="1" t="n">
        <v>45803.60725694444</v>
      </c>
      <c r="C11104" s="1" t="n">
        <v>46114</v>
      </c>
      <c r="D11104" t="inlineStr">
        <is>
          <t>DALARNAS LÄN</t>
        </is>
      </c>
      <c r="E11104" t="inlineStr">
        <is>
          <t>AVESTA</t>
        </is>
      </c>
      <c r="G11104" t="n">
        <v>7.3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25619-2025</t>
        </is>
      </c>
      <c r="B11105" s="1" t="n">
        <v>45803</v>
      </c>
      <c r="C11105" s="1" t="n">
        <v>46114</v>
      </c>
      <c r="D11105" t="inlineStr">
        <is>
          <t>DALARNAS LÄN</t>
        </is>
      </c>
      <c r="E11105" t="inlineStr">
        <is>
          <t>LUDVIKA</t>
        </is>
      </c>
      <c r="F11105" t="inlineStr">
        <is>
          <t>Bergvik skog väst AB</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25625-2025</t>
        </is>
      </c>
      <c r="B11106" s="1" t="n">
        <v>45803.58059027778</v>
      </c>
      <c r="C11106" s="1" t="n">
        <v>46114</v>
      </c>
      <c r="D11106" t="inlineStr">
        <is>
          <t>DALARNAS LÄN</t>
        </is>
      </c>
      <c r="E11106" t="inlineStr">
        <is>
          <t>RÄTTVIK</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25086-2025</t>
        </is>
      </c>
      <c r="B11107" s="1" t="n">
        <v>45800</v>
      </c>
      <c r="C11107" s="1" t="n">
        <v>46114</v>
      </c>
      <c r="D11107" t="inlineStr">
        <is>
          <t>DALARNAS LÄN</t>
        </is>
      </c>
      <c r="E11107" t="inlineStr">
        <is>
          <t>ÄLVDALEN</t>
        </is>
      </c>
      <c r="F11107" t="inlineStr">
        <is>
          <t>Sveaskog</t>
        </is>
      </c>
      <c r="G11107" t="n">
        <v>10.7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25658-2025</t>
        </is>
      </c>
      <c r="B11108" s="1" t="n">
        <v>45803.61549768518</v>
      </c>
      <c r="C11108" s="1" t="n">
        <v>46114</v>
      </c>
      <c r="D11108" t="inlineStr">
        <is>
          <t>DALARNAS LÄN</t>
        </is>
      </c>
      <c r="E11108" t="inlineStr">
        <is>
          <t>AVESTA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25644-2025</t>
        </is>
      </c>
      <c r="B11109" s="1" t="n">
        <v>45803</v>
      </c>
      <c r="C11109" s="1" t="n">
        <v>46114</v>
      </c>
      <c r="D11109" t="inlineStr">
        <is>
          <t>DALARNAS LÄN</t>
        </is>
      </c>
      <c r="E11109" t="inlineStr">
        <is>
          <t>LUDVIKA</t>
        </is>
      </c>
      <c r="F11109" t="inlineStr">
        <is>
          <t>Bergvik skog väst AB</t>
        </is>
      </c>
      <c r="G11109" t="n">
        <v>8.300000000000001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25610-2025</t>
        </is>
      </c>
      <c r="B11110" s="1" t="n">
        <v>45803.56033564815</v>
      </c>
      <c r="C11110" s="1" t="n">
        <v>46114</v>
      </c>
      <c r="D11110" t="inlineStr">
        <is>
          <t>DALARNAS LÄN</t>
        </is>
      </c>
      <c r="E11110" t="inlineStr">
        <is>
          <t>LEKSAND</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25627-2025</t>
        </is>
      </c>
      <c r="B11111" s="1" t="n">
        <v>45803</v>
      </c>
      <c r="C11111" s="1" t="n">
        <v>46114</v>
      </c>
      <c r="D11111" t="inlineStr">
        <is>
          <t>DALARNAS LÄN</t>
        </is>
      </c>
      <c r="E11111" t="inlineStr">
        <is>
          <t>LUDVIKA</t>
        </is>
      </c>
      <c r="F11111" t="inlineStr">
        <is>
          <t>Bergvik skog väst AB</t>
        </is>
      </c>
      <c r="G11111" t="n">
        <v>7.7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2216-2025</t>
        </is>
      </c>
      <c r="B11112" s="1" t="n">
        <v>45673.44138888889</v>
      </c>
      <c r="C11112" s="1" t="n">
        <v>46114</v>
      </c>
      <c r="D11112" t="inlineStr">
        <is>
          <t>DALARNAS LÄN</t>
        </is>
      </c>
      <c r="E11112" t="inlineStr">
        <is>
          <t>MALUNG-SÄLEN</t>
        </is>
      </c>
      <c r="G11112" t="n">
        <v>4.1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25140-2025</t>
        </is>
      </c>
      <c r="B11113" s="1" t="n">
        <v>45800</v>
      </c>
      <c r="C11113" s="1" t="n">
        <v>46114</v>
      </c>
      <c r="D11113" t="inlineStr">
        <is>
          <t>DALARNAS LÄN</t>
        </is>
      </c>
      <c r="E11113" t="inlineStr">
        <is>
          <t>LUDVIKA</t>
        </is>
      </c>
      <c r="F11113" t="inlineStr">
        <is>
          <t>Bergvik skog väst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10940-2025</t>
        </is>
      </c>
      <c r="B11114" s="1" t="n">
        <v>45723</v>
      </c>
      <c r="C11114" s="1" t="n">
        <v>46114</v>
      </c>
      <c r="D11114" t="inlineStr">
        <is>
          <t>DALARNAS LÄN</t>
        </is>
      </c>
      <c r="E11114" t="inlineStr">
        <is>
          <t>FALUN</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25105-2025</t>
        </is>
      </c>
      <c r="B11115" s="1" t="n">
        <v>45800.34751157407</v>
      </c>
      <c r="C11115" s="1" t="n">
        <v>46114</v>
      </c>
      <c r="D11115" t="inlineStr">
        <is>
          <t>DALARNAS LÄN</t>
        </is>
      </c>
      <c r="E11115" t="inlineStr">
        <is>
          <t>LEKSAND</t>
        </is>
      </c>
      <c r="F11115" t="inlineStr">
        <is>
          <t>Bergvik skog väst AB</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25397-2025</t>
        </is>
      </c>
      <c r="B11116" s="1" t="n">
        <v>45800.6515162037</v>
      </c>
      <c r="C11116" s="1" t="n">
        <v>46114</v>
      </c>
      <c r="D11116" t="inlineStr">
        <is>
          <t>DALARNAS LÄN</t>
        </is>
      </c>
      <c r="E11116" t="inlineStr">
        <is>
          <t>AVESTA</t>
        </is>
      </c>
      <c r="G11116" t="n">
        <v>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11630-2024</t>
        </is>
      </c>
      <c r="B11117" s="1" t="n">
        <v>45373.45642361111</v>
      </c>
      <c r="C11117" s="1" t="n">
        <v>46114</v>
      </c>
      <c r="D11117" t="inlineStr">
        <is>
          <t>DALARNAS LÄN</t>
        </is>
      </c>
      <c r="E11117" t="inlineStr">
        <is>
          <t>RÄTTVIK</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25494-2025</t>
        </is>
      </c>
      <c r="B11118" s="1" t="n">
        <v>45803.33614583333</v>
      </c>
      <c r="C11118" s="1" t="n">
        <v>46114</v>
      </c>
      <c r="D11118" t="inlineStr">
        <is>
          <t>DALARNAS LÄN</t>
        </is>
      </c>
      <c r="E11118" t="inlineStr">
        <is>
          <t>VANSBRO</t>
        </is>
      </c>
      <c r="F11118" t="inlineStr">
        <is>
          <t>Bergvik skog väst AB</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25133-2025</t>
        </is>
      </c>
      <c r="B11119" s="1" t="n">
        <v>45800</v>
      </c>
      <c r="C11119" s="1" t="n">
        <v>46114</v>
      </c>
      <c r="D11119" t="inlineStr">
        <is>
          <t>DALARNAS LÄN</t>
        </is>
      </c>
      <c r="E11119" t="inlineStr">
        <is>
          <t>LUDVIKA</t>
        </is>
      </c>
      <c r="G11119" t="n">
        <v>4.1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25553-2025</t>
        </is>
      </c>
      <c r="B11120" s="1" t="n">
        <v>45803.44761574074</v>
      </c>
      <c r="C11120" s="1" t="n">
        <v>46114</v>
      </c>
      <c r="D11120" t="inlineStr">
        <is>
          <t>DALARNAS LÄN</t>
        </is>
      </c>
      <c r="E11120" t="inlineStr">
        <is>
          <t>RÄTTVIK</t>
        </is>
      </c>
      <c r="F11120" t="inlineStr">
        <is>
          <t>Bergvik skog väst AB</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25559-2025</t>
        </is>
      </c>
      <c r="B11121" s="1" t="n">
        <v>45803.45435185185</v>
      </c>
      <c r="C11121" s="1" t="n">
        <v>46114</v>
      </c>
      <c r="D11121" t="inlineStr">
        <is>
          <t>DALARNAS LÄN</t>
        </is>
      </c>
      <c r="E11121" t="inlineStr">
        <is>
          <t>RÄTTVIK</t>
        </is>
      </c>
      <c r="F11121" t="inlineStr">
        <is>
          <t>Sveaskog</t>
        </is>
      </c>
      <c r="G11121" t="n">
        <v>9.699999999999999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25563-2025</t>
        </is>
      </c>
      <c r="B11122" s="1" t="n">
        <v>45803.45581018519</v>
      </c>
      <c r="C11122" s="1" t="n">
        <v>46114</v>
      </c>
      <c r="D11122" t="inlineStr">
        <is>
          <t>DALARNAS LÄN</t>
        </is>
      </c>
      <c r="E11122" t="inlineStr">
        <is>
          <t>RÄTTVIK</t>
        </is>
      </c>
      <c r="F11122" t="inlineStr">
        <is>
          <t>Bergvik skog väst AB</t>
        </is>
      </c>
      <c r="G11122" t="n">
        <v>11.4</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54398-2021</t>
        </is>
      </c>
      <c r="B11123" s="1" t="n">
        <v>44473.39252314815</v>
      </c>
      <c r="C11123" s="1" t="n">
        <v>46114</v>
      </c>
      <c r="D11123" t="inlineStr">
        <is>
          <t>DALARNAS LÄN</t>
        </is>
      </c>
      <c r="E11123" t="inlineStr">
        <is>
          <t>MORA</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25567-2025</t>
        </is>
      </c>
      <c r="B11124" s="1" t="n">
        <v>45803.45840277777</v>
      </c>
      <c r="C11124" s="1" t="n">
        <v>46114</v>
      </c>
      <c r="D11124" t="inlineStr">
        <is>
          <t>DALARNAS LÄN</t>
        </is>
      </c>
      <c r="E11124" t="inlineStr">
        <is>
          <t>RÄTTVIK</t>
        </is>
      </c>
      <c r="F11124" t="inlineStr">
        <is>
          <t>Sveaskog</t>
        </is>
      </c>
      <c r="G11124" t="n">
        <v>3.5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25548-2025</t>
        </is>
      </c>
      <c r="B11125" s="1" t="n">
        <v>45803.44173611111</v>
      </c>
      <c r="C11125" s="1" t="n">
        <v>46114</v>
      </c>
      <c r="D11125" t="inlineStr">
        <is>
          <t>DALARNAS LÄN</t>
        </is>
      </c>
      <c r="E11125" t="inlineStr">
        <is>
          <t>RÄTTVIK</t>
        </is>
      </c>
      <c r="F11125" t="inlineStr">
        <is>
          <t>Bergvik skog väst AB</t>
        </is>
      </c>
      <c r="G11125" t="n">
        <v>6.8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25211-2025</t>
        </is>
      </c>
      <c r="B11126" s="1" t="n">
        <v>45800.46965277778</v>
      </c>
      <c r="C11126" s="1" t="n">
        <v>46114</v>
      </c>
      <c r="D11126" t="inlineStr">
        <is>
          <t>DALARNAS LÄN</t>
        </is>
      </c>
      <c r="E11126" t="inlineStr">
        <is>
          <t>ORSA</t>
        </is>
      </c>
      <c r="F11126" t="inlineStr">
        <is>
          <t>Bergvik skog öst AB</t>
        </is>
      </c>
      <c r="G11126" t="n">
        <v>0.7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25277-2025</t>
        </is>
      </c>
      <c r="B11127" s="1" t="n">
        <v>45800</v>
      </c>
      <c r="C11127" s="1" t="n">
        <v>46114</v>
      </c>
      <c r="D11127" t="inlineStr">
        <is>
          <t>DALARNAS LÄN</t>
        </is>
      </c>
      <c r="E11127" t="inlineStr">
        <is>
          <t>LUDVIKA</t>
        </is>
      </c>
      <c r="F11127" t="inlineStr">
        <is>
          <t>Bergvik skog väst AB</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25113-2025</t>
        </is>
      </c>
      <c r="B11128" s="1" t="n">
        <v>45800</v>
      </c>
      <c r="C11128" s="1" t="n">
        <v>46114</v>
      </c>
      <c r="D11128" t="inlineStr">
        <is>
          <t>DALARNAS LÄN</t>
        </is>
      </c>
      <c r="E11128" t="inlineStr">
        <is>
          <t>LUDVIKA</t>
        </is>
      </c>
      <c r="F11128" t="inlineStr">
        <is>
          <t>Bergvik skog väst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25118-2025</t>
        </is>
      </c>
      <c r="B11129" s="1" t="n">
        <v>45800</v>
      </c>
      <c r="C11129" s="1" t="n">
        <v>46114</v>
      </c>
      <c r="D11129" t="inlineStr">
        <is>
          <t>DALARNAS LÄN</t>
        </is>
      </c>
      <c r="E11129" t="inlineStr">
        <is>
          <t>FALUN</t>
        </is>
      </c>
      <c r="F11129" t="inlineStr">
        <is>
          <t>Bergvik skog väst AB</t>
        </is>
      </c>
      <c r="G11129" t="n">
        <v>6.1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25665-2025</t>
        </is>
      </c>
      <c r="B11130" s="1" t="n">
        <v>45803.62076388889</v>
      </c>
      <c r="C11130" s="1" t="n">
        <v>46114</v>
      </c>
      <c r="D11130" t="inlineStr">
        <is>
          <t>DALARNAS LÄN</t>
        </is>
      </c>
      <c r="E11130" t="inlineStr">
        <is>
          <t>AVESTA</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61657-2023</t>
        </is>
      </c>
      <c r="B11131" s="1" t="n">
        <v>45265</v>
      </c>
      <c r="C11131" s="1" t="n">
        <v>46114</v>
      </c>
      <c r="D11131" t="inlineStr">
        <is>
          <t>DALARNAS LÄN</t>
        </is>
      </c>
      <c r="E11131" t="inlineStr">
        <is>
          <t>AVESTA</t>
        </is>
      </c>
      <c r="G11131" t="n">
        <v>7.6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25235-2025</t>
        </is>
      </c>
      <c r="B11132" s="1" t="n">
        <v>45800</v>
      </c>
      <c r="C11132" s="1" t="n">
        <v>46114</v>
      </c>
      <c r="D11132" t="inlineStr">
        <is>
          <t>DALARNAS LÄN</t>
        </is>
      </c>
      <c r="E11132" t="inlineStr">
        <is>
          <t>LUDVIKA</t>
        </is>
      </c>
      <c r="F11132" t="inlineStr">
        <is>
          <t>Bergvik skog väst AB</t>
        </is>
      </c>
      <c r="G11132" t="n">
        <v>2.3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25150-2025</t>
        </is>
      </c>
      <c r="B11133" s="1" t="n">
        <v>45800</v>
      </c>
      <c r="C11133" s="1" t="n">
        <v>46114</v>
      </c>
      <c r="D11133" t="inlineStr">
        <is>
          <t>DALARNAS LÄN</t>
        </is>
      </c>
      <c r="E11133" t="inlineStr">
        <is>
          <t>LUDVIKA</t>
        </is>
      </c>
      <c r="F11133" t="inlineStr">
        <is>
          <t>Bergvik skog väst AB</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25096-2025</t>
        </is>
      </c>
      <c r="B11134" s="1" t="n">
        <v>45800.33868055556</v>
      </c>
      <c r="C11134" s="1" t="n">
        <v>46114</v>
      </c>
      <c r="D11134" t="inlineStr">
        <is>
          <t>DALARNAS LÄN</t>
        </is>
      </c>
      <c r="E11134" t="inlineStr">
        <is>
          <t>LEKSAND</t>
        </is>
      </c>
      <c r="F11134" t="inlineStr">
        <is>
          <t>Bergvik skog väst AB</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25157-2025</t>
        </is>
      </c>
      <c r="B11135" s="1" t="n">
        <v>45800</v>
      </c>
      <c r="C11135" s="1" t="n">
        <v>46114</v>
      </c>
      <c r="D11135" t="inlineStr">
        <is>
          <t>DALARNAS LÄN</t>
        </is>
      </c>
      <c r="E11135" t="inlineStr">
        <is>
          <t>LUDVIKA</t>
        </is>
      </c>
      <c r="F11135" t="inlineStr">
        <is>
          <t>Bergvik skog väst AB</t>
        </is>
      </c>
      <c r="G11135" t="n">
        <v>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25160-2025</t>
        </is>
      </c>
      <c r="B11136" s="1" t="n">
        <v>45800</v>
      </c>
      <c r="C11136" s="1" t="n">
        <v>46114</v>
      </c>
      <c r="D11136" t="inlineStr">
        <is>
          <t>DALARNAS LÄN</t>
        </is>
      </c>
      <c r="E11136" t="inlineStr">
        <is>
          <t>SMEDJEBACKEN</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16878-2025</t>
        </is>
      </c>
      <c r="B11137" s="1" t="n">
        <v>45755.29123842593</v>
      </c>
      <c r="C11137" s="1" t="n">
        <v>46114</v>
      </c>
      <c r="D11137" t="inlineStr">
        <is>
          <t>DALARNAS LÄN</t>
        </is>
      </c>
      <c r="E11137" t="inlineStr">
        <is>
          <t>RÄTTVIK</t>
        </is>
      </c>
      <c r="G11137" t="n">
        <v>2.9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25141-2025</t>
        </is>
      </c>
      <c r="B11138" s="1" t="n">
        <v>45800.41166666667</v>
      </c>
      <c r="C11138" s="1" t="n">
        <v>46114</v>
      </c>
      <c r="D11138" t="inlineStr">
        <is>
          <t>DALARNAS LÄN</t>
        </is>
      </c>
      <c r="E11138" t="inlineStr">
        <is>
          <t>MALUNG-SÄLEN</t>
        </is>
      </c>
      <c r="F11138" t="inlineStr">
        <is>
          <t>Bergvik skog öst AB</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25146-2025</t>
        </is>
      </c>
      <c r="B11139" s="1" t="n">
        <v>45800.41847222222</v>
      </c>
      <c r="C11139" s="1" t="n">
        <v>46114</v>
      </c>
      <c r="D11139" t="inlineStr">
        <is>
          <t>DALARNAS LÄN</t>
        </is>
      </c>
      <c r="E11139" t="inlineStr">
        <is>
          <t>MALUNG-SÄLEN</t>
        </is>
      </c>
      <c r="F11139" t="inlineStr">
        <is>
          <t>Bergvik skog öst AB</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31255-2023</t>
        </is>
      </c>
      <c r="B11140" s="1" t="n">
        <v>45114.36729166667</v>
      </c>
      <c r="C11140" s="1" t="n">
        <v>46114</v>
      </c>
      <c r="D11140" t="inlineStr">
        <is>
          <t>DALARNAS LÄN</t>
        </is>
      </c>
      <c r="E11140" t="inlineStr">
        <is>
          <t>LEKSAND</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25759-2025</t>
        </is>
      </c>
      <c r="B11141" s="1" t="n">
        <v>45804.33391203704</v>
      </c>
      <c r="C11141" s="1" t="n">
        <v>46114</v>
      </c>
      <c r="D11141" t="inlineStr">
        <is>
          <t>DALARNAS LÄN</t>
        </is>
      </c>
      <c r="E11141" t="inlineStr">
        <is>
          <t>MALUNG-SÄLEN</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25763-2025</t>
        </is>
      </c>
      <c r="B11142" s="1" t="n">
        <v>45804.33924768519</v>
      </c>
      <c r="C11142" s="1" t="n">
        <v>46114</v>
      </c>
      <c r="D11142" t="inlineStr">
        <is>
          <t>DALARNAS LÄN</t>
        </is>
      </c>
      <c r="E11142" t="inlineStr">
        <is>
          <t>MALUNG-SÄLEN</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25777-2025</t>
        </is>
      </c>
      <c r="B11143" s="1" t="n">
        <v>45804.35850694445</v>
      </c>
      <c r="C11143" s="1" t="n">
        <v>46114</v>
      </c>
      <c r="D11143" t="inlineStr">
        <is>
          <t>DALARNAS LÄN</t>
        </is>
      </c>
      <c r="E11143" t="inlineStr">
        <is>
          <t>MALUNG-SÄLEN</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25766-2025</t>
        </is>
      </c>
      <c r="B11144" s="1" t="n">
        <v>45804.34329861111</v>
      </c>
      <c r="C11144" s="1" t="n">
        <v>46114</v>
      </c>
      <c r="D11144" t="inlineStr">
        <is>
          <t>DALARNAS LÄN</t>
        </is>
      </c>
      <c r="E11144" t="inlineStr">
        <is>
          <t>MALUNG-SÄLEN</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18817-2023</t>
        </is>
      </c>
      <c r="B11145" s="1" t="n">
        <v>45043</v>
      </c>
      <c r="C11145" s="1" t="n">
        <v>46114</v>
      </c>
      <c r="D11145" t="inlineStr">
        <is>
          <t>DALARNAS LÄN</t>
        </is>
      </c>
      <c r="E11145" t="inlineStr">
        <is>
          <t>ORSA</t>
        </is>
      </c>
      <c r="G11145" t="n">
        <v>4.4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25858-2025</t>
        </is>
      </c>
      <c r="B11146" s="1" t="n">
        <v>45804.47033564815</v>
      </c>
      <c r="C11146" s="1" t="n">
        <v>46114</v>
      </c>
      <c r="D11146" t="inlineStr">
        <is>
          <t>DALARNAS LÄN</t>
        </is>
      </c>
      <c r="E11146" t="inlineStr">
        <is>
          <t>MALUNG-SÄLEN</t>
        </is>
      </c>
      <c r="F11146" t="inlineStr">
        <is>
          <t>Allmännings- och besparingsskogar</t>
        </is>
      </c>
      <c r="G11146" t="n">
        <v>7.2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26000-2025</t>
        </is>
      </c>
      <c r="B11147" s="1" t="n">
        <v>45804.66270833334</v>
      </c>
      <c r="C11147" s="1" t="n">
        <v>46114</v>
      </c>
      <c r="D11147" t="inlineStr">
        <is>
          <t>DALARNAS LÄN</t>
        </is>
      </c>
      <c r="E11147" t="inlineStr">
        <is>
          <t>SMEDJEBACKEN</t>
        </is>
      </c>
      <c r="F11147" t="inlineStr">
        <is>
          <t>Bergvik skog väst AB</t>
        </is>
      </c>
      <c r="G11147" t="n">
        <v>2.4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25932-2025</t>
        </is>
      </c>
      <c r="B11148" s="1" t="n">
        <v>45804.5856712963</v>
      </c>
      <c r="C11148" s="1" t="n">
        <v>46114</v>
      </c>
      <c r="D11148" t="inlineStr">
        <is>
          <t>DALARNAS LÄN</t>
        </is>
      </c>
      <c r="E11148" t="inlineStr">
        <is>
          <t>BORLÄNGE</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26185-2025</t>
        </is>
      </c>
      <c r="B11149" s="1" t="n">
        <v>45805.47784722222</v>
      </c>
      <c r="C11149" s="1" t="n">
        <v>46114</v>
      </c>
      <c r="D11149" t="inlineStr">
        <is>
          <t>DALARNAS LÄN</t>
        </is>
      </c>
      <c r="E11149" t="inlineStr">
        <is>
          <t>MALUNG-SÄLEN</t>
        </is>
      </c>
      <c r="F11149" t="inlineStr">
        <is>
          <t>Allmännings- och besparingsskogar</t>
        </is>
      </c>
      <c r="G11149" t="n">
        <v>11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25765-2025</t>
        </is>
      </c>
      <c r="B11150" s="1" t="n">
        <v>45804.34152777777</v>
      </c>
      <c r="C11150" s="1" t="n">
        <v>46114</v>
      </c>
      <c r="D11150" t="inlineStr">
        <is>
          <t>DALARNAS LÄN</t>
        </is>
      </c>
      <c r="E11150" t="inlineStr">
        <is>
          <t>MALUNG-SÄLEN</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25793-2025</t>
        </is>
      </c>
      <c r="B11151" s="1" t="n">
        <v>45804.39335648148</v>
      </c>
      <c r="C11151" s="1" t="n">
        <v>46114</v>
      </c>
      <c r="D11151" t="inlineStr">
        <is>
          <t>DALARNAS LÄN</t>
        </is>
      </c>
      <c r="E11151" t="inlineStr">
        <is>
          <t>SÄTER</t>
        </is>
      </c>
      <c r="G11151" t="n">
        <v>1.9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25973-2025</t>
        </is>
      </c>
      <c r="B11152" s="1" t="n">
        <v>45804.63291666667</v>
      </c>
      <c r="C11152" s="1" t="n">
        <v>46114</v>
      </c>
      <c r="D11152" t="inlineStr">
        <is>
          <t>DALARNAS LÄN</t>
        </is>
      </c>
      <c r="E11152" t="inlineStr">
        <is>
          <t>RÄTTVIK</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15334-2025</t>
        </is>
      </c>
      <c r="B11153" s="1" t="n">
        <v>45747</v>
      </c>
      <c r="C11153" s="1" t="n">
        <v>46114</v>
      </c>
      <c r="D11153" t="inlineStr">
        <is>
          <t>DALARNAS LÄN</t>
        </is>
      </c>
      <c r="E11153" t="inlineStr">
        <is>
          <t>MALUNG-SÄLEN</t>
        </is>
      </c>
      <c r="F11153" t="inlineStr">
        <is>
          <t>Övriga statliga verk och myndigheter</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26138-2025</t>
        </is>
      </c>
      <c r="B11154" s="1" t="n">
        <v>45805.41782407407</v>
      </c>
      <c r="C11154" s="1" t="n">
        <v>46114</v>
      </c>
      <c r="D11154" t="inlineStr">
        <is>
          <t>DALARNAS LÄN</t>
        </is>
      </c>
      <c r="E11154" t="inlineStr">
        <is>
          <t>MALUNG-SÄLEN</t>
        </is>
      </c>
      <c r="F11154" t="inlineStr">
        <is>
          <t>Bergvik skog öst AB</t>
        </is>
      </c>
      <c r="G11154" t="n">
        <v>5.4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25924-2025</t>
        </is>
      </c>
      <c r="B11155" s="1" t="n">
        <v>45804.5756712963</v>
      </c>
      <c r="C11155" s="1" t="n">
        <v>46114</v>
      </c>
      <c r="D11155" t="inlineStr">
        <is>
          <t>DALARNAS LÄN</t>
        </is>
      </c>
      <c r="E11155" t="inlineStr">
        <is>
          <t>MALUNG-SÄLEN</t>
        </is>
      </c>
      <c r="F11155" t="inlineStr">
        <is>
          <t>Allmännings- och besparingsskogar</t>
        </is>
      </c>
      <c r="G11155" t="n">
        <v>28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25955-2025</t>
        </is>
      </c>
      <c r="B11156" s="1" t="n">
        <v>45804.60523148148</v>
      </c>
      <c r="C11156" s="1" t="n">
        <v>46114</v>
      </c>
      <c r="D11156" t="inlineStr">
        <is>
          <t>DALARNAS LÄN</t>
        </is>
      </c>
      <c r="E11156" t="inlineStr">
        <is>
          <t>SMEDJEBACKEN</t>
        </is>
      </c>
      <c r="G11156" t="n">
        <v>3.4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25971-2025</t>
        </is>
      </c>
      <c r="B11157" s="1" t="n">
        <v>45804.63151620371</v>
      </c>
      <c r="C11157" s="1" t="n">
        <v>46114</v>
      </c>
      <c r="D11157" t="inlineStr">
        <is>
          <t>DALARNAS LÄN</t>
        </is>
      </c>
      <c r="E11157" t="inlineStr">
        <is>
          <t>MALUNG-SÄLEN</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26204-2025</t>
        </is>
      </c>
      <c r="B11158" s="1" t="n">
        <v>45805.51065972223</v>
      </c>
      <c r="C11158" s="1" t="n">
        <v>46114</v>
      </c>
      <c r="D11158" t="inlineStr">
        <is>
          <t>DALARNAS LÄN</t>
        </is>
      </c>
      <c r="E11158" t="inlineStr">
        <is>
          <t>HEDEMORA</t>
        </is>
      </c>
      <c r="F11158" t="inlineStr">
        <is>
          <t>Sveaskog</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26285-2025</t>
        </is>
      </c>
      <c r="B11159" s="1" t="n">
        <v>45805.61885416666</v>
      </c>
      <c r="C11159" s="1" t="n">
        <v>46114</v>
      </c>
      <c r="D11159" t="inlineStr">
        <is>
          <t>DALARNAS LÄN</t>
        </is>
      </c>
      <c r="E11159" t="inlineStr">
        <is>
          <t>ÄLVDALEN</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26150-2025</t>
        </is>
      </c>
      <c r="B11160" s="1" t="n">
        <v>45805</v>
      </c>
      <c r="C11160" s="1" t="n">
        <v>46114</v>
      </c>
      <c r="D11160" t="inlineStr">
        <is>
          <t>DALARNAS LÄN</t>
        </is>
      </c>
      <c r="E11160" t="inlineStr">
        <is>
          <t>LUDVIKA</t>
        </is>
      </c>
      <c r="F11160" t="inlineStr">
        <is>
          <t>Bergvik skog väst AB</t>
        </is>
      </c>
      <c r="G11160" t="n">
        <v>3.9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25891-2025</t>
        </is>
      </c>
      <c r="B11161" s="1" t="n">
        <v>45804.53506944444</v>
      </c>
      <c r="C11161" s="1" t="n">
        <v>46114</v>
      </c>
      <c r="D11161" t="inlineStr">
        <is>
          <t>DALARNAS LÄN</t>
        </is>
      </c>
      <c r="E11161" t="inlineStr">
        <is>
          <t>MALUNG-SÄLEN</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26142-2025</t>
        </is>
      </c>
      <c r="B11162" s="1" t="n">
        <v>45805.42608796297</v>
      </c>
      <c r="C11162" s="1" t="n">
        <v>46114</v>
      </c>
      <c r="D11162" t="inlineStr">
        <is>
          <t>DALARNAS LÄN</t>
        </is>
      </c>
      <c r="E11162" t="inlineStr">
        <is>
          <t>MALUNG-SÄLEN</t>
        </is>
      </c>
      <c r="F11162" t="inlineStr">
        <is>
          <t>Bergvik skog öst AB</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25928-2025</t>
        </is>
      </c>
      <c r="B11163" s="1" t="n">
        <v>45804.57848379629</v>
      </c>
      <c r="C11163" s="1" t="n">
        <v>46114</v>
      </c>
      <c r="D11163" t="inlineStr">
        <is>
          <t>DALARNAS LÄN</t>
        </is>
      </c>
      <c r="E11163" t="inlineStr">
        <is>
          <t>MALUNG-SÄLEN</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50037-2022</t>
        </is>
      </c>
      <c r="B11164" s="1" t="n">
        <v>44865.46136574074</v>
      </c>
      <c r="C11164" s="1" t="n">
        <v>46114</v>
      </c>
      <c r="D11164" t="inlineStr">
        <is>
          <t>DALARNAS LÄN</t>
        </is>
      </c>
      <c r="E11164" t="inlineStr">
        <is>
          <t>ÄLVDALEN</t>
        </is>
      </c>
      <c r="F11164" t="inlineStr">
        <is>
          <t>Allmännings- och besparingsskogar</t>
        </is>
      </c>
      <c r="G11164" t="n">
        <v>5.8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25879-2025</t>
        </is>
      </c>
      <c r="B11165" s="1" t="n">
        <v>45804.49605324074</v>
      </c>
      <c r="C11165" s="1" t="n">
        <v>46114</v>
      </c>
      <c r="D11165" t="inlineStr">
        <is>
          <t>DALARNAS LÄN</t>
        </is>
      </c>
      <c r="E11165" t="inlineStr">
        <is>
          <t>ÄLVDALEN</t>
        </is>
      </c>
      <c r="F11165" t="inlineStr">
        <is>
          <t>Allmännings- och besparingsskogar</t>
        </is>
      </c>
      <c r="G11165" t="n">
        <v>0.2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15334-2025</t>
        </is>
      </c>
      <c r="B11166" s="1" t="n">
        <v>45747</v>
      </c>
      <c r="C11166" s="1" t="n">
        <v>46114</v>
      </c>
      <c r="D11166" t="inlineStr">
        <is>
          <t>DALARNAS LÄN</t>
        </is>
      </c>
      <c r="E11166" t="inlineStr">
        <is>
          <t>MALUNG-SÄLEN</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26320-2025</t>
        </is>
      </c>
      <c r="B11167" s="1" t="n">
        <v>45805.65954861111</v>
      </c>
      <c r="C11167" s="1" t="n">
        <v>46114</v>
      </c>
      <c r="D11167" t="inlineStr">
        <is>
          <t>DALARNAS LÄN</t>
        </is>
      </c>
      <c r="E11167" t="inlineStr">
        <is>
          <t>LUDVIKA</t>
        </is>
      </c>
      <c r="F11167" t="inlineStr">
        <is>
          <t>Bergvik skog väst AB</t>
        </is>
      </c>
      <c r="G11167" t="n">
        <v>2.9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26057-2025</t>
        </is>
      </c>
      <c r="B11168" s="1" t="n">
        <v>45804.81481481482</v>
      </c>
      <c r="C11168" s="1" t="n">
        <v>46114</v>
      </c>
      <c r="D11168" t="inlineStr">
        <is>
          <t>DALARNAS LÄN</t>
        </is>
      </c>
      <c r="E11168" t="inlineStr">
        <is>
          <t>SÄTER</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25823-2025</t>
        </is>
      </c>
      <c r="B11169" s="1" t="n">
        <v>45804.4396412037</v>
      </c>
      <c r="C11169" s="1" t="n">
        <v>46114</v>
      </c>
      <c r="D11169" t="inlineStr">
        <is>
          <t>DALARNAS LÄN</t>
        </is>
      </c>
      <c r="E11169" t="inlineStr">
        <is>
          <t>ÄLVDALEN</t>
        </is>
      </c>
      <c r="G11169" t="n">
        <v>1.2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25826-2025</t>
        </is>
      </c>
      <c r="B11170" s="1" t="n">
        <v>45804.44298611111</v>
      </c>
      <c r="C11170" s="1" t="n">
        <v>46114</v>
      </c>
      <c r="D11170" t="inlineStr">
        <is>
          <t>DALARNAS LÄN</t>
        </is>
      </c>
      <c r="E11170" t="inlineStr">
        <is>
          <t>MALUNG-SÄLEN</t>
        </is>
      </c>
      <c r="F11170" t="inlineStr">
        <is>
          <t>Allmännings- och besparingsskogar</t>
        </is>
      </c>
      <c r="G11170" t="n">
        <v>39.5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25882-2025</t>
        </is>
      </c>
      <c r="B11171" s="1" t="n">
        <v>45804.49783564815</v>
      </c>
      <c r="C11171" s="1" t="n">
        <v>46114</v>
      </c>
      <c r="D11171" t="inlineStr">
        <is>
          <t>DALARNAS LÄN</t>
        </is>
      </c>
      <c r="E11171" t="inlineStr">
        <is>
          <t>AVESTA</t>
        </is>
      </c>
      <c r="G11171" t="n">
        <v>0.6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26235-2025</t>
        </is>
      </c>
      <c r="B11172" s="1" t="n">
        <v>45805.56788194444</v>
      </c>
      <c r="C11172" s="1" t="n">
        <v>46114</v>
      </c>
      <c r="D11172" t="inlineStr">
        <is>
          <t>DALARNAS LÄN</t>
        </is>
      </c>
      <c r="E11172" t="inlineStr">
        <is>
          <t>MALUNG-SÄLEN</t>
        </is>
      </c>
      <c r="F11172" t="inlineStr">
        <is>
          <t>Bergvik skog öst AB</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26433-2025</t>
        </is>
      </c>
      <c r="B11173" s="1" t="n">
        <v>45807.39702546296</v>
      </c>
      <c r="C11173" s="1" t="n">
        <v>46114</v>
      </c>
      <c r="D11173" t="inlineStr">
        <is>
          <t>DALARNAS LÄN</t>
        </is>
      </c>
      <c r="E11173" t="inlineStr">
        <is>
          <t>LUDVIKA</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26483-2025</t>
        </is>
      </c>
      <c r="B11174" s="1" t="n">
        <v>45807.47263888889</v>
      </c>
      <c r="C11174" s="1" t="n">
        <v>46114</v>
      </c>
      <c r="D11174" t="inlineStr">
        <is>
          <t>DALARNAS LÄN</t>
        </is>
      </c>
      <c r="E11174" t="inlineStr">
        <is>
          <t>AVESTA</t>
        </is>
      </c>
      <c r="G11174" t="n">
        <v>0.5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26485-2025</t>
        </is>
      </c>
      <c r="B11175" s="1" t="n">
        <v>45807.47407407407</v>
      </c>
      <c r="C11175" s="1" t="n">
        <v>46114</v>
      </c>
      <c r="D11175" t="inlineStr">
        <is>
          <t>DALARNAS LÄN</t>
        </is>
      </c>
      <c r="E11175" t="inlineStr">
        <is>
          <t>AVESTA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26423-2025</t>
        </is>
      </c>
      <c r="B11176" s="1" t="n">
        <v>45807.37829861111</v>
      </c>
      <c r="C11176" s="1" t="n">
        <v>46114</v>
      </c>
      <c r="D11176" t="inlineStr">
        <is>
          <t>DALARNAS LÄN</t>
        </is>
      </c>
      <c r="E11176" t="inlineStr">
        <is>
          <t>LEKSAND</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25149-2025</t>
        </is>
      </c>
      <c r="B11177" s="1" t="n">
        <v>45800</v>
      </c>
      <c r="C11177" s="1" t="n">
        <v>46114</v>
      </c>
      <c r="D11177" t="inlineStr">
        <is>
          <t>DALARNAS LÄN</t>
        </is>
      </c>
      <c r="E11177" t="inlineStr">
        <is>
          <t>FALUN</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26510-2025</t>
        </is>
      </c>
      <c r="B11178" s="1" t="n">
        <v>45807</v>
      </c>
      <c r="C11178" s="1" t="n">
        <v>46114</v>
      </c>
      <c r="D11178" t="inlineStr">
        <is>
          <t>DALARNAS LÄN</t>
        </is>
      </c>
      <c r="E11178" t="inlineStr">
        <is>
          <t>VANSBRO</t>
        </is>
      </c>
      <c r="G11178" t="n">
        <v>1.7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26508-2025</t>
        </is>
      </c>
      <c r="B11179" s="1" t="n">
        <v>45807</v>
      </c>
      <c r="C11179" s="1" t="n">
        <v>46114</v>
      </c>
      <c r="D11179" t="inlineStr">
        <is>
          <t>DALARNAS LÄN</t>
        </is>
      </c>
      <c r="E11179" t="inlineStr">
        <is>
          <t>VANSBRO</t>
        </is>
      </c>
      <c r="G11179" t="n">
        <v>4.8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26532-2025</t>
        </is>
      </c>
      <c r="B11180" s="1" t="n">
        <v>45807</v>
      </c>
      <c r="C11180" s="1" t="n">
        <v>46114</v>
      </c>
      <c r="D11180" t="inlineStr">
        <is>
          <t>DALARNAS LÄN</t>
        </is>
      </c>
      <c r="E11180" t="inlineStr">
        <is>
          <t>MORA</t>
        </is>
      </c>
      <c r="G11180" t="n">
        <v>4.4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26396-2025</t>
        </is>
      </c>
      <c r="B11181" s="1" t="n">
        <v>45807</v>
      </c>
      <c r="C11181" s="1" t="n">
        <v>46114</v>
      </c>
      <c r="D11181" t="inlineStr">
        <is>
          <t>DALARNAS LÄN</t>
        </is>
      </c>
      <c r="E11181" t="inlineStr">
        <is>
          <t>MALUNG-SÄLEN</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26530-2025</t>
        </is>
      </c>
      <c r="B11182" s="1" t="n">
        <v>45807.57137731482</v>
      </c>
      <c r="C11182" s="1" t="n">
        <v>46114</v>
      </c>
      <c r="D11182" t="inlineStr">
        <is>
          <t>DALARNAS LÄN</t>
        </is>
      </c>
      <c r="E11182" t="inlineStr">
        <is>
          <t>FALUN</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26536-2025</t>
        </is>
      </c>
      <c r="B11183" s="1" t="n">
        <v>45807.57456018519</v>
      </c>
      <c r="C11183" s="1" t="n">
        <v>46114</v>
      </c>
      <c r="D11183" t="inlineStr">
        <is>
          <t>DALARNAS LÄN</t>
        </is>
      </c>
      <c r="E11183" t="inlineStr">
        <is>
          <t>FALUN</t>
        </is>
      </c>
      <c r="G11183" t="n">
        <v>1.8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26460-2025</t>
        </is>
      </c>
      <c r="B11184" s="1" t="n">
        <v>45807.43049768519</v>
      </c>
      <c r="C11184" s="1" t="n">
        <v>46114</v>
      </c>
      <c r="D11184" t="inlineStr">
        <is>
          <t>DALARNAS LÄN</t>
        </is>
      </c>
      <c r="E11184" t="inlineStr">
        <is>
          <t>MALUNG-SÄLEN</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26386-2025</t>
        </is>
      </c>
      <c r="B11185" s="1" t="n">
        <v>45806</v>
      </c>
      <c r="C11185" s="1" t="n">
        <v>46114</v>
      </c>
      <c r="D11185" t="inlineStr">
        <is>
          <t>DALARNAS LÄN</t>
        </is>
      </c>
      <c r="E11185" t="inlineStr">
        <is>
          <t>LEKSAND</t>
        </is>
      </c>
      <c r="F11185" t="inlineStr">
        <is>
          <t>Bergvik skog väst AB</t>
        </is>
      </c>
      <c r="G11185" t="n">
        <v>26.3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26387-2025</t>
        </is>
      </c>
      <c r="B11186" s="1" t="n">
        <v>45806.5102662037</v>
      </c>
      <c r="C11186" s="1" t="n">
        <v>46114</v>
      </c>
      <c r="D11186" t="inlineStr">
        <is>
          <t>DALARNAS LÄN</t>
        </is>
      </c>
      <c r="E11186" t="inlineStr">
        <is>
          <t>VANSBRO</t>
        </is>
      </c>
      <c r="F11186" t="inlineStr">
        <is>
          <t>Bergvik skog väst AB</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26454-2025</t>
        </is>
      </c>
      <c r="B11187" s="1" t="n">
        <v>45807.42395833333</v>
      </c>
      <c r="C11187" s="1" t="n">
        <v>46114</v>
      </c>
      <c r="D11187" t="inlineStr">
        <is>
          <t>DALARNAS LÄN</t>
        </is>
      </c>
      <c r="E11187" t="inlineStr">
        <is>
          <t>MALUNG-SÄLEN</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26525-2025</t>
        </is>
      </c>
      <c r="B11188" s="1" t="n">
        <v>45807.565</v>
      </c>
      <c r="C11188" s="1" t="n">
        <v>46114</v>
      </c>
      <c r="D11188" t="inlineStr">
        <is>
          <t>DALARNAS LÄN</t>
        </is>
      </c>
      <c r="E11188" t="inlineStr">
        <is>
          <t>FALUN</t>
        </is>
      </c>
      <c r="G11188" t="n">
        <v>1.3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26369-2025</t>
        </is>
      </c>
      <c r="B11189" s="1" t="n">
        <v>45806.39133101852</v>
      </c>
      <c r="C11189" s="1" t="n">
        <v>46114</v>
      </c>
      <c r="D11189" t="inlineStr">
        <is>
          <t>DALARNAS LÄN</t>
        </is>
      </c>
      <c r="E11189" t="inlineStr">
        <is>
          <t>GAGNEF</t>
        </is>
      </c>
      <c r="G11189" t="n">
        <v>12.9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30819-2024</t>
        </is>
      </c>
      <c r="B11190" s="1" t="n">
        <v>45497</v>
      </c>
      <c r="C11190" s="1" t="n">
        <v>46114</v>
      </c>
      <c r="D11190" t="inlineStr">
        <is>
          <t>DALARNAS LÄN</t>
        </is>
      </c>
      <c r="E11190" t="inlineStr">
        <is>
          <t>MORA</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26942-2025</t>
        </is>
      </c>
      <c r="B11191" s="1" t="n">
        <v>45811.42434027778</v>
      </c>
      <c r="C11191" s="1" t="n">
        <v>46114</v>
      </c>
      <c r="D11191" t="inlineStr">
        <is>
          <t>DALARNAS LÄN</t>
        </is>
      </c>
      <c r="E11191" t="inlineStr">
        <is>
          <t>LUDVIKA</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26689-2025</t>
        </is>
      </c>
      <c r="B11192" s="1" t="n">
        <v>45810.43638888889</v>
      </c>
      <c r="C11192" s="1" t="n">
        <v>46114</v>
      </c>
      <c r="D11192" t="inlineStr">
        <is>
          <t>DALARNAS LÄN</t>
        </is>
      </c>
      <c r="E11192" t="inlineStr">
        <is>
          <t>VANSBRO</t>
        </is>
      </c>
      <c r="F11192" t="inlineStr">
        <is>
          <t>Bergvik skog väst AB</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26704-2025</t>
        </is>
      </c>
      <c r="B11193" s="1" t="n">
        <v>45810.45271990741</v>
      </c>
      <c r="C11193" s="1" t="n">
        <v>46114</v>
      </c>
      <c r="D11193" t="inlineStr">
        <is>
          <t>DALARNAS LÄN</t>
        </is>
      </c>
      <c r="E11193" t="inlineStr">
        <is>
          <t>ÄLVDALEN</t>
        </is>
      </c>
      <c r="F11193" t="inlineStr">
        <is>
          <t>Bergvik skog väst AB</t>
        </is>
      </c>
      <c r="G11193" t="n">
        <v>32.3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26997-2025</t>
        </is>
      </c>
      <c r="B11194" s="1" t="n">
        <v>45811.54238425926</v>
      </c>
      <c r="C11194" s="1" t="n">
        <v>46114</v>
      </c>
      <c r="D11194" t="inlineStr">
        <is>
          <t>DALARNAS LÄN</t>
        </is>
      </c>
      <c r="E11194" t="inlineStr">
        <is>
          <t>VANSBRO</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27006-2025</t>
        </is>
      </c>
      <c r="B11195" s="1" t="n">
        <v>45811</v>
      </c>
      <c r="C11195" s="1" t="n">
        <v>46114</v>
      </c>
      <c r="D11195" t="inlineStr">
        <is>
          <t>DALARNAS LÄN</t>
        </is>
      </c>
      <c r="E11195" t="inlineStr">
        <is>
          <t>SÄTER</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26731-2025</t>
        </is>
      </c>
      <c r="B11196" s="1" t="n">
        <v>45810.50702546296</v>
      </c>
      <c r="C11196" s="1" t="n">
        <v>46114</v>
      </c>
      <c r="D11196" t="inlineStr">
        <is>
          <t>DALARNAS LÄN</t>
        </is>
      </c>
      <c r="E11196" t="inlineStr">
        <is>
          <t>MORA</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26741-2025</t>
        </is>
      </c>
      <c r="B11197" s="1" t="n">
        <v>45810.52444444445</v>
      </c>
      <c r="C11197" s="1" t="n">
        <v>46114</v>
      </c>
      <c r="D11197" t="inlineStr">
        <is>
          <t>DALARNAS LÄN</t>
        </is>
      </c>
      <c r="E11197" t="inlineStr">
        <is>
          <t>ORSA</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20885-2024</t>
        </is>
      </c>
      <c r="B11198" s="1" t="n">
        <v>45439.45527777778</v>
      </c>
      <c r="C11198" s="1" t="n">
        <v>46114</v>
      </c>
      <c r="D11198" t="inlineStr">
        <is>
          <t>DALARNAS LÄN</t>
        </is>
      </c>
      <c r="E11198" t="inlineStr">
        <is>
          <t>MORA</t>
        </is>
      </c>
      <c r="G11198" t="n">
        <v>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55898-2024</t>
        </is>
      </c>
      <c r="B11199" s="1" t="n">
        <v>45623.57618055555</v>
      </c>
      <c r="C11199" s="1" t="n">
        <v>46114</v>
      </c>
      <c r="D11199" t="inlineStr">
        <is>
          <t>DALARNAS LÄN</t>
        </is>
      </c>
      <c r="E11199" t="inlineStr">
        <is>
          <t>RÄTTVIK</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56425-2024</t>
        </is>
      </c>
      <c r="B11200" s="1" t="n">
        <v>45625.38677083333</v>
      </c>
      <c r="C11200" s="1" t="n">
        <v>46114</v>
      </c>
      <c r="D11200" t="inlineStr">
        <is>
          <t>DALARNAS LÄN</t>
        </is>
      </c>
      <c r="E11200" t="inlineStr">
        <is>
          <t>MORA</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26698-2025</t>
        </is>
      </c>
      <c r="B11201" s="1" t="n">
        <v>45810.44368055555</v>
      </c>
      <c r="C11201" s="1" t="n">
        <v>46114</v>
      </c>
      <c r="D11201" t="inlineStr">
        <is>
          <t>DALARNAS LÄN</t>
        </is>
      </c>
      <c r="E11201" t="inlineStr">
        <is>
          <t>LUDVIKA</t>
        </is>
      </c>
      <c r="F11201" t="inlineStr">
        <is>
          <t>Bergvik skog väst AB</t>
        </is>
      </c>
      <c r="G11201" t="n">
        <v>0.3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27000-2025</t>
        </is>
      </c>
      <c r="B11202" s="1" t="n">
        <v>45811.54483796296</v>
      </c>
      <c r="C11202" s="1" t="n">
        <v>46114</v>
      </c>
      <c r="D11202" t="inlineStr">
        <is>
          <t>DALARNAS LÄN</t>
        </is>
      </c>
      <c r="E11202" t="inlineStr">
        <is>
          <t>VANSBRO</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26711-2025</t>
        </is>
      </c>
      <c r="B11203" s="1" t="n">
        <v>45810.46144675926</v>
      </c>
      <c r="C11203" s="1" t="n">
        <v>46114</v>
      </c>
      <c r="D11203" t="inlineStr">
        <is>
          <t>DALARNAS LÄN</t>
        </is>
      </c>
      <c r="E11203" t="inlineStr">
        <is>
          <t>MORA</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43621-2024</t>
        </is>
      </c>
      <c r="B11204" s="1" t="n">
        <v>45569.48200231481</v>
      </c>
      <c r="C11204" s="1" t="n">
        <v>46114</v>
      </c>
      <c r="D11204" t="inlineStr">
        <is>
          <t>DALARNAS LÄN</t>
        </is>
      </c>
      <c r="E11204" t="inlineStr">
        <is>
          <t>HEDEMORA</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7565-2025</t>
        </is>
      </c>
      <c r="B11205" s="1" t="n">
        <v>45705.59269675926</v>
      </c>
      <c r="C11205" s="1" t="n">
        <v>46114</v>
      </c>
      <c r="D11205" t="inlineStr">
        <is>
          <t>DALARNAS LÄN</t>
        </is>
      </c>
      <c r="E11205" t="inlineStr">
        <is>
          <t>MORA</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26771-2025</t>
        </is>
      </c>
      <c r="B11206" s="1" t="n">
        <v>45810.57180555556</v>
      </c>
      <c r="C11206" s="1" t="n">
        <v>46114</v>
      </c>
      <c r="D11206" t="inlineStr">
        <is>
          <t>DALARNAS LÄN</t>
        </is>
      </c>
      <c r="E11206" t="inlineStr">
        <is>
          <t>FALUN</t>
        </is>
      </c>
      <c r="F11206" t="inlineStr">
        <is>
          <t>Bergvik skog väst AB</t>
        </is>
      </c>
      <c r="G11206" t="n">
        <v>11.6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26852-2025</t>
        </is>
      </c>
      <c r="B11207" s="1" t="n">
        <v>45810.67299768519</v>
      </c>
      <c r="C11207" s="1" t="n">
        <v>46114</v>
      </c>
      <c r="D11207" t="inlineStr">
        <is>
          <t>DALARNAS LÄN</t>
        </is>
      </c>
      <c r="E11207" t="inlineStr">
        <is>
          <t>MALUNG-SÄLEN</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26854-2025</t>
        </is>
      </c>
      <c r="B11208" s="1" t="n">
        <v>45810.67462962963</v>
      </c>
      <c r="C11208" s="1" t="n">
        <v>46114</v>
      </c>
      <c r="D11208" t="inlineStr">
        <is>
          <t>DALARNAS LÄN</t>
        </is>
      </c>
      <c r="E11208" t="inlineStr">
        <is>
          <t>MORA</t>
        </is>
      </c>
      <c r="G11208" t="n">
        <v>4.4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26667-2025</t>
        </is>
      </c>
      <c r="B11209" s="1" t="n">
        <v>45810.4090625</v>
      </c>
      <c r="C11209" s="1" t="n">
        <v>46114</v>
      </c>
      <c r="D11209" t="inlineStr">
        <is>
          <t>DALARNAS LÄN</t>
        </is>
      </c>
      <c r="E11209" t="inlineStr">
        <is>
          <t>VANSBRO</t>
        </is>
      </c>
      <c r="F11209" t="inlineStr">
        <is>
          <t>Bergvik skog väst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6972-2025</t>
        </is>
      </c>
      <c r="B11210" s="1" t="n">
        <v>45701.53790509259</v>
      </c>
      <c r="C11210" s="1" t="n">
        <v>46114</v>
      </c>
      <c r="D11210" t="inlineStr">
        <is>
          <t>DALARNAS LÄN</t>
        </is>
      </c>
      <c r="E11210" t="inlineStr">
        <is>
          <t>HEDEMORA</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27018-2025</t>
        </is>
      </c>
      <c r="B11211" s="1" t="n">
        <v>45811</v>
      </c>
      <c r="C11211" s="1" t="n">
        <v>46114</v>
      </c>
      <c r="D11211" t="inlineStr">
        <is>
          <t>DALARNAS LÄN</t>
        </is>
      </c>
      <c r="E11211" t="inlineStr">
        <is>
          <t>SÄTER</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26647-2025</t>
        </is>
      </c>
      <c r="B11212" s="1" t="n">
        <v>45810.38439814815</v>
      </c>
      <c r="C11212" s="1" t="n">
        <v>46114</v>
      </c>
      <c r="D11212" t="inlineStr">
        <is>
          <t>DALARNAS LÄN</t>
        </is>
      </c>
      <c r="E11212" t="inlineStr">
        <is>
          <t>MORA</t>
        </is>
      </c>
      <c r="G11212" t="n">
        <v>7.9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26705-2025</t>
        </is>
      </c>
      <c r="B11213" s="1" t="n">
        <v>45810.45325231482</v>
      </c>
      <c r="C11213" s="1" t="n">
        <v>46114</v>
      </c>
      <c r="D11213" t="inlineStr">
        <is>
          <t>DALARNAS LÄN</t>
        </is>
      </c>
      <c r="E11213" t="inlineStr">
        <is>
          <t>HEDEMORA</t>
        </is>
      </c>
      <c r="G11213" t="n">
        <v>1.9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26719-2025</t>
        </is>
      </c>
      <c r="B11214" s="1" t="n">
        <v>45810</v>
      </c>
      <c r="C11214" s="1" t="n">
        <v>46114</v>
      </c>
      <c r="D11214" t="inlineStr">
        <is>
          <t>DALARNAS LÄN</t>
        </is>
      </c>
      <c r="E11214" t="inlineStr">
        <is>
          <t>LUDVIKA</t>
        </is>
      </c>
      <c r="F11214" t="inlineStr">
        <is>
          <t>Bergvik skog väst AB</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2546-2025</t>
        </is>
      </c>
      <c r="B11215" s="1" t="n">
        <v>45674.62240740741</v>
      </c>
      <c r="C11215" s="1" t="n">
        <v>46114</v>
      </c>
      <c r="D11215" t="inlineStr">
        <is>
          <t>DALARNAS LÄN</t>
        </is>
      </c>
      <c r="E11215" t="inlineStr">
        <is>
          <t>ÄLVDALEN</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27087-2025</t>
        </is>
      </c>
      <c r="B11216" s="1" t="n">
        <v>45811.66383101852</v>
      </c>
      <c r="C11216" s="1" t="n">
        <v>46114</v>
      </c>
      <c r="D11216" t="inlineStr">
        <is>
          <t>DALARNAS LÄN</t>
        </is>
      </c>
      <c r="E11216" t="inlineStr">
        <is>
          <t>FALUN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27088-2025</t>
        </is>
      </c>
      <c r="B11217" s="1" t="n">
        <v>45811.66570601852</v>
      </c>
      <c r="C11217" s="1" t="n">
        <v>46114</v>
      </c>
      <c r="D11217" t="inlineStr">
        <is>
          <t>DALARNAS LÄN</t>
        </is>
      </c>
      <c r="E11217" t="inlineStr">
        <is>
          <t>FALUN</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20302-2023</t>
        </is>
      </c>
      <c r="B11218" s="1" t="n">
        <v>45056</v>
      </c>
      <c r="C11218" s="1" t="n">
        <v>46114</v>
      </c>
      <c r="D11218" t="inlineStr">
        <is>
          <t>DALARNAS LÄN</t>
        </is>
      </c>
      <c r="E11218" t="inlineStr">
        <is>
          <t>ORSA</t>
        </is>
      </c>
      <c r="G11218" t="n">
        <v>2.1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26927-2025</t>
        </is>
      </c>
      <c r="B11219" s="1" t="n">
        <v>45811.39570601852</v>
      </c>
      <c r="C11219" s="1" t="n">
        <v>46114</v>
      </c>
      <c r="D11219" t="inlineStr">
        <is>
          <t>DALARNAS LÄN</t>
        </is>
      </c>
      <c r="E11219" t="inlineStr">
        <is>
          <t>FALUN</t>
        </is>
      </c>
      <c r="G11219" t="n">
        <v>1.1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26940-2025</t>
        </is>
      </c>
      <c r="B11220" s="1" t="n">
        <v>45811</v>
      </c>
      <c r="C11220" s="1" t="n">
        <v>46114</v>
      </c>
      <c r="D11220" t="inlineStr">
        <is>
          <t>DALARNAS LÄN</t>
        </is>
      </c>
      <c r="E11220" t="inlineStr">
        <is>
          <t>SÄTER</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26990-2025</t>
        </is>
      </c>
      <c r="B11221" s="1" t="n">
        <v>45811.51887731482</v>
      </c>
      <c r="C11221" s="1" t="n">
        <v>46114</v>
      </c>
      <c r="D11221" t="inlineStr">
        <is>
          <t>DALARNAS LÄN</t>
        </is>
      </c>
      <c r="E11221" t="inlineStr">
        <is>
          <t>VANSBRO</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26995-2025</t>
        </is>
      </c>
      <c r="B11222" s="1" t="n">
        <v>45811.53903935185</v>
      </c>
      <c r="C11222" s="1" t="n">
        <v>46114</v>
      </c>
      <c r="D11222" t="inlineStr">
        <is>
          <t>DALARNAS LÄN</t>
        </is>
      </c>
      <c r="E11222" t="inlineStr">
        <is>
          <t>VANSBRO</t>
        </is>
      </c>
      <c r="G11222" t="n">
        <v>2.2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15207-2025</t>
        </is>
      </c>
      <c r="B11223" s="1" t="n">
        <v>45744.57217592592</v>
      </c>
      <c r="C11223" s="1" t="n">
        <v>46114</v>
      </c>
      <c r="D11223" t="inlineStr">
        <is>
          <t>DALARNAS LÄN</t>
        </is>
      </c>
      <c r="E11223" t="inlineStr">
        <is>
          <t>FALUN</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27032-2025</t>
        </is>
      </c>
      <c r="B11224" s="1" t="n">
        <v>45811.58952546296</v>
      </c>
      <c r="C11224" s="1" t="n">
        <v>46114</v>
      </c>
      <c r="D11224" t="inlineStr">
        <is>
          <t>DALARNAS LÄN</t>
        </is>
      </c>
      <c r="E11224" t="inlineStr">
        <is>
          <t>BORLÄNGE</t>
        </is>
      </c>
      <c r="G11224" t="n">
        <v>3.3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26794-2025</t>
        </is>
      </c>
      <c r="B11225" s="1" t="n">
        <v>45810.59527777778</v>
      </c>
      <c r="C11225" s="1" t="n">
        <v>46114</v>
      </c>
      <c r="D11225" t="inlineStr">
        <is>
          <t>DALARNAS LÄN</t>
        </is>
      </c>
      <c r="E11225" t="inlineStr">
        <is>
          <t>LUDVIKA</t>
        </is>
      </c>
      <c r="F11225" t="inlineStr">
        <is>
          <t>Kommuner</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26803-2025</t>
        </is>
      </c>
      <c r="B11226" s="1" t="n">
        <v>45810.60783564814</v>
      </c>
      <c r="C11226" s="1" t="n">
        <v>46114</v>
      </c>
      <c r="D11226" t="inlineStr">
        <is>
          <t>DALARNAS LÄN</t>
        </is>
      </c>
      <c r="E11226" t="inlineStr">
        <is>
          <t>FALUN</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26814-2025</t>
        </is>
      </c>
      <c r="B11227" s="1" t="n">
        <v>45810.62579861111</v>
      </c>
      <c r="C11227" s="1" t="n">
        <v>46114</v>
      </c>
      <c r="D11227" t="inlineStr">
        <is>
          <t>DALARNAS LÄN</t>
        </is>
      </c>
      <c r="E11227" t="inlineStr">
        <is>
          <t>RÄTTVIK</t>
        </is>
      </c>
      <c r="G11227" t="n">
        <v>1.7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26628-2025</t>
        </is>
      </c>
      <c r="B11228" s="1" t="n">
        <v>45810.34362268518</v>
      </c>
      <c r="C11228" s="1" t="n">
        <v>46114</v>
      </c>
      <c r="D11228" t="inlineStr">
        <is>
          <t>DALARNAS LÄN</t>
        </is>
      </c>
      <c r="E11228" t="inlineStr">
        <is>
          <t>LUDVIKA</t>
        </is>
      </c>
      <c r="F11228" t="inlineStr">
        <is>
          <t>Bergvik skog väst AB</t>
        </is>
      </c>
      <c r="G11228" t="n">
        <v>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26717-2025</t>
        </is>
      </c>
      <c r="B11229" s="1" t="n">
        <v>45810.47641203704</v>
      </c>
      <c r="C11229" s="1" t="n">
        <v>46114</v>
      </c>
      <c r="D11229" t="inlineStr">
        <is>
          <t>DALARNAS LÄN</t>
        </is>
      </c>
      <c r="E11229" t="inlineStr">
        <is>
          <t>SMEDJEBACKEN</t>
        </is>
      </c>
      <c r="F11229" t="inlineStr">
        <is>
          <t>Sveaskog</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26663-2025</t>
        </is>
      </c>
      <c r="B11230" s="1" t="n">
        <v>45810.40319444444</v>
      </c>
      <c r="C11230" s="1" t="n">
        <v>46114</v>
      </c>
      <c r="D11230" t="inlineStr">
        <is>
          <t>DALARNAS LÄN</t>
        </is>
      </c>
      <c r="E11230" t="inlineStr">
        <is>
          <t>FALUN</t>
        </is>
      </c>
      <c r="G11230" t="n">
        <v>3.6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43700-2024</t>
        </is>
      </c>
      <c r="B11231" s="1" t="n">
        <v>45569.59005787037</v>
      </c>
      <c r="C11231" s="1" t="n">
        <v>46114</v>
      </c>
      <c r="D11231" t="inlineStr">
        <is>
          <t>DALARNAS LÄN</t>
        </is>
      </c>
      <c r="E11231" t="inlineStr">
        <is>
          <t>LUDVIKA</t>
        </is>
      </c>
      <c r="F11231" t="inlineStr">
        <is>
          <t>Bergvik skog väst AB</t>
        </is>
      </c>
      <c r="G11231" t="n">
        <v>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27015-2025</t>
        </is>
      </c>
      <c r="B11232" s="1" t="n">
        <v>45811.56743055556</v>
      </c>
      <c r="C11232" s="1" t="n">
        <v>46114</v>
      </c>
      <c r="D11232" t="inlineStr">
        <is>
          <t>DALARNAS LÄN</t>
        </is>
      </c>
      <c r="E11232" t="inlineStr">
        <is>
          <t>VANSBRO</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27021-2025</t>
        </is>
      </c>
      <c r="B11233" s="1" t="n">
        <v>45811.57329861111</v>
      </c>
      <c r="C11233" s="1" t="n">
        <v>46114</v>
      </c>
      <c r="D11233" t="inlineStr">
        <is>
          <t>DALARNAS LÄN</t>
        </is>
      </c>
      <c r="E11233" t="inlineStr">
        <is>
          <t>LUDVIKA</t>
        </is>
      </c>
      <c r="G11233" t="n">
        <v>3.5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27057-2025</t>
        </is>
      </c>
      <c r="B11234" s="1" t="n">
        <v>45811.63216435185</v>
      </c>
      <c r="C11234" s="1" t="n">
        <v>46114</v>
      </c>
      <c r="D11234" t="inlineStr">
        <is>
          <t>DALARNAS LÄN</t>
        </is>
      </c>
      <c r="E11234" t="inlineStr">
        <is>
          <t>SÄTER</t>
        </is>
      </c>
      <c r="G11234" t="n">
        <v>5.1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26800-2025</t>
        </is>
      </c>
      <c r="B11235" s="1" t="n">
        <v>45810</v>
      </c>
      <c r="C11235" s="1" t="n">
        <v>46114</v>
      </c>
      <c r="D11235" t="inlineStr">
        <is>
          <t>DALARNAS LÄN</t>
        </is>
      </c>
      <c r="E11235" t="inlineStr">
        <is>
          <t>FALUN</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27052-2025</t>
        </is>
      </c>
      <c r="B11236" s="1" t="n">
        <v>45811.62408564815</v>
      </c>
      <c r="C11236" s="1" t="n">
        <v>46114</v>
      </c>
      <c r="D11236" t="inlineStr">
        <is>
          <t>DALARNAS LÄN</t>
        </is>
      </c>
      <c r="E11236" t="inlineStr">
        <is>
          <t>VANSBRO</t>
        </is>
      </c>
      <c r="F11236" t="inlineStr">
        <is>
          <t>Bergvik skog väst AB</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18463-2022</t>
        </is>
      </c>
      <c r="B11237" s="1" t="n">
        <v>44686.53328703704</v>
      </c>
      <c r="C11237" s="1" t="n">
        <v>46114</v>
      </c>
      <c r="D11237" t="inlineStr">
        <is>
          <t>DALARNAS LÄN</t>
        </is>
      </c>
      <c r="E11237" t="inlineStr">
        <is>
          <t>FALUN</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25329-2022</t>
        </is>
      </c>
      <c r="B11238" s="1" t="n">
        <v>44731.8799537037</v>
      </c>
      <c r="C11238" s="1" t="n">
        <v>46114</v>
      </c>
      <c r="D11238" t="inlineStr">
        <is>
          <t>DALARNAS LÄN</t>
        </is>
      </c>
      <c r="E11238" t="inlineStr">
        <is>
          <t>LEKSAND</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21364-2025</t>
        </is>
      </c>
      <c r="B11239" s="1" t="n">
        <v>45782</v>
      </c>
      <c r="C11239" s="1" t="n">
        <v>46114</v>
      </c>
      <c r="D11239" t="inlineStr">
        <is>
          <t>DALARNAS LÄN</t>
        </is>
      </c>
      <c r="E11239" t="inlineStr">
        <is>
          <t>ORSA</t>
        </is>
      </c>
      <c r="F11239" t="inlineStr">
        <is>
          <t>Allmännings- och besparingsskogar</t>
        </is>
      </c>
      <c r="G11239" t="n">
        <v>52.6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3849-2024</t>
        </is>
      </c>
      <c r="B11240" s="1" t="n">
        <v>45322.35017361111</v>
      </c>
      <c r="C11240" s="1" t="n">
        <v>46114</v>
      </c>
      <c r="D11240" t="inlineStr">
        <is>
          <t>DALARNAS LÄN</t>
        </is>
      </c>
      <c r="E11240" t="inlineStr">
        <is>
          <t>MALUNG-SÄLEN</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27090-2025</t>
        </is>
      </c>
      <c r="B11241" s="1" t="n">
        <v>45811.66903935185</v>
      </c>
      <c r="C11241" s="1" t="n">
        <v>46114</v>
      </c>
      <c r="D11241" t="inlineStr">
        <is>
          <t>DALARNAS LÄN</t>
        </is>
      </c>
      <c r="E11241" t="inlineStr">
        <is>
          <t>ÄLVDALEN</t>
        </is>
      </c>
      <c r="G11241" t="n">
        <v>2.3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26604-2025</t>
        </is>
      </c>
      <c r="B11242" s="1" t="n">
        <v>45809.84229166667</v>
      </c>
      <c r="C11242" s="1" t="n">
        <v>46114</v>
      </c>
      <c r="D11242" t="inlineStr">
        <is>
          <t>DALARNAS LÄN</t>
        </is>
      </c>
      <c r="E11242" t="inlineStr">
        <is>
          <t>SÄTER</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26630-2025</t>
        </is>
      </c>
      <c r="B11243" s="1" t="n">
        <v>45809</v>
      </c>
      <c r="C11243" s="1" t="n">
        <v>46114</v>
      </c>
      <c r="D11243" t="inlineStr">
        <is>
          <t>DALARNAS LÄN</t>
        </is>
      </c>
      <c r="E11243" t="inlineStr">
        <is>
          <t>MORA</t>
        </is>
      </c>
      <c r="G11243" t="n">
        <v>32.1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21950-2024</t>
        </is>
      </c>
      <c r="B11244" s="1" t="n">
        <v>45443.481875</v>
      </c>
      <c r="C11244" s="1" t="n">
        <v>46114</v>
      </c>
      <c r="D11244" t="inlineStr">
        <is>
          <t>DALARNAS LÄN</t>
        </is>
      </c>
      <c r="E11244" t="inlineStr">
        <is>
          <t>MALUNG-SÄLEN</t>
        </is>
      </c>
      <c r="F11244" t="inlineStr">
        <is>
          <t>Kommuner</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27323-2025</t>
        </is>
      </c>
      <c r="B11245" s="1" t="n">
        <v>45812.60392361111</v>
      </c>
      <c r="C11245" s="1" t="n">
        <v>46114</v>
      </c>
      <c r="D11245" t="inlineStr">
        <is>
          <t>DALARNAS LÄN</t>
        </is>
      </c>
      <c r="E11245" t="inlineStr">
        <is>
          <t>LEKSAND</t>
        </is>
      </c>
      <c r="F11245" t="inlineStr">
        <is>
          <t>Bergvik skog väst AB</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12029-2024</t>
        </is>
      </c>
      <c r="B11246" s="1" t="n">
        <v>45377.38084490741</v>
      </c>
      <c r="C11246" s="1" t="n">
        <v>46114</v>
      </c>
      <c r="D11246" t="inlineStr">
        <is>
          <t>DALARNAS LÄN</t>
        </is>
      </c>
      <c r="E11246" t="inlineStr">
        <is>
          <t>RÄTTVIK</t>
        </is>
      </c>
      <c r="F11246" t="inlineStr">
        <is>
          <t>Övriga statliga verk och myndigheter</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27194-2025</t>
        </is>
      </c>
      <c r="B11247" s="1" t="n">
        <v>45812.37965277778</v>
      </c>
      <c r="C11247" s="1" t="n">
        <v>46114</v>
      </c>
      <c r="D11247" t="inlineStr">
        <is>
          <t>DALARNAS LÄN</t>
        </is>
      </c>
      <c r="E11247" t="inlineStr">
        <is>
          <t>MORA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27512-2025</t>
        </is>
      </c>
      <c r="B11248" s="1" t="n">
        <v>45813.42855324074</v>
      </c>
      <c r="C11248" s="1" t="n">
        <v>46114</v>
      </c>
      <c r="D11248" t="inlineStr">
        <is>
          <t>DALARNAS LÄN</t>
        </is>
      </c>
      <c r="E11248" t="inlineStr">
        <is>
          <t>RÄTTVIK</t>
        </is>
      </c>
      <c r="F11248" t="inlineStr">
        <is>
          <t>Bergvik skog väst AB</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27190-2025</t>
        </is>
      </c>
      <c r="B11249" s="1" t="n">
        <v>45812.37025462963</v>
      </c>
      <c r="C11249" s="1" t="n">
        <v>46114</v>
      </c>
      <c r="D11249" t="inlineStr">
        <is>
          <t>DALARNAS LÄN</t>
        </is>
      </c>
      <c r="E11249" t="inlineStr">
        <is>
          <t>ORSA</t>
        </is>
      </c>
      <c r="F11249" t="inlineStr">
        <is>
          <t>Bergvik skog öst AB</t>
        </is>
      </c>
      <c r="G11249" t="n">
        <v>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27233-2025</t>
        </is>
      </c>
      <c r="B11250" s="1" t="n">
        <v>45812.44297453704</v>
      </c>
      <c r="C11250" s="1" t="n">
        <v>46114</v>
      </c>
      <c r="D11250" t="inlineStr">
        <is>
          <t>DALARNAS LÄN</t>
        </is>
      </c>
      <c r="E11250" t="inlineStr">
        <is>
          <t>BORLÄNGE</t>
        </is>
      </c>
      <c r="G11250" t="n">
        <v>2.3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27262-2025</t>
        </is>
      </c>
      <c r="B11251" s="1" t="n">
        <v>45812</v>
      </c>
      <c r="C11251" s="1" t="n">
        <v>46114</v>
      </c>
      <c r="D11251" t="inlineStr">
        <is>
          <t>DALARNAS LÄN</t>
        </is>
      </c>
      <c r="E11251" t="inlineStr">
        <is>
          <t>LEKSAND</t>
        </is>
      </c>
      <c r="F11251" t="inlineStr">
        <is>
          <t>Bergvik skog väst AB</t>
        </is>
      </c>
      <c r="G11251" t="n">
        <v>7.7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27221-2025</t>
        </is>
      </c>
      <c r="B11252" s="1" t="n">
        <v>45812.42304398148</v>
      </c>
      <c r="C11252" s="1" t="n">
        <v>46114</v>
      </c>
      <c r="D11252" t="inlineStr">
        <is>
          <t>DALARNAS LÄN</t>
        </is>
      </c>
      <c r="E11252" t="inlineStr">
        <is>
          <t>ORSA</t>
        </is>
      </c>
      <c r="F11252" t="inlineStr">
        <is>
          <t>Bergvik skog öst AB</t>
        </is>
      </c>
      <c r="G11252" t="n">
        <v>3.7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27158-2025</t>
        </is>
      </c>
      <c r="B11253" s="1" t="n">
        <v>45812.33471064815</v>
      </c>
      <c r="C11253" s="1" t="n">
        <v>46114</v>
      </c>
      <c r="D11253" t="inlineStr">
        <is>
          <t>DALARNAS LÄN</t>
        </is>
      </c>
      <c r="E11253" t="inlineStr">
        <is>
          <t>FALUN</t>
        </is>
      </c>
      <c r="G11253" t="n">
        <v>13.4</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6050-2025</t>
        </is>
      </c>
      <c r="B11254" s="1" t="n">
        <v>45695</v>
      </c>
      <c r="C11254" s="1" t="n">
        <v>46114</v>
      </c>
      <c r="D11254" t="inlineStr">
        <is>
          <t>DALARNAS LÄN</t>
        </is>
      </c>
      <c r="E11254" t="inlineStr">
        <is>
          <t>VANSBRO</t>
        </is>
      </c>
      <c r="G11254" t="n">
        <v>5.5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27506-2025</t>
        </is>
      </c>
      <c r="B11255" s="1" t="n">
        <v>45813</v>
      </c>
      <c r="C11255" s="1" t="n">
        <v>46114</v>
      </c>
      <c r="D11255" t="inlineStr">
        <is>
          <t>DALARNAS LÄN</t>
        </is>
      </c>
      <c r="E11255" t="inlineStr">
        <is>
          <t>LUDVIKA</t>
        </is>
      </c>
      <c r="F11255" t="inlineStr">
        <is>
          <t>Bergvik skog väst AB</t>
        </is>
      </c>
      <c r="G11255" t="n">
        <v>2.1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27656-2025</t>
        </is>
      </c>
      <c r="B11256" s="1" t="n">
        <v>45813.60965277778</v>
      </c>
      <c r="C11256" s="1" t="n">
        <v>46114</v>
      </c>
      <c r="D11256" t="inlineStr">
        <is>
          <t>DALARNAS LÄN</t>
        </is>
      </c>
      <c r="E11256" t="inlineStr">
        <is>
          <t>RÄTTVIK</t>
        </is>
      </c>
      <c r="F11256" t="inlineStr">
        <is>
          <t>Sveaskog</t>
        </is>
      </c>
      <c r="G11256" t="n">
        <v>8.800000000000001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6490-2025</t>
        </is>
      </c>
      <c r="B11257" s="1" t="n">
        <v>45699</v>
      </c>
      <c r="C11257" s="1" t="n">
        <v>46114</v>
      </c>
      <c r="D11257" t="inlineStr">
        <is>
          <t>DALARNAS LÄN</t>
        </is>
      </c>
      <c r="E11257" t="inlineStr">
        <is>
          <t>ORSA</t>
        </is>
      </c>
      <c r="G11257" t="n">
        <v>7.5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27313-2025</t>
        </is>
      </c>
      <c r="B11258" s="1" t="n">
        <v>45812.58365740741</v>
      </c>
      <c r="C11258" s="1" t="n">
        <v>46114</v>
      </c>
      <c r="D11258" t="inlineStr">
        <is>
          <t>DALARNAS LÄN</t>
        </is>
      </c>
      <c r="E11258" t="inlineStr">
        <is>
          <t>ORSA</t>
        </is>
      </c>
      <c r="F11258" t="inlineStr">
        <is>
          <t>Allmännings- och besparingsskogar</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17268-2025</t>
        </is>
      </c>
      <c r="B11259" s="1" t="n">
        <v>45756</v>
      </c>
      <c r="C11259" s="1" t="n">
        <v>46114</v>
      </c>
      <c r="D11259" t="inlineStr">
        <is>
          <t>DALARNAS LÄN</t>
        </is>
      </c>
      <c r="E11259" t="inlineStr">
        <is>
          <t>MORA</t>
        </is>
      </c>
      <c r="G11259" t="n">
        <v>6.8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27332-2025</t>
        </is>
      </c>
      <c r="B11260" s="1" t="n">
        <v>45812.61265046296</v>
      </c>
      <c r="C11260" s="1" t="n">
        <v>46114</v>
      </c>
      <c r="D11260" t="inlineStr">
        <is>
          <t>DALARNAS LÄN</t>
        </is>
      </c>
      <c r="E11260" t="inlineStr">
        <is>
          <t>LEKSAND</t>
        </is>
      </c>
      <c r="F11260" t="inlineStr">
        <is>
          <t>Bergvik skog väst AB</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39780-2024</t>
        </is>
      </c>
      <c r="B11261" s="1" t="n">
        <v>45552.88579861111</v>
      </c>
      <c r="C11261" s="1" t="n">
        <v>46114</v>
      </c>
      <c r="D11261" t="inlineStr">
        <is>
          <t>DALARNAS LÄN</t>
        </is>
      </c>
      <c r="E11261" t="inlineStr">
        <is>
          <t>SÄTER</t>
        </is>
      </c>
      <c r="G11261" t="n">
        <v>3.5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27616-2025</t>
        </is>
      </c>
      <c r="B11262" s="1" t="n">
        <v>45813</v>
      </c>
      <c r="C11262" s="1" t="n">
        <v>46114</v>
      </c>
      <c r="D11262" t="inlineStr">
        <is>
          <t>DALARNAS LÄN</t>
        </is>
      </c>
      <c r="E11262" t="inlineStr">
        <is>
          <t>LUDVIKA</t>
        </is>
      </c>
      <c r="F11262" t="inlineStr">
        <is>
          <t>Bergvik skog väst AB</t>
        </is>
      </c>
      <c r="G11262" t="n">
        <v>2.9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27642-2025</t>
        </is>
      </c>
      <c r="B11263" s="1" t="n">
        <v>45813.59405092592</v>
      </c>
      <c r="C11263" s="1" t="n">
        <v>46114</v>
      </c>
      <c r="D11263" t="inlineStr">
        <is>
          <t>DALARNAS LÄN</t>
        </is>
      </c>
      <c r="E11263" t="inlineStr">
        <is>
          <t>MORA</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27713-2025</t>
        </is>
      </c>
      <c r="B11264" s="1" t="n">
        <v>45813</v>
      </c>
      <c r="C11264" s="1" t="n">
        <v>46114</v>
      </c>
      <c r="D11264" t="inlineStr">
        <is>
          <t>DALARNAS LÄN</t>
        </is>
      </c>
      <c r="E11264" t="inlineStr">
        <is>
          <t>BORLÄNGE</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27448-2025</t>
        </is>
      </c>
      <c r="B11265" s="1" t="n">
        <v>45813</v>
      </c>
      <c r="C11265" s="1" t="n">
        <v>46114</v>
      </c>
      <c r="D11265" t="inlineStr">
        <is>
          <t>DALARNAS LÄN</t>
        </is>
      </c>
      <c r="E11265" t="inlineStr">
        <is>
          <t>LUDVIKA</t>
        </is>
      </c>
      <c r="F11265" t="inlineStr">
        <is>
          <t>Bergvik skog väst AB</t>
        </is>
      </c>
      <c r="G11265" t="n">
        <v>3.6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27124-2025</t>
        </is>
      </c>
      <c r="B11266" s="1" t="n">
        <v>45811.81252314815</v>
      </c>
      <c r="C11266" s="1" t="n">
        <v>46114</v>
      </c>
      <c r="D11266" t="inlineStr">
        <is>
          <t>DALARNAS LÄN</t>
        </is>
      </c>
      <c r="E11266" t="inlineStr">
        <is>
          <t>VANSBRO</t>
        </is>
      </c>
      <c r="G11266" t="n">
        <v>3.6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27183-2025</t>
        </is>
      </c>
      <c r="B11267" s="1" t="n">
        <v>45812.36097222222</v>
      </c>
      <c r="C11267" s="1" t="n">
        <v>46114</v>
      </c>
      <c r="D11267" t="inlineStr">
        <is>
          <t>DALARNAS LÄN</t>
        </is>
      </c>
      <c r="E11267" t="inlineStr">
        <is>
          <t>LEKSAND</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27184-2025</t>
        </is>
      </c>
      <c r="B11268" s="1" t="n">
        <v>45812.36133101852</v>
      </c>
      <c r="C11268" s="1" t="n">
        <v>46114</v>
      </c>
      <c r="D11268" t="inlineStr">
        <is>
          <t>DALARNAS LÄN</t>
        </is>
      </c>
      <c r="E11268" t="inlineStr">
        <is>
          <t>MORA</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27525-2025</t>
        </is>
      </c>
      <c r="B11269" s="1" t="n">
        <v>45813</v>
      </c>
      <c r="C11269" s="1" t="n">
        <v>46114</v>
      </c>
      <c r="D11269" t="inlineStr">
        <is>
          <t>DALARNAS LÄN</t>
        </is>
      </c>
      <c r="E11269" t="inlineStr">
        <is>
          <t>LUDVIKA</t>
        </is>
      </c>
      <c r="F11269" t="inlineStr">
        <is>
          <t>Bergvik skog väst AB</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27230-2025</t>
        </is>
      </c>
      <c r="B11270" s="1" t="n">
        <v>45812.43825231482</v>
      </c>
      <c r="C11270" s="1" t="n">
        <v>46114</v>
      </c>
      <c r="D11270" t="inlineStr">
        <is>
          <t>DALARNAS LÄN</t>
        </is>
      </c>
      <c r="E11270" t="inlineStr">
        <is>
          <t>ÄLVDALEN</t>
        </is>
      </c>
      <c r="F11270" t="inlineStr">
        <is>
          <t>Allmännings- och besparingsskogar</t>
        </is>
      </c>
      <c r="G11270" t="n">
        <v>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27261-2025</t>
        </is>
      </c>
      <c r="B11271" s="1" t="n">
        <v>45812.47674768518</v>
      </c>
      <c r="C11271" s="1" t="n">
        <v>46114</v>
      </c>
      <c r="D11271" t="inlineStr">
        <is>
          <t>DALARNAS LÄN</t>
        </is>
      </c>
      <c r="E11271" t="inlineStr">
        <is>
          <t>ÄLVDALEN</t>
        </is>
      </c>
      <c r="F11271" t="inlineStr">
        <is>
          <t>Bergvik skog väst AB</t>
        </is>
      </c>
      <c r="G11271" t="n">
        <v>9.5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27387-2025</t>
        </is>
      </c>
      <c r="B11272" s="1" t="n">
        <v>45812</v>
      </c>
      <c r="C11272" s="1" t="n">
        <v>46114</v>
      </c>
      <c r="D11272" t="inlineStr">
        <is>
          <t>DALARNAS LÄN</t>
        </is>
      </c>
      <c r="E11272" t="inlineStr">
        <is>
          <t>GAGNEF</t>
        </is>
      </c>
      <c r="G11272" t="n">
        <v>4.4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27680-2025</t>
        </is>
      </c>
      <c r="B11273" s="1" t="n">
        <v>45813.64618055556</v>
      </c>
      <c r="C11273" s="1" t="n">
        <v>46114</v>
      </c>
      <c r="D11273" t="inlineStr">
        <is>
          <t>DALARNAS LÄN</t>
        </is>
      </c>
      <c r="E11273" t="inlineStr">
        <is>
          <t>LEKSAND</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27704-2025</t>
        </is>
      </c>
      <c r="B11274" s="1" t="n">
        <v>45813</v>
      </c>
      <c r="C11274" s="1" t="n">
        <v>46114</v>
      </c>
      <c r="D11274" t="inlineStr">
        <is>
          <t>DALARNAS LÄN</t>
        </is>
      </c>
      <c r="E11274" t="inlineStr">
        <is>
          <t>RÄTTVIK</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27435-2025</t>
        </is>
      </c>
      <c r="B11275" s="1" t="n">
        <v>45813</v>
      </c>
      <c r="C11275" s="1" t="n">
        <v>46114</v>
      </c>
      <c r="D11275" t="inlineStr">
        <is>
          <t>DALARNAS LÄN</t>
        </is>
      </c>
      <c r="E11275" t="inlineStr">
        <is>
          <t>LUDVIKA</t>
        </is>
      </c>
      <c r="F11275" t="inlineStr">
        <is>
          <t>Bergvik skog väst AB</t>
        </is>
      </c>
      <c r="G11275" t="n">
        <v>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27670-2025</t>
        </is>
      </c>
      <c r="B11276" s="1" t="n">
        <v>45813.62518518518</v>
      </c>
      <c r="C11276" s="1" t="n">
        <v>46114</v>
      </c>
      <c r="D11276" t="inlineStr">
        <is>
          <t>DALARNAS LÄN</t>
        </is>
      </c>
      <c r="E11276" t="inlineStr">
        <is>
          <t>BORLÄNGE</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27682-2025</t>
        </is>
      </c>
      <c r="B11277" s="1" t="n">
        <v>45813.64782407408</v>
      </c>
      <c r="C11277" s="1" t="n">
        <v>46114</v>
      </c>
      <c r="D11277" t="inlineStr">
        <is>
          <t>DALARNAS LÄN</t>
        </is>
      </c>
      <c r="E11277" t="inlineStr">
        <is>
          <t>LEKSAND</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27177-2025</t>
        </is>
      </c>
      <c r="B11278" s="1" t="n">
        <v>45812.3533912037</v>
      </c>
      <c r="C11278" s="1" t="n">
        <v>46114</v>
      </c>
      <c r="D11278" t="inlineStr">
        <is>
          <t>DALARNAS LÄN</t>
        </is>
      </c>
      <c r="E11278" t="inlineStr">
        <is>
          <t>MORA</t>
        </is>
      </c>
      <c r="F11278" t="inlineStr">
        <is>
          <t>Bergvik skog öst AB</t>
        </is>
      </c>
      <c r="G11278" t="n">
        <v>2.5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27468-2025</t>
        </is>
      </c>
      <c r="B11279" s="1" t="n">
        <v>45813</v>
      </c>
      <c r="C11279" s="1" t="n">
        <v>46114</v>
      </c>
      <c r="D11279" t="inlineStr">
        <is>
          <t>DALARNAS LÄN</t>
        </is>
      </c>
      <c r="E11279" t="inlineStr">
        <is>
          <t>FALUN</t>
        </is>
      </c>
      <c r="G11279" t="n">
        <v>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27532-2025</t>
        </is>
      </c>
      <c r="B11280" s="1" t="n">
        <v>45813</v>
      </c>
      <c r="C11280" s="1" t="n">
        <v>46114</v>
      </c>
      <c r="D11280" t="inlineStr">
        <is>
          <t>DALARNAS LÄN</t>
        </is>
      </c>
      <c r="E11280" t="inlineStr">
        <is>
          <t>LUDVIKA</t>
        </is>
      </c>
      <c r="F11280" t="inlineStr">
        <is>
          <t>Bergvik skog väst AB</t>
        </is>
      </c>
      <c r="G11280" t="n">
        <v>4.8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27705-2025</t>
        </is>
      </c>
      <c r="B11281" s="1" t="n">
        <v>45813</v>
      </c>
      <c r="C11281" s="1" t="n">
        <v>46114</v>
      </c>
      <c r="D11281" t="inlineStr">
        <is>
          <t>DALARNAS LÄN</t>
        </is>
      </c>
      <c r="E11281" t="inlineStr">
        <is>
          <t>LEKSAND</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14611-2025</t>
        </is>
      </c>
      <c r="B11282" s="1" t="n">
        <v>45742.38511574074</v>
      </c>
      <c r="C11282" s="1" t="n">
        <v>46114</v>
      </c>
      <c r="D11282" t="inlineStr">
        <is>
          <t>DALARNAS LÄN</t>
        </is>
      </c>
      <c r="E11282" t="inlineStr">
        <is>
          <t>MORA</t>
        </is>
      </c>
      <c r="F11282" t="inlineStr">
        <is>
          <t>Bergvik skog väst AB</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27329-2025</t>
        </is>
      </c>
      <c r="B11283" s="1" t="n">
        <v>45812.60864583333</v>
      </c>
      <c r="C11283" s="1" t="n">
        <v>46114</v>
      </c>
      <c r="D11283" t="inlineStr">
        <is>
          <t>DALARNAS LÄN</t>
        </is>
      </c>
      <c r="E11283" t="inlineStr">
        <is>
          <t>LEKSAND</t>
        </is>
      </c>
      <c r="F11283" t="inlineStr">
        <is>
          <t>Bergvik skog väst AB</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27701-2025</t>
        </is>
      </c>
      <c r="B11284" s="1" t="n">
        <v>45813</v>
      </c>
      <c r="C11284" s="1" t="n">
        <v>46114</v>
      </c>
      <c r="D11284" t="inlineStr">
        <is>
          <t>DALARNAS LÄN</t>
        </is>
      </c>
      <c r="E11284" t="inlineStr">
        <is>
          <t>RÄTTVIK</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27469-2025</t>
        </is>
      </c>
      <c r="B11285" s="1" t="n">
        <v>45813.36081018519</v>
      </c>
      <c r="C11285" s="1" t="n">
        <v>46114</v>
      </c>
      <c r="D11285" t="inlineStr">
        <is>
          <t>DALARNAS LÄN</t>
        </is>
      </c>
      <c r="E11285" t="inlineStr">
        <is>
          <t>FALUN</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32886-2022</t>
        </is>
      </c>
      <c r="B11286" s="1" t="n">
        <v>44784.55162037037</v>
      </c>
      <c r="C11286" s="1" t="n">
        <v>46114</v>
      </c>
      <c r="D11286" t="inlineStr">
        <is>
          <t>DALARNAS LÄN</t>
        </is>
      </c>
      <c r="E11286" t="inlineStr">
        <is>
          <t>SÄTER</t>
        </is>
      </c>
      <c r="G11286" t="n">
        <v>10.9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27175-2025</t>
        </is>
      </c>
      <c r="B11287" s="1" t="n">
        <v>45812.35072916667</v>
      </c>
      <c r="C11287" s="1" t="n">
        <v>46114</v>
      </c>
      <c r="D11287" t="inlineStr">
        <is>
          <t>DALARNAS LÄN</t>
        </is>
      </c>
      <c r="E11287" t="inlineStr">
        <is>
          <t>MORA</t>
        </is>
      </c>
      <c r="F11287" t="inlineStr">
        <is>
          <t>Bergvik skog öst AB</t>
        </is>
      </c>
      <c r="G11287" t="n">
        <v>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27504-2025</t>
        </is>
      </c>
      <c r="B11288" s="1" t="n">
        <v>45813.42409722223</v>
      </c>
      <c r="C11288" s="1" t="n">
        <v>46114</v>
      </c>
      <c r="D11288" t="inlineStr">
        <is>
          <t>DALARNAS LÄN</t>
        </is>
      </c>
      <c r="E11288" t="inlineStr">
        <is>
          <t>VANSBRO</t>
        </is>
      </c>
      <c r="F11288" t="inlineStr">
        <is>
          <t>Bergvik skog väst AB</t>
        </is>
      </c>
      <c r="G11288" t="n">
        <v>3.4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18260-2025</t>
        </is>
      </c>
      <c r="B11289" s="1" t="n">
        <v>45762.36094907407</v>
      </c>
      <c r="C11289" s="1" t="n">
        <v>46114</v>
      </c>
      <c r="D11289" t="inlineStr">
        <is>
          <t>DALARNAS LÄN</t>
        </is>
      </c>
      <c r="E11289" t="inlineStr">
        <is>
          <t>MALUNG-SÄLEN</t>
        </is>
      </c>
      <c r="G11289" t="n">
        <v>10.5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13169-2025</t>
        </is>
      </c>
      <c r="B11290" s="1" t="n">
        <v>45735.36532407408</v>
      </c>
      <c r="C11290" s="1" t="n">
        <v>46114</v>
      </c>
      <c r="D11290" t="inlineStr">
        <is>
          <t>DALARNAS LÄN</t>
        </is>
      </c>
      <c r="E11290" t="inlineStr">
        <is>
          <t>GAGNEF</t>
        </is>
      </c>
      <c r="F11290" t="inlineStr">
        <is>
          <t>Bergvik skog väst AB</t>
        </is>
      </c>
      <c r="G11290" t="n">
        <v>2.4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7998-2024</t>
        </is>
      </c>
      <c r="B11291" s="1" t="n">
        <v>45350.6433912037</v>
      </c>
      <c r="C11291" s="1" t="n">
        <v>46114</v>
      </c>
      <c r="D11291" t="inlineStr">
        <is>
          <t>DALARNAS LÄN</t>
        </is>
      </c>
      <c r="E11291" t="inlineStr">
        <is>
          <t>ÄLVDALEN</t>
        </is>
      </c>
      <c r="F11291" t="inlineStr">
        <is>
          <t>Kommuner</t>
        </is>
      </c>
      <c r="G11291" t="n">
        <v>7.9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27866-2025</t>
        </is>
      </c>
      <c r="B11292" s="1" t="n">
        <v>45817.4262962963</v>
      </c>
      <c r="C11292" s="1" t="n">
        <v>46114</v>
      </c>
      <c r="D11292" t="inlineStr">
        <is>
          <t>DALARNAS LÄN</t>
        </is>
      </c>
      <c r="E11292" t="inlineStr">
        <is>
          <t>ORSA</t>
        </is>
      </c>
      <c r="F11292" t="inlineStr">
        <is>
          <t>Allmännings- och besparingsskogar</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28007-2025</t>
        </is>
      </c>
      <c r="B11293" s="1" t="n">
        <v>45817</v>
      </c>
      <c r="C11293" s="1" t="n">
        <v>46114</v>
      </c>
      <c r="D11293" t="inlineStr">
        <is>
          <t>DALARNAS LÄN</t>
        </is>
      </c>
      <c r="E11293" t="inlineStr">
        <is>
          <t>VANSBRO</t>
        </is>
      </c>
      <c r="F11293" t="inlineStr">
        <is>
          <t>Bergvik skog väst AB</t>
        </is>
      </c>
      <c r="G11293" t="n">
        <v>1.1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28033-2025</t>
        </is>
      </c>
      <c r="B11294" s="1" t="n">
        <v>45817.6325462963</v>
      </c>
      <c r="C11294" s="1" t="n">
        <v>46114</v>
      </c>
      <c r="D11294" t="inlineStr">
        <is>
          <t>DALARNAS LÄN</t>
        </is>
      </c>
      <c r="E11294" t="inlineStr">
        <is>
          <t>MORA</t>
        </is>
      </c>
      <c r="F11294" t="inlineStr">
        <is>
          <t>Bergvik skog öst AB</t>
        </is>
      </c>
      <c r="G11294" t="n">
        <v>12.8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28044-2025</t>
        </is>
      </c>
      <c r="B11295" s="1" t="n">
        <v>45817.65202546296</v>
      </c>
      <c r="C11295" s="1" t="n">
        <v>46114</v>
      </c>
      <c r="D11295" t="inlineStr">
        <is>
          <t>DALARNAS LÄN</t>
        </is>
      </c>
      <c r="E11295" t="inlineStr">
        <is>
          <t>RÄTTVIK</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27807-2025</t>
        </is>
      </c>
      <c r="B11296" s="1" t="n">
        <v>45817.30672453704</v>
      </c>
      <c r="C11296" s="1" t="n">
        <v>46114</v>
      </c>
      <c r="D11296" t="inlineStr">
        <is>
          <t>DALARNAS LÄN</t>
        </is>
      </c>
      <c r="E11296" t="inlineStr">
        <is>
          <t>AVESTA</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27885-2025</t>
        </is>
      </c>
      <c r="B11297" s="1" t="n">
        <v>45817.45034722222</v>
      </c>
      <c r="C11297" s="1" t="n">
        <v>46114</v>
      </c>
      <c r="D11297" t="inlineStr">
        <is>
          <t>DALARNAS LÄN</t>
        </is>
      </c>
      <c r="E11297" t="inlineStr">
        <is>
          <t>ORSA</t>
        </is>
      </c>
      <c r="F11297" t="inlineStr">
        <is>
          <t>Allmännings- och besparingsskogar</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27918-2025</t>
        </is>
      </c>
      <c r="B11298" s="1" t="n">
        <v>45817.48231481481</v>
      </c>
      <c r="C11298" s="1" t="n">
        <v>46114</v>
      </c>
      <c r="D11298" t="inlineStr">
        <is>
          <t>DALARNAS LÄN</t>
        </is>
      </c>
      <c r="E11298" t="inlineStr">
        <is>
          <t>ÄLVDALEN</t>
        </is>
      </c>
      <c r="G11298" t="n">
        <v>5.6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27984-2025</t>
        </is>
      </c>
      <c r="B11299" s="1" t="n">
        <v>45817.57710648148</v>
      </c>
      <c r="C11299" s="1" t="n">
        <v>46114</v>
      </c>
      <c r="D11299" t="inlineStr">
        <is>
          <t>DALARNAS LÄN</t>
        </is>
      </c>
      <c r="E11299" t="inlineStr">
        <is>
          <t>LEKSAND</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28010-2025</t>
        </is>
      </c>
      <c r="B11300" s="1" t="n">
        <v>45817</v>
      </c>
      <c r="C11300" s="1" t="n">
        <v>46114</v>
      </c>
      <c r="D11300" t="inlineStr">
        <is>
          <t>DALARNAS LÄN</t>
        </is>
      </c>
      <c r="E11300" t="inlineStr">
        <is>
          <t>VANSBRO</t>
        </is>
      </c>
      <c r="F11300" t="inlineStr">
        <is>
          <t>Bergvik skog väst AB</t>
        </is>
      </c>
      <c r="G11300" t="n">
        <v>5.4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28011-2025</t>
        </is>
      </c>
      <c r="B11301" s="1" t="n">
        <v>45817.60616898148</v>
      </c>
      <c r="C11301" s="1" t="n">
        <v>46114</v>
      </c>
      <c r="D11301" t="inlineStr">
        <is>
          <t>DALARNAS LÄN</t>
        </is>
      </c>
      <c r="E11301" t="inlineStr">
        <is>
          <t>VANSBRO</t>
        </is>
      </c>
      <c r="G11301" t="n">
        <v>15.8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28034-2025</t>
        </is>
      </c>
      <c r="B11302" s="1" t="n">
        <v>45817.63287037037</v>
      </c>
      <c r="C11302" s="1" t="n">
        <v>46114</v>
      </c>
      <c r="D11302" t="inlineStr">
        <is>
          <t>DALARNAS LÄN</t>
        </is>
      </c>
      <c r="E11302" t="inlineStr">
        <is>
          <t>RÄTTVIK</t>
        </is>
      </c>
      <c r="F11302" t="inlineStr">
        <is>
          <t>Sveaskog</t>
        </is>
      </c>
      <c r="G11302" t="n">
        <v>8.699999999999999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27987-2025</t>
        </is>
      </c>
      <c r="B11303" s="1" t="n">
        <v>45817.58361111111</v>
      </c>
      <c r="C11303" s="1" t="n">
        <v>46114</v>
      </c>
      <c r="D11303" t="inlineStr">
        <is>
          <t>DALARNAS LÄN</t>
        </is>
      </c>
      <c r="E11303" t="inlineStr">
        <is>
          <t>ORSA</t>
        </is>
      </c>
      <c r="F11303" t="inlineStr">
        <is>
          <t>Allmännings- och besparingsskogar</t>
        </is>
      </c>
      <c r="G11303" t="n">
        <v>2.5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19747-2025</t>
        </is>
      </c>
      <c r="B11304" s="1" t="n">
        <v>45771</v>
      </c>
      <c r="C11304" s="1" t="n">
        <v>46114</v>
      </c>
      <c r="D11304" t="inlineStr">
        <is>
          <t>DALARNAS LÄN</t>
        </is>
      </c>
      <c r="E11304" t="inlineStr">
        <is>
          <t>SÄTER</t>
        </is>
      </c>
      <c r="G11304" t="n">
        <v>7.2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27714-2025</t>
        </is>
      </c>
      <c r="B11305" s="1" t="n">
        <v>45813.91087962963</v>
      </c>
      <c r="C11305" s="1" t="n">
        <v>46114</v>
      </c>
      <c r="D11305" t="inlineStr">
        <is>
          <t>DALARNAS LÄN</t>
        </is>
      </c>
      <c r="E11305" t="inlineStr">
        <is>
          <t>BORLÄNGE</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27963-2025</t>
        </is>
      </c>
      <c r="B11306" s="1" t="n">
        <v>45817.55212962963</v>
      </c>
      <c r="C11306" s="1" t="n">
        <v>46114</v>
      </c>
      <c r="D11306" t="inlineStr">
        <is>
          <t>DALARNAS LÄN</t>
        </is>
      </c>
      <c r="E11306" t="inlineStr">
        <is>
          <t>VANSBRO</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27889-2025</t>
        </is>
      </c>
      <c r="B11307" s="1" t="n">
        <v>45817</v>
      </c>
      <c r="C11307" s="1" t="n">
        <v>46114</v>
      </c>
      <c r="D11307" t="inlineStr">
        <is>
          <t>DALARNAS LÄN</t>
        </is>
      </c>
      <c r="E11307" t="inlineStr">
        <is>
          <t>GAGNEF</t>
        </is>
      </c>
      <c r="G11307" t="n">
        <v>3.2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3904-2024</t>
        </is>
      </c>
      <c r="B11308" s="1" t="n">
        <v>45322</v>
      </c>
      <c r="C11308" s="1" t="n">
        <v>46114</v>
      </c>
      <c r="D11308" t="inlineStr">
        <is>
          <t>DALARNAS LÄN</t>
        </is>
      </c>
      <c r="E11308" t="inlineStr">
        <is>
          <t>ÄLVDALEN</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27739-2025</t>
        </is>
      </c>
      <c r="B11309" s="1" t="n">
        <v>45815.49082175926</v>
      </c>
      <c r="C11309" s="1" t="n">
        <v>46114</v>
      </c>
      <c r="D11309" t="inlineStr">
        <is>
          <t>DALARNAS LÄN</t>
        </is>
      </c>
      <c r="E11309" t="inlineStr">
        <is>
          <t>ÄLVDALEN</t>
        </is>
      </c>
      <c r="F11309" t="inlineStr">
        <is>
          <t>Bergvik skog väst AB</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28083-2025</t>
        </is>
      </c>
      <c r="B11310" s="1" t="n">
        <v>45817.71776620371</v>
      </c>
      <c r="C11310" s="1" t="n">
        <v>46114</v>
      </c>
      <c r="D11310" t="inlineStr">
        <is>
          <t>DALARNAS LÄN</t>
        </is>
      </c>
      <c r="E11310" t="inlineStr">
        <is>
          <t>MALUNG-SÄLEN</t>
        </is>
      </c>
      <c r="F11310" t="inlineStr">
        <is>
          <t>Allmännings- och besparingsskogar</t>
        </is>
      </c>
      <c r="G11310" t="n">
        <v>28.4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28469-2025</t>
        </is>
      </c>
      <c r="B11311" s="1" t="n">
        <v>45819.42872685185</v>
      </c>
      <c r="C11311" s="1" t="n">
        <v>46114</v>
      </c>
      <c r="D11311" t="inlineStr">
        <is>
          <t>DALARNAS LÄN</t>
        </is>
      </c>
      <c r="E11311" t="inlineStr">
        <is>
          <t>VANSBRO</t>
        </is>
      </c>
      <c r="F11311" t="inlineStr">
        <is>
          <t>Bergvik skog öst AB</t>
        </is>
      </c>
      <c r="G11311" t="n">
        <v>4.8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28183-2025</t>
        </is>
      </c>
      <c r="B11312" s="1" t="n">
        <v>45818.4021875</v>
      </c>
      <c r="C11312" s="1" t="n">
        <v>46114</v>
      </c>
      <c r="D11312" t="inlineStr">
        <is>
          <t>DALARNAS LÄN</t>
        </is>
      </c>
      <c r="E11312" t="inlineStr">
        <is>
          <t>HEDEMORA</t>
        </is>
      </c>
      <c r="F11312" t="inlineStr">
        <is>
          <t>Sveaskog</t>
        </is>
      </c>
      <c r="G11312" t="n">
        <v>2.7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28283-2025</t>
        </is>
      </c>
      <c r="B11313" s="1" t="n">
        <v>45818.58821759259</v>
      </c>
      <c r="C11313" s="1" t="n">
        <v>46114</v>
      </c>
      <c r="D11313" t="inlineStr">
        <is>
          <t>DALARNAS LÄN</t>
        </is>
      </c>
      <c r="E11313" t="inlineStr">
        <is>
          <t>SMEDJEBACKEN</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28563-2025</t>
        </is>
      </c>
      <c r="B11314" s="1" t="n">
        <v>45819.55390046296</v>
      </c>
      <c r="C11314" s="1" t="n">
        <v>46114</v>
      </c>
      <c r="D11314" t="inlineStr">
        <is>
          <t>DALARNAS LÄN</t>
        </is>
      </c>
      <c r="E11314" t="inlineStr">
        <is>
          <t>RÄTTVIK</t>
        </is>
      </c>
      <c r="F11314" t="inlineStr">
        <is>
          <t>Sveaskog</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14077-2025</t>
        </is>
      </c>
      <c r="B11315" s="1" t="n">
        <v>45740.43369212963</v>
      </c>
      <c r="C11315" s="1" t="n">
        <v>46114</v>
      </c>
      <c r="D11315" t="inlineStr">
        <is>
          <t>DALARNAS LÄN</t>
        </is>
      </c>
      <c r="E11315" t="inlineStr">
        <is>
          <t>MALUNG-SÄLEN</t>
        </is>
      </c>
      <c r="G11315" t="n">
        <v>2.8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34484-2024</t>
        </is>
      </c>
      <c r="B11316" s="1" t="n">
        <v>45525.60667824074</v>
      </c>
      <c r="C11316" s="1" t="n">
        <v>46114</v>
      </c>
      <c r="D11316" t="inlineStr">
        <is>
          <t>DALARNAS LÄN</t>
        </is>
      </c>
      <c r="E11316" t="inlineStr">
        <is>
          <t>SMEDJEBACKEN</t>
        </is>
      </c>
      <c r="F11316" t="inlineStr">
        <is>
          <t>Sveaskog</t>
        </is>
      </c>
      <c r="G11316" t="n">
        <v>4.7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28180-2025</t>
        </is>
      </c>
      <c r="B11317" s="1" t="n">
        <v>45818.39755787037</v>
      </c>
      <c r="C11317" s="1" t="n">
        <v>46114</v>
      </c>
      <c r="D11317" t="inlineStr">
        <is>
          <t>DALARNAS LÄN</t>
        </is>
      </c>
      <c r="E11317" t="inlineStr">
        <is>
          <t>HEDEMORA</t>
        </is>
      </c>
      <c r="F11317" t="inlineStr">
        <is>
          <t>Sveaskog</t>
        </is>
      </c>
      <c r="G11317" t="n">
        <v>1.6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28182-2025</t>
        </is>
      </c>
      <c r="B11318" s="1" t="n">
        <v>45818.40069444444</v>
      </c>
      <c r="C11318" s="1" t="n">
        <v>46114</v>
      </c>
      <c r="D11318" t="inlineStr">
        <is>
          <t>DALARNAS LÄN</t>
        </is>
      </c>
      <c r="E11318" t="inlineStr">
        <is>
          <t>HEDEMORA</t>
        </is>
      </c>
      <c r="F11318" t="inlineStr">
        <is>
          <t>Sveaskog</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28207-2025</t>
        </is>
      </c>
      <c r="B11319" s="1" t="n">
        <v>45818.44871527778</v>
      </c>
      <c r="C11319" s="1" t="n">
        <v>46114</v>
      </c>
      <c r="D11319" t="inlineStr">
        <is>
          <t>DALARNAS LÄN</t>
        </is>
      </c>
      <c r="E11319" t="inlineStr">
        <is>
          <t>ORSA</t>
        </is>
      </c>
      <c r="F11319" t="inlineStr">
        <is>
          <t>Bergvik skog öst AB</t>
        </is>
      </c>
      <c r="G11319" t="n">
        <v>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28268-2025</t>
        </is>
      </c>
      <c r="B11320" s="1" t="n">
        <v>45818.56835648148</v>
      </c>
      <c r="C11320" s="1" t="n">
        <v>46114</v>
      </c>
      <c r="D11320" t="inlineStr">
        <is>
          <t>DALARNAS LÄN</t>
        </is>
      </c>
      <c r="E11320" t="inlineStr">
        <is>
          <t>MALUNG-SÄLEN</t>
        </is>
      </c>
      <c r="F11320" t="inlineStr">
        <is>
          <t>Övriga statliga verk och myndigheter</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28635-2025</t>
        </is>
      </c>
      <c r="B11321" s="1" t="n">
        <v>45819.63112268518</v>
      </c>
      <c r="C11321" s="1" t="n">
        <v>46114</v>
      </c>
      <c r="D11321" t="inlineStr">
        <is>
          <t>DALARNAS LÄN</t>
        </is>
      </c>
      <c r="E11321" t="inlineStr">
        <is>
          <t>ORSA</t>
        </is>
      </c>
      <c r="F11321" t="inlineStr">
        <is>
          <t>Bergvik skog öst AB</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28317-2025</t>
        </is>
      </c>
      <c r="B11322" s="1" t="n">
        <v>45818.6300462963</v>
      </c>
      <c r="C11322" s="1" t="n">
        <v>46114</v>
      </c>
      <c r="D11322" t="inlineStr">
        <is>
          <t>DALARNAS LÄN</t>
        </is>
      </c>
      <c r="E11322" t="inlineStr">
        <is>
          <t>ORSA</t>
        </is>
      </c>
      <c r="F11322" t="inlineStr">
        <is>
          <t>Bergvik skog öst AB</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28336-2025</t>
        </is>
      </c>
      <c r="B11323" s="1" t="n">
        <v>45818.66671296296</v>
      </c>
      <c r="C11323" s="1" t="n">
        <v>46114</v>
      </c>
      <c r="D11323" t="inlineStr">
        <is>
          <t>DALARNAS LÄN</t>
        </is>
      </c>
      <c r="E11323" t="inlineStr">
        <is>
          <t>AVESTA</t>
        </is>
      </c>
      <c r="G11323" t="n">
        <v>1.6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28361-2025</t>
        </is>
      </c>
      <c r="B11324" s="1" t="n">
        <v>45818.81280092592</v>
      </c>
      <c r="C11324" s="1" t="n">
        <v>46114</v>
      </c>
      <c r="D11324" t="inlineStr">
        <is>
          <t>DALARNAS LÄN</t>
        </is>
      </c>
      <c r="E11324" t="inlineStr">
        <is>
          <t>AVESTA</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28470-2025</t>
        </is>
      </c>
      <c r="B11325" s="1" t="n">
        <v>45819.43546296296</v>
      </c>
      <c r="C11325" s="1" t="n">
        <v>46114</v>
      </c>
      <c r="D11325" t="inlineStr">
        <is>
          <t>DALARNAS LÄN</t>
        </is>
      </c>
      <c r="E11325" t="inlineStr">
        <is>
          <t>VANSBRO</t>
        </is>
      </c>
      <c r="F11325" t="inlineStr">
        <is>
          <t>Bergvik skog väst AB</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18830-2025</t>
        </is>
      </c>
      <c r="B11326" s="1" t="n">
        <v>45764.39090277778</v>
      </c>
      <c r="C11326" s="1" t="n">
        <v>46114</v>
      </c>
      <c r="D11326" t="inlineStr">
        <is>
          <t>DALARNAS LÄN</t>
        </is>
      </c>
      <c r="E11326" t="inlineStr">
        <is>
          <t>SMEDJEBACKEN</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28499-2025</t>
        </is>
      </c>
      <c r="B11327" s="1" t="n">
        <v>45818</v>
      </c>
      <c r="C11327" s="1" t="n">
        <v>46114</v>
      </c>
      <c r="D11327" t="inlineStr">
        <is>
          <t>DALARNAS LÄN</t>
        </is>
      </c>
      <c r="E11327" t="inlineStr">
        <is>
          <t>LEKSAND</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28133-2025</t>
        </is>
      </c>
      <c r="B11328" s="1" t="n">
        <v>45818.34246527778</v>
      </c>
      <c r="C11328" s="1" t="n">
        <v>46114</v>
      </c>
      <c r="D11328" t="inlineStr">
        <is>
          <t>DALARNAS LÄN</t>
        </is>
      </c>
      <c r="E11328" t="inlineStr">
        <is>
          <t>MALUNG-SÄLEN</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28679-2025</t>
        </is>
      </c>
      <c r="B11329" s="1" t="n">
        <v>45819</v>
      </c>
      <c r="C11329" s="1" t="n">
        <v>46114</v>
      </c>
      <c r="D11329" t="inlineStr">
        <is>
          <t>DALARNAS LÄN</t>
        </is>
      </c>
      <c r="E11329" t="inlineStr">
        <is>
          <t>FALUN</t>
        </is>
      </c>
      <c r="F11329" t="inlineStr">
        <is>
          <t>Allmännings- och besparingsskogar</t>
        </is>
      </c>
      <c r="G11329" t="n">
        <v>11.3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28609-2025</t>
        </is>
      </c>
      <c r="B11330" s="1" t="n">
        <v>45819.60303240741</v>
      </c>
      <c r="C11330" s="1" t="n">
        <v>46114</v>
      </c>
      <c r="D11330" t="inlineStr">
        <is>
          <t>DALARNAS LÄN</t>
        </is>
      </c>
      <c r="E11330" t="inlineStr">
        <is>
          <t>ORSA</t>
        </is>
      </c>
      <c r="F11330" t="inlineStr">
        <is>
          <t>Bergvik skog öst AB</t>
        </is>
      </c>
      <c r="G11330" t="n">
        <v>9.1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28483-2025</t>
        </is>
      </c>
      <c r="B11331" s="1" t="n">
        <v>45818</v>
      </c>
      <c r="C11331" s="1" t="n">
        <v>46114</v>
      </c>
      <c r="D11331" t="inlineStr">
        <is>
          <t>DALARNAS LÄN</t>
        </is>
      </c>
      <c r="E11331" t="inlineStr">
        <is>
          <t>LEKSAND</t>
        </is>
      </c>
      <c r="F11331" t="inlineStr">
        <is>
          <t>Bergvik skog väst AB</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28458-2025</t>
        </is>
      </c>
      <c r="B11332" s="1" t="n">
        <v>45819.413125</v>
      </c>
      <c r="C11332" s="1" t="n">
        <v>46114</v>
      </c>
      <c r="D11332" t="inlineStr">
        <is>
          <t>DALARNAS LÄN</t>
        </is>
      </c>
      <c r="E11332" t="inlineStr">
        <is>
          <t>LEKSAND</t>
        </is>
      </c>
      <c r="G11332" t="n">
        <v>3</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28683-2025</t>
        </is>
      </c>
      <c r="B11333" s="1" t="n">
        <v>45819</v>
      </c>
      <c r="C11333" s="1" t="n">
        <v>46114</v>
      </c>
      <c r="D11333" t="inlineStr">
        <is>
          <t>DALARNAS LÄN</t>
        </is>
      </c>
      <c r="E11333" t="inlineStr">
        <is>
          <t>RÄTTVIK</t>
        </is>
      </c>
      <c r="G11333" t="n">
        <v>3.2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18249-2025</t>
        </is>
      </c>
      <c r="B11334" s="1" t="n">
        <v>45762.33412037037</v>
      </c>
      <c r="C11334" s="1" t="n">
        <v>46114</v>
      </c>
      <c r="D11334" t="inlineStr">
        <is>
          <t>DALARNAS LÄN</t>
        </is>
      </c>
      <c r="E11334" t="inlineStr">
        <is>
          <t>MALUNG-SÄLEN</t>
        </is>
      </c>
      <c r="G11334" t="n">
        <v>8.5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28542-2025</t>
        </is>
      </c>
      <c r="B11335" s="1" t="n">
        <v>45818</v>
      </c>
      <c r="C11335" s="1" t="n">
        <v>46114</v>
      </c>
      <c r="D11335" t="inlineStr">
        <is>
          <t>DALARNAS LÄN</t>
        </is>
      </c>
      <c r="E11335" t="inlineStr">
        <is>
          <t>MALUNG-SÄLEN</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28087-2025</t>
        </is>
      </c>
      <c r="B11336" s="1" t="n">
        <v>45817.75277777778</v>
      </c>
      <c r="C11336" s="1" t="n">
        <v>46114</v>
      </c>
      <c r="D11336" t="inlineStr">
        <is>
          <t>DALARNAS LÄN</t>
        </is>
      </c>
      <c r="E11336" t="inlineStr">
        <is>
          <t>AVESTA</t>
        </is>
      </c>
      <c r="F11336" t="inlineStr">
        <is>
          <t>Sveaskog</t>
        </is>
      </c>
      <c r="G11336" t="n">
        <v>4.5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28191-2025</t>
        </is>
      </c>
      <c r="B11337" s="1" t="n">
        <v>45818.41689814815</v>
      </c>
      <c r="C11337" s="1" t="n">
        <v>46114</v>
      </c>
      <c r="D11337" t="inlineStr">
        <is>
          <t>DALARNAS LÄN</t>
        </is>
      </c>
      <c r="E11337" t="inlineStr">
        <is>
          <t>MALUNG-SÄLEN</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28192-2025</t>
        </is>
      </c>
      <c r="B11338" s="1" t="n">
        <v>45818.42233796296</v>
      </c>
      <c r="C11338" s="1" t="n">
        <v>46114</v>
      </c>
      <c r="D11338" t="inlineStr">
        <is>
          <t>DALARNAS LÄN</t>
        </is>
      </c>
      <c r="E11338" t="inlineStr">
        <is>
          <t>MALUNG-SÄLEN</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28435-2025</t>
        </is>
      </c>
      <c r="B11339" s="1" t="n">
        <v>45819</v>
      </c>
      <c r="C11339" s="1" t="n">
        <v>46114</v>
      </c>
      <c r="D11339" t="inlineStr">
        <is>
          <t>DALARNAS LÄN</t>
        </is>
      </c>
      <c r="E11339" t="inlineStr">
        <is>
          <t>LUDVIKA</t>
        </is>
      </c>
      <c r="F11339" t="inlineStr">
        <is>
          <t>Bergvik skog väst AB</t>
        </is>
      </c>
      <c r="G11339" t="n">
        <v>8.300000000000001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28505-2025</t>
        </is>
      </c>
      <c r="B11340" s="1" t="n">
        <v>45818</v>
      </c>
      <c r="C11340" s="1" t="n">
        <v>46114</v>
      </c>
      <c r="D11340" t="inlineStr">
        <is>
          <t>DALARNAS LÄN</t>
        </is>
      </c>
      <c r="E11340" t="inlineStr">
        <is>
          <t>LEKSAND</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16035-2025</t>
        </is>
      </c>
      <c r="B11341" s="1" t="n">
        <v>45749</v>
      </c>
      <c r="C11341" s="1" t="n">
        <v>46114</v>
      </c>
      <c r="D11341" t="inlineStr">
        <is>
          <t>DALARNAS LÄN</t>
        </is>
      </c>
      <c r="E11341" t="inlineStr">
        <is>
          <t>MALUNG-SÄLEN</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28488-2025</t>
        </is>
      </c>
      <c r="B11342" s="1" t="n">
        <v>45818</v>
      </c>
      <c r="C11342" s="1" t="n">
        <v>46114</v>
      </c>
      <c r="D11342" t="inlineStr">
        <is>
          <t>DALARNAS LÄN</t>
        </is>
      </c>
      <c r="E11342" t="inlineStr">
        <is>
          <t>LEKSAND</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29135-2025</t>
        </is>
      </c>
      <c r="B11343" s="1" t="n">
        <v>45821.60831018518</v>
      </c>
      <c r="C11343" s="1" t="n">
        <v>46114</v>
      </c>
      <c r="D11343" t="inlineStr">
        <is>
          <t>DALARNAS LÄN</t>
        </is>
      </c>
      <c r="E11343" t="inlineStr">
        <is>
          <t>RÄTTVIK</t>
        </is>
      </c>
      <c r="G11343" t="n">
        <v>4.3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29068-2025</t>
        </is>
      </c>
      <c r="B11344" s="1" t="n">
        <v>45821.50900462963</v>
      </c>
      <c r="C11344" s="1" t="n">
        <v>46114</v>
      </c>
      <c r="D11344" t="inlineStr">
        <is>
          <t>DALARNAS LÄN</t>
        </is>
      </c>
      <c r="E11344" t="inlineStr">
        <is>
          <t>MORA</t>
        </is>
      </c>
      <c r="G11344" t="n">
        <v>1.2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28976-2025</t>
        </is>
      </c>
      <c r="B11345" s="1" t="n">
        <v>45821.34855324074</v>
      </c>
      <c r="C11345" s="1" t="n">
        <v>46114</v>
      </c>
      <c r="D11345" t="inlineStr">
        <is>
          <t>DALARNAS LÄN</t>
        </is>
      </c>
      <c r="E11345" t="inlineStr">
        <is>
          <t>MORA</t>
        </is>
      </c>
      <c r="F11345" t="inlineStr">
        <is>
          <t>Bergvik skog öst AB</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28891-2025</t>
        </is>
      </c>
      <c r="B11346" s="1" t="n">
        <v>45820.6316087963</v>
      </c>
      <c r="C11346" s="1" t="n">
        <v>46114</v>
      </c>
      <c r="D11346" t="inlineStr">
        <is>
          <t>DALARNAS LÄN</t>
        </is>
      </c>
      <c r="E11346" t="inlineStr">
        <is>
          <t>BORLÄNGE</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28925-2025</t>
        </is>
      </c>
      <c r="B11347" s="1" t="n">
        <v>45820.67107638889</v>
      </c>
      <c r="C11347" s="1" t="n">
        <v>46114</v>
      </c>
      <c r="D11347" t="inlineStr">
        <is>
          <t>DALARNAS LÄN</t>
        </is>
      </c>
      <c r="E11347" t="inlineStr">
        <is>
          <t>MORA</t>
        </is>
      </c>
      <c r="G11347" t="n">
        <v>3.7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28927-2025</t>
        </is>
      </c>
      <c r="B11348" s="1" t="n">
        <v>45820.67221064815</v>
      </c>
      <c r="C11348" s="1" t="n">
        <v>46114</v>
      </c>
      <c r="D11348" t="inlineStr">
        <is>
          <t>DALARNAS LÄN</t>
        </is>
      </c>
      <c r="E11348" t="inlineStr">
        <is>
          <t>MORA</t>
        </is>
      </c>
      <c r="G11348" t="n">
        <v>0.4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28770-2025</t>
        </is>
      </c>
      <c r="B11349" s="1" t="n">
        <v>45820</v>
      </c>
      <c r="C11349" s="1" t="n">
        <v>46114</v>
      </c>
      <c r="D11349" t="inlineStr">
        <is>
          <t>DALARNAS LÄN</t>
        </is>
      </c>
      <c r="E11349" t="inlineStr">
        <is>
          <t>LEKSAND</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28811-2025</t>
        </is>
      </c>
      <c r="B11350" s="1" t="n">
        <v>45820.52292824074</v>
      </c>
      <c r="C11350" s="1" t="n">
        <v>46114</v>
      </c>
      <c r="D11350" t="inlineStr">
        <is>
          <t>DALARNAS LÄN</t>
        </is>
      </c>
      <c r="E11350" t="inlineStr">
        <is>
          <t>RÄTTVIK</t>
        </is>
      </c>
      <c r="G11350" t="n">
        <v>8.1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28838-2025</t>
        </is>
      </c>
      <c r="B11351" s="1" t="n">
        <v>45820.56359953704</v>
      </c>
      <c r="C11351" s="1" t="n">
        <v>46114</v>
      </c>
      <c r="D11351" t="inlineStr">
        <is>
          <t>DALARNAS LÄN</t>
        </is>
      </c>
      <c r="E11351" t="inlineStr">
        <is>
          <t>ÄLVDALEN</t>
        </is>
      </c>
      <c r="F11351" t="inlineStr">
        <is>
          <t>Allmännings- och besparingsskogar</t>
        </is>
      </c>
      <c r="G11351" t="n">
        <v>7.5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28864-2025</t>
        </is>
      </c>
      <c r="B11352" s="1" t="n">
        <v>45820.59396990741</v>
      </c>
      <c r="C11352" s="1" t="n">
        <v>46114</v>
      </c>
      <c r="D11352" t="inlineStr">
        <is>
          <t>DALARNAS LÄN</t>
        </is>
      </c>
      <c r="E11352" t="inlineStr">
        <is>
          <t>MALUNG-SÄLEN</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28828-2025</t>
        </is>
      </c>
      <c r="B11353" s="1" t="n">
        <v>45820</v>
      </c>
      <c r="C11353" s="1" t="n">
        <v>46114</v>
      </c>
      <c r="D11353" t="inlineStr">
        <is>
          <t>DALARNAS LÄN</t>
        </is>
      </c>
      <c r="E11353" t="inlineStr">
        <is>
          <t>FALUN</t>
        </is>
      </c>
      <c r="G11353" t="n">
        <v>0.4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28844-2025</t>
        </is>
      </c>
      <c r="B11354" s="1" t="n">
        <v>45820.57053240741</v>
      </c>
      <c r="C11354" s="1" t="n">
        <v>46114</v>
      </c>
      <c r="D11354" t="inlineStr">
        <is>
          <t>DALARNAS LÄN</t>
        </is>
      </c>
      <c r="E11354" t="inlineStr">
        <is>
          <t>ÄLVDALEN</t>
        </is>
      </c>
      <c r="F11354" t="inlineStr">
        <is>
          <t>Allmännings- och besparingsskogar</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28852-2025</t>
        </is>
      </c>
      <c r="B11355" s="1" t="n">
        <v>45820.57768518518</v>
      </c>
      <c r="C11355" s="1" t="n">
        <v>46114</v>
      </c>
      <c r="D11355" t="inlineStr">
        <is>
          <t>DALARNAS LÄN</t>
        </is>
      </c>
      <c r="E11355" t="inlineStr">
        <is>
          <t>SÄTER</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28850-2025</t>
        </is>
      </c>
      <c r="B11356" s="1" t="n">
        <v>45820.57655092593</v>
      </c>
      <c r="C11356" s="1" t="n">
        <v>46114</v>
      </c>
      <c r="D11356" t="inlineStr">
        <is>
          <t>DALARNAS LÄN</t>
        </is>
      </c>
      <c r="E11356" t="inlineStr">
        <is>
          <t>MALUNG-SÄLEN</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29097-2025</t>
        </is>
      </c>
      <c r="B11357" s="1" t="n">
        <v>45821.56467592593</v>
      </c>
      <c r="C11357" s="1" t="n">
        <v>46114</v>
      </c>
      <c r="D11357" t="inlineStr">
        <is>
          <t>DALARNAS LÄN</t>
        </is>
      </c>
      <c r="E11357" t="inlineStr">
        <is>
          <t>MALUNG-SÄLEN</t>
        </is>
      </c>
      <c r="F11357" t="inlineStr">
        <is>
          <t>Bergvik skog öst AB</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28924-2025</t>
        </is>
      </c>
      <c r="B11358" s="1" t="n">
        <v>45820.66846064815</v>
      </c>
      <c r="C11358" s="1" t="n">
        <v>46114</v>
      </c>
      <c r="D11358" t="inlineStr">
        <is>
          <t>DALARNAS LÄN</t>
        </is>
      </c>
      <c r="E11358" t="inlineStr">
        <is>
          <t>MORA</t>
        </is>
      </c>
      <c r="G11358" t="n">
        <v>0.6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28764-2025</t>
        </is>
      </c>
      <c r="B11359" s="1" t="n">
        <v>45820.41873842593</v>
      </c>
      <c r="C11359" s="1" t="n">
        <v>46114</v>
      </c>
      <c r="D11359" t="inlineStr">
        <is>
          <t>DALARNAS LÄN</t>
        </is>
      </c>
      <c r="E11359" t="inlineStr">
        <is>
          <t>MALUNG-SÄLEN</t>
        </is>
      </c>
      <c r="F11359" t="inlineStr">
        <is>
          <t>Allmännings- och besparingsskogar</t>
        </is>
      </c>
      <c r="G11359" t="n">
        <v>32.7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28721-2025</t>
        </is>
      </c>
      <c r="B11360" s="1" t="n">
        <v>45820.35876157408</v>
      </c>
      <c r="C11360" s="1" t="n">
        <v>46114</v>
      </c>
      <c r="D11360" t="inlineStr">
        <is>
          <t>DALARNAS LÄN</t>
        </is>
      </c>
      <c r="E11360" t="inlineStr">
        <is>
          <t>FALUN</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28751-2025</t>
        </is>
      </c>
      <c r="B11361" s="1" t="n">
        <v>45820.40034722222</v>
      </c>
      <c r="C11361" s="1" t="n">
        <v>46114</v>
      </c>
      <c r="D11361" t="inlineStr">
        <is>
          <t>DALARNAS LÄN</t>
        </is>
      </c>
      <c r="E11361" t="inlineStr">
        <is>
          <t>MORA</t>
        </is>
      </c>
      <c r="F11361" t="inlineStr">
        <is>
          <t>Bergvik skog öst AB</t>
        </is>
      </c>
      <c r="G11361" t="n">
        <v>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29052-2025</t>
        </is>
      </c>
      <c r="B11362" s="1" t="n">
        <v>45821.4656712963</v>
      </c>
      <c r="C11362" s="1" t="n">
        <v>46114</v>
      </c>
      <c r="D11362" t="inlineStr">
        <is>
          <t>DALARNAS LÄN</t>
        </is>
      </c>
      <c r="E11362" t="inlineStr">
        <is>
          <t>MALUNG-SÄLEN</t>
        </is>
      </c>
      <c r="F11362" t="inlineStr">
        <is>
          <t>Bergvik skog öst AB</t>
        </is>
      </c>
      <c r="G11362" t="n">
        <v>6.2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28980-2025</t>
        </is>
      </c>
      <c r="B11363" s="1" t="n">
        <v>45821</v>
      </c>
      <c r="C11363" s="1" t="n">
        <v>46114</v>
      </c>
      <c r="D11363" t="inlineStr">
        <is>
          <t>DALARNAS LÄN</t>
        </is>
      </c>
      <c r="E11363" t="inlineStr">
        <is>
          <t>SMEDJEBACKEN</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28985-2025</t>
        </is>
      </c>
      <c r="B11364" s="1" t="n">
        <v>45821.36862268519</v>
      </c>
      <c r="C11364" s="1" t="n">
        <v>46114</v>
      </c>
      <c r="D11364" t="inlineStr">
        <is>
          <t>DALARNAS LÄN</t>
        </is>
      </c>
      <c r="E11364" t="inlineStr">
        <is>
          <t>LEKSAND</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29041-2025</t>
        </is>
      </c>
      <c r="B11365" s="1" t="n">
        <v>45821.45039351852</v>
      </c>
      <c r="C11365" s="1" t="n">
        <v>46114</v>
      </c>
      <c r="D11365" t="inlineStr">
        <is>
          <t>DALARNAS LÄN</t>
        </is>
      </c>
      <c r="E11365" t="inlineStr">
        <is>
          <t>MALUNG-SÄLEN</t>
        </is>
      </c>
      <c r="F11365" t="inlineStr">
        <is>
          <t>Bergvik skog öst AB</t>
        </is>
      </c>
      <c r="G11365" t="n">
        <v>0.7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29042-2025</t>
        </is>
      </c>
      <c r="B11366" s="1" t="n">
        <v>45821</v>
      </c>
      <c r="C11366" s="1" t="n">
        <v>46114</v>
      </c>
      <c r="D11366" t="inlineStr">
        <is>
          <t>DALARNAS LÄN</t>
        </is>
      </c>
      <c r="E11366" t="inlineStr">
        <is>
          <t>SMEDJEBACKEN</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29040-2025</t>
        </is>
      </c>
      <c r="B11367" s="1" t="n">
        <v>45821.44921296297</v>
      </c>
      <c r="C11367" s="1" t="n">
        <v>46114</v>
      </c>
      <c r="D11367" t="inlineStr">
        <is>
          <t>DALARNAS LÄN</t>
        </is>
      </c>
      <c r="E11367" t="inlineStr">
        <is>
          <t>MALUNG-SÄLEN</t>
        </is>
      </c>
      <c r="F11367" t="inlineStr">
        <is>
          <t>Bergvik skog öst AB</t>
        </is>
      </c>
      <c r="G11367" t="n">
        <v>1.1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28730-2025</t>
        </is>
      </c>
      <c r="B11368" s="1" t="n">
        <v>45820.36541666667</v>
      </c>
      <c r="C11368" s="1" t="n">
        <v>46114</v>
      </c>
      <c r="D11368" t="inlineStr">
        <is>
          <t>DALARNAS LÄN</t>
        </is>
      </c>
      <c r="E11368" t="inlineStr">
        <is>
          <t>FALUN</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28735-2025</t>
        </is>
      </c>
      <c r="B11369" s="1" t="n">
        <v>45820.38018518518</v>
      </c>
      <c r="C11369" s="1" t="n">
        <v>46114</v>
      </c>
      <c r="D11369" t="inlineStr">
        <is>
          <t>DALARNAS LÄN</t>
        </is>
      </c>
      <c r="E11369" t="inlineStr">
        <is>
          <t>FALUN</t>
        </is>
      </c>
      <c r="G11369" t="n">
        <v>3.3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28737-2025</t>
        </is>
      </c>
      <c r="B11370" s="1" t="n">
        <v>45820.38174768518</v>
      </c>
      <c r="C11370" s="1" t="n">
        <v>46114</v>
      </c>
      <c r="D11370" t="inlineStr">
        <is>
          <t>DALARNAS LÄN</t>
        </is>
      </c>
      <c r="E11370" t="inlineStr">
        <is>
          <t>LUDVIKA</t>
        </is>
      </c>
      <c r="G11370" t="n">
        <v>1.4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28842-2025</t>
        </is>
      </c>
      <c r="B11371" s="1" t="n">
        <v>45820.56780092593</v>
      </c>
      <c r="C11371" s="1" t="n">
        <v>46114</v>
      </c>
      <c r="D11371" t="inlineStr">
        <is>
          <t>DALARNAS LÄN</t>
        </is>
      </c>
      <c r="E11371" t="inlineStr">
        <is>
          <t>ÄLVDALEN</t>
        </is>
      </c>
      <c r="F11371" t="inlineStr">
        <is>
          <t>Allmännings- och besparingsskogar</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28724-2025</t>
        </is>
      </c>
      <c r="B11372" s="1" t="n">
        <v>45820.36188657407</v>
      </c>
      <c r="C11372" s="1" t="n">
        <v>46114</v>
      </c>
      <c r="D11372" t="inlineStr">
        <is>
          <t>DALARNAS LÄN</t>
        </is>
      </c>
      <c r="E11372" t="inlineStr">
        <is>
          <t>FALUN</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29527-2025</t>
        </is>
      </c>
      <c r="B11373" s="1" t="n">
        <v>45825.34275462963</v>
      </c>
      <c r="C11373" s="1" t="n">
        <v>46114</v>
      </c>
      <c r="D11373" t="inlineStr">
        <is>
          <t>DALARNAS LÄN</t>
        </is>
      </c>
      <c r="E11373" t="inlineStr">
        <is>
          <t>FALUN</t>
        </is>
      </c>
      <c r="G11373" t="n">
        <v>2.3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29427-2025</t>
        </is>
      </c>
      <c r="B11374" s="1" t="n">
        <v>45824.64821759259</v>
      </c>
      <c r="C11374" s="1" t="n">
        <v>46114</v>
      </c>
      <c r="D11374" t="inlineStr">
        <is>
          <t>DALARNAS LÄN</t>
        </is>
      </c>
      <c r="E11374" t="inlineStr">
        <is>
          <t>FALUN</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29511-2025</t>
        </is>
      </c>
      <c r="B11375" s="1" t="n">
        <v>45825.30818287037</v>
      </c>
      <c r="C11375" s="1" t="n">
        <v>46114</v>
      </c>
      <c r="D11375" t="inlineStr">
        <is>
          <t>DALARNAS LÄN</t>
        </is>
      </c>
      <c r="E11375" t="inlineStr">
        <is>
          <t>RÄTTVIK</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29553-2025</t>
        </is>
      </c>
      <c r="B11376" s="1" t="n">
        <v>45825.35315972222</v>
      </c>
      <c r="C11376" s="1" t="n">
        <v>46114</v>
      </c>
      <c r="D11376" t="inlineStr">
        <is>
          <t>DALARNAS LÄN</t>
        </is>
      </c>
      <c r="E11376" t="inlineStr">
        <is>
          <t>LEKSAND</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28775-2025</t>
        </is>
      </c>
      <c r="B11377" s="1" t="n">
        <v>45819</v>
      </c>
      <c r="C11377" s="1" t="n">
        <v>46114</v>
      </c>
      <c r="D11377" t="inlineStr">
        <is>
          <t>DALARNAS LÄN</t>
        </is>
      </c>
      <c r="E11377" t="inlineStr">
        <is>
          <t>SMEDJEBACKEN</t>
        </is>
      </c>
      <c r="F11377" t="inlineStr">
        <is>
          <t>Bergvik skog väst AB</t>
        </is>
      </c>
      <c r="G11377" t="n">
        <v>22.8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29690-2025</t>
        </is>
      </c>
      <c r="B11378" s="1" t="n">
        <v>45825.53508101852</v>
      </c>
      <c r="C11378" s="1" t="n">
        <v>46114</v>
      </c>
      <c r="D11378" t="inlineStr">
        <is>
          <t>DALARNAS LÄN</t>
        </is>
      </c>
      <c r="E11378" t="inlineStr">
        <is>
          <t>HEDEMORA</t>
        </is>
      </c>
      <c r="G11378" t="n">
        <v>4.1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29695-2025</t>
        </is>
      </c>
      <c r="B11379" s="1" t="n">
        <v>45825</v>
      </c>
      <c r="C11379" s="1" t="n">
        <v>46114</v>
      </c>
      <c r="D11379" t="inlineStr">
        <is>
          <t>DALARNAS LÄN</t>
        </is>
      </c>
      <c r="E11379" t="inlineStr">
        <is>
          <t>RÄTTVIK</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29521-2025</t>
        </is>
      </c>
      <c r="B11380" s="1" t="n">
        <v>45825.33085648148</v>
      </c>
      <c r="C11380" s="1" t="n">
        <v>46114</v>
      </c>
      <c r="D11380" t="inlineStr">
        <is>
          <t>DALARNAS LÄN</t>
        </is>
      </c>
      <c r="E11380" t="inlineStr">
        <is>
          <t>RÄTTVIK</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29578-2025</t>
        </is>
      </c>
      <c r="B11381" s="1" t="n">
        <v>45825.37844907407</v>
      </c>
      <c r="C11381" s="1" t="n">
        <v>46114</v>
      </c>
      <c r="D11381" t="inlineStr">
        <is>
          <t>DALARNAS LÄN</t>
        </is>
      </c>
      <c r="E11381" t="inlineStr">
        <is>
          <t>LUDVIKA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29222-2025</t>
        </is>
      </c>
      <c r="B11382" s="1" t="n">
        <v>45824.32958333333</v>
      </c>
      <c r="C11382" s="1" t="n">
        <v>46114</v>
      </c>
      <c r="D11382" t="inlineStr">
        <is>
          <t>DALARNAS LÄN</t>
        </is>
      </c>
      <c r="E11382" t="inlineStr">
        <is>
          <t>SMEDJEBACKEN</t>
        </is>
      </c>
      <c r="F11382" t="inlineStr">
        <is>
          <t>Sveaskog</t>
        </is>
      </c>
      <c r="G11382" t="n">
        <v>5.7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29398-2025</t>
        </is>
      </c>
      <c r="B11383" s="1" t="n">
        <v>45824.61040509259</v>
      </c>
      <c r="C11383" s="1" t="n">
        <v>46114</v>
      </c>
      <c r="D11383" t="inlineStr">
        <is>
          <t>DALARNAS LÄN</t>
        </is>
      </c>
      <c r="E11383" t="inlineStr">
        <is>
          <t>MALUNG-SÄLEN</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29687-2025</t>
        </is>
      </c>
      <c r="B11384" s="1" t="n">
        <v>45825.51869212963</v>
      </c>
      <c r="C11384" s="1" t="n">
        <v>46114</v>
      </c>
      <c r="D11384" t="inlineStr">
        <is>
          <t>DALARNAS LÄN</t>
        </is>
      </c>
      <c r="E11384" t="inlineStr">
        <is>
          <t>RÄTTVIK</t>
        </is>
      </c>
      <c r="F11384" t="inlineStr">
        <is>
          <t>Bergvik skog väst AB</t>
        </is>
      </c>
      <c r="G11384" t="n">
        <v>6.9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29259-2025</t>
        </is>
      </c>
      <c r="B11385" s="1" t="n">
        <v>45824.39042824074</v>
      </c>
      <c r="C11385" s="1" t="n">
        <v>46114</v>
      </c>
      <c r="D11385" t="inlineStr">
        <is>
          <t>DALARNAS LÄN</t>
        </is>
      </c>
      <c r="E11385" t="inlineStr">
        <is>
          <t>MALUNG-SÄLEN</t>
        </is>
      </c>
      <c r="F11385" t="inlineStr">
        <is>
          <t>Bergvik skog väst AB</t>
        </is>
      </c>
      <c r="G11385" t="n">
        <v>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29684-2025</t>
        </is>
      </c>
      <c r="B11386" s="1" t="n">
        <v>45825.513125</v>
      </c>
      <c r="C11386" s="1" t="n">
        <v>46114</v>
      </c>
      <c r="D11386" t="inlineStr">
        <is>
          <t>DALARNAS LÄN</t>
        </is>
      </c>
      <c r="E11386" t="inlineStr">
        <is>
          <t>RÄTTVIK</t>
        </is>
      </c>
      <c r="F11386" t="inlineStr">
        <is>
          <t>Bergvik skog väst AB</t>
        </is>
      </c>
      <c r="G11386" t="n">
        <v>15.3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29225-2025</t>
        </is>
      </c>
      <c r="B11387" s="1" t="n">
        <v>45824.33739583333</v>
      </c>
      <c r="C11387" s="1" t="n">
        <v>46114</v>
      </c>
      <c r="D11387" t="inlineStr">
        <is>
          <t>DALARNAS LÄN</t>
        </is>
      </c>
      <c r="E11387" t="inlineStr">
        <is>
          <t>SÄTER</t>
        </is>
      </c>
      <c r="G11387" t="n">
        <v>0.8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29443-2025</t>
        </is>
      </c>
      <c r="B11388" s="1" t="n">
        <v>45824.66146990741</v>
      </c>
      <c r="C11388" s="1" t="n">
        <v>46114</v>
      </c>
      <c r="D11388" t="inlineStr">
        <is>
          <t>DALARNAS LÄN</t>
        </is>
      </c>
      <c r="E11388" t="inlineStr">
        <is>
          <t>LUDVIKA</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29697-2025</t>
        </is>
      </c>
      <c r="B11389" s="1" t="n">
        <v>45825</v>
      </c>
      <c r="C11389" s="1" t="n">
        <v>46114</v>
      </c>
      <c r="D11389" t="inlineStr">
        <is>
          <t>DALARNAS LÄN</t>
        </is>
      </c>
      <c r="E11389" t="inlineStr">
        <is>
          <t>RÄTTVIK</t>
        </is>
      </c>
      <c r="G11389" t="n">
        <v>7.4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29005-2025</t>
        </is>
      </c>
      <c r="B11390" s="1" t="n">
        <v>45821.39326388889</v>
      </c>
      <c r="C11390" s="1" t="n">
        <v>46114</v>
      </c>
      <c r="D11390" t="inlineStr">
        <is>
          <t>DALARNAS LÄN</t>
        </is>
      </c>
      <c r="E11390" t="inlineStr">
        <is>
          <t>LEKSAND</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29257-2025</t>
        </is>
      </c>
      <c r="B11391" s="1" t="n">
        <v>45824.38527777778</v>
      </c>
      <c r="C11391" s="1" t="n">
        <v>46114</v>
      </c>
      <c r="D11391" t="inlineStr">
        <is>
          <t>DALARNAS LÄN</t>
        </is>
      </c>
      <c r="E11391" t="inlineStr">
        <is>
          <t>MALUNG-SÄLEN</t>
        </is>
      </c>
      <c r="F11391" t="inlineStr">
        <is>
          <t>Bergvik skog väst AB</t>
        </is>
      </c>
      <c r="G11391" t="n">
        <v>4.2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29363-2025</t>
        </is>
      </c>
      <c r="B11392" s="1" t="n">
        <v>45824.56637731481</v>
      </c>
      <c r="C11392" s="1" t="n">
        <v>46114</v>
      </c>
      <c r="D11392" t="inlineStr">
        <is>
          <t>DALARNAS LÄN</t>
        </is>
      </c>
      <c r="E11392" t="inlineStr">
        <is>
          <t>MALUNG-SÄLEN</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29791-2025</t>
        </is>
      </c>
      <c r="B11393" s="1" t="n">
        <v>45825.66074074074</v>
      </c>
      <c r="C11393" s="1" t="n">
        <v>46114</v>
      </c>
      <c r="D11393" t="inlineStr">
        <is>
          <t>DALARNAS LÄN</t>
        </is>
      </c>
      <c r="E11393" t="inlineStr">
        <is>
          <t>FALUN</t>
        </is>
      </c>
      <c r="F11393" t="inlineStr">
        <is>
          <t>Bergvik skog väst AB</t>
        </is>
      </c>
      <c r="G11393" t="n">
        <v>6.7</v>
      </c>
      <c r="H11393" t="n">
        <v>0</v>
      </c>
      <c r="I11393" t="n">
        <v>0</v>
      </c>
      <c r="J11393" t="n">
        <v>0</v>
      </c>
      <c r="K11393" t="n">
        <v>0</v>
      </c>
      <c r="L11393" t="n">
        <v>0</v>
      </c>
      <c r="M11393" t="n">
        <v>0</v>
      </c>
      <c r="N11393" t="n">
        <v>0</v>
      </c>
      <c r="O11393" t="n">
        <v>0</v>
      </c>
      <c r="P11393" t="n">
        <v>0</v>
      </c>
      <c r="Q11393" t="n">
        <v>0</v>
      </c>
      <c r="R11393" s="2" t="inlineStr"/>
      <c r="U11393">
        <f>HYPERLINK("https://klasma.github.io/Logging_2080/knärot/A 29791-2025 karta knärot.png", "A 29791-2025")</f>
        <v/>
      </c>
      <c r="V11393">
        <f>HYPERLINK("https://klasma.github.io/Logging_2080/klagomål/A 29791-2025 FSC-klagomål.docx", "A 29791-2025")</f>
        <v/>
      </c>
      <c r="W11393">
        <f>HYPERLINK("https://klasma.github.io/Logging_2080/klagomålsmail/A 29791-2025 FSC-klagomål mail.docx", "A 29791-2025")</f>
        <v/>
      </c>
      <c r="X11393">
        <f>HYPERLINK("https://klasma.github.io/Logging_2080/tillsyn/A 29791-2025 tillsynsbegäran.docx", "A 29791-2025")</f>
        <v/>
      </c>
      <c r="Y11393">
        <f>HYPERLINK("https://klasma.github.io/Logging_2080/tillsynsmail/A 29791-2025 tillsynsbegäran mail.docx", "A 29791-2025")</f>
        <v/>
      </c>
    </row>
    <row r="11394" ht="15" customHeight="1">
      <c r="A11394" t="inlineStr">
        <is>
          <t>A 29519-2025</t>
        </is>
      </c>
      <c r="B11394" s="1" t="n">
        <v>45825.32450231481</v>
      </c>
      <c r="C11394" s="1" t="n">
        <v>46114</v>
      </c>
      <c r="D11394" t="inlineStr">
        <is>
          <t>DALARNAS LÄN</t>
        </is>
      </c>
      <c r="E11394" t="inlineStr">
        <is>
          <t>RÄTTVIK</t>
        </is>
      </c>
      <c r="G11394" t="n">
        <v>6.8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29522-2025</t>
        </is>
      </c>
      <c r="B11395" s="1" t="n">
        <v>45825.33287037037</v>
      </c>
      <c r="C11395" s="1" t="n">
        <v>46114</v>
      </c>
      <c r="D11395" t="inlineStr">
        <is>
          <t>DALARNAS LÄN</t>
        </is>
      </c>
      <c r="E11395" t="inlineStr">
        <is>
          <t>SÄTER</t>
        </is>
      </c>
      <c r="G11395" t="n">
        <v>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29528-2025</t>
        </is>
      </c>
      <c r="B11396" s="1" t="n">
        <v>45825.34322916667</v>
      </c>
      <c r="C11396" s="1" t="n">
        <v>46114</v>
      </c>
      <c r="D11396" t="inlineStr">
        <is>
          <t>DALARNAS LÄN</t>
        </is>
      </c>
      <c r="E11396" t="inlineStr">
        <is>
          <t>MORA</t>
        </is>
      </c>
      <c r="G11396" t="n">
        <v>2.2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29294-2025</t>
        </is>
      </c>
      <c r="B11397" s="1" t="n">
        <v>45824.44313657407</v>
      </c>
      <c r="C11397" s="1" t="n">
        <v>46114</v>
      </c>
      <c r="D11397" t="inlineStr">
        <is>
          <t>DALARNAS LÄN</t>
        </is>
      </c>
      <c r="E11397" t="inlineStr">
        <is>
          <t>FALUN</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29729-2025</t>
        </is>
      </c>
      <c r="B11398" s="1" t="n">
        <v>45825.58077546296</v>
      </c>
      <c r="C11398" s="1" t="n">
        <v>46114</v>
      </c>
      <c r="D11398" t="inlineStr">
        <is>
          <t>DALARNAS LÄN</t>
        </is>
      </c>
      <c r="E11398" t="inlineStr">
        <is>
          <t>LEKSAND</t>
        </is>
      </c>
      <c r="F11398" t="inlineStr">
        <is>
          <t>Bergvik skog väst AB</t>
        </is>
      </c>
      <c r="G11398" t="n">
        <v>4.3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29440-2025</t>
        </is>
      </c>
      <c r="B11399" s="1" t="n">
        <v>45824.65862268519</v>
      </c>
      <c r="C11399" s="1" t="n">
        <v>46114</v>
      </c>
      <c r="D11399" t="inlineStr">
        <is>
          <t>DALARNAS LÄN</t>
        </is>
      </c>
      <c r="E11399" t="inlineStr">
        <is>
          <t>MORA</t>
        </is>
      </c>
      <c r="G11399" t="n">
        <v>1.7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29281-2025</t>
        </is>
      </c>
      <c r="B11400" s="1" t="n">
        <v>45824.42596064815</v>
      </c>
      <c r="C11400" s="1" t="n">
        <v>46114</v>
      </c>
      <c r="D11400" t="inlineStr">
        <is>
          <t>DALARNAS LÄN</t>
        </is>
      </c>
      <c r="E11400" t="inlineStr">
        <is>
          <t>VANSBRO</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29676-2025</t>
        </is>
      </c>
      <c r="B11401" s="1" t="n">
        <v>45825</v>
      </c>
      <c r="C11401" s="1" t="n">
        <v>46114</v>
      </c>
      <c r="D11401" t="inlineStr">
        <is>
          <t>DALARNAS LÄN</t>
        </is>
      </c>
      <c r="E11401" t="inlineStr">
        <is>
          <t>RÄTTVIK</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29362-2025</t>
        </is>
      </c>
      <c r="B11402" s="1" t="n">
        <v>45824.56353009259</v>
      </c>
      <c r="C11402" s="1" t="n">
        <v>46114</v>
      </c>
      <c r="D11402" t="inlineStr">
        <is>
          <t>DALARNAS LÄN</t>
        </is>
      </c>
      <c r="E11402" t="inlineStr">
        <is>
          <t>MALUNG-SÄLEN</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29365-2025</t>
        </is>
      </c>
      <c r="B11403" s="1" t="n">
        <v>45824.56792824074</v>
      </c>
      <c r="C11403" s="1" t="n">
        <v>46114</v>
      </c>
      <c r="D11403" t="inlineStr">
        <is>
          <t>DALARNAS LÄN</t>
        </is>
      </c>
      <c r="E11403" t="inlineStr">
        <is>
          <t>MALUNG-SÄLEN</t>
        </is>
      </c>
      <c r="G11403" t="n">
        <v>0.6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29703-2025</t>
        </is>
      </c>
      <c r="B11404" s="1" t="n">
        <v>45825.55711805556</v>
      </c>
      <c r="C11404" s="1" t="n">
        <v>46114</v>
      </c>
      <c r="D11404" t="inlineStr">
        <is>
          <t>DALARNAS LÄN</t>
        </is>
      </c>
      <c r="E11404" t="inlineStr">
        <is>
          <t>FALUN</t>
        </is>
      </c>
      <c r="F11404" t="inlineStr">
        <is>
          <t>Bergvik skog väst AB</t>
        </is>
      </c>
      <c r="G11404" t="n">
        <v>11.8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29289-2025</t>
        </is>
      </c>
      <c r="B11405" s="1" t="n">
        <v>45824.43866898148</v>
      </c>
      <c r="C11405" s="1" t="n">
        <v>46114</v>
      </c>
      <c r="D11405" t="inlineStr">
        <is>
          <t>DALARNAS LÄN</t>
        </is>
      </c>
      <c r="E11405" t="inlineStr">
        <is>
          <t>RÄTTVIK</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29355-2025</t>
        </is>
      </c>
      <c r="B11406" s="1" t="n">
        <v>45824.54972222223</v>
      </c>
      <c r="C11406" s="1" t="n">
        <v>46114</v>
      </c>
      <c r="D11406" t="inlineStr">
        <is>
          <t>DALARNAS LÄN</t>
        </is>
      </c>
      <c r="E11406" t="inlineStr">
        <is>
          <t>FALUN</t>
        </is>
      </c>
      <c r="G11406" t="n">
        <v>1.9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29360-2025</t>
        </is>
      </c>
      <c r="B11407" s="1" t="n">
        <v>45824.56244212963</v>
      </c>
      <c r="C11407" s="1" t="n">
        <v>46114</v>
      </c>
      <c r="D11407" t="inlineStr">
        <is>
          <t>DALARNAS LÄN</t>
        </is>
      </c>
      <c r="E11407" t="inlineStr">
        <is>
          <t>RÄTTVIK</t>
        </is>
      </c>
      <c r="G11407" t="n">
        <v>3.9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29424-2025</t>
        </is>
      </c>
      <c r="B11408" s="1" t="n">
        <v>45824.64315972223</v>
      </c>
      <c r="C11408" s="1" t="n">
        <v>46114</v>
      </c>
      <c r="D11408" t="inlineStr">
        <is>
          <t>DALARNAS LÄN</t>
        </is>
      </c>
      <c r="E11408" t="inlineStr">
        <is>
          <t>MALUNG-SÄLEN</t>
        </is>
      </c>
      <c r="F11408" t="inlineStr">
        <is>
          <t>Bergvik skog väst AB</t>
        </is>
      </c>
      <c r="G11408" t="n">
        <v>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29425-2025</t>
        </is>
      </c>
      <c r="B11409" s="1" t="n">
        <v>45824.64524305556</v>
      </c>
      <c r="C11409" s="1" t="n">
        <v>46114</v>
      </c>
      <c r="D11409" t="inlineStr">
        <is>
          <t>DALARNAS LÄN</t>
        </is>
      </c>
      <c r="E11409" t="inlineStr">
        <is>
          <t>MORA</t>
        </is>
      </c>
      <c r="G11409" t="n">
        <v>4.4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30254-2025</t>
        </is>
      </c>
      <c r="B11410" s="1" t="n">
        <v>45827.42336805556</v>
      </c>
      <c r="C11410" s="1" t="n">
        <v>46114</v>
      </c>
      <c r="D11410" t="inlineStr">
        <is>
          <t>DALARNAS LÄN</t>
        </is>
      </c>
      <c r="E11410" t="inlineStr">
        <is>
          <t>LEKSAND</t>
        </is>
      </c>
      <c r="G11410" t="n">
        <v>3.5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30133-2025</t>
        </is>
      </c>
      <c r="B11411" s="1" t="n">
        <v>45826</v>
      </c>
      <c r="C11411" s="1" t="n">
        <v>46114</v>
      </c>
      <c r="D11411" t="inlineStr">
        <is>
          <t>DALARNAS LÄN</t>
        </is>
      </c>
      <c r="E11411" t="inlineStr">
        <is>
          <t>VANSBRO</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30146-2025</t>
        </is>
      </c>
      <c r="B11412" s="1" t="n">
        <v>45827.30365740741</v>
      </c>
      <c r="C11412" s="1" t="n">
        <v>46114</v>
      </c>
      <c r="D11412" t="inlineStr">
        <is>
          <t>DALARNAS LÄN</t>
        </is>
      </c>
      <c r="E11412" t="inlineStr">
        <is>
          <t>FALUN</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29848-2025</t>
        </is>
      </c>
      <c r="B11413" s="1" t="n">
        <v>45826</v>
      </c>
      <c r="C11413" s="1" t="n">
        <v>46114</v>
      </c>
      <c r="D11413" t="inlineStr">
        <is>
          <t>DALARNAS LÄN</t>
        </is>
      </c>
      <c r="E11413" t="inlineStr">
        <is>
          <t>GAGNEF</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30288-2025</t>
        </is>
      </c>
      <c r="B11414" s="1" t="n">
        <v>45827</v>
      </c>
      <c r="C11414" s="1" t="n">
        <v>46114</v>
      </c>
      <c r="D11414" t="inlineStr">
        <is>
          <t>DALARNAS LÄN</t>
        </is>
      </c>
      <c r="E11414" t="inlineStr">
        <is>
          <t>LUDVIKA</t>
        </is>
      </c>
      <c r="F11414" t="inlineStr">
        <is>
          <t>Bergvik skog väst AB</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30324-2025</t>
        </is>
      </c>
      <c r="B11415" s="1" t="n">
        <v>45827</v>
      </c>
      <c r="C11415" s="1" t="n">
        <v>46114</v>
      </c>
      <c r="D11415" t="inlineStr">
        <is>
          <t>DALARNAS LÄN</t>
        </is>
      </c>
      <c r="E11415" t="inlineStr">
        <is>
          <t>LUDVIKA</t>
        </is>
      </c>
      <c r="F11415" t="inlineStr">
        <is>
          <t>Bergvik skog väst AB</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30025-2025</t>
        </is>
      </c>
      <c r="B11416" s="1" t="n">
        <v>45826.56265046296</v>
      </c>
      <c r="C11416" s="1" t="n">
        <v>46114</v>
      </c>
      <c r="D11416" t="inlineStr">
        <is>
          <t>DALARNAS LÄN</t>
        </is>
      </c>
      <c r="E11416" t="inlineStr">
        <is>
          <t>ÄLVDALEN</t>
        </is>
      </c>
      <c r="G11416" t="n">
        <v>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30444-2025</t>
        </is>
      </c>
      <c r="B11417" s="1" t="n">
        <v>45827.64935185185</v>
      </c>
      <c r="C11417" s="1" t="n">
        <v>46114</v>
      </c>
      <c r="D11417" t="inlineStr">
        <is>
          <t>DALARNAS LÄN</t>
        </is>
      </c>
      <c r="E11417" t="inlineStr">
        <is>
          <t>RÄTTVIK</t>
        </is>
      </c>
      <c r="F11417" t="inlineStr">
        <is>
          <t>Sveaskog</t>
        </is>
      </c>
      <c r="G11417" t="n">
        <v>4.8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29943-2025</t>
        </is>
      </c>
      <c r="B11418" s="1" t="n">
        <v>45826.45706018519</v>
      </c>
      <c r="C11418" s="1" t="n">
        <v>46114</v>
      </c>
      <c r="D11418" t="inlineStr">
        <is>
          <t>DALARNAS LÄN</t>
        </is>
      </c>
      <c r="E11418" t="inlineStr">
        <is>
          <t>RÄTTVIK</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29950-2025</t>
        </is>
      </c>
      <c r="B11419" s="1" t="n">
        <v>45826.46914351852</v>
      </c>
      <c r="C11419" s="1" t="n">
        <v>46114</v>
      </c>
      <c r="D11419" t="inlineStr">
        <is>
          <t>DALARNAS LÄN</t>
        </is>
      </c>
      <c r="E11419" t="inlineStr">
        <is>
          <t>MALUNG-SÄLEN</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29966-2025</t>
        </is>
      </c>
      <c r="B11420" s="1" t="n">
        <v>45826</v>
      </c>
      <c r="C11420" s="1" t="n">
        <v>46114</v>
      </c>
      <c r="D11420" t="inlineStr">
        <is>
          <t>DALARNAS LÄN</t>
        </is>
      </c>
      <c r="E11420" t="inlineStr">
        <is>
          <t>LUDVIKA</t>
        </is>
      </c>
      <c r="F11420" t="inlineStr">
        <is>
          <t>Bergvik skog väst AB</t>
        </is>
      </c>
      <c r="G11420" t="n">
        <v>4.8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30193-2025</t>
        </is>
      </c>
      <c r="B11421" s="1" t="n">
        <v>45827.35201388889</v>
      </c>
      <c r="C11421" s="1" t="n">
        <v>46114</v>
      </c>
      <c r="D11421" t="inlineStr">
        <is>
          <t>DALARNAS LÄN</t>
        </is>
      </c>
      <c r="E11421" t="inlineStr">
        <is>
          <t>AVESTA</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30198-2025</t>
        </is>
      </c>
      <c r="B11422" s="1" t="n">
        <v>45827.35545138889</v>
      </c>
      <c r="C11422" s="1" t="n">
        <v>46114</v>
      </c>
      <c r="D11422" t="inlineStr">
        <is>
          <t>DALARNAS LÄN</t>
        </is>
      </c>
      <c r="E11422" t="inlineStr">
        <is>
          <t>AVESTA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30176-2025</t>
        </is>
      </c>
      <c r="B11423" s="1" t="n">
        <v>45827.34490740741</v>
      </c>
      <c r="C11423" s="1" t="n">
        <v>46114</v>
      </c>
      <c r="D11423" t="inlineStr">
        <is>
          <t>DALARNAS LÄN</t>
        </is>
      </c>
      <c r="E11423" t="inlineStr">
        <is>
          <t>MALUNG-SÄLEN</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30087-2025</t>
        </is>
      </c>
      <c r="B11424" s="1" t="n">
        <v>45826.6575</v>
      </c>
      <c r="C11424" s="1" t="n">
        <v>46114</v>
      </c>
      <c r="D11424" t="inlineStr">
        <is>
          <t>DALARNAS LÄN</t>
        </is>
      </c>
      <c r="E11424" t="inlineStr">
        <is>
          <t>MORA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30098-2025</t>
        </is>
      </c>
      <c r="B11425" s="1" t="n">
        <v>45826.67533564815</v>
      </c>
      <c r="C11425" s="1" t="n">
        <v>46114</v>
      </c>
      <c r="D11425" t="inlineStr">
        <is>
          <t>DALARNAS LÄN</t>
        </is>
      </c>
      <c r="E11425" t="inlineStr">
        <is>
          <t>GAGNEF</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29913-2025</t>
        </is>
      </c>
      <c r="B11426" s="1" t="n">
        <v>45826.41086805556</v>
      </c>
      <c r="C11426" s="1" t="n">
        <v>46114</v>
      </c>
      <c r="D11426" t="inlineStr">
        <is>
          <t>DALARNAS LÄN</t>
        </is>
      </c>
      <c r="E11426" t="inlineStr">
        <is>
          <t>MALUNG-SÄLEN</t>
        </is>
      </c>
      <c r="F11426" t="inlineStr">
        <is>
          <t>Allmännings- och besparingsskogar</t>
        </is>
      </c>
      <c r="G11426" t="n">
        <v>13.7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29918-2025</t>
        </is>
      </c>
      <c r="B11427" s="1" t="n">
        <v>45826</v>
      </c>
      <c r="C11427" s="1" t="n">
        <v>46114</v>
      </c>
      <c r="D11427" t="inlineStr">
        <is>
          <t>DALARNAS LÄN</t>
        </is>
      </c>
      <c r="E11427" t="inlineStr">
        <is>
          <t>LUDVIKA</t>
        </is>
      </c>
      <c r="F11427" t="inlineStr">
        <is>
          <t>Bergvik skog väst AB</t>
        </is>
      </c>
      <c r="G11427" t="n">
        <v>1.7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29933-2025</t>
        </is>
      </c>
      <c r="B11428" s="1" t="n">
        <v>45826.44121527778</v>
      </c>
      <c r="C11428" s="1" t="n">
        <v>46114</v>
      </c>
      <c r="D11428" t="inlineStr">
        <is>
          <t>DALARNAS LÄN</t>
        </is>
      </c>
      <c r="E11428" t="inlineStr">
        <is>
          <t>ORSA</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30032-2025</t>
        </is>
      </c>
      <c r="B11429" s="1" t="n">
        <v>45826.56873842593</v>
      </c>
      <c r="C11429" s="1" t="n">
        <v>46114</v>
      </c>
      <c r="D11429" t="inlineStr">
        <is>
          <t>DALARNAS LÄN</t>
        </is>
      </c>
      <c r="E11429" t="inlineStr">
        <is>
          <t>ÄLVDALEN</t>
        </is>
      </c>
      <c r="G11429" t="n">
        <v>5.5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30417-2025</t>
        </is>
      </c>
      <c r="B11430" s="1" t="n">
        <v>45827</v>
      </c>
      <c r="C11430" s="1" t="n">
        <v>46114</v>
      </c>
      <c r="D11430" t="inlineStr">
        <is>
          <t>DALARNAS LÄN</t>
        </is>
      </c>
      <c r="E11430" t="inlineStr">
        <is>
          <t>LUDVIKA</t>
        </is>
      </c>
      <c r="F11430" t="inlineStr">
        <is>
          <t>Bergvik skog väst AB</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30399-2025</t>
        </is>
      </c>
      <c r="B11431" s="1" t="n">
        <v>45827</v>
      </c>
      <c r="C11431" s="1" t="n">
        <v>46114</v>
      </c>
      <c r="D11431" t="inlineStr">
        <is>
          <t>DALARNAS LÄN</t>
        </is>
      </c>
      <c r="E11431" t="inlineStr">
        <is>
          <t>LUDVIKA</t>
        </is>
      </c>
      <c r="F11431" t="inlineStr">
        <is>
          <t>Bergvik skog väst AB</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30446-2025</t>
        </is>
      </c>
      <c r="B11432" s="1" t="n">
        <v>45827.65038194445</v>
      </c>
      <c r="C11432" s="1" t="n">
        <v>46114</v>
      </c>
      <c r="D11432" t="inlineStr">
        <is>
          <t>DALARNAS LÄN</t>
        </is>
      </c>
      <c r="E11432" t="inlineStr">
        <is>
          <t>RÄTTVIK</t>
        </is>
      </c>
      <c r="F11432" t="inlineStr">
        <is>
          <t>Sveaskog</t>
        </is>
      </c>
      <c r="G11432" t="n">
        <v>10.2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30148-2025</t>
        </is>
      </c>
      <c r="B11433" s="1" t="n">
        <v>45827.30564814815</v>
      </c>
      <c r="C11433" s="1" t="n">
        <v>46114</v>
      </c>
      <c r="D11433" t="inlineStr">
        <is>
          <t>DALARNAS LÄN</t>
        </is>
      </c>
      <c r="E11433" t="inlineStr">
        <is>
          <t>RÄTTVIK</t>
        </is>
      </c>
      <c r="G11433" t="n">
        <v>7.5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30166-2025</t>
        </is>
      </c>
      <c r="B11434" s="1" t="n">
        <v>45827.33116898148</v>
      </c>
      <c r="C11434" s="1" t="n">
        <v>46114</v>
      </c>
      <c r="D11434" t="inlineStr">
        <is>
          <t>DALARNAS LÄN</t>
        </is>
      </c>
      <c r="E11434" t="inlineStr">
        <is>
          <t>MORA</t>
        </is>
      </c>
      <c r="G11434" t="n">
        <v>1.3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29870-2025</t>
        </is>
      </c>
      <c r="B11435" s="1" t="n">
        <v>45826.35716435185</v>
      </c>
      <c r="C11435" s="1" t="n">
        <v>46114</v>
      </c>
      <c r="D11435" t="inlineStr">
        <is>
          <t>DALARNAS LÄN</t>
        </is>
      </c>
      <c r="E11435" t="inlineStr">
        <is>
          <t>MORA</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29873-2025</t>
        </is>
      </c>
      <c r="B11436" s="1" t="n">
        <v>45826</v>
      </c>
      <c r="C11436" s="1" t="n">
        <v>46114</v>
      </c>
      <c r="D11436" t="inlineStr">
        <is>
          <t>DALARNAS LÄN</t>
        </is>
      </c>
      <c r="E11436" t="inlineStr">
        <is>
          <t>MORA</t>
        </is>
      </c>
      <c r="G11436" t="n">
        <v>0.6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30540-2025</t>
        </is>
      </c>
      <c r="B11437" s="1" t="n">
        <v>45831.36956018519</v>
      </c>
      <c r="C11437" s="1" t="n">
        <v>46114</v>
      </c>
      <c r="D11437" t="inlineStr">
        <is>
          <t>DALARNAS LÄN</t>
        </is>
      </c>
      <c r="E11437" t="inlineStr">
        <is>
          <t>BORLÄNGE</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30582-2025</t>
        </is>
      </c>
      <c r="B11438" s="1" t="n">
        <v>45831.42349537037</v>
      </c>
      <c r="C11438" s="1" t="n">
        <v>46114</v>
      </c>
      <c r="D11438" t="inlineStr">
        <is>
          <t>DALARNAS LÄN</t>
        </is>
      </c>
      <c r="E11438" t="inlineStr">
        <is>
          <t>HEDEMORA</t>
        </is>
      </c>
      <c r="G11438" t="n">
        <v>1.8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30592-2025</t>
        </is>
      </c>
      <c r="B11439" s="1" t="n">
        <v>45831.438125</v>
      </c>
      <c r="C11439" s="1" t="n">
        <v>46114</v>
      </c>
      <c r="D11439" t="inlineStr">
        <is>
          <t>DALARNAS LÄN</t>
        </is>
      </c>
      <c r="E11439" t="inlineStr">
        <is>
          <t>SMEDJEBACKEN</t>
        </is>
      </c>
      <c r="G11439" t="n">
        <v>2.7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30593-2025</t>
        </is>
      </c>
      <c r="B11440" s="1" t="n">
        <v>45831.43954861111</v>
      </c>
      <c r="C11440" s="1" t="n">
        <v>46114</v>
      </c>
      <c r="D11440" t="inlineStr">
        <is>
          <t>DALARNAS LÄN</t>
        </is>
      </c>
      <c r="E11440" t="inlineStr">
        <is>
          <t>FALUN</t>
        </is>
      </c>
      <c r="G11440" t="n">
        <v>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30472-2025</t>
        </is>
      </c>
      <c r="B11441" s="1" t="n">
        <v>45827.94671296296</v>
      </c>
      <c r="C11441" s="1" t="n">
        <v>46114</v>
      </c>
      <c r="D11441" t="inlineStr">
        <is>
          <t>DALARNAS LÄN</t>
        </is>
      </c>
      <c r="E11441" t="inlineStr">
        <is>
          <t>HEDEMORA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30541-2025</t>
        </is>
      </c>
      <c r="B11442" s="1" t="n">
        <v>45831.37113425926</v>
      </c>
      <c r="C11442" s="1" t="n">
        <v>46114</v>
      </c>
      <c r="D11442" t="inlineStr">
        <is>
          <t>DALARNAS LÄN</t>
        </is>
      </c>
      <c r="E11442" t="inlineStr">
        <is>
          <t>FALUN</t>
        </is>
      </c>
      <c r="F11442" t="inlineStr">
        <is>
          <t>Bergvik skog väst AB</t>
        </is>
      </c>
      <c r="G11442" t="n">
        <v>6.4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30760-2025</t>
        </is>
      </c>
      <c r="B11443" s="1" t="n">
        <v>45831.59947916667</v>
      </c>
      <c r="C11443" s="1" t="n">
        <v>46114</v>
      </c>
      <c r="D11443" t="inlineStr">
        <is>
          <t>DALARNAS LÄN</t>
        </is>
      </c>
      <c r="E11443" t="inlineStr">
        <is>
          <t>LUDVIKA</t>
        </is>
      </c>
      <c r="F11443" t="inlineStr">
        <is>
          <t>Bergvik skog väst AB</t>
        </is>
      </c>
      <c r="G11443" t="n">
        <v>0.4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30748-2025</t>
        </is>
      </c>
      <c r="B11444" s="1" t="n">
        <v>45831.58627314815</v>
      </c>
      <c r="C11444" s="1" t="n">
        <v>46114</v>
      </c>
      <c r="D11444" t="inlineStr">
        <is>
          <t>DALARNAS LÄN</t>
        </is>
      </c>
      <c r="E11444" t="inlineStr">
        <is>
          <t>LUDVIKA</t>
        </is>
      </c>
      <c r="F11444" t="inlineStr">
        <is>
          <t>Bergvik skog väst AB</t>
        </is>
      </c>
      <c r="G11444" t="n">
        <v>0.4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30817-2025</t>
        </is>
      </c>
      <c r="B11445" s="1" t="n">
        <v>45831.6609375</v>
      </c>
      <c r="C11445" s="1" t="n">
        <v>46114</v>
      </c>
      <c r="D11445" t="inlineStr">
        <is>
          <t>DALARNAS LÄN</t>
        </is>
      </c>
      <c r="E11445" t="inlineStr">
        <is>
          <t>FALUN</t>
        </is>
      </c>
      <c r="G11445" t="n">
        <v>1.4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30804-2025</t>
        </is>
      </c>
      <c r="B11446" s="1" t="n">
        <v>45831</v>
      </c>
      <c r="C11446" s="1" t="n">
        <v>46114</v>
      </c>
      <c r="D11446" t="inlineStr">
        <is>
          <t>DALARNAS LÄN</t>
        </is>
      </c>
      <c r="E11446" t="inlineStr">
        <is>
          <t>FALUN</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30808-2025</t>
        </is>
      </c>
      <c r="B11447" s="1" t="n">
        <v>45831.65703703704</v>
      </c>
      <c r="C11447" s="1" t="n">
        <v>46114</v>
      </c>
      <c r="D11447" t="inlineStr">
        <is>
          <t>DALARNAS LÄN</t>
        </is>
      </c>
      <c r="E11447" t="inlineStr">
        <is>
          <t>MALUNG-SÄLEN</t>
        </is>
      </c>
      <c r="F11447" t="inlineStr">
        <is>
          <t>Kommuner</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30814-2025</t>
        </is>
      </c>
      <c r="B11448" s="1" t="n">
        <v>45831</v>
      </c>
      <c r="C11448" s="1" t="n">
        <v>46114</v>
      </c>
      <c r="D11448" t="inlineStr">
        <is>
          <t>DALARNAS LÄN</t>
        </is>
      </c>
      <c r="E11448" t="inlineStr">
        <is>
          <t>FALUN</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30524-2025</t>
        </is>
      </c>
      <c r="B11449" s="1" t="n">
        <v>45831.35322916666</v>
      </c>
      <c r="C11449" s="1" t="n">
        <v>46114</v>
      </c>
      <c r="D11449" t="inlineStr">
        <is>
          <t>DALARNAS LÄN</t>
        </is>
      </c>
      <c r="E11449" t="inlineStr">
        <is>
          <t>MALUNG-SÄLEN</t>
        </is>
      </c>
      <c r="G11449" t="n">
        <v>2.2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30556-2025</t>
        </is>
      </c>
      <c r="B11450" s="1" t="n">
        <v>45831.3905787037</v>
      </c>
      <c r="C11450" s="1" t="n">
        <v>46114</v>
      </c>
      <c r="D11450" t="inlineStr">
        <is>
          <t>DALARNAS LÄN</t>
        </is>
      </c>
      <c r="E11450" t="inlineStr">
        <is>
          <t>RÄTTVIK</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30471-2025</t>
        </is>
      </c>
      <c r="B11451" s="1" t="n">
        <v>45827.94552083333</v>
      </c>
      <c r="C11451" s="1" t="n">
        <v>46114</v>
      </c>
      <c r="D11451" t="inlineStr">
        <is>
          <t>DALARNAS LÄN</t>
        </is>
      </c>
      <c r="E11451" t="inlineStr">
        <is>
          <t>HEDEMORA</t>
        </is>
      </c>
      <c r="G11451" t="n">
        <v>0.3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30502-2025</t>
        </is>
      </c>
      <c r="B11452" s="1" t="n">
        <v>45830.82903935185</v>
      </c>
      <c r="C11452" s="1" t="n">
        <v>46114</v>
      </c>
      <c r="D11452" t="inlineStr">
        <is>
          <t>DALARNAS LÄN</t>
        </is>
      </c>
      <c r="E11452" t="inlineStr">
        <is>
          <t>ÄLVDALEN</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30707-2025</t>
        </is>
      </c>
      <c r="B11453" s="1" t="n">
        <v>45831.55048611111</v>
      </c>
      <c r="C11453" s="1" t="n">
        <v>46114</v>
      </c>
      <c r="D11453" t="inlineStr">
        <is>
          <t>DALARNAS LÄN</t>
        </is>
      </c>
      <c r="E11453" t="inlineStr">
        <is>
          <t>RÄTTVIK</t>
        </is>
      </c>
      <c r="G11453" t="n">
        <v>2.5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30812-2025</t>
        </is>
      </c>
      <c r="B11454" s="1" t="n">
        <v>45831.65957175926</v>
      </c>
      <c r="C11454" s="1" t="n">
        <v>46114</v>
      </c>
      <c r="D11454" t="inlineStr">
        <is>
          <t>DALARNAS LÄN</t>
        </is>
      </c>
      <c r="E11454" t="inlineStr">
        <is>
          <t>MALUNG-SÄLEN</t>
        </is>
      </c>
      <c r="F11454" t="inlineStr">
        <is>
          <t>Kommuner</t>
        </is>
      </c>
      <c r="G11454" t="n">
        <v>4.8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30819-2025</t>
        </is>
      </c>
      <c r="B11455" s="1" t="n">
        <v>45831.66144675926</v>
      </c>
      <c r="C11455" s="1" t="n">
        <v>46114</v>
      </c>
      <c r="D11455" t="inlineStr">
        <is>
          <t>DALARNAS LÄN</t>
        </is>
      </c>
      <c r="E11455" t="inlineStr">
        <is>
          <t>FALUN</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30507-2025</t>
        </is>
      </c>
      <c r="B11456" s="1" t="n">
        <v>45831.24760416667</v>
      </c>
      <c r="C11456" s="1" t="n">
        <v>46114</v>
      </c>
      <c r="D11456" t="inlineStr">
        <is>
          <t>DALARNAS LÄN</t>
        </is>
      </c>
      <c r="E11456" t="inlineStr">
        <is>
          <t>MORA</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30821-2025</t>
        </is>
      </c>
      <c r="B11457" s="1" t="n">
        <v>45831.66356481481</v>
      </c>
      <c r="C11457" s="1" t="n">
        <v>46114</v>
      </c>
      <c r="D11457" t="inlineStr">
        <is>
          <t>DALARNAS LÄN</t>
        </is>
      </c>
      <c r="E11457" t="inlineStr">
        <is>
          <t>MALUNG-SÄLEN</t>
        </is>
      </c>
      <c r="F11457" t="inlineStr">
        <is>
          <t>Kommuner</t>
        </is>
      </c>
      <c r="G11457" t="n">
        <v>0.4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30509-2025</t>
        </is>
      </c>
      <c r="B11458" s="1" t="n">
        <v>45831.25519675926</v>
      </c>
      <c r="C11458" s="1" t="n">
        <v>46114</v>
      </c>
      <c r="D11458" t="inlineStr">
        <is>
          <t>DALARNAS LÄN</t>
        </is>
      </c>
      <c r="E11458" t="inlineStr">
        <is>
          <t>MORA</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30724-2025</t>
        </is>
      </c>
      <c r="B11459" s="1" t="n">
        <v>45831.56690972222</v>
      </c>
      <c r="C11459" s="1" t="n">
        <v>46114</v>
      </c>
      <c r="D11459" t="inlineStr">
        <is>
          <t>DALARNAS LÄN</t>
        </is>
      </c>
      <c r="E11459" t="inlineStr">
        <is>
          <t>RÄTTVIK</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30562-2025</t>
        </is>
      </c>
      <c r="B11460" s="1" t="n">
        <v>45831</v>
      </c>
      <c r="C11460" s="1" t="n">
        <v>46114</v>
      </c>
      <c r="D11460" t="inlineStr">
        <is>
          <t>DALARNAS LÄN</t>
        </is>
      </c>
      <c r="E11460" t="inlineStr">
        <is>
          <t>LUDVIKA</t>
        </is>
      </c>
      <c r="F11460" t="inlineStr">
        <is>
          <t>Bergvik skog väst AB</t>
        </is>
      </c>
      <c r="G11460" t="n">
        <v>3.4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30566-2025</t>
        </is>
      </c>
      <c r="B11461" s="1" t="n">
        <v>45831.40608796296</v>
      </c>
      <c r="C11461" s="1" t="n">
        <v>46114</v>
      </c>
      <c r="D11461" t="inlineStr">
        <is>
          <t>DALARNAS LÄN</t>
        </is>
      </c>
      <c r="E11461" t="inlineStr">
        <is>
          <t>MALUNG-SÄLEN</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30633-2025</t>
        </is>
      </c>
      <c r="B11462" s="1" t="n">
        <v>45831.47927083333</v>
      </c>
      <c r="C11462" s="1" t="n">
        <v>46114</v>
      </c>
      <c r="D11462" t="inlineStr">
        <is>
          <t>DALARNAS LÄN</t>
        </is>
      </c>
      <c r="E11462" t="inlineStr">
        <is>
          <t>MALUNG-SÄLEN</t>
        </is>
      </c>
      <c r="F11462" t="inlineStr">
        <is>
          <t>Bergvik skog öst AB</t>
        </is>
      </c>
      <c r="G11462" t="n">
        <v>8.6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31537-2025</t>
        </is>
      </c>
      <c r="B11463" s="1" t="n">
        <v>45833</v>
      </c>
      <c r="C11463" s="1" t="n">
        <v>46114</v>
      </c>
      <c r="D11463" t="inlineStr">
        <is>
          <t>DALARNAS LÄN</t>
        </is>
      </c>
      <c r="E11463" t="inlineStr">
        <is>
          <t>MALUNG-SÄLEN</t>
        </is>
      </c>
      <c r="F11463" t="inlineStr">
        <is>
          <t>Allmännings- och besparingsskogar</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31589-2025</t>
        </is>
      </c>
      <c r="B11464" s="1" t="n">
        <v>45833.69518518518</v>
      </c>
      <c r="C11464" s="1" t="n">
        <v>46114</v>
      </c>
      <c r="D11464" t="inlineStr">
        <is>
          <t>DALARNAS LÄN</t>
        </is>
      </c>
      <c r="E11464" t="inlineStr">
        <is>
          <t>BORLÄNGE</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30989-2025</t>
        </is>
      </c>
      <c r="B11465" s="1" t="n">
        <v>45832.48185185185</v>
      </c>
      <c r="C11465" s="1" t="n">
        <v>46114</v>
      </c>
      <c r="D11465" t="inlineStr">
        <is>
          <t>DALARNAS LÄN</t>
        </is>
      </c>
      <c r="E11465" t="inlineStr">
        <is>
          <t>MORA</t>
        </is>
      </c>
      <c r="F11465" t="inlineStr">
        <is>
          <t>Bergvik skog öst AB</t>
        </is>
      </c>
      <c r="G11465" t="n">
        <v>4.1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31001-2025</t>
        </is>
      </c>
      <c r="B11466" s="1" t="n">
        <v>45832</v>
      </c>
      <c r="C11466" s="1" t="n">
        <v>46114</v>
      </c>
      <c r="D11466" t="inlineStr">
        <is>
          <t>DALARNAS LÄN</t>
        </is>
      </c>
      <c r="E11466" t="inlineStr">
        <is>
          <t>LUDVIKA</t>
        </is>
      </c>
      <c r="F11466" t="inlineStr">
        <is>
          <t>Bergvik skog väst AB</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30920-2025</t>
        </is>
      </c>
      <c r="B11467" s="1" t="n">
        <v>45832.38484953704</v>
      </c>
      <c r="C11467" s="1" t="n">
        <v>46114</v>
      </c>
      <c r="D11467" t="inlineStr">
        <is>
          <t>DALARNAS LÄN</t>
        </is>
      </c>
      <c r="E11467" t="inlineStr">
        <is>
          <t>LEKSAND</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30927-2025</t>
        </is>
      </c>
      <c r="B11468" s="1" t="n">
        <v>45832</v>
      </c>
      <c r="C11468" s="1" t="n">
        <v>46114</v>
      </c>
      <c r="D11468" t="inlineStr">
        <is>
          <t>DALARNAS LÄN</t>
        </is>
      </c>
      <c r="E11468" t="inlineStr">
        <is>
          <t>FALUN</t>
        </is>
      </c>
      <c r="F11468" t="inlineStr">
        <is>
          <t>Bergvik skog väst AB</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30934-2025</t>
        </is>
      </c>
      <c r="B11469" s="1" t="n">
        <v>45832.4041087963</v>
      </c>
      <c r="C11469" s="1" t="n">
        <v>46114</v>
      </c>
      <c r="D11469" t="inlineStr">
        <is>
          <t>DALARNAS LÄN</t>
        </is>
      </c>
      <c r="E11469" t="inlineStr">
        <is>
          <t>RÄTTVIK</t>
        </is>
      </c>
      <c r="F11469" t="inlineStr">
        <is>
          <t>Sveaskog</t>
        </is>
      </c>
      <c r="G11469" t="n">
        <v>3.8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30969-2025</t>
        </is>
      </c>
      <c r="B11470" s="1" t="n">
        <v>45832.45914351852</v>
      </c>
      <c r="C11470" s="1" t="n">
        <v>46114</v>
      </c>
      <c r="D11470" t="inlineStr">
        <is>
          <t>DALARNAS LÄN</t>
        </is>
      </c>
      <c r="E11470" t="inlineStr">
        <is>
          <t>LEKSAND</t>
        </is>
      </c>
      <c r="F11470" t="inlineStr">
        <is>
          <t>Bergvik skog väst AB</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30903-2025</t>
        </is>
      </c>
      <c r="B11471" s="1" t="n">
        <v>45832.36197916666</v>
      </c>
      <c r="C11471" s="1" t="n">
        <v>46114</v>
      </c>
      <c r="D11471" t="inlineStr">
        <is>
          <t>DALARNAS LÄN</t>
        </is>
      </c>
      <c r="E11471" t="inlineStr">
        <is>
          <t>SMEDJEBACKEN</t>
        </is>
      </c>
      <c r="F11471" t="inlineStr">
        <is>
          <t>Sveaskog</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30917-2025</t>
        </is>
      </c>
      <c r="B11472" s="1" t="n">
        <v>45832.37989583334</v>
      </c>
      <c r="C11472" s="1" t="n">
        <v>46114</v>
      </c>
      <c r="D11472" t="inlineStr">
        <is>
          <t>DALARNAS LÄN</t>
        </is>
      </c>
      <c r="E11472" t="inlineStr">
        <is>
          <t>LEKSAND</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31365-2025</t>
        </is>
      </c>
      <c r="B11473" s="1" t="n">
        <v>45833.43884259259</v>
      </c>
      <c r="C11473" s="1" t="n">
        <v>46114</v>
      </c>
      <c r="D11473" t="inlineStr">
        <is>
          <t>DALARNAS LÄN</t>
        </is>
      </c>
      <c r="E11473" t="inlineStr">
        <is>
          <t>ORSA</t>
        </is>
      </c>
      <c r="G11473" t="n">
        <v>1.6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31619-2025</t>
        </is>
      </c>
      <c r="B11474" s="1" t="n">
        <v>45833</v>
      </c>
      <c r="C11474" s="1" t="n">
        <v>46114</v>
      </c>
      <c r="D11474" t="inlineStr">
        <is>
          <t>DALARNAS LÄN</t>
        </is>
      </c>
      <c r="E11474" t="inlineStr">
        <is>
          <t>LEKSAND</t>
        </is>
      </c>
      <c r="G11474" t="n">
        <v>2.5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31260-2025</t>
        </is>
      </c>
      <c r="B11475" s="1" t="n">
        <v>45833</v>
      </c>
      <c r="C11475" s="1" t="n">
        <v>46114</v>
      </c>
      <c r="D11475" t="inlineStr">
        <is>
          <t>DALARNAS LÄN</t>
        </is>
      </c>
      <c r="E11475" t="inlineStr">
        <is>
          <t>RÄTTVIK</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30916-2025</t>
        </is>
      </c>
      <c r="B11476" s="1" t="n">
        <v>45832.37885416667</v>
      </c>
      <c r="C11476" s="1" t="n">
        <v>46114</v>
      </c>
      <c r="D11476" t="inlineStr">
        <is>
          <t>DALARNAS LÄN</t>
        </is>
      </c>
      <c r="E11476" t="inlineStr">
        <is>
          <t>LEKSAND</t>
        </is>
      </c>
      <c r="G11476" t="n">
        <v>0.7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31494-2025</t>
        </is>
      </c>
      <c r="B11477" s="1" t="n">
        <v>45833</v>
      </c>
      <c r="C11477" s="1" t="n">
        <v>46114</v>
      </c>
      <c r="D11477" t="inlineStr">
        <is>
          <t>DALARNAS LÄN</t>
        </is>
      </c>
      <c r="E11477" t="inlineStr">
        <is>
          <t>VANSBRO</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31516-2025</t>
        </is>
      </c>
      <c r="B11478" s="1" t="n">
        <v>45833</v>
      </c>
      <c r="C11478" s="1" t="n">
        <v>46114</v>
      </c>
      <c r="D11478" t="inlineStr">
        <is>
          <t>DALARNAS LÄN</t>
        </is>
      </c>
      <c r="E11478" t="inlineStr">
        <is>
          <t>VANSBRO</t>
        </is>
      </c>
      <c r="F11478" t="inlineStr">
        <is>
          <t>Bergvik skog väst AB</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31191-2025</t>
        </is>
      </c>
      <c r="B11479" s="1" t="n">
        <v>45832.68217592593</v>
      </c>
      <c r="C11479" s="1" t="n">
        <v>46114</v>
      </c>
      <c r="D11479" t="inlineStr">
        <is>
          <t>DALARNAS LÄN</t>
        </is>
      </c>
      <c r="E11479" t="inlineStr">
        <is>
          <t>VANSBRO</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31446-2025</t>
        </is>
      </c>
      <c r="B11480" s="1" t="n">
        <v>45833</v>
      </c>
      <c r="C11480" s="1" t="n">
        <v>46114</v>
      </c>
      <c r="D11480" t="inlineStr">
        <is>
          <t>DALARNAS LÄN</t>
        </is>
      </c>
      <c r="E11480" t="inlineStr">
        <is>
          <t>LEKSAND</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31039-2025</t>
        </is>
      </c>
      <c r="B11481" s="1" t="n">
        <v>45832</v>
      </c>
      <c r="C11481" s="1" t="n">
        <v>46114</v>
      </c>
      <c r="D11481" t="inlineStr">
        <is>
          <t>DALARNAS LÄN</t>
        </is>
      </c>
      <c r="E11481" t="inlineStr">
        <is>
          <t>LUDVIKA</t>
        </is>
      </c>
      <c r="F11481" t="inlineStr">
        <is>
          <t>Bergvik skog väst AB</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30911-2025</t>
        </is>
      </c>
      <c r="B11482" s="1" t="n">
        <v>45832.37547453704</v>
      </c>
      <c r="C11482" s="1" t="n">
        <v>46114</v>
      </c>
      <c r="D11482" t="inlineStr">
        <is>
          <t>DALARNAS LÄN</t>
        </is>
      </c>
      <c r="E11482" t="inlineStr">
        <is>
          <t>LEKSAND</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30914-2025</t>
        </is>
      </c>
      <c r="B11483" s="1" t="n">
        <v>45832.37792824074</v>
      </c>
      <c r="C11483" s="1" t="n">
        <v>46114</v>
      </c>
      <c r="D11483" t="inlineStr">
        <is>
          <t>DALARNAS LÄN</t>
        </is>
      </c>
      <c r="E11483" t="inlineStr">
        <is>
          <t>MALUNG-SÄLEN</t>
        </is>
      </c>
      <c r="F11483" t="inlineStr">
        <is>
          <t>Bergvik skog öst AB</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31534-2025</t>
        </is>
      </c>
      <c r="B11484" s="1" t="n">
        <v>45833</v>
      </c>
      <c r="C11484" s="1" t="n">
        <v>46114</v>
      </c>
      <c r="D11484" t="inlineStr">
        <is>
          <t>DALARNAS LÄN</t>
        </is>
      </c>
      <c r="E11484" t="inlineStr">
        <is>
          <t>MALUNG-SÄLEN</t>
        </is>
      </c>
      <c r="F11484" t="inlineStr">
        <is>
          <t>Allmännings- och besparingsskogar</t>
        </is>
      </c>
      <c r="G11484" t="n">
        <v>27.3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31297-2025</t>
        </is>
      </c>
      <c r="B11485" s="1" t="n">
        <v>45833</v>
      </c>
      <c r="C11485" s="1" t="n">
        <v>46114</v>
      </c>
      <c r="D11485" t="inlineStr">
        <is>
          <t>DALARNAS LÄN</t>
        </is>
      </c>
      <c r="E11485" t="inlineStr">
        <is>
          <t>RÄTTVIK</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31300-2025</t>
        </is>
      </c>
      <c r="B11486" s="1" t="n">
        <v>45833.37924768519</v>
      </c>
      <c r="C11486" s="1" t="n">
        <v>46114</v>
      </c>
      <c r="D11486" t="inlineStr">
        <is>
          <t>DALARNAS LÄN</t>
        </is>
      </c>
      <c r="E11486" t="inlineStr">
        <is>
          <t>RÄTTVIK</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31329-2025</t>
        </is>
      </c>
      <c r="B11487" s="1" t="n">
        <v>45833.41353009259</v>
      </c>
      <c r="C11487" s="1" t="n">
        <v>46114</v>
      </c>
      <c r="D11487" t="inlineStr">
        <is>
          <t>DALARNAS LÄN</t>
        </is>
      </c>
      <c r="E11487" t="inlineStr">
        <is>
          <t>VANSBRO</t>
        </is>
      </c>
      <c r="F11487" t="inlineStr">
        <is>
          <t>Bergvik skog väst AB</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31067-2025</t>
        </is>
      </c>
      <c r="B11488" s="1" t="n">
        <v>45832.57787037037</v>
      </c>
      <c r="C11488" s="1" t="n">
        <v>46114</v>
      </c>
      <c r="D11488" t="inlineStr">
        <is>
          <t>DALARNAS LÄN</t>
        </is>
      </c>
      <c r="E11488" t="inlineStr">
        <is>
          <t>MALUNG-SÄLEN</t>
        </is>
      </c>
      <c r="F11488" t="inlineStr">
        <is>
          <t>Bergvik skog öst AB</t>
        </is>
      </c>
      <c r="G11488" t="n">
        <v>8.1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31125-2025</t>
        </is>
      </c>
      <c r="B11489" s="1" t="n">
        <v>45832.62859953703</v>
      </c>
      <c r="C11489" s="1" t="n">
        <v>46114</v>
      </c>
      <c r="D11489" t="inlineStr">
        <is>
          <t>DALARNAS LÄN</t>
        </is>
      </c>
      <c r="E11489" t="inlineStr">
        <is>
          <t>VANSBRO</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31196-2025</t>
        </is>
      </c>
      <c r="B11490" s="1" t="n">
        <v>45832.68709490741</v>
      </c>
      <c r="C11490" s="1" t="n">
        <v>46114</v>
      </c>
      <c r="D11490" t="inlineStr">
        <is>
          <t>DALARNAS LÄN</t>
        </is>
      </c>
      <c r="E11490" t="inlineStr">
        <is>
          <t>VANSBRO</t>
        </is>
      </c>
      <c r="G11490" t="n">
        <v>0.5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31198-2025</t>
        </is>
      </c>
      <c r="B11491" s="1" t="n">
        <v>45832</v>
      </c>
      <c r="C11491" s="1" t="n">
        <v>46114</v>
      </c>
      <c r="D11491" t="inlineStr">
        <is>
          <t>DALARNAS LÄN</t>
        </is>
      </c>
      <c r="E11491" t="inlineStr">
        <is>
          <t>VANSBRO</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31230-2025</t>
        </is>
      </c>
      <c r="B11492" s="1" t="n">
        <v>45832</v>
      </c>
      <c r="C11492" s="1" t="n">
        <v>46114</v>
      </c>
      <c r="D11492" t="inlineStr">
        <is>
          <t>DALARNAS LÄN</t>
        </is>
      </c>
      <c r="E11492" t="inlineStr">
        <is>
          <t>FALUN</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31380-2025</t>
        </is>
      </c>
      <c r="B11493" s="1" t="n">
        <v>45833</v>
      </c>
      <c r="C11493" s="1" t="n">
        <v>46114</v>
      </c>
      <c r="D11493" t="inlineStr">
        <is>
          <t>DALARNAS LÄN</t>
        </is>
      </c>
      <c r="E11493" t="inlineStr">
        <is>
          <t>LUDVIKA</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31179-2025</t>
        </is>
      </c>
      <c r="B11494" s="1" t="n">
        <v>45832.67648148148</v>
      </c>
      <c r="C11494" s="1" t="n">
        <v>46114</v>
      </c>
      <c r="D11494" t="inlineStr">
        <is>
          <t>DALARNAS LÄN</t>
        </is>
      </c>
      <c r="E11494" t="inlineStr">
        <is>
          <t>LEKSAND</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31189-2025</t>
        </is>
      </c>
      <c r="B11495" s="1" t="n">
        <v>45832.6799537037</v>
      </c>
      <c r="C11495" s="1" t="n">
        <v>46114</v>
      </c>
      <c r="D11495" t="inlineStr">
        <is>
          <t>DALARNAS LÄN</t>
        </is>
      </c>
      <c r="E11495" t="inlineStr">
        <is>
          <t>LEKSAND</t>
        </is>
      </c>
      <c r="G11495" t="n">
        <v>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30973-2025</t>
        </is>
      </c>
      <c r="B11496" s="1" t="n">
        <v>45832.46300925926</v>
      </c>
      <c r="C11496" s="1" t="n">
        <v>46114</v>
      </c>
      <c r="D11496" t="inlineStr">
        <is>
          <t>DALARNAS LÄN</t>
        </is>
      </c>
      <c r="E11496" t="inlineStr">
        <is>
          <t>LEKSAND</t>
        </is>
      </c>
      <c r="F11496" t="inlineStr">
        <is>
          <t>Bergvik skog väst AB</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31470-2025</t>
        </is>
      </c>
      <c r="B11497" s="1" t="n">
        <v>45833.56387731482</v>
      </c>
      <c r="C11497" s="1" t="n">
        <v>46114</v>
      </c>
      <c r="D11497" t="inlineStr">
        <is>
          <t>DALARNAS LÄN</t>
        </is>
      </c>
      <c r="E11497" t="inlineStr">
        <is>
          <t>SMEDJEBACKEN</t>
        </is>
      </c>
      <c r="G11497" t="n">
        <v>1.9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31572-2025</t>
        </is>
      </c>
      <c r="B11498" s="1" t="n">
        <v>45833</v>
      </c>
      <c r="C11498" s="1" t="n">
        <v>46114</v>
      </c>
      <c r="D11498" t="inlineStr">
        <is>
          <t>DALARNAS LÄN</t>
        </is>
      </c>
      <c r="E11498" t="inlineStr">
        <is>
          <t>RÄTTVIK</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31144-2025</t>
        </is>
      </c>
      <c r="B11499" s="1" t="n">
        <v>45832</v>
      </c>
      <c r="C11499" s="1" t="n">
        <v>46114</v>
      </c>
      <c r="D11499" t="inlineStr">
        <is>
          <t>DALARNAS LÄN</t>
        </is>
      </c>
      <c r="E11499" t="inlineStr">
        <is>
          <t>LUDVIKA</t>
        </is>
      </c>
      <c r="F11499" t="inlineStr">
        <is>
          <t>Bergvik skog väst AB</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30869-2025</t>
        </is>
      </c>
      <c r="B11500" s="1" t="n">
        <v>45832</v>
      </c>
      <c r="C11500" s="1" t="n">
        <v>46114</v>
      </c>
      <c r="D11500" t="inlineStr">
        <is>
          <t>DALARNAS LÄN</t>
        </is>
      </c>
      <c r="E11500" t="inlineStr">
        <is>
          <t>FALUN</t>
        </is>
      </c>
      <c r="F11500" t="inlineStr">
        <is>
          <t>Bergvik skog väst AB</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30858-2025</t>
        </is>
      </c>
      <c r="B11501" s="1" t="n">
        <v>45831.92416666666</v>
      </c>
      <c r="C11501" s="1" t="n">
        <v>46114</v>
      </c>
      <c r="D11501" t="inlineStr">
        <is>
          <t>DALARNAS LÄN</t>
        </is>
      </c>
      <c r="E11501" t="inlineStr">
        <is>
          <t>MORA</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30859-2025</t>
        </is>
      </c>
      <c r="B11502" s="1" t="n">
        <v>45831.93105324074</v>
      </c>
      <c r="C11502" s="1" t="n">
        <v>46114</v>
      </c>
      <c r="D11502" t="inlineStr">
        <is>
          <t>DALARNAS LÄN</t>
        </is>
      </c>
      <c r="E11502" t="inlineStr">
        <is>
          <t>MORA</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31499-2025</t>
        </is>
      </c>
      <c r="B11503" s="1" t="n">
        <v>45833.5853125</v>
      </c>
      <c r="C11503" s="1" t="n">
        <v>46114</v>
      </c>
      <c r="D11503" t="inlineStr">
        <is>
          <t>DALARNAS LÄN</t>
        </is>
      </c>
      <c r="E11503" t="inlineStr">
        <is>
          <t>VANSBRO</t>
        </is>
      </c>
      <c r="G11503" t="n">
        <v>27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30919-2025</t>
        </is>
      </c>
      <c r="B11504" s="1" t="n">
        <v>45832.38466435186</v>
      </c>
      <c r="C11504" s="1" t="n">
        <v>46114</v>
      </c>
      <c r="D11504" t="inlineStr">
        <is>
          <t>DALARNAS LÄN</t>
        </is>
      </c>
      <c r="E11504" t="inlineStr">
        <is>
          <t>MALUNG-SÄLEN</t>
        </is>
      </c>
      <c r="F11504" t="inlineStr">
        <is>
          <t>Bergvik skog öst AB</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31489-2025</t>
        </is>
      </c>
      <c r="B11505" s="1" t="n">
        <v>45833</v>
      </c>
      <c r="C11505" s="1" t="n">
        <v>46114</v>
      </c>
      <c r="D11505" t="inlineStr">
        <is>
          <t>DALARNAS LÄN</t>
        </is>
      </c>
      <c r="E11505" t="inlineStr">
        <is>
          <t>VANSBRO</t>
        </is>
      </c>
      <c r="G11505" t="n">
        <v>9.1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31495-2025</t>
        </is>
      </c>
      <c r="B11506" s="1" t="n">
        <v>45833.5831712963</v>
      </c>
      <c r="C11506" s="1" t="n">
        <v>46114</v>
      </c>
      <c r="D11506" t="inlineStr">
        <is>
          <t>DALARNAS LÄN</t>
        </is>
      </c>
      <c r="E11506" t="inlineStr">
        <is>
          <t>VANSBRO</t>
        </is>
      </c>
      <c r="G11506" t="n">
        <v>11.6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31473-2025</t>
        </is>
      </c>
      <c r="B11507" s="1" t="n">
        <v>45833</v>
      </c>
      <c r="C11507" s="1" t="n">
        <v>46114</v>
      </c>
      <c r="D11507" t="inlineStr">
        <is>
          <t>DALARNAS LÄN</t>
        </is>
      </c>
      <c r="E11507" t="inlineStr">
        <is>
          <t>SMEDJEBACKEN</t>
        </is>
      </c>
      <c r="G11507" t="n">
        <v>1.4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31474-2025</t>
        </is>
      </c>
      <c r="B11508" s="1" t="n">
        <v>45833</v>
      </c>
      <c r="C11508" s="1" t="n">
        <v>46114</v>
      </c>
      <c r="D11508" t="inlineStr">
        <is>
          <t>DALARNAS LÄN</t>
        </is>
      </c>
      <c r="E11508" t="inlineStr">
        <is>
          <t>VANSBRO</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31493-2025</t>
        </is>
      </c>
      <c r="B11509" s="1" t="n">
        <v>45833</v>
      </c>
      <c r="C11509" s="1" t="n">
        <v>46114</v>
      </c>
      <c r="D11509" t="inlineStr">
        <is>
          <t>DALARNAS LÄN</t>
        </is>
      </c>
      <c r="E11509" t="inlineStr">
        <is>
          <t>LEKSAND</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31273-2025</t>
        </is>
      </c>
      <c r="B11510" s="1" t="n">
        <v>45833.34159722222</v>
      </c>
      <c r="C11510" s="1" t="n">
        <v>46114</v>
      </c>
      <c r="D11510" t="inlineStr">
        <is>
          <t>DALARNAS LÄN</t>
        </is>
      </c>
      <c r="E11510" t="inlineStr">
        <is>
          <t>RÄTTVIK</t>
        </is>
      </c>
      <c r="G11510" t="n">
        <v>0.6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31286-2025</t>
        </is>
      </c>
      <c r="B11511" s="1" t="n">
        <v>45833.35479166666</v>
      </c>
      <c r="C11511" s="1" t="n">
        <v>46114</v>
      </c>
      <c r="D11511" t="inlineStr">
        <is>
          <t>DALARNAS LÄN</t>
        </is>
      </c>
      <c r="E11511" t="inlineStr">
        <is>
          <t>RÄTTVIK</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31310-2025</t>
        </is>
      </c>
      <c r="B11512" s="1" t="n">
        <v>45833</v>
      </c>
      <c r="C11512" s="1" t="n">
        <v>46114</v>
      </c>
      <c r="D11512" t="inlineStr">
        <is>
          <t>DALARNAS LÄN</t>
        </is>
      </c>
      <c r="E11512" t="inlineStr">
        <is>
          <t>RÄTTVIK</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31818-2025</t>
        </is>
      </c>
      <c r="B11513" s="1" t="n">
        <v>45834.57716435185</v>
      </c>
      <c r="C11513" s="1" t="n">
        <v>46114</v>
      </c>
      <c r="D11513" t="inlineStr">
        <is>
          <t>DALARNAS LÄN</t>
        </is>
      </c>
      <c r="E11513" t="inlineStr">
        <is>
          <t>LUDVIKA</t>
        </is>
      </c>
      <c r="G11513" t="n">
        <v>2.5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31945-2025</t>
        </is>
      </c>
      <c r="B11514" s="1" t="n">
        <v>45835</v>
      </c>
      <c r="C11514" s="1" t="n">
        <v>46114</v>
      </c>
      <c r="D11514" t="inlineStr">
        <is>
          <t>DALARNAS LÄN</t>
        </is>
      </c>
      <c r="E11514" t="inlineStr">
        <is>
          <t>LEKSAND</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32153-2025</t>
        </is>
      </c>
      <c r="B11515" s="1" t="n">
        <v>45835.53376157407</v>
      </c>
      <c r="C11515" s="1" t="n">
        <v>46114</v>
      </c>
      <c r="D11515" t="inlineStr">
        <is>
          <t>DALARNAS LÄN</t>
        </is>
      </c>
      <c r="E11515" t="inlineStr">
        <is>
          <t>MALUNG-SÄLEN</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32063-2025</t>
        </is>
      </c>
      <c r="B11516" s="1" t="n">
        <v>45835.44703703704</v>
      </c>
      <c r="C11516" s="1" t="n">
        <v>46114</v>
      </c>
      <c r="D11516" t="inlineStr">
        <is>
          <t>DALARNAS LÄN</t>
        </is>
      </c>
      <c r="E11516" t="inlineStr">
        <is>
          <t>ÄLVDALEN</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32091-2025</t>
        </is>
      </c>
      <c r="B11517" s="1" t="n">
        <v>45835.45888888889</v>
      </c>
      <c r="C11517" s="1" t="n">
        <v>46114</v>
      </c>
      <c r="D11517" t="inlineStr">
        <is>
          <t>DALARNAS LÄN</t>
        </is>
      </c>
      <c r="E11517" t="inlineStr">
        <is>
          <t>SMEDJEBACKEN</t>
        </is>
      </c>
      <c r="F11517" t="inlineStr">
        <is>
          <t>Övriga Aktiebolag</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32104-2025</t>
        </is>
      </c>
      <c r="B11518" s="1" t="n">
        <v>45835</v>
      </c>
      <c r="C11518" s="1" t="n">
        <v>46114</v>
      </c>
      <c r="D11518" t="inlineStr">
        <is>
          <t>DALARNAS LÄN</t>
        </is>
      </c>
      <c r="E11518" t="inlineStr">
        <is>
          <t>LEKSAND</t>
        </is>
      </c>
      <c r="G11518" t="n">
        <v>3.1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32117-2025</t>
        </is>
      </c>
      <c r="B11519" s="1" t="n">
        <v>45835.48920138889</v>
      </c>
      <c r="C11519" s="1" t="n">
        <v>46114</v>
      </c>
      <c r="D11519" t="inlineStr">
        <is>
          <t>DALARNAS LÄN</t>
        </is>
      </c>
      <c r="E11519" t="inlineStr">
        <is>
          <t>MALUNG-SÄLEN</t>
        </is>
      </c>
      <c r="G11519" t="n">
        <v>34.5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31846-2025</t>
        </is>
      </c>
      <c r="B11520" s="1" t="n">
        <v>45834.60209490741</v>
      </c>
      <c r="C11520" s="1" t="n">
        <v>46114</v>
      </c>
      <c r="D11520" t="inlineStr">
        <is>
          <t>DALARNAS LÄN</t>
        </is>
      </c>
      <c r="E11520" t="inlineStr">
        <is>
          <t>MORA</t>
        </is>
      </c>
      <c r="G11520" t="n">
        <v>3.6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31849-2025</t>
        </is>
      </c>
      <c r="B11521" s="1" t="n">
        <v>45834.60525462963</v>
      </c>
      <c r="C11521" s="1" t="n">
        <v>46114</v>
      </c>
      <c r="D11521" t="inlineStr">
        <is>
          <t>DALARNAS LÄN</t>
        </is>
      </c>
      <c r="E11521" t="inlineStr">
        <is>
          <t>MORA</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31946-2025</t>
        </is>
      </c>
      <c r="B11522" s="1" t="n">
        <v>45835.3232175926</v>
      </c>
      <c r="C11522" s="1" t="n">
        <v>46114</v>
      </c>
      <c r="D11522" t="inlineStr">
        <is>
          <t>DALARNAS LÄN</t>
        </is>
      </c>
      <c r="E11522" t="inlineStr">
        <is>
          <t>RÄTTVIK</t>
        </is>
      </c>
      <c r="F11522" t="inlineStr">
        <is>
          <t>Sveaskog</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31976-2025</t>
        </is>
      </c>
      <c r="B11523" s="1" t="n">
        <v>45835.35462962963</v>
      </c>
      <c r="C11523" s="1" t="n">
        <v>46114</v>
      </c>
      <c r="D11523" t="inlineStr">
        <is>
          <t>DALARNAS LÄN</t>
        </is>
      </c>
      <c r="E11523" t="inlineStr">
        <is>
          <t>RÄTTVIK</t>
        </is>
      </c>
      <c r="F11523" t="inlineStr">
        <is>
          <t>Sveaskog</t>
        </is>
      </c>
      <c r="G11523" t="n">
        <v>4.6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31995-2025</t>
        </is>
      </c>
      <c r="B11524" s="1" t="n">
        <v>45835.37127314815</v>
      </c>
      <c r="C11524" s="1" t="n">
        <v>46114</v>
      </c>
      <c r="D11524" t="inlineStr">
        <is>
          <t>DALARNAS LÄN</t>
        </is>
      </c>
      <c r="E11524" t="inlineStr">
        <is>
          <t>RÄTTVIK</t>
        </is>
      </c>
      <c r="F11524" t="inlineStr">
        <is>
          <t>Bergvik skog väst AB</t>
        </is>
      </c>
      <c r="G11524" t="n">
        <v>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32166-2025</t>
        </is>
      </c>
      <c r="B11525" s="1" t="n">
        <v>45835.54628472222</v>
      </c>
      <c r="C11525" s="1" t="n">
        <v>46114</v>
      </c>
      <c r="D11525" t="inlineStr">
        <is>
          <t>DALARNAS LÄN</t>
        </is>
      </c>
      <c r="E11525" t="inlineStr">
        <is>
          <t>RÄTTVIK</t>
        </is>
      </c>
      <c r="F11525" t="inlineStr">
        <is>
          <t>Sveaskog</t>
        </is>
      </c>
      <c r="G11525" t="n">
        <v>8.699999999999999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32206-2025</t>
        </is>
      </c>
      <c r="B11526" s="1" t="n">
        <v>45835</v>
      </c>
      <c r="C11526" s="1" t="n">
        <v>46114</v>
      </c>
      <c r="D11526" t="inlineStr">
        <is>
          <t>DALARNAS LÄN</t>
        </is>
      </c>
      <c r="E11526" t="inlineStr">
        <is>
          <t>FALUN</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32224-2025</t>
        </is>
      </c>
      <c r="B11527" s="1" t="n">
        <v>45835</v>
      </c>
      <c r="C11527" s="1" t="n">
        <v>46114</v>
      </c>
      <c r="D11527" t="inlineStr">
        <is>
          <t>DALARNAS LÄN</t>
        </is>
      </c>
      <c r="E11527" t="inlineStr">
        <is>
          <t>LUDVIKA</t>
        </is>
      </c>
      <c r="F11527" t="inlineStr">
        <is>
          <t>Bergvik skog väst AB</t>
        </is>
      </c>
      <c r="G11527" t="n">
        <v>1.4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31659-2025</t>
        </is>
      </c>
      <c r="B11528" s="1" t="n">
        <v>45834.35421296296</v>
      </c>
      <c r="C11528" s="1" t="n">
        <v>46114</v>
      </c>
      <c r="D11528" t="inlineStr">
        <is>
          <t>DALARNAS LÄN</t>
        </is>
      </c>
      <c r="E11528" t="inlineStr">
        <is>
          <t>ORSA</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32129-2025</t>
        </is>
      </c>
      <c r="B11529" s="1" t="n">
        <v>45835</v>
      </c>
      <c r="C11529" s="1" t="n">
        <v>46114</v>
      </c>
      <c r="D11529" t="inlineStr">
        <is>
          <t>DALARNAS LÄN</t>
        </is>
      </c>
      <c r="E11529" t="inlineStr">
        <is>
          <t>MALUNG-SÄLEN</t>
        </is>
      </c>
      <c r="G11529" t="n">
        <v>26.3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32150-2025</t>
        </is>
      </c>
      <c r="B11530" s="1" t="n">
        <v>45835.53105324074</v>
      </c>
      <c r="C11530" s="1" t="n">
        <v>46114</v>
      </c>
      <c r="D11530" t="inlineStr">
        <is>
          <t>DALARNAS LÄN</t>
        </is>
      </c>
      <c r="E11530" t="inlineStr">
        <is>
          <t>VANSBRO</t>
        </is>
      </c>
      <c r="F11530" t="inlineStr">
        <is>
          <t>Övriga statliga verk och myndigheter</t>
        </is>
      </c>
      <c r="G11530" t="n">
        <v>5.5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32019-2025</t>
        </is>
      </c>
      <c r="B11531" s="1" t="n">
        <v>45835</v>
      </c>
      <c r="C11531" s="1" t="n">
        <v>46114</v>
      </c>
      <c r="D11531" t="inlineStr">
        <is>
          <t>DALARNAS LÄN</t>
        </is>
      </c>
      <c r="E11531" t="inlineStr">
        <is>
          <t>LUDVIKA</t>
        </is>
      </c>
      <c r="F11531" t="inlineStr">
        <is>
          <t>Bergvik skog väst AB</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32040-2025</t>
        </is>
      </c>
      <c r="B11532" s="1" t="n">
        <v>45835.42917824074</v>
      </c>
      <c r="C11532" s="1" t="n">
        <v>46114</v>
      </c>
      <c r="D11532" t="inlineStr">
        <is>
          <t>DALARNAS LÄN</t>
        </is>
      </c>
      <c r="E11532" t="inlineStr">
        <is>
          <t>VANSBRO</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31700-2025</t>
        </is>
      </c>
      <c r="B11533" s="1" t="n">
        <v>45834</v>
      </c>
      <c r="C11533" s="1" t="n">
        <v>46114</v>
      </c>
      <c r="D11533" t="inlineStr">
        <is>
          <t>DALARNAS LÄN</t>
        </is>
      </c>
      <c r="E11533" t="inlineStr">
        <is>
          <t>MALUNG-SÄLEN</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31787-2025</t>
        </is>
      </c>
      <c r="B11534" s="1" t="n">
        <v>45834</v>
      </c>
      <c r="C11534" s="1" t="n">
        <v>46114</v>
      </c>
      <c r="D11534" t="inlineStr">
        <is>
          <t>DALARNAS LÄN</t>
        </is>
      </c>
      <c r="E11534" t="inlineStr">
        <is>
          <t>LEKSAND</t>
        </is>
      </c>
      <c r="F11534" t="inlineStr">
        <is>
          <t>Bergvik skog väst AB</t>
        </is>
      </c>
      <c r="G11534" t="n">
        <v>1.3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31842-2025</t>
        </is>
      </c>
      <c r="B11535" s="1" t="n">
        <v>45834.59822916667</v>
      </c>
      <c r="C11535" s="1" t="n">
        <v>46114</v>
      </c>
      <c r="D11535" t="inlineStr">
        <is>
          <t>DALARNAS LÄN</t>
        </is>
      </c>
      <c r="E11535" t="inlineStr">
        <is>
          <t>MORA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31796-2025</t>
        </is>
      </c>
      <c r="B11536" s="1" t="n">
        <v>45834.54943287037</v>
      </c>
      <c r="C11536" s="1" t="n">
        <v>46114</v>
      </c>
      <c r="D11536" t="inlineStr">
        <is>
          <t>DALARNAS LÄN</t>
        </is>
      </c>
      <c r="E11536" t="inlineStr">
        <is>
          <t>ÄLVDALEN</t>
        </is>
      </c>
      <c r="G11536" t="n">
        <v>65.5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31838-2025</t>
        </is>
      </c>
      <c r="B11537" s="1" t="n">
        <v>45834.59554398148</v>
      </c>
      <c r="C11537" s="1" t="n">
        <v>46114</v>
      </c>
      <c r="D11537" t="inlineStr">
        <is>
          <t>DALARNAS LÄN</t>
        </is>
      </c>
      <c r="E11537" t="inlineStr">
        <is>
          <t>FALUN</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32216-2025</t>
        </is>
      </c>
      <c r="B11538" s="1" t="n">
        <v>45835.58814814815</v>
      </c>
      <c r="C11538" s="1" t="n">
        <v>46114</v>
      </c>
      <c r="D11538" t="inlineStr">
        <is>
          <t>DALARNAS LÄN</t>
        </is>
      </c>
      <c r="E11538" t="inlineStr">
        <is>
          <t>FALUN</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32301-2025</t>
        </is>
      </c>
      <c r="B11539" s="1" t="n">
        <v>45835</v>
      </c>
      <c r="C11539" s="1" t="n">
        <v>46114</v>
      </c>
      <c r="D11539" t="inlineStr">
        <is>
          <t>DALARNAS LÄN</t>
        </is>
      </c>
      <c r="E11539" t="inlineStr">
        <is>
          <t>LEKSAND</t>
        </is>
      </c>
      <c r="G11539" t="n">
        <v>2.2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31622-2025</t>
        </is>
      </c>
      <c r="B11540" s="1" t="n">
        <v>45833.89387731482</v>
      </c>
      <c r="C11540" s="1" t="n">
        <v>46114</v>
      </c>
      <c r="D11540" t="inlineStr">
        <is>
          <t>DALARNAS LÄN</t>
        </is>
      </c>
      <c r="E11540" t="inlineStr">
        <is>
          <t>RÄTTVIK</t>
        </is>
      </c>
      <c r="G11540" t="n">
        <v>1.2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31998-2025</t>
        </is>
      </c>
      <c r="B11541" s="1" t="n">
        <v>45835.37701388889</v>
      </c>
      <c r="C11541" s="1" t="n">
        <v>46114</v>
      </c>
      <c r="D11541" t="inlineStr">
        <is>
          <t>DALARNAS LÄN</t>
        </is>
      </c>
      <c r="E11541" t="inlineStr">
        <is>
          <t>MALUNG-SÄLEN</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32940-2025</t>
        </is>
      </c>
      <c r="B11542" s="1" t="n">
        <v>45839.67778935185</v>
      </c>
      <c r="C11542" s="1" t="n">
        <v>46114</v>
      </c>
      <c r="D11542" t="inlineStr">
        <is>
          <t>DALARNAS LÄN</t>
        </is>
      </c>
      <c r="E11542" t="inlineStr">
        <is>
          <t>MALUNG-SÄLEN</t>
        </is>
      </c>
      <c r="F11542" t="inlineStr">
        <is>
          <t>Kommuner</t>
        </is>
      </c>
      <c r="G11542" t="n">
        <v>1.3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32569-2025</t>
        </is>
      </c>
      <c r="B11543" s="1" t="n">
        <v>45838</v>
      </c>
      <c r="C11543" s="1" t="n">
        <v>46114</v>
      </c>
      <c r="D11543" t="inlineStr">
        <is>
          <t>DALARNAS LÄN</t>
        </is>
      </c>
      <c r="E11543" t="inlineStr">
        <is>
          <t>SÄTER</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32570-2025</t>
        </is>
      </c>
      <c r="B11544" s="1" t="n">
        <v>45838</v>
      </c>
      <c r="C11544" s="1" t="n">
        <v>46114</v>
      </c>
      <c r="D11544" t="inlineStr">
        <is>
          <t>DALARNAS LÄN</t>
        </is>
      </c>
      <c r="E11544" t="inlineStr">
        <is>
          <t>MALUNG-SÄLEN</t>
        </is>
      </c>
      <c r="G11544" t="n">
        <v>5.6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32571-2025</t>
        </is>
      </c>
      <c r="B11545" s="1" t="n">
        <v>45838</v>
      </c>
      <c r="C11545" s="1" t="n">
        <v>46114</v>
      </c>
      <c r="D11545" t="inlineStr">
        <is>
          <t>DALARNAS LÄN</t>
        </is>
      </c>
      <c r="E11545" t="inlineStr">
        <is>
          <t>SÄTER</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32653-2025</t>
        </is>
      </c>
      <c r="B11546" s="1" t="n">
        <v>45838</v>
      </c>
      <c r="C11546" s="1" t="n">
        <v>46114</v>
      </c>
      <c r="D11546" t="inlineStr">
        <is>
          <t>DALARNAS LÄN</t>
        </is>
      </c>
      <c r="E11546" t="inlineStr">
        <is>
          <t>LEKSAND</t>
        </is>
      </c>
      <c r="G11546" t="n">
        <v>5.6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32668-2025</t>
        </is>
      </c>
      <c r="B11547" s="1" t="n">
        <v>45838.69678240741</v>
      </c>
      <c r="C11547" s="1" t="n">
        <v>46114</v>
      </c>
      <c r="D11547" t="inlineStr">
        <is>
          <t>DALARNAS LÄN</t>
        </is>
      </c>
      <c r="E11547" t="inlineStr">
        <is>
          <t>ÄLVDALEN</t>
        </is>
      </c>
      <c r="F11547" t="inlineStr">
        <is>
          <t>Övriga Aktiebolag</t>
        </is>
      </c>
      <c r="G11547" t="n">
        <v>29.5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32702-2025</t>
        </is>
      </c>
      <c r="B11548" s="1" t="n">
        <v>45839.34805555556</v>
      </c>
      <c r="C11548" s="1" t="n">
        <v>46114</v>
      </c>
      <c r="D11548" t="inlineStr">
        <is>
          <t>DALARNAS LÄN</t>
        </is>
      </c>
      <c r="E11548" t="inlineStr">
        <is>
          <t>MALUNG-SÄLEN</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32703-2025</t>
        </is>
      </c>
      <c r="B11549" s="1" t="n">
        <v>45839.35089120371</v>
      </c>
      <c r="C11549" s="1" t="n">
        <v>46114</v>
      </c>
      <c r="D11549" t="inlineStr">
        <is>
          <t>DALARNAS LÄN</t>
        </is>
      </c>
      <c r="E11549" t="inlineStr">
        <is>
          <t>BORLÄNGE</t>
        </is>
      </c>
      <c r="G11549" t="n">
        <v>2.1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32631-2025</t>
        </is>
      </c>
      <c r="B11550" s="1" t="n">
        <v>45838.65545138889</v>
      </c>
      <c r="C11550" s="1" t="n">
        <v>46114</v>
      </c>
      <c r="D11550" t="inlineStr">
        <is>
          <t>DALARNAS LÄN</t>
        </is>
      </c>
      <c r="E11550" t="inlineStr">
        <is>
          <t>FALUN</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32855-2025</t>
        </is>
      </c>
      <c r="B11551" s="1" t="n">
        <v>45839.57643518518</v>
      </c>
      <c r="C11551" s="1" t="n">
        <v>46114</v>
      </c>
      <c r="D11551" t="inlineStr">
        <is>
          <t>DALARNAS LÄN</t>
        </is>
      </c>
      <c r="E11551" t="inlineStr">
        <is>
          <t>LEKSAND</t>
        </is>
      </c>
      <c r="G11551" t="n">
        <v>0.7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32661-2025</t>
        </is>
      </c>
      <c r="B11552" s="1" t="n">
        <v>45838.67953703704</v>
      </c>
      <c r="C11552" s="1" t="n">
        <v>46114</v>
      </c>
      <c r="D11552" t="inlineStr">
        <is>
          <t>DALARNAS LÄN</t>
        </is>
      </c>
      <c r="E11552" t="inlineStr">
        <is>
          <t>LEKSAND</t>
        </is>
      </c>
      <c r="G11552" t="n">
        <v>0.8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32865-2025</t>
        </is>
      </c>
      <c r="B11553" s="1" t="n">
        <v>45839.58767361111</v>
      </c>
      <c r="C11553" s="1" t="n">
        <v>46114</v>
      </c>
      <c r="D11553" t="inlineStr">
        <is>
          <t>DALARNAS LÄN</t>
        </is>
      </c>
      <c r="E11553" t="inlineStr">
        <is>
          <t>HEDEMORA</t>
        </is>
      </c>
      <c r="F11553" t="inlineStr">
        <is>
          <t>Sveaskog</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32935-2025</t>
        </is>
      </c>
      <c r="B11554" s="1" t="n">
        <v>45839.67460648148</v>
      </c>
      <c r="C11554" s="1" t="n">
        <v>46114</v>
      </c>
      <c r="D11554" t="inlineStr">
        <is>
          <t>DALARNAS LÄN</t>
        </is>
      </c>
      <c r="E11554" t="inlineStr">
        <is>
          <t>MALUNG-SÄLEN</t>
        </is>
      </c>
      <c r="F11554" t="inlineStr">
        <is>
          <t>Kommuner</t>
        </is>
      </c>
      <c r="G11554" t="n">
        <v>12.9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32944-2025</t>
        </is>
      </c>
      <c r="B11555" s="1" t="n">
        <v>45839.68015046296</v>
      </c>
      <c r="C11555" s="1" t="n">
        <v>46114</v>
      </c>
      <c r="D11555" t="inlineStr">
        <is>
          <t>DALARNAS LÄN</t>
        </is>
      </c>
      <c r="E11555" t="inlineStr">
        <is>
          <t>MALUNG-SÄLEN</t>
        </is>
      </c>
      <c r="F11555" t="inlineStr">
        <is>
          <t>Kommuner</t>
        </is>
      </c>
      <c r="G11555" t="n">
        <v>11.3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32420-2025</t>
        </is>
      </c>
      <c r="B11556" s="1" t="n">
        <v>45838</v>
      </c>
      <c r="C11556" s="1" t="n">
        <v>46114</v>
      </c>
      <c r="D11556" t="inlineStr">
        <is>
          <t>DALARNAS LÄN</t>
        </is>
      </c>
      <c r="E11556" t="inlineStr">
        <is>
          <t>MALUNG-SÄLEN</t>
        </is>
      </c>
      <c r="F11556" t="inlineStr">
        <is>
          <t>Bergvik skog öst AB</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32869-2025</t>
        </is>
      </c>
      <c r="B11557" s="1" t="n">
        <v>45839.58927083333</v>
      </c>
      <c r="C11557" s="1" t="n">
        <v>46114</v>
      </c>
      <c r="D11557" t="inlineStr">
        <is>
          <t>DALARNAS LÄN</t>
        </is>
      </c>
      <c r="E11557" t="inlineStr">
        <is>
          <t>HEDEMORA</t>
        </is>
      </c>
      <c r="F11557" t="inlineStr">
        <is>
          <t>Sveaskog</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32753-2025</t>
        </is>
      </c>
      <c r="B11558" s="1" t="n">
        <v>45838</v>
      </c>
      <c r="C11558" s="1" t="n">
        <v>46114</v>
      </c>
      <c r="D11558" t="inlineStr">
        <is>
          <t>DALARNAS LÄN</t>
        </is>
      </c>
      <c r="E11558" t="inlineStr">
        <is>
          <t>FALUN</t>
        </is>
      </c>
      <c r="G11558" t="n">
        <v>1.9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32593-2025</t>
        </is>
      </c>
      <c r="B11559" s="1" t="n">
        <v>45838</v>
      </c>
      <c r="C11559" s="1" t="n">
        <v>46114</v>
      </c>
      <c r="D11559" t="inlineStr">
        <is>
          <t>DALARNAS LÄN</t>
        </is>
      </c>
      <c r="E11559" t="inlineStr">
        <is>
          <t>LEKSAND</t>
        </is>
      </c>
      <c r="F11559" t="inlineStr">
        <is>
          <t>Bergvik skog väst AB</t>
        </is>
      </c>
      <c r="G11559" t="n">
        <v>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32325-2025</t>
        </is>
      </c>
      <c r="B11560" s="1" t="n">
        <v>45836</v>
      </c>
      <c r="C11560" s="1" t="n">
        <v>46114</v>
      </c>
      <c r="D11560" t="inlineStr">
        <is>
          <t>DALARNAS LÄN</t>
        </is>
      </c>
      <c r="E11560" t="inlineStr">
        <is>
          <t>ORSA</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32852-2025</t>
        </is>
      </c>
      <c r="B11561" s="1" t="n">
        <v>45839.57559027777</v>
      </c>
      <c r="C11561" s="1" t="n">
        <v>46114</v>
      </c>
      <c r="D11561" t="inlineStr">
        <is>
          <t>DALARNAS LÄN</t>
        </is>
      </c>
      <c r="E11561" t="inlineStr">
        <is>
          <t>MORA</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32700-2025</t>
        </is>
      </c>
      <c r="B11562" s="1" t="n">
        <v>45839</v>
      </c>
      <c r="C11562" s="1" t="n">
        <v>46114</v>
      </c>
      <c r="D11562" t="inlineStr">
        <is>
          <t>DALARNAS LÄN</t>
        </is>
      </c>
      <c r="E11562" t="inlineStr">
        <is>
          <t>MALUNG-SÄLEN</t>
        </is>
      </c>
      <c r="G11562" t="n">
        <v>4.2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32424-2025</t>
        </is>
      </c>
      <c r="B11563" s="1" t="n">
        <v>45838</v>
      </c>
      <c r="C11563" s="1" t="n">
        <v>46114</v>
      </c>
      <c r="D11563" t="inlineStr">
        <is>
          <t>DALARNAS LÄN</t>
        </is>
      </c>
      <c r="E11563" t="inlineStr">
        <is>
          <t>LUDVIKA</t>
        </is>
      </c>
      <c r="F11563" t="inlineStr">
        <is>
          <t>Bergvik skog väst AB</t>
        </is>
      </c>
      <c r="G11563" t="n">
        <v>10.9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32317-2025</t>
        </is>
      </c>
      <c r="B11564" s="1" t="n">
        <v>45836</v>
      </c>
      <c r="C11564" s="1" t="n">
        <v>46114</v>
      </c>
      <c r="D11564" t="inlineStr">
        <is>
          <t>DALARNAS LÄN</t>
        </is>
      </c>
      <c r="E11564" t="inlineStr">
        <is>
          <t>FALUN</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32802-2025</t>
        </is>
      </c>
      <c r="B11565" s="1" t="n">
        <v>45839</v>
      </c>
      <c r="C11565" s="1" t="n">
        <v>46114</v>
      </c>
      <c r="D11565" t="inlineStr">
        <is>
          <t>DALARNAS LÄN</t>
        </is>
      </c>
      <c r="E11565" t="inlineStr">
        <is>
          <t>FALUN</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32456-2025</t>
        </is>
      </c>
      <c r="B11566" s="1" t="n">
        <v>45838.40711805555</v>
      </c>
      <c r="C11566" s="1" t="n">
        <v>46114</v>
      </c>
      <c r="D11566" t="inlineStr">
        <is>
          <t>DALARNAS LÄN</t>
        </is>
      </c>
      <c r="E11566" t="inlineStr">
        <is>
          <t>FALUN</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33160-2025</t>
        </is>
      </c>
      <c r="B11567" s="1" t="n">
        <v>45840</v>
      </c>
      <c r="C11567" s="1" t="n">
        <v>46114</v>
      </c>
      <c r="D11567" t="inlineStr">
        <is>
          <t>DALARNAS LÄN</t>
        </is>
      </c>
      <c r="E11567" t="inlineStr">
        <is>
          <t>LEKSAND</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33190-2025</t>
        </is>
      </c>
      <c r="B11568" s="1" t="n">
        <v>45840.59939814815</v>
      </c>
      <c r="C11568" s="1" t="n">
        <v>46114</v>
      </c>
      <c r="D11568" t="inlineStr">
        <is>
          <t>DALARNAS LÄN</t>
        </is>
      </c>
      <c r="E11568" t="inlineStr">
        <is>
          <t>MALUNG-SÄLEN</t>
        </is>
      </c>
      <c r="G11568" t="n">
        <v>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33249-2025</t>
        </is>
      </c>
      <c r="B11569" s="1" t="n">
        <v>45840</v>
      </c>
      <c r="C11569" s="1" t="n">
        <v>46114</v>
      </c>
      <c r="D11569" t="inlineStr">
        <is>
          <t>DALARNAS LÄN</t>
        </is>
      </c>
      <c r="E11569" t="inlineStr">
        <is>
          <t>LUDVIKA</t>
        </is>
      </c>
      <c r="F11569" t="inlineStr">
        <is>
          <t>Bergvik skog väst AB</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32984-2025</t>
        </is>
      </c>
      <c r="B11570" s="1" t="n">
        <v>45839.93006944445</v>
      </c>
      <c r="C11570" s="1" t="n">
        <v>46114</v>
      </c>
      <c r="D11570" t="inlineStr">
        <is>
          <t>DALARNAS LÄN</t>
        </is>
      </c>
      <c r="E11570" t="inlineStr">
        <is>
          <t>ORSA</t>
        </is>
      </c>
      <c r="G11570" t="n">
        <v>0.5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32985-2025</t>
        </is>
      </c>
      <c r="B11571" s="1" t="n">
        <v>45839.93033564815</v>
      </c>
      <c r="C11571" s="1" t="n">
        <v>46114</v>
      </c>
      <c r="D11571" t="inlineStr">
        <is>
          <t>DALARNAS LÄN</t>
        </is>
      </c>
      <c r="E11571" t="inlineStr">
        <is>
          <t>ORSA</t>
        </is>
      </c>
      <c r="G11571" t="n">
        <v>1.6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32996-2025</t>
        </is>
      </c>
      <c r="B11572" s="1" t="n">
        <v>45840</v>
      </c>
      <c r="C11572" s="1" t="n">
        <v>46114</v>
      </c>
      <c r="D11572" t="inlineStr">
        <is>
          <t>DALARNAS LÄN</t>
        </is>
      </c>
      <c r="E11572" t="inlineStr">
        <is>
          <t>SMEDJEBACKEN</t>
        </is>
      </c>
      <c r="F11572" t="inlineStr">
        <is>
          <t>Övriga Aktiebolag</t>
        </is>
      </c>
      <c r="G11572" t="n">
        <v>3.9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33102-2025</t>
        </is>
      </c>
      <c r="B11573" s="1" t="n">
        <v>45840</v>
      </c>
      <c r="C11573" s="1" t="n">
        <v>46114</v>
      </c>
      <c r="D11573" t="inlineStr">
        <is>
          <t>DALARNAS LÄN</t>
        </is>
      </c>
      <c r="E11573" t="inlineStr">
        <is>
          <t>GAGNEF</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33640-2025</t>
        </is>
      </c>
      <c r="B11574" s="1" t="n">
        <v>45841.64982638889</v>
      </c>
      <c r="C11574" s="1" t="n">
        <v>46114</v>
      </c>
      <c r="D11574" t="inlineStr">
        <is>
          <t>DALARNAS LÄN</t>
        </is>
      </c>
      <c r="E11574" t="inlineStr">
        <is>
          <t>RÄTTVIK</t>
        </is>
      </c>
      <c r="F11574" t="inlineStr">
        <is>
          <t>Bergvik skog väst AB</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33148-2025</t>
        </is>
      </c>
      <c r="B11575" s="1" t="n">
        <v>45840</v>
      </c>
      <c r="C11575" s="1" t="n">
        <v>46114</v>
      </c>
      <c r="D11575" t="inlineStr">
        <is>
          <t>DALARNAS LÄN</t>
        </is>
      </c>
      <c r="E11575" t="inlineStr">
        <is>
          <t>FALUN</t>
        </is>
      </c>
      <c r="G11575" t="n">
        <v>1.3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33158-2025</t>
        </is>
      </c>
      <c r="B11576" s="1" t="n">
        <v>45840</v>
      </c>
      <c r="C11576" s="1" t="n">
        <v>46114</v>
      </c>
      <c r="D11576" t="inlineStr">
        <is>
          <t>DALARNAS LÄN</t>
        </is>
      </c>
      <c r="E11576" t="inlineStr">
        <is>
          <t>ORSA</t>
        </is>
      </c>
      <c r="F11576" t="inlineStr">
        <is>
          <t>Bergvik skog öst AB</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33306-2025</t>
        </is>
      </c>
      <c r="B11577" s="1" t="n">
        <v>45841</v>
      </c>
      <c r="C11577" s="1" t="n">
        <v>46114</v>
      </c>
      <c r="D11577" t="inlineStr">
        <is>
          <t>DALARNAS LÄN</t>
        </is>
      </c>
      <c r="E11577" t="inlineStr">
        <is>
          <t>MALUNG-SÄLEN</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33086-2025</t>
        </is>
      </c>
      <c r="B11578" s="1" t="n">
        <v>45840.46732638889</v>
      </c>
      <c r="C11578" s="1" t="n">
        <v>46114</v>
      </c>
      <c r="D11578" t="inlineStr">
        <is>
          <t>DALARNAS LÄN</t>
        </is>
      </c>
      <c r="E11578" t="inlineStr">
        <is>
          <t>MALUNG-SÄLEN</t>
        </is>
      </c>
      <c r="F11578" t="inlineStr">
        <is>
          <t>Kommuner</t>
        </is>
      </c>
      <c r="G11578" t="n">
        <v>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33117-2025</t>
        </is>
      </c>
      <c r="B11579" s="1" t="n">
        <v>45840</v>
      </c>
      <c r="C11579" s="1" t="n">
        <v>46114</v>
      </c>
      <c r="D11579" t="inlineStr">
        <is>
          <t>DALARNAS LÄN</t>
        </is>
      </c>
      <c r="E11579" t="inlineStr">
        <is>
          <t>RÄTTVIK</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33118-2025</t>
        </is>
      </c>
      <c r="B11580" s="1" t="n">
        <v>45840</v>
      </c>
      <c r="C11580" s="1" t="n">
        <v>46114</v>
      </c>
      <c r="D11580" t="inlineStr">
        <is>
          <t>DALARNAS LÄN</t>
        </is>
      </c>
      <c r="E11580" t="inlineStr">
        <is>
          <t>RÄTTVIK</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33385-2025</t>
        </is>
      </c>
      <c r="B11581" s="1" t="n">
        <v>45841.40537037037</v>
      </c>
      <c r="C11581" s="1" t="n">
        <v>46114</v>
      </c>
      <c r="D11581" t="inlineStr">
        <is>
          <t>DALARNAS LÄN</t>
        </is>
      </c>
      <c r="E11581" t="inlineStr">
        <is>
          <t>RÄTTVIK</t>
        </is>
      </c>
      <c r="F11581" t="inlineStr">
        <is>
          <t>Sveaskog</t>
        </is>
      </c>
      <c r="G11581" t="n">
        <v>3.2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33394-2025</t>
        </is>
      </c>
      <c r="B11582" s="1" t="n">
        <v>45841.41704861111</v>
      </c>
      <c r="C11582" s="1" t="n">
        <v>46114</v>
      </c>
      <c r="D11582" t="inlineStr">
        <is>
          <t>DALARNAS LÄN</t>
        </is>
      </c>
      <c r="E11582" t="inlineStr">
        <is>
          <t>ORSA</t>
        </is>
      </c>
      <c r="G11582" t="n">
        <v>0.8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33403-2025</t>
        </is>
      </c>
      <c r="B11583" s="1" t="n">
        <v>45841</v>
      </c>
      <c r="C11583" s="1" t="n">
        <v>46114</v>
      </c>
      <c r="D11583" t="inlineStr">
        <is>
          <t>DALARNAS LÄN</t>
        </is>
      </c>
      <c r="E11583" t="inlineStr">
        <is>
          <t>MALUNG-SÄLEN</t>
        </is>
      </c>
      <c r="G11583" t="n">
        <v>1.3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33667-2025</t>
        </is>
      </c>
      <c r="B11584" s="1" t="n">
        <v>45841.67270833333</v>
      </c>
      <c r="C11584" s="1" t="n">
        <v>46114</v>
      </c>
      <c r="D11584" t="inlineStr">
        <is>
          <t>DALARNAS LÄN</t>
        </is>
      </c>
      <c r="E11584" t="inlineStr">
        <is>
          <t>MALUNG-SÄLEN</t>
        </is>
      </c>
      <c r="F11584" t="inlineStr">
        <is>
          <t>Bergvik skog väst AB</t>
        </is>
      </c>
      <c r="G11584" t="n">
        <v>6.8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33059-2025</t>
        </is>
      </c>
      <c r="B11585" s="1" t="n">
        <v>45840.43072916667</v>
      </c>
      <c r="C11585" s="1" t="n">
        <v>46114</v>
      </c>
      <c r="D11585" t="inlineStr">
        <is>
          <t>DALARNAS LÄN</t>
        </is>
      </c>
      <c r="E11585" t="inlineStr">
        <is>
          <t>ORSA</t>
        </is>
      </c>
      <c r="F11585" t="inlineStr">
        <is>
          <t>Bergvik skog öst AB</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33063-2025</t>
        </is>
      </c>
      <c r="B11586" s="1" t="n">
        <v>45840</v>
      </c>
      <c r="C11586" s="1" t="n">
        <v>46114</v>
      </c>
      <c r="D11586" t="inlineStr">
        <is>
          <t>DALARNAS LÄN</t>
        </is>
      </c>
      <c r="E11586" t="inlineStr">
        <is>
          <t>LUDVIKA</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33000-2025</t>
        </is>
      </c>
      <c r="B11587" s="1" t="n">
        <v>45840.3518287037</v>
      </c>
      <c r="C11587" s="1" t="n">
        <v>46114</v>
      </c>
      <c r="D11587" t="inlineStr">
        <is>
          <t>DALARNAS LÄN</t>
        </is>
      </c>
      <c r="E11587" t="inlineStr">
        <is>
          <t>VANSBRO</t>
        </is>
      </c>
      <c r="G11587" t="n">
        <v>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33109-2025</t>
        </is>
      </c>
      <c r="B11588" s="1" t="n">
        <v>45840</v>
      </c>
      <c r="C11588" s="1" t="n">
        <v>46114</v>
      </c>
      <c r="D11588" t="inlineStr">
        <is>
          <t>DALARNAS LÄN</t>
        </is>
      </c>
      <c r="E11588" t="inlineStr">
        <is>
          <t>VANSBRO</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33050-2025</t>
        </is>
      </c>
      <c r="B11589" s="1" t="n">
        <v>45840</v>
      </c>
      <c r="C11589" s="1" t="n">
        <v>46114</v>
      </c>
      <c r="D11589" t="inlineStr">
        <is>
          <t>DALARNAS LÄN</t>
        </is>
      </c>
      <c r="E11589" t="inlineStr">
        <is>
          <t>GAGNEF</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33056-2025</t>
        </is>
      </c>
      <c r="B11590" s="1" t="n">
        <v>45840</v>
      </c>
      <c r="C11590" s="1" t="n">
        <v>46114</v>
      </c>
      <c r="D11590" t="inlineStr">
        <is>
          <t>DALARNAS LÄN</t>
        </is>
      </c>
      <c r="E11590" t="inlineStr">
        <is>
          <t>VANSBRO</t>
        </is>
      </c>
      <c r="F11590" t="inlineStr">
        <is>
          <t>Bergvik skog öst AB</t>
        </is>
      </c>
      <c r="G11590" t="n">
        <v>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33036-2025</t>
        </is>
      </c>
      <c r="B11591" s="1" t="n">
        <v>45840.39614583334</v>
      </c>
      <c r="C11591" s="1" t="n">
        <v>46114</v>
      </c>
      <c r="D11591" t="inlineStr">
        <is>
          <t>DALARNAS LÄN</t>
        </is>
      </c>
      <c r="E11591" t="inlineStr">
        <is>
          <t>VANSBRO</t>
        </is>
      </c>
      <c r="F11591" t="inlineStr">
        <is>
          <t>Bergvik skog öst AB</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33525-2025</t>
        </is>
      </c>
      <c r="B11592" s="1" t="n">
        <v>45841</v>
      </c>
      <c r="C11592" s="1" t="n">
        <v>46114</v>
      </c>
      <c r="D11592" t="inlineStr">
        <is>
          <t>DALARNAS LÄN</t>
        </is>
      </c>
      <c r="E11592" t="inlineStr">
        <is>
          <t>FALUN</t>
        </is>
      </c>
      <c r="F11592" t="inlineStr">
        <is>
          <t>Bergvik skog väst AB</t>
        </is>
      </c>
      <c r="G11592" t="n">
        <v>0.6</v>
      </c>
      <c r="H11592" t="n">
        <v>0</v>
      </c>
      <c r="I11592" t="n">
        <v>0</v>
      </c>
      <c r="J11592" t="n">
        <v>0</v>
      </c>
      <c r="K11592" t="n">
        <v>0</v>
      </c>
      <c r="L11592" t="n">
        <v>0</v>
      </c>
      <c r="M11592" t="n">
        <v>0</v>
      </c>
      <c r="N11592" t="n">
        <v>0</v>
      </c>
      <c r="O11592" t="n">
        <v>0</v>
      </c>
      <c r="P11592" t="n">
        <v>0</v>
      </c>
      <c r="Q11592" t="n">
        <v>0</v>
      </c>
      <c r="R11592" s="2" t="inlineStr"/>
    </row>
    <row r="11593">
      <c r="A11593" t="inlineStr">
        <is>
          <t>A 33209-2025</t>
        </is>
      </c>
      <c r="B11593" s="1" t="n">
        <v>45840.62648148148</v>
      </c>
      <c r="C11593" s="1" t="n">
        <v>46114</v>
      </c>
      <c r="D11593" t="inlineStr">
        <is>
          <t>DALARNAS LÄN</t>
        </is>
      </c>
      <c r="E11593" t="inlineStr">
        <is>
          <t>ORSA</t>
        </is>
      </c>
      <c r="G11593" t="n">
        <v>1.3</v>
      </c>
      <c r="H11593" t="n">
        <v>0</v>
      </c>
      <c r="I11593" t="n">
        <v>0</v>
      </c>
      <c r="J11593" t="n">
        <v>0</v>
      </c>
      <c r="K11593" t="n">
        <v>0</v>
      </c>
      <c r="L11593" t="n">
        <v>0</v>
      </c>
      <c r="M11593" t="n">
        <v>0</v>
      </c>
      <c r="N11593" t="n">
        <v>0</v>
      </c>
      <c r="O11593" t="n">
        <v>0</v>
      </c>
      <c r="P11593" t="n">
        <v>0</v>
      </c>
      <c r="Q11593" t="n">
        <v>0</v>
      </c>
      <c r="R115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2026-04-02T10:42:48Z</dcterms:created>
  <dcterms:modified xmlns:dcterms="http://purl.org/dc/terms/" xmlns:xsi="http://www.w3.org/2001/XMLSchema-instance" xsi:type="dcterms:W3CDTF">2026-04-02T10:42:59Z</dcterms:modified>
</cp:coreProperties>
</file>